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044511" sheetId="1" state="visible" r:id="rId1"/>
    <sheet xmlns:r="http://schemas.openxmlformats.org/officeDocument/2006/relationships" name="res_raw_34044511" sheetId="2" state="visible" r:id="rId2"/>
    <sheet xmlns:r="http://schemas.openxmlformats.org/officeDocument/2006/relationships" name="balance_raw_34044511" sheetId="3" state="visible" r:id="rId3"/>
    <sheet xmlns:r="http://schemas.openxmlformats.org/officeDocument/2006/relationships" name="pengestrom_raw_3404451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C.C. Jensen A/S (CVR 34044511)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'res_raw_34044511'!$B$2</f>
        <v/>
      </c>
      <c r="C4" s="5">
        <f>'res_raw_34044511'!$C$2</f>
        <v/>
      </c>
      <c r="D4" s="5">
        <f>'res_raw_34044511'!$D$2</f>
        <v/>
      </c>
      <c r="E4" s="5">
        <f>'res_raw_34044511'!$E$2</f>
        <v/>
      </c>
      <c r="F4" s="5">
        <f>'res_raw_34044511'!$F$2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'res_raw_34044511'!$B$3</f>
        <v/>
      </c>
      <c r="C5" s="8">
        <f>'res_raw_34044511'!$C$3</f>
        <v/>
      </c>
      <c r="D5" s="8">
        <f>'res_raw_34044511'!$D$3</f>
        <v/>
      </c>
      <c r="E5" s="8">
        <f>'res_raw_34044511'!$E$3</f>
        <v/>
      </c>
      <c r="F5" s="8">
        <f>'res_raw_34044511'!$F$3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'res_raw_34044511'!$B$4</f>
        <v/>
      </c>
      <c r="C6" s="5">
        <f>'res_raw_34044511'!$C$4</f>
        <v/>
      </c>
      <c r="D6" s="5">
        <f>'res_raw_34044511'!$D$4</f>
        <v/>
      </c>
      <c r="E6" s="5">
        <f>'res_raw_34044511'!$E$4</f>
        <v/>
      </c>
      <c r="F6" s="5">
        <f>'res_raw_34044511'!$F$4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'res_raw_34044511'!$B$5</f>
        <v/>
      </c>
      <c r="C7" s="8">
        <f>'res_raw_34044511'!$C$5</f>
        <v/>
      </c>
      <c r="D7" s="8">
        <f>'res_raw_34044511'!$D$5</f>
        <v/>
      </c>
      <c r="E7" s="8">
        <f>'res_raw_34044511'!$E$5</f>
        <v/>
      </c>
      <c r="F7" s="8">
        <f>'res_raw_34044511'!$F$5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'res_raw_34044511'!$B$6</f>
        <v/>
      </c>
      <c r="C8" s="11">
        <f>'res_raw_34044511'!$C$6</f>
        <v/>
      </c>
      <c r="D8" s="11">
        <f>'res_raw_34044511'!$D$6</f>
        <v/>
      </c>
      <c r="E8" s="11">
        <f>'res_raw_34044511'!$E$6</f>
        <v/>
      </c>
      <c r="F8" s="11">
        <f>'res_raw_34044511'!$F$6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'res_raw_34044511'!$B$7</f>
        <v/>
      </c>
      <c r="C9" s="8">
        <f>'res_raw_34044511'!$C$7</f>
        <v/>
      </c>
      <c r="D9" s="8">
        <f>'res_raw_34044511'!$D$7</f>
        <v/>
      </c>
      <c r="E9" s="8">
        <f>'res_raw_34044511'!$E$7</f>
        <v/>
      </c>
      <c r="F9" s="8">
        <f>'res_raw_34044511'!$F$7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'res_raw_34044511'!$B$9</f>
        <v/>
      </c>
      <c r="C11" s="8">
        <f>'res_raw_34044511'!$C$9</f>
        <v/>
      </c>
      <c r="D11" s="8">
        <f>'res_raw_34044511'!$D$9</f>
        <v/>
      </c>
      <c r="E11" s="8">
        <f>'res_raw_34044511'!$E$9</f>
        <v/>
      </c>
      <c r="F11" s="8">
        <f>'res_raw_34044511'!$F$9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'res_raw_34044511'!$B$10</f>
        <v/>
      </c>
      <c r="C12" s="5">
        <f>'res_raw_34044511'!$C$10</f>
        <v/>
      </c>
      <c r="D12" s="5">
        <f>'res_raw_34044511'!$D$10</f>
        <v/>
      </c>
      <c r="E12" s="5">
        <f>'res_raw_34044511'!$E$10</f>
        <v/>
      </c>
      <c r="F12" s="5">
        <f>'res_raw_34044511'!$F$10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'res_raw_34044511'!$B$11</f>
        <v/>
      </c>
      <c r="C13" s="11">
        <f>'res_raw_34044511'!$C$11</f>
        <v/>
      </c>
      <c r="D13" s="11">
        <f>'res_raw_34044511'!$D$11</f>
        <v/>
      </c>
      <c r="E13" s="11">
        <f>'res_raw_34044511'!$E$11</f>
        <v/>
      </c>
      <c r="F13" s="11">
        <f>'res_raw_34044511'!$F$11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'res_raw_34044511'!$B$12</f>
        <v/>
      </c>
      <c r="C14" s="5">
        <f>'res_raw_34044511'!$C$12</f>
        <v/>
      </c>
      <c r="D14" s="5">
        <f>'res_raw_34044511'!$D$12</f>
        <v/>
      </c>
      <c r="E14" s="5">
        <f>'res_raw_34044511'!$E$12</f>
        <v/>
      </c>
      <c r="F14" s="5">
        <f>'res_raw_34044511'!$F$12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'res_raw_34044511'!$B$13</f>
        <v/>
      </c>
      <c r="C15" s="8">
        <f>'res_raw_34044511'!$C$13</f>
        <v/>
      </c>
      <c r="D15" s="8">
        <f>'res_raw_34044511'!$D$13</f>
        <v/>
      </c>
      <c r="E15" s="8">
        <f>'res_raw_34044511'!$E$13</f>
        <v/>
      </c>
      <c r="F15" s="8">
        <f>'res_raw_34044511'!$F$13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'res_raw_34044511'!$B$14</f>
        <v/>
      </c>
      <c r="C16" s="5">
        <f>'res_raw_34044511'!$C$14</f>
        <v/>
      </c>
      <c r="D16" s="5">
        <f>'res_raw_34044511'!$D$14</f>
        <v/>
      </c>
      <c r="E16" s="5">
        <f>'res_raw_34044511'!$E$14</f>
        <v/>
      </c>
      <c r="F16" s="5">
        <f>'res_raw_34044511'!$F$14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'res_raw_34044511'!$B$15</f>
        <v/>
      </c>
      <c r="C17" s="11">
        <f>'res_raw_34044511'!$C$15</f>
        <v/>
      </c>
      <c r="D17" s="11">
        <f>'res_raw_34044511'!$D$15</f>
        <v/>
      </c>
      <c r="E17" s="11">
        <f>'res_raw_34044511'!$E$15</f>
        <v/>
      </c>
      <c r="F17" s="11">
        <f>'res_raw_34044511'!$F$15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'res_raw_34044511'!$B$16</f>
        <v/>
      </c>
      <c r="C18" s="11">
        <f>'res_raw_34044511'!$C$16</f>
        <v/>
      </c>
      <c r="D18" s="11">
        <f>'res_raw_34044511'!$D$16</f>
        <v/>
      </c>
      <c r="E18" s="11">
        <f>'res_raw_34044511'!$E$16</f>
        <v/>
      </c>
      <c r="F18" s="11">
        <f>'res_raw_34044511'!$F$16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'res_raw_34044511'!$B$17</f>
        <v/>
      </c>
      <c r="C19" s="8">
        <f>'res_raw_34044511'!$C$17</f>
        <v/>
      </c>
      <c r="D19" s="8">
        <f>'res_raw_34044511'!$D$17</f>
        <v/>
      </c>
      <c r="E19" s="8">
        <f>'res_raw_34044511'!$E$17</f>
        <v/>
      </c>
      <c r="F19" s="8">
        <f>'res_raw_34044511'!$F$17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'res_raw_34044511'!$B$18</f>
        <v/>
      </c>
      <c r="C20" s="11">
        <f>'res_raw_34044511'!$C$18</f>
        <v/>
      </c>
      <c r="D20" s="11">
        <f>'res_raw_34044511'!$D$18</f>
        <v/>
      </c>
      <c r="E20" s="11">
        <f>'res_raw_34044511'!$E$18</f>
        <v/>
      </c>
      <c r="F20" s="11">
        <f>'res_raw_34044511'!$F$18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'balance_raw_34044511'!$B$2</f>
        <v/>
      </c>
      <c r="C23" s="8">
        <f>'balance_raw_34044511'!$C$2</f>
        <v/>
      </c>
      <c r="D23" s="8">
        <f>'balance_raw_34044511'!$D$2</f>
        <v/>
      </c>
      <c r="E23" s="8">
        <f>'balance_raw_34044511'!$E$2</f>
        <v/>
      </c>
      <c r="F23" s="8">
        <f>'balance_raw_34044511'!$F$2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'balance_raw_34044511'!$B$3</f>
        <v/>
      </c>
      <c r="C24" s="5">
        <f>'balance_raw_34044511'!$C$3</f>
        <v/>
      </c>
      <c r="D24" s="5">
        <f>'balance_raw_34044511'!$D$3</f>
        <v/>
      </c>
      <c r="E24" s="5">
        <f>'balance_raw_34044511'!$E$3</f>
        <v/>
      </c>
      <c r="F24" s="5">
        <f>'balance_raw_34044511'!$F$3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'balance_raw_34044511'!$B$4</f>
        <v/>
      </c>
      <c r="C25" s="8">
        <f>'balance_raw_34044511'!$C$4</f>
        <v/>
      </c>
      <c r="D25" s="8">
        <f>'balance_raw_34044511'!$D$4</f>
        <v/>
      </c>
      <c r="E25" s="8">
        <f>'balance_raw_34044511'!$E$4</f>
        <v/>
      </c>
      <c r="F25" s="8">
        <f>'balance_raw_34044511'!$F$4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'balance_raw_34044511'!$B$5</f>
        <v/>
      </c>
      <c r="C26" s="5">
        <f>'balance_raw_34044511'!$C$5</f>
        <v/>
      </c>
      <c r="D26" s="5">
        <f>'balance_raw_34044511'!$D$5</f>
        <v/>
      </c>
      <c r="E26" s="5">
        <f>'balance_raw_34044511'!$E$5</f>
        <v/>
      </c>
      <c r="F26" s="5">
        <f>'balance_raw_34044511'!$F$5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'balance_raw_34044511'!$B$6</f>
        <v/>
      </c>
      <c r="C27" s="8">
        <f>'balance_raw_34044511'!$C$6</f>
        <v/>
      </c>
      <c r="D27" s="8">
        <f>'balance_raw_34044511'!$D$6</f>
        <v/>
      </c>
      <c r="E27" s="8">
        <f>'balance_raw_34044511'!$E$6</f>
        <v/>
      </c>
      <c r="F27" s="8">
        <f>'balance_raw_34044511'!$F$6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'balance_raw_34044511'!$B$7</f>
        <v/>
      </c>
      <c r="C28" s="11">
        <f>'balance_raw_34044511'!$C$7</f>
        <v/>
      </c>
      <c r="D28" s="11">
        <f>'balance_raw_34044511'!$D$7</f>
        <v/>
      </c>
      <c r="E28" s="11">
        <f>'balance_raw_34044511'!$E$7</f>
        <v/>
      </c>
      <c r="F28" s="11">
        <f>'balance_raw_34044511'!$F$7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'balance_raw_34044511'!$B$8</f>
        <v/>
      </c>
      <c r="C29" s="8">
        <f>'balance_raw_34044511'!$C$8</f>
        <v/>
      </c>
      <c r="D29" s="8">
        <f>'balance_raw_34044511'!$D$8</f>
        <v/>
      </c>
      <c r="E29" s="8">
        <f>'balance_raw_34044511'!$E$8</f>
        <v/>
      </c>
      <c r="F29" s="8">
        <f>'balance_raw_34044511'!$F$8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'balance_raw_34044511'!$B$9</f>
        <v/>
      </c>
      <c r="C30" s="5">
        <f>'balance_raw_34044511'!$C$9</f>
        <v/>
      </c>
      <c r="D30" s="5">
        <f>'balance_raw_34044511'!$D$9</f>
        <v/>
      </c>
      <c r="E30" s="5">
        <f>'balance_raw_34044511'!$E$9</f>
        <v/>
      </c>
      <c r="F30" s="5">
        <f>'balance_raw_34044511'!$F$9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'balance_raw_34044511'!$B$10</f>
        <v/>
      </c>
      <c r="C31" s="11">
        <f>'balance_raw_34044511'!$C$10</f>
        <v/>
      </c>
      <c r="D31" s="11">
        <f>'balance_raw_34044511'!$D$10</f>
        <v/>
      </c>
      <c r="E31" s="11">
        <f>'balance_raw_34044511'!$E$10</f>
        <v/>
      </c>
      <c r="F31" s="11">
        <f>'balance_raw_34044511'!$F$10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'balance_raw_34044511'!$B$11</f>
        <v/>
      </c>
      <c r="C32" s="11">
        <f>'balance_raw_34044511'!$C$11</f>
        <v/>
      </c>
      <c r="D32" s="11">
        <f>'balance_raw_34044511'!$D$11</f>
        <v/>
      </c>
      <c r="E32" s="11">
        <f>'balance_raw_34044511'!$E$11</f>
        <v/>
      </c>
      <c r="F32" s="11">
        <f>'balance_raw_34044511'!$F$11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'balance_raw_34044511'!$B$12</f>
        <v/>
      </c>
      <c r="C33" s="8">
        <f>'balance_raw_34044511'!$C$12</f>
        <v/>
      </c>
      <c r="D33" s="8">
        <f>'balance_raw_34044511'!$D$12</f>
        <v/>
      </c>
      <c r="E33" s="8">
        <f>'balance_raw_34044511'!$E$12</f>
        <v/>
      </c>
      <c r="F33" s="8">
        <f>'balance_raw_34044511'!$F$12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'balance_raw_34044511'!$B$13</f>
        <v/>
      </c>
      <c r="C34" s="5">
        <f>'balance_raw_34044511'!$C$13</f>
        <v/>
      </c>
      <c r="D34" s="5">
        <f>'balance_raw_34044511'!$D$13</f>
        <v/>
      </c>
      <c r="E34" s="5">
        <f>'balance_raw_34044511'!$E$13</f>
        <v/>
      </c>
      <c r="F34" s="5">
        <f>'balance_raw_34044511'!$F$13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'balance_raw_34044511'!$B$14</f>
        <v/>
      </c>
      <c r="C35" s="8">
        <f>'balance_raw_34044511'!$C$14</f>
        <v/>
      </c>
      <c r="D35" s="8">
        <f>'balance_raw_34044511'!$D$14</f>
        <v/>
      </c>
      <c r="E35" s="8">
        <f>'balance_raw_34044511'!$E$14</f>
        <v/>
      </c>
      <c r="F35" s="8">
        <f>'balance_raw_34044511'!$F$14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'balance_raw_34044511'!$B$15</f>
        <v/>
      </c>
      <c r="C36" s="11">
        <f>'balance_raw_34044511'!$C$15</f>
        <v/>
      </c>
      <c r="D36" s="11">
        <f>'balance_raw_34044511'!$D$15</f>
        <v/>
      </c>
      <c r="E36" s="11">
        <f>'balance_raw_34044511'!$E$15</f>
        <v/>
      </c>
      <c r="F36" s="11">
        <f>'balance_raw_34044511'!$F$15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'balance_raw_34044511'!$B$16</f>
        <v/>
      </c>
      <c r="C37" s="8">
        <f>'balance_raw_34044511'!$C$16</f>
        <v/>
      </c>
      <c r="D37" s="8">
        <f>'balance_raw_34044511'!$D$16</f>
        <v/>
      </c>
      <c r="E37" s="8">
        <f>'balance_raw_34044511'!$E$16</f>
        <v/>
      </c>
      <c r="F37" s="8">
        <f>'balance_raw_34044511'!$F$16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'balance_raw_34044511'!$B$17</f>
        <v/>
      </c>
      <c r="C38" s="5">
        <f>'balance_raw_34044511'!$C$17</f>
        <v/>
      </c>
      <c r="D38" s="5">
        <f>'balance_raw_34044511'!$D$17</f>
        <v/>
      </c>
      <c r="E38" s="5">
        <f>'balance_raw_34044511'!$E$17</f>
        <v/>
      </c>
      <c r="F38" s="5">
        <f>'balance_raw_34044511'!$F$17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'balance_raw_34044511'!$B$18</f>
        <v/>
      </c>
      <c r="C39" s="8">
        <f>'balance_raw_34044511'!$C$18</f>
        <v/>
      </c>
      <c r="D39" s="8">
        <f>'balance_raw_34044511'!$D$18</f>
        <v/>
      </c>
      <c r="E39" s="8">
        <f>'balance_raw_34044511'!$E$18</f>
        <v/>
      </c>
      <c r="F39" s="8">
        <f>'balance_raw_34044511'!$F$18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'balance_raw_34044511'!$B$19</f>
        <v/>
      </c>
      <c r="C40" s="5">
        <f>'balance_raw_34044511'!$C$19</f>
        <v/>
      </c>
      <c r="D40" s="5">
        <f>'balance_raw_34044511'!$D$19</f>
        <v/>
      </c>
      <c r="E40" s="5">
        <f>'balance_raw_34044511'!$E$19</f>
        <v/>
      </c>
      <c r="F40" s="5">
        <f>'balance_raw_34044511'!$F$19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'balance_raw_34044511'!$B$20</f>
        <v/>
      </c>
      <c r="C41" s="8">
        <f>'balance_raw_34044511'!$C$20</f>
        <v/>
      </c>
      <c r="D41" s="8">
        <f>'balance_raw_34044511'!$D$20</f>
        <v/>
      </c>
      <c r="E41" s="8">
        <f>'balance_raw_34044511'!$E$20</f>
        <v/>
      </c>
      <c r="F41" s="8">
        <f>'balance_raw_34044511'!$F$20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'balance_raw_34044511'!$B$21</f>
        <v/>
      </c>
      <c r="C42" s="5">
        <f>'balance_raw_34044511'!$C$21</f>
        <v/>
      </c>
      <c r="D42" s="5">
        <f>'balance_raw_34044511'!$D$21</f>
        <v/>
      </c>
      <c r="E42" s="5">
        <f>'balance_raw_34044511'!$E$21</f>
        <v/>
      </c>
      <c r="F42" s="5">
        <f>'balance_raw_34044511'!$F$21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'balance_raw_34044511'!$B$22</f>
        <v/>
      </c>
      <c r="C43" s="8">
        <f>'balance_raw_34044511'!$C$22</f>
        <v/>
      </c>
      <c r="D43" s="8">
        <f>'balance_raw_34044511'!$D$22</f>
        <v/>
      </c>
      <c r="E43" s="8">
        <f>'balance_raw_34044511'!$E$22</f>
        <v/>
      </c>
      <c r="F43" s="8">
        <f>'balance_raw_34044511'!$F$22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'balance_raw_34044511'!$B$23</f>
        <v/>
      </c>
      <c r="C44" s="11">
        <f>'balance_raw_34044511'!$C$23</f>
        <v/>
      </c>
      <c r="D44" s="11">
        <f>'balance_raw_34044511'!$D$23</f>
        <v/>
      </c>
      <c r="E44" s="11">
        <f>'balance_raw_34044511'!$E$23</f>
        <v/>
      </c>
      <c r="F44" s="11">
        <f>'balance_raw_34044511'!$F$23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'balance_raw_34044511'!$B$24</f>
        <v/>
      </c>
      <c r="C45" s="8">
        <f>'balance_raw_34044511'!$C$24</f>
        <v/>
      </c>
      <c r="D45" s="8">
        <f>'balance_raw_34044511'!$D$24</f>
        <v/>
      </c>
      <c r="E45" s="8">
        <f>'balance_raw_34044511'!$E$24</f>
        <v/>
      </c>
      <c r="F45" s="8">
        <f>'balance_raw_34044511'!$F$24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'balance_raw_34044511'!$B$25</f>
        <v/>
      </c>
      <c r="C46" s="5">
        <f>'balance_raw_34044511'!$C$25</f>
        <v/>
      </c>
      <c r="D46" s="5">
        <f>'balance_raw_34044511'!$D$25</f>
        <v/>
      </c>
      <c r="E46" s="5">
        <f>'balance_raw_34044511'!$E$25</f>
        <v/>
      </c>
      <c r="F46" s="5">
        <f>'balance_raw_34044511'!$F$25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'balance_raw_34044511'!$B$26</f>
        <v/>
      </c>
      <c r="C47" s="11">
        <f>'balance_raw_34044511'!$C$26</f>
        <v/>
      </c>
      <c r="D47" s="11">
        <f>'balance_raw_34044511'!$D$26</f>
        <v/>
      </c>
      <c r="E47" s="11">
        <f>'balance_raw_34044511'!$E$26</f>
        <v/>
      </c>
      <c r="F47" s="11">
        <f>'balance_raw_34044511'!$F$26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'balance_raw_34044511'!$B$27</f>
        <v/>
      </c>
      <c r="C48" s="11">
        <f>'balance_raw_34044511'!$C$27</f>
        <v/>
      </c>
      <c r="D48" s="11">
        <f>'balance_raw_34044511'!$D$27</f>
        <v/>
      </c>
      <c r="E48" s="11">
        <f>'balance_raw_34044511'!$E$27</f>
        <v/>
      </c>
      <c r="F48" s="11">
        <f>'balance_raw_34044511'!$F$27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'balance_raw_34044511'!$B$28</f>
        <v/>
      </c>
      <c r="C51" s="8">
        <f>'balance_raw_34044511'!$C$28</f>
        <v/>
      </c>
      <c r="D51" s="8">
        <f>'balance_raw_34044511'!$D$28</f>
        <v/>
      </c>
      <c r="E51" s="8">
        <f>'balance_raw_34044511'!$E$28</f>
        <v/>
      </c>
      <c r="F51" s="8">
        <f>'balance_raw_34044511'!$F$28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'balance_raw_34044511'!$B$29</f>
        <v/>
      </c>
      <c r="C52" s="5">
        <f>'balance_raw_34044511'!$C$29</f>
        <v/>
      </c>
      <c r="D52" s="5">
        <f>'balance_raw_34044511'!$D$29</f>
        <v/>
      </c>
      <c r="E52" s="5">
        <f>'balance_raw_34044511'!$E$29</f>
        <v/>
      </c>
      <c r="F52" s="5">
        <f>'balance_raw_34044511'!$F$29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'balance_raw_34044511'!$B$30</f>
        <v/>
      </c>
      <c r="C53" s="8">
        <f>'balance_raw_34044511'!$C$30</f>
        <v/>
      </c>
      <c r="D53" s="8">
        <f>'balance_raw_34044511'!$D$30</f>
        <v/>
      </c>
      <c r="E53" s="8">
        <f>'balance_raw_34044511'!$E$30</f>
        <v/>
      </c>
      <c r="F53" s="8">
        <f>'balance_raw_34044511'!$F$30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'balance_raw_34044511'!$B$31</f>
        <v/>
      </c>
      <c r="C54" s="5">
        <f>'balance_raw_34044511'!$C$31</f>
        <v/>
      </c>
      <c r="D54" s="5">
        <f>'balance_raw_34044511'!$D$31</f>
        <v/>
      </c>
      <c r="E54" s="5">
        <f>'balance_raw_34044511'!$E$31</f>
        <v/>
      </c>
      <c r="F54" s="5">
        <f>'balance_raw_34044511'!$F$31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'balance_raw_34044511'!$B$32</f>
        <v/>
      </c>
      <c r="C55" s="8">
        <f>'balance_raw_34044511'!$C$32</f>
        <v/>
      </c>
      <c r="D55" s="8">
        <f>'balance_raw_34044511'!$D$32</f>
        <v/>
      </c>
      <c r="E55" s="8">
        <f>'balance_raw_34044511'!$E$32</f>
        <v/>
      </c>
      <c r="F55" s="8">
        <f>'balance_raw_34044511'!$F$32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'balance_raw_34044511'!$B$33</f>
        <v/>
      </c>
      <c r="C56" s="5">
        <f>'balance_raw_34044511'!$C$33</f>
        <v/>
      </c>
      <c r="D56" s="5">
        <f>'balance_raw_34044511'!$D$33</f>
        <v/>
      </c>
      <c r="E56" s="5">
        <f>'balance_raw_34044511'!$E$33</f>
        <v/>
      </c>
      <c r="F56" s="5">
        <f>'balance_raw_34044511'!$F$33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'balance_raw_34044511'!$B$34</f>
        <v/>
      </c>
      <c r="C57" s="11">
        <f>'balance_raw_34044511'!$C$34</f>
        <v/>
      </c>
      <c r="D57" s="11">
        <f>'balance_raw_34044511'!$D$34</f>
        <v/>
      </c>
      <c r="E57" s="11">
        <f>'balance_raw_34044511'!$E$34</f>
        <v/>
      </c>
      <c r="F57" s="11">
        <f>'balance_raw_34044511'!$F$34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'balance_raw_34044511'!$B$35</f>
        <v/>
      </c>
      <c r="C58" s="5">
        <f>'balance_raw_34044511'!$C$35</f>
        <v/>
      </c>
      <c r="D58" s="5">
        <f>'balance_raw_34044511'!$D$35</f>
        <v/>
      </c>
      <c r="E58" s="5">
        <f>'balance_raw_34044511'!$E$35</f>
        <v/>
      </c>
      <c r="F58" s="5">
        <f>'balance_raw_34044511'!$F$35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'balance_raw_34044511'!$B$36</f>
        <v/>
      </c>
      <c r="C59" s="11">
        <f>'balance_raw_34044511'!$C$36</f>
        <v/>
      </c>
      <c r="D59" s="11">
        <f>'balance_raw_34044511'!$D$36</f>
        <v/>
      </c>
      <c r="E59" s="11">
        <f>'balance_raw_34044511'!$E$36</f>
        <v/>
      </c>
      <c r="F59" s="11">
        <f>'balance_raw_34044511'!$F$36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'balance_raw_34044511'!$B$37</f>
        <v/>
      </c>
      <c r="C60" s="5">
        <f>'balance_raw_34044511'!$C$37</f>
        <v/>
      </c>
      <c r="D60" s="5">
        <f>'balance_raw_34044511'!$D$37</f>
        <v/>
      </c>
      <c r="E60" s="5">
        <f>'balance_raw_34044511'!$E$37</f>
        <v/>
      </c>
      <c r="F60" s="5">
        <f>'balance_raw_34044511'!$F$37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'balance_raw_34044511'!$B$38</f>
        <v/>
      </c>
      <c r="C61" s="8">
        <f>'balance_raw_34044511'!$C$38</f>
        <v/>
      </c>
      <c r="D61" s="8">
        <f>'balance_raw_34044511'!$D$38</f>
        <v/>
      </c>
      <c r="E61" s="8">
        <f>'balance_raw_34044511'!$E$38</f>
        <v/>
      </c>
      <c r="F61" s="8">
        <f>'balance_raw_34044511'!$F$38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'balance_raw_34044511'!$B$39</f>
        <v/>
      </c>
      <c r="C62" s="5">
        <f>'balance_raw_34044511'!$C$39</f>
        <v/>
      </c>
      <c r="D62" s="5">
        <f>'balance_raw_34044511'!$D$39</f>
        <v/>
      </c>
      <c r="E62" s="5">
        <f>'balance_raw_34044511'!$E$39</f>
        <v/>
      </c>
      <c r="F62" s="5">
        <f>'balance_raw_34044511'!$F$39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'balance_raw_34044511'!$B$40</f>
        <v/>
      </c>
      <c r="C63" s="8">
        <f>'balance_raw_34044511'!$C$40</f>
        <v/>
      </c>
      <c r="D63" s="8">
        <f>'balance_raw_34044511'!$D$40</f>
        <v/>
      </c>
      <c r="E63" s="8">
        <f>'balance_raw_34044511'!$E$40</f>
        <v/>
      </c>
      <c r="F63" s="8">
        <f>'balance_raw_34044511'!$F$40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'balance_raw_34044511'!$B$41</f>
        <v/>
      </c>
      <c r="C64" s="11">
        <f>'balance_raw_34044511'!$C$41</f>
        <v/>
      </c>
      <c r="D64" s="11">
        <f>'balance_raw_34044511'!$D$41</f>
        <v/>
      </c>
      <c r="E64" s="11">
        <f>'balance_raw_34044511'!$E$41</f>
        <v/>
      </c>
      <c r="F64" s="11">
        <f>'balance_raw_34044511'!$F$41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'balance_raw_34044511'!$B$42</f>
        <v/>
      </c>
      <c r="C65" s="8">
        <f>'balance_raw_34044511'!$C$42</f>
        <v/>
      </c>
      <c r="D65" s="8">
        <f>'balance_raw_34044511'!$D$42</f>
        <v/>
      </c>
      <c r="E65" s="8">
        <f>'balance_raw_34044511'!$E$42</f>
        <v/>
      </c>
      <c r="F65" s="8">
        <f>'balance_raw_34044511'!$F$42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'balance_raw_34044511'!$B$43</f>
        <v/>
      </c>
      <c r="C66" s="5">
        <f>'balance_raw_34044511'!$C$43</f>
        <v/>
      </c>
      <c r="D66" s="5">
        <f>'balance_raw_34044511'!$D$43</f>
        <v/>
      </c>
      <c r="E66" s="5">
        <f>'balance_raw_34044511'!$E$43</f>
        <v/>
      </c>
      <c r="F66" s="5">
        <f>'balance_raw_34044511'!$F$43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'balance_raw_34044511'!$B$44</f>
        <v/>
      </c>
      <c r="C67" s="8">
        <f>'balance_raw_34044511'!$C$44</f>
        <v/>
      </c>
      <c r="D67" s="8">
        <f>'balance_raw_34044511'!$D$44</f>
        <v/>
      </c>
      <c r="E67" s="8">
        <f>'balance_raw_34044511'!$E$44</f>
        <v/>
      </c>
      <c r="F67" s="8">
        <f>'balance_raw_34044511'!$F$44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'balance_raw_34044511'!$B$45</f>
        <v/>
      </c>
      <c r="C68" s="5">
        <f>'balance_raw_34044511'!$C$45</f>
        <v/>
      </c>
      <c r="D68" s="5">
        <f>'balance_raw_34044511'!$D$45</f>
        <v/>
      </c>
      <c r="E68" s="5">
        <f>'balance_raw_34044511'!$E$45</f>
        <v/>
      </c>
      <c r="F68" s="5">
        <f>'balance_raw_34044511'!$F$45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'balance_raw_34044511'!$B$46</f>
        <v/>
      </c>
      <c r="C69" s="8">
        <f>'balance_raw_34044511'!$C$46</f>
        <v/>
      </c>
      <c r="D69" s="8">
        <f>'balance_raw_34044511'!$D$46</f>
        <v/>
      </c>
      <c r="E69" s="8">
        <f>'balance_raw_34044511'!$E$46</f>
        <v/>
      </c>
      <c r="F69" s="8">
        <f>'balance_raw_34044511'!$F$46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'balance_raw_34044511'!$B$47</f>
        <v/>
      </c>
      <c r="C70" s="5">
        <f>'balance_raw_34044511'!$C$47</f>
        <v/>
      </c>
      <c r="D70" s="5">
        <f>'balance_raw_34044511'!$D$47</f>
        <v/>
      </c>
      <c r="E70" s="5">
        <f>'balance_raw_34044511'!$E$47</f>
        <v/>
      </c>
      <c r="F70" s="5">
        <f>'balance_raw_34044511'!$F$47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'balance_raw_34044511'!$B$48</f>
        <v/>
      </c>
      <c r="C71" s="8">
        <f>'balance_raw_34044511'!$C$48</f>
        <v/>
      </c>
      <c r="D71" s="8">
        <f>'balance_raw_34044511'!$D$48</f>
        <v/>
      </c>
      <c r="E71" s="8">
        <f>'balance_raw_34044511'!$E$48</f>
        <v/>
      </c>
      <c r="F71" s="8">
        <f>'balance_raw_34044511'!$F$48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'balance_raw_34044511'!$B$49</f>
        <v/>
      </c>
      <c r="C72" s="5">
        <f>'balance_raw_34044511'!$C$49</f>
        <v/>
      </c>
      <c r="D72" s="5">
        <f>'balance_raw_34044511'!$D$49</f>
        <v/>
      </c>
      <c r="E72" s="5">
        <f>'balance_raw_34044511'!$E$49</f>
        <v/>
      </c>
      <c r="F72" s="5">
        <f>'balance_raw_34044511'!$F$49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'balance_raw_34044511'!$B$50</f>
        <v/>
      </c>
      <c r="C73" s="8">
        <f>'balance_raw_34044511'!$C$50</f>
        <v/>
      </c>
      <c r="D73" s="8">
        <f>'balance_raw_34044511'!$D$50</f>
        <v/>
      </c>
      <c r="E73" s="8">
        <f>'balance_raw_34044511'!$E$50</f>
        <v/>
      </c>
      <c r="F73" s="8">
        <f>'balance_raw_34044511'!$F$50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'balance_raw_34044511'!$B$51</f>
        <v/>
      </c>
      <c r="C74" s="5">
        <f>'balance_raw_34044511'!$C$51</f>
        <v/>
      </c>
      <c r="D74" s="5">
        <f>'balance_raw_34044511'!$D$51</f>
        <v/>
      </c>
      <c r="E74" s="5">
        <f>'balance_raw_34044511'!$E$51</f>
        <v/>
      </c>
      <c r="F74" s="5">
        <f>'balance_raw_34044511'!$F$51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'balance_raw_34044511'!$B$52</f>
        <v/>
      </c>
      <c r="C75" s="8">
        <f>'balance_raw_34044511'!$C$52</f>
        <v/>
      </c>
      <c r="D75" s="8">
        <f>'balance_raw_34044511'!$D$52</f>
        <v/>
      </c>
      <c r="E75" s="8">
        <f>'balance_raw_34044511'!$E$52</f>
        <v/>
      </c>
      <c r="F75" s="8">
        <f>'balance_raw_34044511'!$F$52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'balance_raw_34044511'!$B$53</f>
        <v/>
      </c>
      <c r="C76" s="11">
        <f>'balance_raw_34044511'!$C$53</f>
        <v/>
      </c>
      <c r="D76" s="11">
        <f>'balance_raw_34044511'!$D$53</f>
        <v/>
      </c>
      <c r="E76" s="11">
        <f>'balance_raw_34044511'!$E$53</f>
        <v/>
      </c>
      <c r="F76" s="11">
        <f>'balance_raw_34044511'!$F$53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'balance_raw_34044511'!$B$54</f>
        <v/>
      </c>
      <c r="C77" s="11">
        <f>'balance_raw_34044511'!$C$54</f>
        <v/>
      </c>
      <c r="D77" s="11">
        <f>'balance_raw_34044511'!$D$54</f>
        <v/>
      </c>
      <c r="E77" s="11">
        <f>'balance_raw_34044511'!$E$54</f>
        <v/>
      </c>
      <c r="F77" s="11">
        <f>'balance_raw_34044511'!$F$54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'balance_raw_34044511'!$B$55</f>
        <v/>
      </c>
      <c r="C78" s="11">
        <f>'balance_raw_34044511'!$C$55</f>
        <v/>
      </c>
      <c r="D78" s="11">
        <f>'balance_raw_34044511'!$D$55</f>
        <v/>
      </c>
      <c r="E78" s="11">
        <f>'balance_raw_34044511'!$E$55</f>
        <v/>
      </c>
      <c r="F78" s="11">
        <f>'balance_raw_34044511'!$F$55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'res_raw_34044511'!$B$19</f>
        <v/>
      </c>
      <c r="C81" s="8">
        <f>'res_raw_34044511'!$C$19</f>
        <v/>
      </c>
      <c r="D81" s="8">
        <f>'res_raw_34044511'!$D$19</f>
        <v/>
      </c>
      <c r="E81" s="8">
        <f>'res_raw_34044511'!$E$19</f>
        <v/>
      </c>
      <c r="F81" s="8">
        <f>'res_raw_34044511'!$F$19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'res_raw_34044511'!$B$20</f>
        <v/>
      </c>
      <c r="C82" s="5">
        <f>'res_raw_34044511'!$C$20</f>
        <v/>
      </c>
      <c r="D82" s="5">
        <f>'res_raw_34044511'!$D$20</f>
        <v/>
      </c>
      <c r="E82" s="5">
        <f>'res_raw_34044511'!$E$20</f>
        <v/>
      </c>
      <c r="F82" s="5">
        <f>'res_raw_34044511'!$F$20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'pengestrom_raw_34044511'!$B$2</f>
        <v/>
      </c>
      <c r="C98" s="17">
        <f>'pengestrom_raw_34044511'!$C$2</f>
        <v/>
      </c>
      <c r="D98" s="17">
        <f>'pengestrom_raw_34044511'!$D$2</f>
        <v/>
      </c>
      <c r="E98" s="17">
        <f>'pengestrom_raw_34044511'!$E$2</f>
        <v/>
      </c>
      <c r="F98" s="17">
        <f>'pengestrom_raw_34044511'!$F$2</f>
        <v/>
      </c>
    </row>
    <row r="99">
      <c r="A99" s="16" t="inlineStr">
        <is>
          <t>Pengestrømme fra investeringsaktivitet</t>
        </is>
      </c>
      <c r="B99" s="17">
        <f>'pengestrom_raw_34044511'!$B$3</f>
        <v/>
      </c>
      <c r="C99" s="17">
        <f>'pengestrom_raw_34044511'!$C$3</f>
        <v/>
      </c>
      <c r="D99" s="17">
        <f>'pengestrom_raw_34044511'!$D$3</f>
        <v/>
      </c>
      <c r="E99" s="17">
        <f>'pengestrom_raw_34044511'!$E$3</f>
        <v/>
      </c>
      <c r="F99" s="17">
        <f>'pengestrom_raw_34044511'!$F$3</f>
        <v/>
      </c>
    </row>
    <row r="100">
      <c r="A100" s="16" t="inlineStr">
        <is>
          <t>Pengestrømme fra finansieringsaktivitet</t>
        </is>
      </c>
      <c r="B100" s="17">
        <f>'pengestrom_raw_34044511'!$B$4</f>
        <v/>
      </c>
      <c r="C100" s="17">
        <f>'pengestrom_raw_34044511'!$C$4</f>
        <v/>
      </c>
      <c r="D100" s="17">
        <f>'pengestrom_raw_34044511'!$D$4</f>
        <v/>
      </c>
      <c r="E100" s="17">
        <f>'pengestrom_raw_34044511'!$E$4</f>
        <v/>
      </c>
      <c r="F100" s="17">
        <f>'pengestrom_raw_34044511'!$F$4</f>
        <v/>
      </c>
    </row>
    <row r="101">
      <c r="A101" s="16" t="inlineStr">
        <is>
          <t>Årets pengestrøm (rapporteret)</t>
        </is>
      </c>
      <c r="B101" s="17">
        <f>'pengestrom_raw_34044511'!$B$5</f>
        <v/>
      </c>
      <c r="C101" s="17">
        <f>'pengestrom_raw_34044511'!$C$5</f>
        <v/>
      </c>
      <c r="D101" s="17">
        <f>'pengestrom_raw_34044511'!$D$5</f>
        <v/>
      </c>
      <c r="E101" s="17">
        <f>'pengestrom_raw_34044511'!$E$5</f>
        <v/>
      </c>
      <c r="F101" s="17">
        <f>'pengestrom_raw_34044511'!$F$5</f>
        <v/>
      </c>
    </row>
    <row r="102">
      <c r="A102" s="16" t="inlineStr">
        <is>
          <t>Krydstjek: drift + inv. + fin. = årets pengestrøm</t>
        </is>
      </c>
      <c r="B102">
        <f>IF(ABS(('pengestrom_raw_34044511'!$B$2+'pengestrom_raw_34044511'!$B$3+'pengestrom_raw_34044511'!$B$4)-'pengestrom_raw_34044511'!$B$5)&lt;=2,"✓","⚠ "&amp;TEXT(('pengestrom_raw_34044511'!$B$2+'pengestrom_raw_34044511'!$B$3+'pengestrom_raw_34044511'!$B$4)-'pengestrom_raw_34044511'!$B$5,"+#,##0;-#,##0"))</f>
        <v/>
      </c>
      <c r="C102">
        <f>IF(ABS(('pengestrom_raw_34044511'!$C$2+'pengestrom_raw_34044511'!$C$3+'pengestrom_raw_34044511'!$C$4)-'pengestrom_raw_34044511'!$C$5)&lt;=2,"✓","⚠ "&amp;TEXT(('pengestrom_raw_34044511'!$C$2+'pengestrom_raw_34044511'!$C$3+'pengestrom_raw_34044511'!$C$4)-'pengestrom_raw_34044511'!$C$5,"+#,##0;-#,##0"))</f>
        <v/>
      </c>
      <c r="D102">
        <f>IF(ABS(('pengestrom_raw_34044511'!$D$2+'pengestrom_raw_34044511'!$D$3+'pengestrom_raw_34044511'!$D$4)-'pengestrom_raw_34044511'!$D$5)&lt;=2,"✓","⚠ "&amp;TEXT(('pengestrom_raw_34044511'!$D$2+'pengestrom_raw_34044511'!$D$3+'pengestrom_raw_34044511'!$D$4)-'pengestrom_raw_34044511'!$D$5,"+#,##0;-#,##0"))</f>
        <v/>
      </c>
      <c r="E102">
        <f>IF(ABS(('pengestrom_raw_34044511'!$E$2+'pengestrom_raw_34044511'!$E$3+'pengestrom_raw_34044511'!$E$4)-'pengestrom_raw_34044511'!$E$5)&lt;=2,"✓","⚠ "&amp;TEXT(('pengestrom_raw_34044511'!$E$2+'pengestrom_raw_34044511'!$E$3+'pengestrom_raw_34044511'!$E$4)-'pengestrom_raw_34044511'!$E$5,"+#,##0;-#,##0"))</f>
        <v/>
      </c>
      <c r="F102">
        <f>IF(ABS(('pengestrom_raw_34044511'!$F$2+'pengestrom_raw_34044511'!$F$3+'pengestrom_raw_34044511'!$F$4)-'pengestrom_raw_34044511'!$F$5)&lt;=2,"✓","⚠ "&amp;TEXT(('pengestrom_raw_34044511'!$F$2+'pengestrom_raw_34044511'!$F$3+'pengestrom_raw_34044511'!$F$4)-'pengestrom_raw_34044511'!$F$5,"+#,##0;-#,##0"))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C.C. Jensen A/S (CVR 34044511)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435675</v>
      </c>
      <c r="C2" s="17" t="n">
        <v>524442</v>
      </c>
      <c r="D2" s="17" t="n">
        <v>613482</v>
      </c>
      <c r="E2" s="17" t="n">
        <v>646214</v>
      </c>
      <c r="F2" s="17" t="n">
        <v>742569</v>
      </c>
    </row>
    <row r="3">
      <c r="A3" s="16" t="inlineStr">
        <is>
          <t>Andre driftsindtægter</t>
        </is>
      </c>
      <c r="B3" s="17" t="n">
        <v>1160</v>
      </c>
      <c r="C3" s="17" t="n">
        <v>2578</v>
      </c>
      <c r="D3" s="17" t="n">
        <v>2142</v>
      </c>
      <c r="E3" s="17" t="n">
        <v>1421</v>
      </c>
      <c r="F3" s="17" t="n">
        <v>1213</v>
      </c>
    </row>
    <row r="4">
      <c r="A4" s="16" t="inlineStr">
        <is>
          <t>Vareforbrug</t>
        </is>
      </c>
      <c r="B4" s="17" t="n">
        <v>-2846</v>
      </c>
      <c r="C4" s="17" t="n">
        <v>9011</v>
      </c>
      <c r="D4" s="17" t="n">
        <v>-18444</v>
      </c>
      <c r="E4" s="17" t="n">
        <v>-30397</v>
      </c>
      <c r="F4" s="17" t="n">
        <v>6040</v>
      </c>
    </row>
    <row r="5">
      <c r="A5" s="16" t="inlineStr">
        <is>
          <t>Andre eksterne omkostninger</t>
        </is>
      </c>
      <c r="B5" s="17" t="n">
        <v>59044</v>
      </c>
      <c r="C5" s="17" t="n">
        <v>76291</v>
      </c>
      <c r="D5" s="17" t="n">
        <v>80070</v>
      </c>
      <c r="E5" s="17" t="n">
        <v>96100</v>
      </c>
      <c r="F5" s="17" t="n">
        <v>100514</v>
      </c>
    </row>
    <row r="6">
      <c r="A6" s="15" t="inlineStr">
        <is>
          <t>Bruttoresultat</t>
        </is>
      </c>
      <c r="B6" s="17" t="n">
        <v>438821</v>
      </c>
      <c r="C6" s="17" t="n"/>
      <c r="D6" s="17" t="n"/>
      <c r="E6" s="17" t="n">
        <v>679983</v>
      </c>
      <c r="F6" s="17" t="n"/>
    </row>
    <row r="7">
      <c r="A7" s="16" t="inlineStr">
        <is>
          <t>Personaleomkostninger</t>
        </is>
      </c>
      <c r="B7" s="17" t="n">
        <v>185441</v>
      </c>
      <c r="C7" s="17" t="n">
        <v>200329</v>
      </c>
      <c r="D7" s="17" t="n">
        <v>229536</v>
      </c>
      <c r="E7" s="17" t="n">
        <v>253438</v>
      </c>
      <c r="F7" s="17" t="n">
        <v>273856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11374</v>
      </c>
      <c r="C9" s="17" t="n">
        <v>11929</v>
      </c>
      <c r="D9" s="17" t="n">
        <v>13623</v>
      </c>
      <c r="E9" s="17" t="n">
        <v>17974</v>
      </c>
      <c r="F9" s="17" t="n">
        <v>21037</v>
      </c>
    </row>
    <row r="10">
      <c r="A10" s="16" t="inlineStr">
        <is>
          <t>Andre driftsomkostninger</t>
        </is>
      </c>
      <c r="B10" s="17" t="n">
        <v>393</v>
      </c>
      <c r="C10" s="17" t="n">
        <v>394</v>
      </c>
      <c r="D10" s="17" t="n">
        <v>930</v>
      </c>
      <c r="E10" s="17" t="n">
        <v>374</v>
      </c>
      <c r="F10" s="17" t="n">
        <v>548</v>
      </c>
    </row>
    <row r="11">
      <c r="A11" s="15" t="inlineStr">
        <is>
          <t>Resultat af primær drift</t>
        </is>
      </c>
      <c r="B11" s="17" t="n">
        <v>42921</v>
      </c>
      <c r="C11" s="17" t="n">
        <v>57606</v>
      </c>
      <c r="D11" s="17" t="n">
        <v>82208</v>
      </c>
      <c r="E11" s="17" t="n">
        <v>62720</v>
      </c>
      <c r="F11" s="17" t="n">
        <v>88203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4404</v>
      </c>
      <c r="C13" s="17" t="n">
        <v>963</v>
      </c>
      <c r="D13" s="17" t="n">
        <v>1442</v>
      </c>
      <c r="E13" s="17" t="n">
        <v>5171</v>
      </c>
      <c r="F13" s="17" t="n">
        <v>5626</v>
      </c>
    </row>
    <row r="14">
      <c r="A14" s="16" t="inlineStr">
        <is>
          <t>Finansielle omkostninger</t>
        </is>
      </c>
      <c r="B14" s="17" t="n">
        <v>6034</v>
      </c>
      <c r="C14" s="17" t="n">
        <v>7126</v>
      </c>
      <c r="D14" s="17" t="n">
        <v>9825</v>
      </c>
      <c r="E14" s="17" t="n">
        <v>14148</v>
      </c>
      <c r="F14" s="17" t="n">
        <v>11331</v>
      </c>
    </row>
    <row r="15">
      <c r="A15" s="15" t="inlineStr">
        <is>
          <t>Finansielle poster, netto</t>
        </is>
      </c>
      <c r="B15" s="17" t="n">
        <v>-1630</v>
      </c>
      <c r="C15" s="17" t="n">
        <v>-6163</v>
      </c>
      <c r="D15" s="17" t="n">
        <v>-8383</v>
      </c>
      <c r="E15" s="17" t="n">
        <v>-8977</v>
      </c>
      <c r="F15" s="17" t="n"/>
    </row>
    <row r="16">
      <c r="A16" s="15" t="inlineStr">
        <is>
          <t>Resultat før skat</t>
        </is>
      </c>
      <c r="B16" s="17" t="n">
        <v>47195</v>
      </c>
      <c r="C16" s="17" t="n">
        <v>58006</v>
      </c>
      <c r="D16" s="17" t="n">
        <v>81790</v>
      </c>
      <c r="E16" s="17" t="n">
        <v>63436</v>
      </c>
      <c r="F16" s="17" t="n">
        <v>92203</v>
      </c>
    </row>
    <row r="17">
      <c r="A17" s="16" t="inlineStr">
        <is>
          <t>Skat af årets resultat</t>
        </is>
      </c>
      <c r="B17" s="17" t="n">
        <v>9549</v>
      </c>
      <c r="C17" s="17" t="n">
        <v>9108</v>
      </c>
      <c r="D17" s="17" t="n">
        <v>18162</v>
      </c>
      <c r="E17" s="17" t="n">
        <v>12082</v>
      </c>
      <c r="F17" s="17" t="n">
        <v>18145</v>
      </c>
    </row>
    <row r="18">
      <c r="A18" s="15" t="inlineStr">
        <is>
          <t>Årets resultat</t>
        </is>
      </c>
      <c r="B18" s="17" t="n">
        <v>37646</v>
      </c>
      <c r="C18" s="17" t="n">
        <v>48898</v>
      </c>
      <c r="D18" s="17" t="n">
        <v>63628</v>
      </c>
      <c r="E18" s="17" t="n">
        <v>51354</v>
      </c>
      <c r="F18" s="17" t="n">
        <v>74058</v>
      </c>
    </row>
    <row r="19">
      <c r="A19" s="16" t="inlineStr">
        <is>
          <t>Gns. antal medarbejdere</t>
        </is>
      </c>
      <c r="B19" s="17" t="n">
        <v>283</v>
      </c>
      <c r="C19" s="17" t="n">
        <v>291</v>
      </c>
      <c r="D19" s="17" t="n">
        <v>325</v>
      </c>
      <c r="E19" s="17" t="n">
        <v>365</v>
      </c>
      <c r="F19" s="17" t="n">
        <v>377</v>
      </c>
    </row>
    <row r="20">
      <c r="A20" s="16" t="inlineStr">
        <is>
          <t>Investering i materielle anlægsaktiver</t>
        </is>
      </c>
      <c r="B20" s="17" t="n">
        <v>-26189</v>
      </c>
      <c r="C20" s="17" t="n">
        <v>-47859</v>
      </c>
      <c r="D20" s="17" t="n">
        <v>-69813</v>
      </c>
      <c r="E20" s="17" t="n">
        <v>-32450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C.C. Jensen A/S (CVR 34044511)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58301</v>
      </c>
      <c r="C2" s="17" t="n">
        <v>58524</v>
      </c>
      <c r="D2" s="17" t="n">
        <v>69285</v>
      </c>
      <c r="E2" s="17" t="n">
        <v>98308</v>
      </c>
      <c r="F2" s="17" t="n">
        <v>97895</v>
      </c>
    </row>
    <row r="3">
      <c r="A3" s="16" t="inlineStr">
        <is>
          <t>Produktionsanlæg og maskiner</t>
        </is>
      </c>
      <c r="B3" s="17" t="n">
        <v>16344</v>
      </c>
      <c r="C3" s="17" t="n">
        <v>32140</v>
      </c>
      <c r="D3" s="17" t="n">
        <v>58260</v>
      </c>
      <c r="E3" s="17" t="n">
        <v>60855</v>
      </c>
      <c r="F3" s="17" t="n">
        <v>59270</v>
      </c>
    </row>
    <row r="4">
      <c r="A4" s="16" t="inlineStr">
        <is>
          <t>Driftsmateriel og inventar</t>
        </is>
      </c>
      <c r="B4" s="17" t="n">
        <v>25417</v>
      </c>
      <c r="C4" s="17" t="n">
        <v>25071</v>
      </c>
      <c r="D4" s="17" t="n">
        <v>24889</v>
      </c>
      <c r="E4" s="17" t="n">
        <v>26350</v>
      </c>
      <c r="F4" s="17" t="n">
        <v>22554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19744</v>
      </c>
      <c r="C6" s="17" t="n">
        <v>36345</v>
      </c>
      <c r="D6" s="17" t="n">
        <v>43572</v>
      </c>
      <c r="E6" s="17" t="n">
        <v>24432</v>
      </c>
      <c r="F6" s="17" t="n">
        <v>39691</v>
      </c>
    </row>
    <row r="7">
      <c r="A7" s="15" t="inlineStr">
        <is>
          <t>Materielle anlægsaktiver</t>
        </is>
      </c>
      <c r="B7" s="17" t="n">
        <v>119806</v>
      </c>
      <c r="C7" s="17" t="n">
        <v>152080</v>
      </c>
      <c r="D7" s="17" t="n">
        <v>196006</v>
      </c>
      <c r="E7" s="17" t="n">
        <v>209945</v>
      </c>
      <c r="F7" s="17" t="n">
        <v>219410</v>
      </c>
    </row>
    <row r="8">
      <c r="A8" s="16" t="inlineStr">
        <is>
          <t>Kapitalandele, dattervirksomheder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</row>
    <row r="9">
      <c r="A9" s="16" t="inlineStr">
        <is>
          <t>Deposita</t>
        </is>
      </c>
      <c r="B9" s="17" t="n">
        <v>969</v>
      </c>
      <c r="C9" s="17" t="n">
        <v>1632</v>
      </c>
      <c r="D9" s="17" t="n">
        <v>5964</v>
      </c>
      <c r="E9" s="17" t="n">
        <v>6181</v>
      </c>
      <c r="F9" s="17" t="n">
        <v>3159</v>
      </c>
    </row>
    <row r="10">
      <c r="A10" s="15" t="inlineStr">
        <is>
          <t>Finansielle anlægsaktiver</t>
        </is>
      </c>
      <c r="B10" s="17" t="n">
        <v>33148</v>
      </c>
      <c r="C10" s="17" t="n">
        <v>35195</v>
      </c>
      <c r="D10" s="17" t="n">
        <v>39835</v>
      </c>
      <c r="E10" s="17" t="n">
        <v>38760</v>
      </c>
      <c r="F10" s="17" t="n">
        <v>48337</v>
      </c>
    </row>
    <row r="11">
      <c r="A11" s="15" t="inlineStr">
        <is>
          <t>Anlægsaktiver</t>
        </is>
      </c>
      <c r="B11" s="17" t="n">
        <v>152954</v>
      </c>
      <c r="C11" s="17" t="n">
        <v>187275</v>
      </c>
      <c r="D11" s="17" t="n">
        <v>235841</v>
      </c>
      <c r="E11" s="17" t="n">
        <v>248705</v>
      </c>
      <c r="F11" s="17" t="n">
        <v>267747</v>
      </c>
    </row>
    <row r="12">
      <c r="A12" s="16" t="inlineStr">
        <is>
          <t>Råvarer og hjælpematerialer</t>
        </is>
      </c>
      <c r="B12" s="17" t="n">
        <v>43354</v>
      </c>
      <c r="C12" s="17" t="n">
        <v>68622</v>
      </c>
      <c r="D12" s="17" t="n">
        <v>69693</v>
      </c>
      <c r="E12" s="17" t="n">
        <v>59677</v>
      </c>
      <c r="F12" s="17" t="n">
        <v>60032</v>
      </c>
    </row>
    <row r="13">
      <c r="A13" s="16" t="inlineStr">
        <is>
          <t>Varer under fremstilling</t>
        </is>
      </c>
      <c r="B13" s="17" t="n">
        <v>1189</v>
      </c>
      <c r="C13" s="17" t="n">
        <v>1639</v>
      </c>
      <c r="D13" s="17" t="n">
        <v>3313</v>
      </c>
      <c r="E13" s="17" t="n">
        <v>2690</v>
      </c>
      <c r="F13" s="17" t="n">
        <v>4395</v>
      </c>
    </row>
    <row r="14">
      <c r="A14" s="16" t="inlineStr">
        <is>
          <t>Færdigvarer og handelsvarer</t>
        </is>
      </c>
      <c r="B14" s="17" t="n">
        <v>51121</v>
      </c>
      <c r="C14" s="17" t="n">
        <v>41660</v>
      </c>
      <c r="D14" s="17" t="n">
        <v>58431</v>
      </c>
      <c r="E14" s="17" t="n">
        <v>89451</v>
      </c>
      <c r="F14" s="17" t="n">
        <v>81707</v>
      </c>
    </row>
    <row r="15">
      <c r="A15" s="15" t="inlineStr">
        <is>
          <t>Varebeholdninger</t>
        </is>
      </c>
      <c r="B15" s="17" t="n">
        <v>95664</v>
      </c>
      <c r="C15" s="17" t="n">
        <v>111921</v>
      </c>
      <c r="D15" s="17" t="n">
        <v>131437</v>
      </c>
      <c r="E15" s="17" t="n">
        <v>151818</v>
      </c>
      <c r="F15" s="17" t="n">
        <v>146361</v>
      </c>
    </row>
    <row r="16">
      <c r="A16" s="16" t="inlineStr">
        <is>
          <t>Tilgodehavender fra salg og tjenesteydelser</t>
        </is>
      </c>
      <c r="B16" s="17" t="n">
        <v>70276</v>
      </c>
      <c r="C16" s="17" t="n">
        <v>103121</v>
      </c>
      <c r="D16" s="17" t="n">
        <v>104250</v>
      </c>
      <c r="E16" s="17" t="n">
        <v>107993</v>
      </c>
      <c r="F16" s="17" t="n">
        <v>115321</v>
      </c>
    </row>
    <row r="17">
      <c r="A17" s="16" t="inlineStr">
        <is>
          <t>Tilgodehavender hos tilknyttede virksomheder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</row>
    <row r="18">
      <c r="A18" s="16" t="inlineStr">
        <is>
          <t>Andre tilgodehavender</t>
        </is>
      </c>
      <c r="B18" s="17" t="n">
        <v>36009</v>
      </c>
      <c r="C18" s="17" t="n">
        <v>6497</v>
      </c>
      <c r="D18" s="17" t="n">
        <v>18186</v>
      </c>
      <c r="E18" s="17" t="n">
        <v>7922</v>
      </c>
      <c r="F18" s="17" t="n">
        <v>11461</v>
      </c>
    </row>
    <row r="19">
      <c r="A19" s="16" t="inlineStr">
        <is>
          <t>Periodeafgrænsningsposter (aktiver)</t>
        </is>
      </c>
      <c r="B19" s="17" t="n">
        <v>2655</v>
      </c>
      <c r="C19" s="17" t="n">
        <v>3854</v>
      </c>
      <c r="D19" s="17" t="n">
        <v>3737</v>
      </c>
      <c r="E19" s="17" t="n">
        <v>3712</v>
      </c>
      <c r="F19" s="17" t="n">
        <v>802</v>
      </c>
    </row>
    <row r="20">
      <c r="A20" s="16" t="inlineStr">
        <is>
          <t>Udskudt skatteaktiv</t>
        </is>
      </c>
      <c r="B20" s="17" t="n">
        <v>496</v>
      </c>
      <c r="C20" s="17" t="n">
        <v>1290</v>
      </c>
      <c r="D20" s="17" t="n">
        <v>228</v>
      </c>
      <c r="E20" s="17" t="n">
        <v>1090</v>
      </c>
      <c r="F20" s="17" t="n">
        <v>936</v>
      </c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>
        <v>22</v>
      </c>
      <c r="C22" s="17" t="n">
        <v>183</v>
      </c>
      <c r="D22" s="17" t="n">
        <v>67</v>
      </c>
      <c r="E22" s="17" t="n">
        <v>5208</v>
      </c>
      <c r="F22" s="17" t="n">
        <v>5658</v>
      </c>
    </row>
    <row r="23">
      <c r="A23" s="15" t="inlineStr">
        <is>
          <t>Tilgodehavender</t>
        </is>
      </c>
      <c r="B23" s="17" t="n">
        <v>111538</v>
      </c>
      <c r="C23" s="17" t="n">
        <v>118139</v>
      </c>
      <c r="D23" s="17" t="n">
        <v>130361</v>
      </c>
      <c r="E23" s="17" t="n">
        <v>127303</v>
      </c>
      <c r="F23" s="17" t="n">
        <v>136467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20541</v>
      </c>
      <c r="C25" s="17" t="n">
        <v>18122</v>
      </c>
      <c r="D25" s="17" t="n">
        <v>28047</v>
      </c>
      <c r="E25" s="17" t="n">
        <v>41909</v>
      </c>
      <c r="F25" s="17" t="n">
        <v>80086</v>
      </c>
    </row>
    <row r="26">
      <c r="A26" s="15" t="inlineStr">
        <is>
          <t>Omsætningsaktiver</t>
        </is>
      </c>
      <c r="B26" s="17" t="n">
        <v>227743</v>
      </c>
      <c r="C26" s="17" t="n">
        <v>248182</v>
      </c>
      <c r="D26" s="17" t="n">
        <v>289845</v>
      </c>
      <c r="E26" s="17" t="n">
        <v>321030</v>
      </c>
      <c r="F26" s="17" t="n">
        <v>362914</v>
      </c>
    </row>
    <row r="27">
      <c r="A27" s="15" t="inlineStr">
        <is>
          <t>Aktiver</t>
        </is>
      </c>
      <c r="B27" s="17" t="n">
        <v>380697</v>
      </c>
      <c r="C27" s="17" t="n">
        <v>435457</v>
      </c>
      <c r="D27" s="17" t="n">
        <v>525686</v>
      </c>
      <c r="E27" s="17" t="n">
        <v>569735</v>
      </c>
      <c r="F27" s="17" t="n">
        <v>630661</v>
      </c>
    </row>
    <row r="28">
      <c r="A28" s="16" t="inlineStr">
        <is>
          <t>Selskabskapital</t>
        </is>
      </c>
      <c r="B28" s="17" t="n">
        <v>16000</v>
      </c>
      <c r="C28" s="17" t="n">
        <v>16000</v>
      </c>
      <c r="D28" s="17" t="n">
        <v>16000</v>
      </c>
      <c r="E28" s="17" t="n">
        <v>16000</v>
      </c>
      <c r="F28" s="17" t="n">
        <v>16000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>
        <v>-959</v>
      </c>
      <c r="C32" s="17" t="n">
        <v>-1226</v>
      </c>
      <c r="D32" s="17" t="n">
        <v>-481</v>
      </c>
      <c r="E32" s="17" t="n">
        <v>-2400</v>
      </c>
      <c r="F32" s="17" t="n">
        <v>-3129</v>
      </c>
    </row>
    <row r="33">
      <c r="A33" s="16" t="inlineStr">
        <is>
          <t>Overført resultat</t>
        </is>
      </c>
      <c r="B33" s="17" t="n">
        <v>203265</v>
      </c>
      <c r="C33" s="17" t="n">
        <v>232109</v>
      </c>
      <c r="D33" s="17" t="n">
        <v>275844</v>
      </c>
      <c r="E33" s="17" t="n">
        <v>307446</v>
      </c>
      <c r="F33" s="17" t="n">
        <v>361393</v>
      </c>
    </row>
    <row r="34">
      <c r="A34" s="15" t="inlineStr">
        <is>
          <t>Egenkapital i alt</t>
        </is>
      </c>
      <c r="B34" s="17" t="n">
        <v>240199</v>
      </c>
      <c r="C34" s="17" t="n">
        <v>268839</v>
      </c>
      <c r="D34" s="17" t="n">
        <v>312085</v>
      </c>
      <c r="E34" s="17" t="n">
        <v>312577</v>
      </c>
      <c r="F34" s="17" t="n">
        <v>394787</v>
      </c>
    </row>
    <row r="35">
      <c r="A35" s="16" t="inlineStr">
        <is>
          <t>Hensættelse til udskudt skat</t>
        </is>
      </c>
      <c r="B35" s="17" t="n">
        <v>8261</v>
      </c>
      <c r="C35" s="17" t="n">
        <v>8760</v>
      </c>
      <c r="D35" s="17" t="n">
        <v>10703</v>
      </c>
      <c r="E35" s="17" t="n">
        <v>13196</v>
      </c>
      <c r="F35" s="17" t="n">
        <v>11371</v>
      </c>
    </row>
    <row r="36">
      <c r="A36" s="15" t="inlineStr">
        <is>
          <t>Hensatte forpligtelser</t>
        </is>
      </c>
      <c r="B36" s="17" t="n">
        <v>762</v>
      </c>
      <c r="C36" s="17" t="n">
        <v>915</v>
      </c>
      <c r="D36" s="17" t="n">
        <v>1020</v>
      </c>
      <c r="E36" s="17" t="n">
        <v>1111</v>
      </c>
      <c r="F36" s="17" t="n">
        <v>2036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24159</v>
      </c>
      <c r="C38" s="17" t="n">
        <v>22919</v>
      </c>
      <c r="D38" s="17" t="n">
        <v>32459</v>
      </c>
      <c r="E38" s="17" t="n">
        <v>30694</v>
      </c>
      <c r="F38" s="17" t="n">
        <v>28892</v>
      </c>
    </row>
    <row r="39">
      <c r="A39" s="16" t="inlineStr">
        <is>
          <t>Leasingforpligtelser (langfristet)</t>
        </is>
      </c>
      <c r="B39" s="17" t="n">
        <v>28</v>
      </c>
      <c r="C39" s="17" t="n">
        <v>0</v>
      </c>
      <c r="D39" s="17" t="n">
        <v>7848</v>
      </c>
      <c r="E39" s="17" t="n">
        <v>10637</v>
      </c>
      <c r="F39" s="17" t="n">
        <v>7341</v>
      </c>
    </row>
    <row r="40">
      <c r="A40" s="16" t="inlineStr">
        <is>
          <t>Anden gæld (langfristet)</t>
        </is>
      </c>
      <c r="B40" s="17" t="n">
        <v>10896</v>
      </c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44562</v>
      </c>
      <c r="C41" s="17" t="n">
        <v>43004</v>
      </c>
      <c r="D41" s="17" t="n">
        <v>62146</v>
      </c>
      <c r="E41" s="17" t="n">
        <v>65857</v>
      </c>
      <c r="F41" s="17" t="n">
        <v>59657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2759</v>
      </c>
      <c r="C43" s="17" t="n">
        <v>2443</v>
      </c>
      <c r="D43" s="17" t="n">
        <v>3890</v>
      </c>
      <c r="E43" s="17" t="n">
        <v>4440</v>
      </c>
      <c r="F43" s="17" t="n">
        <v>5295</v>
      </c>
    </row>
    <row r="44">
      <c r="A44" s="16" t="inlineStr">
        <is>
          <t>Kreditinstitutter</t>
        </is>
      </c>
      <c r="B44" s="17" t="n">
        <v>0</v>
      </c>
      <c r="C44" s="17" t="n"/>
      <c r="D44" s="17" t="n"/>
      <c r="E44" s="17" t="n"/>
      <c r="F44" s="17" t="n"/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29646</v>
      </c>
      <c r="C46" s="17" t="n">
        <v>39261</v>
      </c>
      <c r="D46" s="17" t="n">
        <v>50131</v>
      </c>
      <c r="E46" s="17" t="n">
        <v>46074</v>
      </c>
      <c r="F46" s="17" t="n">
        <v>46044</v>
      </c>
    </row>
    <row r="47">
      <c r="A47" s="16" t="inlineStr">
        <is>
          <t>Gæld til tilknyttede virksomheder</t>
        </is>
      </c>
      <c r="B47" s="17" t="n">
        <v>28455</v>
      </c>
      <c r="C47" s="17" t="n">
        <v>40817</v>
      </c>
      <c r="D47" s="17" t="n">
        <v>53153</v>
      </c>
      <c r="E47" s="17" t="n">
        <v>67068</v>
      </c>
      <c r="F47" s="17" t="n">
        <v>76257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>
        <v>1407</v>
      </c>
      <c r="C49" s="17" t="n">
        <v>5579</v>
      </c>
      <c r="D49" s="17" t="n">
        <v>1563</v>
      </c>
      <c r="E49" s="17" t="n">
        <v>2189</v>
      </c>
      <c r="F49" s="17" t="n">
        <v>3859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29611</v>
      </c>
      <c r="C51" s="17" t="n">
        <v>29204</v>
      </c>
      <c r="D51" s="17" t="n">
        <v>36174</v>
      </c>
      <c r="E51" s="17" t="n">
        <v>31819</v>
      </c>
      <c r="F51" s="17" t="n">
        <v>34686</v>
      </c>
    </row>
    <row r="52">
      <c r="A52" s="16" t="inlineStr">
        <is>
          <t>Periodeafgrænsningsposter (passiver)</t>
        </is>
      </c>
      <c r="B52" s="17" t="n">
        <v>0</v>
      </c>
      <c r="C52" s="17" t="n">
        <v>6310</v>
      </c>
      <c r="D52" s="17" t="n">
        <v>6544</v>
      </c>
      <c r="E52" s="17" t="n">
        <v>10750</v>
      </c>
      <c r="F52" s="17" t="n">
        <v>10076</v>
      </c>
    </row>
    <row r="53">
      <c r="A53" s="15" t="inlineStr">
        <is>
          <t>Kortfristede gældsforpligtelser</t>
        </is>
      </c>
      <c r="B53" s="17" t="n">
        <v>95936</v>
      </c>
      <c r="C53" s="17" t="n">
        <v>123614</v>
      </c>
      <c r="D53" s="17" t="n">
        <v>151455</v>
      </c>
      <c r="E53" s="17" t="n">
        <v>162340</v>
      </c>
      <c r="F53" s="17" t="n">
        <v>176217</v>
      </c>
    </row>
    <row r="54">
      <c r="A54" s="15" t="inlineStr">
        <is>
          <t>Gældsforpligtelser</t>
        </is>
      </c>
      <c r="B54" s="17" t="n">
        <v>140498</v>
      </c>
      <c r="C54" s="17" t="n">
        <v>166618</v>
      </c>
      <c r="D54" s="17" t="n">
        <v>213601</v>
      </c>
      <c r="E54" s="17" t="n">
        <v>228197</v>
      </c>
      <c r="F54" s="17" t="n">
        <v>235874</v>
      </c>
    </row>
    <row r="55">
      <c r="A55" s="15" t="inlineStr">
        <is>
          <t>Passiver</t>
        </is>
      </c>
      <c r="B55" s="17" t="n">
        <v>380697</v>
      </c>
      <c r="C55" s="17" t="n">
        <v>435457</v>
      </c>
      <c r="D55" s="17" t="n">
        <v>525686</v>
      </c>
      <c r="E55" s="17" t="n">
        <v>569735</v>
      </c>
      <c r="F55" s="17" t="n">
        <v>630661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C.C. Jensen A/S (CVR 34044511)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35264</v>
      </c>
      <c r="C2" s="17" t="n">
        <v>62047</v>
      </c>
      <c r="D2" s="17" t="n">
        <v>69407</v>
      </c>
      <c r="E2" s="17" t="n">
        <v>58625</v>
      </c>
      <c r="F2" s="17" t="n">
        <v>90559</v>
      </c>
    </row>
    <row r="3">
      <c r="A3" s="16" t="inlineStr">
        <is>
          <t>Pengestrømme fra investeringsaktivitet</t>
        </is>
      </c>
      <c r="B3" s="17" t="n">
        <v>-27078</v>
      </c>
      <c r="C3" s="17" t="n">
        <v>-46986</v>
      </c>
      <c r="D3" s="17" t="n">
        <v>-65053</v>
      </c>
      <c r="E3" s="17" t="n">
        <v>-36223</v>
      </c>
      <c r="F3" s="17" t="n">
        <v>-35648</v>
      </c>
    </row>
    <row r="4">
      <c r="A4" s="16" t="inlineStr">
        <is>
          <t>Pengestrømme fra finansieringsaktivitet</t>
        </is>
      </c>
      <c r="B4" s="17" t="n">
        <v>-16175</v>
      </c>
      <c r="C4" s="17" t="n">
        <v>-17030</v>
      </c>
      <c r="D4" s="17" t="n">
        <v>5855</v>
      </c>
      <c r="E4" s="17" t="n">
        <v>-9583</v>
      </c>
      <c r="F4" s="17" t="n">
        <v>-15740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C.C. Jensen A/S (CVR 34044511) — Regnskabs- og nøgletal (CVR: 34044511)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'res_raw_34044511'!$F$2</f>
        <v/>
      </c>
      <c r="C5" s="24">
        <f>'res_raw_34044511'!$E$2</f>
        <v/>
      </c>
      <c r="D5" s="24">
        <f>'res_raw_34044511'!$D$2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'res_raw_34044511'!$F$3</f>
        <v/>
      </c>
      <c r="C6" s="24">
        <f>'res_raw_34044511'!$E$3</f>
        <v/>
      </c>
      <c r="D6" s="24">
        <f>'res_raw_34044511'!$D$3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-'res_raw_34044511'!$F$4</f>
        <v/>
      </c>
      <c r="C7" s="24">
        <f>-'res_raw_34044511'!$E$4</f>
        <v/>
      </c>
      <c r="D7" s="24">
        <f>-'res_raw_34044511'!$D$4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-'res_raw_34044511'!$F$5</f>
        <v/>
      </c>
      <c r="C8" s="24">
        <f>-'res_raw_34044511'!$E$5</f>
        <v/>
      </c>
      <c r="D8" s="24">
        <f>-'res_raw_34044511'!$D$5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-'res_raw_34044511'!$F$7</f>
        <v/>
      </c>
      <c r="C10" s="24">
        <f>-'res_raw_34044511'!$E$7</f>
        <v/>
      </c>
      <c r="D10" s="24">
        <f>-'res_raw_34044511'!$D$7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-'res_raw_34044511'!$F$9</f>
        <v/>
      </c>
      <c r="C11" s="24">
        <f>-'res_raw_34044511'!$E$9</f>
        <v/>
      </c>
      <c r="D11" s="24">
        <f>-'res_raw_34044511'!$D$9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-'res_raw_34044511'!$F$10</f>
        <v/>
      </c>
      <c r="C12" s="24">
        <f>-'res_raw_34044511'!$E$10</f>
        <v/>
      </c>
      <c r="D12" s="24">
        <f>-'res_raw_34044511'!$D$10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N('res_raw_34044511'!$F$12)+N('res_raw_34044511'!$F$13)</f>
        <v/>
      </c>
      <c r="C14" s="24">
        <f>N('res_raw_34044511'!$E$12)+N('res_raw_34044511'!$E$13)</f>
        <v/>
      </c>
      <c r="D14" s="24">
        <f>N('res_raw_34044511'!$D$12)+N('res_raw_34044511'!$D$13)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-'res_raw_34044511'!$F$14</f>
        <v/>
      </c>
      <c r="C15" s="24">
        <f>-'res_raw_34044511'!$E$14</f>
        <v/>
      </c>
      <c r="D15" s="24">
        <f>-'res_raw_34044511'!$D$14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'balance_raw_34044511'!$F$11</f>
        <v/>
      </c>
      <c r="C19" s="24">
        <f>'balance_raw_34044511'!$E$11</f>
        <v/>
      </c>
      <c r="D19" s="24">
        <f>'balance_raw_34044511'!$D$11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'balance_raw_34044511'!$F$26</f>
        <v/>
      </c>
      <c r="C20" s="24">
        <f>'balance_raw_34044511'!$E$26</f>
        <v/>
      </c>
      <c r="D20" s="24">
        <f>'balance_raw_34044511'!$D$26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'balance_raw_34044511'!$F$34</f>
        <v/>
      </c>
      <c r="C23" s="24">
        <f>'balance_raw_34044511'!$E$34</f>
        <v/>
      </c>
      <c r="D23" s="24">
        <f>'balance_raw_34044511'!$D$34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'balance_raw_34044511'!$F$55-'balance_raw_34044511'!$F$34</f>
        <v/>
      </c>
      <c r="C24" s="24">
        <f>'balance_raw_34044511'!$E$55-'balance_raw_34044511'!$E$34</f>
        <v/>
      </c>
      <c r="D24" s="24">
        <f>'balance_raw_34044511'!$D$55-'balance_raw_34044511'!$D$34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'balance_raw_34044511'!$F$15</f>
        <v/>
      </c>
      <c r="C28" s="24">
        <f>'balance_raw_34044511'!$E$15</f>
        <v/>
      </c>
      <c r="D28" s="24">
        <f>'balance_raw_34044511'!$D$15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'balance_raw_34044511'!$F$16</f>
        <v/>
      </c>
      <c r="C29" s="24">
        <f>'balance_raw_34044511'!$E$16</f>
        <v/>
      </c>
      <c r="D29" s="24">
        <f>'balance_raw_34044511'!$D$16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'balance_raw_34044511'!$F$53</f>
        <v/>
      </c>
      <c r="C30" s="24">
        <f>'balance_raw_34044511'!$E$53</f>
        <v/>
      </c>
      <c r="D30" s="24">
        <f>'balance_raw_34044511'!$D$53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IF('balance_raw_34044511'!$F$27="","—",IF(ABS(B21-'balance_raw_34044511'!$F$27)&lt;=1,"✓ OK","❌ "&amp;TEXT(B21-'balance_raw_34044511'!$F$27,"+#,##0;-#,##0")&amp;" t.kr."))</f>
        <v/>
      </c>
      <c r="C61" s="29">
        <f>IF('balance_raw_34044511'!$E$27="","—",IF(ABS(C21-'balance_raw_34044511'!$E$27)&lt;=1,"✓ OK","❌ "&amp;TEXT(C21-'balance_raw_34044511'!$E$27,"+#,##0;-#,##0")&amp;" t.kr."))</f>
        <v/>
      </c>
      <c r="D61" s="29">
        <f>IF('balance_raw_34044511'!$D$27="","—",IF(ABS(D21-'balance_raw_34044511'!$D$27)&lt;=1,"✓ OK","❌ "&amp;TEXT(D21-'balance_raw_34044511'!$D$27,"+#,##0;-#,##0")&amp;"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IF('balance_raw_34044511'!$F$55="","—",IF(ABS(B25-'balance_raw_34044511'!$F$55)&lt;=1,"✓ OK","❌ "&amp;TEXT(B25-'balance_raw_34044511'!$F$55,"+#,##0;-#,##0")&amp;" t.kr."))</f>
        <v/>
      </c>
      <c r="C62" s="29">
        <f>IF('balance_raw_34044511'!$E$55="","—",IF(ABS(C25-'balance_raw_34044511'!$E$55)&lt;=1,"✓ OK","❌ "&amp;TEXT(C25-'balance_raw_34044511'!$E$55,"+#,##0;-#,##0")&amp;" t.kr."))</f>
        <v/>
      </c>
      <c r="D62" s="29">
        <f>IF('balance_raw_34044511'!$D$55="","—",IF(ABS(D25-'balance_raw_34044511'!$D$55)&lt;=1,"✓ OK","❌ "&amp;TEXT(D25-'balance_raw_34044511'!$D$55,"+#,##0;-#,##0")&amp;"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IF('res_raw_34044511'!$F$6="","—",IF(ABS(B9-'res_raw_34044511'!$F$6)&lt;=1,"✓ OK","❌ "&amp;TEXT(B9-'res_raw_34044511'!$F$6,"+#,##0;-#,##0")&amp;" t.kr."))</f>
        <v/>
      </c>
      <c r="C64" s="29">
        <f>IF('res_raw_34044511'!$E$6="","—",IF(ABS(C9-'res_raw_34044511'!$E$6)&lt;=1,"✓ OK","❌ "&amp;TEXT(C9-'res_raw_34044511'!$E$6,"+#,##0;-#,##0")&amp;" t.kr."))</f>
        <v/>
      </c>
      <c r="D64" s="29">
        <f>IF('res_raw_34044511'!$D$6="","—",IF(ABS(D9-'res_raw_34044511'!$D$6)&lt;=1,"✓ OK","❌ "&amp;TEXT(D9-'res_raw_34044511'!$D$6,"+#,##0;-#,##0")&amp;"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IF('res_raw_34044511'!$F$11="","—",IF(ABS(B13-'res_raw_34044511'!$F$11)&lt;=1,"✓ OK","❌ "&amp;TEXT(B13-'res_raw_34044511'!$F$11,"+#,##0;-#,##0")&amp;" t.kr."))</f>
        <v/>
      </c>
      <c r="C65" s="29">
        <f>IF('res_raw_34044511'!$E$11="","—",IF(ABS(C13-'res_raw_34044511'!$E$11)&lt;=1,"✓ OK","❌ "&amp;TEXT(C13-'res_raw_34044511'!$E$11,"+#,##0;-#,##0")&amp;" t.kr."))</f>
        <v/>
      </c>
      <c r="D65" s="29">
        <f>IF('res_raw_34044511'!$D$11="","—",IF(ABS(D13-'res_raw_34044511'!$D$11)&lt;=1,"✓ OK","❌ "&amp;TEXT(D13-'res_raw_34044511'!$D$11,"+#,##0;-#,##0")&amp;"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IF('res_raw_34044511'!$F$16="","—",IF(ABS(B16-'res_raw_34044511'!$F$16)&lt;=1,"✓ OK","❌ "&amp;TEXT(B16-'res_raw_34044511'!$F$16,"+#,##0;-#,##0")&amp;" t.kr."))</f>
        <v/>
      </c>
      <c r="C66" s="29">
        <f>IF('res_raw_34044511'!$E$16="","—",IF(ABS(C16-'res_raw_34044511'!$E$16)&lt;=1,"✓ OK","❌ "&amp;TEXT(C16-'res_raw_34044511'!$E$16,"+#,##0;-#,##0")&amp;" t.kr."))</f>
        <v/>
      </c>
      <c r="D66" s="29">
        <f>IF('res_raw_34044511'!$D$16="","—",IF(ABS(D16-'res_raw_34044511'!$D$16)&lt;=1,"✓ OK","❌ "&amp;TEXT(D16-'res_raw_34044511'!$D$16,"+#,##0;-#,##0")&amp;"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C.C. Jensen A/S (CVR 34044511)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fsa:CostsCashFlow</t>
        </is>
      </c>
      <c r="C3" s="34" t="inlineStr">
        <is>
          <t>fsa:CostsCashFlow</t>
        </is>
      </c>
      <c r="D3" s="35" t="n"/>
      <c r="E3" s="35" t="n">
        <v>-76291</v>
      </c>
      <c r="F3" s="35" t="n">
        <v>-80070</v>
      </c>
      <c r="G3" s="35" t="n">
        <v>-96100</v>
      </c>
      <c r="H3" s="35" t="n">
        <v>-100514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fsa:FeesForAuditorsPerformingOtherAssuranceReports</t>
        </is>
      </c>
      <c r="C4" s="37" t="inlineStr">
        <is>
          <t>fsa:FeesForAuditorsPerformingOtherAssuranceReports</t>
        </is>
      </c>
      <c r="D4" s="38" t="n">
        <v>21</v>
      </c>
      <c r="E4" s="38" t="n">
        <v>0</v>
      </c>
      <c r="F4" s="38" t="n">
        <v>0</v>
      </c>
      <c r="G4" s="38" t="n">
        <v>8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fsa:IncomeFromInvestmentsInParticipatingInterests</t>
        </is>
      </c>
      <c r="C5" s="34" t="inlineStr">
        <is>
          <t>fsa:IncomeFromInvestmentsInParticipatingInterests</t>
        </is>
      </c>
      <c r="D5" s="35" t="n">
        <v>5904</v>
      </c>
      <c r="E5" s="35" t="n">
        <v>6563</v>
      </c>
      <c r="F5" s="35" t="n">
        <v>7965</v>
      </c>
      <c r="G5" s="35" t="n">
        <v>9693</v>
      </c>
      <c r="H5" s="35" t="n">
        <v>9705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fsa:IncreaseDecreaseOfEquityThroughChangesInAccountingPolicies</t>
        </is>
      </c>
      <c r="C6" s="37" t="inlineStr">
        <is>
          <t>fsa:IncreaseDecreaseOfEquityThroughChangesInAccountingPolicies</t>
        </is>
      </c>
      <c r="D6" s="38" t="n">
        <v>-61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fsa:InterestExpenseToParticipatingInterests</t>
        </is>
      </c>
      <c r="C7" s="34" t="inlineStr">
        <is>
          <t>fsa:InterestExpenseToParticipatingInterests</t>
        </is>
      </c>
      <c r="D7" s="35" t="n">
        <v>19</v>
      </c>
      <c r="E7" s="35" t="n">
        <v>4</v>
      </c>
      <c r="F7" s="35" t="n">
        <v>0</v>
      </c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fsa:InterestIncomeFromParticipatingInterests</t>
        </is>
      </c>
      <c r="C8" s="37" t="inlineStr">
        <is>
          <t>fsa:InterestIncomeFromParticipatingInterests</t>
        </is>
      </c>
      <c r="D8" s="38" t="n">
        <v>415</v>
      </c>
      <c r="E8" s="38" t="n">
        <v>441</v>
      </c>
      <c r="F8" s="38" t="n">
        <v>510</v>
      </c>
      <c r="G8" s="38" t="n">
        <v>628</v>
      </c>
      <c r="H8" s="38" t="n">
        <v>1060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fsa:LongtermParticipatingInterests</t>
        </is>
      </c>
      <c r="C9" s="34" t="inlineStr">
        <is>
          <t>fsa:LongtermParticipatingInterests</t>
        </is>
      </c>
      <c r="D9" s="35" t="n"/>
      <c r="E9" s="35" t="n">
        <v>10452</v>
      </c>
      <c r="F9" s="35" t="n">
        <v>11116</v>
      </c>
      <c r="G9" s="35" t="n">
        <v>10391</v>
      </c>
      <c r="H9" s="35" t="n">
        <v>13145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fsa:LongtermReceivablesFromParticipatingInterests</t>
        </is>
      </c>
      <c r="C10" s="37" t="inlineStr">
        <is>
          <t>fsa:LongtermReceivablesFromParticipatingInterests</t>
        </is>
      </c>
      <c r="D10" s="38" t="n">
        <v>11102</v>
      </c>
      <c r="E10" s="38" t="n">
        <v>12353</v>
      </c>
      <c r="F10" s="38" t="n">
        <v>12779</v>
      </c>
      <c r="G10" s="38" t="n">
        <v>15890</v>
      </c>
      <c r="H10" s="38" t="n">
        <v>23323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fsa:RaisingOfLongtermDebt</t>
        </is>
      </c>
      <c r="C11" s="34" t="inlineStr">
        <is>
          <t>fsa:RaisingOfLongtermDebt</t>
        </is>
      </c>
      <c r="D11" s="35" t="n"/>
      <c r="E11" s="35" t="n">
        <v>-2373</v>
      </c>
      <c r="F11" s="35" t="n">
        <v>18646</v>
      </c>
      <c r="G11" s="35" t="n">
        <v>1769</v>
      </c>
      <c r="H11" s="35" t="n">
        <v>-3520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fsa:ShorttermParticipatingInterests</t>
        </is>
      </c>
      <c r="C12" s="37" t="inlineStr">
        <is>
          <t>fsa:ShorttermParticipatingInterests</t>
        </is>
      </c>
      <c r="D12" s="38" t="n">
        <v>10606</v>
      </c>
      <c r="E12" s="38" t="n"/>
      <c r="F12" s="38" t="n"/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fsa:ShorttermReceivablesFromParticipatingInterests</t>
        </is>
      </c>
      <c r="C13" s="34" t="inlineStr">
        <is>
          <t>fsa:ShorttermReceivablesFromParticipatingInterests</t>
        </is>
      </c>
      <c r="D13" s="35" t="n">
        <v>2576</v>
      </c>
      <c r="E13" s="35" t="n">
        <v>4484</v>
      </c>
      <c r="F13" s="35" t="n">
        <v>4121</v>
      </c>
      <c r="G13" s="35" t="n">
        <v>2468</v>
      </c>
      <c r="H13" s="35" t="n">
        <v>3225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fsa:WorkPerformedByEntityAndCapitalised</t>
        </is>
      </c>
      <c r="C14" s="37" t="inlineStr">
        <is>
          <t>fsa:WorkPerformedByEntityAndCapitalised</t>
        </is>
      </c>
      <c r="D14" s="38" t="n">
        <v>-300</v>
      </c>
      <c r="E14" s="38" t="n">
        <v>-2060</v>
      </c>
      <c r="F14" s="38" t="n">
        <v>-3025</v>
      </c>
      <c r="G14" s="38" t="n">
        <v>-3372</v>
      </c>
      <c r="H14" s="38" t="n">
        <v>-9470</v>
      </c>
      <c r="I1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2026-09-10T15:35:02Z</dcterms:created>
  <dcterms:modified xmlns:dcterms="http://purl.org/dc/terms/" xmlns:xsi="http://www.w3.org/2001/XMLSchema-instance" xsi:type="dcterms:W3CDTF">2026-09-10T15:35:02Z</dcterms:modified>
</cp:coreProperties>
</file>