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2020</v>
      </c>
      <c r="C48" s="3" t="n">
        <v>2021</v>
      </c>
      <c r="D48" s="3" t="n">
        <v>2022</v>
      </c>
      <c r="E48" s="3" t="n">
        <v>2023</v>
      </c>
      <c r="F48" s="3" t="n">
        <v>2024</v>
      </c>
      <c r="G48" t="inlineStr"/>
      <c r="H48" s="3" t="n">
        <v>2020</v>
      </c>
      <c r="I48" s="3" t="n">
        <v>2021</v>
      </c>
      <c r="J48" s="3" t="n">
        <v>2022</v>
      </c>
      <c r="K48" s="3" t="n">
        <v>2023</v>
      </c>
      <c r="L48" s="3" t="n">
        <v>2024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2020</v>
      </c>
      <c r="C77" s="3" t="n">
        <v>2021</v>
      </c>
      <c r="D77" s="3" t="n">
        <v>2022</v>
      </c>
      <c r="E77" s="3" t="n">
        <v>2023</v>
      </c>
      <c r="F77" s="3" t="n">
        <v>2024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1613036</v>
      </c>
      <c r="C2" s="16" t="n">
        <v>1641478</v>
      </c>
      <c r="D2" s="16" t="n">
        <v>2047477</v>
      </c>
      <c r="E2" s="16" t="n">
        <v>2133489</v>
      </c>
      <c r="F2" s="16" t="n">
        <v>2249682</v>
      </c>
    </row>
    <row r="3">
      <c r="A3" s="15" t="inlineStr">
        <is>
          <t>Andre driftsindtægter</t>
        </is>
      </c>
      <c r="B3" s="16" t="n">
        <v>60742</v>
      </c>
      <c r="C3" s="16" t="n">
        <v>7747</v>
      </c>
      <c r="D3" s="16" t="n">
        <v>2630</v>
      </c>
      <c r="E3" s="16" t="n">
        <v>30960</v>
      </c>
      <c r="F3" s="16" t="n">
        <v>75909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352018</v>
      </c>
      <c r="D5" s="16" t="n">
        <v>329594</v>
      </c>
      <c r="E5" s="16" t="n">
        <v>363329</v>
      </c>
      <c r="F5" s="16" t="n">
        <v>403452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402107</v>
      </c>
      <c r="C7" s="16" t="n">
        <v>-364385</v>
      </c>
      <c r="D7" s="16" t="n">
        <v>460632</v>
      </c>
      <c r="E7" s="16" t="n">
        <v>499894</v>
      </c>
      <c r="F7" s="16" t="n">
        <v>534970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266597</v>
      </c>
      <c r="C9" s="16" t="n">
        <v>-284763</v>
      </c>
      <c r="D9" s="16" t="n">
        <v>353656</v>
      </c>
      <c r="E9" s="16" t="n">
        <v>382881</v>
      </c>
      <c r="F9" s="16" t="n">
        <v>469081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336949</v>
      </c>
      <c r="C11" s="16" t="n">
        <v>267423</v>
      </c>
      <c r="D11" s="16" t="n">
        <v>249308</v>
      </c>
      <c r="E11" s="16" t="n">
        <v>262949</v>
      </c>
      <c r="F11" s="16" t="n">
        <v>264448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1098</v>
      </c>
      <c r="C13" s="16" t="n">
        <v>443</v>
      </c>
      <c r="D13" s="16" t="n">
        <v>0</v>
      </c>
      <c r="E13" s="16" t="n">
        <v>3330</v>
      </c>
      <c r="F13" s="16" t="n">
        <v>7163</v>
      </c>
    </row>
    <row r="14">
      <c r="A14" s="15" t="inlineStr">
        <is>
          <t>Finansielle omkostninger</t>
        </is>
      </c>
      <c r="B14" s="16" t="n">
        <v>123495</v>
      </c>
      <c r="C14" s="16" t="n">
        <v>136022</v>
      </c>
      <c r="D14" s="16" t="n">
        <v>150799</v>
      </c>
      <c r="E14" s="16" t="n">
        <v>135561</v>
      </c>
      <c r="F14" s="16" t="n">
        <v>129732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214552</v>
      </c>
      <c r="C16" s="16" t="n">
        <v>131844</v>
      </c>
      <c r="D16" s="16" t="n">
        <v>98509</v>
      </c>
      <c r="E16" s="16" t="n">
        <v>130718</v>
      </c>
      <c r="F16" s="16" t="n">
        <v>141879</v>
      </c>
    </row>
    <row r="17">
      <c r="A17" s="15" t="inlineStr">
        <is>
          <t>Skat af årets resultat</t>
        </is>
      </c>
      <c r="B17" s="16" t="n">
        <v>509</v>
      </c>
      <c r="C17" s="16" t="n">
        <v>242</v>
      </c>
      <c r="D17" s="16" t="n">
        <v>211</v>
      </c>
      <c r="E17" s="16" t="n">
        <v>-93</v>
      </c>
      <c r="F17" s="16" t="n">
        <v>-618</v>
      </c>
    </row>
    <row r="18">
      <c r="A18" s="17" t="inlineStr">
        <is>
          <t>Årets resultat</t>
        </is>
      </c>
      <c r="B18" s="16" t="n">
        <v>214043</v>
      </c>
      <c r="C18" s="16" t="n">
        <v>131602</v>
      </c>
      <c r="D18" s="16" t="n">
        <v>98298</v>
      </c>
      <c r="E18" s="16" t="n">
        <v>130811</v>
      </c>
      <c r="F18" s="16" t="n">
        <v>142497</v>
      </c>
    </row>
    <row r="19">
      <c r="A19" s="15" t="inlineStr">
        <is>
          <t>Gns. antal medarbejdere</t>
        </is>
      </c>
      <c r="B19" s="16" t="n">
        <v>758</v>
      </c>
      <c r="C19" s="16" t="n">
        <v>780</v>
      </c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>
        <v>16526</v>
      </c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>
        <v>295837</v>
      </c>
      <c r="D3" s="16" t="n">
        <v>263564</v>
      </c>
      <c r="E3" s="16" t="n">
        <v>231290</v>
      </c>
      <c r="F3" s="16" t="n">
        <v>199017</v>
      </c>
    </row>
    <row r="4">
      <c r="A4" s="15" t="inlineStr">
        <is>
          <t>Goodwill</t>
        </is>
      </c>
      <c r="B4" s="16" t="n">
        <v>26854</v>
      </c>
      <c r="C4" s="16" t="n">
        <v>3682402</v>
      </c>
      <c r="D4" s="16" t="n">
        <v>3682402</v>
      </c>
      <c r="E4" s="16" t="n">
        <v>3682402</v>
      </c>
      <c r="F4" s="16" t="n">
        <v>3682402</v>
      </c>
    </row>
    <row r="5">
      <c r="A5" s="17" t="inlineStr">
        <is>
          <t>Immaterielle anlægsaktiver</t>
        </is>
      </c>
      <c r="B5" s="16" t="n">
        <v>26854</v>
      </c>
      <c r="C5" s="16" t="n">
        <v>4200116</v>
      </c>
      <c r="D5" s="16" t="n">
        <v>4143638</v>
      </c>
      <c r="E5" s="16" t="n">
        <v>4087160</v>
      </c>
      <c r="F5" s="16" t="n">
        <v>4030682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>
        <v>660546</v>
      </c>
      <c r="E10" s="16" t="n">
        <v>228191</v>
      </c>
      <c r="F10" s="16" t="n">
        <v>394990</v>
      </c>
    </row>
    <row r="11">
      <c r="A11" s="17" t="inlineStr">
        <is>
          <t>Materielle anlægsaktiver</t>
        </is>
      </c>
      <c r="B11" s="16" t="n">
        <v>3669442</v>
      </c>
      <c r="C11" s="16" t="n">
        <v>3678310</v>
      </c>
      <c r="D11" s="16" t="n">
        <v>56540</v>
      </c>
      <c r="E11" s="16" t="n">
        <v>73038</v>
      </c>
      <c r="F11" s="16" t="n">
        <v>84910</v>
      </c>
    </row>
    <row r="12">
      <c r="A12" s="17" t="inlineStr">
        <is>
          <t>Anlægsaktiver</t>
        </is>
      </c>
      <c r="B12" s="16" t="n">
        <v>3724392</v>
      </c>
      <c r="C12" s="16" t="n">
        <v>7878556</v>
      </c>
      <c r="D12" s="16" t="n">
        <v>8009467</v>
      </c>
      <c r="E12" s="16" t="n">
        <v>7751429</v>
      </c>
      <c r="F12" s="16" t="n">
        <v>7647581</v>
      </c>
    </row>
    <row r="13">
      <c r="A13" s="17" t="inlineStr">
        <is>
          <t>Varebeholdninger</t>
        </is>
      </c>
      <c r="B13" s="16" t="n">
        <v>79778</v>
      </c>
      <c r="C13" s="16" t="n">
        <v>92931</v>
      </c>
      <c r="D13" s="16" t="n">
        <v>109648</v>
      </c>
      <c r="E13" s="16" t="n">
        <v>137502</v>
      </c>
      <c r="F13" s="16" t="n">
        <v>116993</v>
      </c>
    </row>
    <row r="14">
      <c r="A14" s="15" t="inlineStr">
        <is>
          <t>Tilgodehavender fra salg og tjenesteydelser</t>
        </is>
      </c>
      <c r="B14" s="16" t="n"/>
      <c r="C14" s="16" t="n"/>
      <c r="D14" s="16" t="n">
        <v>15735</v>
      </c>
      <c r="E14" s="16" t="n">
        <v>22764</v>
      </c>
      <c r="F14" s="16" t="n">
        <v>28039</v>
      </c>
    </row>
    <row r="15">
      <c r="A15" s="15" t="inlineStr">
        <is>
          <t>Tilgodehavender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Andre tilgodehavender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Periodeafgrænsningsposter (aktiver)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>
        <v>96402</v>
      </c>
      <c r="C21" s="16" t="n">
        <v>78427</v>
      </c>
      <c r="D21" s="16" t="n">
        <v>51793</v>
      </c>
      <c r="E21" s="16" t="n">
        <v>36718</v>
      </c>
      <c r="F21" s="16" t="n">
        <v>65897</v>
      </c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322623</v>
      </c>
      <c r="C23" s="16" t="n">
        <v>436876</v>
      </c>
      <c r="D23" s="16" t="n">
        <v>40516</v>
      </c>
      <c r="E23" s="16" t="n">
        <v>125575</v>
      </c>
      <c r="F23" s="16" t="n">
        <v>280579</v>
      </c>
    </row>
    <row r="24">
      <c r="A24" s="17" t="inlineStr">
        <is>
          <t>Omsætningsaktiver</t>
        </is>
      </c>
      <c r="B24" s="16" t="n">
        <v>513769</v>
      </c>
      <c r="C24" s="16" t="n">
        <v>625477</v>
      </c>
      <c r="D24" s="16" t="n">
        <v>217692</v>
      </c>
      <c r="E24" s="16" t="n">
        <v>338718</v>
      </c>
      <c r="F24" s="16" t="n">
        <v>600404</v>
      </c>
    </row>
    <row r="25">
      <c r="A25" s="17" t="inlineStr">
        <is>
          <t>Aktiver</t>
        </is>
      </c>
      <c r="B25" s="16" t="n">
        <v>4238161</v>
      </c>
      <c r="C25" s="16" t="n">
        <v>8504033</v>
      </c>
      <c r="D25" s="16" t="n">
        <v>8227159</v>
      </c>
      <c r="E25" s="16" t="n">
        <v>8090147</v>
      </c>
      <c r="F25" s="16" t="n">
        <v>8247985</v>
      </c>
    </row>
    <row r="26">
      <c r="A26" s="15" t="inlineStr">
        <is>
          <t>Selskabskapital</t>
        </is>
      </c>
      <c r="B26" s="16" t="n">
        <v>283333</v>
      </c>
      <c r="C26" s="16" t="n">
        <v>284100</v>
      </c>
      <c r="D26" s="16" t="n">
        <v>283487</v>
      </c>
      <c r="E26" s="16" t="n">
        <v>283487</v>
      </c>
      <c r="F26" s="16" t="n">
        <v>283487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-30255</v>
      </c>
      <c r="C30" s="16" t="n">
        <v>49006</v>
      </c>
      <c r="D30" s="16" t="n">
        <v>14842</v>
      </c>
      <c r="E30" s="16" t="n">
        <v>-31961</v>
      </c>
      <c r="F30" s="16" t="n">
        <v>4966</v>
      </c>
    </row>
    <row r="31">
      <c r="A31" s="15" t="inlineStr">
        <is>
          <t>Overført resultat</t>
        </is>
      </c>
      <c r="B31" s="16" t="n">
        <v>821248</v>
      </c>
      <c r="C31" s="16" t="n">
        <v>5220436</v>
      </c>
      <c r="D31" s="16" t="n">
        <v>5308747</v>
      </c>
      <c r="E31" s="16" t="n">
        <v>5439558</v>
      </c>
      <c r="F31" s="16" t="n">
        <v>5517052</v>
      </c>
    </row>
    <row r="32">
      <c r="A32" s="17" t="inlineStr">
        <is>
          <t>Egenkapital i alt</t>
        </is>
      </c>
      <c r="B32" s="16" t="n">
        <v>1074326</v>
      </c>
      <c r="C32" s="16" t="n">
        <v>5553542</v>
      </c>
      <c r="D32" s="16" t="n">
        <v>5607076</v>
      </c>
      <c r="E32" s="16" t="n">
        <v>5691084</v>
      </c>
      <c r="F32" s="16" t="n">
        <v>5805505</v>
      </c>
    </row>
    <row r="33">
      <c r="A33" s="17" t="inlineStr">
        <is>
          <t>Hensatte forpligtelser</t>
        </is>
      </c>
      <c r="B33" s="16" t="n">
        <v>2329</v>
      </c>
      <c r="C33" s="16" t="n">
        <v>1963</v>
      </c>
      <c r="D33" s="16" t="n">
        <v>3276</v>
      </c>
      <c r="E33" s="16" t="n">
        <v>3190</v>
      </c>
      <c r="F33" s="16" t="n">
        <v>3072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Leasingforpligtelser (langfristet)</t>
        </is>
      </c>
      <c r="B36" s="16" t="n">
        <v>1663304</v>
      </c>
      <c r="C36" s="16" t="n">
        <v>1323965</v>
      </c>
      <c r="D36" s="16" t="n">
        <v>965884</v>
      </c>
      <c r="E36" s="16" t="n">
        <v>822171</v>
      </c>
      <c r="F36" s="16" t="n">
        <v>791440</v>
      </c>
    </row>
    <row r="37">
      <c r="A37" s="15" t="inlineStr">
        <is>
          <t>Anden gæld (langfristet)</t>
        </is>
      </c>
      <c r="B37" s="16" t="n">
        <v>0</v>
      </c>
      <c r="C37" s="16" t="n"/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2551701</v>
      </c>
      <c r="C38" s="16" t="n">
        <v>2268836</v>
      </c>
      <c r="D38" s="16" t="n">
        <v>1126814</v>
      </c>
      <c r="E38" s="16" t="n">
        <v>1099628</v>
      </c>
      <c r="F38" s="16" t="n">
        <v>1068952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(kortfristet)</t>
        </is>
      </c>
      <c r="B42" s="16" t="n">
        <v>152227</v>
      </c>
      <c r="C42" s="16" t="n">
        <v>284892</v>
      </c>
      <c r="D42" s="16" t="n">
        <v>368600</v>
      </c>
      <c r="E42" s="16" t="n">
        <v>162277</v>
      </c>
      <c r="F42" s="16" t="n">
        <v>166040</v>
      </c>
    </row>
    <row r="43">
      <c r="A43" s="15" t="inlineStr">
        <is>
          <t>Leverandører af varer og tjenesteydelser</t>
        </is>
      </c>
      <c r="B43" s="16" t="n">
        <v>62812</v>
      </c>
      <c r="C43" s="16" t="n">
        <v>74317</v>
      </c>
      <c r="D43" s="16" t="n">
        <v>96884</v>
      </c>
      <c r="E43" s="16" t="n">
        <v>103393</v>
      </c>
      <c r="F43" s="16" t="n">
        <v>141231</v>
      </c>
    </row>
    <row r="44">
      <c r="A44" s="15" t="inlineStr">
        <is>
          <t>Gæld til tilknyttede virksomheder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203055</v>
      </c>
      <c r="C48" s="16" t="n">
        <v>136335</v>
      </c>
      <c r="D48" s="16" t="n">
        <v>88364</v>
      </c>
      <c r="E48" s="16" t="n">
        <v>138716</v>
      </c>
      <c r="F48" s="16" t="n">
        <v>115121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42831</v>
      </c>
      <c r="E49" s="16" t="n">
        <v>46673</v>
      </c>
      <c r="F49" s="16" t="n">
        <v>55396</v>
      </c>
    </row>
    <row r="50">
      <c r="A50" s="17" t="inlineStr">
        <is>
          <t>Kortfristede gældsforpligtelser</t>
        </is>
      </c>
      <c r="B50" s="16" t="n">
        <v>612134</v>
      </c>
      <c r="C50" s="16" t="n">
        <v>681655</v>
      </c>
      <c r="D50" s="16" t="n">
        <v>1493269</v>
      </c>
      <c r="E50" s="16" t="n">
        <v>1299435</v>
      </c>
      <c r="F50" s="16" t="n">
        <v>1373528</v>
      </c>
    </row>
    <row r="51">
      <c r="A51" s="17" t="inlineStr">
        <is>
          <t>Gældsforpligtelser</t>
        </is>
      </c>
      <c r="B51" s="16" t="n">
        <v>3163835</v>
      </c>
      <c r="C51" s="16" t="n">
        <v>2950491</v>
      </c>
      <c r="D51" s="16" t="n">
        <v>2620083</v>
      </c>
      <c r="E51" s="16" t="n">
        <v>2399063</v>
      </c>
      <c r="F51" s="16" t="n">
        <v>2442480</v>
      </c>
    </row>
    <row r="52">
      <c r="A52" s="17" t="inlineStr">
        <is>
          <t>Passiver</t>
        </is>
      </c>
      <c r="B52" s="16" t="n">
        <v>4238161</v>
      </c>
      <c r="C52" s="16" t="n">
        <v>8504033</v>
      </c>
      <c r="D52" s="16" t="n">
        <v>8227159</v>
      </c>
      <c r="E52" s="16" t="n">
        <v>8090147</v>
      </c>
      <c r="F52" s="16" t="n">
        <v>8247985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17881248)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/>
      <c r="F3" s="35" t="n">
        <v>353656</v>
      </c>
      <c r="G3" s="35" t="n">
        <v>382881</v>
      </c>
      <c r="H3" s="35" t="n">
        <v>469081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242</v>
      </c>
      <c r="E4" s="38" t="n">
        <v>676</v>
      </c>
      <c r="F4" s="38" t="n">
        <v>107</v>
      </c>
      <c r="G4" s="38" t="n">
        <v>16</v>
      </c>
      <c r="H4" s="38" t="n">
        <v>16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/>
      <c r="F5" s="35" t="n">
        <v>2455952</v>
      </c>
      <c r="G5" s="35" t="n">
        <v>2562469</v>
      </c>
      <c r="H5" s="35" t="n">
        <v>2375372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/>
      <c r="G6" s="38" t="n">
        <v>16159</v>
      </c>
      <c r="H6" s="38" t="n">
        <v>108896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2026-09-07T19:38:12Z</dcterms:created>
  <dcterms:modified xmlns:dcterms="http://purl.org/dc/terms/" xmlns:xsi="http://www.w3.org/2001/XMLSchema-instance" xsi:type="dcterms:W3CDTF">2026-09-07T19:38:12Z</dcterms:modified>
</cp:coreProperties>
</file>