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7908470" sheetId="1" state="visible" r:id="rId1"/>
    <sheet xmlns:r="http://schemas.openxmlformats.org/officeDocument/2006/relationships" name="res_raw_27908470" sheetId="2" state="visible" r:id="rId2"/>
    <sheet xmlns:r="http://schemas.openxmlformats.org/officeDocument/2006/relationships" name="balance_raw_27908470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Refsvindinge Bryggeri ApS (CVR 27908470) — Regnskabsanalyse – Resultatopgørelse &amp; Balance (t.kr.) · Klasse B · Udvidet gennemgang · Regnskabsår 1/7–30/6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'res_raw_27908470'!$B$2</f>
        <v/>
      </c>
      <c r="C4" s="5">
        <f>'res_raw_27908470'!$C$2</f>
        <v/>
      </c>
      <c r="D4" s="5">
        <f>'res_raw_27908470'!$D$2</f>
        <v/>
      </c>
      <c r="E4" s="5">
        <f>'res_raw_27908470'!$E$2</f>
        <v/>
      </c>
      <c r="F4" s="5">
        <f>'res_raw_27908470'!$F$2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'res_raw_27908470'!$B$3</f>
        <v/>
      </c>
      <c r="C5" s="8">
        <f>'res_raw_27908470'!$C$3</f>
        <v/>
      </c>
      <c r="D5" s="8">
        <f>'res_raw_27908470'!$D$3</f>
        <v/>
      </c>
      <c r="E5" s="8">
        <f>'res_raw_27908470'!$E$3</f>
        <v/>
      </c>
      <c r="F5" s="8">
        <f>'res_raw_27908470'!$F$3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'res_raw_27908470'!$B$4</f>
        <v/>
      </c>
      <c r="C6" s="5">
        <f>'res_raw_27908470'!$C$4</f>
        <v/>
      </c>
      <c r="D6" s="5">
        <f>'res_raw_27908470'!$D$4</f>
        <v/>
      </c>
      <c r="E6" s="5">
        <f>'res_raw_27908470'!$E$4</f>
        <v/>
      </c>
      <c r="F6" s="5">
        <f>'res_raw_27908470'!$F$4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'res_raw_27908470'!$B$5</f>
        <v/>
      </c>
      <c r="C7" s="8">
        <f>'res_raw_27908470'!$C$5</f>
        <v/>
      </c>
      <c r="D7" s="8">
        <f>'res_raw_27908470'!$D$5</f>
        <v/>
      </c>
      <c r="E7" s="8">
        <f>'res_raw_27908470'!$E$5</f>
        <v/>
      </c>
      <c r="F7" s="8">
        <f>'res_raw_27908470'!$F$5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'res_raw_27908470'!$B$6</f>
        <v/>
      </c>
      <c r="C8" s="11">
        <f>'res_raw_27908470'!$C$6</f>
        <v/>
      </c>
      <c r="D8" s="11">
        <f>'res_raw_27908470'!$D$6</f>
        <v/>
      </c>
      <c r="E8" s="11">
        <f>'res_raw_27908470'!$E$6</f>
        <v/>
      </c>
      <c r="F8" s="11">
        <f>'res_raw_27908470'!$F$6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'res_raw_27908470'!$B$7</f>
        <v/>
      </c>
      <c r="C9" s="8">
        <f>'res_raw_27908470'!$C$7</f>
        <v/>
      </c>
      <c r="D9" s="8">
        <f>'res_raw_27908470'!$D$7</f>
        <v/>
      </c>
      <c r="E9" s="8">
        <f>'res_raw_27908470'!$E$7</f>
        <v/>
      </c>
      <c r="F9" s="8">
        <f>'res_raw_27908470'!$F$7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'res_raw_27908470'!$B$9</f>
        <v/>
      </c>
      <c r="C11" s="8">
        <f>'res_raw_27908470'!$C$9</f>
        <v/>
      </c>
      <c r="D11" s="8">
        <f>'res_raw_27908470'!$D$9</f>
        <v/>
      </c>
      <c r="E11" s="8">
        <f>'res_raw_27908470'!$E$9</f>
        <v/>
      </c>
      <c r="F11" s="8">
        <f>'res_raw_27908470'!$F$9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'res_raw_27908470'!$B$10</f>
        <v/>
      </c>
      <c r="C12" s="5">
        <f>'res_raw_27908470'!$C$10</f>
        <v/>
      </c>
      <c r="D12" s="5">
        <f>'res_raw_27908470'!$D$10</f>
        <v/>
      </c>
      <c r="E12" s="5">
        <f>'res_raw_27908470'!$E$10</f>
        <v/>
      </c>
      <c r="F12" s="5">
        <f>'res_raw_27908470'!$F$10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'res_raw_27908470'!$B$11</f>
        <v/>
      </c>
      <c r="C13" s="11">
        <f>'res_raw_27908470'!$C$11</f>
        <v/>
      </c>
      <c r="D13" s="11">
        <f>'res_raw_27908470'!$D$11</f>
        <v/>
      </c>
      <c r="E13" s="11">
        <f>'res_raw_27908470'!$E$11</f>
        <v/>
      </c>
      <c r="F13" s="11">
        <f>'res_raw_27908470'!$F$11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'res_raw_27908470'!$B$12</f>
        <v/>
      </c>
      <c r="C14" s="5">
        <f>'res_raw_27908470'!$C$12</f>
        <v/>
      </c>
      <c r="D14" s="5">
        <f>'res_raw_27908470'!$D$12</f>
        <v/>
      </c>
      <c r="E14" s="5">
        <f>'res_raw_27908470'!$E$12</f>
        <v/>
      </c>
      <c r="F14" s="5">
        <f>'res_raw_27908470'!$F$12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'res_raw_27908470'!$B$13</f>
        <v/>
      </c>
      <c r="C15" s="8">
        <f>'res_raw_27908470'!$C$13</f>
        <v/>
      </c>
      <c r="D15" s="8">
        <f>'res_raw_27908470'!$D$13</f>
        <v/>
      </c>
      <c r="E15" s="8">
        <f>'res_raw_27908470'!$E$13</f>
        <v/>
      </c>
      <c r="F15" s="8">
        <f>'res_raw_27908470'!$F$13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'res_raw_27908470'!$B$14</f>
        <v/>
      </c>
      <c r="C16" s="5">
        <f>'res_raw_27908470'!$C$14</f>
        <v/>
      </c>
      <c r="D16" s="5">
        <f>'res_raw_27908470'!$D$14</f>
        <v/>
      </c>
      <c r="E16" s="5">
        <f>'res_raw_27908470'!$E$14</f>
        <v/>
      </c>
      <c r="F16" s="5">
        <f>'res_raw_27908470'!$F$14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'res_raw_27908470'!$B$15</f>
        <v/>
      </c>
      <c r="C17" s="11">
        <f>'res_raw_27908470'!$C$15</f>
        <v/>
      </c>
      <c r="D17" s="11">
        <f>'res_raw_27908470'!$D$15</f>
        <v/>
      </c>
      <c r="E17" s="11">
        <f>'res_raw_27908470'!$E$15</f>
        <v/>
      </c>
      <c r="F17" s="11">
        <f>'res_raw_27908470'!$F$15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'res_raw_27908470'!$B$16</f>
        <v/>
      </c>
      <c r="C18" s="11">
        <f>'res_raw_27908470'!$C$16</f>
        <v/>
      </c>
      <c r="D18" s="11">
        <f>'res_raw_27908470'!$D$16</f>
        <v/>
      </c>
      <c r="E18" s="11">
        <f>'res_raw_27908470'!$E$16</f>
        <v/>
      </c>
      <c r="F18" s="11">
        <f>'res_raw_27908470'!$F$16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'res_raw_27908470'!$B$17</f>
        <v/>
      </c>
      <c r="C19" s="8">
        <f>'res_raw_27908470'!$C$17</f>
        <v/>
      </c>
      <c r="D19" s="8">
        <f>'res_raw_27908470'!$D$17</f>
        <v/>
      </c>
      <c r="E19" s="8">
        <f>'res_raw_27908470'!$E$17</f>
        <v/>
      </c>
      <c r="F19" s="8">
        <f>'res_raw_27908470'!$F$17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'res_raw_27908470'!$B$18</f>
        <v/>
      </c>
      <c r="C20" s="11">
        <f>'res_raw_27908470'!$C$18</f>
        <v/>
      </c>
      <c r="D20" s="11">
        <f>'res_raw_27908470'!$D$18</f>
        <v/>
      </c>
      <c r="E20" s="11">
        <f>'res_raw_27908470'!$E$18</f>
        <v/>
      </c>
      <c r="F20" s="11">
        <f>'res_raw_27908470'!$F$18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'balance_raw_27908470'!$B$2</f>
        <v/>
      </c>
      <c r="C23" s="8">
        <f>'balance_raw_27908470'!$C$2</f>
        <v/>
      </c>
      <c r="D23" s="8">
        <f>'balance_raw_27908470'!$D$2</f>
        <v/>
      </c>
      <c r="E23" s="8">
        <f>'balance_raw_27908470'!$E$2</f>
        <v/>
      </c>
      <c r="F23" s="8">
        <f>'balance_raw_27908470'!$F$2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'balance_raw_27908470'!$B$3</f>
        <v/>
      </c>
      <c r="C24" s="5">
        <f>'balance_raw_27908470'!$C$3</f>
        <v/>
      </c>
      <c r="D24" s="5">
        <f>'balance_raw_27908470'!$D$3</f>
        <v/>
      </c>
      <c r="E24" s="5">
        <f>'balance_raw_27908470'!$E$3</f>
        <v/>
      </c>
      <c r="F24" s="5">
        <f>'balance_raw_27908470'!$F$3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'balance_raw_27908470'!$B$4</f>
        <v/>
      </c>
      <c r="C25" s="8">
        <f>'balance_raw_27908470'!$C$4</f>
        <v/>
      </c>
      <c r="D25" s="8">
        <f>'balance_raw_27908470'!$D$4</f>
        <v/>
      </c>
      <c r="E25" s="8">
        <f>'balance_raw_27908470'!$E$4</f>
        <v/>
      </c>
      <c r="F25" s="8">
        <f>'balance_raw_27908470'!$F$4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'balance_raw_27908470'!$B$5</f>
        <v/>
      </c>
      <c r="C26" s="5">
        <f>'balance_raw_27908470'!$C$5</f>
        <v/>
      </c>
      <c r="D26" s="5">
        <f>'balance_raw_27908470'!$D$5</f>
        <v/>
      </c>
      <c r="E26" s="5">
        <f>'balance_raw_27908470'!$E$5</f>
        <v/>
      </c>
      <c r="F26" s="5">
        <f>'balance_raw_27908470'!$F$5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'balance_raw_27908470'!$B$6</f>
        <v/>
      </c>
      <c r="C27" s="8">
        <f>'balance_raw_27908470'!$C$6</f>
        <v/>
      </c>
      <c r="D27" s="8">
        <f>'balance_raw_27908470'!$D$6</f>
        <v/>
      </c>
      <c r="E27" s="8">
        <f>'balance_raw_27908470'!$E$6</f>
        <v/>
      </c>
      <c r="F27" s="8">
        <f>'balance_raw_27908470'!$F$6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'balance_raw_27908470'!$B$7</f>
        <v/>
      </c>
      <c r="C28" s="11">
        <f>'balance_raw_27908470'!$C$7</f>
        <v/>
      </c>
      <c r="D28" s="11">
        <f>'balance_raw_27908470'!$D$7</f>
        <v/>
      </c>
      <c r="E28" s="11">
        <f>'balance_raw_27908470'!$E$7</f>
        <v/>
      </c>
      <c r="F28" s="11">
        <f>'balance_raw_27908470'!$F$7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Kapitalandele, dattervirksomheder</t>
        </is>
      </c>
      <c r="B29" s="8">
        <f>'balance_raw_27908470'!$B$8</f>
        <v/>
      </c>
      <c r="C29" s="8">
        <f>'balance_raw_27908470'!$C$8</f>
        <v/>
      </c>
      <c r="D29" s="8">
        <f>'balance_raw_27908470'!$D$8</f>
        <v/>
      </c>
      <c r="E29" s="8">
        <f>'balance_raw_27908470'!$E$8</f>
        <v/>
      </c>
      <c r="F29" s="8">
        <f>'balance_raw_27908470'!$F$8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Deposita</t>
        </is>
      </c>
      <c r="B30" s="5">
        <f>'balance_raw_27908470'!$B$9</f>
        <v/>
      </c>
      <c r="C30" s="5">
        <f>'balance_raw_27908470'!$C$9</f>
        <v/>
      </c>
      <c r="D30" s="5">
        <f>'balance_raw_27908470'!$D$9</f>
        <v/>
      </c>
      <c r="E30" s="5">
        <f>'balance_raw_27908470'!$E$9</f>
        <v/>
      </c>
      <c r="F30" s="5">
        <f>'balance_raw_27908470'!$F$9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Finansielle anlægsaktiver</t>
        </is>
      </c>
      <c r="B31" s="11">
        <f>'balance_raw_27908470'!$B$10</f>
        <v/>
      </c>
      <c r="C31" s="11">
        <f>'balance_raw_27908470'!$C$10</f>
        <v/>
      </c>
      <c r="D31" s="11">
        <f>'balance_raw_27908470'!$D$10</f>
        <v/>
      </c>
      <c r="E31" s="11">
        <f>'balance_raw_27908470'!$E$10</f>
        <v/>
      </c>
      <c r="F31" s="11">
        <f>'balance_raw_27908470'!$F$10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10" t="inlineStr">
        <is>
          <t>Anlægsaktiver</t>
        </is>
      </c>
      <c r="B32" s="11">
        <f>'balance_raw_27908470'!$B$11</f>
        <v/>
      </c>
      <c r="C32" s="11">
        <f>'balance_raw_27908470'!$C$11</f>
        <v/>
      </c>
      <c r="D32" s="11">
        <f>'balance_raw_27908470'!$D$11</f>
        <v/>
      </c>
      <c r="E32" s="11">
        <f>'balance_raw_27908470'!$E$11</f>
        <v/>
      </c>
      <c r="F32" s="11">
        <f>'balance_raw_27908470'!$F$11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Råvarer og hjælpematerialer</t>
        </is>
      </c>
      <c r="B33" s="8">
        <f>'balance_raw_27908470'!$B$12</f>
        <v/>
      </c>
      <c r="C33" s="8">
        <f>'balance_raw_27908470'!$C$12</f>
        <v/>
      </c>
      <c r="D33" s="8">
        <f>'balance_raw_27908470'!$D$12</f>
        <v/>
      </c>
      <c r="E33" s="8">
        <f>'balance_raw_27908470'!$E$12</f>
        <v/>
      </c>
      <c r="F33" s="8">
        <f>'balance_raw_27908470'!$F$12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Varer under fremstilling</t>
        </is>
      </c>
      <c r="B34" s="5">
        <f>'balance_raw_27908470'!$B$13</f>
        <v/>
      </c>
      <c r="C34" s="5">
        <f>'balance_raw_27908470'!$C$13</f>
        <v/>
      </c>
      <c r="D34" s="5">
        <f>'balance_raw_27908470'!$D$13</f>
        <v/>
      </c>
      <c r="E34" s="5">
        <f>'balance_raw_27908470'!$E$13</f>
        <v/>
      </c>
      <c r="F34" s="5">
        <f>'balance_raw_27908470'!$F$13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Færdigvarer og handelsvarer</t>
        </is>
      </c>
      <c r="B35" s="8">
        <f>'balance_raw_27908470'!$B$14</f>
        <v/>
      </c>
      <c r="C35" s="8">
        <f>'balance_raw_27908470'!$C$14</f>
        <v/>
      </c>
      <c r="D35" s="8">
        <f>'balance_raw_27908470'!$D$14</f>
        <v/>
      </c>
      <c r="E35" s="8">
        <f>'balance_raw_27908470'!$E$14</f>
        <v/>
      </c>
      <c r="F35" s="8">
        <f>'balance_raw_27908470'!$F$14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10" t="inlineStr">
        <is>
          <t>Varebeholdninger</t>
        </is>
      </c>
      <c r="B36" s="11">
        <f>'balance_raw_27908470'!$B$15</f>
        <v/>
      </c>
      <c r="C36" s="11">
        <f>'balance_raw_27908470'!$C$15</f>
        <v/>
      </c>
      <c r="D36" s="11">
        <f>'balance_raw_27908470'!$D$15</f>
        <v/>
      </c>
      <c r="E36" s="11">
        <f>'balance_raw_27908470'!$E$15</f>
        <v/>
      </c>
      <c r="F36" s="11">
        <f>'balance_raw_27908470'!$F$15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Tilgodehavender fra salg og tjenesteydelser</t>
        </is>
      </c>
      <c r="B37" s="8">
        <f>'balance_raw_27908470'!$B$16</f>
        <v/>
      </c>
      <c r="C37" s="8">
        <f>'balance_raw_27908470'!$C$16</f>
        <v/>
      </c>
      <c r="D37" s="8">
        <f>'balance_raw_27908470'!$D$16</f>
        <v/>
      </c>
      <c r="E37" s="8">
        <f>'balance_raw_27908470'!$E$16</f>
        <v/>
      </c>
      <c r="F37" s="8">
        <f>'balance_raw_27908470'!$F$16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'balance_raw_27908470'!$B$17</f>
        <v/>
      </c>
      <c r="C38" s="5">
        <f>'balance_raw_27908470'!$C$17</f>
        <v/>
      </c>
      <c r="D38" s="5">
        <f>'balance_raw_27908470'!$D$17</f>
        <v/>
      </c>
      <c r="E38" s="5">
        <f>'balance_raw_27908470'!$E$17</f>
        <v/>
      </c>
      <c r="F38" s="5">
        <f>'balance_raw_27908470'!$F$17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Andre tilgodehavender</t>
        </is>
      </c>
      <c r="B39" s="8">
        <f>'balance_raw_27908470'!$B$18</f>
        <v/>
      </c>
      <c r="C39" s="8">
        <f>'balance_raw_27908470'!$C$18</f>
        <v/>
      </c>
      <c r="D39" s="8">
        <f>'balance_raw_27908470'!$D$18</f>
        <v/>
      </c>
      <c r="E39" s="8">
        <f>'balance_raw_27908470'!$E$18</f>
        <v/>
      </c>
      <c r="F39" s="8">
        <f>'balance_raw_27908470'!$F$18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Periodeafgrænsningsposter (aktiver)</t>
        </is>
      </c>
      <c r="B40" s="5">
        <f>'balance_raw_27908470'!$B$19</f>
        <v/>
      </c>
      <c r="C40" s="5">
        <f>'balance_raw_27908470'!$C$19</f>
        <v/>
      </c>
      <c r="D40" s="5">
        <f>'balance_raw_27908470'!$D$19</f>
        <v/>
      </c>
      <c r="E40" s="5">
        <f>'balance_raw_27908470'!$E$19</f>
        <v/>
      </c>
      <c r="F40" s="5">
        <f>'balance_raw_27908470'!$F$19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Udskudt skatteaktiv</t>
        </is>
      </c>
      <c r="B41" s="8">
        <f>'balance_raw_27908470'!$B$20</f>
        <v/>
      </c>
      <c r="C41" s="8">
        <f>'balance_raw_27908470'!$C$20</f>
        <v/>
      </c>
      <c r="D41" s="8">
        <f>'balance_raw_27908470'!$D$20</f>
        <v/>
      </c>
      <c r="E41" s="8">
        <f>'balance_raw_27908470'!$E$20</f>
        <v/>
      </c>
      <c r="F41" s="8">
        <f>'balance_raw_27908470'!$F$20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'balance_raw_27908470'!$B$21</f>
        <v/>
      </c>
      <c r="C42" s="5">
        <f>'balance_raw_27908470'!$C$21</f>
        <v/>
      </c>
      <c r="D42" s="5">
        <f>'balance_raw_27908470'!$D$21</f>
        <v/>
      </c>
      <c r="E42" s="5">
        <f>'balance_raw_27908470'!$E$21</f>
        <v/>
      </c>
      <c r="F42" s="5">
        <f>'balance_raw_27908470'!$F$21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Kortfristede skattetilgodehavender</t>
        </is>
      </c>
      <c r="B43" s="8">
        <f>'balance_raw_27908470'!$B$22</f>
        <v/>
      </c>
      <c r="C43" s="8">
        <f>'balance_raw_27908470'!$C$22</f>
        <v/>
      </c>
      <c r="D43" s="8">
        <f>'balance_raw_27908470'!$D$22</f>
        <v/>
      </c>
      <c r="E43" s="8">
        <f>'balance_raw_27908470'!$E$22</f>
        <v/>
      </c>
      <c r="F43" s="8">
        <f>'balance_raw_27908470'!$F$22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Tilgodehavender</t>
        </is>
      </c>
      <c r="B44" s="11">
        <f>'balance_raw_27908470'!$B$23</f>
        <v/>
      </c>
      <c r="C44" s="11">
        <f>'balance_raw_27908470'!$C$23</f>
        <v/>
      </c>
      <c r="D44" s="11">
        <f>'balance_raw_27908470'!$D$23</f>
        <v/>
      </c>
      <c r="E44" s="11">
        <f>'balance_raw_27908470'!$E$23</f>
        <v/>
      </c>
      <c r="F44" s="11">
        <f>'balance_raw_27908470'!$F$23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7" t="inlineStr">
        <is>
          <t>Værdipapirer</t>
        </is>
      </c>
      <c r="B45" s="8">
        <f>'balance_raw_27908470'!$B$24</f>
        <v/>
      </c>
      <c r="C45" s="8">
        <f>'balance_raw_27908470'!$C$24</f>
        <v/>
      </c>
      <c r="D45" s="8">
        <f>'balance_raw_27908470'!$D$24</f>
        <v/>
      </c>
      <c r="E45" s="8">
        <f>'balance_raw_27908470'!$E$24</f>
        <v/>
      </c>
      <c r="F45" s="8">
        <f>'balance_raw_27908470'!$F$24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Likvide beholdninger</t>
        </is>
      </c>
      <c r="B46" s="5">
        <f>'balance_raw_27908470'!$B$25</f>
        <v/>
      </c>
      <c r="C46" s="5">
        <f>'balance_raw_27908470'!$C$25</f>
        <v/>
      </c>
      <c r="D46" s="5">
        <f>'balance_raw_27908470'!$D$25</f>
        <v/>
      </c>
      <c r="E46" s="5">
        <f>'balance_raw_27908470'!$E$25</f>
        <v/>
      </c>
      <c r="F46" s="5">
        <f>'balance_raw_27908470'!$F$25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Omsætningsaktiver</t>
        </is>
      </c>
      <c r="B47" s="11">
        <f>'balance_raw_27908470'!$B$26</f>
        <v/>
      </c>
      <c r="C47" s="11">
        <f>'balance_raw_27908470'!$C$26</f>
        <v/>
      </c>
      <c r="D47" s="11">
        <f>'balance_raw_27908470'!$D$26</f>
        <v/>
      </c>
      <c r="E47" s="11">
        <f>'balance_raw_27908470'!$E$26</f>
        <v/>
      </c>
      <c r="F47" s="11">
        <f>'balance_raw_27908470'!$F$26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10" t="inlineStr">
        <is>
          <t>Aktiver</t>
        </is>
      </c>
      <c r="B48" s="11">
        <f>'balance_raw_27908470'!$B$27</f>
        <v/>
      </c>
      <c r="C48" s="11">
        <f>'balance_raw_27908470'!$C$27</f>
        <v/>
      </c>
      <c r="D48" s="11">
        <f>'balance_raw_27908470'!$D$27</f>
        <v/>
      </c>
      <c r="E48" s="11">
        <f>'balance_raw_27908470'!$E$27</f>
        <v/>
      </c>
      <c r="F48" s="11">
        <f>'balance_raw_27908470'!$F$27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50" ht="22" customHeight="1">
      <c r="A50" s="3" t="inlineStr">
        <is>
          <t>PASSIVER t.kr.</t>
        </is>
      </c>
      <c r="B50" s="3" t="n">
        <v>2021</v>
      </c>
      <c r="C50" s="3" t="n">
        <v>2022</v>
      </c>
      <c r="D50" s="3" t="n">
        <v>2023</v>
      </c>
      <c r="E50" s="3" t="n">
        <v>2024</v>
      </c>
      <c r="F50" s="3" t="n">
        <v>2025</v>
      </c>
      <c r="G50" t="inlineStr"/>
      <c r="H50" s="3" t="n">
        <v>2021</v>
      </c>
      <c r="I50" s="3" t="n">
        <v>2022</v>
      </c>
      <c r="J50" s="3" t="n">
        <v>2023</v>
      </c>
      <c r="K50" s="3" t="n">
        <v>2024</v>
      </c>
      <c r="L50" s="3" t="n">
        <v>2025</v>
      </c>
    </row>
    <row r="51" ht="16" customHeight="1">
      <c r="A51" s="7" t="inlineStr">
        <is>
          <t>Selskabskapital</t>
        </is>
      </c>
      <c r="B51" s="8">
        <f>'balance_raw_27908470'!$B$28</f>
        <v/>
      </c>
      <c r="C51" s="8">
        <f>'balance_raw_27908470'!$C$28</f>
        <v/>
      </c>
      <c r="D51" s="8">
        <f>'balance_raw_27908470'!$D$28</f>
        <v/>
      </c>
      <c r="E51" s="8">
        <f>'balance_raw_27908470'!$E$28</f>
        <v/>
      </c>
      <c r="F51" s="8">
        <f>'balance_raw_27908470'!$F$28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'balance_raw_27908470'!$B$29</f>
        <v/>
      </c>
      <c r="C52" s="5">
        <f>'balance_raw_27908470'!$C$29</f>
        <v/>
      </c>
      <c r="D52" s="5">
        <f>'balance_raw_27908470'!$D$29</f>
        <v/>
      </c>
      <c r="E52" s="5">
        <f>'balance_raw_27908470'!$E$29</f>
        <v/>
      </c>
      <c r="F52" s="5">
        <f>'balance_raw_27908470'!$F$29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udviklingsomkostninger</t>
        </is>
      </c>
      <c r="B53" s="8">
        <f>'balance_raw_27908470'!$B$30</f>
        <v/>
      </c>
      <c r="C53" s="8">
        <f>'balance_raw_27908470'!$C$30</f>
        <v/>
      </c>
      <c r="D53" s="8">
        <f>'balance_raw_27908470'!$D$30</f>
        <v/>
      </c>
      <c r="E53" s="8">
        <f>'balance_raw_27908470'!$E$30</f>
        <v/>
      </c>
      <c r="F53" s="8">
        <f>'balance_raw_27908470'!$F$30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sikringstransaktioner</t>
        </is>
      </c>
      <c r="B54" s="5">
        <f>'balance_raw_27908470'!$B$31</f>
        <v/>
      </c>
      <c r="C54" s="5">
        <f>'balance_raw_27908470'!$C$31</f>
        <v/>
      </c>
      <c r="D54" s="5">
        <f>'balance_raw_27908470'!$D$31</f>
        <v/>
      </c>
      <c r="E54" s="5">
        <f>'balance_raw_27908470'!$E$31</f>
        <v/>
      </c>
      <c r="F54" s="5">
        <f>'balance_raw_27908470'!$F$31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Andre reserver</t>
        </is>
      </c>
      <c r="B55" s="8">
        <f>'balance_raw_27908470'!$B$32</f>
        <v/>
      </c>
      <c r="C55" s="8">
        <f>'balance_raw_27908470'!$C$32</f>
        <v/>
      </c>
      <c r="D55" s="8">
        <f>'balance_raw_27908470'!$D$32</f>
        <v/>
      </c>
      <c r="E55" s="8">
        <f>'balance_raw_27908470'!$E$32</f>
        <v/>
      </c>
      <c r="F55" s="8">
        <f>'balance_raw_27908470'!$F$32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Overført resultat</t>
        </is>
      </c>
      <c r="B56" s="5">
        <f>'balance_raw_27908470'!$B$33</f>
        <v/>
      </c>
      <c r="C56" s="5">
        <f>'balance_raw_27908470'!$C$33</f>
        <v/>
      </c>
      <c r="D56" s="5">
        <f>'balance_raw_27908470'!$D$33</f>
        <v/>
      </c>
      <c r="E56" s="5">
        <f>'balance_raw_27908470'!$E$33</f>
        <v/>
      </c>
      <c r="F56" s="5">
        <f>'balance_raw_27908470'!$F$33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Egenkapital i alt</t>
        </is>
      </c>
      <c r="B57" s="11">
        <f>'balance_raw_27908470'!$B$34</f>
        <v/>
      </c>
      <c r="C57" s="11">
        <f>'balance_raw_27908470'!$C$34</f>
        <v/>
      </c>
      <c r="D57" s="11">
        <f>'balance_raw_27908470'!$D$34</f>
        <v/>
      </c>
      <c r="E57" s="11">
        <f>'balance_raw_27908470'!$E$34</f>
        <v/>
      </c>
      <c r="F57" s="11">
        <f>'balance_raw_27908470'!$F$34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10" t="inlineStr">
        <is>
          <t>Langfristede gældsforpligtelser</t>
        </is>
      </c>
      <c r="B58" s="11">
        <f>'balance_raw_27908470'!$B$35</f>
        <v/>
      </c>
      <c r="C58" s="11">
        <f>'balance_raw_27908470'!$C$35</f>
        <v/>
      </c>
      <c r="D58" s="11">
        <f>'balance_raw_27908470'!$D$35</f>
        <v/>
      </c>
      <c r="E58" s="11">
        <f>'balance_raw_27908470'!$E$35</f>
        <v/>
      </c>
      <c r="F58" s="11">
        <f>'balance_raw_27908470'!$F$35</f>
        <v/>
      </c>
      <c r="G58" t="inlineStr"/>
      <c r="H58" s="12">
        <f>IFERROR(B58/$B$58*100,"")</f>
        <v/>
      </c>
      <c r="I58" s="12">
        <f>IFERROR(C58/$B$58*100,"")</f>
        <v/>
      </c>
      <c r="J58" s="12">
        <f>IFERROR(D58/$B$58*100,"")</f>
        <v/>
      </c>
      <c r="K58" s="12">
        <f>IFERROR(E58/$B$58*100,"")</f>
        <v/>
      </c>
      <c r="L58" s="12">
        <f>IFERROR(F58/$B$58*100,"")</f>
        <v/>
      </c>
    </row>
    <row r="59" ht="16" customHeight="1">
      <c r="A59" s="7" t="inlineStr">
        <is>
          <t>Ansvarlig lånekapital (kortfristet)</t>
        </is>
      </c>
      <c r="B59" s="8">
        <f>'balance_raw_27908470'!$B$36</f>
        <v/>
      </c>
      <c r="C59" s="8">
        <f>'balance_raw_27908470'!$C$36</f>
        <v/>
      </c>
      <c r="D59" s="8">
        <f>'balance_raw_27908470'!$D$36</f>
        <v/>
      </c>
      <c r="E59" s="8">
        <f>'balance_raw_27908470'!$E$36</f>
        <v/>
      </c>
      <c r="F59" s="8">
        <f>'balance_raw_27908470'!$F$36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Kortfristet del af langfristede gældsforpligtelser</t>
        </is>
      </c>
      <c r="B60" s="5">
        <f>'balance_raw_27908470'!$B$37</f>
        <v/>
      </c>
      <c r="C60" s="5">
        <f>'balance_raw_27908470'!$C$37</f>
        <v/>
      </c>
      <c r="D60" s="5">
        <f>'balance_raw_27908470'!$D$37</f>
        <v/>
      </c>
      <c r="E60" s="5">
        <f>'balance_raw_27908470'!$E$37</f>
        <v/>
      </c>
      <c r="F60" s="5">
        <f>'balance_raw_27908470'!$F$37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Kreditinstitutter</t>
        </is>
      </c>
      <c r="B61" s="8">
        <f>'balance_raw_27908470'!$B$38</f>
        <v/>
      </c>
      <c r="C61" s="8">
        <f>'balance_raw_27908470'!$C$38</f>
        <v/>
      </c>
      <c r="D61" s="8">
        <f>'balance_raw_27908470'!$D$38</f>
        <v/>
      </c>
      <c r="E61" s="8">
        <f>'balance_raw_27908470'!$E$38</f>
        <v/>
      </c>
      <c r="F61" s="8">
        <f>'balance_raw_27908470'!$F$38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Leasingforpligtelser (kortfristet)</t>
        </is>
      </c>
      <c r="B62" s="5">
        <f>'balance_raw_27908470'!$B$39</f>
        <v/>
      </c>
      <c r="C62" s="5">
        <f>'balance_raw_27908470'!$C$39</f>
        <v/>
      </c>
      <c r="D62" s="5">
        <f>'balance_raw_27908470'!$D$39</f>
        <v/>
      </c>
      <c r="E62" s="5">
        <f>'balance_raw_27908470'!$E$39</f>
        <v/>
      </c>
      <c r="F62" s="5">
        <f>'balance_raw_27908470'!$F$39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Leverandører af varer og tjenesteydelser</t>
        </is>
      </c>
      <c r="B63" s="8">
        <f>'balance_raw_27908470'!$B$40</f>
        <v/>
      </c>
      <c r="C63" s="8">
        <f>'balance_raw_27908470'!$C$40</f>
        <v/>
      </c>
      <c r="D63" s="8">
        <f>'balance_raw_27908470'!$D$40</f>
        <v/>
      </c>
      <c r="E63" s="8">
        <f>'balance_raw_27908470'!$E$40</f>
        <v/>
      </c>
      <c r="F63" s="8">
        <f>'balance_raw_27908470'!$F$40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Gæld til tilknyttede virksomheder</t>
        </is>
      </c>
      <c r="B64" s="5">
        <f>'balance_raw_27908470'!$B$41</f>
        <v/>
      </c>
      <c r="C64" s="5">
        <f>'balance_raw_27908470'!$C$41</f>
        <v/>
      </c>
      <c r="D64" s="5">
        <f>'balance_raw_27908470'!$D$41</f>
        <v/>
      </c>
      <c r="E64" s="5">
        <f>'balance_raw_27908470'!$E$41</f>
        <v/>
      </c>
      <c r="F64" s="5">
        <f>'balance_raw_27908470'!$F$41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Gæld til selskabsdeltagere og ledelse</t>
        </is>
      </c>
      <c r="B65" s="8">
        <f>'balance_raw_27908470'!$B$42</f>
        <v/>
      </c>
      <c r="C65" s="8">
        <f>'balance_raw_27908470'!$C$42</f>
        <v/>
      </c>
      <c r="D65" s="8">
        <f>'balance_raw_27908470'!$D$42</f>
        <v/>
      </c>
      <c r="E65" s="8">
        <f>'balance_raw_27908470'!$E$42</f>
        <v/>
      </c>
      <c r="F65" s="8">
        <f>'balance_raw_27908470'!$F$42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Selskabsskat</t>
        </is>
      </c>
      <c r="B66" s="5">
        <f>'balance_raw_27908470'!$B$43</f>
        <v/>
      </c>
      <c r="C66" s="5">
        <f>'balance_raw_27908470'!$C$43</f>
        <v/>
      </c>
      <c r="D66" s="5">
        <f>'balance_raw_27908470'!$D$43</f>
        <v/>
      </c>
      <c r="E66" s="5">
        <f>'balance_raw_27908470'!$E$43</f>
        <v/>
      </c>
      <c r="F66" s="5">
        <f>'balance_raw_27908470'!$F$43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Gæld til tilknyttede virksomheder vedr. selskabsskat</t>
        </is>
      </c>
      <c r="B67" s="8">
        <f>'balance_raw_27908470'!$B$44</f>
        <v/>
      </c>
      <c r="C67" s="8">
        <f>'balance_raw_27908470'!$C$44</f>
        <v/>
      </c>
      <c r="D67" s="8">
        <f>'balance_raw_27908470'!$D$44</f>
        <v/>
      </c>
      <c r="E67" s="8">
        <f>'balance_raw_27908470'!$E$44</f>
        <v/>
      </c>
      <c r="F67" s="8">
        <f>'balance_raw_27908470'!$F$44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Anden gæld (kortfristet)</t>
        </is>
      </c>
      <c r="B68" s="5">
        <f>'balance_raw_27908470'!$B$45</f>
        <v/>
      </c>
      <c r="C68" s="5">
        <f>'balance_raw_27908470'!$C$45</f>
        <v/>
      </c>
      <c r="D68" s="5">
        <f>'balance_raw_27908470'!$D$45</f>
        <v/>
      </c>
      <c r="E68" s="5">
        <f>'balance_raw_27908470'!$E$45</f>
        <v/>
      </c>
      <c r="F68" s="5">
        <f>'balance_raw_27908470'!$F$45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Periodeafgrænsningsposter (passiver)</t>
        </is>
      </c>
      <c r="B69" s="8">
        <f>'balance_raw_27908470'!$B$46</f>
        <v/>
      </c>
      <c r="C69" s="8">
        <f>'balance_raw_27908470'!$C$46</f>
        <v/>
      </c>
      <c r="D69" s="8">
        <f>'balance_raw_27908470'!$D$46</f>
        <v/>
      </c>
      <c r="E69" s="8">
        <f>'balance_raw_27908470'!$E$46</f>
        <v/>
      </c>
      <c r="F69" s="8">
        <f>'balance_raw_27908470'!$F$46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10" t="inlineStr">
        <is>
          <t>Kortfristede gældsforpligtelser</t>
        </is>
      </c>
      <c r="B70" s="11">
        <f>'balance_raw_27908470'!$B$47</f>
        <v/>
      </c>
      <c r="C70" s="11">
        <f>'balance_raw_27908470'!$C$47</f>
        <v/>
      </c>
      <c r="D70" s="11">
        <f>'balance_raw_27908470'!$D$47</f>
        <v/>
      </c>
      <c r="E70" s="11">
        <f>'balance_raw_27908470'!$E$47</f>
        <v/>
      </c>
      <c r="F70" s="11">
        <f>'balance_raw_27908470'!$F$47</f>
        <v/>
      </c>
      <c r="G70" t="inlineStr"/>
      <c r="H70" s="12">
        <f>IFERROR(B70/$B$70*100,"")</f>
        <v/>
      </c>
      <c r="I70" s="12">
        <f>IFERROR(C70/$B$70*100,"")</f>
        <v/>
      </c>
      <c r="J70" s="12">
        <f>IFERROR(D70/$B$70*100,"")</f>
        <v/>
      </c>
      <c r="K70" s="12">
        <f>IFERROR(E70/$B$70*100,"")</f>
        <v/>
      </c>
      <c r="L70" s="12">
        <f>IFERROR(F70/$B$70*100,"")</f>
        <v/>
      </c>
    </row>
    <row r="71" ht="16" customHeight="1">
      <c r="A71" s="10" t="inlineStr">
        <is>
          <t>Gældsforpligtelser</t>
        </is>
      </c>
      <c r="B71" s="11">
        <f>'balance_raw_27908470'!$B$48</f>
        <v/>
      </c>
      <c r="C71" s="11">
        <f>'balance_raw_27908470'!$C$48</f>
        <v/>
      </c>
      <c r="D71" s="11">
        <f>'balance_raw_27908470'!$D$48</f>
        <v/>
      </c>
      <c r="E71" s="11">
        <f>'balance_raw_27908470'!$E$48</f>
        <v/>
      </c>
      <c r="F71" s="11">
        <f>'balance_raw_27908470'!$F$48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10" t="inlineStr">
        <is>
          <t>Passiver</t>
        </is>
      </c>
      <c r="B72" s="11">
        <f>'balance_raw_27908470'!$B$49</f>
        <v/>
      </c>
      <c r="C72" s="11">
        <f>'balance_raw_27908470'!$C$49</f>
        <v/>
      </c>
      <c r="D72" s="11">
        <f>'balance_raw_27908470'!$D$49</f>
        <v/>
      </c>
      <c r="E72" s="11">
        <f>'balance_raw_27908470'!$E$49</f>
        <v/>
      </c>
      <c r="F72" s="11">
        <f>'balance_raw_27908470'!$F$49</f>
        <v/>
      </c>
      <c r="G72" t="inlineStr"/>
      <c r="H72" s="12">
        <f>IFERROR(B72/$B$72*100,"")</f>
        <v/>
      </c>
      <c r="I72" s="12">
        <f>IFERROR(C72/$B$72*100,"")</f>
        <v/>
      </c>
      <c r="J72" s="12">
        <f>IFERROR(D72/$B$72*100,"")</f>
        <v/>
      </c>
      <c r="K72" s="12">
        <f>IFERROR(E72/$B$72*100,"")</f>
        <v/>
      </c>
      <c r="L72" s="12">
        <f>IFERROR(F72/$B$72*100,"")</f>
        <v/>
      </c>
    </row>
    <row r="74" ht="22" customHeight="1">
      <c r="A74" s="3" t="inlineStr">
        <is>
          <t>NØGLEOPLYSNINGER</t>
        </is>
      </c>
      <c r="B74" s="3" t="n">
        <v>2021</v>
      </c>
      <c r="C74" s="3" t="n">
        <v>2022</v>
      </c>
      <c r="D74" s="3" t="n">
        <v>2023</v>
      </c>
      <c r="E74" s="3" t="n">
        <v>2024</v>
      </c>
      <c r="F74" s="3" t="n">
        <v>2025</v>
      </c>
    </row>
    <row r="75" ht="16" customHeight="1">
      <c r="A75" s="7" t="inlineStr">
        <is>
          <t>Gns. antal medarbejdere</t>
        </is>
      </c>
      <c r="B75" s="8">
        <f>'res_raw_27908470'!$B$19</f>
        <v/>
      </c>
      <c r="C75" s="8">
        <f>'res_raw_27908470'!$C$19</f>
        <v/>
      </c>
      <c r="D75" s="8">
        <f>'res_raw_27908470'!$D$19</f>
        <v/>
      </c>
      <c r="E75" s="8">
        <f>'res_raw_27908470'!$E$19</f>
        <v/>
      </c>
      <c r="F75" s="8">
        <f>'res_raw_27908470'!$F$19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Investering i materielle anlægsaktiver</t>
        </is>
      </c>
      <c r="B76" s="5">
        <f>'res_raw_27908470'!$B$20</f>
        <v/>
      </c>
      <c r="C76" s="5">
        <f>'res_raw_27908470'!$C$20</f>
        <v/>
      </c>
      <c r="D76" s="5">
        <f>'res_raw_27908470'!$D$20</f>
        <v/>
      </c>
      <c r="E76" s="5">
        <f>'res_raw_27908470'!$E$20</f>
        <v/>
      </c>
      <c r="F76" s="5">
        <f>'res_raw_27908470'!$F$20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8" ht="22" customHeight="1">
      <c r="A78" s="3" t="inlineStr">
        <is>
          <t>NØGLETAL</t>
        </is>
      </c>
      <c r="B78" s="3" t="n">
        <v>2021</v>
      </c>
      <c r="C78" s="3" t="n">
        <v>2022</v>
      </c>
      <c r="D78" s="3" t="n">
        <v>2023</v>
      </c>
      <c r="E78" s="3" t="n">
        <v>2024</v>
      </c>
      <c r="F78" s="3" t="n">
        <v>2025</v>
      </c>
    </row>
    <row r="79" ht="16" customHeight="1">
      <c r="A79" s="7" t="inlineStr">
        <is>
          <t>Afkastningsgrad, %</t>
        </is>
      </c>
      <c r="B79" s="13">
        <f>IFERROR(($B$13+$B$15+$B$14)/$B$48*100,"")</f>
        <v/>
      </c>
      <c r="C79" s="13">
        <f>IFERROR(($C$13+$C$15+$C$14)/$C$48*100,"")</f>
        <v/>
      </c>
      <c r="D79" s="13">
        <f>IFERROR(($D$13+$D$15+$D$14)/$D$48*100,"")</f>
        <v/>
      </c>
      <c r="E79" s="13">
        <f>IFERROR(($E$13+$E$15+$E$14)/$E$48*100,"")</f>
        <v/>
      </c>
      <c r="F79" s="13">
        <f>IFERROR(($F$13+$F$15+$F$14)/$F$48*100,"")</f>
        <v/>
      </c>
    </row>
    <row r="80" ht="16" customHeight="1">
      <c r="A80" s="4" t="inlineStr">
        <is>
          <t>Overskudsgrad, %</t>
        </is>
      </c>
      <c r="B80" s="14">
        <f>IFERROR(($B$13+$B$15+$B$14)/$B$4*100,"")</f>
        <v/>
      </c>
      <c r="C80" s="14">
        <f>IFERROR(($C$13+$C$15+$C$14)/$C$4*100,"")</f>
        <v/>
      </c>
      <c r="D80" s="14">
        <f>IFERROR(($D$13+$D$15+$D$14)/$D$4*100,"")</f>
        <v/>
      </c>
      <c r="E80" s="14">
        <f>IFERROR(($E$13+$E$15+$E$14)/$E$4*100,"")</f>
        <v/>
      </c>
      <c r="F80" s="14">
        <f>IFERROR(($F$13+$F$15+$F$14)/$F$4*100,"")</f>
        <v/>
      </c>
    </row>
    <row r="81" ht="16" customHeight="1">
      <c r="A81" s="7" t="inlineStr">
        <is>
          <t>Aktivernes omsætningshastighed, gange</t>
        </is>
      </c>
      <c r="B81" s="13">
        <f>IFERROR($B$4/$B$48,"")</f>
        <v/>
      </c>
      <c r="C81" s="13">
        <f>IFERROR($C$4/$C$48,"")</f>
        <v/>
      </c>
      <c r="D81" s="13">
        <f>IFERROR($D$4/$D$48,"")</f>
        <v/>
      </c>
      <c r="E81" s="13">
        <f>IFERROR($E$4/$E$48,"")</f>
        <v/>
      </c>
      <c r="F81" s="13">
        <f>IFERROR($F$4/$F$48,"")</f>
        <v/>
      </c>
    </row>
    <row r="82" ht="16" customHeight="1">
      <c r="A82" s="4" t="inlineStr">
        <is>
          <t>Egenkapitalens forrentning, %</t>
        </is>
      </c>
      <c r="B82" s="14">
        <f>IFERROR($B$18/$B$57*100,"")</f>
        <v/>
      </c>
      <c r="C82" s="14">
        <f>IFERROR($C$18/$C$57*100,"")</f>
        <v/>
      </c>
      <c r="D82" s="14">
        <f>IFERROR($D$18/$D$57*100,"")</f>
        <v/>
      </c>
      <c r="E82" s="14">
        <f>IFERROR($E$18/$E$57*100,"")</f>
        <v/>
      </c>
      <c r="F82" s="14">
        <f>IFERROR($F$18/$F$57*100,"")</f>
        <v/>
      </c>
    </row>
    <row r="83" ht="16" customHeight="1">
      <c r="A83" s="7" t="inlineStr">
        <is>
          <t>Gældsrente, %</t>
        </is>
      </c>
      <c r="B83" s="13">
        <f>IFERROR($B$16/($B$72-$B$57)*100,"")</f>
        <v/>
      </c>
      <c r="C83" s="13">
        <f>IFERROR($C$16/($C$72-$C$57)*100,"")</f>
        <v/>
      </c>
      <c r="D83" s="13">
        <f>IFERROR($D$16/($D$72-$D$57)*100,"")</f>
        <v/>
      </c>
      <c r="E83" s="13">
        <f>IFERROR($E$16/($E$72-$E$57)*100,"")</f>
        <v/>
      </c>
      <c r="F83" s="13">
        <f>IFERROR($F$16/($F$72-$F$57)*100,"")</f>
        <v/>
      </c>
    </row>
    <row r="84" ht="16" customHeight="1">
      <c r="A84" s="4" t="inlineStr">
        <is>
          <t>Soliditetsgrad, %</t>
        </is>
      </c>
      <c r="B84" s="14">
        <f>IFERROR($B$57/$B$48*100,"")</f>
        <v/>
      </c>
      <c r="C84" s="14">
        <f>IFERROR($C$57/$C$48*100,"")</f>
        <v/>
      </c>
      <c r="D84" s="14">
        <f>IFERROR($D$57/$D$48*100,"")</f>
        <v/>
      </c>
      <c r="E84" s="14">
        <f>IFERROR($E$57/$E$48*100,"")</f>
        <v/>
      </c>
      <c r="F84" s="14">
        <f>IFERROR($F$57/$F$48*100,"")</f>
        <v/>
      </c>
    </row>
    <row r="85" ht="16" customHeight="1">
      <c r="A85" s="7" t="inlineStr">
        <is>
          <t>Gearing</t>
        </is>
      </c>
      <c r="B85" s="13">
        <f>IFERROR(($B$72-$B$57)/$B$57,"")</f>
        <v/>
      </c>
      <c r="C85" s="13">
        <f>IFERROR(($C$72-$C$57)/$C$57,"")</f>
        <v/>
      </c>
      <c r="D85" s="13">
        <f>IFERROR(($D$72-$D$57)/$D$57,"")</f>
        <v/>
      </c>
      <c r="E85" s="13">
        <f>IFERROR(($E$72-$E$57)/$E$57,"")</f>
        <v/>
      </c>
      <c r="F85" s="13">
        <f>IFERROR(($F$72-$F$57)/$F$57,"")</f>
        <v/>
      </c>
    </row>
    <row r="86" ht="16" customHeight="1">
      <c r="A86" s="4" t="inlineStr">
        <is>
          <t>Likviditetsgrad, %</t>
        </is>
      </c>
      <c r="B86" s="14">
        <f>IFERROR($B$47/$B$70*100,"")</f>
        <v/>
      </c>
      <c r="C86" s="14">
        <f>IFERROR($C$47/$C$70*100,"")</f>
        <v/>
      </c>
      <c r="D86" s="14">
        <f>IFERROR($D$47/$D$70*100,"")</f>
        <v/>
      </c>
      <c r="E86" s="14">
        <f>IFERROR($E$47/$E$70*100,"")</f>
        <v/>
      </c>
      <c r="F86" s="14">
        <f>IFERROR($F$47/$F$70*100,"")</f>
        <v/>
      </c>
    </row>
    <row r="87" ht="16" customHeight="1">
      <c r="A87" s="7" t="inlineStr">
        <is>
          <t>Rentemarginal, %</t>
        </is>
      </c>
      <c r="B87" s="13">
        <f>IFERROR(B79-B83,"")</f>
        <v/>
      </c>
      <c r="C87" s="13">
        <f>IFERROR(C79-C83,"")</f>
        <v/>
      </c>
      <c r="D87" s="13">
        <f>IFERROR(D79-D83,"")</f>
        <v/>
      </c>
      <c r="E87" s="13">
        <f>IFERROR(E79-E83,"")</f>
        <v/>
      </c>
      <c r="F87" s="13">
        <f>IFERROR(F79-F83,"")</f>
        <v/>
      </c>
    </row>
    <row r="88" ht="16" customHeight="1">
      <c r="A88" s="4" t="inlineStr">
        <is>
          <t>Gældsandel, %</t>
        </is>
      </c>
      <c r="B88" s="14">
        <f>IFERROR(($B$72-$B$57)/$B$48*100,"")</f>
        <v/>
      </c>
      <c r="C88" s="14">
        <f>IFERROR(($C$72-$C$57)/$C$48*100,"")</f>
        <v/>
      </c>
      <c r="D88" s="14">
        <f>IFERROR(($D$72-$D$57)/$D$48*100,"")</f>
        <v/>
      </c>
      <c r="E88" s="14">
        <f>IFERROR(($E$72-$E$57)/$E$48*100,"")</f>
        <v/>
      </c>
      <c r="F88" s="14">
        <f>IFERROR(($F$72-$F$57)/$F$48*100,"")</f>
        <v/>
      </c>
    </row>
    <row r="89" ht="16" customHeight="1">
      <c r="A89" s="7" t="inlineStr">
        <is>
          <t>Kapitalbindingsgrad, %</t>
        </is>
      </c>
      <c r="B89" s="13">
        <f>IFERROR($B$32/($B$57+$B$58)*100,"")</f>
        <v/>
      </c>
      <c r="C89" s="13">
        <f>IFERROR($C$32/($C$57+$C$58)*100,"")</f>
        <v/>
      </c>
      <c r="D89" s="13">
        <f>IFERROR($D$32/($D$57+$D$58)*100,"")</f>
        <v/>
      </c>
      <c r="E89" s="13">
        <f>IFERROR($E$32/($E$57+$E$58)*100,"")</f>
        <v/>
      </c>
      <c r="F89" s="13">
        <f>IFERROR($F$32/($F$57+$F$58)*100,"")</f>
        <v/>
      </c>
    </row>
    <row r="91">
      <c r="A91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Refsvindinge Bryggeri ApS (CVR 27908470)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3365</v>
      </c>
      <c r="C6" s="16" t="n">
        <v>3181</v>
      </c>
      <c r="D6" s="16" t="n">
        <v>2103</v>
      </c>
      <c r="E6" s="16" t="n">
        <v>2505</v>
      </c>
      <c r="F6" s="16" t="n">
        <v>2127</v>
      </c>
    </row>
    <row r="7">
      <c r="A7" s="15" t="inlineStr">
        <is>
          <t>Personaleomkostninger</t>
        </is>
      </c>
      <c r="B7" s="16" t="n">
        <v>1707</v>
      </c>
      <c r="C7" s="16" t="n">
        <v>1808</v>
      </c>
      <c r="D7" s="16" t="n">
        <v>2039</v>
      </c>
      <c r="E7" s="16" t="n">
        <v>1984</v>
      </c>
      <c r="F7" s="16" t="n">
        <v>1954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334</v>
      </c>
      <c r="C9" s="16" t="n">
        <v>310</v>
      </c>
      <c r="D9" s="16" t="n">
        <v>179</v>
      </c>
      <c r="E9" s="16" t="n">
        <v>170</v>
      </c>
      <c r="F9" s="16" t="n">
        <v>106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>
        <v>322</v>
      </c>
      <c r="F10" s="16" t="n">
        <v>0</v>
      </c>
    </row>
    <row r="11">
      <c r="A11" s="17" t="inlineStr">
        <is>
          <t>Resultat af primær drift</t>
        </is>
      </c>
      <c r="B11" s="16" t="n">
        <v>1324</v>
      </c>
      <c r="C11" s="16" t="n">
        <v>1063</v>
      </c>
      <c r="D11" s="16" t="n">
        <v>-115</v>
      </c>
      <c r="E11" s="16" t="n">
        <v>28</v>
      </c>
      <c r="F11" s="16" t="n">
        <v>67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0</v>
      </c>
      <c r="C13" s="16" t="n">
        <v>0</v>
      </c>
      <c r="D13" s="16" t="n"/>
      <c r="E13" s="16" t="n"/>
      <c r="F13" s="16" t="n">
        <v>18</v>
      </c>
    </row>
    <row r="14">
      <c r="A14" s="15" t="inlineStr">
        <is>
          <t>Finansielle omkostninger</t>
        </is>
      </c>
      <c r="B14" s="16" t="n">
        <v>88</v>
      </c>
      <c r="C14" s="16" t="n">
        <v>91</v>
      </c>
      <c r="D14" s="16" t="n">
        <v>109</v>
      </c>
      <c r="E14" s="16" t="n">
        <v>81</v>
      </c>
      <c r="F14" s="16" t="n">
        <v>56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1236</v>
      </c>
      <c r="C16" s="16" t="n">
        <v>973</v>
      </c>
      <c r="D16" s="16" t="n">
        <v>-224</v>
      </c>
      <c r="E16" s="16" t="n">
        <v>-53</v>
      </c>
      <c r="F16" s="16" t="n">
        <v>30</v>
      </c>
    </row>
    <row r="17">
      <c r="A17" s="15" t="inlineStr">
        <is>
          <t>Skat af årets resultat</t>
        </is>
      </c>
      <c r="B17" s="16" t="n">
        <v>274</v>
      </c>
      <c r="C17" s="16" t="n">
        <v>218</v>
      </c>
      <c r="D17" s="16" t="n">
        <v>-49</v>
      </c>
      <c r="E17" s="16" t="n">
        <v>168</v>
      </c>
      <c r="F17" s="16" t="n">
        <v>8</v>
      </c>
    </row>
    <row r="18">
      <c r="A18" s="17" t="inlineStr">
        <is>
          <t>Årets resultat</t>
        </is>
      </c>
      <c r="B18" s="16" t="n">
        <v>961</v>
      </c>
      <c r="C18" s="16" t="n">
        <v>755</v>
      </c>
      <c r="D18" s="16" t="n">
        <v>-175</v>
      </c>
      <c r="E18" s="16" t="n">
        <v>-221</v>
      </c>
      <c r="F18" s="16" t="n">
        <v>22</v>
      </c>
    </row>
    <row r="19">
      <c r="A19" s="15" t="inlineStr">
        <is>
          <t>Gns. antal medarbejdere</t>
        </is>
      </c>
      <c r="B19" s="16" t="n">
        <v>5</v>
      </c>
      <c r="C19" s="16" t="n">
        <v>6</v>
      </c>
      <c r="D19" s="16" t="n">
        <v>5</v>
      </c>
      <c r="E19" s="16" t="n">
        <v>5</v>
      </c>
      <c r="F19" s="16" t="n">
        <v>5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Refsvindinge Bryggeri ApS (CVR 27908470)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>
        <v>2287</v>
      </c>
      <c r="C2" s="16" t="n">
        <v>2484</v>
      </c>
      <c r="D2" s="16" t="n">
        <v>2415</v>
      </c>
      <c r="E2" s="16" t="n">
        <v>0</v>
      </c>
      <c r="F2" s="16" t="n"/>
    </row>
    <row r="3">
      <c r="A3" s="15" t="inlineStr">
        <is>
          <t>Produktionsanlæg og maskiner</t>
        </is>
      </c>
      <c r="B3" s="16" t="n">
        <v>538</v>
      </c>
      <c r="C3" s="16" t="n">
        <v>291</v>
      </c>
      <c r="D3" s="16" t="n">
        <v>231</v>
      </c>
      <c r="E3" s="16" t="n">
        <v>132</v>
      </c>
      <c r="F3" s="16" t="n">
        <v>55</v>
      </c>
    </row>
    <row r="4">
      <c r="A4" s="15" t="inlineStr">
        <is>
          <t>Driftsmateriel og inventar</t>
        </is>
      </c>
      <c r="B4" s="16" t="n"/>
      <c r="C4" s="16" t="n"/>
      <c r="D4" s="16" t="n"/>
      <c r="E4" s="16" t="n"/>
      <c r="F4" s="16" t="n"/>
    </row>
    <row r="5">
      <c r="A5" s="15" t="inlineStr">
        <is>
          <t>Indretning af lejede lokaler</t>
        </is>
      </c>
      <c r="B5" s="16" t="n"/>
      <c r="C5" s="16" t="n"/>
      <c r="D5" s="16" t="n"/>
      <c r="E5" s="16" t="n">
        <v>232</v>
      </c>
      <c r="F5" s="16" t="n">
        <v>223</v>
      </c>
    </row>
    <row r="6">
      <c r="A6" s="15" t="inlineStr">
        <is>
          <t>Forudbetaling og anlægsaktiver under opførelse</t>
        </is>
      </c>
      <c r="B6" s="16" t="n"/>
      <c r="C6" s="16" t="n"/>
      <c r="D6" s="16" t="n"/>
      <c r="E6" s="16" t="n"/>
      <c r="F6" s="16" t="n"/>
    </row>
    <row r="7">
      <c r="A7" s="17" t="inlineStr">
        <is>
          <t>Materielle anlægsaktiver</t>
        </is>
      </c>
      <c r="B7" s="16" t="n">
        <v>2825</v>
      </c>
      <c r="C7" s="16" t="n">
        <v>2775</v>
      </c>
      <c r="D7" s="16" t="n">
        <v>2646</v>
      </c>
      <c r="E7" s="16" t="n">
        <v>364</v>
      </c>
      <c r="F7" s="16" t="n">
        <v>279</v>
      </c>
    </row>
    <row r="8">
      <c r="A8" s="15" t="inlineStr">
        <is>
          <t>Kapitalandele, dattervirksomheder</t>
        </is>
      </c>
      <c r="B8" s="16" t="n"/>
      <c r="C8" s="16" t="n"/>
      <c r="D8" s="16" t="n"/>
      <c r="E8" s="16" t="n"/>
      <c r="F8" s="16" t="n"/>
    </row>
    <row r="9">
      <c r="A9" s="15" t="inlineStr">
        <is>
          <t>Deposita</t>
        </is>
      </c>
      <c r="B9" s="16" t="n">
        <v>259</v>
      </c>
      <c r="C9" s="16" t="n">
        <v>259</v>
      </c>
      <c r="D9" s="16" t="n">
        <v>259</v>
      </c>
      <c r="E9" s="16" t="n">
        <v>259</v>
      </c>
      <c r="F9" s="16" t="n">
        <v>259</v>
      </c>
    </row>
    <row r="10">
      <c r="A10" s="17" t="inlineStr">
        <is>
          <t>Finansielle anlægsaktiver</t>
        </is>
      </c>
      <c r="B10" s="16" t="n">
        <v>259</v>
      </c>
      <c r="C10" s="16" t="n">
        <v>259</v>
      </c>
      <c r="D10" s="16" t="n">
        <v>259</v>
      </c>
      <c r="E10" s="16" t="n">
        <v>259</v>
      </c>
      <c r="F10" s="16" t="n">
        <v>259</v>
      </c>
    </row>
    <row r="11">
      <c r="A11" s="17" t="inlineStr">
        <is>
          <t>Anlægsaktiver</t>
        </is>
      </c>
      <c r="B11" s="16" t="n">
        <v>3084</v>
      </c>
      <c r="C11" s="16" t="n">
        <v>3034</v>
      </c>
      <c r="D11" s="16" t="n">
        <v>2905</v>
      </c>
      <c r="E11" s="16" t="n">
        <v>624</v>
      </c>
      <c r="F11" s="16" t="n">
        <v>538</v>
      </c>
    </row>
    <row r="12">
      <c r="A12" s="15" t="inlineStr">
        <is>
          <t>Råvarer og hjælpematerialer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Varer under fremstilling</t>
        </is>
      </c>
      <c r="B13" s="16" t="n"/>
      <c r="C13" s="16" t="n"/>
      <c r="D13" s="16" t="n"/>
      <c r="E13" s="16" t="n"/>
      <c r="F13" s="16" t="n"/>
    </row>
    <row r="14">
      <c r="A14" s="15" t="inlineStr">
        <is>
          <t>Færdigvarer og handelsvarer</t>
        </is>
      </c>
      <c r="B14" s="16" t="n">
        <v>1050</v>
      </c>
      <c r="C14" s="16" t="n">
        <v>1160</v>
      </c>
      <c r="D14" s="16" t="n">
        <v>1049</v>
      </c>
      <c r="E14" s="16" t="n">
        <v>1128</v>
      </c>
      <c r="F14" s="16" t="n">
        <v>1183</v>
      </c>
    </row>
    <row r="15">
      <c r="A15" s="17" t="inlineStr">
        <is>
          <t>Varebeholdninger</t>
        </is>
      </c>
      <c r="B15" s="16" t="n">
        <v>1050</v>
      </c>
      <c r="C15" s="16" t="n">
        <v>1160</v>
      </c>
      <c r="D15" s="16" t="n">
        <v>1049</v>
      </c>
      <c r="E15" s="16" t="n">
        <v>1128</v>
      </c>
      <c r="F15" s="16" t="n">
        <v>1183</v>
      </c>
    </row>
    <row r="16">
      <c r="A16" s="15" t="inlineStr">
        <is>
          <t>Tilgodehavender fra salg og tjenesteydelser</t>
        </is>
      </c>
      <c r="B16" s="16" t="n">
        <v>391</v>
      </c>
      <c r="C16" s="16" t="n">
        <v>633</v>
      </c>
      <c r="D16" s="16" t="n">
        <v>489</v>
      </c>
      <c r="E16" s="16" t="n">
        <v>618</v>
      </c>
      <c r="F16" s="16" t="n">
        <v>240</v>
      </c>
    </row>
    <row r="17">
      <c r="A17" s="15" t="inlineStr">
        <is>
          <t>Tilgodehavender hos tilknyttede virksomheder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Andre tilgodehavender</t>
        </is>
      </c>
      <c r="B18" s="16" t="n">
        <v>120</v>
      </c>
      <c r="C18" s="16" t="n">
        <v>208</v>
      </c>
      <c r="D18" s="16" t="n">
        <v>140</v>
      </c>
      <c r="E18" s="16" t="n">
        <v>2049</v>
      </c>
      <c r="F18" s="16" t="n">
        <v>170</v>
      </c>
    </row>
    <row r="19">
      <c r="A19" s="15" t="inlineStr">
        <is>
          <t>Periodeafgrænsningsposter (aktiver)</t>
        </is>
      </c>
      <c r="B19" s="16" t="n">
        <v>0</v>
      </c>
      <c r="C19" s="16" t="n">
        <v>14</v>
      </c>
      <c r="D19" s="16" t="n">
        <v>31</v>
      </c>
      <c r="E19" s="16" t="n">
        <v>30</v>
      </c>
      <c r="F19" s="16" t="n">
        <v>34</v>
      </c>
    </row>
    <row r="20">
      <c r="A20" s="15" t="inlineStr">
        <is>
          <t>Udskudt skatteaktiv</t>
        </is>
      </c>
      <c r="B20" s="16" t="n">
        <v>113</v>
      </c>
      <c r="C20" s="16" t="n">
        <v>141</v>
      </c>
      <c r="D20" s="16" t="n">
        <v>170</v>
      </c>
      <c r="E20" s="16" t="n">
        <v>46</v>
      </c>
      <c r="F20" s="16" t="n">
        <v>46</v>
      </c>
    </row>
    <row r="21">
      <c r="A21" s="15" t="inlineStr">
        <is>
          <t>Tilgodehavende skat hos tilknyttede virksomheder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Kortfristede skattetilgodehavender</t>
        </is>
      </c>
      <c r="B22" s="16" t="n"/>
      <c r="C22" s="16" t="n"/>
      <c r="D22" s="16" t="n">
        <v>20</v>
      </c>
      <c r="E22" s="16" t="n">
        <v>20</v>
      </c>
      <c r="F22" s="16" t="n">
        <v>0</v>
      </c>
    </row>
    <row r="23">
      <c r="A23" s="17" t="inlineStr">
        <is>
          <t>Tilgodehavender</t>
        </is>
      </c>
      <c r="B23" s="16" t="n">
        <v>624</v>
      </c>
      <c r="C23" s="16" t="n">
        <v>996</v>
      </c>
      <c r="D23" s="16" t="n">
        <v>849</v>
      </c>
      <c r="E23" s="16" t="n">
        <v>2763</v>
      </c>
      <c r="F23" s="16" t="n">
        <v>490</v>
      </c>
    </row>
    <row r="24">
      <c r="A24" s="15" t="inlineStr">
        <is>
          <t>Værdipapirer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Likvide beholdninger</t>
        </is>
      </c>
      <c r="B25" s="16" t="n">
        <v>973</v>
      </c>
      <c r="C25" s="16" t="n">
        <v>980</v>
      </c>
      <c r="D25" s="16" t="n">
        <v>949</v>
      </c>
      <c r="E25" s="16" t="n">
        <v>1179</v>
      </c>
      <c r="F25" s="16" t="n">
        <v>832</v>
      </c>
    </row>
    <row r="26">
      <c r="A26" s="17" t="inlineStr">
        <is>
          <t>Omsætningsaktiver</t>
        </is>
      </c>
      <c r="B26" s="16" t="n">
        <v>2647</v>
      </c>
      <c r="C26" s="16" t="n">
        <v>3136</v>
      </c>
      <c r="D26" s="16" t="n">
        <v>2847</v>
      </c>
      <c r="E26" s="16" t="n">
        <v>5070</v>
      </c>
      <c r="F26" s="16" t="n">
        <v>2505</v>
      </c>
    </row>
    <row r="27">
      <c r="A27" s="17" t="inlineStr">
        <is>
          <t>Aktiver</t>
        </is>
      </c>
      <c r="B27" s="16" t="n">
        <v>5730</v>
      </c>
      <c r="C27" s="16" t="n">
        <v>6170</v>
      </c>
      <c r="D27" s="16" t="n">
        <v>5752</v>
      </c>
      <c r="E27" s="16" t="n">
        <v>5693</v>
      </c>
      <c r="F27" s="16" t="n">
        <v>3043</v>
      </c>
    </row>
    <row r="28">
      <c r="A28" s="15" t="inlineStr">
        <is>
          <t>Selskabskapital</t>
        </is>
      </c>
      <c r="B28" s="16" t="n">
        <v>125</v>
      </c>
      <c r="C28" s="16" t="n">
        <v>125</v>
      </c>
      <c r="D28" s="16" t="n">
        <v>125</v>
      </c>
      <c r="E28" s="16" t="n">
        <v>125</v>
      </c>
      <c r="F28" s="16" t="n">
        <v>125</v>
      </c>
    </row>
    <row r="29">
      <c r="A29" s="15" t="inlineStr">
        <is>
          <t>Reserve for nettoopskrivning (indre værdis metode)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Reserve for udviklingsomkostninger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sikringstransaktioner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Andre reserver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Overført resultat</t>
        </is>
      </c>
      <c r="B33" s="16" t="n">
        <v>2417</v>
      </c>
      <c r="C33" s="16" t="n">
        <v>2672</v>
      </c>
      <c r="D33" s="16" t="n">
        <v>2497</v>
      </c>
      <c r="E33" s="16" t="n">
        <v>1276</v>
      </c>
      <c r="F33" s="16" t="n">
        <v>1298</v>
      </c>
    </row>
    <row r="34">
      <c r="A34" s="17" t="inlineStr">
        <is>
          <t>Egenkapital i alt</t>
        </is>
      </c>
      <c r="B34" s="16" t="n">
        <v>3542</v>
      </c>
      <c r="C34" s="16" t="n">
        <v>3297</v>
      </c>
      <c r="D34" s="16" t="n">
        <v>2622</v>
      </c>
      <c r="E34" s="16" t="n">
        <v>2401</v>
      </c>
      <c r="F34" s="16" t="n">
        <v>1423</v>
      </c>
    </row>
    <row r="35">
      <c r="A35" s="17" t="inlineStr">
        <is>
          <t>Langfristede gældsforpligtelser</t>
        </is>
      </c>
      <c r="B35" s="16" t="n">
        <v>163</v>
      </c>
      <c r="C35" s="16" t="n">
        <v>245</v>
      </c>
      <c r="D35" s="16" t="n">
        <v>0</v>
      </c>
      <c r="E35" s="16" t="n">
        <v>45</v>
      </c>
      <c r="F35" s="16" t="n">
        <v>8</v>
      </c>
    </row>
    <row r="36">
      <c r="A36" s="15" t="inlineStr">
        <is>
          <t>Ansvarlig lånekapital (kortfristet)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Kortfristet del af langfristede gældsforpligtelser</t>
        </is>
      </c>
      <c r="B37" s="16" t="n"/>
      <c r="C37" s="16" t="n"/>
      <c r="D37" s="16" t="n"/>
      <c r="E37" s="16" t="n"/>
      <c r="F37" s="16" t="n"/>
    </row>
    <row r="38">
      <c r="A38" s="15" t="inlineStr">
        <is>
          <t>Kreditinstitutter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Leasingforpligtelser (kortfristet)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Leverandører af varer og tjenesteydelser</t>
        </is>
      </c>
      <c r="B40" s="16" t="n">
        <v>499</v>
      </c>
      <c r="C40" s="16" t="n">
        <v>639</v>
      </c>
      <c r="D40" s="16" t="n">
        <v>767</v>
      </c>
      <c r="E40" s="16" t="n">
        <v>890</v>
      </c>
      <c r="F40" s="16" t="n">
        <v>297</v>
      </c>
    </row>
    <row r="41">
      <c r="A41" s="15" t="inlineStr">
        <is>
          <t>Gæld til tilknyttede virksomheder</t>
        </is>
      </c>
      <c r="B41" s="16" t="n">
        <v>977</v>
      </c>
      <c r="C41" s="16" t="n">
        <v>1544</v>
      </c>
      <c r="D41" s="16" t="n">
        <v>1833</v>
      </c>
      <c r="E41" s="16" t="n">
        <v>1907</v>
      </c>
      <c r="F41" s="16" t="n">
        <v>981</v>
      </c>
    </row>
    <row r="42">
      <c r="A42" s="15" t="inlineStr">
        <is>
          <t>Gæld til selskabsdeltagere og ledelse</t>
        </is>
      </c>
      <c r="B42" s="16" t="n"/>
      <c r="C42" s="16" t="n"/>
      <c r="D42" s="16" t="n"/>
      <c r="E42" s="16" t="n">
        <v>222</v>
      </c>
      <c r="F42" s="16" t="n">
        <v>57</v>
      </c>
    </row>
    <row r="43">
      <c r="A43" s="15" t="inlineStr">
        <is>
          <t>Selskabsskat</t>
        </is>
      </c>
      <c r="B43" s="16" t="n">
        <v>63</v>
      </c>
      <c r="C43" s="16" t="n">
        <v>0</v>
      </c>
      <c r="D43" s="16" t="n"/>
      <c r="E43" s="16" t="n"/>
      <c r="F43" s="16" t="n">
        <v>45</v>
      </c>
    </row>
    <row r="44">
      <c r="A44" s="15" t="inlineStr">
        <is>
          <t>Gæld til tilknyttede virksomheder vedr. selskabsskat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Anden gæld (kortfristet)</t>
        </is>
      </c>
      <c r="B45" s="16" t="n">
        <v>487</v>
      </c>
      <c r="C45" s="16" t="n">
        <v>444</v>
      </c>
      <c r="D45" s="16" t="n"/>
      <c r="E45" s="16" t="n"/>
      <c r="F45" s="16" t="n"/>
    </row>
    <row r="46">
      <c r="A46" s="15" t="inlineStr">
        <is>
          <t>Periodeafgrænsningsposter (passiver)</t>
        </is>
      </c>
      <c r="B46" s="16" t="n"/>
      <c r="C46" s="16" t="n"/>
      <c r="D46" s="16" t="n"/>
      <c r="E46" s="16" t="n"/>
      <c r="F46" s="16" t="n"/>
    </row>
    <row r="47">
      <c r="A47" s="17" t="inlineStr">
        <is>
          <t>Kortfristede gældsforpligtelser</t>
        </is>
      </c>
      <c r="B47" s="16" t="n">
        <v>2026</v>
      </c>
      <c r="C47" s="16" t="n">
        <v>2628</v>
      </c>
      <c r="D47" s="16" t="n">
        <v>3130</v>
      </c>
      <c r="E47" s="16" t="n">
        <v>3248</v>
      </c>
      <c r="F47" s="16" t="n">
        <v>1612</v>
      </c>
    </row>
    <row r="48">
      <c r="A48" s="17" t="inlineStr">
        <is>
          <t>Gældsforpligtelser</t>
        </is>
      </c>
      <c r="B48" s="16" t="n">
        <v>2189</v>
      </c>
      <c r="C48" s="16" t="n">
        <v>2873</v>
      </c>
      <c r="D48" s="16" t="n">
        <v>3130</v>
      </c>
      <c r="E48" s="16" t="n">
        <v>3293</v>
      </c>
      <c r="F48" s="16" t="n">
        <v>1620</v>
      </c>
    </row>
    <row r="49">
      <c r="A49" s="17" t="inlineStr">
        <is>
          <t>Passiver</t>
        </is>
      </c>
      <c r="B49" s="16" t="n">
        <v>5730</v>
      </c>
      <c r="C49" s="16" t="n">
        <v>6170</v>
      </c>
      <c r="D49" s="16" t="n">
        <v>5752</v>
      </c>
      <c r="E49" s="16" t="n">
        <v>5693</v>
      </c>
      <c r="F49" s="16" t="n">
        <v>3043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Refsvindinge Bryggeri ApS (CVR 27908470) — Regnskabs- og nøgletal (CVR: 27908470)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'res_raw_27908470'!$F$2</f>
        <v/>
      </c>
      <c r="C5" s="24">
        <f>'res_raw_27908470'!$E$2</f>
        <v/>
      </c>
      <c r="D5" s="24">
        <f>'res_raw_27908470'!$D$2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'res_raw_27908470'!$F$3</f>
        <v/>
      </c>
      <c r="C6" s="24">
        <f>'res_raw_27908470'!$E$3</f>
        <v/>
      </c>
      <c r="D6" s="24">
        <f>'res_raw_27908470'!$D$3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-'res_raw_27908470'!$F$4</f>
        <v/>
      </c>
      <c r="C7" s="24">
        <f>-'res_raw_27908470'!$E$4</f>
        <v/>
      </c>
      <c r="D7" s="24">
        <f>-'res_raw_27908470'!$D$4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-'res_raw_27908470'!$F$5</f>
        <v/>
      </c>
      <c r="C8" s="24">
        <f>-'res_raw_27908470'!$E$5</f>
        <v/>
      </c>
      <c r="D8" s="24">
        <f>-'res_raw_27908470'!$D$5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-'res_raw_27908470'!$F$7</f>
        <v/>
      </c>
      <c r="C10" s="24">
        <f>-'res_raw_27908470'!$E$7</f>
        <v/>
      </c>
      <c r="D10" s="24">
        <f>-'res_raw_27908470'!$D$7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-'res_raw_27908470'!$F$9</f>
        <v/>
      </c>
      <c r="C11" s="24">
        <f>-'res_raw_27908470'!$E$9</f>
        <v/>
      </c>
      <c r="D11" s="24">
        <f>-'res_raw_27908470'!$D$9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-'res_raw_27908470'!$F$10</f>
        <v/>
      </c>
      <c r="C12" s="24">
        <f>-'res_raw_27908470'!$E$10</f>
        <v/>
      </c>
      <c r="D12" s="24">
        <f>-'res_raw_27908470'!$D$10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N('res_raw_27908470'!$F$12)+N('res_raw_27908470'!$F$13)</f>
        <v/>
      </c>
      <c r="C14" s="24">
        <f>N('res_raw_27908470'!$E$12)+N('res_raw_27908470'!$E$13)</f>
        <v/>
      </c>
      <c r="D14" s="24">
        <f>N('res_raw_27908470'!$D$12)+N('res_raw_27908470'!$D$13)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-'res_raw_27908470'!$F$14</f>
        <v/>
      </c>
      <c r="C15" s="24">
        <f>-'res_raw_27908470'!$E$14</f>
        <v/>
      </c>
      <c r="D15" s="24">
        <f>-'res_raw_27908470'!$D$14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'balance_raw_27908470'!$F$11</f>
        <v/>
      </c>
      <c r="C19" s="24">
        <f>'balance_raw_27908470'!$E$11</f>
        <v/>
      </c>
      <c r="D19" s="24">
        <f>'balance_raw_27908470'!$D$11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'balance_raw_27908470'!$F$26</f>
        <v/>
      </c>
      <c r="C20" s="24">
        <f>'balance_raw_27908470'!$E$26</f>
        <v/>
      </c>
      <c r="D20" s="24">
        <f>'balance_raw_27908470'!$D$26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'balance_raw_27908470'!$F$34</f>
        <v/>
      </c>
      <c r="C23" s="24">
        <f>'balance_raw_27908470'!$E$34</f>
        <v/>
      </c>
      <c r="D23" s="24">
        <f>'balance_raw_27908470'!$D$34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'balance_raw_27908470'!$F$49-'balance_raw_27908470'!$F$34</f>
        <v/>
      </c>
      <c r="C24" s="24">
        <f>'balance_raw_27908470'!$E$49-'balance_raw_27908470'!$E$34</f>
        <v/>
      </c>
      <c r="D24" s="24">
        <f>'balance_raw_27908470'!$D$49-'balance_raw_27908470'!$D$34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'balance_raw_27908470'!$F$15</f>
        <v/>
      </c>
      <c r="C28" s="24">
        <f>'balance_raw_27908470'!$E$15</f>
        <v/>
      </c>
      <c r="D28" s="24">
        <f>'balance_raw_27908470'!$D$15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'balance_raw_27908470'!$F$16</f>
        <v/>
      </c>
      <c r="C29" s="24">
        <f>'balance_raw_27908470'!$E$16</f>
        <v/>
      </c>
      <c r="D29" s="24">
        <f>'balance_raw_27908470'!$D$16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'balance_raw_27908470'!$F$47</f>
        <v/>
      </c>
      <c r="C30" s="24">
        <f>'balance_raw_27908470'!$E$47</f>
        <v/>
      </c>
      <c r="D30" s="24">
        <f>'balance_raw_27908470'!$D$47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IF('balance_raw_27908470'!$F$27="","—",IF(ABS(B21-'balance_raw_27908470'!$F$27)&lt;=1,"✓ OK","❌ "&amp;TEXT(B21-'balance_raw_27908470'!$F$27,"+#,##0;-#,##0")&amp;" t.kr."))</f>
        <v/>
      </c>
      <c r="C61" s="29">
        <f>IF('balance_raw_27908470'!$E$27="","—",IF(ABS(C21-'balance_raw_27908470'!$E$27)&lt;=1,"✓ OK","❌ "&amp;TEXT(C21-'balance_raw_27908470'!$E$27,"+#,##0;-#,##0")&amp;" t.kr."))</f>
        <v/>
      </c>
      <c r="D61" s="29">
        <f>IF('balance_raw_27908470'!$D$27="","—",IF(ABS(D21-'balance_raw_27908470'!$D$27)&lt;=1,"✓ OK","❌ "&amp;TEXT(D21-'balance_raw_27908470'!$D$27,"+#,##0;-#,##0")&amp;"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IF('balance_raw_27908470'!$F$49="","—",IF(ABS(B25-'balance_raw_27908470'!$F$49)&lt;=1,"✓ OK","❌ "&amp;TEXT(B25-'balance_raw_27908470'!$F$49,"+#,##0;-#,##0")&amp;" t.kr."))</f>
        <v/>
      </c>
      <c r="C62" s="29">
        <f>IF('balance_raw_27908470'!$E$49="","—",IF(ABS(C25-'balance_raw_27908470'!$E$49)&lt;=1,"✓ OK","❌ "&amp;TEXT(C25-'balance_raw_27908470'!$E$49,"+#,##0;-#,##0")&amp;" t.kr."))</f>
        <v/>
      </c>
      <c r="D62" s="29">
        <f>IF('balance_raw_27908470'!$D$49="","—",IF(ABS(D25-'balance_raw_27908470'!$D$49)&lt;=1,"✓ OK","❌ "&amp;TEXT(D25-'balance_raw_27908470'!$D$49,"+#,##0;-#,##0")&amp;"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IF('res_raw_27908470'!$F$6="","—",IF(ABS(B9-'res_raw_27908470'!$F$6)&lt;=1,"✓ OK","❌ "&amp;TEXT(B9-'res_raw_27908470'!$F$6,"+#,##0;-#,##0")&amp;" t.kr."))</f>
        <v/>
      </c>
      <c r="C64" s="29">
        <f>IF('res_raw_27908470'!$E$6="","—",IF(ABS(C9-'res_raw_27908470'!$E$6)&lt;=1,"✓ OK","❌ "&amp;TEXT(C9-'res_raw_27908470'!$E$6,"+#,##0;-#,##0")&amp;" t.kr."))</f>
        <v/>
      </c>
      <c r="D64" s="29">
        <f>IF('res_raw_27908470'!$D$6="","—",IF(ABS(D9-'res_raw_27908470'!$D$6)&lt;=1,"✓ OK","❌ "&amp;TEXT(D9-'res_raw_27908470'!$D$6,"+#,##0;-#,##0")&amp;"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IF('res_raw_27908470'!$F$11="","—",IF(ABS(B13-'res_raw_27908470'!$F$11)&lt;=1,"✓ OK","❌ "&amp;TEXT(B13-'res_raw_27908470'!$F$11,"+#,##0;-#,##0")&amp;" t.kr."))</f>
        <v/>
      </c>
      <c r="C65" s="29">
        <f>IF('res_raw_27908470'!$E$11="","—",IF(ABS(C13-'res_raw_27908470'!$E$11)&lt;=1,"✓ OK","❌ "&amp;TEXT(C13-'res_raw_27908470'!$E$11,"+#,##0;-#,##0")&amp;" t.kr."))</f>
        <v/>
      </c>
      <c r="D65" s="29">
        <f>IF('res_raw_27908470'!$D$11="","—",IF(ABS(D13-'res_raw_27908470'!$D$11)&lt;=1,"✓ OK","❌ "&amp;TEXT(D13-'res_raw_27908470'!$D$11,"+#,##0;-#,##0")&amp;"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IF('res_raw_27908470'!$F$16="","—",IF(ABS(B16-'res_raw_27908470'!$F$16)&lt;=1,"✓ OK","❌ "&amp;TEXT(B16-'res_raw_27908470'!$F$16,"+#,##0;-#,##0")&amp;" t.kr."))</f>
        <v/>
      </c>
      <c r="C66" s="29">
        <f>IF('res_raw_27908470'!$E$16="","—",IF(ABS(C16-'res_raw_27908470'!$E$16)&lt;=1,"✓ OK","❌ "&amp;TEXT(C16-'res_raw_27908470'!$E$16,"+#,##0;-#,##0")&amp;" t.kr."))</f>
        <v/>
      </c>
      <c r="D66" s="29">
        <f>IF('res_raw_27908470'!$D$16="","—",IF(ABS(D16-'res_raw_27908470'!$D$16)&lt;=1,"✓ OK","❌ "&amp;TEXT(D16-'res_raw_27908470'!$D$16,"+#,##0;-#,##0")&amp;"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Refsvindinge Bryggeri ApS (CVR 27908470)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fsa:LongtermTaxPayables</t>
        </is>
      </c>
      <c r="C3" s="34" t="inlineStr">
        <is>
          <t>fsa:LongtermTaxPayables</t>
        </is>
      </c>
      <c r="D3" s="35" t="n">
        <v>163</v>
      </c>
      <c r="E3" s="35" t="n">
        <v>245</v>
      </c>
      <c r="F3" s="35" t="n">
        <v>0</v>
      </c>
      <c r="G3" s="35" t="n">
        <v>45</v>
      </c>
      <c r="H3" s="35" t="n">
        <v>8</v>
      </c>
      <c r="I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2026-09-11T07:37:43Z</dcterms:created>
  <dcterms:modified xmlns:dcterms="http://purl.org/dc/terms/" xmlns:xsi="http://www.w3.org/2001/XMLSchema-instance" xsi:type="dcterms:W3CDTF">2026-09-11T07:37:44Z</dcterms:modified>
</cp:coreProperties>
</file>