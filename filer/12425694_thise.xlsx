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12425694" sheetId="1" state="visible" r:id="rId1"/>
    <sheet xmlns:r="http://schemas.openxmlformats.org/officeDocument/2006/relationships" name="res_raw_12425694" sheetId="2" state="visible" r:id="rId2"/>
    <sheet xmlns:r="http://schemas.openxmlformats.org/officeDocument/2006/relationships" name="balance_raw_12425694" sheetId="3" state="visible" r:id="rId3"/>
    <sheet xmlns:r="http://schemas.openxmlformats.org/officeDocument/2006/relationships" name="Simpel_funktion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'res_raw_12425694'!$B$2</f>
        <v/>
      </c>
      <c r="C4" s="5">
        <f>'res_raw_12425694'!$C$2</f>
        <v/>
      </c>
      <c r="D4" s="5">
        <f>'res_raw_12425694'!$D$2</f>
        <v/>
      </c>
      <c r="E4" s="5">
        <f>'res_raw_12425694'!$E$2</f>
        <v/>
      </c>
      <c r="F4" s="5">
        <f>'res_raw_12425694'!$F$2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'res_raw_12425694'!$B$3</f>
        <v/>
      </c>
      <c r="C5" s="8">
        <f>'res_raw_12425694'!$C$3</f>
        <v/>
      </c>
      <c r="D5" s="8">
        <f>'res_raw_12425694'!$D$3</f>
        <v/>
      </c>
      <c r="E5" s="8">
        <f>'res_raw_12425694'!$E$3</f>
        <v/>
      </c>
      <c r="F5" s="8">
        <f>'res_raw_12425694'!$F$3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'res_raw_12425694'!$B$4</f>
        <v/>
      </c>
      <c r="C6" s="8">
        <f>'res_raw_12425694'!$C$4</f>
        <v/>
      </c>
      <c r="D6" s="8">
        <f>'res_raw_12425694'!$D$4</f>
        <v/>
      </c>
      <c r="E6" s="8">
        <f>'res_raw_12425694'!$E$4</f>
        <v/>
      </c>
      <c r="F6" s="8">
        <f>'res_raw_12425694'!$F$4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7" t="inlineStr">
        <is>
          <t>Salgs- og distributionsomkostninger</t>
        </is>
      </c>
      <c r="B7" s="8">
        <f>'res_raw_12425694'!$B$5</f>
        <v/>
      </c>
      <c r="C7" s="8">
        <f>'res_raw_12425694'!$C$5</f>
        <v/>
      </c>
      <c r="D7" s="8">
        <f>'res_raw_12425694'!$D$5</f>
        <v/>
      </c>
      <c r="E7" s="8">
        <f>'res_raw_12425694'!$E$5</f>
        <v/>
      </c>
      <c r="F7" s="8">
        <f>'res_raw_12425694'!$F$5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7" t="inlineStr">
        <is>
          <t>Administrationsomkostninger</t>
        </is>
      </c>
      <c r="B8" s="8">
        <f>'res_raw_12425694'!$B$6</f>
        <v/>
      </c>
      <c r="C8" s="8">
        <f>'res_raw_12425694'!$C$6</f>
        <v/>
      </c>
      <c r="D8" s="8">
        <f>'res_raw_12425694'!$D$6</f>
        <v/>
      </c>
      <c r="E8" s="8">
        <f>'res_raw_12425694'!$E$6</f>
        <v/>
      </c>
      <c r="F8" s="8">
        <f>'res_raw_12425694'!$F$6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10" t="inlineStr">
        <is>
          <t>Andre driftsindtægter</t>
        </is>
      </c>
      <c r="B9" s="11">
        <f>'res_raw_12425694'!$B$7</f>
        <v/>
      </c>
      <c r="C9" s="11">
        <f>'res_raw_12425694'!$C$7</f>
        <v/>
      </c>
      <c r="D9" s="11">
        <f>'res_raw_12425694'!$D$7</f>
        <v/>
      </c>
      <c r="E9" s="11">
        <f>'res_raw_12425694'!$E$7</f>
        <v/>
      </c>
      <c r="F9" s="11">
        <f>'res_raw_12425694'!$F$7</f>
        <v/>
      </c>
      <c r="G9" t="inlineStr"/>
      <c r="H9" s="12">
        <f>IFERROR(B9/$B$9*100,"")</f>
        <v/>
      </c>
      <c r="I9" s="12">
        <f>IFERROR(C9/$B$9*100,"")</f>
        <v/>
      </c>
      <c r="J9" s="12">
        <f>IFERROR(D9/$B$9*100,"")</f>
        <v/>
      </c>
      <c r="K9" s="12">
        <f>IFERROR(E9/$B$9*100,"")</f>
        <v/>
      </c>
      <c r="L9" s="12">
        <f>IFERROR(F9/$B$9*100,"")</f>
        <v/>
      </c>
    </row>
    <row r="10" ht="16" customHeight="1">
      <c r="A10" s="4" t="inlineStr">
        <is>
          <t>Andre driftsomkostninger</t>
        </is>
      </c>
      <c r="B10" s="5">
        <f>'res_raw_12425694'!$B$8</f>
        <v/>
      </c>
      <c r="C10" s="5">
        <f>'res_raw_12425694'!$C$8</f>
        <v/>
      </c>
      <c r="D10" s="5">
        <f>'res_raw_12425694'!$D$8</f>
        <v/>
      </c>
      <c r="E10" s="5">
        <f>'res_raw_12425694'!$E$8</f>
        <v/>
      </c>
      <c r="F10" s="5">
        <f>'res_raw_12425694'!$F$8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7" t="inlineStr">
        <is>
          <t>Resultat af primær drift</t>
        </is>
      </c>
      <c r="B11" s="8">
        <f>'res_raw_12425694'!$B$9</f>
        <v/>
      </c>
      <c r="C11" s="8">
        <f>'res_raw_12425694'!$C$9</f>
        <v/>
      </c>
      <c r="D11" s="8">
        <f>'res_raw_12425694'!$D$9</f>
        <v/>
      </c>
      <c r="E11" s="8">
        <f>'res_raw_12425694'!$E$9</f>
        <v/>
      </c>
      <c r="F11" s="8">
        <f>'res_raw_12425694'!$F$9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Indtægter af kapitalandele, dattervirksomheder</t>
        </is>
      </c>
      <c r="B12" s="5">
        <f>'res_raw_12425694'!$B$10</f>
        <v/>
      </c>
      <c r="C12" s="5">
        <f>'res_raw_12425694'!$C$10</f>
        <v/>
      </c>
      <c r="D12" s="5">
        <f>'res_raw_12425694'!$D$10</f>
        <v/>
      </c>
      <c r="E12" s="5">
        <f>'res_raw_12425694'!$E$10</f>
        <v/>
      </c>
      <c r="F12" s="5">
        <f>'res_raw_12425694'!$F$10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Finansielle indtægter</t>
        </is>
      </c>
      <c r="B13" s="11">
        <f>'res_raw_12425694'!$B$11</f>
        <v/>
      </c>
      <c r="C13" s="11">
        <f>'res_raw_12425694'!$C$11</f>
        <v/>
      </c>
      <c r="D13" s="11">
        <f>'res_raw_12425694'!$D$11</f>
        <v/>
      </c>
      <c r="E13" s="11">
        <f>'res_raw_12425694'!$E$11</f>
        <v/>
      </c>
      <c r="F13" s="11">
        <f>'res_raw_12425694'!$F$11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omkostninger</t>
        </is>
      </c>
      <c r="B14" s="5">
        <f>'res_raw_12425694'!$B$12</f>
        <v/>
      </c>
      <c r="C14" s="5">
        <f>'res_raw_12425694'!$C$12</f>
        <v/>
      </c>
      <c r="D14" s="5">
        <f>'res_raw_12425694'!$D$12</f>
        <v/>
      </c>
      <c r="E14" s="5">
        <f>'res_raw_12425694'!$E$12</f>
        <v/>
      </c>
      <c r="F14" s="5">
        <f>'res_raw_12425694'!$F$12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poster, netto</t>
        </is>
      </c>
      <c r="B15" s="8">
        <f>'res_raw_12425694'!$B$13</f>
        <v/>
      </c>
      <c r="C15" s="8">
        <f>'res_raw_12425694'!$C$13</f>
        <v/>
      </c>
      <c r="D15" s="8">
        <f>'res_raw_12425694'!$D$13</f>
        <v/>
      </c>
      <c r="E15" s="8">
        <f>'res_raw_12425694'!$E$13</f>
        <v/>
      </c>
      <c r="F15" s="8">
        <f>'res_raw_12425694'!$F$13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7" t="inlineStr">
        <is>
          <t>Resultat før skat</t>
        </is>
      </c>
      <c r="B16" s="8">
        <f>'res_raw_12425694'!$B$14</f>
        <v/>
      </c>
      <c r="C16" s="8">
        <f>'res_raw_12425694'!$C$14</f>
        <v/>
      </c>
      <c r="D16" s="8">
        <f>'res_raw_12425694'!$D$14</f>
        <v/>
      </c>
      <c r="E16" s="8">
        <f>'res_raw_12425694'!$E$14</f>
        <v/>
      </c>
      <c r="F16" s="8">
        <f>'res_raw_12425694'!$F$14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10" t="inlineStr">
        <is>
          <t>Skat af årets resultat</t>
        </is>
      </c>
      <c r="B17" s="11">
        <f>'res_raw_12425694'!$B$15</f>
        <v/>
      </c>
      <c r="C17" s="11">
        <f>'res_raw_12425694'!$C$15</f>
        <v/>
      </c>
      <c r="D17" s="11">
        <f>'res_raw_12425694'!$D$15</f>
        <v/>
      </c>
      <c r="E17" s="11">
        <f>'res_raw_12425694'!$E$15</f>
        <v/>
      </c>
      <c r="F17" s="11">
        <f>'res_raw_12425694'!$F$15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7" t="inlineStr">
        <is>
          <t>Årets resultat</t>
        </is>
      </c>
      <c r="B18" s="8">
        <f>'res_raw_12425694'!$B$16</f>
        <v/>
      </c>
      <c r="C18" s="8">
        <f>'res_raw_12425694'!$C$16</f>
        <v/>
      </c>
      <c r="D18" s="8">
        <f>'res_raw_12425694'!$D$16</f>
        <v/>
      </c>
      <c r="E18" s="8">
        <f>'res_raw_12425694'!$E$16</f>
        <v/>
      </c>
      <c r="F18" s="8">
        <f>'res_raw_12425694'!$F$16</f>
        <v/>
      </c>
      <c r="G18" t="inlineStr"/>
      <c r="H18" s="9">
        <f>IFERROR(B18/$B$18*100,"")</f>
        <v/>
      </c>
      <c r="I18" s="9">
        <f>IFERROR(C18/$B$18*100,"")</f>
        <v/>
      </c>
      <c r="J18" s="9">
        <f>IFERROR(D18/$B$18*100,"")</f>
        <v/>
      </c>
      <c r="K18" s="9">
        <f>IFERROR(E18/$B$18*100,"")</f>
        <v/>
      </c>
      <c r="L18" s="9">
        <f>IFERROR(F18/$B$18*100,"")</f>
        <v/>
      </c>
    </row>
    <row r="20" ht="22" customHeight="1">
      <c r="A20" s="3" t="inlineStr">
        <is>
          <t>AKTIVER t.kr.</t>
        </is>
      </c>
      <c r="B20" s="3" t="n">
        <v>2021</v>
      </c>
      <c r="C20" s="3" t="n">
        <v>2022</v>
      </c>
      <c r="D20" s="3" t="n">
        <v>2023</v>
      </c>
      <c r="E20" s="3" t="n">
        <v>2024</v>
      </c>
      <c r="F20" s="3" t="n">
        <v>2025</v>
      </c>
      <c r="G20" t="inlineStr"/>
      <c r="H20" s="3" t="n">
        <v>2021</v>
      </c>
      <c r="I20" s="3" t="n">
        <v>2022</v>
      </c>
      <c r="J20" s="3" t="n">
        <v>2023</v>
      </c>
      <c r="K20" s="3" t="n">
        <v>2024</v>
      </c>
      <c r="L20" s="3" t="n">
        <v>2025</v>
      </c>
    </row>
    <row r="21" ht="16" customHeight="1">
      <c r="A21" s="10" t="inlineStr">
        <is>
          <t>Grunde og bygninger</t>
        </is>
      </c>
      <c r="B21" s="11">
        <f>'balance_raw_12425694'!$B$2</f>
        <v/>
      </c>
      <c r="C21" s="11">
        <f>'balance_raw_12425694'!$C$2</f>
        <v/>
      </c>
      <c r="D21" s="11">
        <f>'balance_raw_12425694'!$D$2</f>
        <v/>
      </c>
      <c r="E21" s="11">
        <f>'balance_raw_12425694'!$E$2</f>
        <v/>
      </c>
      <c r="F21" s="11">
        <f>'balance_raw_12425694'!$F$2</f>
        <v/>
      </c>
      <c r="G21" t="inlineStr"/>
      <c r="H21" s="12">
        <f>IFERROR(B21/$B$21*100,"")</f>
        <v/>
      </c>
      <c r="I21" s="12">
        <f>IFERROR(C21/$B$21*100,"")</f>
        <v/>
      </c>
      <c r="J21" s="12">
        <f>IFERROR(D21/$B$21*100,"")</f>
        <v/>
      </c>
      <c r="K21" s="12">
        <f>IFERROR(E21/$B$21*100,"")</f>
        <v/>
      </c>
      <c r="L21" s="12">
        <f>IFERROR(F21/$B$21*100,"")</f>
        <v/>
      </c>
    </row>
    <row r="22" ht="16" customHeight="1">
      <c r="A22" s="4" t="inlineStr">
        <is>
          <t>Produktionsanlæg og maskiner</t>
        </is>
      </c>
      <c r="B22" s="5">
        <f>'balance_raw_12425694'!$B$3</f>
        <v/>
      </c>
      <c r="C22" s="5">
        <f>'balance_raw_12425694'!$C$3</f>
        <v/>
      </c>
      <c r="D22" s="5">
        <f>'balance_raw_12425694'!$D$3</f>
        <v/>
      </c>
      <c r="E22" s="5">
        <f>'balance_raw_12425694'!$E$3</f>
        <v/>
      </c>
      <c r="F22" s="5">
        <f>'balance_raw_12425694'!$F$3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Driftsmateriel og inventar</t>
        </is>
      </c>
      <c r="B23" s="11">
        <f>'balance_raw_12425694'!$B$4</f>
        <v/>
      </c>
      <c r="C23" s="11">
        <f>'balance_raw_12425694'!$C$4</f>
        <v/>
      </c>
      <c r="D23" s="11">
        <f>'balance_raw_12425694'!$D$4</f>
        <v/>
      </c>
      <c r="E23" s="11">
        <f>'balance_raw_12425694'!$E$4</f>
        <v/>
      </c>
      <c r="F23" s="11">
        <f>'balance_raw_12425694'!$F$4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4" t="inlineStr">
        <is>
          <t>Indretning af lejede lokaler</t>
        </is>
      </c>
      <c r="B24" s="5">
        <f>'balance_raw_12425694'!$B$5</f>
        <v/>
      </c>
      <c r="C24" s="5">
        <f>'balance_raw_12425694'!$C$5</f>
        <v/>
      </c>
      <c r="D24" s="5">
        <f>'balance_raw_12425694'!$D$5</f>
        <v/>
      </c>
      <c r="E24" s="5">
        <f>'balance_raw_12425694'!$E$5</f>
        <v/>
      </c>
      <c r="F24" s="5">
        <f>'balance_raw_12425694'!$F$5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10" t="inlineStr">
        <is>
          <t>Forudbetaling og anlægsaktiver under opførelse</t>
        </is>
      </c>
      <c r="B25" s="11">
        <f>'balance_raw_12425694'!$B$6</f>
        <v/>
      </c>
      <c r="C25" s="11">
        <f>'balance_raw_12425694'!$C$6</f>
        <v/>
      </c>
      <c r="D25" s="11">
        <f>'balance_raw_12425694'!$D$6</f>
        <v/>
      </c>
      <c r="E25" s="11">
        <f>'balance_raw_12425694'!$E$6</f>
        <v/>
      </c>
      <c r="F25" s="11">
        <f>'balance_raw_12425694'!$F$6</f>
        <v/>
      </c>
      <c r="G25" t="inlineStr"/>
      <c r="H25" s="12">
        <f>IFERROR(B25/$B$25*100,"")</f>
        <v/>
      </c>
      <c r="I25" s="12">
        <f>IFERROR(C25/$B$25*100,"")</f>
        <v/>
      </c>
      <c r="J25" s="12">
        <f>IFERROR(D25/$B$25*100,"")</f>
        <v/>
      </c>
      <c r="K25" s="12">
        <f>IFERROR(E25/$B$25*100,"")</f>
        <v/>
      </c>
      <c r="L25" s="12">
        <f>IFERROR(F25/$B$25*100,"")</f>
        <v/>
      </c>
    </row>
    <row r="26" ht="16" customHeight="1">
      <c r="A26" s="7" t="inlineStr">
        <is>
          <t>Materielle anlægsaktiver</t>
        </is>
      </c>
      <c r="B26" s="8">
        <f>'balance_raw_12425694'!$B$7</f>
        <v/>
      </c>
      <c r="C26" s="8">
        <f>'balance_raw_12425694'!$C$7</f>
        <v/>
      </c>
      <c r="D26" s="8">
        <f>'balance_raw_12425694'!$D$7</f>
        <v/>
      </c>
      <c r="E26" s="8">
        <f>'balance_raw_12425694'!$E$7</f>
        <v/>
      </c>
      <c r="F26" s="8">
        <f>'balance_raw_12425694'!$F$7</f>
        <v/>
      </c>
      <c r="G26" t="inlineStr"/>
      <c r="H26" s="9">
        <f>IFERROR(B26/$B$26*100,"")</f>
        <v/>
      </c>
      <c r="I26" s="9">
        <f>IFERROR(C26/$B$26*100,"")</f>
        <v/>
      </c>
      <c r="J26" s="9">
        <f>IFERROR(D26/$B$26*100,"")</f>
        <v/>
      </c>
      <c r="K26" s="9">
        <f>IFERROR(E26/$B$26*100,"")</f>
        <v/>
      </c>
      <c r="L26" s="9">
        <f>IFERROR(F26/$B$26*100,"")</f>
        <v/>
      </c>
    </row>
    <row r="27" ht="16" customHeight="1">
      <c r="A27" s="10" t="inlineStr">
        <is>
          <t>Kapitalandele, dattervirksomheder</t>
        </is>
      </c>
      <c r="B27" s="11">
        <f>'balance_raw_12425694'!$B$8</f>
        <v/>
      </c>
      <c r="C27" s="11">
        <f>'balance_raw_12425694'!$C$8</f>
        <v/>
      </c>
      <c r="D27" s="11">
        <f>'balance_raw_12425694'!$D$8</f>
        <v/>
      </c>
      <c r="E27" s="11">
        <f>'balance_raw_12425694'!$E$8</f>
        <v/>
      </c>
      <c r="F27" s="11">
        <f>'balance_raw_12425694'!$F$8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4" t="inlineStr">
        <is>
          <t>Deposita</t>
        </is>
      </c>
      <c r="B28" s="5">
        <f>'balance_raw_12425694'!$B$9</f>
        <v/>
      </c>
      <c r="C28" s="5">
        <f>'balance_raw_12425694'!$C$9</f>
        <v/>
      </c>
      <c r="D28" s="5">
        <f>'balance_raw_12425694'!$D$9</f>
        <v/>
      </c>
      <c r="E28" s="5">
        <f>'balance_raw_12425694'!$E$9</f>
        <v/>
      </c>
      <c r="F28" s="5">
        <f>'balance_raw_12425694'!$F$9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Finansielle anlægsaktiver</t>
        </is>
      </c>
      <c r="B29" s="8">
        <f>'balance_raw_12425694'!$B$10</f>
        <v/>
      </c>
      <c r="C29" s="8">
        <f>'balance_raw_12425694'!$C$10</f>
        <v/>
      </c>
      <c r="D29" s="8">
        <f>'balance_raw_12425694'!$D$10</f>
        <v/>
      </c>
      <c r="E29" s="8">
        <f>'balance_raw_12425694'!$E$10</f>
        <v/>
      </c>
      <c r="F29" s="8">
        <f>'balance_raw_12425694'!$F$10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7" t="inlineStr">
        <is>
          <t>Anlægsaktiver</t>
        </is>
      </c>
      <c r="B30" s="8">
        <f>'balance_raw_12425694'!$B$11</f>
        <v/>
      </c>
      <c r="C30" s="8">
        <f>'balance_raw_12425694'!$C$11</f>
        <v/>
      </c>
      <c r="D30" s="8">
        <f>'balance_raw_12425694'!$D$11</f>
        <v/>
      </c>
      <c r="E30" s="8">
        <f>'balance_raw_12425694'!$E$11</f>
        <v/>
      </c>
      <c r="F30" s="8">
        <f>'balance_raw_12425694'!$F$11</f>
        <v/>
      </c>
      <c r="G30" t="inlineStr"/>
      <c r="H30" s="9">
        <f>IFERROR(B30/$B$30*100,"")</f>
        <v/>
      </c>
      <c r="I30" s="9">
        <f>IFERROR(C30/$B$30*100,"")</f>
        <v/>
      </c>
      <c r="J30" s="9">
        <f>IFERROR(D30/$B$30*100,"")</f>
        <v/>
      </c>
      <c r="K30" s="9">
        <f>IFERROR(E30/$B$30*100,"")</f>
        <v/>
      </c>
      <c r="L30" s="9">
        <f>IFERROR(F30/$B$30*100,"")</f>
        <v/>
      </c>
    </row>
    <row r="31" ht="16" customHeight="1">
      <c r="A31" s="10" t="inlineStr">
        <is>
          <t>Råvarer og hjælpematerialer</t>
        </is>
      </c>
      <c r="B31" s="11">
        <f>'balance_raw_12425694'!$B$12</f>
        <v/>
      </c>
      <c r="C31" s="11">
        <f>'balance_raw_12425694'!$C$12</f>
        <v/>
      </c>
      <c r="D31" s="11">
        <f>'balance_raw_12425694'!$D$12</f>
        <v/>
      </c>
      <c r="E31" s="11">
        <f>'balance_raw_12425694'!$E$12</f>
        <v/>
      </c>
      <c r="F31" s="11">
        <f>'balance_raw_12425694'!$F$12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4" t="inlineStr">
        <is>
          <t>Varer under fremstilling</t>
        </is>
      </c>
      <c r="B32" s="5">
        <f>'balance_raw_12425694'!$B$13</f>
        <v/>
      </c>
      <c r="C32" s="5">
        <f>'balance_raw_12425694'!$C$13</f>
        <v/>
      </c>
      <c r="D32" s="5">
        <f>'balance_raw_12425694'!$D$13</f>
        <v/>
      </c>
      <c r="E32" s="5">
        <f>'balance_raw_12425694'!$E$13</f>
        <v/>
      </c>
      <c r="F32" s="5">
        <f>'balance_raw_12425694'!$F$13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10" t="inlineStr">
        <is>
          <t>Færdigvarer og handelsvarer</t>
        </is>
      </c>
      <c r="B33" s="11">
        <f>'balance_raw_12425694'!$B$14</f>
        <v/>
      </c>
      <c r="C33" s="11">
        <f>'balance_raw_12425694'!$C$14</f>
        <v/>
      </c>
      <c r="D33" s="11">
        <f>'balance_raw_12425694'!$D$14</f>
        <v/>
      </c>
      <c r="E33" s="11">
        <f>'balance_raw_12425694'!$E$14</f>
        <v/>
      </c>
      <c r="F33" s="11">
        <f>'balance_raw_12425694'!$F$14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7" t="inlineStr">
        <is>
          <t>Varebeholdninger</t>
        </is>
      </c>
      <c r="B34" s="8">
        <f>'balance_raw_12425694'!$B$15</f>
        <v/>
      </c>
      <c r="C34" s="8">
        <f>'balance_raw_12425694'!$C$15</f>
        <v/>
      </c>
      <c r="D34" s="8">
        <f>'balance_raw_12425694'!$D$15</f>
        <v/>
      </c>
      <c r="E34" s="8">
        <f>'balance_raw_12425694'!$E$15</f>
        <v/>
      </c>
      <c r="F34" s="8">
        <f>'balance_raw_12425694'!$F$15</f>
        <v/>
      </c>
      <c r="G34" t="inlineStr"/>
      <c r="H34" s="9">
        <f>IFERROR(B34/$B$34*100,"")</f>
        <v/>
      </c>
      <c r="I34" s="9">
        <f>IFERROR(C34/$B$34*100,"")</f>
        <v/>
      </c>
      <c r="J34" s="9">
        <f>IFERROR(D34/$B$34*100,"")</f>
        <v/>
      </c>
      <c r="K34" s="9">
        <f>IFERROR(E34/$B$34*100,"")</f>
        <v/>
      </c>
      <c r="L34" s="9">
        <f>IFERROR(F34/$B$34*100,"")</f>
        <v/>
      </c>
    </row>
    <row r="35" ht="16" customHeight="1">
      <c r="A35" s="10" t="inlineStr">
        <is>
          <t>Tilgodehavender fra salg og tjenesteydelser</t>
        </is>
      </c>
      <c r="B35" s="11">
        <f>'balance_raw_12425694'!$B$16</f>
        <v/>
      </c>
      <c r="C35" s="11">
        <f>'balance_raw_12425694'!$C$16</f>
        <v/>
      </c>
      <c r="D35" s="11">
        <f>'balance_raw_12425694'!$D$16</f>
        <v/>
      </c>
      <c r="E35" s="11">
        <f>'balance_raw_12425694'!$E$16</f>
        <v/>
      </c>
      <c r="F35" s="11">
        <f>'balance_raw_12425694'!$F$16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4" t="inlineStr">
        <is>
          <t>Tilgodehavender hos tilknyttede virksomheder</t>
        </is>
      </c>
      <c r="B36" s="5">
        <f>'balance_raw_12425694'!$B$17</f>
        <v/>
      </c>
      <c r="C36" s="5">
        <f>'balance_raw_12425694'!$C$17</f>
        <v/>
      </c>
      <c r="D36" s="5">
        <f>'balance_raw_12425694'!$D$17</f>
        <v/>
      </c>
      <c r="E36" s="5">
        <f>'balance_raw_12425694'!$E$17</f>
        <v/>
      </c>
      <c r="F36" s="5">
        <f>'balance_raw_12425694'!$F$17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Andre tilgodehavender</t>
        </is>
      </c>
      <c r="B37" s="11">
        <f>'balance_raw_12425694'!$B$18</f>
        <v/>
      </c>
      <c r="C37" s="11">
        <f>'balance_raw_12425694'!$C$18</f>
        <v/>
      </c>
      <c r="D37" s="11">
        <f>'balance_raw_12425694'!$D$18</f>
        <v/>
      </c>
      <c r="E37" s="11">
        <f>'balance_raw_12425694'!$E$18</f>
        <v/>
      </c>
      <c r="F37" s="11">
        <f>'balance_raw_12425694'!$F$18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Periodeafgrænsningsposter (aktiver)</t>
        </is>
      </c>
      <c r="B38" s="5">
        <f>'balance_raw_12425694'!$B$19</f>
        <v/>
      </c>
      <c r="C38" s="5">
        <f>'balance_raw_12425694'!$C$19</f>
        <v/>
      </c>
      <c r="D38" s="5">
        <f>'balance_raw_12425694'!$D$19</f>
        <v/>
      </c>
      <c r="E38" s="5">
        <f>'balance_raw_12425694'!$E$19</f>
        <v/>
      </c>
      <c r="F38" s="5">
        <f>'balance_raw_12425694'!$F$19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10" t="inlineStr">
        <is>
          <t>Udskudt skatteaktiv</t>
        </is>
      </c>
      <c r="B39" s="11">
        <f>'balance_raw_12425694'!$B$20</f>
        <v/>
      </c>
      <c r="C39" s="11">
        <f>'balance_raw_12425694'!$C$20</f>
        <v/>
      </c>
      <c r="D39" s="11">
        <f>'balance_raw_12425694'!$D$20</f>
        <v/>
      </c>
      <c r="E39" s="11">
        <f>'balance_raw_12425694'!$E$20</f>
        <v/>
      </c>
      <c r="F39" s="11">
        <f>'balance_raw_12425694'!$F$20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4" t="inlineStr">
        <is>
          <t>Tilgodehavende skat hos tilknyttede virksomheder</t>
        </is>
      </c>
      <c r="B40" s="5">
        <f>'balance_raw_12425694'!$B$21</f>
        <v/>
      </c>
      <c r="C40" s="5">
        <f>'balance_raw_12425694'!$C$21</f>
        <v/>
      </c>
      <c r="D40" s="5">
        <f>'balance_raw_12425694'!$D$21</f>
        <v/>
      </c>
      <c r="E40" s="5">
        <f>'balance_raw_12425694'!$E$21</f>
        <v/>
      </c>
      <c r="F40" s="5">
        <f>'balance_raw_12425694'!$F$21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Kortfristede skattetilgodehavender</t>
        </is>
      </c>
      <c r="B41" s="11">
        <f>'balance_raw_12425694'!$B$22</f>
        <v/>
      </c>
      <c r="C41" s="11">
        <f>'balance_raw_12425694'!$C$22</f>
        <v/>
      </c>
      <c r="D41" s="11">
        <f>'balance_raw_12425694'!$D$22</f>
        <v/>
      </c>
      <c r="E41" s="11">
        <f>'balance_raw_12425694'!$E$22</f>
        <v/>
      </c>
      <c r="F41" s="11">
        <f>'balance_raw_12425694'!$F$22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7" t="inlineStr">
        <is>
          <t>Tilgodehavender</t>
        </is>
      </c>
      <c r="B42" s="8">
        <f>'balance_raw_12425694'!$B$23</f>
        <v/>
      </c>
      <c r="C42" s="8">
        <f>'balance_raw_12425694'!$C$23</f>
        <v/>
      </c>
      <c r="D42" s="8">
        <f>'balance_raw_12425694'!$D$23</f>
        <v/>
      </c>
      <c r="E42" s="8">
        <f>'balance_raw_12425694'!$E$23</f>
        <v/>
      </c>
      <c r="F42" s="8">
        <f>'balance_raw_12425694'!$F$23</f>
        <v/>
      </c>
      <c r="G42" t="inlineStr"/>
      <c r="H42" s="9">
        <f>IFERROR(B42/$B$42*100,"")</f>
        <v/>
      </c>
      <c r="I42" s="9">
        <f>IFERROR(C42/$B$42*100,"")</f>
        <v/>
      </c>
      <c r="J42" s="9">
        <f>IFERROR(D42/$B$42*100,"")</f>
        <v/>
      </c>
      <c r="K42" s="9">
        <f>IFERROR(E42/$B$42*100,"")</f>
        <v/>
      </c>
      <c r="L42" s="9">
        <f>IFERROR(F42/$B$42*100,"")</f>
        <v/>
      </c>
    </row>
    <row r="43" ht="16" customHeight="1">
      <c r="A43" s="10" t="inlineStr">
        <is>
          <t>Værdipapirer</t>
        </is>
      </c>
      <c r="B43" s="11">
        <f>'balance_raw_12425694'!$B$24</f>
        <v/>
      </c>
      <c r="C43" s="11">
        <f>'balance_raw_12425694'!$C$24</f>
        <v/>
      </c>
      <c r="D43" s="11">
        <f>'balance_raw_12425694'!$D$24</f>
        <v/>
      </c>
      <c r="E43" s="11">
        <f>'balance_raw_12425694'!$E$24</f>
        <v/>
      </c>
      <c r="F43" s="11">
        <f>'balance_raw_12425694'!$F$24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4" t="inlineStr">
        <is>
          <t>Likvide beholdninger</t>
        </is>
      </c>
      <c r="B44" s="5">
        <f>'balance_raw_12425694'!$B$25</f>
        <v/>
      </c>
      <c r="C44" s="5">
        <f>'balance_raw_12425694'!$C$25</f>
        <v/>
      </c>
      <c r="D44" s="5">
        <f>'balance_raw_12425694'!$D$25</f>
        <v/>
      </c>
      <c r="E44" s="5">
        <f>'balance_raw_12425694'!$E$25</f>
        <v/>
      </c>
      <c r="F44" s="5">
        <f>'balance_raw_12425694'!$F$25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Omsætningsaktiver</t>
        </is>
      </c>
      <c r="B45" s="8">
        <f>'balance_raw_12425694'!$B$26</f>
        <v/>
      </c>
      <c r="C45" s="8">
        <f>'balance_raw_12425694'!$C$26</f>
        <v/>
      </c>
      <c r="D45" s="8">
        <f>'balance_raw_12425694'!$D$26</f>
        <v/>
      </c>
      <c r="E45" s="8">
        <f>'balance_raw_12425694'!$E$26</f>
        <v/>
      </c>
      <c r="F45" s="8">
        <f>'balance_raw_12425694'!$F$26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7" t="inlineStr">
        <is>
          <t>Aktiver</t>
        </is>
      </c>
      <c r="B46" s="8">
        <f>'balance_raw_12425694'!$B$27</f>
        <v/>
      </c>
      <c r="C46" s="8">
        <f>'balance_raw_12425694'!$C$27</f>
        <v/>
      </c>
      <c r="D46" s="8">
        <f>'balance_raw_12425694'!$D$27</f>
        <v/>
      </c>
      <c r="E46" s="8">
        <f>'balance_raw_12425694'!$E$27</f>
        <v/>
      </c>
      <c r="F46" s="8">
        <f>'balance_raw_12425694'!$F$27</f>
        <v/>
      </c>
      <c r="G46" t="inlineStr"/>
      <c r="H46" s="9">
        <f>IFERROR(B46/$B$46*100,"")</f>
        <v/>
      </c>
      <c r="I46" s="9">
        <f>IFERROR(C46/$B$46*100,"")</f>
        <v/>
      </c>
      <c r="J46" s="9">
        <f>IFERROR(D46/$B$46*100,"")</f>
        <v/>
      </c>
      <c r="K46" s="9">
        <f>IFERROR(E46/$B$46*100,"")</f>
        <v/>
      </c>
      <c r="L46" s="9">
        <f>IFERROR(F46/$B$46*100,"")</f>
        <v/>
      </c>
    </row>
    <row r="48" ht="22" customHeight="1">
      <c r="A48" s="3" t="inlineStr">
        <is>
          <t>PASSIVER t.kr.</t>
        </is>
      </c>
      <c r="B48" s="3" t="n">
        <v>2021</v>
      </c>
      <c r="C48" s="3" t="n">
        <v>2022</v>
      </c>
      <c r="D48" s="3" t="n">
        <v>2023</v>
      </c>
      <c r="E48" s="3" t="n">
        <v>2024</v>
      </c>
      <c r="F48" s="3" t="n">
        <v>2025</v>
      </c>
      <c r="G48" t="inlineStr"/>
      <c r="H48" s="3" t="n">
        <v>2021</v>
      </c>
      <c r="I48" s="3" t="n">
        <v>2022</v>
      </c>
      <c r="J48" s="3" t="n">
        <v>2023</v>
      </c>
      <c r="K48" s="3" t="n">
        <v>2024</v>
      </c>
      <c r="L48" s="3" t="n">
        <v>2025</v>
      </c>
    </row>
    <row r="49" ht="16" customHeight="1">
      <c r="A49" s="10" t="inlineStr">
        <is>
          <t>Selskabskapital</t>
        </is>
      </c>
      <c r="B49" s="11">
        <f>'balance_raw_12425694'!$B$28</f>
        <v/>
      </c>
      <c r="C49" s="11">
        <f>'balance_raw_12425694'!$C$28</f>
        <v/>
      </c>
      <c r="D49" s="11">
        <f>'balance_raw_12425694'!$D$28</f>
        <v/>
      </c>
      <c r="E49" s="11">
        <f>'balance_raw_12425694'!$E$28</f>
        <v/>
      </c>
      <c r="F49" s="11">
        <f>'balance_raw_12425694'!$F$28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0" ht="16" customHeight="1">
      <c r="A50" s="4" t="inlineStr">
        <is>
          <t>Reserve for nettoopskrivning (indre værdis metode)</t>
        </is>
      </c>
      <c r="B50" s="5">
        <f>'balance_raw_12425694'!$B$29</f>
        <v/>
      </c>
      <c r="C50" s="5">
        <f>'balance_raw_12425694'!$C$29</f>
        <v/>
      </c>
      <c r="D50" s="5">
        <f>'balance_raw_12425694'!$D$29</f>
        <v/>
      </c>
      <c r="E50" s="5">
        <f>'balance_raw_12425694'!$E$29</f>
        <v/>
      </c>
      <c r="F50" s="5">
        <f>'balance_raw_12425694'!$F$29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Reserve for udviklingsomkostninger</t>
        </is>
      </c>
      <c r="B51" s="11">
        <f>'balance_raw_12425694'!$B$30</f>
        <v/>
      </c>
      <c r="C51" s="11">
        <f>'balance_raw_12425694'!$C$30</f>
        <v/>
      </c>
      <c r="D51" s="11">
        <f>'balance_raw_12425694'!$D$30</f>
        <v/>
      </c>
      <c r="E51" s="11">
        <f>'balance_raw_12425694'!$E$30</f>
        <v/>
      </c>
      <c r="F51" s="11">
        <f>'balance_raw_12425694'!$F$30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4" t="inlineStr">
        <is>
          <t>Reserve for sikringstransaktioner</t>
        </is>
      </c>
      <c r="B52" s="5">
        <f>'balance_raw_12425694'!$B$31</f>
        <v/>
      </c>
      <c r="C52" s="5">
        <f>'balance_raw_12425694'!$C$31</f>
        <v/>
      </c>
      <c r="D52" s="5">
        <f>'balance_raw_12425694'!$D$31</f>
        <v/>
      </c>
      <c r="E52" s="5">
        <f>'balance_raw_12425694'!$E$31</f>
        <v/>
      </c>
      <c r="F52" s="5">
        <f>'balance_raw_12425694'!$F$31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10" t="inlineStr">
        <is>
          <t>Andre reserver</t>
        </is>
      </c>
      <c r="B53" s="11">
        <f>'balance_raw_12425694'!$B$32</f>
        <v/>
      </c>
      <c r="C53" s="11">
        <f>'balance_raw_12425694'!$C$32</f>
        <v/>
      </c>
      <c r="D53" s="11">
        <f>'balance_raw_12425694'!$D$32</f>
        <v/>
      </c>
      <c r="E53" s="11">
        <f>'balance_raw_12425694'!$E$32</f>
        <v/>
      </c>
      <c r="F53" s="11">
        <f>'balance_raw_12425694'!$F$32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4" t="inlineStr">
        <is>
          <t>Overført resultat</t>
        </is>
      </c>
      <c r="B54" s="5">
        <f>'balance_raw_12425694'!$B$33</f>
        <v/>
      </c>
      <c r="C54" s="5">
        <f>'balance_raw_12425694'!$C$33</f>
        <v/>
      </c>
      <c r="D54" s="5">
        <f>'balance_raw_12425694'!$D$33</f>
        <v/>
      </c>
      <c r="E54" s="5">
        <f>'balance_raw_12425694'!$E$33</f>
        <v/>
      </c>
      <c r="F54" s="5">
        <f>'balance_raw_12425694'!$F$33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Egenkapital i alt</t>
        </is>
      </c>
      <c r="B55" s="8">
        <f>'balance_raw_12425694'!$B$34</f>
        <v/>
      </c>
      <c r="C55" s="8">
        <f>'balance_raw_12425694'!$C$34</f>
        <v/>
      </c>
      <c r="D55" s="8">
        <f>'balance_raw_12425694'!$D$34</f>
        <v/>
      </c>
      <c r="E55" s="8">
        <f>'balance_raw_12425694'!$E$34</f>
        <v/>
      </c>
      <c r="F55" s="8">
        <f>'balance_raw_12425694'!$F$34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Ansvarlig lånekapital (langfristet)</t>
        </is>
      </c>
      <c r="B56" s="5">
        <f>'balance_raw_12425694'!$B$35</f>
        <v/>
      </c>
      <c r="C56" s="5">
        <f>'balance_raw_12425694'!$C$35</f>
        <v/>
      </c>
      <c r="D56" s="5">
        <f>'balance_raw_12425694'!$D$35</f>
        <v/>
      </c>
      <c r="E56" s="5">
        <f>'balance_raw_12425694'!$E$35</f>
        <v/>
      </c>
      <c r="F56" s="5">
        <f>'balance_raw_12425694'!$F$35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Langfristede lån</t>
        </is>
      </c>
      <c r="B57" s="11">
        <f>'balance_raw_12425694'!$B$36</f>
        <v/>
      </c>
      <c r="C57" s="11">
        <f>'balance_raw_12425694'!$C$36</f>
        <v/>
      </c>
      <c r="D57" s="11">
        <f>'balance_raw_12425694'!$D$36</f>
        <v/>
      </c>
      <c r="E57" s="11">
        <f>'balance_raw_12425694'!$E$36</f>
        <v/>
      </c>
      <c r="F57" s="11">
        <f>'balance_raw_12425694'!$F$36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Leasingforpligtelser (langfristet)</t>
        </is>
      </c>
      <c r="B58" s="5">
        <f>'balance_raw_12425694'!$B$37</f>
        <v/>
      </c>
      <c r="C58" s="5">
        <f>'balance_raw_12425694'!$C$37</f>
        <v/>
      </c>
      <c r="D58" s="5">
        <f>'balance_raw_12425694'!$D$37</f>
        <v/>
      </c>
      <c r="E58" s="5">
        <f>'balance_raw_12425694'!$E$37</f>
        <v/>
      </c>
      <c r="F58" s="5">
        <f>'balance_raw_12425694'!$F$37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Anden gæld (langfristet)</t>
        </is>
      </c>
      <c r="B59" s="11">
        <f>'balance_raw_12425694'!$B$38</f>
        <v/>
      </c>
      <c r="C59" s="11">
        <f>'balance_raw_12425694'!$C$38</f>
        <v/>
      </c>
      <c r="D59" s="11">
        <f>'balance_raw_12425694'!$D$38</f>
        <v/>
      </c>
      <c r="E59" s="11">
        <f>'balance_raw_12425694'!$E$38</f>
        <v/>
      </c>
      <c r="F59" s="11">
        <f>'balance_raw_12425694'!$F$38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7" t="inlineStr">
        <is>
          <t>Langfristede gældsforpligtelser</t>
        </is>
      </c>
      <c r="B60" s="8">
        <f>'balance_raw_12425694'!$B$39</f>
        <v/>
      </c>
      <c r="C60" s="8">
        <f>'balance_raw_12425694'!$C$39</f>
        <v/>
      </c>
      <c r="D60" s="8">
        <f>'balance_raw_12425694'!$D$39</f>
        <v/>
      </c>
      <c r="E60" s="8">
        <f>'balance_raw_12425694'!$E$39</f>
        <v/>
      </c>
      <c r="F60" s="8">
        <f>'balance_raw_12425694'!$F$39</f>
        <v/>
      </c>
      <c r="G60" t="inlineStr"/>
      <c r="H60" s="9">
        <f>IFERROR(B60/$B$60*100,"")</f>
        <v/>
      </c>
      <c r="I60" s="9">
        <f>IFERROR(C60/$B$60*100,"")</f>
        <v/>
      </c>
      <c r="J60" s="9">
        <f>IFERROR(D60/$B$60*100,"")</f>
        <v/>
      </c>
      <c r="K60" s="9">
        <f>IFERROR(E60/$B$60*100,"")</f>
        <v/>
      </c>
      <c r="L60" s="9">
        <f>IFERROR(F60/$B$60*100,"")</f>
        <v/>
      </c>
    </row>
    <row r="61" ht="16" customHeight="1">
      <c r="A61" s="10" t="inlineStr">
        <is>
          <t>Ansvarlig lånekapital (kortfristet)</t>
        </is>
      </c>
      <c r="B61" s="11">
        <f>'balance_raw_12425694'!$B$40</f>
        <v/>
      </c>
      <c r="C61" s="11">
        <f>'balance_raw_12425694'!$C$40</f>
        <v/>
      </c>
      <c r="D61" s="11">
        <f>'balance_raw_12425694'!$D$40</f>
        <v/>
      </c>
      <c r="E61" s="11">
        <f>'balance_raw_12425694'!$E$40</f>
        <v/>
      </c>
      <c r="F61" s="11">
        <f>'balance_raw_12425694'!$F$40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Kortfristet del af langfristede gældsforpligtelser</t>
        </is>
      </c>
      <c r="B62" s="5">
        <f>'balance_raw_12425694'!$B$41</f>
        <v/>
      </c>
      <c r="C62" s="5">
        <f>'balance_raw_12425694'!$C$41</f>
        <v/>
      </c>
      <c r="D62" s="5">
        <f>'balance_raw_12425694'!$D$41</f>
        <v/>
      </c>
      <c r="E62" s="5">
        <f>'balance_raw_12425694'!$E$41</f>
        <v/>
      </c>
      <c r="F62" s="5">
        <f>'balance_raw_12425694'!$F$41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Kreditinstitutter</t>
        </is>
      </c>
      <c r="B63" s="11">
        <f>'balance_raw_12425694'!$B$42</f>
        <v/>
      </c>
      <c r="C63" s="11">
        <f>'balance_raw_12425694'!$C$42</f>
        <v/>
      </c>
      <c r="D63" s="11">
        <f>'balance_raw_12425694'!$D$42</f>
        <v/>
      </c>
      <c r="E63" s="11">
        <f>'balance_raw_12425694'!$E$42</f>
        <v/>
      </c>
      <c r="F63" s="11">
        <f>'balance_raw_12425694'!$F$42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Leasingforpligtelser (kortfristet)</t>
        </is>
      </c>
      <c r="B64" s="5">
        <f>'balance_raw_12425694'!$B$43</f>
        <v/>
      </c>
      <c r="C64" s="5">
        <f>'balance_raw_12425694'!$C$43</f>
        <v/>
      </c>
      <c r="D64" s="5">
        <f>'balance_raw_12425694'!$D$43</f>
        <v/>
      </c>
      <c r="E64" s="5">
        <f>'balance_raw_12425694'!$E$43</f>
        <v/>
      </c>
      <c r="F64" s="5">
        <f>'balance_raw_12425694'!$F$43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Leverandører af varer og tjenesteydelser</t>
        </is>
      </c>
      <c r="B65" s="11">
        <f>'balance_raw_12425694'!$B$44</f>
        <v/>
      </c>
      <c r="C65" s="11">
        <f>'balance_raw_12425694'!$C$44</f>
        <v/>
      </c>
      <c r="D65" s="11">
        <f>'balance_raw_12425694'!$D$44</f>
        <v/>
      </c>
      <c r="E65" s="11">
        <f>'balance_raw_12425694'!$E$44</f>
        <v/>
      </c>
      <c r="F65" s="11">
        <f>'balance_raw_12425694'!$F$44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Gæld til tilknyttede virksomheder</t>
        </is>
      </c>
      <c r="B66" s="5">
        <f>'balance_raw_12425694'!$B$45</f>
        <v/>
      </c>
      <c r="C66" s="5">
        <f>'balance_raw_12425694'!$C$45</f>
        <v/>
      </c>
      <c r="D66" s="5">
        <f>'balance_raw_12425694'!$D$45</f>
        <v/>
      </c>
      <c r="E66" s="5">
        <f>'balance_raw_12425694'!$E$45</f>
        <v/>
      </c>
      <c r="F66" s="5">
        <f>'balance_raw_12425694'!$F$45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10" t="inlineStr">
        <is>
          <t>Gæld til selskabsdeltagere og ledelse</t>
        </is>
      </c>
      <c r="B67" s="11">
        <f>'balance_raw_12425694'!$B$46</f>
        <v/>
      </c>
      <c r="C67" s="11">
        <f>'balance_raw_12425694'!$C$46</f>
        <v/>
      </c>
      <c r="D67" s="11">
        <f>'balance_raw_12425694'!$D$46</f>
        <v/>
      </c>
      <c r="E67" s="11">
        <f>'balance_raw_12425694'!$E$46</f>
        <v/>
      </c>
      <c r="F67" s="11">
        <f>'balance_raw_12425694'!$F$46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Selskabsskat</t>
        </is>
      </c>
      <c r="B68" s="5">
        <f>'balance_raw_12425694'!$B$47</f>
        <v/>
      </c>
      <c r="C68" s="5">
        <f>'balance_raw_12425694'!$C$47</f>
        <v/>
      </c>
      <c r="D68" s="5">
        <f>'balance_raw_12425694'!$D$47</f>
        <v/>
      </c>
      <c r="E68" s="5">
        <f>'balance_raw_12425694'!$E$47</f>
        <v/>
      </c>
      <c r="F68" s="5">
        <f>'balance_raw_12425694'!$F$47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Gæld til tilknyttede virksomheder vedr. selskabsskat</t>
        </is>
      </c>
      <c r="B69" s="11">
        <f>'balance_raw_12425694'!$B$48</f>
        <v/>
      </c>
      <c r="C69" s="11">
        <f>'balance_raw_12425694'!$C$48</f>
        <v/>
      </c>
      <c r="D69" s="11">
        <f>'balance_raw_12425694'!$D$48</f>
        <v/>
      </c>
      <c r="E69" s="11">
        <f>'balance_raw_12425694'!$E$48</f>
        <v/>
      </c>
      <c r="F69" s="11">
        <f>'balance_raw_12425694'!$F$48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Anden gæld (kortfristet)</t>
        </is>
      </c>
      <c r="B70" s="5">
        <f>'balance_raw_12425694'!$B$49</f>
        <v/>
      </c>
      <c r="C70" s="5">
        <f>'balance_raw_12425694'!$C$49</f>
        <v/>
      </c>
      <c r="D70" s="5">
        <f>'balance_raw_12425694'!$D$49</f>
        <v/>
      </c>
      <c r="E70" s="5">
        <f>'balance_raw_12425694'!$E$49</f>
        <v/>
      </c>
      <c r="F70" s="5">
        <f>'balance_raw_12425694'!$F$49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Periodeafgrænsningsposter (passiver)</t>
        </is>
      </c>
      <c r="B71" s="11">
        <f>'balance_raw_12425694'!$B$50</f>
        <v/>
      </c>
      <c r="C71" s="11">
        <f>'balance_raw_12425694'!$C$50</f>
        <v/>
      </c>
      <c r="D71" s="11">
        <f>'balance_raw_12425694'!$D$50</f>
        <v/>
      </c>
      <c r="E71" s="11">
        <f>'balance_raw_12425694'!$E$50</f>
        <v/>
      </c>
      <c r="F71" s="11">
        <f>'balance_raw_12425694'!$F$50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7" t="inlineStr">
        <is>
          <t>Kortfristede gældsforpligtelser</t>
        </is>
      </c>
      <c r="B72" s="8">
        <f>'balance_raw_12425694'!$B$51</f>
        <v/>
      </c>
      <c r="C72" s="8">
        <f>'balance_raw_12425694'!$C$51</f>
        <v/>
      </c>
      <c r="D72" s="8">
        <f>'balance_raw_12425694'!$D$51</f>
        <v/>
      </c>
      <c r="E72" s="8">
        <f>'balance_raw_12425694'!$E$51</f>
        <v/>
      </c>
      <c r="F72" s="8">
        <f>'balance_raw_12425694'!$F$51</f>
        <v/>
      </c>
      <c r="G72" t="inlineStr"/>
      <c r="H72" s="9">
        <f>IFERROR(B72/$B$72*100,"")</f>
        <v/>
      </c>
      <c r="I72" s="9">
        <f>IFERROR(C72/$B$72*100,"")</f>
        <v/>
      </c>
      <c r="J72" s="9">
        <f>IFERROR(D72/$B$72*100,"")</f>
        <v/>
      </c>
      <c r="K72" s="9">
        <f>IFERROR(E72/$B$72*100,"")</f>
        <v/>
      </c>
      <c r="L72" s="9">
        <f>IFERROR(F72/$B$72*100,"")</f>
        <v/>
      </c>
    </row>
    <row r="73" ht="16" customHeight="1">
      <c r="A73" s="7" t="inlineStr">
        <is>
          <t>Gældsforpligtelser</t>
        </is>
      </c>
      <c r="B73" s="8">
        <f>'balance_raw_12425694'!$B$52</f>
        <v/>
      </c>
      <c r="C73" s="8">
        <f>'balance_raw_12425694'!$C$52</f>
        <v/>
      </c>
      <c r="D73" s="8">
        <f>'balance_raw_12425694'!$D$52</f>
        <v/>
      </c>
      <c r="E73" s="8">
        <f>'balance_raw_12425694'!$E$52</f>
        <v/>
      </c>
      <c r="F73" s="8">
        <f>'balance_raw_12425694'!$F$52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7" t="inlineStr">
        <is>
          <t>Passiver</t>
        </is>
      </c>
      <c r="B74" s="8">
        <f>'balance_raw_12425694'!$B$53</f>
        <v/>
      </c>
      <c r="C74" s="8">
        <f>'balance_raw_12425694'!$C$53</f>
        <v/>
      </c>
      <c r="D74" s="8">
        <f>'balance_raw_12425694'!$D$53</f>
        <v/>
      </c>
      <c r="E74" s="8">
        <f>'balance_raw_12425694'!$E$53</f>
        <v/>
      </c>
      <c r="F74" s="8">
        <f>'balance_raw_12425694'!$F$53</f>
        <v/>
      </c>
      <c r="G74" t="inlineStr"/>
      <c r="H74" s="9">
        <f>IFERROR(B74/$B$74*100,"")</f>
        <v/>
      </c>
      <c r="I74" s="9">
        <f>IFERROR(C74/$B$74*100,"")</f>
        <v/>
      </c>
      <c r="J74" s="9">
        <f>IFERROR(D74/$B$74*100,"")</f>
        <v/>
      </c>
      <c r="K74" s="9">
        <f>IFERROR(E74/$B$74*100,"")</f>
        <v/>
      </c>
      <c r="L74" s="9">
        <f>IFERROR(F74/$B$74*100,"")</f>
        <v/>
      </c>
    </row>
    <row r="76" ht="22" customHeight="1">
      <c r="A76" s="3" t="inlineStr">
        <is>
          <t>NØGLEOPLYSNINGER</t>
        </is>
      </c>
      <c r="B76" s="3" t="n">
        <v>2021</v>
      </c>
      <c r="C76" s="3" t="n">
        <v>2022</v>
      </c>
      <c r="D76" s="3" t="n">
        <v>2023</v>
      </c>
      <c r="E76" s="3" t="n">
        <v>2024</v>
      </c>
      <c r="F76" s="3" t="n">
        <v>2025</v>
      </c>
    </row>
    <row r="77" ht="16" customHeight="1">
      <c r="A77" s="10" t="inlineStr">
        <is>
          <t>Gns. antal medarbejdere</t>
        </is>
      </c>
      <c r="B77" s="11">
        <f>'res_raw_12425694'!$B$17</f>
        <v/>
      </c>
      <c r="C77" s="11">
        <f>'res_raw_12425694'!$C$17</f>
        <v/>
      </c>
      <c r="D77" s="11">
        <f>'res_raw_12425694'!$D$17</f>
        <v/>
      </c>
      <c r="E77" s="11">
        <f>'res_raw_12425694'!$E$17</f>
        <v/>
      </c>
      <c r="F77" s="11">
        <f>'res_raw_12425694'!$F$17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8" ht="16" customHeight="1">
      <c r="A78" s="4" t="inlineStr">
        <is>
          <t>Investering i materielle anlægsaktiver</t>
        </is>
      </c>
      <c r="B78" s="5">
        <f>'res_raw_12425694'!$B$18</f>
        <v/>
      </c>
      <c r="C78" s="5">
        <f>'res_raw_12425694'!$C$18</f>
        <v/>
      </c>
      <c r="D78" s="5">
        <f>'res_raw_12425694'!$D$18</f>
        <v/>
      </c>
      <c r="E78" s="5">
        <f>'res_raw_12425694'!$E$18</f>
        <v/>
      </c>
      <c r="F78" s="5">
        <f>'res_raw_12425694'!$F$18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80" ht="22" customHeight="1">
      <c r="A80" s="3" t="inlineStr">
        <is>
          <t>NØGLETAL</t>
        </is>
      </c>
      <c r="B80" s="3" t="n">
        <v>2021</v>
      </c>
      <c r="C80" s="3" t="n">
        <v>2022</v>
      </c>
      <c r="D80" s="3" t="n">
        <v>2023</v>
      </c>
      <c r="E80" s="3" t="n">
        <v>2024</v>
      </c>
      <c r="F80" s="3" t="n">
        <v>2025</v>
      </c>
    </row>
    <row r="81" ht="16" customHeight="1">
      <c r="A81" s="10" t="inlineStr">
        <is>
          <t>Afkastningsgrad, %</t>
        </is>
      </c>
      <c r="B81" s="13">
        <f>IFERROR(($B$11+$B$13+$B$12)/$B$46*100,"")</f>
        <v/>
      </c>
      <c r="C81" s="13">
        <f>IFERROR(($C$11+$C$13+$C$12)/$C$46*100,"")</f>
        <v/>
      </c>
      <c r="D81" s="13">
        <f>IFERROR(($D$11+$D$13+$D$12)/$D$46*100,"")</f>
        <v/>
      </c>
      <c r="E81" s="13">
        <f>IFERROR(($E$11+$E$13+$E$12)/$E$46*100,"")</f>
        <v/>
      </c>
      <c r="F81" s="13">
        <f>IFERROR(($F$11+$F$13+$F$12)/$F$46*100,"")</f>
        <v/>
      </c>
    </row>
    <row r="82" ht="16" customHeight="1">
      <c r="A82" s="4" t="inlineStr">
        <is>
          <t>Overskudsgrad, %</t>
        </is>
      </c>
      <c r="B82" s="14">
        <f>IFERROR(($B$11+$B$13+$B$12)/$B$4*100,"")</f>
        <v/>
      </c>
      <c r="C82" s="14">
        <f>IFERROR(($C$11+$C$13+$C$12)/$C$4*100,"")</f>
        <v/>
      </c>
      <c r="D82" s="14">
        <f>IFERROR(($D$11+$D$13+$D$12)/$D$4*100,"")</f>
        <v/>
      </c>
      <c r="E82" s="14">
        <f>IFERROR(($E$11+$E$13+$E$12)/$E$4*100,"")</f>
        <v/>
      </c>
      <c r="F82" s="14">
        <f>IFERROR(($F$11+$F$13+$F$12)/$F$4*100,"")</f>
        <v/>
      </c>
    </row>
    <row r="83" ht="16" customHeight="1">
      <c r="A83" s="10" t="inlineStr">
        <is>
          <t>Aktivernes omsætningshastighed, gange</t>
        </is>
      </c>
      <c r="B83" s="13">
        <f>IFERROR($B$4/$B$46,"")</f>
        <v/>
      </c>
      <c r="C83" s="13">
        <f>IFERROR($C$4/$C$46,"")</f>
        <v/>
      </c>
      <c r="D83" s="13">
        <f>IFERROR($D$4/$D$46,"")</f>
        <v/>
      </c>
      <c r="E83" s="13">
        <f>IFERROR($E$4/$E$46,"")</f>
        <v/>
      </c>
      <c r="F83" s="13">
        <f>IFERROR($F$4/$F$46,"")</f>
        <v/>
      </c>
    </row>
    <row r="84" ht="16" customHeight="1">
      <c r="A84" s="4" t="inlineStr">
        <is>
          <t>Egenkapitalens forrentning, %</t>
        </is>
      </c>
      <c r="B84" s="14">
        <f>IFERROR($B$16/$B$55*100,"")</f>
        <v/>
      </c>
      <c r="C84" s="14">
        <f>IFERROR($C$16/$C$55*100,"")</f>
        <v/>
      </c>
      <c r="D84" s="14">
        <f>IFERROR($D$16/$D$55*100,"")</f>
        <v/>
      </c>
      <c r="E84" s="14">
        <f>IFERROR($E$16/$E$55*100,"")</f>
        <v/>
      </c>
      <c r="F84" s="14">
        <f>IFERROR($F$16/$F$55*100,"")</f>
        <v/>
      </c>
    </row>
    <row r="85" ht="16" customHeight="1">
      <c r="A85" s="10" t="inlineStr">
        <is>
          <t>Gældsrente, %</t>
        </is>
      </c>
      <c r="B85" s="13">
        <f>IFERROR($B$14/($B$74-$B$55)*100,"")</f>
        <v/>
      </c>
      <c r="C85" s="13">
        <f>IFERROR($C$14/($C$74-$C$55)*100,"")</f>
        <v/>
      </c>
      <c r="D85" s="13">
        <f>IFERROR($D$14/($D$74-$D$55)*100,"")</f>
        <v/>
      </c>
      <c r="E85" s="13">
        <f>IFERROR($E$14/($E$74-$E$55)*100,"")</f>
        <v/>
      </c>
      <c r="F85" s="13">
        <f>IFERROR($F$14/($F$74-$F$55)*100,"")</f>
        <v/>
      </c>
    </row>
    <row r="86" ht="16" customHeight="1">
      <c r="A86" s="4" t="inlineStr">
        <is>
          <t>Soliditetsgrad, %</t>
        </is>
      </c>
      <c r="B86" s="14">
        <f>IFERROR($B$55/$B$46*100,"")</f>
        <v/>
      </c>
      <c r="C86" s="14">
        <f>IFERROR($C$55/$C$46*100,"")</f>
        <v/>
      </c>
      <c r="D86" s="14">
        <f>IFERROR($D$55/$D$46*100,"")</f>
        <v/>
      </c>
      <c r="E86" s="14">
        <f>IFERROR($E$55/$E$46*100,"")</f>
        <v/>
      </c>
      <c r="F86" s="14">
        <f>IFERROR($F$55/$F$46*100,"")</f>
        <v/>
      </c>
    </row>
    <row r="87" ht="16" customHeight="1">
      <c r="A87" s="10" t="inlineStr">
        <is>
          <t>Gearing</t>
        </is>
      </c>
      <c r="B87" s="13">
        <f>IFERROR(($B$74-$B$55)/$B$55,"")</f>
        <v/>
      </c>
      <c r="C87" s="13">
        <f>IFERROR(($C$74-$C$55)/$C$55,"")</f>
        <v/>
      </c>
      <c r="D87" s="13">
        <f>IFERROR(($D$74-$D$55)/$D$55,"")</f>
        <v/>
      </c>
      <c r="E87" s="13">
        <f>IFERROR(($E$74-$E$55)/$E$55,"")</f>
        <v/>
      </c>
      <c r="F87" s="13">
        <f>IFERROR(($F$74-$F$55)/$F$55,"")</f>
        <v/>
      </c>
    </row>
    <row r="88" ht="16" customHeight="1">
      <c r="A88" s="4" t="inlineStr">
        <is>
          <t>Likviditetsgrad, %</t>
        </is>
      </c>
      <c r="B88" s="14">
        <f>IFERROR($B$45/$B$72*100,"")</f>
        <v/>
      </c>
      <c r="C88" s="14">
        <f>IFERROR($C$45/$C$72*100,"")</f>
        <v/>
      </c>
      <c r="D88" s="14">
        <f>IFERROR($D$45/$D$72*100,"")</f>
        <v/>
      </c>
      <c r="E88" s="14">
        <f>IFERROR($E$45/$E$72*100,"")</f>
        <v/>
      </c>
      <c r="F88" s="14">
        <f>IFERROR($F$45/$F$72*100,"")</f>
        <v/>
      </c>
    </row>
    <row r="89" ht="16" customHeight="1">
      <c r="A89" s="10" t="inlineStr">
        <is>
          <t>Rentemarginal, %</t>
        </is>
      </c>
      <c r="B89" s="13">
        <f>IFERROR(B81-B85,"")</f>
        <v/>
      </c>
      <c r="C89" s="13">
        <f>IFERROR(C81-C85,"")</f>
        <v/>
      </c>
      <c r="D89" s="13">
        <f>IFERROR(D81-D85,"")</f>
        <v/>
      </c>
      <c r="E89" s="13">
        <f>IFERROR(E81-E85,"")</f>
        <v/>
      </c>
      <c r="F89" s="13">
        <f>IFERROR(F81-F85,"")</f>
        <v/>
      </c>
    </row>
    <row r="90" ht="16" customHeight="1">
      <c r="A90" s="4" t="inlineStr">
        <is>
          <t>Gældsandel, %</t>
        </is>
      </c>
      <c r="B90" s="14">
        <f>IFERROR(($B$74-$B$55)/$B$46*100,"")</f>
        <v/>
      </c>
      <c r="C90" s="14">
        <f>IFERROR(($C$74-$C$55)/$C$46*100,"")</f>
        <v/>
      </c>
      <c r="D90" s="14">
        <f>IFERROR(($D$74-$D$55)/$D$46*100,"")</f>
        <v/>
      </c>
      <c r="E90" s="14">
        <f>IFERROR(($E$74-$E$55)/$E$46*100,"")</f>
        <v/>
      </c>
      <c r="F90" s="14">
        <f>IFERROR(($F$74-$F$55)/$F$46*100,"")</f>
        <v/>
      </c>
    </row>
    <row r="91" ht="16" customHeight="1">
      <c r="A91" s="10" t="inlineStr">
        <is>
          <t>Kapitalbindingsgrad, %</t>
        </is>
      </c>
      <c r="B91" s="13">
        <f>IFERROR($B$30/($B$55+$B$60)*100,"")</f>
        <v/>
      </c>
      <c r="C91" s="13">
        <f>IFERROR($C$30/($C$55+$C$60)*100,"")</f>
        <v/>
      </c>
      <c r="D91" s="13">
        <f>IFERROR($D$30/($D$55+$D$60)*100,"")</f>
        <v/>
      </c>
      <c r="E91" s="13">
        <f>IFERROR($E$30/($E$55+$E$60)*100,"")</f>
        <v/>
      </c>
      <c r="F91" s="13">
        <f>IFERROR($F$30/($F$55+$F$60)*100,"")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1203839</v>
      </c>
      <c r="C2" s="16" t="n">
        <v>1332973</v>
      </c>
      <c r="D2" s="16" t="n">
        <v>1424152</v>
      </c>
      <c r="E2" s="16" t="n">
        <v>1480905</v>
      </c>
      <c r="F2" s="16" t="n">
        <v>1762090</v>
      </c>
    </row>
    <row r="3">
      <c r="A3" s="15" t="inlineStr">
        <is>
          <t>Produktionsomkostninger</t>
        </is>
      </c>
      <c r="B3" s="16" t="n">
        <v>1083098</v>
      </c>
      <c r="C3" s="16" t="n">
        <v>1208344</v>
      </c>
      <c r="D3" s="16" t="n">
        <v>1263074</v>
      </c>
      <c r="E3" s="16" t="n">
        <v>1320738</v>
      </c>
      <c r="F3" s="16" t="n">
        <v>1588064</v>
      </c>
    </row>
    <row r="4">
      <c r="A4" s="17" t="inlineStr">
        <is>
          <t>Bruttoresultat</t>
        </is>
      </c>
      <c r="B4" s="16" t="n">
        <v>120741</v>
      </c>
      <c r="C4" s="16" t="n">
        <v>124629</v>
      </c>
      <c r="D4" s="16" t="n">
        <v>161078</v>
      </c>
      <c r="E4" s="16" t="n">
        <v>160167</v>
      </c>
      <c r="F4" s="16" t="n">
        <v>174026</v>
      </c>
    </row>
    <row r="5">
      <c r="A5" s="15" t="inlineStr">
        <is>
          <t>Salgs- og distributionsomkostninger</t>
        </is>
      </c>
      <c r="B5" s="16" t="n">
        <v>61177</v>
      </c>
      <c r="C5" s="16" t="n">
        <v>71235</v>
      </c>
      <c r="D5" s="16" t="n">
        <v>73892</v>
      </c>
      <c r="E5" s="16" t="n">
        <v>80457</v>
      </c>
      <c r="F5" s="16" t="n">
        <v>89718</v>
      </c>
    </row>
    <row r="6">
      <c r="A6" s="15" t="inlineStr">
        <is>
          <t>Administrationsomkostninger</t>
        </is>
      </c>
      <c r="B6" s="16" t="n">
        <v>27275</v>
      </c>
      <c r="C6" s="16" t="n">
        <v>29604</v>
      </c>
      <c r="D6" s="16" t="n">
        <v>47354</v>
      </c>
      <c r="E6" s="16" t="n">
        <v>41770</v>
      </c>
      <c r="F6" s="16" t="n">
        <v>46262</v>
      </c>
    </row>
    <row r="7">
      <c r="A7" s="15" t="inlineStr">
        <is>
          <t>Andre driftsindtægter</t>
        </is>
      </c>
      <c r="B7" s="16" t="n">
        <v>-124</v>
      </c>
      <c r="C7" s="16" t="n">
        <v>-497</v>
      </c>
      <c r="D7" s="16" t="n">
        <v>-80</v>
      </c>
      <c r="E7" s="16" t="n">
        <v>-25</v>
      </c>
      <c r="F7" s="16" t="n">
        <v>-1149</v>
      </c>
    </row>
    <row r="8">
      <c r="A8" s="15" t="inlineStr">
        <is>
          <t>Andre driftsomkostninger</t>
        </is>
      </c>
      <c r="B8" s="16" t="n"/>
      <c r="C8" s="16" t="n"/>
      <c r="D8" s="16" t="n"/>
      <c r="E8" s="16" t="n"/>
      <c r="F8" s="16" t="n"/>
    </row>
    <row r="9">
      <c r="A9" s="17" t="inlineStr">
        <is>
          <t>Resultat af primær drift</t>
        </is>
      </c>
      <c r="B9" s="16" t="n">
        <v>32289</v>
      </c>
      <c r="C9" s="16" t="n">
        <v>23790</v>
      </c>
      <c r="D9" s="16" t="n">
        <v>39832</v>
      </c>
      <c r="E9" s="16" t="n">
        <v>37940</v>
      </c>
      <c r="F9" s="16" t="n">
        <v>38046</v>
      </c>
    </row>
    <row r="10">
      <c r="A10" s="15" t="inlineStr">
        <is>
          <t>Indtægter af kapitalandele, dattervirksomheder</t>
        </is>
      </c>
      <c r="B10" s="16" t="n">
        <v>0</v>
      </c>
      <c r="C10" s="16" t="n">
        <v>0</v>
      </c>
      <c r="D10" s="16" t="n">
        <v>0</v>
      </c>
      <c r="E10" s="16" t="n">
        <v>0</v>
      </c>
      <c r="F10" s="16" t="n">
        <v>0</v>
      </c>
    </row>
    <row r="11">
      <c r="A11" s="15" t="inlineStr">
        <is>
          <t>Finansielle indtægter</t>
        </is>
      </c>
      <c r="B11" s="16" t="n">
        <v>-2</v>
      </c>
      <c r="C11" s="16" t="n">
        <v>3008</v>
      </c>
      <c r="D11" s="16" t="n">
        <v>164</v>
      </c>
      <c r="E11" s="16" t="n">
        <v>216</v>
      </c>
      <c r="F11" s="16" t="n">
        <v>568</v>
      </c>
    </row>
    <row r="12">
      <c r="A12" s="15" t="inlineStr">
        <is>
          <t>Finansielle omkostninger</t>
        </is>
      </c>
      <c r="B12" s="16" t="n">
        <v>5542</v>
      </c>
      <c r="C12" s="16" t="n">
        <v>6560</v>
      </c>
      <c r="D12" s="16" t="n">
        <v>8564</v>
      </c>
      <c r="E12" s="16" t="n">
        <v>7155</v>
      </c>
      <c r="F12" s="16" t="n">
        <v>5751</v>
      </c>
    </row>
    <row r="13">
      <c r="A13" s="17" t="inlineStr">
        <is>
          <t>Finansielle poster, netto</t>
        </is>
      </c>
      <c r="B13" s="16" t="n"/>
      <c r="C13" s="16" t="n"/>
      <c r="D13" s="16" t="n"/>
      <c r="E13" s="16" t="n"/>
      <c r="F13" s="16" t="n"/>
    </row>
    <row r="14">
      <c r="A14" s="17" t="inlineStr">
        <is>
          <t>Resultat før skat</t>
        </is>
      </c>
      <c r="B14" s="16" t="n">
        <v>26788</v>
      </c>
      <c r="C14" s="16" t="n">
        <v>20268</v>
      </c>
      <c r="D14" s="16" t="n">
        <v>31484</v>
      </c>
      <c r="E14" s="16" t="n">
        <v>30554</v>
      </c>
      <c r="F14" s="16" t="n">
        <v>33012</v>
      </c>
    </row>
    <row r="15">
      <c r="A15" s="15" t="inlineStr">
        <is>
          <t>Skat af årets resultat</t>
        </is>
      </c>
      <c r="B15" s="16" t="n">
        <v>120</v>
      </c>
      <c r="C15" s="16" t="n">
        <v>158</v>
      </c>
      <c r="D15" s="16" t="n">
        <v>129</v>
      </c>
      <c r="E15" s="16" t="n">
        <v>3</v>
      </c>
      <c r="F15" s="16" t="n">
        <v>251</v>
      </c>
    </row>
    <row r="16">
      <c r="A16" s="17" t="inlineStr">
        <is>
          <t>Årets resultat</t>
        </is>
      </c>
      <c r="B16" s="16" t="n">
        <v>26668</v>
      </c>
      <c r="C16" s="16" t="n">
        <v>20110</v>
      </c>
      <c r="D16" s="16" t="n">
        <v>31355</v>
      </c>
      <c r="E16" s="16" t="n">
        <v>30551</v>
      </c>
      <c r="F16" s="16" t="n">
        <v>32761</v>
      </c>
    </row>
    <row r="17">
      <c r="A17" s="15" t="inlineStr">
        <is>
          <t>Gns. antal medarbejdere</t>
        </is>
      </c>
      <c r="B17" s="16" t="n">
        <v>256</v>
      </c>
      <c r="C17" s="16" t="n">
        <v>270</v>
      </c>
      <c r="D17" s="16" t="n">
        <v>273</v>
      </c>
      <c r="E17" s="16" t="n">
        <v>291</v>
      </c>
      <c r="F17" s="16" t="n">
        <v>302</v>
      </c>
    </row>
    <row r="18">
      <c r="A18" s="15" t="inlineStr">
        <is>
          <t>Investering i materielle anlægsaktiver</t>
        </is>
      </c>
      <c r="B18" s="16" t="n">
        <v>-56303</v>
      </c>
      <c r="C18" s="16" t="n">
        <v>-66659</v>
      </c>
      <c r="D18" s="16" t="n">
        <v>-23554</v>
      </c>
      <c r="E18" s="16" t="n">
        <v>-14325</v>
      </c>
      <c r="F18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Grunde og bygninger</t>
        </is>
      </c>
      <c r="B2" s="16" t="n">
        <v>177115</v>
      </c>
      <c r="C2" s="16" t="n">
        <v>233612</v>
      </c>
      <c r="D2" s="16" t="n">
        <v>220687</v>
      </c>
      <c r="E2" s="16" t="n">
        <v>205107</v>
      </c>
      <c r="F2" s="16" t="n">
        <v>202238</v>
      </c>
    </row>
    <row r="3">
      <c r="A3" s="15" t="inlineStr">
        <is>
          <t>Produktionsanlæg og maskiner</t>
        </is>
      </c>
      <c r="B3" s="16" t="n">
        <v>53566</v>
      </c>
      <c r="C3" s="16" t="n">
        <v>68824</v>
      </c>
      <c r="D3" s="16" t="n">
        <v>64710</v>
      </c>
      <c r="E3" s="16" t="n">
        <v>53917</v>
      </c>
      <c r="F3" s="16" t="n">
        <v>50264</v>
      </c>
    </row>
    <row r="4">
      <c r="A4" s="15" t="inlineStr">
        <is>
          <t>Driftsmateriel og inventar</t>
        </is>
      </c>
      <c r="B4" s="16" t="n">
        <v>2200</v>
      </c>
      <c r="C4" s="16" t="n">
        <v>6360</v>
      </c>
      <c r="D4" s="16" t="n">
        <v>6560</v>
      </c>
      <c r="E4" s="16" t="n">
        <v>4928</v>
      </c>
      <c r="F4" s="16" t="n">
        <v>4891</v>
      </c>
    </row>
    <row r="5">
      <c r="A5" s="15" t="inlineStr">
        <is>
          <t>Indretning af lejede lokaler</t>
        </is>
      </c>
      <c r="B5" s="16" t="n"/>
      <c r="C5" s="16" t="n"/>
      <c r="D5" s="16" t="n"/>
      <c r="E5" s="16" t="n"/>
      <c r="F5" s="16" t="n"/>
    </row>
    <row r="6">
      <c r="A6" s="15" t="inlineStr">
        <is>
          <t>Forudbetaling og anlægsaktiver under opførelse</t>
        </is>
      </c>
      <c r="B6" s="16" t="n">
        <v>39918</v>
      </c>
      <c r="C6" s="16" t="n">
        <v>0</v>
      </c>
      <c r="D6" s="16" t="n">
        <v>8210</v>
      </c>
      <c r="E6" s="16" t="n">
        <v>13816</v>
      </c>
      <c r="F6" s="16" t="n">
        <v>27332</v>
      </c>
    </row>
    <row r="7">
      <c r="A7" s="17" t="inlineStr">
        <is>
          <t>Materielle anlægsaktiver</t>
        </is>
      </c>
      <c r="B7" s="16" t="n">
        <v>272799</v>
      </c>
      <c r="C7" s="16" t="n">
        <v>308796</v>
      </c>
      <c r="D7" s="16" t="n">
        <v>300167</v>
      </c>
      <c r="E7" s="16" t="n">
        <v>277768</v>
      </c>
      <c r="F7" s="16" t="n">
        <v>284725</v>
      </c>
    </row>
    <row r="8">
      <c r="A8" s="15" t="inlineStr">
        <is>
          <t>Kapitalandele, dattervirksomheder</t>
        </is>
      </c>
      <c r="B8" s="16" t="n">
        <v>0</v>
      </c>
      <c r="C8" s="16" t="n">
        <v>0</v>
      </c>
      <c r="D8" s="16" t="n">
        <v>0</v>
      </c>
      <c r="E8" s="16" t="n">
        <v>0</v>
      </c>
      <c r="F8" s="16" t="n">
        <v>0</v>
      </c>
    </row>
    <row r="9">
      <c r="A9" s="15" t="inlineStr">
        <is>
          <t>Deposita</t>
        </is>
      </c>
      <c r="B9" s="16" t="n">
        <v>30</v>
      </c>
      <c r="C9" s="16" t="n">
        <v>30</v>
      </c>
      <c r="D9" s="16" t="n">
        <v>30</v>
      </c>
      <c r="E9" s="16" t="n">
        <v>30</v>
      </c>
      <c r="F9" s="16" t="n">
        <v>30</v>
      </c>
    </row>
    <row r="10">
      <c r="A10" s="17" t="inlineStr">
        <is>
          <t>Finansielle anlægsaktiver</t>
        </is>
      </c>
      <c r="B10" s="16" t="n">
        <v>1551</v>
      </c>
      <c r="C10" s="16" t="n">
        <v>1580</v>
      </c>
      <c r="D10" s="16" t="n">
        <v>1630</v>
      </c>
      <c r="E10" s="16" t="n">
        <v>1182</v>
      </c>
      <c r="F10" s="16" t="n">
        <v>1330</v>
      </c>
    </row>
    <row r="11">
      <c r="A11" s="17" t="inlineStr">
        <is>
          <t>Anlægsaktiver</t>
        </is>
      </c>
      <c r="B11" s="16" t="n">
        <v>274350</v>
      </c>
      <c r="C11" s="16" t="n">
        <v>310376</v>
      </c>
      <c r="D11" s="16" t="n">
        <v>301797</v>
      </c>
      <c r="E11" s="16" t="n">
        <v>278950</v>
      </c>
      <c r="F11" s="16" t="n">
        <v>286055</v>
      </c>
    </row>
    <row r="12">
      <c r="A12" s="15" t="inlineStr">
        <is>
          <t>Råvarer og hjælpematerialer</t>
        </is>
      </c>
      <c r="B12" s="16" t="n">
        <v>22132</v>
      </c>
      <c r="C12" s="16" t="n">
        <v>22165</v>
      </c>
      <c r="D12" s="16" t="n">
        <v>24140</v>
      </c>
      <c r="E12" s="16" t="n">
        <v>23768</v>
      </c>
      <c r="F12" s="16" t="n">
        <v>22377</v>
      </c>
    </row>
    <row r="13">
      <c r="A13" s="15" t="inlineStr">
        <is>
          <t>Varer under fremstilling</t>
        </is>
      </c>
      <c r="B13" s="16" t="n">
        <v>43032</v>
      </c>
      <c r="C13" s="16" t="n">
        <v>37242</v>
      </c>
      <c r="D13" s="16" t="n">
        <v>36537</v>
      </c>
      <c r="E13" s="16" t="n">
        <v>51167</v>
      </c>
      <c r="F13" s="16" t="n">
        <v>44888</v>
      </c>
    </row>
    <row r="14">
      <c r="A14" s="15" t="inlineStr">
        <is>
          <t>Færdigvarer og handelsvarer</t>
        </is>
      </c>
      <c r="B14" s="16" t="n">
        <v>31956</v>
      </c>
      <c r="C14" s="16" t="n">
        <v>35538</v>
      </c>
      <c r="D14" s="16" t="n">
        <v>22808</v>
      </c>
      <c r="E14" s="16" t="n">
        <v>17603</v>
      </c>
      <c r="F14" s="16" t="n">
        <v>27271</v>
      </c>
    </row>
    <row r="15">
      <c r="A15" s="17" t="inlineStr">
        <is>
          <t>Varebeholdninger</t>
        </is>
      </c>
      <c r="B15" s="16" t="n">
        <v>97120</v>
      </c>
      <c r="C15" s="16" t="n">
        <v>94945</v>
      </c>
      <c r="D15" s="16" t="n">
        <v>83485</v>
      </c>
      <c r="E15" s="16" t="n">
        <v>92538</v>
      </c>
      <c r="F15" s="16" t="n">
        <v>94536</v>
      </c>
    </row>
    <row r="16">
      <c r="A16" s="15" t="inlineStr">
        <is>
          <t>Tilgodehavender fra salg og tjenesteydelser</t>
        </is>
      </c>
      <c r="B16" s="16" t="n">
        <v>110310</v>
      </c>
      <c r="C16" s="16" t="n">
        <v>145587</v>
      </c>
      <c r="D16" s="16" t="n">
        <v>146742</v>
      </c>
      <c r="E16" s="16" t="n">
        <v>173293</v>
      </c>
      <c r="F16" s="16" t="n">
        <v>200448</v>
      </c>
    </row>
    <row r="17">
      <c r="A17" s="15" t="inlineStr">
        <is>
          <t>Tilgodehavender hos tilknyttede virksomheder</t>
        </is>
      </c>
      <c r="B17" s="16" t="n">
        <v>0</v>
      </c>
      <c r="C17" s="16" t="n">
        <v>0</v>
      </c>
      <c r="D17" s="16" t="n">
        <v>0</v>
      </c>
      <c r="E17" s="16" t="n">
        <v>0</v>
      </c>
      <c r="F17" s="16" t="n">
        <v>0</v>
      </c>
    </row>
    <row r="18">
      <c r="A18" s="15" t="inlineStr">
        <is>
          <t>Andre tilgodehavender</t>
        </is>
      </c>
      <c r="B18" s="16" t="n">
        <v>11331</v>
      </c>
      <c r="C18" s="16" t="n">
        <v>10332</v>
      </c>
      <c r="D18" s="16" t="n">
        <v>7021</v>
      </c>
      <c r="E18" s="16" t="n">
        <v>23455</v>
      </c>
      <c r="F18" s="16" t="n">
        <v>9826</v>
      </c>
    </row>
    <row r="19">
      <c r="A19" s="15" t="inlineStr">
        <is>
          <t>Periodeafgrænsningsposter (aktiver)</t>
        </is>
      </c>
      <c r="B19" s="16" t="n">
        <v>962</v>
      </c>
      <c r="C19" s="16" t="n">
        <v>1358</v>
      </c>
      <c r="D19" s="16" t="n">
        <v>1674</v>
      </c>
      <c r="E19" s="16" t="n">
        <v>2563</v>
      </c>
      <c r="F19" s="16" t="n">
        <v>1765</v>
      </c>
    </row>
    <row r="20">
      <c r="A20" s="15" t="inlineStr">
        <is>
          <t>Udskudt skatteaktiv</t>
        </is>
      </c>
      <c r="B20" s="16" t="n">
        <v>9</v>
      </c>
      <c r="C20" s="16" t="n">
        <v>9</v>
      </c>
      <c r="D20" s="16" t="n">
        <v>0</v>
      </c>
      <c r="E20" s="16" t="n"/>
      <c r="F20" s="16" t="n"/>
    </row>
    <row r="21">
      <c r="A21" s="15" t="inlineStr">
        <is>
          <t>Tilgodehavende skat hos tilknyttede virksomheder</t>
        </is>
      </c>
      <c r="B21" s="16" t="n"/>
      <c r="C21" s="16" t="n"/>
      <c r="D21" s="16" t="n"/>
      <c r="E21" s="16" t="n"/>
      <c r="F21" s="16" t="n"/>
    </row>
    <row r="22">
      <c r="A22" s="15" t="inlineStr">
        <is>
          <t>Kortfristede skattetilgodehavender</t>
        </is>
      </c>
      <c r="B22" s="16" t="n"/>
      <c r="C22" s="16" t="n"/>
      <c r="D22" s="16" t="n"/>
      <c r="E22" s="16" t="n"/>
      <c r="F22" s="16" t="n"/>
    </row>
    <row r="23">
      <c r="A23" s="17" t="inlineStr">
        <is>
          <t>Tilgodehavender</t>
        </is>
      </c>
      <c r="B23" s="16" t="n">
        <v>122612</v>
      </c>
      <c r="C23" s="16" t="n">
        <v>157286</v>
      </c>
      <c r="D23" s="16" t="n">
        <v>155437</v>
      </c>
      <c r="E23" s="16" t="n">
        <v>199311</v>
      </c>
      <c r="F23" s="16" t="n">
        <v>212039</v>
      </c>
    </row>
    <row r="24">
      <c r="A24" s="15" t="inlineStr">
        <is>
          <t>Værdipapirer</t>
        </is>
      </c>
      <c r="B24" s="16" t="n"/>
      <c r="C24" s="16" t="n"/>
      <c r="D24" s="16" t="n"/>
      <c r="E24" s="16" t="n"/>
      <c r="F24" s="16" t="n"/>
    </row>
    <row r="25">
      <c r="A25" s="15" t="inlineStr">
        <is>
          <t>Likvide beholdninger</t>
        </is>
      </c>
      <c r="B25" s="16" t="n">
        <v>139</v>
      </c>
      <c r="C25" s="16" t="n">
        <v>69</v>
      </c>
      <c r="D25" s="16" t="n">
        <v>43</v>
      </c>
      <c r="E25" s="16" t="n">
        <v>89</v>
      </c>
      <c r="F25" s="16" t="n">
        <v>1661</v>
      </c>
    </row>
    <row r="26">
      <c r="A26" s="17" t="inlineStr">
        <is>
          <t>Omsætningsaktiver</t>
        </is>
      </c>
      <c r="B26" s="16" t="n">
        <v>219871</v>
      </c>
      <c r="C26" s="16" t="n">
        <v>252300</v>
      </c>
      <c r="D26" s="16" t="n">
        <v>238965</v>
      </c>
      <c r="E26" s="16" t="n">
        <v>291938</v>
      </c>
      <c r="F26" s="16" t="n">
        <v>308236</v>
      </c>
    </row>
    <row r="27">
      <c r="A27" s="17" t="inlineStr">
        <is>
          <t>Aktiver</t>
        </is>
      </c>
      <c r="B27" s="16" t="n">
        <v>494221</v>
      </c>
      <c r="C27" s="16" t="n">
        <v>562676</v>
      </c>
      <c r="D27" s="16" t="n">
        <v>540762</v>
      </c>
      <c r="E27" s="16" t="n">
        <v>570888</v>
      </c>
      <c r="F27" s="16" t="n">
        <v>594291</v>
      </c>
    </row>
    <row r="28">
      <c r="A28" s="15" t="inlineStr">
        <is>
          <t>Selskabskapital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Reserve for nettoopskrivning (indre værdis metode)</t>
        </is>
      </c>
      <c r="B29" s="16" t="n">
        <v>0</v>
      </c>
      <c r="C29" s="16" t="n">
        <v>0</v>
      </c>
      <c r="D29" s="16" t="n">
        <v>0</v>
      </c>
      <c r="E29" s="16" t="n">
        <v>0</v>
      </c>
      <c r="F29" s="16" t="n">
        <v>0</v>
      </c>
    </row>
    <row r="30">
      <c r="A30" s="15" t="inlineStr">
        <is>
          <t>Reserve for udviklingsomkostninger</t>
        </is>
      </c>
      <c r="B30" s="16" t="n"/>
      <c r="C30" s="16" t="n"/>
      <c r="D30" s="16" t="n"/>
      <c r="E30" s="16" t="n"/>
      <c r="F30" s="16" t="n"/>
    </row>
    <row r="31">
      <c r="A31" s="15" t="inlineStr">
        <is>
          <t>Reserve for sikringstransaktioner</t>
        </is>
      </c>
      <c r="B31" s="16" t="n"/>
      <c r="C31" s="16" t="n"/>
      <c r="D31" s="16" t="n"/>
      <c r="E31" s="16" t="n"/>
      <c r="F31" s="16" t="n"/>
    </row>
    <row r="32">
      <c r="A32" s="15" t="inlineStr">
        <is>
          <t>Andre reserver</t>
        </is>
      </c>
      <c r="B32" s="16" t="n">
        <v>20731</v>
      </c>
      <c r="C32" s="16" t="n">
        <v>23785</v>
      </c>
      <c r="D32" s="16" t="n">
        <v>25315</v>
      </c>
      <c r="E32" s="16" t="n">
        <v>26817</v>
      </c>
      <c r="F32" s="16" t="n"/>
    </row>
    <row r="33">
      <c r="A33" s="15" t="inlineStr">
        <is>
          <t>Overført resultat</t>
        </is>
      </c>
      <c r="B33" s="16" t="n">
        <v>152834</v>
      </c>
      <c r="C33" s="16" t="n">
        <v>158058</v>
      </c>
      <c r="D33" s="16" t="n">
        <v>168881</v>
      </c>
      <c r="E33" s="16" t="n">
        <v>177260</v>
      </c>
      <c r="F33" s="16" t="n">
        <v>184572</v>
      </c>
    </row>
    <row r="34">
      <c r="A34" s="17" t="inlineStr">
        <is>
          <t>Egenkapital i alt</t>
        </is>
      </c>
      <c r="B34" s="16" t="n">
        <v>186797</v>
      </c>
      <c r="C34" s="16" t="n">
        <v>195421</v>
      </c>
      <c r="D34" s="16" t="n">
        <v>209829</v>
      </c>
      <c r="E34" s="16" t="n">
        <v>221368</v>
      </c>
      <c r="F34" s="16" t="n">
        <v>233221</v>
      </c>
    </row>
    <row r="35">
      <c r="A35" s="15" t="inlineStr">
        <is>
          <t>Ansvarlig lånekapital (langfristet)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Langfristede lån</t>
        </is>
      </c>
      <c r="B36" s="16" t="n">
        <v>59677</v>
      </c>
      <c r="C36" s="16" t="n">
        <v>114454</v>
      </c>
      <c r="D36" s="16" t="n">
        <v>108007</v>
      </c>
      <c r="E36" s="16" t="n">
        <v>99447</v>
      </c>
      <c r="F36" s="16" t="n">
        <v>89959</v>
      </c>
    </row>
    <row r="37">
      <c r="A37" s="15" t="inlineStr">
        <is>
          <t>Leasingforpligtelser (langfristet)</t>
        </is>
      </c>
      <c r="B37" s="16" t="n">
        <v>15921</v>
      </c>
      <c r="C37" s="16" t="n">
        <v>19272</v>
      </c>
      <c r="D37" s="16" t="n">
        <v>17616</v>
      </c>
      <c r="E37" s="16" t="n">
        <v>26857</v>
      </c>
      <c r="F37" s="16" t="n">
        <v>41058</v>
      </c>
    </row>
    <row r="38">
      <c r="A38" s="15" t="inlineStr">
        <is>
          <t>Anden gæld (langfristet)</t>
        </is>
      </c>
      <c r="B38" s="16" t="n">
        <v>3280</v>
      </c>
      <c r="C38" s="16" t="n">
        <v>532</v>
      </c>
      <c r="D38" s="16" t="n">
        <v>490</v>
      </c>
      <c r="E38" s="16" t="n">
        <v>337</v>
      </c>
      <c r="F38" s="16" t="n">
        <v>177</v>
      </c>
    </row>
    <row r="39">
      <c r="A39" s="17" t="inlineStr">
        <is>
          <t>Langfristede gældsforpligtelser</t>
        </is>
      </c>
      <c r="B39" s="16" t="n">
        <v>79408</v>
      </c>
      <c r="C39" s="16" t="n">
        <v>134258</v>
      </c>
      <c r="D39" s="16" t="n">
        <v>126126</v>
      </c>
      <c r="E39" s="16" t="n">
        <v>126654</v>
      </c>
      <c r="F39" s="16" t="n">
        <v>131307</v>
      </c>
    </row>
    <row r="40">
      <c r="A40" s="15" t="inlineStr">
        <is>
          <t>Ansvarlig lånekapital (kortfristet)</t>
        </is>
      </c>
      <c r="B40" s="16" t="n"/>
      <c r="C40" s="16" t="n"/>
      <c r="D40" s="16" t="n"/>
      <c r="E40" s="16" t="n"/>
      <c r="F40" s="16" t="n"/>
    </row>
    <row r="41">
      <c r="A41" s="15" t="inlineStr">
        <is>
          <t>Kortfristet del af langfristede gældsforpligtelser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Kreditinstitutter</t>
        </is>
      </c>
      <c r="B42" s="16" t="n">
        <v>52692</v>
      </c>
      <c r="C42" s="16" t="n">
        <v>56370</v>
      </c>
      <c r="D42" s="16" t="n">
        <v>16681</v>
      </c>
      <c r="E42" s="16" t="n">
        <v>33823</v>
      </c>
      <c r="F42" s="16" t="n">
        <v>7900</v>
      </c>
    </row>
    <row r="43">
      <c r="A43" s="15" t="inlineStr">
        <is>
          <t>Leasingforpligtelser (kortfristet)</t>
        </is>
      </c>
      <c r="B43" s="16" t="n">
        <v>6477</v>
      </c>
      <c r="C43" s="16" t="n">
        <v>9383</v>
      </c>
      <c r="D43" s="16" t="n">
        <v>4038</v>
      </c>
      <c r="E43" s="16" t="n">
        <v>3996</v>
      </c>
      <c r="F43" s="16" t="n">
        <v>5292</v>
      </c>
    </row>
    <row r="44">
      <c r="A44" s="15" t="inlineStr">
        <is>
          <t>Leverandører af varer og tjenesteydelser</t>
        </is>
      </c>
      <c r="B44" s="16" t="n">
        <v>117336</v>
      </c>
      <c r="C44" s="16" t="n">
        <v>114138</v>
      </c>
      <c r="D44" s="16" t="n">
        <v>123932</v>
      </c>
      <c r="E44" s="16" t="n">
        <v>125528</v>
      </c>
      <c r="F44" s="16" t="n">
        <v>143048</v>
      </c>
    </row>
    <row r="45">
      <c r="A45" s="15" t="inlineStr">
        <is>
          <t>Gæld til tilknyttede virksomheder</t>
        </is>
      </c>
      <c r="B45" s="16" t="n">
        <v>0</v>
      </c>
      <c r="C45" s="16" t="n">
        <v>0</v>
      </c>
      <c r="D45" s="16" t="n">
        <v>0</v>
      </c>
      <c r="E45" s="16" t="n"/>
      <c r="F45" s="16" t="n"/>
    </row>
    <row r="46">
      <c r="A46" s="15" t="inlineStr">
        <is>
          <t>Gæld til selskabsdeltagere og ledelse</t>
        </is>
      </c>
      <c r="B46" s="16" t="n"/>
      <c r="C46" s="16" t="n"/>
      <c r="D46" s="16" t="n"/>
      <c r="E46" s="16" t="n"/>
      <c r="F46" s="16" t="n"/>
    </row>
    <row r="47">
      <c r="A47" s="15" t="inlineStr">
        <is>
          <t>Selskabsskat</t>
        </is>
      </c>
      <c r="B47" s="16" t="n">
        <v>129</v>
      </c>
      <c r="C47" s="16" t="n">
        <v>231</v>
      </c>
      <c r="D47" s="16" t="n">
        <v>314</v>
      </c>
      <c r="E47" s="16" t="n">
        <v>244</v>
      </c>
      <c r="F47" s="16" t="n">
        <v>264</v>
      </c>
    </row>
    <row r="48">
      <c r="A48" s="15" t="inlineStr">
        <is>
          <t>Gæld til tilknyttede virksomheder vedr. selskabsskat</t>
        </is>
      </c>
      <c r="B48" s="16" t="n"/>
      <c r="C48" s="16" t="n"/>
      <c r="D48" s="16" t="n"/>
      <c r="E48" s="16" t="n"/>
      <c r="F48" s="16" t="n"/>
    </row>
    <row r="49">
      <c r="A49" s="15" t="inlineStr">
        <is>
          <t>Anden gæld (kortfristet)</t>
        </is>
      </c>
      <c r="B49" s="16" t="n">
        <v>44168</v>
      </c>
      <c r="C49" s="16" t="n"/>
      <c r="D49" s="16" t="n"/>
      <c r="E49" s="16" t="n"/>
      <c r="F49" s="16" t="n">
        <v>63906</v>
      </c>
    </row>
    <row r="50">
      <c r="A50" s="15" t="inlineStr">
        <is>
          <t>Periodeafgrænsningsposter (passiver)</t>
        </is>
      </c>
      <c r="B50" s="16" t="n">
        <v>130</v>
      </c>
      <c r="C50" s="16" t="n">
        <v>329</v>
      </c>
      <c r="D50" s="16" t="n">
        <v>0</v>
      </c>
      <c r="E50" s="16" t="n"/>
      <c r="F50" s="16" t="n"/>
    </row>
    <row r="51">
      <c r="A51" s="17" t="inlineStr">
        <is>
          <t>Kortfristede gældsforpligtelser</t>
        </is>
      </c>
      <c r="B51" s="16" t="n">
        <v>228016</v>
      </c>
      <c r="C51" s="16" t="n">
        <v>232997</v>
      </c>
      <c r="D51" s="16" t="n">
        <v>204807</v>
      </c>
      <c r="E51" s="16" t="n">
        <v>222866</v>
      </c>
      <c r="F51" s="16" t="n">
        <v>229763</v>
      </c>
    </row>
    <row r="52">
      <c r="A52" s="17" t="inlineStr">
        <is>
          <t>Gældsforpligtelser</t>
        </is>
      </c>
      <c r="B52" s="16" t="n">
        <v>307424</v>
      </c>
      <c r="C52" s="16" t="n">
        <v>367255</v>
      </c>
      <c r="D52" s="16" t="n">
        <v>330933</v>
      </c>
      <c r="E52" s="16" t="n">
        <v>349520</v>
      </c>
      <c r="F52" s="16" t="n">
        <v>361070</v>
      </c>
    </row>
    <row r="53">
      <c r="A53" s="17" t="inlineStr">
        <is>
          <t>Passiver</t>
        </is>
      </c>
      <c r="B53" s="16" t="n">
        <v>494221</v>
      </c>
      <c r="C53" s="16" t="n">
        <v>562676</v>
      </c>
      <c r="D53" s="16" t="n">
        <v>540762</v>
      </c>
      <c r="E53" s="16" t="n">
        <v>570888</v>
      </c>
      <c r="F53" s="16" t="n">
        <v>594291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(CVR: 12425694)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'res_raw_12425694'!$F$2</f>
        <v/>
      </c>
      <c r="C5" s="24">
        <f>'res_raw_12425694'!$E$2</f>
        <v/>
      </c>
      <c r="D5" s="24">
        <f>'res_raw_12425694'!$D$2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-'res_raw_12425694'!$F$3</f>
        <v/>
      </c>
      <c r="C6" s="24">
        <f>-'res_raw_12425694'!$E$3</f>
        <v/>
      </c>
      <c r="D6" s="24">
        <f>-'res_raw_12425694'!$D$3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SUM(B5:B6)</f>
        <v/>
      </c>
      <c r="C7" s="27">
        <f>SUM(C5:C6)</f>
        <v/>
      </c>
      <c r="D7" s="27">
        <f>SUM(D5:D6)</f>
        <v/>
      </c>
      <c r="F7" s="28" t="inlineStr">
        <is>
          <t>Beregnet: Nettoomsætning − Produktionsomkostninger. Matcher fsa:GrossResult.</t>
        </is>
      </c>
    </row>
    <row r="8">
      <c r="A8" s="23" t="inlineStr">
        <is>
          <t>Salgs- og distributionsomk.</t>
        </is>
      </c>
      <c r="B8" s="24">
        <f>-'res_raw_12425694'!$F$5</f>
        <v/>
      </c>
      <c r="C8" s="24">
        <f>-'res_raw_12425694'!$E$5</f>
        <v/>
      </c>
      <c r="D8" s="24">
        <f>-'res_raw_12425694'!$D$5</f>
        <v/>
      </c>
      <c r="F8" s="25" t="inlineStr">
        <is>
          <t>fsa:DistributionCosts (vises negativt). Marketing, salg, distribution.</t>
        </is>
      </c>
    </row>
    <row r="9">
      <c r="A9" s="23" t="inlineStr">
        <is>
          <t>Administrationsomkostninger mv.</t>
        </is>
      </c>
      <c r="B9" s="24">
        <f>-'res_raw_12425694'!$F$6</f>
        <v/>
      </c>
      <c r="C9" s="24">
        <f>-'res_raw_12425694'!$E$6</f>
        <v/>
      </c>
      <c r="D9" s="24">
        <f>-'res_raw_12425694'!$D$6</f>
        <v/>
      </c>
      <c r="F9" s="25" t="inlineStr">
        <is>
          <t>fsa:AdministrativeExpenses (vises negativt). Generel administration.</t>
        </is>
      </c>
    </row>
    <row r="10">
      <c r="A10" s="23" t="inlineStr">
        <is>
          <t>Andre driftsindtægter</t>
        </is>
      </c>
      <c r="B10" s="24">
        <f>'res_raw_12425694'!$F$7</f>
        <v/>
      </c>
      <c r="C10" s="24">
        <f>'res_raw_12425694'!$E$7</f>
        <v/>
      </c>
      <c r="D10" s="24">
        <f>'res_raw_12425694'!$D$7</f>
        <v/>
      </c>
      <c r="F10" s="25" t="inlineStr">
        <is>
          <t>fsa:OtherOperatingIncome. Sekundære driftsindtægter (huslejeindtægter, off. tilskud, avancer mv.).</t>
        </is>
      </c>
    </row>
    <row r="11">
      <c r="A11" s="23" t="inlineStr">
        <is>
          <t>Andre driftsomkostninger</t>
        </is>
      </c>
      <c r="B11" s="24">
        <f>-'res_raw_12425694'!$F$8</f>
        <v/>
      </c>
      <c r="C11" s="24">
        <f>-'res_raw_12425694'!$E$8</f>
        <v/>
      </c>
      <c r="D11" s="24">
        <f>-'res_raw_12425694'!$D$8</f>
        <v/>
      </c>
      <c r="F11" s="25" t="inlineStr">
        <is>
          <t>fsa:OtherOperatingExpenses (vises negativt). Sekundære driftsomkostninger.</t>
        </is>
      </c>
    </row>
    <row r="12">
      <c r="A12" s="26" t="inlineStr">
        <is>
          <t>Resultat af primær drift</t>
        </is>
      </c>
      <c r="B12" s="27">
        <f>SUM(B7:B11)</f>
        <v/>
      </c>
      <c r="C12" s="27">
        <f>SUM(C7:C11)</f>
        <v/>
      </c>
      <c r="D12" s="27">
        <f>SUM(D7:D11)</f>
        <v/>
      </c>
      <c r="F12" s="28" t="inlineStr">
        <is>
          <t>Beregnet: Bruttoresultat − Salgs/dist. − Administration + Andre driftsindt. − Andre driftsomk. EBIT.</t>
        </is>
      </c>
    </row>
    <row r="13">
      <c r="A13" s="23" t="inlineStr">
        <is>
          <t>Finansielle indtægter mv.</t>
        </is>
      </c>
      <c r="B13" s="24">
        <f>N('res_raw_12425694'!$F$10)+N('res_raw_12425694'!$F$11)</f>
        <v/>
      </c>
      <c r="C13" s="24">
        <f>N('res_raw_12425694'!$E$10)+N('res_raw_12425694'!$E$11)</f>
        <v/>
      </c>
      <c r="D13" s="24">
        <f>N('res_raw_12425694'!$D$10)+N('res_raw_12425694'!$D$11)</f>
        <v/>
      </c>
      <c r="F13" s="25" t="inlineStr">
        <is>
          <t>fsa:IncomeFromSubsidiaries + fsa:OtherFinanceIncome.</t>
        </is>
      </c>
    </row>
    <row r="14">
      <c r="A14" s="23" t="inlineStr">
        <is>
          <t>Finansielle omkostninger mv.</t>
        </is>
      </c>
      <c r="B14" s="24">
        <f>-'res_raw_12425694'!$F$12</f>
        <v/>
      </c>
      <c r="C14" s="24">
        <f>-'res_raw_12425694'!$E$12</f>
        <v/>
      </c>
      <c r="D14" s="24">
        <f>-'res_raw_12425694'!$D$12</f>
        <v/>
      </c>
      <c r="F14" s="25" t="inlineStr">
        <is>
          <t>fsa:OtherFinanceExpenses (vises negativt). Renteomkostninger, kurstab.</t>
        </is>
      </c>
    </row>
    <row r="15">
      <c r="A15" s="26" t="inlineStr">
        <is>
          <t>Resultat før skat</t>
        </is>
      </c>
      <c r="B15" s="27">
        <f>SUM(B12:B14)</f>
        <v/>
      </c>
      <c r="C15" s="27">
        <f>SUM(C12:C14)</f>
        <v/>
      </c>
      <c r="D15" s="27">
        <f>SUM(D12:D14)</f>
        <v/>
      </c>
      <c r="F15" s="28" t="inlineStr">
        <is>
          <t>Beregnet: EBIT + Fin. indtægter + Fin. omk. EBT.</t>
        </is>
      </c>
    </row>
    <row r="16">
      <c r="A16" s="29" t="n"/>
      <c r="B16" s="29" t="n"/>
      <c r="C16" s="29" t="n"/>
      <c r="D16" s="29" t="n"/>
      <c r="F16" s="29" t="n"/>
    </row>
    <row r="17">
      <c r="A17" s="22" t="inlineStr">
        <is>
          <t>Uddrag af balance</t>
        </is>
      </c>
      <c r="B17" s="22" t="n"/>
      <c r="C17" s="22" t="n"/>
      <c r="D17" s="22" t="n"/>
      <c r="F17" s="22" t="n"/>
    </row>
    <row r="18">
      <c r="A18" s="23" t="inlineStr">
        <is>
          <t>Anlægsaktiver</t>
        </is>
      </c>
      <c r="B18" s="24">
        <f>'balance_raw_12425694'!$F$11</f>
        <v/>
      </c>
      <c r="C18" s="24">
        <f>'balance_raw_12425694'!$E$11</f>
        <v/>
      </c>
      <c r="D18" s="24">
        <f>'balance_raw_12425694'!$D$11</f>
        <v/>
      </c>
      <c r="F18" s="25" t="inlineStr">
        <is>
          <t>fsa:NoncurrentAssets. Materielle, immaterielle og finansielle anlægsaktiver.</t>
        </is>
      </c>
    </row>
    <row r="19">
      <c r="A19" s="23" t="inlineStr">
        <is>
          <t>Omsætningsaktiver</t>
        </is>
      </c>
      <c r="B19" s="24">
        <f>'balance_raw_12425694'!$F$26</f>
        <v/>
      </c>
      <c r="C19" s="24">
        <f>'balance_raw_12425694'!$E$26</f>
        <v/>
      </c>
      <c r="D19" s="24">
        <f>'balance_raw_12425694'!$D$26</f>
        <v/>
      </c>
      <c r="F19" s="25" t="inlineStr">
        <is>
          <t>fsa:CurrentAssets. Varebeholdninger, tilgodehavender, likvider.</t>
        </is>
      </c>
    </row>
    <row r="20">
      <c r="A20" s="26" t="inlineStr">
        <is>
          <t>Aktiver i alt</t>
        </is>
      </c>
      <c r="B20" s="27">
        <f>SUM(B18:B19)</f>
        <v/>
      </c>
      <c r="C20" s="27">
        <f>SUM(C18:C19)</f>
        <v/>
      </c>
      <c r="D20" s="27">
        <f>SUM(D18:D19)</f>
        <v/>
      </c>
      <c r="F20" s="28" t="inlineStr">
        <is>
          <t>Beregnet: Anlægsaktiver + Omsætningsaktiver. Bør matche fsa:Assets.</t>
        </is>
      </c>
    </row>
    <row r="21">
      <c r="A21" s="29" t="n"/>
      <c r="B21" s="29" t="n"/>
      <c r="C21" s="29" t="n"/>
      <c r="D21" s="29" t="n"/>
      <c r="F21" s="29" t="n"/>
    </row>
    <row r="22">
      <c r="A22" s="23" t="inlineStr">
        <is>
          <t>Egenkapital</t>
        </is>
      </c>
      <c r="B22" s="24">
        <f>'balance_raw_12425694'!$F$34</f>
        <v/>
      </c>
      <c r="C22" s="24">
        <f>'balance_raw_12425694'!$E$34</f>
        <v/>
      </c>
      <c r="D22" s="24">
        <f>'balance_raw_12425694'!$D$34</f>
        <v/>
      </c>
      <c r="F22" s="25" t="inlineStr">
        <is>
          <t>fsa:Equity. Selskabskapital, overført resultat, reserver.</t>
        </is>
      </c>
    </row>
    <row r="23">
      <c r="A23" s="23" t="inlineStr">
        <is>
          <t>Forpligtelser</t>
        </is>
      </c>
      <c r="B23" s="24">
        <f>'balance_raw_12425694'!$F$53-'balance_raw_12425694'!$F$34</f>
        <v/>
      </c>
      <c r="C23" s="24">
        <f>'balance_raw_12425694'!$E$53-'balance_raw_12425694'!$E$34</f>
        <v/>
      </c>
      <c r="D23" s="24">
        <f>'balance_raw_12425694'!$D$53-'balance_raw_12425694'!$D$34</f>
        <v/>
      </c>
      <c r="F23" s="25" t="inlineStr">
        <is>
          <t>Beregnet: Passiver (fsa:LiabilitiesAndEquity) − Egenkapital. Hensættelser + kort- og langfristet gæld.</t>
        </is>
      </c>
    </row>
    <row r="24">
      <c r="A24" s="26" t="inlineStr">
        <is>
          <t>Passiver i alt</t>
        </is>
      </c>
      <c r="B24" s="27">
        <f>SUM(B22:B23)</f>
        <v/>
      </c>
      <c r="C24" s="27">
        <f>SUM(C22:C23)</f>
        <v/>
      </c>
      <c r="D24" s="27">
        <f>SUM(D22:D23)</f>
        <v/>
      </c>
      <c r="F24" s="28" t="inlineStr">
        <is>
          <t>Beregnet: Egenkapital + Forpligtelser. Bør matche Aktiver i alt.</t>
        </is>
      </c>
    </row>
    <row r="25">
      <c r="A25" s="29" t="n"/>
      <c r="B25" s="29" t="n"/>
      <c r="C25" s="29" t="n"/>
      <c r="D25" s="29" t="n"/>
      <c r="F25" s="29" t="n"/>
    </row>
    <row r="26">
      <c r="A26" s="22" t="inlineStr">
        <is>
          <t>Udvalgte balanceposter</t>
        </is>
      </c>
      <c r="B26" s="22" t="n"/>
      <c r="C26" s="22" t="n"/>
      <c r="D26" s="22" t="n"/>
      <c r="F26" s="22" t="n"/>
    </row>
    <row r="27">
      <c r="A27" s="23" t="inlineStr">
        <is>
          <t>Varebeholdninger</t>
        </is>
      </c>
      <c r="B27" s="24">
        <f>'balance_raw_12425694'!$F$15</f>
        <v/>
      </c>
      <c r="C27" s="24">
        <f>'balance_raw_12425694'!$E$15</f>
        <v/>
      </c>
      <c r="D27" s="24">
        <f>'balance_raw_12425694'!$D$15</f>
        <v/>
      </c>
      <c r="F27" s="25" t="inlineStr">
        <is>
          <t>fsa:Inventories (eller fsa:ManufacturedGoodsAndGoodsForResale hvis total mangler).</t>
        </is>
      </c>
    </row>
    <row r="28">
      <c r="A28" s="23" t="inlineStr">
        <is>
          <t>Tilgodehavender fra salg</t>
        </is>
      </c>
      <c r="B28" s="24">
        <f>'balance_raw_12425694'!$F$16</f>
        <v/>
      </c>
      <c r="C28" s="24">
        <f>'balance_raw_12425694'!$E$16</f>
        <v/>
      </c>
      <c r="D28" s="24">
        <f>'balance_raw_12425694'!$D$16</f>
        <v/>
      </c>
      <c r="F28" s="25" t="inlineStr">
        <is>
          <t>fsa:ShorttermTradeReceivables. Kortfristede tilgodehavender fra kunder.</t>
        </is>
      </c>
    </row>
    <row r="29">
      <c r="A29" s="23" t="inlineStr">
        <is>
          <t>Kortfristede gældsforpligtelser</t>
        </is>
      </c>
      <c r="B29" s="24">
        <f>'balance_raw_12425694'!$F$51</f>
        <v/>
      </c>
      <c r="C29" s="24">
        <f>'balance_raw_12425694'!$E$51</f>
        <v/>
      </c>
      <c r="D29" s="24">
        <f>'balance_raw_12425694'!$D$51</f>
        <v/>
      </c>
      <c r="F29" s="25" t="inlineStr">
        <is>
          <t>fsa:ShorttermLiabilitiesOtherThanProvisions. Gæld der forfalder inden for 1 år.</t>
        </is>
      </c>
    </row>
    <row r="30">
      <c r="A30" s="29" t="n"/>
      <c r="B30" s="29" t="n"/>
      <c r="C30" s="29" t="n"/>
      <c r="D30" s="29" t="n"/>
      <c r="F30" s="29" t="n"/>
    </row>
    <row r="31">
      <c r="A31" s="22" t="inlineStr">
        <is>
          <t>Rentabilitet</t>
        </is>
      </c>
      <c r="B31" s="22" t="n"/>
      <c r="C31" s="22" t="n"/>
      <c r="D31" s="22" t="n"/>
      <c r="F31" s="22" t="n"/>
    </row>
    <row r="32">
      <c r="A32" s="23" t="inlineStr">
        <is>
          <t>Afkastningsgrad, %</t>
        </is>
      </c>
      <c r="B32" s="30">
        <f>IFERROR((B12+B13)/B20*100,"")</f>
        <v/>
      </c>
      <c r="C32" s="30">
        <f>IFERROR((C12+C13)/C20*100,"")</f>
        <v/>
      </c>
      <c r="D32" s="30">
        <f>IFERROR((D12+D13)/D20*100,"")</f>
        <v/>
      </c>
      <c r="F32" s="29" t="n"/>
    </row>
    <row r="33">
      <c r="A33" s="23" t="inlineStr">
        <is>
          <t>Overskudsgrad, %</t>
        </is>
      </c>
      <c r="B33" s="30">
        <f>IFERROR((B12+B13)/B5*100,"")</f>
        <v/>
      </c>
      <c r="C33" s="30">
        <f>IFERROR((C12+C13)/C5*100,"")</f>
        <v/>
      </c>
      <c r="D33" s="30">
        <f>IFERROR((D12+D13)/D5*100,"")</f>
        <v/>
      </c>
      <c r="F33" s="29" t="n"/>
    </row>
    <row r="34">
      <c r="A34" s="23" t="inlineStr">
        <is>
          <t>Aktivernes omsætningshastighed, gange</t>
        </is>
      </c>
      <c r="B34" s="30">
        <f>IFERROR(B5/B20,"")</f>
        <v/>
      </c>
      <c r="C34" s="30">
        <f>IFERROR(C5/C20,"")</f>
        <v/>
      </c>
      <c r="D34" s="30">
        <f>IFERROR(D5/D20,"")</f>
        <v/>
      </c>
      <c r="F34" s="29" t="n"/>
    </row>
    <row r="35">
      <c r="A35" s="23" t="inlineStr">
        <is>
          <t>Gældsrente, %</t>
        </is>
      </c>
      <c r="B35" s="30">
        <f>IFERROR(-B14*100/B23,"")</f>
        <v/>
      </c>
      <c r="C35" s="30">
        <f>IFERROR(-C14*100/C23,"")</f>
        <v/>
      </c>
      <c r="D35" s="30">
        <f>IFERROR(-D14*100/D23,"")</f>
        <v/>
      </c>
      <c r="F35" s="29" t="n"/>
    </row>
    <row r="36">
      <c r="A36" s="23" t="inlineStr">
        <is>
          <t>Egenkapitalens forrentning, %</t>
        </is>
      </c>
      <c r="B36" s="30">
        <f>IFERROR(B15/B22*100,"")</f>
        <v/>
      </c>
      <c r="C36" s="30">
        <f>IFERROR(C15/C22*100,"")</f>
        <v/>
      </c>
      <c r="D36" s="30">
        <f>IFERROR(D15/D22*100,"")</f>
        <v/>
      </c>
      <c r="F36" s="29" t="n"/>
    </row>
    <row r="37">
      <c r="A37" s="23" t="inlineStr">
        <is>
          <t>Gearing, gange</t>
        </is>
      </c>
      <c r="B37" s="30">
        <f>IFERROR(B23/B22,"")</f>
        <v/>
      </c>
      <c r="C37" s="30">
        <f>IFERROR(C23/C22,"")</f>
        <v/>
      </c>
      <c r="D37" s="30">
        <f>IFERROR(D23/D22,"")</f>
        <v/>
      </c>
      <c r="F37" s="29" t="n"/>
    </row>
    <row r="38">
      <c r="A38" s="29" t="n"/>
      <c r="B38" s="29" t="n"/>
      <c r="C38" s="29" t="n"/>
      <c r="D38" s="29" t="n"/>
      <c r="F38" s="29" t="n"/>
    </row>
    <row r="39">
      <c r="A39" s="22" t="inlineStr">
        <is>
          <t>Indekstal for indtjeningsevne (2023=100)</t>
        </is>
      </c>
      <c r="B39" s="22" t="n"/>
      <c r="C39" s="22" t="n"/>
      <c r="D39" s="22" t="n"/>
      <c r="F39" s="22" t="n"/>
    </row>
    <row r="40">
      <c r="A40" s="23" t="inlineStr">
        <is>
          <t>Nettoomsætning</t>
        </is>
      </c>
      <c r="B40" s="31">
        <f>IFERROR(B5/$D5*100,"")</f>
        <v/>
      </c>
      <c r="C40" s="31">
        <f>IFERROR(C5/$D5*100,"")</f>
        <v/>
      </c>
      <c r="D40" s="31">
        <f>IFERROR(D5/$D5*100,"")</f>
        <v/>
      </c>
      <c r="F40" s="29" t="n"/>
    </row>
    <row r="41">
      <c r="A41" s="23" t="inlineStr">
        <is>
          <t>Produktionsomkostninger</t>
        </is>
      </c>
      <c r="B41" s="31">
        <f>IFERROR(B6/$D6*100,"")</f>
        <v/>
      </c>
      <c r="C41" s="31">
        <f>IFERROR(C6/$D6*100,"")</f>
        <v/>
      </c>
      <c r="D41" s="31">
        <f>IFERROR(D6/$D6*100,"")</f>
        <v/>
      </c>
      <c r="F41" s="29" t="n"/>
    </row>
    <row r="42">
      <c r="A42" s="23" t="inlineStr">
        <is>
          <t>Salgs- og distributionsomk.</t>
        </is>
      </c>
      <c r="B42" s="31">
        <f>IFERROR(B8/$D8*100,"")</f>
        <v/>
      </c>
      <c r="C42" s="31">
        <f>IFERROR(C8/$D8*100,"")</f>
        <v/>
      </c>
      <c r="D42" s="31">
        <f>IFERROR(D8/$D8*100,"")</f>
        <v/>
      </c>
      <c r="F42" s="29" t="n"/>
    </row>
    <row r="43">
      <c r="A43" s="23" t="inlineStr">
        <is>
          <t>Administrationsomk.</t>
        </is>
      </c>
      <c r="B43" s="31">
        <f>IFERROR(B9/$D9*100,"")</f>
        <v/>
      </c>
      <c r="C43" s="31">
        <f>IFERROR(C9/$D9*100,"")</f>
        <v/>
      </c>
      <c r="D43" s="31">
        <f>IFERROR(D9/$D9*100,"")</f>
        <v/>
      </c>
      <c r="F43" s="29" t="n"/>
    </row>
    <row r="44">
      <c r="A44" s="23" t="inlineStr">
        <is>
          <t>Andre driftsomkostninger</t>
        </is>
      </c>
      <c r="B44" s="31">
        <f>IFERROR(B11/$D11*100,"")</f>
        <v/>
      </c>
      <c r="C44" s="31">
        <f>IFERROR(C11/$D11*100,"")</f>
        <v/>
      </c>
      <c r="D44" s="31">
        <f>IFERROR(D11/$D11*100,"")</f>
        <v/>
      </c>
      <c r="F44" s="29" t="n"/>
    </row>
    <row r="45">
      <c r="A45" s="29" t="n"/>
      <c r="B45" s="29" t="n"/>
      <c r="C45" s="29" t="n"/>
      <c r="D45" s="29" t="n"/>
      <c r="F45" s="29" t="n"/>
    </row>
    <row r="46">
      <c r="A46" s="22" t="inlineStr">
        <is>
          <t>Indekstal for kapitaltilpasningsevne (2023=100)</t>
        </is>
      </c>
      <c r="B46" s="22" t="n"/>
      <c r="C46" s="22" t="n"/>
      <c r="D46" s="22" t="n"/>
      <c r="F46" s="22" t="n"/>
    </row>
    <row r="47">
      <c r="A47" s="23" t="inlineStr">
        <is>
          <t>Nettoomsætning</t>
        </is>
      </c>
      <c r="B47" s="31">
        <f>IFERROR(B5*100/$D5,"")</f>
        <v/>
      </c>
      <c r="C47" s="31">
        <f>IFERROR(C5*100/$D5,"")</f>
        <v/>
      </c>
      <c r="D47" s="31">
        <f>IFERROR(D5*100/$D5,"")</f>
        <v/>
      </c>
      <c r="F47" s="29" t="n"/>
    </row>
    <row r="48">
      <c r="A48" s="23" t="inlineStr">
        <is>
          <t>Anlægsaktiver</t>
        </is>
      </c>
      <c r="B48" s="31">
        <f>IFERROR(B18*100/$D18,"")</f>
        <v/>
      </c>
      <c r="C48" s="31">
        <f>IFERROR(C18*100/$D18,"")</f>
        <v/>
      </c>
      <c r="D48" s="31">
        <f>IFERROR(D18*100/$D18,"")</f>
        <v/>
      </c>
      <c r="F48" s="29" t="n"/>
    </row>
    <row r="49">
      <c r="A49" s="23" t="inlineStr">
        <is>
          <t>Varebeholdninger</t>
        </is>
      </c>
      <c r="B49" s="31">
        <f>IFERROR(B27*100/$D27,"")</f>
        <v/>
      </c>
      <c r="C49" s="31">
        <f>IFERROR(C27*100/$D27,"")</f>
        <v/>
      </c>
      <c r="D49" s="31">
        <f>IFERROR(D27*100/$D27,"")</f>
        <v/>
      </c>
      <c r="F49" s="29" t="n"/>
    </row>
    <row r="50">
      <c r="A50" s="23" t="inlineStr">
        <is>
          <t>Tilgodehavender fra salg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9" t="n"/>
      <c r="B51" s="29" t="n"/>
      <c r="C51" s="29" t="n"/>
      <c r="D51" s="29" t="n"/>
      <c r="F51" s="29" t="n"/>
    </row>
    <row r="52">
      <c r="A52" s="22" t="inlineStr">
        <is>
          <t>Soliditet og likviditet</t>
        </is>
      </c>
      <c r="B52" s="22" t="n"/>
      <c r="C52" s="22" t="n"/>
      <c r="D52" s="22" t="n"/>
      <c r="F52" s="22" t="n"/>
    </row>
    <row r="53">
      <c r="A53" s="23" t="inlineStr">
        <is>
          <t>Soliditetsgrad, %</t>
        </is>
      </c>
      <c r="B53" s="30">
        <f>IFERROR(B22*100/B20,"")</f>
        <v/>
      </c>
      <c r="C53" s="30">
        <f>IFERROR(C22*100/C20,"")</f>
        <v/>
      </c>
      <c r="D53" s="30">
        <f>IFERROR(D22*100/D20,"")</f>
        <v/>
      </c>
      <c r="F53" s="29" t="n"/>
    </row>
    <row r="54">
      <c r="A54" s="23" t="inlineStr">
        <is>
          <t>Gældsandel, %</t>
        </is>
      </c>
      <c r="B54" s="30">
        <f>IFERROR(B23*100/B20,"")</f>
        <v/>
      </c>
      <c r="C54" s="30">
        <f>IFERROR(C23*100/C20,"")</f>
        <v/>
      </c>
      <c r="D54" s="30">
        <f>IFERROR(D23*100/D20,"")</f>
        <v/>
      </c>
      <c r="F54" s="29" t="n"/>
    </row>
    <row r="55">
      <c r="A55" s="23" t="inlineStr">
        <is>
          <t>Likviditetsgrad, %</t>
        </is>
      </c>
      <c r="B55" s="30">
        <f>IFERROR(B19*100/B29,"")</f>
        <v/>
      </c>
      <c r="C55" s="30">
        <f>IFERROR(C19*100/C29,"")</f>
        <v/>
      </c>
      <c r="D55" s="30">
        <f>IFERROR(D19*100/D29,"")</f>
        <v/>
      </c>
      <c r="F55" s="29" t="n"/>
    </row>
    <row r="56">
      <c r="A56" s="29" t="n"/>
      <c r="B56" s="29" t="n"/>
      <c r="C56" s="29" t="n"/>
      <c r="D56" s="29" t="n"/>
      <c r="F56" s="29" t="n"/>
    </row>
    <row r="57">
      <c r="A57" s="32" t="inlineStr">
        <is>
          <t>Kilde: Bearbejdet uddrag af årsrapporter for 2023-2025. Alle dataceller er live formler der peger på res_raw / balance_raw.</t>
        </is>
      </c>
      <c r="B57" s="29" t="n"/>
      <c r="C57" s="29" t="n"/>
      <c r="D57" s="29" t="n"/>
      <c r="F57" s="29" t="n"/>
    </row>
    <row r="58">
      <c r="A58" s="29" t="n"/>
      <c r="B58" s="29" t="n"/>
      <c r="C58" s="29" t="n"/>
      <c r="D58" s="29" t="n"/>
      <c r="F58" s="29" t="n"/>
    </row>
    <row r="59">
      <c r="A59" s="22" t="inlineStr">
        <is>
          <t>Krydstjek mod rådata (tolerance: 1 t.kr.)</t>
        </is>
      </c>
      <c r="B59" s="22" t="n"/>
      <c r="C59" s="22" t="n"/>
      <c r="D59" s="22" t="n"/>
      <c r="F59" s="22" t="n"/>
    </row>
    <row r="60">
      <c r="A60" s="23" t="inlineStr">
        <is>
          <t>Aktiver i alt = fsa:Assets</t>
        </is>
      </c>
      <c r="B60" s="29">
        <f>IF('balance_raw_12425694'!$F$27="","—",IF(ABS(B20-'balance_raw_12425694'!$F$27)&lt;=1,"✓ OK","❌ "&amp;TEXT(B20-'balance_raw_12425694'!$F$27,"+#,##0;-#,##0")&amp;" t.kr."))</f>
        <v/>
      </c>
      <c r="C60" s="29">
        <f>IF('balance_raw_12425694'!$E$27="","—",IF(ABS(C20-'balance_raw_12425694'!$E$27)&lt;=1,"✓ OK","❌ "&amp;TEXT(C20-'balance_raw_12425694'!$E$27,"+#,##0;-#,##0")&amp;" t.kr."))</f>
        <v/>
      </c>
      <c r="D60" s="29">
        <f>IF('balance_raw_12425694'!$D$27="","—",IF(ABS(D20-'balance_raw_12425694'!$D$27)&lt;=1,"✓ OK","❌ "&amp;TEXT(D20-'balance_raw_12425694'!$D$27,"+#,##0;-#,##0")&amp;" t.kr."))</f>
        <v/>
      </c>
      <c r="F60" s="25" t="inlineStr">
        <is>
          <t>Verificerer at sum(Anlæg+Omsætning) matcher Assets-totalen.</t>
        </is>
      </c>
    </row>
    <row r="61">
      <c r="A61" s="23" t="inlineStr">
        <is>
          <t>Passiver i alt = fsa:LiabilitiesAndEquity</t>
        </is>
      </c>
      <c r="B61" s="29">
        <f>IF('balance_raw_12425694'!$F$53="","—",IF(ABS(B24-'balance_raw_12425694'!$F$53)&lt;=1,"✓ OK","❌ "&amp;TEXT(B24-'balance_raw_12425694'!$F$53,"+#,##0;-#,##0")&amp;" t.kr."))</f>
        <v/>
      </c>
      <c r="C61" s="29">
        <f>IF('balance_raw_12425694'!$E$53="","—",IF(ABS(C24-'balance_raw_12425694'!$E$53)&lt;=1,"✓ OK","❌ "&amp;TEXT(C24-'balance_raw_12425694'!$E$53,"+#,##0;-#,##0")&amp;" t.kr."))</f>
        <v/>
      </c>
      <c r="D61" s="29">
        <f>IF('balance_raw_12425694'!$D$53="","—",IF(ABS(D24-'balance_raw_12425694'!$D$53)&lt;=1,"✓ OK","❌ "&amp;TEXT(D24-'balance_raw_12425694'!$D$53,"+#,##0;-#,##0")&amp;" t.kr."))</f>
        <v/>
      </c>
      <c r="F61" s="25" t="inlineStr">
        <is>
          <t>Verificerer at sum(EK+Forpligtelser) matcher Passiver-totalen.</t>
        </is>
      </c>
    </row>
    <row r="62">
      <c r="A62" s="23" t="inlineStr">
        <is>
          <t>Aktiver i alt = Passiver i alt</t>
        </is>
      </c>
      <c r="B62" s="29">
        <f>IF(ABS(B20-B24)&lt;=1,"✓ OK","❌ "&amp;TEXT(B20-B24,"+#,##0;-#,##0")&amp;" t.kr.")</f>
        <v/>
      </c>
      <c r="C62" s="29">
        <f>IF(ABS(C20-C24)&lt;=1,"✓ OK","❌ "&amp;TEXT(C20-C24,"+#,##0;-#,##0")&amp;" t.kr.")</f>
        <v/>
      </c>
      <c r="D62" s="29">
        <f>IF(ABS(D20-D24)&lt;=1,"✓ OK","❌ "&amp;TEXT(D20-D24,"+#,##0;-#,##0")&amp;" t.kr.")</f>
        <v/>
      </c>
      <c r="F62" s="25" t="inlineStr">
        <is>
          <t>Balance-identitet på arket selv. Skal altid være 0 differance.</t>
        </is>
      </c>
    </row>
    <row r="63">
      <c r="A63" s="23" t="inlineStr">
        <is>
          <t>Bruttoresultat (beregnet) = fsa:GrossResult</t>
        </is>
      </c>
      <c r="B63" s="29">
        <f>IF('res_raw_12425694'!$F$4="","—",IF(ABS(B7-'res_raw_12425694'!$F$4)&lt;=1,"✓ OK","❌ "&amp;TEXT(B7-'res_raw_12425694'!$F$4,"+#,##0;-#,##0")&amp;" t.kr."))</f>
        <v/>
      </c>
      <c r="C63" s="29">
        <f>IF('res_raw_12425694'!$E$4="","—",IF(ABS(C7-'res_raw_12425694'!$E$4)&lt;=1,"✓ OK","❌ "&amp;TEXT(C7-'res_raw_12425694'!$E$4,"+#,##0;-#,##0")&amp;" t.kr."))</f>
        <v/>
      </c>
      <c r="D63" s="29">
        <f>IF('res_raw_12425694'!$D$4="","—",IF(ABS(D7-'res_raw_12425694'!$D$4)&lt;=1,"✓ OK","❌ "&amp;TEXT(D7-'res_raw_12425694'!$D$4,"+#,##0;-#,##0")&amp;" t.kr."))</f>
        <v/>
      </c>
      <c r="F63" s="25" t="inlineStr">
        <is>
          <t>Hvis Nettoomsætning eller omkostninger mangler, vil sumberegnet bruttoresultat afvige.</t>
        </is>
      </c>
    </row>
    <row r="64">
      <c r="A64" s="23" t="inlineStr">
        <is>
          <t>EBIT (beregnet) = fsa:ProfitLossFromOrdinaryOperatingActivities</t>
        </is>
      </c>
      <c r="B64" s="29">
        <f>IF('res_raw_12425694'!$F$9="","—",IF(ABS(B12-'res_raw_12425694'!$F$9)&lt;=1,"✓ OK","❌ "&amp;TEXT(B12-'res_raw_12425694'!$F$9,"+#,##0;-#,##0")&amp;" t.kr."))</f>
        <v/>
      </c>
      <c r="C64" s="29">
        <f>IF('res_raw_12425694'!$E$9="","—",IF(ABS(C12-'res_raw_12425694'!$E$9)&lt;=1,"✓ OK","❌ "&amp;TEXT(C12-'res_raw_12425694'!$E$9,"+#,##0;-#,##0")&amp;" t.kr."))</f>
        <v/>
      </c>
      <c r="D64" s="29">
        <f>IF('res_raw_12425694'!$D$9="","—",IF(ABS(D12-'res_raw_12425694'!$D$9)&lt;=1,"✓ OK","❌ "&amp;TEXT(D12-'res_raw_12425694'!$D$9,"+#,##0;-#,##0")&amp;" t.kr."))</f>
        <v/>
      </c>
      <c r="F64" s="25" t="inlineStr">
        <is>
          <t>Verificerer at sumberegnet EBIT matcher det rapporterede.</t>
        </is>
      </c>
    </row>
    <row r="65">
      <c r="A65" s="23" t="inlineStr">
        <is>
          <t>EBT (beregnet) = fsa:ProfitLossFromOrdinaryActivitiesBeforeTax</t>
        </is>
      </c>
      <c r="B65" s="29">
        <f>IF('res_raw_12425694'!$F$14="","—",IF(ABS(B15-'res_raw_12425694'!$F$14)&lt;=1,"✓ OK","❌ "&amp;TEXT(B15-'res_raw_12425694'!$F$14,"+#,##0;-#,##0")&amp;" t.kr."))</f>
        <v/>
      </c>
      <c r="C65" s="29">
        <f>IF('res_raw_12425694'!$E$14="","—",IF(ABS(C15-'res_raw_12425694'!$E$14)&lt;=1,"✓ OK","❌ "&amp;TEXT(C15-'res_raw_12425694'!$E$14,"+#,##0;-#,##0")&amp;" t.kr."))</f>
        <v/>
      </c>
      <c r="D65" s="29">
        <f>IF('res_raw_12425694'!$D$14="","—",IF(ABS(D15-'res_raw_12425694'!$D$14)&lt;=1,"✓ OK","❌ "&amp;TEXT(D15-'res_raw_12425694'!$D$14,"+#,##0;-#,##0")&amp;" t.kr."))</f>
        <v/>
      </c>
      <c r="F65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fsa:IncomeFromOtherLongtermInvestmentsAndReceivables</t>
        </is>
      </c>
      <c r="C3" s="34" t="inlineStr">
        <is>
          <t>fsa:IncomeFromOtherLongtermInvestmentsAndReceivables</t>
        </is>
      </c>
      <c r="D3" s="35" t="n">
        <v>43</v>
      </c>
      <c r="E3" s="35" t="n">
        <v>30</v>
      </c>
      <c r="F3" s="35" t="n">
        <v>52</v>
      </c>
      <c r="G3" s="35" t="n">
        <v>-447</v>
      </c>
      <c r="H3" s="35" t="n">
        <v>149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fsa:LongtermDeferredIncome</t>
        </is>
      </c>
      <c r="C4" s="37" t="inlineStr">
        <is>
          <t>fsa:LongtermDeferredIncome</t>
        </is>
      </c>
      <c r="D4" s="38" t="n">
        <v>266</v>
      </c>
      <c r="E4" s="38" t="n">
        <v>0</v>
      </c>
      <c r="F4" s="38" t="n"/>
      <c r="G4" s="38" t="n"/>
      <c r="H4" s="38" t="n">
        <v>100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fsa:NotPaidContributedCapital</t>
        </is>
      </c>
      <c r="C5" s="34" t="inlineStr">
        <is>
          <t>fsa:NotPaidContributedCapital</t>
        </is>
      </c>
      <c r="D5" s="35" t="n"/>
      <c r="E5" s="35" t="n"/>
      <c r="F5" s="35" t="n"/>
      <c r="G5" s="35" t="n"/>
      <c r="H5" s="35" t="n">
        <v>19122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fsa:OtherShorttermDebtRaisedByIssuanceOfBonds</t>
        </is>
      </c>
      <c r="C6" s="37" t="inlineStr">
        <is>
          <t>fsa:OtherShorttermDebtRaisedByIssuanceOfBonds</t>
        </is>
      </c>
      <c r="D6" s="38" t="n">
        <v>0</v>
      </c>
      <c r="E6" s="38" t="n"/>
      <c r="F6" s="38" t="n"/>
      <c r="G6" s="38" t="n"/>
      <c r="H6" s="38" t="n"/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fsa:ReserveFund</t>
        </is>
      </c>
      <c r="C7" s="34" t="inlineStr">
        <is>
          <t>fsa:ReserveFund</t>
        </is>
      </c>
      <c r="D7" s="35" t="n"/>
      <c r="E7" s="35" t="n"/>
      <c r="F7" s="35" t="n"/>
      <c r="G7" s="35" t="n"/>
      <c r="H7" s="35" t="n">
        <v>29527</v>
      </c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fsa:TransferredFromToReserveFund</t>
        </is>
      </c>
      <c r="C8" s="37" t="inlineStr">
        <is>
          <t>fsa:TransferredFromToReserveFund</t>
        </is>
      </c>
      <c r="D8" s="38" t="n"/>
      <c r="E8" s="38" t="n"/>
      <c r="F8" s="38" t="n"/>
      <c r="G8" s="38" t="n"/>
      <c r="H8" s="38" t="n">
        <v>6527</v>
      </c>
      <c r="I8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2026-09-07T18:58:13Z</dcterms:created>
  <dcterms:modified xmlns:dcterms="http://purl.org/dc/terms/" xmlns:xsi="http://www.w3.org/2001/XMLSchema-instance" xsi:type="dcterms:W3CDTF">2026-09-07T18:58:13Z</dcterms:modified>
</cp:coreProperties>
</file>