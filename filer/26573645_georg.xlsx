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'res_raw_26573645'!$B$5</f>
        <v/>
      </c>
      <c r="C7" s="8">
        <f>'res_raw_26573645'!$C$5</f>
        <v/>
      </c>
      <c r="D7" s="8">
        <f>'res_raw_26573645'!$D$5</f>
        <v/>
      </c>
      <c r="E7" s="8">
        <f>'res_raw_26573645'!$E$5</f>
        <v/>
      </c>
      <c r="F7" s="8">
        <f>'res_raw_26573645'!$F$5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'res_raw_26573645'!$B$7</f>
        <v/>
      </c>
      <c r="C9" s="11">
        <f>'res_raw_26573645'!$C$7</f>
        <v/>
      </c>
      <c r="D9" s="11">
        <f>'res_raw_26573645'!$D$7</f>
        <v/>
      </c>
      <c r="E9" s="11">
        <f>'res_raw_26573645'!$E$7</f>
        <v/>
      </c>
      <c r="F9" s="11">
        <f>'res_raw_26573645'!$F$7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'res_raw_26573645'!$B$9</f>
        <v/>
      </c>
      <c r="C11" s="8">
        <f>'res_raw_26573645'!$C$9</f>
        <v/>
      </c>
      <c r="D11" s="8">
        <f>'res_raw_26573645'!$D$9</f>
        <v/>
      </c>
      <c r="E11" s="8">
        <f>'res_raw_26573645'!$E$9</f>
        <v/>
      </c>
      <c r="F11" s="8">
        <f>'res_raw_26573645'!$F$9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'res_raw_26573645'!$B$14</f>
        <v/>
      </c>
      <c r="C16" s="8">
        <f>'res_raw_26573645'!$C$14</f>
        <v/>
      </c>
      <c r="D16" s="8">
        <f>'res_raw_26573645'!$D$14</f>
        <v/>
      </c>
      <c r="E16" s="8">
        <f>'res_raw_26573645'!$E$14</f>
        <v/>
      </c>
      <c r="F16" s="8">
        <f>'res_raw_26573645'!$F$14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'res_raw_26573645'!$B$16</f>
        <v/>
      </c>
      <c r="C18" s="8">
        <f>'res_raw_26573645'!$C$16</f>
        <v/>
      </c>
      <c r="D18" s="8">
        <f>'res_raw_26573645'!$D$16</f>
        <v/>
      </c>
      <c r="E18" s="8">
        <f>'res_raw_26573645'!$E$16</f>
        <v/>
      </c>
      <c r="F18" s="8">
        <f>'res_raw_26573645'!$F$16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'balance_raw_26573645'!$B$2</f>
        <v/>
      </c>
      <c r="C21" s="11">
        <f>'balance_raw_26573645'!$C$2</f>
        <v/>
      </c>
      <c r="D21" s="11">
        <f>'balance_raw_26573645'!$D$2</f>
        <v/>
      </c>
      <c r="E21" s="11">
        <f>'balance_raw_26573645'!$E$2</f>
        <v/>
      </c>
      <c r="F21" s="11">
        <f>'balance_raw_26573645'!$F$2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'balance_raw_26573645'!$B$3</f>
        <v/>
      </c>
      <c r="C22" s="5">
        <f>'balance_raw_26573645'!$C$3</f>
        <v/>
      </c>
      <c r="D22" s="5">
        <f>'balance_raw_26573645'!$D$3</f>
        <v/>
      </c>
      <c r="E22" s="5">
        <f>'balance_raw_26573645'!$E$3</f>
        <v/>
      </c>
      <c r="F22" s="5">
        <f>'balance_raw_26573645'!$F$3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'balance_raw_26573645'!$B$4</f>
        <v/>
      </c>
      <c r="C23" s="11">
        <f>'balance_raw_26573645'!$C$4</f>
        <v/>
      </c>
      <c r="D23" s="11">
        <f>'balance_raw_26573645'!$D$4</f>
        <v/>
      </c>
      <c r="E23" s="11">
        <f>'balance_raw_26573645'!$E$4</f>
        <v/>
      </c>
      <c r="F23" s="11">
        <f>'balance_raw_26573645'!$F$4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'balance_raw_26573645'!$B$5</f>
        <v/>
      </c>
      <c r="C24" s="8">
        <f>'balance_raw_26573645'!$C$5</f>
        <v/>
      </c>
      <c r="D24" s="8">
        <f>'balance_raw_26573645'!$D$5</f>
        <v/>
      </c>
      <c r="E24" s="8">
        <f>'balance_raw_26573645'!$E$5</f>
        <v/>
      </c>
      <c r="F24" s="8">
        <f>'balance_raw_26573645'!$F$5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'balance_raw_26573645'!$B$6</f>
        <v/>
      </c>
      <c r="C25" s="11">
        <f>'balance_raw_26573645'!$C$6</f>
        <v/>
      </c>
      <c r="D25" s="11">
        <f>'balance_raw_26573645'!$D$6</f>
        <v/>
      </c>
      <c r="E25" s="11">
        <f>'balance_raw_26573645'!$E$6</f>
        <v/>
      </c>
      <c r="F25" s="11">
        <f>'balance_raw_26573645'!$F$6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'balance_raw_26573645'!$B$7</f>
        <v/>
      </c>
      <c r="C26" s="5">
        <f>'balance_raw_26573645'!$C$7</f>
        <v/>
      </c>
      <c r="D26" s="5">
        <f>'balance_raw_26573645'!$D$7</f>
        <v/>
      </c>
      <c r="E26" s="5">
        <f>'balance_raw_26573645'!$E$7</f>
        <v/>
      </c>
      <c r="F26" s="5">
        <f>'balance_raw_26573645'!$F$7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'balance_raw_26573645'!$B$8</f>
        <v/>
      </c>
      <c r="C27" s="11">
        <f>'balance_raw_26573645'!$C$8</f>
        <v/>
      </c>
      <c r="D27" s="11">
        <f>'balance_raw_26573645'!$D$8</f>
        <v/>
      </c>
      <c r="E27" s="11">
        <f>'balance_raw_26573645'!$E$8</f>
        <v/>
      </c>
      <c r="F27" s="11">
        <f>'balance_raw_26573645'!$F$8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'balance_raw_26573645'!$B$9</f>
        <v/>
      </c>
      <c r="C28" s="5">
        <f>'balance_raw_26573645'!$C$9</f>
        <v/>
      </c>
      <c r="D28" s="5">
        <f>'balance_raw_26573645'!$D$9</f>
        <v/>
      </c>
      <c r="E28" s="5">
        <f>'balance_raw_26573645'!$E$9</f>
        <v/>
      </c>
      <c r="F28" s="5">
        <f>'balance_raw_26573645'!$F$9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'balance_raw_26573645'!$B$10</f>
        <v/>
      </c>
      <c r="C29" s="11">
        <f>'balance_raw_26573645'!$C$10</f>
        <v/>
      </c>
      <c r="D29" s="11">
        <f>'balance_raw_26573645'!$D$10</f>
        <v/>
      </c>
      <c r="E29" s="11">
        <f>'balance_raw_26573645'!$E$10</f>
        <v/>
      </c>
      <c r="F29" s="11">
        <f>'balance_raw_26573645'!$F$10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'balance_raw_26573645'!$B$11</f>
        <v/>
      </c>
      <c r="C30" s="8">
        <f>'balance_raw_26573645'!$C$11</f>
        <v/>
      </c>
      <c r="D30" s="8">
        <f>'balance_raw_26573645'!$D$11</f>
        <v/>
      </c>
      <c r="E30" s="8">
        <f>'balance_raw_26573645'!$E$11</f>
        <v/>
      </c>
      <c r="F30" s="8">
        <f>'balance_raw_26573645'!$F$11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'balance_raw_26573645'!$B$12</f>
        <v/>
      </c>
      <c r="C31" s="11">
        <f>'balance_raw_26573645'!$C$12</f>
        <v/>
      </c>
      <c r="D31" s="11">
        <f>'balance_raw_26573645'!$D$12</f>
        <v/>
      </c>
      <c r="E31" s="11">
        <f>'balance_raw_26573645'!$E$12</f>
        <v/>
      </c>
      <c r="F31" s="11">
        <f>'balance_raw_26573645'!$F$12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'balance_raw_26573645'!$B$13</f>
        <v/>
      </c>
      <c r="C32" s="5">
        <f>'balance_raw_26573645'!$C$13</f>
        <v/>
      </c>
      <c r="D32" s="5">
        <f>'balance_raw_26573645'!$D$13</f>
        <v/>
      </c>
      <c r="E32" s="5">
        <f>'balance_raw_26573645'!$E$13</f>
        <v/>
      </c>
      <c r="F32" s="5">
        <f>'balance_raw_26573645'!$F$13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'balance_raw_26573645'!$B$14</f>
        <v/>
      </c>
      <c r="C33" s="8">
        <f>'balance_raw_26573645'!$C$14</f>
        <v/>
      </c>
      <c r="D33" s="8">
        <f>'balance_raw_26573645'!$D$14</f>
        <v/>
      </c>
      <c r="E33" s="8">
        <f>'balance_raw_26573645'!$E$14</f>
        <v/>
      </c>
      <c r="F33" s="8">
        <f>'balance_raw_26573645'!$F$14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'balance_raw_26573645'!$B$15</f>
        <v/>
      </c>
      <c r="C34" s="8">
        <f>'balance_raw_26573645'!$C$15</f>
        <v/>
      </c>
      <c r="D34" s="8">
        <f>'balance_raw_26573645'!$D$15</f>
        <v/>
      </c>
      <c r="E34" s="8">
        <f>'balance_raw_26573645'!$E$15</f>
        <v/>
      </c>
      <c r="F34" s="8">
        <f>'balance_raw_26573645'!$F$15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'balance_raw_26573645'!$B$16</f>
        <v/>
      </c>
      <c r="C35" s="11">
        <f>'balance_raw_26573645'!$C$16</f>
        <v/>
      </c>
      <c r="D35" s="11">
        <f>'balance_raw_26573645'!$D$16</f>
        <v/>
      </c>
      <c r="E35" s="11">
        <f>'balance_raw_26573645'!$E$16</f>
        <v/>
      </c>
      <c r="F35" s="11">
        <f>'balance_raw_26573645'!$F$16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'balance_raw_26573645'!$B$17</f>
        <v/>
      </c>
      <c r="C36" s="5">
        <f>'balance_raw_26573645'!$C$17</f>
        <v/>
      </c>
      <c r="D36" s="5">
        <f>'balance_raw_26573645'!$D$17</f>
        <v/>
      </c>
      <c r="E36" s="5">
        <f>'balance_raw_26573645'!$E$17</f>
        <v/>
      </c>
      <c r="F36" s="5">
        <f>'balance_raw_26573645'!$F$17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'balance_raw_26573645'!$B$18</f>
        <v/>
      </c>
      <c r="C37" s="11">
        <f>'balance_raw_26573645'!$C$18</f>
        <v/>
      </c>
      <c r="D37" s="11">
        <f>'balance_raw_26573645'!$D$18</f>
        <v/>
      </c>
      <c r="E37" s="11">
        <f>'balance_raw_26573645'!$E$18</f>
        <v/>
      </c>
      <c r="F37" s="11">
        <f>'balance_raw_26573645'!$F$18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'balance_raw_26573645'!$B$19</f>
        <v/>
      </c>
      <c r="C38" s="8">
        <f>'balance_raw_26573645'!$C$19</f>
        <v/>
      </c>
      <c r="D38" s="8">
        <f>'balance_raw_26573645'!$D$19</f>
        <v/>
      </c>
      <c r="E38" s="8">
        <f>'balance_raw_26573645'!$E$19</f>
        <v/>
      </c>
      <c r="F38" s="8">
        <f>'balance_raw_26573645'!$F$19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'balance_raw_26573645'!$B$20</f>
        <v/>
      </c>
      <c r="C39" s="11">
        <f>'balance_raw_26573645'!$C$20</f>
        <v/>
      </c>
      <c r="D39" s="11">
        <f>'balance_raw_26573645'!$D$20</f>
        <v/>
      </c>
      <c r="E39" s="11">
        <f>'balance_raw_26573645'!$E$20</f>
        <v/>
      </c>
      <c r="F39" s="11">
        <f>'balance_raw_26573645'!$F$20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'balance_raw_26573645'!$B$21</f>
        <v/>
      </c>
      <c r="C40" s="5">
        <f>'balance_raw_26573645'!$C$21</f>
        <v/>
      </c>
      <c r="D40" s="5">
        <f>'balance_raw_26573645'!$D$21</f>
        <v/>
      </c>
      <c r="E40" s="5">
        <f>'balance_raw_26573645'!$E$21</f>
        <v/>
      </c>
      <c r="F40" s="5">
        <f>'balance_raw_26573645'!$F$21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'balance_raw_26573645'!$B$22</f>
        <v/>
      </c>
      <c r="C41" s="11">
        <f>'balance_raw_26573645'!$C$22</f>
        <v/>
      </c>
      <c r="D41" s="11">
        <f>'balance_raw_26573645'!$D$22</f>
        <v/>
      </c>
      <c r="E41" s="11">
        <f>'balance_raw_26573645'!$E$22</f>
        <v/>
      </c>
      <c r="F41" s="11">
        <f>'balance_raw_26573645'!$F$22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'balance_raw_26573645'!$B$23</f>
        <v/>
      </c>
      <c r="C42" s="5">
        <f>'balance_raw_26573645'!$C$23</f>
        <v/>
      </c>
      <c r="D42" s="5">
        <f>'balance_raw_26573645'!$D$23</f>
        <v/>
      </c>
      <c r="E42" s="5">
        <f>'balance_raw_26573645'!$E$23</f>
        <v/>
      </c>
      <c r="F42" s="5">
        <f>'balance_raw_26573645'!$F$23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'balance_raw_26573645'!$B$24</f>
        <v/>
      </c>
      <c r="C43" s="11">
        <f>'balance_raw_26573645'!$C$24</f>
        <v/>
      </c>
      <c r="D43" s="11">
        <f>'balance_raw_26573645'!$D$24</f>
        <v/>
      </c>
      <c r="E43" s="11">
        <f>'balance_raw_26573645'!$E$24</f>
        <v/>
      </c>
      <c r="F43" s="11">
        <f>'balance_raw_26573645'!$F$24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'balance_raw_26573645'!$B$25</f>
        <v/>
      </c>
      <c r="C44" s="5">
        <f>'balance_raw_26573645'!$C$25</f>
        <v/>
      </c>
      <c r="D44" s="5">
        <f>'balance_raw_26573645'!$D$25</f>
        <v/>
      </c>
      <c r="E44" s="5">
        <f>'balance_raw_26573645'!$E$25</f>
        <v/>
      </c>
      <c r="F44" s="5">
        <f>'balance_raw_26573645'!$F$25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'balance_raw_26573645'!$B$26</f>
        <v/>
      </c>
      <c r="C45" s="11">
        <f>'balance_raw_26573645'!$C$26</f>
        <v/>
      </c>
      <c r="D45" s="11">
        <f>'balance_raw_26573645'!$D$26</f>
        <v/>
      </c>
      <c r="E45" s="11">
        <f>'balance_raw_26573645'!$E$26</f>
        <v/>
      </c>
      <c r="F45" s="11">
        <f>'balance_raw_26573645'!$F$26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'balance_raw_26573645'!$B$27</f>
        <v/>
      </c>
      <c r="C46" s="8">
        <f>'balance_raw_26573645'!$C$27</f>
        <v/>
      </c>
      <c r="D46" s="8">
        <f>'balance_raw_26573645'!$D$27</f>
        <v/>
      </c>
      <c r="E46" s="8">
        <f>'balance_raw_26573645'!$E$27</f>
        <v/>
      </c>
      <c r="F46" s="8">
        <f>'balance_raw_26573645'!$F$27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'balance_raw_26573645'!$B$28</f>
        <v/>
      </c>
      <c r="C47" s="11">
        <f>'balance_raw_26573645'!$C$28</f>
        <v/>
      </c>
      <c r="D47" s="11">
        <f>'balance_raw_26573645'!$D$28</f>
        <v/>
      </c>
      <c r="E47" s="11">
        <f>'balance_raw_26573645'!$E$28</f>
        <v/>
      </c>
      <c r="F47" s="11">
        <f>'balance_raw_26573645'!$F$28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'balance_raw_26573645'!$B$29</f>
        <v/>
      </c>
      <c r="C48" s="5">
        <f>'balance_raw_26573645'!$C$29</f>
        <v/>
      </c>
      <c r="D48" s="5">
        <f>'balance_raw_26573645'!$D$29</f>
        <v/>
      </c>
      <c r="E48" s="5">
        <f>'balance_raw_26573645'!$E$29</f>
        <v/>
      </c>
      <c r="F48" s="5">
        <f>'balance_raw_26573645'!$F$29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'balance_raw_26573645'!$B$30</f>
        <v/>
      </c>
      <c r="C49" s="8">
        <f>'balance_raw_26573645'!$C$30</f>
        <v/>
      </c>
      <c r="D49" s="8">
        <f>'balance_raw_26573645'!$D$30</f>
        <v/>
      </c>
      <c r="E49" s="8">
        <f>'balance_raw_26573645'!$E$30</f>
        <v/>
      </c>
      <c r="F49" s="8">
        <f>'balance_raw_26573645'!$F$30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'balance_raw_26573645'!$B$31</f>
        <v/>
      </c>
      <c r="C50" s="8">
        <f>'balance_raw_26573645'!$C$31</f>
        <v/>
      </c>
      <c r="D50" s="8">
        <f>'balance_raw_26573645'!$D$31</f>
        <v/>
      </c>
      <c r="E50" s="8">
        <f>'balance_raw_26573645'!$E$31</f>
        <v/>
      </c>
      <c r="F50" s="8">
        <f>'balance_raw_26573645'!$F$31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'balance_raw_26573645'!$B$32</f>
        <v/>
      </c>
      <c r="C53" s="11">
        <f>'balance_raw_26573645'!$C$32</f>
        <v/>
      </c>
      <c r="D53" s="11">
        <f>'balance_raw_26573645'!$D$32</f>
        <v/>
      </c>
      <c r="E53" s="11">
        <f>'balance_raw_26573645'!$E$32</f>
        <v/>
      </c>
      <c r="F53" s="11">
        <f>'balance_raw_26573645'!$F$32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'balance_raw_26573645'!$B$33</f>
        <v/>
      </c>
      <c r="C54" s="5">
        <f>'balance_raw_26573645'!$C$33</f>
        <v/>
      </c>
      <c r="D54" s="5">
        <f>'balance_raw_26573645'!$D$33</f>
        <v/>
      </c>
      <c r="E54" s="5">
        <f>'balance_raw_26573645'!$E$33</f>
        <v/>
      </c>
      <c r="F54" s="5">
        <f>'balance_raw_26573645'!$F$33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'balance_raw_26573645'!$B$34</f>
        <v/>
      </c>
      <c r="C55" s="11">
        <f>'balance_raw_26573645'!$C$34</f>
        <v/>
      </c>
      <c r="D55" s="11">
        <f>'balance_raw_26573645'!$D$34</f>
        <v/>
      </c>
      <c r="E55" s="11">
        <f>'balance_raw_26573645'!$E$34</f>
        <v/>
      </c>
      <c r="F55" s="11">
        <f>'balance_raw_26573645'!$F$34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'balance_raw_26573645'!$B$35</f>
        <v/>
      </c>
      <c r="C56" s="5">
        <f>'balance_raw_26573645'!$C$35</f>
        <v/>
      </c>
      <c r="D56" s="5">
        <f>'balance_raw_26573645'!$D$35</f>
        <v/>
      </c>
      <c r="E56" s="5">
        <f>'balance_raw_26573645'!$E$35</f>
        <v/>
      </c>
      <c r="F56" s="5">
        <f>'balance_raw_26573645'!$F$35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'balance_raw_26573645'!$B$36</f>
        <v/>
      </c>
      <c r="C57" s="11">
        <f>'balance_raw_26573645'!$C$36</f>
        <v/>
      </c>
      <c r="D57" s="11">
        <f>'balance_raw_26573645'!$D$36</f>
        <v/>
      </c>
      <c r="E57" s="11">
        <f>'balance_raw_26573645'!$E$36</f>
        <v/>
      </c>
      <c r="F57" s="11">
        <f>'balance_raw_26573645'!$F$36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'balance_raw_26573645'!$B$37</f>
        <v/>
      </c>
      <c r="C58" s="5">
        <f>'balance_raw_26573645'!$C$37</f>
        <v/>
      </c>
      <c r="D58" s="5">
        <f>'balance_raw_26573645'!$D$37</f>
        <v/>
      </c>
      <c r="E58" s="5">
        <f>'balance_raw_26573645'!$E$37</f>
        <v/>
      </c>
      <c r="F58" s="5">
        <f>'balance_raw_26573645'!$F$37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'balance_raw_26573645'!$B$38</f>
        <v/>
      </c>
      <c r="C59" s="8">
        <f>'balance_raw_26573645'!$C$38</f>
        <v/>
      </c>
      <c r="D59" s="8">
        <f>'balance_raw_26573645'!$D$38</f>
        <v/>
      </c>
      <c r="E59" s="8">
        <f>'balance_raw_26573645'!$E$38</f>
        <v/>
      </c>
      <c r="F59" s="8">
        <f>'balance_raw_26573645'!$F$38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'balance_raw_26573645'!$B$39</f>
        <v/>
      </c>
      <c r="C60" s="5">
        <f>'balance_raw_26573645'!$C$39</f>
        <v/>
      </c>
      <c r="D60" s="5">
        <f>'balance_raw_26573645'!$D$39</f>
        <v/>
      </c>
      <c r="E60" s="5">
        <f>'balance_raw_26573645'!$E$39</f>
        <v/>
      </c>
      <c r="F60" s="5">
        <f>'balance_raw_26573645'!$F$39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'balance_raw_26573645'!$B$40</f>
        <v/>
      </c>
      <c r="C61" s="8">
        <f>'balance_raw_26573645'!$C$40</f>
        <v/>
      </c>
      <c r="D61" s="8">
        <f>'balance_raw_26573645'!$D$40</f>
        <v/>
      </c>
      <c r="E61" s="8">
        <f>'balance_raw_26573645'!$E$40</f>
        <v/>
      </c>
      <c r="F61" s="8">
        <f>'balance_raw_26573645'!$F$40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'balance_raw_26573645'!$B$41</f>
        <v/>
      </c>
      <c r="C62" s="5">
        <f>'balance_raw_26573645'!$C$41</f>
        <v/>
      </c>
      <c r="D62" s="5">
        <f>'balance_raw_26573645'!$D$41</f>
        <v/>
      </c>
      <c r="E62" s="5">
        <f>'balance_raw_26573645'!$E$41</f>
        <v/>
      </c>
      <c r="F62" s="5">
        <f>'balance_raw_26573645'!$F$41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'balance_raw_26573645'!$B$42</f>
        <v/>
      </c>
      <c r="C63" s="11">
        <f>'balance_raw_26573645'!$C$42</f>
        <v/>
      </c>
      <c r="D63" s="11">
        <f>'balance_raw_26573645'!$D$42</f>
        <v/>
      </c>
      <c r="E63" s="11">
        <f>'balance_raw_26573645'!$E$42</f>
        <v/>
      </c>
      <c r="F63" s="11">
        <f>'balance_raw_26573645'!$F$42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'balance_raw_26573645'!$B$43</f>
        <v/>
      </c>
      <c r="C64" s="5">
        <f>'balance_raw_26573645'!$C$43</f>
        <v/>
      </c>
      <c r="D64" s="5">
        <f>'balance_raw_26573645'!$D$43</f>
        <v/>
      </c>
      <c r="E64" s="5">
        <f>'balance_raw_26573645'!$E$43</f>
        <v/>
      </c>
      <c r="F64" s="5">
        <f>'balance_raw_26573645'!$F$43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'balance_raw_26573645'!$B$44</f>
        <v/>
      </c>
      <c r="C65" s="11">
        <f>'balance_raw_26573645'!$C$44</f>
        <v/>
      </c>
      <c r="D65" s="11">
        <f>'balance_raw_26573645'!$D$44</f>
        <v/>
      </c>
      <c r="E65" s="11">
        <f>'balance_raw_26573645'!$E$44</f>
        <v/>
      </c>
      <c r="F65" s="11">
        <f>'balance_raw_26573645'!$F$44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'balance_raw_26573645'!$B$45</f>
        <v/>
      </c>
      <c r="C66" s="8">
        <f>'balance_raw_26573645'!$C$45</f>
        <v/>
      </c>
      <c r="D66" s="8">
        <f>'balance_raw_26573645'!$D$45</f>
        <v/>
      </c>
      <c r="E66" s="8">
        <f>'balance_raw_26573645'!$E$45</f>
        <v/>
      </c>
      <c r="F66" s="8">
        <f>'balance_raw_26573645'!$F$45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'balance_raw_26573645'!$B$46</f>
        <v/>
      </c>
      <c r="C67" s="11">
        <f>'balance_raw_26573645'!$C$46</f>
        <v/>
      </c>
      <c r="D67" s="11">
        <f>'balance_raw_26573645'!$D$46</f>
        <v/>
      </c>
      <c r="E67" s="11">
        <f>'balance_raw_26573645'!$E$46</f>
        <v/>
      </c>
      <c r="F67" s="11">
        <f>'balance_raw_26573645'!$F$46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'balance_raw_26573645'!$B$47</f>
        <v/>
      </c>
      <c r="C68" s="5">
        <f>'balance_raw_26573645'!$C$47</f>
        <v/>
      </c>
      <c r="D68" s="5">
        <f>'balance_raw_26573645'!$D$47</f>
        <v/>
      </c>
      <c r="E68" s="5">
        <f>'balance_raw_26573645'!$E$47</f>
        <v/>
      </c>
      <c r="F68" s="5">
        <f>'balance_raw_26573645'!$F$47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'balance_raw_26573645'!$B$48</f>
        <v/>
      </c>
      <c r="C69" s="11">
        <f>'balance_raw_26573645'!$C$48</f>
        <v/>
      </c>
      <c r="D69" s="11">
        <f>'balance_raw_26573645'!$D$48</f>
        <v/>
      </c>
      <c r="E69" s="11">
        <f>'balance_raw_26573645'!$E$48</f>
        <v/>
      </c>
      <c r="F69" s="11">
        <f>'balance_raw_26573645'!$F$48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'balance_raw_26573645'!$B$49</f>
        <v/>
      </c>
      <c r="C70" s="5">
        <f>'balance_raw_26573645'!$C$49</f>
        <v/>
      </c>
      <c r="D70" s="5">
        <f>'balance_raw_26573645'!$D$49</f>
        <v/>
      </c>
      <c r="E70" s="5">
        <f>'balance_raw_26573645'!$E$49</f>
        <v/>
      </c>
      <c r="F70" s="5">
        <f>'balance_raw_26573645'!$F$49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'balance_raw_26573645'!$B$50</f>
        <v/>
      </c>
      <c r="C71" s="11">
        <f>'balance_raw_26573645'!$C$50</f>
        <v/>
      </c>
      <c r="D71" s="11">
        <f>'balance_raw_26573645'!$D$50</f>
        <v/>
      </c>
      <c r="E71" s="11">
        <f>'balance_raw_26573645'!$E$50</f>
        <v/>
      </c>
      <c r="F71" s="11">
        <f>'balance_raw_26573645'!$F$50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'balance_raw_26573645'!$B$51</f>
        <v/>
      </c>
      <c r="C72" s="5">
        <f>'balance_raw_26573645'!$C$51</f>
        <v/>
      </c>
      <c r="D72" s="5">
        <f>'balance_raw_26573645'!$D$51</f>
        <v/>
      </c>
      <c r="E72" s="5">
        <f>'balance_raw_26573645'!$E$51</f>
        <v/>
      </c>
      <c r="F72" s="5">
        <f>'balance_raw_26573645'!$F$51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'balance_raw_26573645'!$B$52</f>
        <v/>
      </c>
      <c r="C73" s="11">
        <f>'balance_raw_26573645'!$C$52</f>
        <v/>
      </c>
      <c r="D73" s="11">
        <f>'balance_raw_26573645'!$D$52</f>
        <v/>
      </c>
      <c r="E73" s="11">
        <f>'balance_raw_26573645'!$E$52</f>
        <v/>
      </c>
      <c r="F73" s="11">
        <f>'balance_raw_26573645'!$F$52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'balance_raw_26573645'!$B$53</f>
        <v/>
      </c>
      <c r="C74" s="5">
        <f>'balance_raw_26573645'!$C$53</f>
        <v/>
      </c>
      <c r="D74" s="5">
        <f>'balance_raw_26573645'!$D$53</f>
        <v/>
      </c>
      <c r="E74" s="5">
        <f>'balance_raw_26573645'!$E$53</f>
        <v/>
      </c>
      <c r="F74" s="5">
        <f>'balance_raw_26573645'!$F$53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'balance_raw_26573645'!$B$54</f>
        <v/>
      </c>
      <c r="C75" s="11">
        <f>'balance_raw_26573645'!$C$54</f>
        <v/>
      </c>
      <c r="D75" s="11">
        <f>'balance_raw_26573645'!$D$54</f>
        <v/>
      </c>
      <c r="E75" s="11">
        <f>'balance_raw_26573645'!$E$54</f>
        <v/>
      </c>
      <c r="F75" s="11">
        <f>'balance_raw_26573645'!$F$54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'balance_raw_26573645'!$B$55</f>
        <v/>
      </c>
      <c r="C76" s="5">
        <f>'balance_raw_26573645'!$C$55</f>
        <v/>
      </c>
      <c r="D76" s="5">
        <f>'balance_raw_26573645'!$D$55</f>
        <v/>
      </c>
      <c r="E76" s="5">
        <f>'balance_raw_26573645'!$E$55</f>
        <v/>
      </c>
      <c r="F76" s="5">
        <f>'balance_raw_26573645'!$F$55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'balance_raw_26573645'!$B$56</f>
        <v/>
      </c>
      <c r="C77" s="11">
        <f>'balance_raw_26573645'!$C$56</f>
        <v/>
      </c>
      <c r="D77" s="11">
        <f>'balance_raw_26573645'!$D$56</f>
        <v/>
      </c>
      <c r="E77" s="11">
        <f>'balance_raw_26573645'!$E$56</f>
        <v/>
      </c>
      <c r="F77" s="11">
        <f>'balance_raw_26573645'!$F$56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'balance_raw_26573645'!$B$57</f>
        <v/>
      </c>
      <c r="C78" s="8">
        <f>'balance_raw_26573645'!$C$57</f>
        <v/>
      </c>
      <c r="D78" s="8">
        <f>'balance_raw_26573645'!$D$57</f>
        <v/>
      </c>
      <c r="E78" s="8">
        <f>'balance_raw_26573645'!$E$57</f>
        <v/>
      </c>
      <c r="F78" s="8">
        <f>'balance_raw_26573645'!$F$57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'balance_raw_26573645'!$B$58</f>
        <v/>
      </c>
      <c r="C79" s="8">
        <f>'balance_raw_26573645'!$C$58</f>
        <v/>
      </c>
      <c r="D79" s="8">
        <f>'balance_raw_26573645'!$D$58</f>
        <v/>
      </c>
      <c r="E79" s="8">
        <f>'balance_raw_26573645'!$E$58</f>
        <v/>
      </c>
      <c r="F79" s="8">
        <f>'balance_raw_26573645'!$F$58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'balance_raw_26573645'!$B$59</f>
        <v/>
      </c>
      <c r="C80" s="8">
        <f>'balance_raw_26573645'!$C$59</f>
        <v/>
      </c>
      <c r="D80" s="8">
        <f>'balance_raw_26573645'!$D$59</f>
        <v/>
      </c>
      <c r="E80" s="8">
        <f>'balance_raw_26573645'!$E$59</f>
        <v/>
      </c>
      <c r="F80" s="8">
        <f>'balance_raw_26573645'!$F$59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'res_raw_26573645'!$B$17</f>
        <v/>
      </c>
      <c r="C83" s="11">
        <f>'res_raw_26573645'!$C$17</f>
        <v/>
      </c>
      <c r="D83" s="11">
        <f>'res_raw_26573645'!$D$17</f>
        <v/>
      </c>
      <c r="E83" s="11">
        <f>'res_raw_26573645'!$E$17</f>
        <v/>
      </c>
      <c r="F83" s="11">
        <f>'res_raw_26573645'!$F$17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'res_raw_26573645'!$B$18</f>
        <v/>
      </c>
      <c r="C84" s="5">
        <f>'res_raw_26573645'!$C$18</f>
        <v/>
      </c>
      <c r="D84" s="5">
        <f>'res_raw_26573645'!$D$18</f>
        <v/>
      </c>
      <c r="E84" s="5">
        <f>'res_raw_26573645'!$E$18</f>
        <v/>
      </c>
      <c r="F84" s="5">
        <f>'res_raw_26573645'!$F$18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932400</v>
      </c>
      <c r="C2" s="16" t="n">
        <v>1110100</v>
      </c>
      <c r="D2" s="16" t="n">
        <v>811366</v>
      </c>
      <c r="E2" s="16" t="n">
        <v>684171</v>
      </c>
      <c r="F2" s="16" t="n">
        <v>663936</v>
      </c>
    </row>
    <row r="3">
      <c r="A3" s="15" t="inlineStr">
        <is>
          <t>Produktionsomkostninger</t>
        </is>
      </c>
      <c r="B3" s="16" t="n">
        <v>363200</v>
      </c>
      <c r="C3" s="16" t="n">
        <v>420200</v>
      </c>
      <c r="D3" s="16" t="n"/>
      <c r="E3" s="16" t="n"/>
      <c r="F3" s="16" t="n"/>
    </row>
    <row r="4">
      <c r="A4" s="17" t="inlineStr">
        <is>
          <t>Bruttoresultat</t>
        </is>
      </c>
      <c r="B4" s="16" t="n">
        <v>569200</v>
      </c>
      <c r="C4" s="16" t="n">
        <v>689900</v>
      </c>
      <c r="D4" s="16" t="n">
        <v>248860</v>
      </c>
      <c r="E4" s="16" t="n">
        <v>172984</v>
      </c>
      <c r="F4" s="16" t="n">
        <v>651238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>
        <v>21800</v>
      </c>
      <c r="C7" s="16" t="n">
        <v>12500</v>
      </c>
      <c r="D7" s="16" t="n">
        <v>119</v>
      </c>
      <c r="E7" s="16" t="n">
        <v>17</v>
      </c>
      <c r="F7" s="16" t="n">
        <v>440000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700</v>
      </c>
      <c r="C9" s="16" t="n">
        <v>108800</v>
      </c>
      <c r="D9" s="16" t="n">
        <v>89298</v>
      </c>
      <c r="E9" s="16" t="n">
        <v>-36920</v>
      </c>
      <c r="F9" s="16" t="n">
        <v>506934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1200</v>
      </c>
      <c r="C11" s="16" t="n">
        <v>3100</v>
      </c>
      <c r="D11" s="16" t="n">
        <v>19168</v>
      </c>
      <c r="E11" s="16" t="n">
        <v>19689</v>
      </c>
      <c r="F11" s="16" t="n">
        <v>9583</v>
      </c>
    </row>
    <row r="12">
      <c r="A12" s="15" t="inlineStr">
        <is>
          <t>Finansielle omkostninger</t>
        </is>
      </c>
      <c r="B12" s="16" t="n">
        <v>43300</v>
      </c>
      <c r="C12" s="16" t="n">
        <v>34600</v>
      </c>
      <c r="D12" s="16" t="n">
        <v>39862</v>
      </c>
      <c r="E12" s="16" t="n">
        <v>68249</v>
      </c>
      <c r="F12" s="16" t="n">
        <v>25111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-41400</v>
      </c>
      <c r="C14" s="16" t="n">
        <v>77300</v>
      </c>
      <c r="D14" s="16" t="n">
        <v>68604</v>
      </c>
      <c r="E14" s="16" t="n">
        <v>-85480</v>
      </c>
      <c r="F14" s="16" t="n">
        <v>491406</v>
      </c>
    </row>
    <row r="15">
      <c r="A15" s="15" t="inlineStr">
        <is>
          <t>Skat af årets resultat</t>
        </is>
      </c>
      <c r="B15" s="16" t="n">
        <v>3700</v>
      </c>
      <c r="C15" s="16" t="n">
        <v>10000</v>
      </c>
      <c r="D15" s="16" t="n">
        <v>-98651</v>
      </c>
      <c r="E15" s="16" t="n">
        <v>-5173</v>
      </c>
      <c r="F15" s="16" t="n">
        <v>108702</v>
      </c>
    </row>
    <row r="16">
      <c r="A16" s="17" t="inlineStr">
        <is>
          <t>Årets resultat</t>
        </is>
      </c>
      <c r="B16" s="16" t="n">
        <v>-45100</v>
      </c>
      <c r="C16" s="16" t="n">
        <v>67300</v>
      </c>
      <c r="D16" s="16" t="n">
        <v>167255</v>
      </c>
      <c r="E16" s="16" t="n">
        <v>-80307</v>
      </c>
      <c r="F16" s="16" t="n">
        <v>382704</v>
      </c>
    </row>
    <row r="17">
      <c r="A17" s="15" t="inlineStr">
        <is>
          <t>Gns. antal medarbejdere</t>
        </is>
      </c>
      <c r="B17" s="16" t="n">
        <v>1</v>
      </c>
      <c r="C17" s="16" t="n">
        <v>1097</v>
      </c>
      <c r="D17" s="16" t="n">
        <v>192</v>
      </c>
      <c r="E17" s="16" t="n">
        <v>178</v>
      </c>
      <c r="F17" s="16" t="n">
        <v>163</v>
      </c>
    </row>
    <row r="18">
      <c r="A18" s="15" t="inlineStr">
        <is>
          <t>Investering i materielle anlægsaktiver</t>
        </is>
      </c>
      <c r="B18" s="16" t="n">
        <v>9600</v>
      </c>
      <c r="C18" s="16" t="n">
        <v>11500</v>
      </c>
      <c r="D18" s="16" t="n">
        <v>14300</v>
      </c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>
        <v>8422</v>
      </c>
      <c r="E2" s="16" t="n">
        <v>7915</v>
      </c>
      <c r="F2" s="16" t="n">
        <v>8496</v>
      </c>
    </row>
    <row r="3">
      <c r="A3" s="15" t="inlineStr">
        <is>
          <t>Patenter, varemærker mv.</t>
        </is>
      </c>
      <c r="B3" s="16" t="n"/>
      <c r="C3" s="16" t="n"/>
      <c r="D3" s="16" t="n">
        <v>336</v>
      </c>
      <c r="E3" s="16" t="n">
        <v>525</v>
      </c>
      <c r="F3" s="16" t="n">
        <v>1040</v>
      </c>
    </row>
    <row r="4">
      <c r="A4" s="15" t="inlineStr">
        <is>
          <t>Goodwill</t>
        </is>
      </c>
      <c r="B4" s="16" t="n"/>
      <c r="C4" s="16" t="n"/>
      <c r="D4" s="16" t="n">
        <v>16254</v>
      </c>
      <c r="E4" s="16" t="n">
        <v>21797</v>
      </c>
      <c r="F4" s="16" t="n"/>
    </row>
    <row r="5">
      <c r="A5" s="17" t="inlineStr">
        <is>
          <t>Immaterielle anlægsaktiver</t>
        </is>
      </c>
      <c r="B5" s="16" t="n">
        <v>56000</v>
      </c>
      <c r="C5" s="16" t="n">
        <v>49500</v>
      </c>
      <c r="D5" s="16" t="n">
        <v>42297</v>
      </c>
      <c r="E5" s="16" t="n">
        <v>37114</v>
      </c>
      <c r="F5" s="16" t="n">
        <v>24556</v>
      </c>
    </row>
    <row r="6">
      <c r="A6" s="15" t="inlineStr">
        <is>
          <t>Grunde og bygninger</t>
        </is>
      </c>
      <c r="B6" s="16" t="n"/>
      <c r="C6" s="16" t="n"/>
      <c r="D6" s="16" t="n">
        <v>3255</v>
      </c>
      <c r="E6" s="16" t="n">
        <v>4368</v>
      </c>
      <c r="F6" s="16" t="n">
        <v>5031</v>
      </c>
    </row>
    <row r="7">
      <c r="A7" s="15" t="inlineStr">
        <is>
          <t>Produktionsanlæg og maskiner</t>
        </is>
      </c>
      <c r="B7" s="16" t="n"/>
      <c r="C7" s="16" t="n"/>
      <c r="D7" s="16" t="n">
        <v>185</v>
      </c>
      <c r="E7" s="16" t="n">
        <v>145</v>
      </c>
      <c r="F7" s="16" t="n">
        <v>103</v>
      </c>
    </row>
    <row r="8">
      <c r="A8" s="15" t="inlineStr">
        <is>
          <t>Driftsmateriel og inventar</t>
        </is>
      </c>
      <c r="B8" s="16" t="n"/>
      <c r="C8" s="16" t="n"/>
      <c r="D8" s="16" t="n">
        <v>16577</v>
      </c>
      <c r="E8" s="16" t="n">
        <v>15578</v>
      </c>
      <c r="F8" s="16" t="n">
        <v>14717</v>
      </c>
    </row>
    <row r="9">
      <c r="A9" s="15" t="inlineStr">
        <is>
          <t>Indretning af lejede lokaler</t>
        </is>
      </c>
      <c r="B9" s="16" t="n"/>
      <c r="C9" s="16" t="n"/>
      <c r="D9" s="16" t="n">
        <v>114</v>
      </c>
      <c r="E9" s="16" t="n">
        <v>4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612</v>
      </c>
      <c r="E10" s="16" t="n">
        <v>31</v>
      </c>
      <c r="F10" s="16" t="n">
        <v>916</v>
      </c>
    </row>
    <row r="11">
      <c r="A11" s="17" t="inlineStr">
        <is>
          <t>Materielle anlægsaktiver</t>
        </is>
      </c>
      <c r="B11" s="16" t="n">
        <v>321400</v>
      </c>
      <c r="C11" s="16" t="n">
        <v>259500</v>
      </c>
      <c r="D11" s="16" t="n">
        <v>22565</v>
      </c>
      <c r="E11" s="16" t="n">
        <v>37613</v>
      </c>
      <c r="F11" s="16" t="n">
        <v>64143</v>
      </c>
    </row>
    <row r="12">
      <c r="A12" s="15" t="inlineStr">
        <is>
          <t>Kapitalandele, dattervirksomheder</t>
        </is>
      </c>
      <c r="B12" s="16" t="n"/>
      <c r="C12" s="16" t="n"/>
      <c r="D12" s="16" t="n">
        <v>195103</v>
      </c>
      <c r="E12" s="16" t="n">
        <v>190178</v>
      </c>
      <c r="F12" s="16" t="n">
        <v>190178</v>
      </c>
    </row>
    <row r="13">
      <c r="A13" s="15" t="inlineStr">
        <is>
          <t>Deposita</t>
        </is>
      </c>
      <c r="B13" s="16" t="n"/>
      <c r="C13" s="16" t="n"/>
      <c r="D13" s="16" t="n">
        <v>8436</v>
      </c>
      <c r="E13" s="16" t="n">
        <v>8725</v>
      </c>
      <c r="F13" s="16" t="n">
        <v>8957</v>
      </c>
    </row>
    <row r="14">
      <c r="A14" s="17" t="inlineStr">
        <is>
          <t>Finansielle anlægsaktiver</t>
        </is>
      </c>
      <c r="B14" s="16" t="n"/>
      <c r="C14" s="16" t="n"/>
      <c r="D14" s="16" t="n">
        <v>213539</v>
      </c>
      <c r="E14" s="16" t="n">
        <v>208903</v>
      </c>
      <c r="F14" s="16" t="n">
        <v>209135</v>
      </c>
    </row>
    <row r="15">
      <c r="A15" s="17" t="inlineStr">
        <is>
          <t>Anlægsaktiver</t>
        </is>
      </c>
      <c r="B15" s="16" t="n">
        <v>420100</v>
      </c>
      <c r="C15" s="16" t="n">
        <v>355500</v>
      </c>
      <c r="D15" s="16" t="n">
        <v>278401</v>
      </c>
      <c r="E15" s="16" t="n">
        <v>283630</v>
      </c>
      <c r="F15" s="16" t="n">
        <v>297834</v>
      </c>
    </row>
    <row r="16">
      <c r="A16" s="15" t="inlineStr">
        <is>
          <t>Råvarer og hjælpematerialer</t>
        </is>
      </c>
      <c r="B16" s="16" t="n"/>
      <c r="C16" s="16" t="n"/>
      <c r="D16" s="16" t="n">
        <v>19900</v>
      </c>
      <c r="E16" s="16" t="n">
        <v>19805</v>
      </c>
      <c r="F16" s="16" t="n">
        <v>20565</v>
      </c>
    </row>
    <row r="17">
      <c r="A17" s="15" t="inlineStr">
        <is>
          <t>Varer under fremstilling</t>
        </is>
      </c>
      <c r="B17" s="16" t="n"/>
      <c r="C17" s="16" t="n"/>
      <c r="D17" s="16" t="n">
        <v>3630</v>
      </c>
      <c r="E17" s="16" t="n">
        <v>2632</v>
      </c>
      <c r="F17" s="16" t="n">
        <v>3753</v>
      </c>
    </row>
    <row r="18">
      <c r="A18" s="15" t="inlineStr">
        <is>
          <t>Færdigvarer og handelsvarer</t>
        </is>
      </c>
      <c r="B18" s="16" t="n"/>
      <c r="C18" s="16" t="n"/>
      <c r="D18" s="16" t="n">
        <v>209958</v>
      </c>
      <c r="E18" s="16" t="n">
        <v>163568</v>
      </c>
      <c r="F18" s="16" t="n">
        <v>196858</v>
      </c>
    </row>
    <row r="19">
      <c r="A19" s="17" t="inlineStr">
        <is>
          <t>Varebeholdninger</t>
        </is>
      </c>
      <c r="B19" s="16" t="n">
        <v>268800</v>
      </c>
      <c r="C19" s="16" t="n">
        <v>285100</v>
      </c>
      <c r="D19" s="16" t="n">
        <v>233488</v>
      </c>
      <c r="E19" s="16" t="n">
        <v>186005</v>
      </c>
      <c r="F19" s="16" t="n">
        <v>221176</v>
      </c>
    </row>
    <row r="20">
      <c r="A20" s="15" t="inlineStr">
        <is>
          <t>Tilgodehavender fra salg og tjenesteydelser</t>
        </is>
      </c>
      <c r="B20" s="16" t="n"/>
      <c r="C20" s="16" t="n"/>
      <c r="D20" s="16" t="n">
        <v>59461</v>
      </c>
      <c r="E20" s="16" t="n">
        <v>75159</v>
      </c>
      <c r="F20" s="16" t="n">
        <v>85349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25001</v>
      </c>
      <c r="E21" s="16" t="n">
        <v>28878</v>
      </c>
      <c r="F21" s="16" t="n">
        <v>616377</v>
      </c>
    </row>
    <row r="22">
      <c r="A22" s="15" t="inlineStr">
        <is>
          <t>Andre tilgodehavender</t>
        </is>
      </c>
      <c r="B22" s="16" t="n"/>
      <c r="C22" s="16" t="n"/>
      <c r="D22" s="16" t="n">
        <v>2899</v>
      </c>
      <c r="E22" s="16" t="n">
        <v>0</v>
      </c>
      <c r="F22" s="16" t="n"/>
    </row>
    <row r="23">
      <c r="A23" s="15" t="inlineStr">
        <is>
          <t>Periodeafgrænsningsposter (aktiver)</t>
        </is>
      </c>
      <c r="B23" s="16" t="n">
        <v>19000</v>
      </c>
      <c r="C23" s="16" t="n">
        <v>12900</v>
      </c>
      <c r="D23" s="16" t="n">
        <v>2967</v>
      </c>
      <c r="E23" s="16" t="n">
        <v>4180</v>
      </c>
      <c r="F23" s="16" t="n">
        <v>6065</v>
      </c>
    </row>
    <row r="24">
      <c r="A24" s="15" t="inlineStr">
        <is>
          <t>Udskudt skatteaktiv</t>
        </is>
      </c>
      <c r="B24" s="16" t="n">
        <v>0</v>
      </c>
      <c r="C24" s="16" t="n"/>
      <c r="D24" s="16" t="n">
        <v>94797</v>
      </c>
      <c r="E24" s="16" t="n">
        <v>96359</v>
      </c>
      <c r="F24" s="16" t="n">
        <v>35292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>
        <v>0</v>
      </c>
      <c r="E25" s="16" t="n">
        <v>723</v>
      </c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0</v>
      </c>
    </row>
    <row r="27">
      <c r="A27" s="17" t="inlineStr">
        <is>
          <t>Tilgodehavender</t>
        </is>
      </c>
      <c r="B27" s="16" t="n">
        <v>3500</v>
      </c>
      <c r="C27" s="16" t="n">
        <v>5600</v>
      </c>
      <c r="D27" s="16" t="n">
        <v>185125</v>
      </c>
      <c r="E27" s="16" t="n">
        <v>205299</v>
      </c>
      <c r="F27" s="16" t="n">
        <v>743083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148400</v>
      </c>
      <c r="C29" s="16" t="n">
        <v>221700</v>
      </c>
      <c r="D29" s="16" t="n">
        <v>89241</v>
      </c>
      <c r="E29" s="16" t="n">
        <v>72160</v>
      </c>
      <c r="F29" s="16" t="n">
        <v>0</v>
      </c>
    </row>
    <row r="30">
      <c r="A30" s="17" t="inlineStr">
        <is>
          <t>Omsætningsaktiver</t>
        </is>
      </c>
      <c r="B30" s="16" t="n">
        <v>570600</v>
      </c>
      <c r="C30" s="16" t="n">
        <v>668900</v>
      </c>
      <c r="D30" s="16" t="n">
        <v>507854</v>
      </c>
      <c r="E30" s="16" t="n">
        <v>463464</v>
      </c>
      <c r="F30" s="16" t="n">
        <v>964259</v>
      </c>
    </row>
    <row r="31">
      <c r="A31" s="17" t="inlineStr">
        <is>
          <t>Aktiver</t>
        </is>
      </c>
      <c r="B31" s="16" t="n">
        <v>990700</v>
      </c>
      <c r="C31" s="16" t="n">
        <v>1024400</v>
      </c>
      <c r="D31" s="16" t="n">
        <v>786255</v>
      </c>
      <c r="E31" s="16" t="n">
        <v>747094</v>
      </c>
      <c r="F31" s="16" t="n">
        <v>1262093</v>
      </c>
    </row>
    <row r="32">
      <c r="A32" s="15" t="inlineStr">
        <is>
          <t>Selskabskapital</t>
        </is>
      </c>
      <c r="B32" s="16" t="n">
        <v>139600</v>
      </c>
      <c r="C32" s="16" t="n">
        <v>139600</v>
      </c>
      <c r="D32" s="16" t="n">
        <v>139649</v>
      </c>
      <c r="E32" s="16" t="n">
        <v>139649</v>
      </c>
      <c r="F32" s="16" t="n">
        <v>139649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20000</v>
      </c>
      <c r="E34" s="16" t="n">
        <v>11537</v>
      </c>
      <c r="F34" s="16" t="n">
        <v>18342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488300</v>
      </c>
      <c r="C36" s="16" t="n">
        <v>488300</v>
      </c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-460900</v>
      </c>
      <c r="C37" s="16" t="n">
        <v>-393900</v>
      </c>
      <c r="D37" s="16" t="n">
        <v>163910</v>
      </c>
      <c r="E37" s="16" t="n">
        <v>92066</v>
      </c>
      <c r="F37" s="16" t="n">
        <v>758839</v>
      </c>
    </row>
    <row r="38">
      <c r="A38" s="17" t="inlineStr">
        <is>
          <t>Egenkapital i alt</t>
        </is>
      </c>
      <c r="B38" s="16" t="n">
        <v>171500</v>
      </c>
      <c r="C38" s="16" t="n">
        <v>241200</v>
      </c>
      <c r="D38" s="16" t="n">
        <v>323559</v>
      </c>
      <c r="E38" s="16" t="n">
        <v>243252</v>
      </c>
      <c r="F38" s="16" t="n">
        <v>916830</v>
      </c>
    </row>
    <row r="39">
      <c r="A39" s="15" t="inlineStr">
        <is>
          <t>Hensættelse til udskudt skat</t>
        </is>
      </c>
      <c r="B39" s="16" t="n">
        <v>3300</v>
      </c>
      <c r="C39" s="16" t="n">
        <v>700</v>
      </c>
      <c r="D39" s="16" t="n"/>
      <c r="E39" s="16" t="n"/>
      <c r="F39" s="16" t="n"/>
    </row>
    <row r="40">
      <c r="A40" s="17" t="inlineStr">
        <is>
          <t>Hensatte forpligtelser</t>
        </is>
      </c>
      <c r="B40" s="16" t="n">
        <v>14400</v>
      </c>
      <c r="C40" s="16" t="n">
        <v>11800</v>
      </c>
      <c r="D40" s="16" t="n">
        <v>2420</v>
      </c>
      <c r="E40" s="16" t="n">
        <v>2420</v>
      </c>
      <c r="F40" s="16" t="n">
        <v>4657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201100</v>
      </c>
      <c r="C43" s="16" t="n">
        <v>139900</v>
      </c>
      <c r="D43" s="16" t="n">
        <v>320</v>
      </c>
      <c r="E43" s="16" t="n">
        <v>515</v>
      </c>
      <c r="F43" s="16" t="n">
        <v>26635</v>
      </c>
    </row>
    <row r="44">
      <c r="A44" s="15" t="inlineStr">
        <is>
          <t>Anden gæld (langfristet)</t>
        </is>
      </c>
      <c r="B44" s="16" t="n">
        <v>9800</v>
      </c>
      <c r="C44" s="16" t="n">
        <v>10200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534900</v>
      </c>
      <c r="C45" s="16" t="n">
        <v>469100</v>
      </c>
      <c r="D45" s="16" t="n">
        <v>9256</v>
      </c>
      <c r="E45" s="16" t="n">
        <v>9691</v>
      </c>
      <c r="F45" s="16" t="n">
        <v>35871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>
        <v>298004</v>
      </c>
      <c r="E48" s="16" t="n">
        <v>0</v>
      </c>
      <c r="F48" s="16" t="n"/>
    </row>
    <row r="49">
      <c r="A49" s="15" t="inlineStr">
        <is>
          <t>Leasingforpligtelser (kortfristet)</t>
        </is>
      </c>
      <c r="B49" s="16" t="n">
        <v>75400</v>
      </c>
      <c r="C49" s="16" t="n">
        <v>73900</v>
      </c>
      <c r="D49" s="16" t="n">
        <v>418</v>
      </c>
      <c r="E49" s="16" t="n">
        <v>17085</v>
      </c>
      <c r="F49" s="16" t="n">
        <v>16348</v>
      </c>
    </row>
    <row r="50">
      <c r="A50" s="15" t="inlineStr">
        <is>
          <t>Leverandører af varer og tjenesteydelser</t>
        </is>
      </c>
      <c r="B50" s="16" t="n">
        <v>77700</v>
      </c>
      <c r="C50" s="16" t="n">
        <v>83600</v>
      </c>
      <c r="D50" s="16" t="n">
        <v>48426</v>
      </c>
      <c r="E50" s="16" t="n">
        <v>39054</v>
      </c>
      <c r="F50" s="16" t="n">
        <v>42494</v>
      </c>
    </row>
    <row r="51">
      <c r="A51" s="15" t="inlineStr">
        <is>
          <t>Gæld til tilknyttede virksomheder</t>
        </is>
      </c>
      <c r="B51" s="16" t="n"/>
      <c r="C51" s="16" t="n"/>
      <c r="D51" s="16" t="n">
        <v>40639</v>
      </c>
      <c r="E51" s="16" t="n">
        <v>382823</v>
      </c>
      <c r="F51" s="16" t="n">
        <v>33777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>
        <v>46569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121200</v>
      </c>
      <c r="C55" s="16" t="n">
        <v>143300</v>
      </c>
      <c r="D55" s="16" t="n">
        <v>63533</v>
      </c>
      <c r="E55" s="16" t="n">
        <v>52769</v>
      </c>
      <c r="F55" s="16" t="n">
        <v>165547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284300</v>
      </c>
      <c r="C57" s="16" t="n">
        <v>314100</v>
      </c>
      <c r="D57" s="16" t="n">
        <v>451020</v>
      </c>
      <c r="E57" s="16" t="n">
        <v>491731</v>
      </c>
      <c r="F57" s="16" t="n">
        <v>304735</v>
      </c>
    </row>
    <row r="58">
      <c r="A58" s="17" t="inlineStr">
        <is>
          <t>Gældsforpligtelser</t>
        </is>
      </c>
      <c r="B58" s="16" t="n">
        <v>819200</v>
      </c>
      <c r="C58" s="16" t="n">
        <v>783200</v>
      </c>
      <c r="D58" s="16" t="n">
        <v>460276</v>
      </c>
      <c r="E58" s="16" t="n">
        <v>501422</v>
      </c>
      <c r="F58" s="16" t="n">
        <v>340606</v>
      </c>
    </row>
    <row r="59">
      <c r="A59" s="17" t="inlineStr">
        <is>
          <t>Passiver</t>
        </is>
      </c>
      <c r="B59" s="16" t="n">
        <v>990700</v>
      </c>
      <c r="C59" s="16" t="n">
        <v>1024400</v>
      </c>
      <c r="D59" s="16" t="n">
        <v>786255</v>
      </c>
      <c r="E59" s="16" t="n">
        <v>747094</v>
      </c>
      <c r="F59" s="16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'res_raw_26573645'!$F$7</f>
        <v/>
      </c>
      <c r="C10" s="24">
        <f>'res_raw_26573645'!$E$7</f>
        <v/>
      </c>
      <c r="D10" s="24">
        <f>'res_raw_26573645'!$D$7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-'res_raw_26573645'!$F$8</f>
        <v/>
      </c>
      <c r="C11" s="24">
        <f>-'res_raw_26573645'!$E$8</f>
        <v/>
      </c>
      <c r="D11" s="24">
        <f>-'res_raw_26573645'!$D$8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N('res_raw_26573645'!$F$10)+N('res_raw_26573645'!$F$11)</f>
        <v/>
      </c>
      <c r="C13" s="24">
        <f>N('res_raw_26573645'!$E$10)+N('res_raw_26573645'!$E$11)</f>
        <v/>
      </c>
      <c r="D13" s="24">
        <f>N('res_raw_26573645'!$D$10)+N('res_raw_26573645'!$D$11)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-'res_raw_26573645'!$F$12</f>
        <v/>
      </c>
      <c r="C14" s="24">
        <f>-'res_raw_26573645'!$E$12</f>
        <v/>
      </c>
      <c r="D14" s="24">
        <f>-'res_raw_26573645'!$D$12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'balance_raw_26573645'!$F$15</f>
        <v/>
      </c>
      <c r="C18" s="24">
        <f>'balance_raw_26573645'!$E$15</f>
        <v/>
      </c>
      <c r="D18" s="24">
        <f>'balance_raw_26573645'!$D$15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'balance_raw_26573645'!$F$30</f>
        <v/>
      </c>
      <c r="C19" s="24">
        <f>'balance_raw_26573645'!$E$30</f>
        <v/>
      </c>
      <c r="D19" s="24">
        <f>'balance_raw_26573645'!$D$30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'balance_raw_26573645'!$F$38</f>
        <v/>
      </c>
      <c r="C22" s="24">
        <f>'balance_raw_26573645'!$E$38</f>
        <v/>
      </c>
      <c r="D22" s="24">
        <f>'balance_raw_26573645'!$D$38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'balance_raw_26573645'!$F$59-'balance_raw_26573645'!$F$38</f>
        <v/>
      </c>
      <c r="C23" s="24">
        <f>'balance_raw_26573645'!$E$59-'balance_raw_26573645'!$E$38</f>
        <v/>
      </c>
      <c r="D23" s="24">
        <f>'balance_raw_26573645'!$D$59-'balance_raw_26573645'!$D$38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'balance_raw_26573645'!$F$19</f>
        <v/>
      </c>
      <c r="C27" s="24">
        <f>'balance_raw_26573645'!$E$19</f>
        <v/>
      </c>
      <c r="D27" s="24">
        <f>'balance_raw_26573645'!$D$19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'balance_raw_26573645'!$F$20</f>
        <v/>
      </c>
      <c r="C28" s="24">
        <f>'balance_raw_26573645'!$E$20</f>
        <v/>
      </c>
      <c r="D28" s="24">
        <f>'balance_raw_26573645'!$D$20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'balance_raw_26573645'!$F$57</f>
        <v/>
      </c>
      <c r="C29" s="24">
        <f>'balance_raw_26573645'!$E$57</f>
        <v/>
      </c>
      <c r="D29" s="24">
        <f>'balance_raw_26573645'!$D$57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IF('balance_raw_26573645'!$F$31="","—",IF(ABS(B20-'balance_raw_26573645'!$F$31)&lt;=1,"✓ OK","❌ "&amp;TEXT(B20-'balance_raw_26573645'!$F$31,"+#,##0;-#,##0")&amp;" t.kr."))</f>
        <v/>
      </c>
      <c r="C60" s="29">
        <f>IF('balance_raw_26573645'!$E$31="","—",IF(ABS(C20-'balance_raw_26573645'!$E$31)&lt;=1,"✓ OK","❌ "&amp;TEXT(C20-'balance_raw_26573645'!$E$31,"+#,##0;-#,##0")&amp;" t.kr."))</f>
        <v/>
      </c>
      <c r="D60" s="29">
        <f>IF('balance_raw_26573645'!$D$31="","—",IF(ABS(D20-'balance_raw_26573645'!$D$31)&lt;=1,"✓ OK","❌ "&amp;TEXT(D20-'balance_raw_26573645'!$D$31,"+#,##0;-#,##0")&amp;"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IF('balance_raw_26573645'!$F$59="","—",IF(ABS(B24-'balance_raw_26573645'!$F$59)&lt;=1,"✓ OK","❌ "&amp;TEXT(B24-'balance_raw_26573645'!$F$59,"+#,##0;-#,##0")&amp;" t.kr."))</f>
        <v/>
      </c>
      <c r="C61" s="29">
        <f>IF('balance_raw_26573645'!$E$59="","—",IF(ABS(C24-'balance_raw_26573645'!$E$59)&lt;=1,"✓ OK","❌ "&amp;TEXT(C24-'balance_raw_26573645'!$E$59,"+#,##0;-#,##0")&amp;" t.kr."))</f>
        <v/>
      </c>
      <c r="D61" s="29">
        <f>IF('balance_raw_26573645'!$D$59="","—",IF(ABS(D24-'balance_raw_26573645'!$D$59)&lt;=1,"✓ OK","❌ "&amp;TEXT(D24-'balance_raw_26573645'!$D$59,"+#,##0;-#,##0")&amp;"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IF('res_raw_26573645'!$F$4="","—",IF(ABS(B7-'res_raw_26573645'!$F$4)&lt;=1,"✓ OK","❌ "&amp;TEXT(B7-'res_raw_26573645'!$F$4,"+#,##0;-#,##0")&amp;" t.kr."))</f>
        <v/>
      </c>
      <c r="C63" s="29">
        <f>IF('res_raw_26573645'!$E$4="","—",IF(ABS(C7-'res_raw_26573645'!$E$4)&lt;=1,"✓ OK","❌ "&amp;TEXT(C7-'res_raw_26573645'!$E$4,"+#,##0;-#,##0")&amp;" t.kr."))</f>
        <v/>
      </c>
      <c r="D63" s="29">
        <f>IF('res_raw_26573645'!$D$4="","—",IF(ABS(D7-'res_raw_26573645'!$D$4)&lt;=1,"✓ OK","❌ "&amp;TEXT(D7-'res_raw_26573645'!$D$4,"+#,##0;-#,##0")&amp;"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IF('res_raw_26573645'!$F$9="","—",IF(ABS(B12-'res_raw_26573645'!$F$9)&lt;=1,"✓ OK","❌ "&amp;TEXT(B12-'res_raw_26573645'!$F$9,"+#,##0;-#,##0")&amp;" t.kr."))</f>
        <v/>
      </c>
      <c r="C64" s="29">
        <f>IF('res_raw_26573645'!$E$9="","—",IF(ABS(C12-'res_raw_26573645'!$E$9)&lt;=1,"✓ OK","❌ "&amp;TEXT(C12-'res_raw_26573645'!$E$9,"+#,##0;-#,##0")&amp;" t.kr."))</f>
        <v/>
      </c>
      <c r="D64" s="29">
        <f>IF('res_raw_26573645'!$D$9="","—",IF(ABS(D12-'res_raw_26573645'!$D$9)&lt;=1,"✓ OK","❌ "&amp;TEXT(D12-'res_raw_26573645'!$D$9,"+#,##0;-#,##0")&amp;"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IF('res_raw_26573645'!$F$14="","—",IF(ABS(B15-'res_raw_26573645'!$F$14)&lt;=1,"✓ OK","❌ "&amp;TEXT(B15-'res_raw_26573645'!$F$14,"+#,##0;-#,##0")&amp;" t.kr."))</f>
        <v/>
      </c>
      <c r="C65" s="29">
        <f>IF('res_raw_26573645'!$E$14="","—",IF(ABS(C15-'res_raw_26573645'!$E$14)&lt;=1,"✓ OK","❌ "&amp;TEXT(C15-'res_raw_26573645'!$E$14,"+#,##0;-#,##0")&amp;" t.kr."))</f>
        <v/>
      </c>
      <c r="D65" s="29">
        <f>IF('res_raw_26573645'!$D$14="","—",IF(ABS(D15-'res_raw_26573645'!$D$14)&lt;=1,"✓ OK","❌ "&amp;TEXT(D15-'res_raw_26573645'!$D$14,"+#,##0;-#,##0")&amp;"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290874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ifrs-full:GainsLossesOnExchangeDifferencesOnTranslationNetOfTax</t>
        </is>
      </c>
      <c r="C4" s="37" t="inlineStr">
        <is>
          <t>ifrs-full:GainsLossesOnExchangeDifferencesOnTranslationNetOfTax</t>
        </is>
      </c>
      <c r="D4" s="38" t="n">
        <v>-15200</v>
      </c>
      <c r="E4" s="38" t="n">
        <v>3700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ifrs-full:TradeAndOtherCurrentReceivablesDueFromRelatedParties</t>
        </is>
      </c>
      <c r="C5" s="34" t="inlineStr">
        <is>
          <t>ifrs-full:TradeAndOtherCurrentReceivablesDueFromRelatedParties</t>
        </is>
      </c>
      <c r="D5" s="35" t="n">
        <v>15400</v>
      </c>
      <c r="E5" s="35" t="n">
        <v>16400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2026-09-07T18:21:50Z</dcterms:created>
  <dcterms:modified xmlns:dcterms="http://purl.org/dc/terms/" xmlns:xsi="http://www.w3.org/2001/XMLSchema-instance" xsi:type="dcterms:W3CDTF">2026-09-07T18:21:50Z</dcterms:modified>
</cp:coreProperties>
</file>