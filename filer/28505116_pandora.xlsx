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'balance_raw'!$B$2</f>
        <v/>
      </c>
      <c r="C21" s="11">
        <f>'balance_raw'!$C$2</f>
        <v/>
      </c>
      <c r="D21" s="11">
        <f>'balance_raw'!$D$2</f>
        <v/>
      </c>
      <c r="E21" s="11">
        <f>'balance_raw'!$E$2</f>
        <v/>
      </c>
      <c r="F21" s="11">
        <f>'balance_raw'!$F$2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'balance_raw'!$B$3</f>
        <v/>
      </c>
      <c r="C22" s="5">
        <f>'balance_raw'!$C$3</f>
        <v/>
      </c>
      <c r="D22" s="5">
        <f>'balance_raw'!$D$3</f>
        <v/>
      </c>
      <c r="E22" s="5">
        <f>'balance_raw'!$E$3</f>
        <v/>
      </c>
      <c r="F22" s="5">
        <f>'balance_raw'!$F$3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'balance_raw'!$B$5</f>
        <v/>
      </c>
      <c r="C24" s="8">
        <f>'balance_raw'!$C$5</f>
        <v/>
      </c>
      <c r="D24" s="8">
        <f>'balance_raw'!$D$5</f>
        <v/>
      </c>
      <c r="E24" s="8">
        <f>'balance_raw'!$E$5</f>
        <v/>
      </c>
      <c r="F24" s="8">
        <f>'balance_raw'!$F$5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7" t="inlineStr">
        <is>
          <t>Materielle anlægsaktiver</t>
        </is>
      </c>
      <c r="B25" s="8">
        <f>'balance_raw'!$B$6</f>
        <v/>
      </c>
      <c r="C25" s="8">
        <f>'balance_raw'!$C$6</f>
        <v/>
      </c>
      <c r="D25" s="8">
        <f>'balance_raw'!$D$6</f>
        <v/>
      </c>
      <c r="E25" s="8">
        <f>'balance_raw'!$E$6</f>
        <v/>
      </c>
      <c r="F25" s="8">
        <f>'balance_raw'!$F$6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Kapitalandele, dattervirksomheder</t>
        </is>
      </c>
      <c r="B26" s="5">
        <f>'balance_raw'!$B$7</f>
        <v/>
      </c>
      <c r="C26" s="5">
        <f>'balance_raw'!$C$7</f>
        <v/>
      </c>
      <c r="D26" s="5">
        <f>'balance_raw'!$D$7</f>
        <v/>
      </c>
      <c r="E26" s="5">
        <f>'balance_raw'!$E$7</f>
        <v/>
      </c>
      <c r="F26" s="5">
        <f>'balance_raw'!$F$7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Deposita</t>
        </is>
      </c>
      <c r="B27" s="11">
        <f>'balance_raw'!$B$8</f>
        <v/>
      </c>
      <c r="C27" s="11">
        <f>'balance_raw'!$C$8</f>
        <v/>
      </c>
      <c r="D27" s="11">
        <f>'balance_raw'!$D$8</f>
        <v/>
      </c>
      <c r="E27" s="11">
        <f>'balance_raw'!$E$8</f>
        <v/>
      </c>
      <c r="F27" s="11">
        <f>'balance_raw'!$F$8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7" t="inlineStr">
        <is>
          <t>Finansielle anlægsaktiver</t>
        </is>
      </c>
      <c r="B28" s="8">
        <f>'balance_raw'!$B$9</f>
        <v/>
      </c>
      <c r="C28" s="8">
        <f>'balance_raw'!$C$9</f>
        <v/>
      </c>
      <c r="D28" s="8">
        <f>'balance_raw'!$D$9</f>
        <v/>
      </c>
      <c r="E28" s="8">
        <f>'balance_raw'!$E$9</f>
        <v/>
      </c>
      <c r="F28" s="8">
        <f>'balance_raw'!$F$9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7" t="inlineStr">
        <is>
          <t>Anlægsaktiver</t>
        </is>
      </c>
      <c r="B29" s="8">
        <f>'balance_raw'!$B$10</f>
        <v/>
      </c>
      <c r="C29" s="8">
        <f>'balance_raw'!$C$10</f>
        <v/>
      </c>
      <c r="D29" s="8">
        <f>'balance_raw'!$D$10</f>
        <v/>
      </c>
      <c r="E29" s="8">
        <f>'balance_raw'!$E$10</f>
        <v/>
      </c>
      <c r="F29" s="8">
        <f>'balance_raw'!$F$10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7" t="inlineStr">
        <is>
          <t>Varebeholdninger</t>
        </is>
      </c>
      <c r="B30" s="8">
        <f>'balance_raw'!$B$11</f>
        <v/>
      </c>
      <c r="C30" s="8">
        <f>'balance_raw'!$C$11</f>
        <v/>
      </c>
      <c r="D30" s="8">
        <f>'balance_raw'!$D$11</f>
        <v/>
      </c>
      <c r="E30" s="8">
        <f>'balance_raw'!$E$11</f>
        <v/>
      </c>
      <c r="F30" s="8">
        <f>'balance_raw'!$F$11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Tilgodehavender fra salg og tjenesteydelser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Tilgodehavender hos tilknyttede virksomheder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Andre tilgodehavender</t>
        </is>
      </c>
      <c r="B33" s="11">
        <f>'balance_raw'!$B$14</f>
        <v/>
      </c>
      <c r="C33" s="11">
        <f>'balance_raw'!$C$14</f>
        <v/>
      </c>
      <c r="D33" s="11">
        <f>'balance_raw'!$D$14</f>
        <v/>
      </c>
      <c r="E33" s="11">
        <f>'balance_raw'!$E$14</f>
        <v/>
      </c>
      <c r="F33" s="11">
        <f>'balance_raw'!$F$14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Periodeafgrænsningsposter (aktiver)</t>
        </is>
      </c>
      <c r="B34" s="5">
        <f>'balance_raw'!$B$15</f>
        <v/>
      </c>
      <c r="C34" s="5">
        <f>'balance_raw'!$C$15</f>
        <v/>
      </c>
      <c r="D34" s="5">
        <f>'balance_raw'!$D$15</f>
        <v/>
      </c>
      <c r="E34" s="5">
        <f>'balance_raw'!$E$15</f>
        <v/>
      </c>
      <c r="F34" s="5">
        <f>'balance_raw'!$F$15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Udskudt skatteaktiv</t>
        </is>
      </c>
      <c r="B35" s="11">
        <f>'balance_raw'!$B$16</f>
        <v/>
      </c>
      <c r="C35" s="11">
        <f>'balance_raw'!$C$16</f>
        <v/>
      </c>
      <c r="D35" s="11">
        <f>'balance_raw'!$D$16</f>
        <v/>
      </c>
      <c r="E35" s="11">
        <f>'balance_raw'!$E$16</f>
        <v/>
      </c>
      <c r="F35" s="11">
        <f>'balance_raw'!$F$16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Tilgodehavende skat hos tilknyttede virksomheder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Kortfristede skattetilgodehavender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Tilgodehavender</t>
        </is>
      </c>
      <c r="B38" s="8">
        <f>'balance_raw'!$B$19</f>
        <v/>
      </c>
      <c r="C38" s="8">
        <f>'balance_raw'!$C$19</f>
        <v/>
      </c>
      <c r="D38" s="8">
        <f>'balance_raw'!$D$19</f>
        <v/>
      </c>
      <c r="E38" s="8">
        <f>'balance_raw'!$E$19</f>
        <v/>
      </c>
      <c r="F38" s="8">
        <f>'balance_raw'!$F$19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Værdipapirer</t>
        </is>
      </c>
      <c r="B39" s="11">
        <f>'balance_raw'!$B$20</f>
        <v/>
      </c>
      <c r="C39" s="11">
        <f>'balance_raw'!$C$20</f>
        <v/>
      </c>
      <c r="D39" s="11">
        <f>'balance_raw'!$D$20</f>
        <v/>
      </c>
      <c r="E39" s="11">
        <f>'balance_raw'!$E$20</f>
        <v/>
      </c>
      <c r="F39" s="11">
        <f>'balance_raw'!$F$20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Likvide beholdninger</t>
        </is>
      </c>
      <c r="B40" s="5">
        <f>'balance_raw'!$B$21</f>
        <v/>
      </c>
      <c r="C40" s="5">
        <f>'balance_raw'!$C$21</f>
        <v/>
      </c>
      <c r="D40" s="5">
        <f>'balance_raw'!$D$21</f>
        <v/>
      </c>
      <c r="E40" s="5">
        <f>'balance_raw'!$E$21</f>
        <v/>
      </c>
      <c r="F40" s="5">
        <f>'balance_raw'!$F$21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Omsætningsaktiver</t>
        </is>
      </c>
      <c r="B41" s="8">
        <f>'balance_raw'!$B$22</f>
        <v/>
      </c>
      <c r="C41" s="8">
        <f>'balance_raw'!$C$22</f>
        <v/>
      </c>
      <c r="D41" s="8">
        <f>'balance_raw'!$D$22</f>
        <v/>
      </c>
      <c r="E41" s="8">
        <f>'balance_raw'!$E$22</f>
        <v/>
      </c>
      <c r="F41" s="8">
        <f>'balance_raw'!$F$22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7" t="inlineStr">
        <is>
          <t>Aktiver</t>
        </is>
      </c>
      <c r="B42" s="8">
        <f>'balance_raw'!$B$23</f>
        <v/>
      </c>
      <c r="C42" s="8">
        <f>'balance_raw'!$C$23</f>
        <v/>
      </c>
      <c r="D42" s="8">
        <f>'balance_raw'!$D$23</f>
        <v/>
      </c>
      <c r="E42" s="8">
        <f>'balance_raw'!$E$23</f>
        <v/>
      </c>
      <c r="F42" s="8">
        <f>'balance_raw'!$F$23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4" ht="22" customHeight="1">
      <c r="A44" s="3" t="inlineStr">
        <is>
          <t>PASSIVER t.kr.</t>
        </is>
      </c>
      <c r="B44" s="3" t="n">
        <v>2021</v>
      </c>
      <c r="C44" s="3" t="n">
        <v>2022</v>
      </c>
      <c r="D44" s="3" t="n">
        <v>2023</v>
      </c>
      <c r="E44" s="3" t="n">
        <v>2024</v>
      </c>
      <c r="F44" s="3" t="n">
        <v>2025</v>
      </c>
      <c r="G44" t="inlineStr"/>
      <c r="H44" s="3" t="n">
        <v>2021</v>
      </c>
      <c r="I44" s="3" t="n">
        <v>2022</v>
      </c>
      <c r="J44" s="3" t="n">
        <v>2023</v>
      </c>
      <c r="K44" s="3" t="n">
        <v>2024</v>
      </c>
      <c r="L44" s="3" t="n">
        <v>2025</v>
      </c>
    </row>
    <row r="45" ht="16" customHeight="1">
      <c r="A45" s="10" t="inlineStr">
        <is>
          <t>Selskabskapital</t>
        </is>
      </c>
      <c r="B45" s="11">
        <f>'balance_raw'!$B$24</f>
        <v/>
      </c>
      <c r="C45" s="11">
        <f>'balance_raw'!$C$24</f>
        <v/>
      </c>
      <c r="D45" s="11">
        <f>'balance_raw'!$D$24</f>
        <v/>
      </c>
      <c r="E45" s="11">
        <f>'balance_raw'!$E$24</f>
        <v/>
      </c>
      <c r="F45" s="11">
        <f>'balance_raw'!$F$24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Reserve for nettoopskrivning (indre værdis metode)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Reserve for udviklingsomkostninger</t>
        </is>
      </c>
      <c r="B47" s="11">
        <f>'balance_raw'!$B$26</f>
        <v/>
      </c>
      <c r="C47" s="11">
        <f>'balance_raw'!$C$26</f>
        <v/>
      </c>
      <c r="D47" s="11">
        <f>'balance_raw'!$D$26</f>
        <v/>
      </c>
      <c r="E47" s="11">
        <f>'balance_raw'!$E$26</f>
        <v/>
      </c>
      <c r="F47" s="11">
        <f>'balance_raw'!$F$26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sikringstransaktioner</t>
        </is>
      </c>
      <c r="B48" s="5">
        <f>'balance_raw'!$B$27</f>
        <v/>
      </c>
      <c r="C48" s="5">
        <f>'balance_raw'!$C$27</f>
        <v/>
      </c>
      <c r="D48" s="5">
        <f>'balance_raw'!$D$27</f>
        <v/>
      </c>
      <c r="E48" s="5">
        <f>'balance_raw'!$E$27</f>
        <v/>
      </c>
      <c r="F48" s="5">
        <f>'balance_raw'!$F$27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Andre reserver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Overført resultat</t>
        </is>
      </c>
      <c r="B50" s="5">
        <f>'balance_raw'!$B$29</f>
        <v/>
      </c>
      <c r="C50" s="5">
        <f>'balance_raw'!$C$29</f>
        <v/>
      </c>
      <c r="D50" s="5">
        <f>'balance_raw'!$D$29</f>
        <v/>
      </c>
      <c r="E50" s="5">
        <f>'balance_raw'!$E$29</f>
        <v/>
      </c>
      <c r="F50" s="5">
        <f>'balance_raw'!$F$29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Egenkapital i alt</t>
        </is>
      </c>
      <c r="B51" s="8">
        <f>'balance_raw'!$B$30</f>
        <v/>
      </c>
      <c r="C51" s="8">
        <f>'balance_raw'!$C$30</f>
        <v/>
      </c>
      <c r="D51" s="8">
        <f>'balance_raw'!$D$30</f>
        <v/>
      </c>
      <c r="E51" s="8">
        <f>'balance_raw'!$E$30</f>
        <v/>
      </c>
      <c r="F51" s="8">
        <f>'balance_raw'!$F$30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Hensættelse til udskudt skat</t>
        </is>
      </c>
      <c r="B52" s="5">
        <f>'balance_raw'!$B$31</f>
        <v/>
      </c>
      <c r="C52" s="5">
        <f>'balance_raw'!$C$31</f>
        <v/>
      </c>
      <c r="D52" s="5">
        <f>'balance_raw'!$D$31</f>
        <v/>
      </c>
      <c r="E52" s="5">
        <f>'balance_raw'!$E$31</f>
        <v/>
      </c>
      <c r="F52" s="5">
        <f>'balance_raw'!$F$31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Hensatte forpligtelser</t>
        </is>
      </c>
      <c r="B53" s="8">
        <f>'balance_raw'!$B$32</f>
        <v/>
      </c>
      <c r="C53" s="8">
        <f>'balance_raw'!$C$32</f>
        <v/>
      </c>
      <c r="D53" s="8">
        <f>'balance_raw'!$D$32</f>
        <v/>
      </c>
      <c r="E53" s="8">
        <f>'balance_raw'!$E$32</f>
        <v/>
      </c>
      <c r="F53" s="8">
        <f>'balance_raw'!$F$32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Ansvarlig lånekapital (langfristet)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Langfristede lån</t>
        </is>
      </c>
      <c r="B55" s="11">
        <f>'balance_raw'!$B$34</f>
        <v/>
      </c>
      <c r="C55" s="11">
        <f>'balance_raw'!$C$34</f>
        <v/>
      </c>
      <c r="D55" s="11">
        <f>'balance_raw'!$D$34</f>
        <v/>
      </c>
      <c r="E55" s="11">
        <f>'balance_raw'!$E$34</f>
        <v/>
      </c>
      <c r="F55" s="11">
        <f>'balance_raw'!$F$34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Leasingforpligtelser (langfristet)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Anden gæld (langfristet)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Langfristede gældsforpligtelser</t>
        </is>
      </c>
      <c r="B58" s="8">
        <f>'balance_raw'!$B$37</f>
        <v/>
      </c>
      <c r="C58" s="8">
        <f>'balance_raw'!$C$37</f>
        <v/>
      </c>
      <c r="D58" s="8">
        <f>'balance_raw'!$D$37</f>
        <v/>
      </c>
      <c r="E58" s="8">
        <f>'balance_raw'!$E$37</f>
        <v/>
      </c>
      <c r="F58" s="8">
        <f>'balance_raw'!$F$37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(kortfristet)</t>
        </is>
      </c>
      <c r="B59" s="11">
        <f>'balance_raw'!$B$38</f>
        <v/>
      </c>
      <c r="C59" s="11">
        <f>'balance_raw'!$C$38</f>
        <v/>
      </c>
      <c r="D59" s="11">
        <f>'balance_raw'!$D$38</f>
        <v/>
      </c>
      <c r="E59" s="11">
        <f>'balance_raw'!$E$38</f>
        <v/>
      </c>
      <c r="F59" s="11">
        <f>'balance_raw'!$F$38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Kortfristet del af langfristede gældsforpligtelser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Kreditinstitutter</t>
        </is>
      </c>
      <c r="B61" s="11">
        <f>'balance_raw'!$B$40</f>
        <v/>
      </c>
      <c r="C61" s="11">
        <f>'balance_raw'!$C$40</f>
        <v/>
      </c>
      <c r="D61" s="11">
        <f>'balance_raw'!$D$40</f>
        <v/>
      </c>
      <c r="E61" s="11">
        <f>'balance_raw'!$E$40</f>
        <v/>
      </c>
      <c r="F61" s="11">
        <f>'balance_raw'!$F$40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Leasingforpligtelser (kortfristet)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Leverandører af varer og tjenesteydelser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Gæld til tilknyttede virksomheder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Gæld til selskabsdeltagere og ledelse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Selskabsskat</t>
        </is>
      </c>
      <c r="B66" s="5">
        <f>'balance_raw'!$B$45</f>
        <v/>
      </c>
      <c r="C66" s="5">
        <f>'balance_raw'!$C$45</f>
        <v/>
      </c>
      <c r="D66" s="5">
        <f>'balance_raw'!$D$45</f>
        <v/>
      </c>
      <c r="E66" s="5">
        <f>'balance_raw'!$E$45</f>
        <v/>
      </c>
      <c r="F66" s="5">
        <f>'balance_raw'!$F$45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tilknyttede virksomheder vedr. selskabsskat</t>
        </is>
      </c>
      <c r="B67" s="11">
        <f>'balance_raw'!$B$46</f>
        <v/>
      </c>
      <c r="C67" s="11">
        <f>'balance_raw'!$C$46</f>
        <v/>
      </c>
      <c r="D67" s="11">
        <f>'balance_raw'!$D$46</f>
        <v/>
      </c>
      <c r="E67" s="11">
        <f>'balance_raw'!$E$46</f>
        <v/>
      </c>
      <c r="F67" s="11">
        <f>'balance_raw'!$F$46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Anden gæld (kortfristet)</t>
        </is>
      </c>
      <c r="B68" s="5">
        <f>'balance_raw'!$B$47</f>
        <v/>
      </c>
      <c r="C68" s="5">
        <f>'balance_raw'!$C$47</f>
        <v/>
      </c>
      <c r="D68" s="5">
        <f>'balance_raw'!$D$47</f>
        <v/>
      </c>
      <c r="E68" s="5">
        <f>'balance_raw'!$E$47</f>
        <v/>
      </c>
      <c r="F68" s="5">
        <f>'balance_raw'!$F$47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Periodeafgrænsningsposter (passiver)</t>
        </is>
      </c>
      <c r="B69" s="11">
        <f>'balance_raw'!$B$48</f>
        <v/>
      </c>
      <c r="C69" s="11">
        <f>'balance_raw'!$C$48</f>
        <v/>
      </c>
      <c r="D69" s="11">
        <f>'balance_raw'!$D$48</f>
        <v/>
      </c>
      <c r="E69" s="11">
        <f>'balance_raw'!$E$48</f>
        <v/>
      </c>
      <c r="F69" s="11">
        <f>'balance_raw'!$F$48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7" t="inlineStr">
        <is>
          <t>Kortfristede gældsforpligtelser</t>
        </is>
      </c>
      <c r="B70" s="8">
        <f>'balance_raw'!$B$49</f>
        <v/>
      </c>
      <c r="C70" s="8">
        <f>'balance_raw'!$C$49</f>
        <v/>
      </c>
      <c r="D70" s="8">
        <f>'balance_raw'!$D$49</f>
        <v/>
      </c>
      <c r="E70" s="8">
        <f>'balance_raw'!$E$49</f>
        <v/>
      </c>
      <c r="F70" s="8">
        <f>'balance_raw'!$F$49</f>
        <v/>
      </c>
      <c r="G70" t="inlineStr"/>
      <c r="H70" s="9">
        <f>IFERROR(B70/$B$70*100,"")</f>
        <v/>
      </c>
      <c r="I70" s="9">
        <f>IFERROR(C70/$B$70*100,"")</f>
        <v/>
      </c>
      <c r="J70" s="9">
        <f>IFERROR(D70/$B$70*100,"")</f>
        <v/>
      </c>
      <c r="K70" s="9">
        <f>IFERROR(E70/$B$70*100,"")</f>
        <v/>
      </c>
      <c r="L70" s="9">
        <f>IFERROR(F70/$B$70*100,"")</f>
        <v/>
      </c>
    </row>
    <row r="71" ht="16" customHeight="1">
      <c r="A71" s="7" t="inlineStr">
        <is>
          <t>Gældsforpligtelser</t>
        </is>
      </c>
      <c r="B71" s="8">
        <f>'balance_raw'!$B$50</f>
        <v/>
      </c>
      <c r="C71" s="8">
        <f>'balance_raw'!$C$50</f>
        <v/>
      </c>
      <c r="D71" s="8">
        <f>'balance_raw'!$D$50</f>
        <v/>
      </c>
      <c r="E71" s="8">
        <f>'balance_raw'!$E$50</f>
        <v/>
      </c>
      <c r="F71" s="8">
        <f>'balance_raw'!$F$50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7" t="inlineStr">
        <is>
          <t>Passiver</t>
        </is>
      </c>
      <c r="B72" s="8">
        <f>'balance_raw'!$B$51</f>
        <v/>
      </c>
      <c r="C72" s="8">
        <f>'balance_raw'!$C$51</f>
        <v/>
      </c>
      <c r="D72" s="8">
        <f>'balance_raw'!$D$51</f>
        <v/>
      </c>
      <c r="E72" s="8">
        <f>'balance_raw'!$E$51</f>
        <v/>
      </c>
      <c r="F72" s="8">
        <f>'balance_raw'!$F$51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4" ht="22" customHeight="1">
      <c r="A74" s="3" t="inlineStr">
        <is>
          <t>NØGLEOPLYSNINGER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10" t="inlineStr">
        <is>
          <t>Gns. antal medarbejdere</t>
        </is>
      </c>
      <c r="B75" s="11">
        <f>'res_raw'!$B$17</f>
        <v/>
      </c>
      <c r="C75" s="11">
        <f>'res_raw'!$C$17</f>
        <v/>
      </c>
      <c r="D75" s="11">
        <f>'res_raw'!$D$17</f>
        <v/>
      </c>
      <c r="E75" s="11">
        <f>'res_raw'!$E$17</f>
        <v/>
      </c>
      <c r="F75" s="11">
        <f>'res_raw'!$F$17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Investering i materielle anlægsaktiver</t>
        </is>
      </c>
      <c r="B76" s="5">
        <f>'res_raw'!$B$18</f>
        <v/>
      </c>
      <c r="C76" s="5">
        <f>'res_raw'!$C$18</f>
        <v/>
      </c>
      <c r="D76" s="5">
        <f>'res_raw'!$D$18</f>
        <v/>
      </c>
      <c r="E76" s="5">
        <f>'res_raw'!$E$18</f>
        <v/>
      </c>
      <c r="F76" s="5">
        <f>'res_raw'!$F$18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8" ht="22" customHeight="1">
      <c r="A78" s="3" t="inlineStr">
        <is>
          <t>NØGLETAL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10" t="inlineStr">
        <is>
          <t>Afkastningsgrad, %</t>
        </is>
      </c>
      <c r="B79" s="13">
        <f>IFERROR(($B$11+$B$13+$B$12)/$B$42*100,"")</f>
        <v/>
      </c>
      <c r="C79" s="13">
        <f>IFERROR(($C$11+$C$13+$C$12)/$C$42*100,"")</f>
        <v/>
      </c>
      <c r="D79" s="13">
        <f>IFERROR(($D$11+$D$13+$D$12)/$D$42*100,"")</f>
        <v/>
      </c>
      <c r="E79" s="13">
        <f>IFERROR(($E$11+$E$13+$E$12)/$E$42*100,"")</f>
        <v/>
      </c>
      <c r="F79" s="13">
        <f>IFERROR(($F$11+$F$13+$F$12)/$F$42*100,"")</f>
        <v/>
      </c>
    </row>
    <row r="80" ht="16" customHeight="1">
      <c r="A80" s="4" t="inlineStr">
        <is>
          <t>Overskudsgrad, %</t>
        </is>
      </c>
      <c r="B80" s="14">
        <f>IFERROR(($B$11+$B$13+$B$12)/$B$4*100,"")</f>
        <v/>
      </c>
      <c r="C80" s="14">
        <f>IFERROR(($C$11+$C$13+$C$12)/$C$4*100,"")</f>
        <v/>
      </c>
      <c r="D80" s="14">
        <f>IFERROR(($D$11+$D$13+$D$12)/$D$4*100,"")</f>
        <v/>
      </c>
      <c r="E80" s="14">
        <f>IFERROR(($E$11+$E$13+$E$12)/$E$4*100,"")</f>
        <v/>
      </c>
      <c r="F80" s="14">
        <f>IFERROR(($F$11+$F$13+$F$12)/$F$4*100,"")</f>
        <v/>
      </c>
    </row>
    <row r="81" ht="16" customHeight="1">
      <c r="A81" s="10" t="inlineStr">
        <is>
          <t>Aktivernes omsætningshastighed, gange</t>
        </is>
      </c>
      <c r="B81" s="13">
        <f>IFERROR($B$4/$B$42,"")</f>
        <v/>
      </c>
      <c r="C81" s="13">
        <f>IFERROR($C$4/$C$42,"")</f>
        <v/>
      </c>
      <c r="D81" s="13">
        <f>IFERROR($D$4/$D$42,"")</f>
        <v/>
      </c>
      <c r="E81" s="13">
        <f>IFERROR($E$4/$E$42,"")</f>
        <v/>
      </c>
      <c r="F81" s="13">
        <f>IFERROR($F$4/$F$42,"")</f>
        <v/>
      </c>
    </row>
    <row r="82" ht="16" customHeight="1">
      <c r="A82" s="4" t="inlineStr">
        <is>
          <t>Egenkapitalens forrentning, %</t>
        </is>
      </c>
      <c r="B82" s="14">
        <f>IFERROR($B$16/$B$51*100,"")</f>
        <v/>
      </c>
      <c r="C82" s="14">
        <f>IFERROR($C$16/$C$51*100,"")</f>
        <v/>
      </c>
      <c r="D82" s="14">
        <f>IFERROR($D$16/$D$51*100,"")</f>
        <v/>
      </c>
      <c r="E82" s="14">
        <f>IFERROR($E$16/$E$51*100,"")</f>
        <v/>
      </c>
      <c r="F82" s="14">
        <f>IFERROR($F$16/$F$51*100,"")</f>
        <v/>
      </c>
    </row>
    <row r="83" ht="16" customHeight="1">
      <c r="A83" s="10" t="inlineStr">
        <is>
          <t>Gældsrente, %</t>
        </is>
      </c>
      <c r="B83" s="13">
        <f>IFERROR($B$14/($B$72-$B$51)*100,"")</f>
        <v/>
      </c>
      <c r="C83" s="13">
        <f>IFERROR($C$14/($C$72-$C$51)*100,"")</f>
        <v/>
      </c>
      <c r="D83" s="13">
        <f>IFERROR($D$14/($D$72-$D$51)*100,"")</f>
        <v/>
      </c>
      <c r="E83" s="13">
        <f>IFERROR($E$14/($E$72-$E$51)*100,"")</f>
        <v/>
      </c>
      <c r="F83" s="13">
        <f>IFERROR($F$14/($F$72-$F$51)*100,"")</f>
        <v/>
      </c>
    </row>
    <row r="84" ht="16" customHeight="1">
      <c r="A84" s="4" t="inlineStr">
        <is>
          <t>Soliditetsgrad, %</t>
        </is>
      </c>
      <c r="B84" s="14">
        <f>IFERROR($B$51/$B$42*100,"")</f>
        <v/>
      </c>
      <c r="C84" s="14">
        <f>IFERROR($C$51/$C$42*100,"")</f>
        <v/>
      </c>
      <c r="D84" s="14">
        <f>IFERROR($D$51/$D$42*100,"")</f>
        <v/>
      </c>
      <c r="E84" s="14">
        <f>IFERROR($E$51/$E$42*100,"")</f>
        <v/>
      </c>
      <c r="F84" s="14">
        <f>IFERROR($F$51/$F$42*100,"")</f>
        <v/>
      </c>
    </row>
    <row r="85" ht="16" customHeight="1">
      <c r="A85" s="10" t="inlineStr">
        <is>
          <t>Gearing</t>
        </is>
      </c>
      <c r="B85" s="13">
        <f>IFERROR(($B$72-$B$51)/$B$51,"")</f>
        <v/>
      </c>
      <c r="C85" s="13">
        <f>IFERROR(($C$72-$C$51)/$C$51,"")</f>
        <v/>
      </c>
      <c r="D85" s="13">
        <f>IFERROR(($D$72-$D$51)/$D$51,"")</f>
        <v/>
      </c>
      <c r="E85" s="13">
        <f>IFERROR(($E$72-$E$51)/$E$51,"")</f>
        <v/>
      </c>
      <c r="F85" s="13">
        <f>IFERROR(($F$72-$F$51)/$F$51,"")</f>
        <v/>
      </c>
    </row>
    <row r="86" ht="16" customHeight="1">
      <c r="A86" s="4" t="inlineStr">
        <is>
          <t>Likviditetsgrad, %</t>
        </is>
      </c>
      <c r="B86" s="14">
        <f>IFERROR($B$41/$B$70*100,"")</f>
        <v/>
      </c>
      <c r="C86" s="14">
        <f>IFERROR($C$41/$C$70*100,"")</f>
        <v/>
      </c>
      <c r="D86" s="14">
        <f>IFERROR($D$41/$D$70*100,"")</f>
        <v/>
      </c>
      <c r="E86" s="14">
        <f>IFERROR($E$41/$E$70*100,"")</f>
        <v/>
      </c>
      <c r="F86" s="14">
        <f>IFERROR($F$41/$F$70*100,"")</f>
        <v/>
      </c>
    </row>
    <row r="87" ht="16" customHeight="1">
      <c r="A87" s="10" t="inlineStr">
        <is>
          <t>Rentemarginal, %</t>
        </is>
      </c>
      <c r="B87" s="13">
        <f>IFERROR(B79-B83,"")</f>
        <v/>
      </c>
      <c r="C87" s="13">
        <f>IFERROR(C79-C83,"")</f>
        <v/>
      </c>
      <c r="D87" s="13">
        <f>IFERROR(D79-D83,"")</f>
        <v/>
      </c>
      <c r="E87" s="13">
        <f>IFERROR(E79-E83,"")</f>
        <v/>
      </c>
      <c r="F87" s="13">
        <f>IFERROR(F79-F83,"")</f>
        <v/>
      </c>
    </row>
    <row r="88" ht="16" customHeight="1">
      <c r="A88" s="4" t="inlineStr">
        <is>
          <t>Gældsandel, %</t>
        </is>
      </c>
      <c r="B88" s="14">
        <f>IFERROR(($B$72-$B$51)/$B$42*100,"")</f>
        <v/>
      </c>
      <c r="C88" s="14">
        <f>IFERROR(($C$72-$C$51)/$C$42*100,"")</f>
        <v/>
      </c>
      <c r="D88" s="14">
        <f>IFERROR(($D$72-$D$51)/$D$42*100,"")</f>
        <v/>
      </c>
      <c r="E88" s="14">
        <f>IFERROR(($E$72-$E$51)/$E$42*100,"")</f>
        <v/>
      </c>
      <c r="F88" s="14">
        <f>IFERROR(($F$72-$F$51)/$F$42*100,"")</f>
        <v/>
      </c>
    </row>
    <row r="89" ht="16" customHeight="1">
      <c r="A89" s="10" t="inlineStr">
        <is>
          <t>Kapitalbindingsgrad, %</t>
        </is>
      </c>
      <c r="B89" s="13">
        <f>IFERROR($B$29/($B$51+$B$58)*100,"")</f>
        <v/>
      </c>
      <c r="C89" s="13">
        <f>IFERROR($C$29/($C$51+$C$58)*100,"")</f>
        <v/>
      </c>
      <c r="D89" s="13">
        <f>IFERROR($D$29/($D$51+$D$58)*100,"")</f>
        <v/>
      </c>
      <c r="E89" s="13">
        <f>IFERROR($E$29/($E$51+$E$58)*100,"")</f>
        <v/>
      </c>
      <c r="F89" s="13">
        <f>IFERROR($F$29/($F$51+$F$58)*100,"")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23394000</v>
      </c>
      <c r="C2" s="16" t="n">
        <v>26463000</v>
      </c>
      <c r="D2" s="16" t="n">
        <v>28136000</v>
      </c>
      <c r="E2" s="16" t="n">
        <v>31680000</v>
      </c>
      <c r="F2" s="16" t="n">
        <v>32549000</v>
      </c>
    </row>
    <row r="3">
      <c r="A3" s="15" t="inlineStr">
        <is>
          <t>Produktionsomkostninger</t>
        </is>
      </c>
      <c r="B3" s="16" t="n">
        <v>5590000</v>
      </c>
      <c r="C3" s="16" t="n">
        <v>6273000</v>
      </c>
      <c r="D3" s="16" t="n">
        <v>6012000</v>
      </c>
      <c r="E3" s="16" t="n">
        <v>6391000</v>
      </c>
      <c r="F3" s="16" t="n">
        <v>6802000</v>
      </c>
    </row>
    <row r="4">
      <c r="A4" s="17" t="inlineStr">
        <is>
          <t>Bruttoresultat</t>
        </is>
      </c>
      <c r="B4" s="16" t="n">
        <v>17803000</v>
      </c>
      <c r="C4" s="16" t="n">
        <v>20190000</v>
      </c>
      <c r="D4" s="16" t="n">
        <v>22125000</v>
      </c>
      <c r="E4" s="16" t="n">
        <v>25289000</v>
      </c>
      <c r="F4" s="16" t="n">
        <v>25747000</v>
      </c>
    </row>
    <row r="5">
      <c r="A5" s="15" t="inlineStr">
        <is>
          <t>Salgs- og distributionsomkostninger</t>
        </is>
      </c>
      <c r="B5" s="16" t="n"/>
      <c r="C5" s="16" t="n"/>
      <c r="D5" s="16" t="n"/>
      <c r="E5" s="16" t="n"/>
      <c r="F5" s="16" t="n"/>
    </row>
    <row r="6">
      <c r="A6" s="15" t="inlineStr">
        <is>
          <t>Administrationsomkostninger</t>
        </is>
      </c>
      <c r="B6" s="16" t="n">
        <v>2026000</v>
      </c>
      <c r="C6" s="16" t="n">
        <v>2125000</v>
      </c>
      <c r="D6" s="16" t="n">
        <v>2379000</v>
      </c>
      <c r="E6" s="16" t="n">
        <v>2471000</v>
      </c>
      <c r="F6" s="16" t="n">
        <v>2495000</v>
      </c>
    </row>
    <row r="7">
      <c r="A7" s="15" t="inlineStr">
        <is>
          <t>Andre driftsindtægter</t>
        </is>
      </c>
      <c r="B7" s="16" t="n"/>
      <c r="C7" s="16" t="n"/>
      <c r="D7" s="16" t="n"/>
      <c r="E7" s="16" t="n"/>
      <c r="F7" s="16" t="n"/>
    </row>
    <row r="8">
      <c r="A8" s="15" t="inlineStr">
        <is>
          <t>Andre driftsomkostninger</t>
        </is>
      </c>
      <c r="B8" s="16" t="n"/>
      <c r="C8" s="16" t="n"/>
      <c r="D8" s="16" t="n"/>
      <c r="E8" s="16" t="n"/>
      <c r="F8" s="16" t="n"/>
    </row>
    <row r="9">
      <c r="A9" s="17" t="inlineStr">
        <is>
          <t>Resultat af primær drift</t>
        </is>
      </c>
      <c r="B9" s="16" t="n">
        <v>5839000</v>
      </c>
      <c r="C9" s="16" t="n">
        <v>6743000</v>
      </c>
      <c r="D9" s="16" t="n">
        <v>7039000</v>
      </c>
      <c r="E9" s="16" t="n">
        <v>7974000</v>
      </c>
      <c r="F9" s="16" t="n">
        <v>7783000</v>
      </c>
    </row>
    <row r="10">
      <c r="A10" s="15" t="inlineStr">
        <is>
          <t>Indtægter af kapitalandele, dattervirksomheder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Finansielle indtægter</t>
        </is>
      </c>
      <c r="B11" s="16" t="n">
        <v>152000</v>
      </c>
      <c r="C11" s="16" t="n">
        <v>412000</v>
      </c>
      <c r="D11" s="16" t="n">
        <v>251000</v>
      </c>
      <c r="E11" s="16" t="n">
        <v>248000</v>
      </c>
      <c r="F11" s="16" t="n">
        <v>279000</v>
      </c>
    </row>
    <row r="12">
      <c r="A12" s="15" t="inlineStr">
        <is>
          <t>Finansielle omkostninger</t>
        </is>
      </c>
      <c r="B12" s="16" t="n">
        <v>613000</v>
      </c>
      <c r="C12" s="16" t="n">
        <v>622000</v>
      </c>
      <c r="D12" s="16" t="n">
        <v>1056000</v>
      </c>
      <c r="E12" s="16" t="n">
        <v>1297000</v>
      </c>
      <c r="F12" s="16" t="n">
        <v>1149000</v>
      </c>
    </row>
    <row r="13">
      <c r="A13" s="17" t="inlineStr">
        <is>
          <t>Finansielle poster, netto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5378000</v>
      </c>
      <c r="C14" s="16" t="n">
        <v>6533000</v>
      </c>
      <c r="D14" s="16" t="n">
        <v>6234000</v>
      </c>
      <c r="E14" s="16" t="n">
        <v>6926000</v>
      </c>
      <c r="F14" s="16" t="n">
        <v>6913000</v>
      </c>
    </row>
    <row r="15">
      <c r="A15" s="15" t="inlineStr">
        <is>
          <t>Skat af årets resultat</t>
        </is>
      </c>
      <c r="B15" s="16" t="n">
        <v>1218000</v>
      </c>
      <c r="C15" s="16" t="n">
        <v>1504000</v>
      </c>
      <c r="D15" s="16" t="n">
        <v>1494000</v>
      </c>
      <c r="E15" s="16" t="n">
        <v>1699000</v>
      </c>
      <c r="F15" s="16" t="n">
        <v>1671000</v>
      </c>
    </row>
    <row r="16">
      <c r="A16" s="17" t="inlineStr">
        <is>
          <t>Årets resultat</t>
        </is>
      </c>
      <c r="B16" s="16" t="n">
        <v>4160000</v>
      </c>
      <c r="C16" s="16" t="n">
        <v>5029000</v>
      </c>
      <c r="D16" s="16" t="n">
        <v>4740000</v>
      </c>
      <c r="E16" s="16" t="n">
        <v>5227000</v>
      </c>
      <c r="F16" s="16" t="n">
        <v>5241000</v>
      </c>
    </row>
    <row r="17">
      <c r="A17" s="15" t="inlineStr">
        <is>
          <t>Gns. antal medarbejdere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Investering i materielle anlægsaktiver</t>
        </is>
      </c>
      <c r="B18" s="16" t="n">
        <v>296000</v>
      </c>
      <c r="C18" s="16" t="n">
        <v>838000</v>
      </c>
      <c r="D18" s="16" t="n">
        <v>1129000</v>
      </c>
      <c r="E18" s="16" t="n">
        <v>1336000</v>
      </c>
      <c r="F18" s="16" t="n">
        <v>1449000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538000</v>
      </c>
      <c r="C2" s="16" t="n">
        <v>642000</v>
      </c>
      <c r="D2" s="16" t="n">
        <v>790000</v>
      </c>
      <c r="E2" s="16" t="n">
        <v>1015000</v>
      </c>
      <c r="F2" s="16" t="n">
        <v>1252000</v>
      </c>
    </row>
    <row r="3">
      <c r="A3" s="15" t="inlineStr">
        <is>
          <t>Patenter, varemærker mv.</t>
        </is>
      </c>
      <c r="B3" s="16" t="n">
        <v>1057000</v>
      </c>
      <c r="C3" s="16" t="n">
        <v>1057000</v>
      </c>
      <c r="D3" s="16" t="n">
        <v>1057000</v>
      </c>
      <c r="E3" s="16" t="n">
        <v>1057000</v>
      </c>
      <c r="F3" s="16" t="n">
        <v>1057000</v>
      </c>
    </row>
    <row r="4">
      <c r="A4" s="15" t="inlineStr">
        <is>
          <t>Goodwill</t>
        </is>
      </c>
      <c r="B4" s="16" t="n">
        <v>4418000</v>
      </c>
      <c r="C4" s="16" t="n">
        <v>4822000</v>
      </c>
      <c r="D4" s="16" t="n">
        <v>4914000</v>
      </c>
      <c r="E4" s="16" t="n">
        <v>5126000</v>
      </c>
      <c r="F4" s="16" t="n">
        <v>5020000</v>
      </c>
    </row>
    <row r="5">
      <c r="A5" s="17" t="inlineStr">
        <is>
          <t>Immaterielle anlægsaktiver</t>
        </is>
      </c>
      <c r="B5" s="16" t="n">
        <v>7094000</v>
      </c>
      <c r="C5" s="16" t="n">
        <v>7568000</v>
      </c>
      <c r="D5" s="16" t="n">
        <v>7801000</v>
      </c>
      <c r="E5" s="16" t="n">
        <v>8232000</v>
      </c>
      <c r="F5" s="16" t="n">
        <v>8364000</v>
      </c>
    </row>
    <row r="6">
      <c r="A6" s="17" t="inlineStr">
        <is>
          <t>Materielle anlægsaktiver</t>
        </is>
      </c>
      <c r="B6" s="16" t="n">
        <v>1816000</v>
      </c>
      <c r="C6" s="16" t="n">
        <v>2226000</v>
      </c>
      <c r="D6" s="16" t="n">
        <v>2746000</v>
      </c>
      <c r="E6" s="16" t="n">
        <v>3475000</v>
      </c>
      <c r="F6" s="16" t="n">
        <v>3817000</v>
      </c>
    </row>
    <row r="7">
      <c r="A7" s="15" t="inlineStr">
        <is>
          <t>Kapitalandele, dattervirksomheder</t>
        </is>
      </c>
      <c r="B7" s="16" t="n"/>
      <c r="C7" s="16" t="n"/>
      <c r="D7" s="16" t="n"/>
      <c r="E7" s="16" t="n"/>
      <c r="F7" s="16" t="n"/>
    </row>
    <row r="8">
      <c r="A8" s="15" t="inlineStr">
        <is>
          <t>Deposita</t>
        </is>
      </c>
      <c r="B8" s="16" t="n">
        <v>222000</v>
      </c>
      <c r="C8" s="16" t="n">
        <v>249000</v>
      </c>
      <c r="D8" s="16" t="n">
        <v>215000</v>
      </c>
      <c r="E8" s="16" t="n">
        <v>298000</v>
      </c>
      <c r="F8" s="16" t="n">
        <v>296000</v>
      </c>
    </row>
    <row r="9">
      <c r="A9" s="17" t="inlineStr">
        <is>
          <t>Finansielle anlægsaktiver</t>
        </is>
      </c>
      <c r="B9" s="16" t="n"/>
      <c r="C9" s="16" t="n"/>
      <c r="D9" s="16" t="n"/>
      <c r="E9" s="16" t="n"/>
      <c r="F9" s="16" t="n"/>
    </row>
    <row r="10">
      <c r="A10" s="17" t="inlineStr">
        <is>
          <t>Anlægsaktiver</t>
        </is>
      </c>
      <c r="B10" s="16" t="n">
        <v>12555000</v>
      </c>
      <c r="C10" s="16" t="n">
        <v>14282000</v>
      </c>
      <c r="D10" s="16" t="n">
        <v>15800000</v>
      </c>
      <c r="E10" s="16" t="n">
        <v>18532000</v>
      </c>
      <c r="F10" s="16" t="n">
        <v>19377000</v>
      </c>
    </row>
    <row r="11">
      <c r="A11" s="17" t="inlineStr">
        <is>
          <t>Varebeholdninger</t>
        </is>
      </c>
      <c r="B11" s="16" t="n">
        <v>2991000</v>
      </c>
      <c r="C11" s="16" t="n">
        <v>4211000</v>
      </c>
      <c r="D11" s="16" t="n">
        <v>4166000</v>
      </c>
      <c r="E11" s="16" t="n">
        <v>4426000</v>
      </c>
      <c r="F11" s="16" t="n">
        <v>4883000</v>
      </c>
    </row>
    <row r="12">
      <c r="A12" s="15" t="inlineStr">
        <is>
          <t>Tilgodehavender fra salg og tjenesteydelser</t>
        </is>
      </c>
      <c r="B12" s="16" t="n">
        <v>1009000</v>
      </c>
      <c r="C12" s="16" t="n">
        <v>1262000</v>
      </c>
      <c r="D12" s="16" t="n">
        <v>1342000</v>
      </c>
      <c r="E12" s="16" t="n">
        <v>1217000</v>
      </c>
      <c r="F12" s="16" t="n">
        <v>1163000</v>
      </c>
    </row>
    <row r="13">
      <c r="A13" s="15" t="inlineStr">
        <is>
          <t>Tilgodehavender hos tilknyttede virksomheder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Andre tilgodehavender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Periodeafgrænsningsposter (aktiver)</t>
        </is>
      </c>
      <c r="B15" s="16" t="n"/>
      <c r="C15" s="16" t="n"/>
      <c r="D15" s="16" t="n"/>
      <c r="E15" s="16" t="n"/>
      <c r="F15" s="16" t="n"/>
    </row>
    <row r="16">
      <c r="A16" s="15" t="inlineStr">
        <is>
          <t>Udskudt skatteaktiv</t>
        </is>
      </c>
      <c r="B16" s="16" t="n">
        <v>891000</v>
      </c>
      <c r="C16" s="16" t="n">
        <v>1261000</v>
      </c>
      <c r="D16" s="16" t="n">
        <v>1260000</v>
      </c>
      <c r="E16" s="16" t="n">
        <v>1530000</v>
      </c>
      <c r="F16" s="16" t="n">
        <v>1566000</v>
      </c>
    </row>
    <row r="17">
      <c r="A17" s="15" t="inlineStr">
        <is>
          <t>Tilgodehavende skat hos tilknyttede virksomheder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Kortfristede skattetilgodehavender</t>
        </is>
      </c>
      <c r="B18" s="16" t="n">
        <v>68000</v>
      </c>
      <c r="C18" s="16" t="n">
        <v>155000</v>
      </c>
      <c r="D18" s="16" t="n">
        <v>103000</v>
      </c>
      <c r="E18" s="16" t="n">
        <v>153000</v>
      </c>
      <c r="F18" s="16" t="n">
        <v>158000</v>
      </c>
    </row>
    <row r="19">
      <c r="A19" s="17" t="inlineStr">
        <is>
          <t>Tilgodehavender</t>
        </is>
      </c>
      <c r="B19" s="16" t="n">
        <v>738000</v>
      </c>
      <c r="C19" s="16" t="n">
        <v>1024000</v>
      </c>
      <c r="D19" s="16" t="n">
        <v>849000</v>
      </c>
      <c r="E19" s="16" t="n">
        <v>782000</v>
      </c>
      <c r="F19" s="16" t="n">
        <v>936000</v>
      </c>
    </row>
    <row r="20">
      <c r="A20" s="15" t="inlineStr">
        <is>
          <t>Værdipapirer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Likvide beholdninger</t>
        </is>
      </c>
      <c r="B21" s="16" t="n">
        <v>1043000</v>
      </c>
      <c r="C21" s="16" t="n">
        <v>794000</v>
      </c>
      <c r="D21" s="16" t="n">
        <v>1397000</v>
      </c>
      <c r="E21" s="16" t="n">
        <v>2394000</v>
      </c>
      <c r="F21" s="16" t="n">
        <v>1305000</v>
      </c>
    </row>
    <row r="22">
      <c r="A22" s="17" t="inlineStr">
        <is>
          <t>Omsætningsaktiver</t>
        </is>
      </c>
      <c r="B22" s="16" t="n">
        <v>5988000</v>
      </c>
      <c r="C22" s="16" t="n">
        <v>7731000</v>
      </c>
      <c r="D22" s="16" t="n">
        <v>7998000</v>
      </c>
      <c r="E22" s="16" t="n">
        <v>9226000</v>
      </c>
      <c r="F22" s="16" t="n">
        <v>10226000</v>
      </c>
    </row>
    <row r="23">
      <c r="A23" s="17" t="inlineStr">
        <is>
          <t>Aktiver</t>
        </is>
      </c>
      <c r="B23" s="16" t="n">
        <v>18542000</v>
      </c>
      <c r="C23" s="16" t="n">
        <v>22013000</v>
      </c>
      <c r="D23" s="16" t="n">
        <v>23798000</v>
      </c>
      <c r="E23" s="16" t="n">
        <v>27758000</v>
      </c>
      <c r="F23" s="16" t="n">
        <v>29603000</v>
      </c>
    </row>
    <row r="24">
      <c r="A24" s="15" t="inlineStr">
        <is>
          <t>Selskabskapital</t>
        </is>
      </c>
      <c r="B24" s="16" t="n">
        <v>100000</v>
      </c>
      <c r="C24" s="16" t="n">
        <v>96000</v>
      </c>
      <c r="D24" s="16" t="n">
        <v>89000</v>
      </c>
      <c r="E24" s="16" t="n">
        <v>82000</v>
      </c>
      <c r="F24" s="16" t="n">
        <v>79000</v>
      </c>
    </row>
    <row r="25">
      <c r="A25" s="15" t="inlineStr">
        <is>
          <t>Reserve for nettoopskrivning (indre værdis metode)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Reserve for udviklingsomkostninger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Reserve for sikringstransaktioner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Andre reserver</t>
        </is>
      </c>
      <c r="B28" s="16" t="n">
        <v>795000</v>
      </c>
      <c r="C28" s="16" t="n">
        <v>918000</v>
      </c>
      <c r="D28" s="16" t="n">
        <v>610000</v>
      </c>
      <c r="E28" s="16" t="n">
        <v>858000</v>
      </c>
      <c r="F28" s="16" t="n">
        <v>1263000</v>
      </c>
    </row>
    <row r="29">
      <c r="A29" s="15" t="inlineStr">
        <is>
          <t>Overført resultat</t>
        </is>
      </c>
      <c r="B29" s="16" t="n">
        <v>3416000</v>
      </c>
      <c r="C29" s="16" t="n">
        <v>3320000</v>
      </c>
      <c r="D29" s="16" t="n">
        <v>4353000</v>
      </c>
      <c r="E29" s="16" t="n">
        <v>3228000</v>
      </c>
      <c r="F29" s="16" t="n">
        <v>4236000</v>
      </c>
    </row>
    <row r="30">
      <c r="A30" s="17" t="inlineStr">
        <is>
          <t>Egenkapital i alt</t>
        </is>
      </c>
      <c r="B30" s="16" t="n">
        <v>7001000</v>
      </c>
      <c r="C30" s="16" t="n">
        <v>7167000</v>
      </c>
      <c r="D30" s="16" t="n">
        <v>5355000</v>
      </c>
      <c r="E30" s="16" t="n">
        <v>5508000</v>
      </c>
      <c r="F30" s="16" t="n">
        <v>5282000</v>
      </c>
    </row>
    <row r="31">
      <c r="A31" s="15" t="inlineStr">
        <is>
          <t>Hensættelse til udskudt skat</t>
        </is>
      </c>
      <c r="B31" s="16" t="n">
        <v>113000</v>
      </c>
      <c r="C31" s="16" t="n">
        <v>172000</v>
      </c>
      <c r="D31" s="16" t="n">
        <v>164000</v>
      </c>
      <c r="E31" s="16" t="n">
        <v>102000</v>
      </c>
      <c r="F31" s="16" t="n">
        <v>462000</v>
      </c>
    </row>
    <row r="32">
      <c r="A32" s="17" t="inlineStr">
        <is>
          <t>Hensatte forpligtelser</t>
        </is>
      </c>
      <c r="B32" s="16" t="n">
        <v>416000</v>
      </c>
      <c r="C32" s="16" t="n">
        <v>363000</v>
      </c>
      <c r="D32" s="16" t="n">
        <v>408000</v>
      </c>
      <c r="E32" s="16" t="n">
        <v>494000</v>
      </c>
      <c r="F32" s="16" t="n">
        <v>558000</v>
      </c>
    </row>
    <row r="33">
      <c r="A33" s="15" t="inlineStr">
        <is>
          <t>Ansvarlig lånekapital (langfristet)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Langfristede lån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Leasingforpligtelser (langfristet)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Anden gæld (langfristet)</t>
        </is>
      </c>
      <c r="B36" s="16" t="n"/>
      <c r="C36" s="16" t="n"/>
      <c r="D36" s="16" t="n">
        <v>80000</v>
      </c>
      <c r="E36" s="16" t="n">
        <v>152000</v>
      </c>
      <c r="F36" s="16" t="n">
        <v>128000</v>
      </c>
    </row>
    <row r="37">
      <c r="A37" s="17" t="inlineStr">
        <is>
          <t>Langfristede gældsforpligtelser</t>
        </is>
      </c>
      <c r="B37" s="16" t="n">
        <v>2765000</v>
      </c>
      <c r="C37" s="16" t="n">
        <v>3130000</v>
      </c>
      <c r="D37" s="16" t="n">
        <v>9737000</v>
      </c>
      <c r="E37" s="16" t="n">
        <v>11625000</v>
      </c>
      <c r="F37" s="16" t="n">
        <v>11922000</v>
      </c>
    </row>
    <row r="38">
      <c r="A38" s="15" t="inlineStr">
        <is>
          <t>Ansvarlig lånekapital (kortfristet)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Kortfristet del af langfristede gældsforpligtelser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Kreditinstitutter</t>
        </is>
      </c>
      <c r="B40" s="16" t="n">
        <v>1161000</v>
      </c>
      <c r="C40" s="16" t="n">
        <v>4458000</v>
      </c>
      <c r="D40" s="16" t="n">
        <v>1430000</v>
      </c>
      <c r="E40" s="16" t="n">
        <v>1776000</v>
      </c>
      <c r="F40" s="16" t="n">
        <v>3102000</v>
      </c>
    </row>
    <row r="41">
      <c r="A41" s="15" t="inlineStr">
        <is>
          <t>Leasingforpligtelser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Leverandører af varer og tjenesteydelser</t>
        </is>
      </c>
      <c r="B42" s="16" t="n">
        <v>3267000</v>
      </c>
      <c r="C42" s="16" t="n">
        <v>3131000</v>
      </c>
      <c r="D42" s="16" t="n">
        <v>3211000</v>
      </c>
      <c r="E42" s="16" t="n">
        <v>3894000</v>
      </c>
      <c r="F42" s="16" t="n">
        <v>4623000</v>
      </c>
    </row>
    <row r="43">
      <c r="A43" s="15" t="inlineStr">
        <is>
          <t>Gæld til tilknyttede virksomheder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Gæld til selskabsdeltagere og ledelse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Selskabsskat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Gæld til tilknyttede virksomheder vedr. selskabsskat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Anden gæld (kortfristet)</t>
        </is>
      </c>
      <c r="B47" s="16" t="n">
        <v>1694000</v>
      </c>
      <c r="C47" s="16" t="n">
        <v>1666000</v>
      </c>
      <c r="D47" s="16" t="n">
        <v>1773000</v>
      </c>
      <c r="E47" s="16" t="n">
        <v>2057000</v>
      </c>
      <c r="F47" s="16" t="n">
        <v>1710000</v>
      </c>
    </row>
    <row r="48">
      <c r="A48" s="15" t="inlineStr">
        <is>
          <t>Periodeafgrænsningsposter (passiver)</t>
        </is>
      </c>
      <c r="B48" s="16" t="n"/>
      <c r="C48" s="16" t="n"/>
      <c r="D48" s="16" t="n"/>
      <c r="E48" s="16" t="n"/>
      <c r="F48" s="16" t="n"/>
    </row>
    <row r="49">
      <c r="A49" s="17" t="inlineStr">
        <is>
          <t>Kortfristede gældsforpligtelser</t>
        </is>
      </c>
      <c r="B49" s="16" t="n">
        <v>8246000</v>
      </c>
      <c r="C49" s="16" t="n">
        <v>11181000</v>
      </c>
      <c r="D49" s="16" t="n">
        <v>8053000</v>
      </c>
      <c r="E49" s="16" t="n">
        <v>9877000</v>
      </c>
      <c r="F49" s="16" t="n">
        <v>11252000</v>
      </c>
    </row>
    <row r="50">
      <c r="A50" s="17" t="inlineStr">
        <is>
          <t>Gældsforpligtelser</t>
        </is>
      </c>
      <c r="B50" s="16" t="n">
        <v>11541000</v>
      </c>
      <c r="C50" s="16" t="n">
        <v>14846000</v>
      </c>
      <c r="D50" s="16" t="n">
        <v>18443000</v>
      </c>
      <c r="E50" s="16" t="n">
        <v>22250000</v>
      </c>
      <c r="F50" s="16" t="n">
        <v>24321000</v>
      </c>
    </row>
    <row r="51">
      <c r="A51" s="17" t="inlineStr">
        <is>
          <t>Passiver</t>
        </is>
      </c>
      <c r="B51" s="16" t="n">
        <v>18542000</v>
      </c>
      <c r="C51" s="16" t="n">
        <v>22013000</v>
      </c>
      <c r="D51" s="16" t="n">
        <v>23798000</v>
      </c>
      <c r="E51" s="16" t="n">
        <v>27758000</v>
      </c>
      <c r="F51" s="16" t="n">
        <v>29603000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'balance_raw'!$F$10</f>
        <v/>
      </c>
      <c r="C18" s="24">
        <f>'balance_raw'!$E$10</f>
        <v/>
      </c>
      <c r="D18" s="24">
        <f>'balance_raw'!$D$10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'balance_raw'!$F$22</f>
        <v/>
      </c>
      <c r="C19" s="24">
        <f>'balance_raw'!$E$22</f>
        <v/>
      </c>
      <c r="D19" s="24">
        <f>'balance_raw'!$D$22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'balance_raw'!$F$30</f>
        <v/>
      </c>
      <c r="C22" s="24">
        <f>'balance_raw'!$E$30</f>
        <v/>
      </c>
      <c r="D22" s="24">
        <f>'balance_raw'!$D$30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'balance_raw'!$F$51-'balance_raw'!$F$30</f>
        <v/>
      </c>
      <c r="C23" s="24">
        <f>'balance_raw'!$E$51-'balance_raw'!$E$30</f>
        <v/>
      </c>
      <c r="D23" s="24">
        <f>'balance_raw'!$D$51-'balance_raw'!$D$30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'balance_raw'!$F$11</f>
        <v/>
      </c>
      <c r="C27" s="24">
        <f>'balance_raw'!$E$11</f>
        <v/>
      </c>
      <c r="D27" s="24">
        <f>'balance_raw'!$D$11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'balance_raw'!$F$12</f>
        <v/>
      </c>
      <c r="C28" s="24">
        <f>'balance_raw'!$E$12</f>
        <v/>
      </c>
      <c r="D28" s="24">
        <f>'balance_raw'!$D$12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'balance_raw'!$F$49</f>
        <v/>
      </c>
      <c r="C29" s="24">
        <f>'balance_raw'!$E$49</f>
        <v/>
      </c>
      <c r="D29" s="24">
        <f>'balance_raw'!$D$49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IF('balance_raw'!$F$23="","—",IF(ABS(B20-'balance_raw'!$F$23)&lt;=1,"✓ OK","❌ "&amp;TEXT(B20-'balance_raw'!$F$23,"+#,##0;-#,##0")&amp;" t.kr."))</f>
        <v/>
      </c>
      <c r="C60" s="29">
        <f>IF('balance_raw'!$E$23="","—",IF(ABS(C20-'balance_raw'!$E$23)&lt;=1,"✓ OK","❌ "&amp;TEXT(C20-'balance_raw'!$E$23,"+#,##0;-#,##0")&amp;" t.kr."))</f>
        <v/>
      </c>
      <c r="D60" s="29">
        <f>IF('balance_raw'!$D$23="","—",IF(ABS(D20-'balance_raw'!$D$23)&lt;=1,"✓ OK","❌ "&amp;TEXT(D20-'balance_raw'!$D$23,"+#,##0;-#,##0")&amp;"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IF('balance_raw'!$F$51="","—",IF(ABS(B24-'balance_raw'!$F$51)&lt;=1,"✓ OK","❌ "&amp;TEXT(B24-'balance_raw'!$F$51,"+#,##0;-#,##0")&amp;" t.kr."))</f>
        <v/>
      </c>
      <c r="C61" s="29">
        <f>IF('balance_raw'!$E$51="","—",IF(ABS(C24-'balance_raw'!$E$51)&lt;=1,"✓ OK","❌ "&amp;TEXT(C24-'balance_raw'!$E$51,"+#,##0;-#,##0")&amp;" t.kr."))</f>
        <v/>
      </c>
      <c r="D61" s="29">
        <f>IF('balance_raw'!$D$51="","—",IF(ABS(D24-'balance_raw'!$D$51)&lt;=1,"✓ OK","❌ "&amp;TEXT(D24-'balance_raw'!$D$51,"+#,##0;-#,##0")&amp;"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ifrs-full:AdjustmentsForSharebasedPayments</t>
        </is>
      </c>
      <c r="C3" s="34" t="inlineStr">
        <is>
          <t>ifrs-full:AdjustmentsForSharebasedPayments</t>
        </is>
      </c>
      <c r="D3" s="35" t="n">
        <v>166000</v>
      </c>
      <c r="E3" s="35" t="n">
        <v>87000</v>
      </c>
      <c r="F3" s="35" t="n">
        <v>105000</v>
      </c>
      <c r="G3" s="35" t="n">
        <v>166000</v>
      </c>
      <c r="H3" s="35" t="n">
        <v>103000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ifrs-full:BankOverdraftsClassifiedAsCashEquivalents</t>
        </is>
      </c>
      <c r="C4" s="37" t="inlineStr">
        <is>
          <t>ifrs-full:BankOverdraftsClassifiedAsCashEquivalents</t>
        </is>
      </c>
      <c r="D4" s="38" t="n">
        <v>0</v>
      </c>
      <c r="E4" s="38" t="n">
        <v>199000</v>
      </c>
      <c r="F4" s="38" t="n">
        <v>214000</v>
      </c>
      <c r="G4" s="38" t="n">
        <v>90000</v>
      </c>
      <c r="H4" s="38" t="n">
        <v>111000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ifrs-full:CurrentContractAssets</t>
        </is>
      </c>
      <c r="C5" s="34" t="inlineStr">
        <is>
          <t>ifrs-full:CurrentContractAssets</t>
        </is>
      </c>
      <c r="D5" s="35" t="n"/>
      <c r="E5" s="35" t="n"/>
      <c r="F5" s="35" t="n">
        <v>55000</v>
      </c>
      <c r="G5" s="35" t="n">
        <v>91000</v>
      </c>
      <c r="H5" s="35" t="n">
        <v>72000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ifrs-full:CurrentContractLiabilities</t>
        </is>
      </c>
      <c r="C6" s="37" t="inlineStr">
        <is>
          <t>ifrs-full:CurrentContractLiabilities</t>
        </is>
      </c>
      <c r="D6" s="38" t="n">
        <v>163000</v>
      </c>
      <c r="E6" s="38" t="n">
        <v>136000</v>
      </c>
      <c r="F6" s="38" t="n">
        <v>185000</v>
      </c>
      <c r="G6" s="38" t="n">
        <v>237000</v>
      </c>
      <c r="H6" s="38" t="n">
        <v>271000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ifrs-full:CurrentDerivativeFinancialAssets</t>
        </is>
      </c>
      <c r="C7" s="34" t="inlineStr">
        <is>
          <t>ifrs-full:CurrentDerivativeFinancialAssets</t>
        </is>
      </c>
      <c r="D7" s="35" t="n">
        <v>69000</v>
      </c>
      <c r="E7" s="35" t="n">
        <v>231000</v>
      </c>
      <c r="F7" s="35" t="n">
        <v>87000</v>
      </c>
      <c r="G7" s="35" t="n">
        <v>162000</v>
      </c>
      <c r="H7" s="35" t="n">
        <v>1709000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ifrs-full:CurrentDerivativeFinancialLiabilities</t>
        </is>
      </c>
      <c r="C8" s="37" t="inlineStr">
        <is>
          <t>ifrs-full:CurrentDerivativeFinancialLiabilities</t>
        </is>
      </c>
      <c r="D8" s="38" t="n">
        <v>209000</v>
      </c>
      <c r="E8" s="38" t="n">
        <v>74000</v>
      </c>
      <c r="F8" s="38" t="n">
        <v>128000</v>
      </c>
      <c r="G8" s="38" t="n">
        <v>152000</v>
      </c>
      <c r="H8" s="38" t="n">
        <v>35000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ifrs-full:CurrentRefundsProvision</t>
        </is>
      </c>
      <c r="C9" s="34" t="inlineStr">
        <is>
          <t>ifrs-full:CurrentRefundsProvision</t>
        </is>
      </c>
      <c r="D9" s="35" t="n">
        <v>724000</v>
      </c>
      <c r="E9" s="35" t="n">
        <v>628000</v>
      </c>
      <c r="F9" s="35" t="n">
        <v>721000</v>
      </c>
      <c r="G9" s="35" t="n">
        <v>840000</v>
      </c>
      <c r="H9" s="35" t="n">
        <v>793000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ifrs-full:DividendsRecognisedAsDistributionsToOwnersPerShare</t>
        </is>
      </c>
      <c r="C10" s="37" t="inlineStr">
        <is>
          <t>ifrs-full:DividendsRecognisedAsDistributionsToOwnersPerShare</t>
        </is>
      </c>
      <c r="D10" s="38" t="n"/>
      <c r="E10" s="38" t="n">
        <v>0</v>
      </c>
      <c r="F10" s="38" t="n"/>
      <c r="G10" s="38" t="n"/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ifrs-full:GainsLossesOnChangeInValueOfForwardElementsOfForwardContractsBeforeTax</t>
        </is>
      </c>
      <c r="C11" s="34" t="inlineStr">
        <is>
          <t>ifrs-full:GainsLossesOnChangeInValueOfForwardElementsOfForwardContractsBeforeTax</t>
        </is>
      </c>
      <c r="D11" s="35" t="n"/>
      <c r="E11" s="35" t="n"/>
      <c r="F11" s="35" t="n">
        <v>0</v>
      </c>
      <c r="G11" s="35" t="n">
        <v>7000</v>
      </c>
      <c r="H11" s="35" t="n">
        <v>50000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ifrs-full:GainsLossesOnHedgesOfNetInvestmentsInForeignOperationsBeforeTax</t>
        </is>
      </c>
      <c r="C12" s="37" t="inlineStr">
        <is>
          <t>ifrs-full:GainsLossesOnHedgesOfNetInvestmentsInForeignOperationsBeforeTax</t>
        </is>
      </c>
      <c r="D12" s="38" t="n">
        <v>-287000</v>
      </c>
      <c r="E12" s="38" t="n">
        <v>-61000</v>
      </c>
      <c r="F12" s="38" t="n">
        <v>-151000</v>
      </c>
      <c r="G12" s="38" t="n">
        <v>-70000</v>
      </c>
      <c r="H12" s="38" t="n"/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ifrs-full:OtherComprehensiveIncomeNetOfTaxGainsLossesOnRemeasurementsOfDefinedBenefitPlans</t>
        </is>
      </c>
      <c r="C13" s="34" t="inlineStr">
        <is>
          <t>ifrs-full:OtherComprehensiveIncomeNetOfTaxGainsLossesOnRemeasurementsOfDefinedBenefitPlans</t>
        </is>
      </c>
      <c r="D13" s="35" t="n">
        <v>10000</v>
      </c>
      <c r="E13" s="35" t="n">
        <v>12000</v>
      </c>
      <c r="F13" s="35" t="n">
        <v>-9000</v>
      </c>
      <c r="G13" s="35" t="n">
        <v>-12000</v>
      </c>
      <c r="H13" s="35" t="n">
        <v>-23000</v>
      </c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ifrs-full:PaymentsFromChangesInOwnershipInterestsInSubsidiaries</t>
        </is>
      </c>
      <c r="C14" s="37" t="inlineStr">
        <is>
          <t>ifrs-full:PaymentsFromChangesInOwnershipInterestsInSubsidiaries</t>
        </is>
      </c>
      <c r="D14" s="38" t="n"/>
      <c r="E14" s="38" t="n"/>
      <c r="F14" s="38" t="n"/>
      <c r="G14" s="38" t="n"/>
      <c r="H14" s="38" t="n"/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ifrs-full:ReclassificationAdjustmentsOnChangeInValueOfForwardElementsOfForwardContractsBeforeTax</t>
        </is>
      </c>
      <c r="C15" s="34" t="inlineStr">
        <is>
          <t>ifrs-full:ReclassificationAdjustmentsOnChangeInValueOfForwardElementsOfForwardContractsBeforeTax</t>
        </is>
      </c>
      <c r="D15" s="35" t="n"/>
      <c r="E15" s="35" t="n"/>
      <c r="F15" s="35" t="n"/>
      <c r="G15" s="35" t="n"/>
      <c r="H15" s="35" t="n">
        <v>115000</v>
      </c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ifrs-full:SalesAndMarketingExpense</t>
        </is>
      </c>
      <c r="C16" s="37" t="inlineStr">
        <is>
          <t>ifrs-full:SalesAndMarketingExpense</t>
        </is>
      </c>
      <c r="D16" s="38" t="n">
        <v>9939000</v>
      </c>
      <c r="E16" s="38" t="n">
        <v>11322000</v>
      </c>
      <c r="F16" s="38" t="n">
        <v>12707000</v>
      </c>
      <c r="G16" s="38" t="n">
        <v>14844000</v>
      </c>
      <c r="H16" s="38" t="n">
        <v>15469000</v>
      </c>
      <c r="I16" s="39" t="inlineStr">
        <is>
          <t>Ingen forklaring tilgængelig.</t>
        </is>
      </c>
    </row>
    <row r="17" ht="30" customHeight="1">
      <c r="A17" s="34" t="inlineStr">
        <is>
          <t>Øvrige (ukendt)</t>
        </is>
      </c>
      <c r="B17" s="34" t="inlineStr">
        <is>
          <t>ifrs-full:UndrawnBorrowingFacilities</t>
        </is>
      </c>
      <c r="C17" s="34" t="inlineStr">
        <is>
          <t>ifrs-full:UndrawnBorrowingFacilities</t>
        </is>
      </c>
      <c r="D17" s="35" t="n">
        <v>6023000</v>
      </c>
      <c r="E17" s="35" t="n">
        <v>6693000</v>
      </c>
      <c r="F17" s="35" t="n">
        <v>4472000</v>
      </c>
      <c r="G17" s="35" t="n">
        <v>7087000</v>
      </c>
      <c r="H17" s="35" t="n">
        <v>7095000</v>
      </c>
      <c r="I17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2026-08-30T19:01:48Z</dcterms:created>
  <dcterms:modified xmlns:dcterms="http://purl.org/dc/terms/" xmlns:xsi="http://www.w3.org/2001/XMLSchema-instance" xsi:type="dcterms:W3CDTF">2026-08-30T19:01:48Z</dcterms:modified>
</cp:coreProperties>
</file>