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663908" sheetId="1" state="visible" r:id="rId1"/>
    <sheet xmlns:r="http://schemas.openxmlformats.org/officeDocument/2006/relationships" name="res_raw_35663908" sheetId="2" state="visible" r:id="rId2"/>
    <sheet xmlns:r="http://schemas.openxmlformats.org/officeDocument/2006/relationships" name="balance_raw_35663908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'res_raw_35663908'!$B$2</f>
        <v/>
      </c>
      <c r="C4" s="5">
        <f>'res_raw_35663908'!$C$2</f>
        <v/>
      </c>
      <c r="D4" s="5">
        <f>'res_raw_35663908'!$D$2</f>
        <v/>
      </c>
      <c r="E4" s="5">
        <f>'res_raw_35663908'!$E$2</f>
        <v/>
      </c>
      <c r="F4" s="5">
        <f>'res_raw_35663908'!$F$2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'res_raw_35663908'!$B$3</f>
        <v/>
      </c>
      <c r="C5" s="8">
        <f>'res_raw_35663908'!$C$3</f>
        <v/>
      </c>
      <c r="D5" s="8">
        <f>'res_raw_35663908'!$D$3</f>
        <v/>
      </c>
      <c r="E5" s="8">
        <f>'res_raw_35663908'!$E$3</f>
        <v/>
      </c>
      <c r="F5" s="8">
        <f>'res_raw_35663908'!$F$3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'res_raw_35663908'!$B$4</f>
        <v/>
      </c>
      <c r="C6" s="8">
        <f>'res_raw_35663908'!$C$4</f>
        <v/>
      </c>
      <c r="D6" s="8">
        <f>'res_raw_35663908'!$D$4</f>
        <v/>
      </c>
      <c r="E6" s="8">
        <f>'res_raw_35663908'!$E$4</f>
        <v/>
      </c>
      <c r="F6" s="8">
        <f>'res_raw_35663908'!$F$4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'res_raw_35663908'!$B$5</f>
        <v/>
      </c>
      <c r="C7" s="8">
        <f>'res_raw_35663908'!$C$5</f>
        <v/>
      </c>
      <c r="D7" s="8">
        <f>'res_raw_35663908'!$D$5</f>
        <v/>
      </c>
      <c r="E7" s="8">
        <f>'res_raw_35663908'!$E$5</f>
        <v/>
      </c>
      <c r="F7" s="8">
        <f>'res_raw_35663908'!$F$5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'res_raw_35663908'!$B$6</f>
        <v/>
      </c>
      <c r="C8" s="8">
        <f>'res_raw_35663908'!$C$6</f>
        <v/>
      </c>
      <c r="D8" s="8">
        <f>'res_raw_35663908'!$D$6</f>
        <v/>
      </c>
      <c r="E8" s="8">
        <f>'res_raw_35663908'!$E$6</f>
        <v/>
      </c>
      <c r="F8" s="8">
        <f>'res_raw_35663908'!$F$6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'res_raw_35663908'!$B$7</f>
        <v/>
      </c>
      <c r="C9" s="11">
        <f>'res_raw_35663908'!$C$7</f>
        <v/>
      </c>
      <c r="D9" s="11">
        <f>'res_raw_35663908'!$D$7</f>
        <v/>
      </c>
      <c r="E9" s="11">
        <f>'res_raw_35663908'!$E$7</f>
        <v/>
      </c>
      <c r="F9" s="11">
        <f>'res_raw_35663908'!$F$7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'res_raw_35663908'!$B$8</f>
        <v/>
      </c>
      <c r="C10" s="5">
        <f>'res_raw_35663908'!$C$8</f>
        <v/>
      </c>
      <c r="D10" s="5">
        <f>'res_raw_35663908'!$D$8</f>
        <v/>
      </c>
      <c r="E10" s="5">
        <f>'res_raw_35663908'!$E$8</f>
        <v/>
      </c>
      <c r="F10" s="5">
        <f>'res_raw_35663908'!$F$8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'res_raw_35663908'!$B$9</f>
        <v/>
      </c>
      <c r="C11" s="8">
        <f>'res_raw_35663908'!$C$9</f>
        <v/>
      </c>
      <c r="D11" s="8">
        <f>'res_raw_35663908'!$D$9</f>
        <v/>
      </c>
      <c r="E11" s="8">
        <f>'res_raw_35663908'!$E$9</f>
        <v/>
      </c>
      <c r="F11" s="8">
        <f>'res_raw_35663908'!$F$9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'res_raw_35663908'!$B$10</f>
        <v/>
      </c>
      <c r="C12" s="5">
        <f>'res_raw_35663908'!$C$10</f>
        <v/>
      </c>
      <c r="D12" s="5">
        <f>'res_raw_35663908'!$D$10</f>
        <v/>
      </c>
      <c r="E12" s="5">
        <f>'res_raw_35663908'!$E$10</f>
        <v/>
      </c>
      <c r="F12" s="5">
        <f>'res_raw_35663908'!$F$10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'res_raw_35663908'!$B$11</f>
        <v/>
      </c>
      <c r="C13" s="11">
        <f>'res_raw_35663908'!$C$11</f>
        <v/>
      </c>
      <c r="D13" s="11">
        <f>'res_raw_35663908'!$D$11</f>
        <v/>
      </c>
      <c r="E13" s="11">
        <f>'res_raw_35663908'!$E$11</f>
        <v/>
      </c>
      <c r="F13" s="11">
        <f>'res_raw_35663908'!$F$11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'res_raw_35663908'!$B$12</f>
        <v/>
      </c>
      <c r="C14" s="5">
        <f>'res_raw_35663908'!$C$12</f>
        <v/>
      </c>
      <c r="D14" s="5">
        <f>'res_raw_35663908'!$D$12</f>
        <v/>
      </c>
      <c r="E14" s="5">
        <f>'res_raw_35663908'!$E$12</f>
        <v/>
      </c>
      <c r="F14" s="5">
        <f>'res_raw_35663908'!$F$12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'res_raw_35663908'!$B$13</f>
        <v/>
      </c>
      <c r="C15" s="8">
        <f>'res_raw_35663908'!$C$13</f>
        <v/>
      </c>
      <c r="D15" s="8">
        <f>'res_raw_35663908'!$D$13</f>
        <v/>
      </c>
      <c r="E15" s="8">
        <f>'res_raw_35663908'!$E$13</f>
        <v/>
      </c>
      <c r="F15" s="8">
        <f>'res_raw_35663908'!$F$13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'res_raw_35663908'!$B$14</f>
        <v/>
      </c>
      <c r="C16" s="8">
        <f>'res_raw_35663908'!$C$14</f>
        <v/>
      </c>
      <c r="D16" s="8">
        <f>'res_raw_35663908'!$D$14</f>
        <v/>
      </c>
      <c r="E16" s="8">
        <f>'res_raw_35663908'!$E$14</f>
        <v/>
      </c>
      <c r="F16" s="8">
        <f>'res_raw_35663908'!$F$14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'res_raw_35663908'!$B$15</f>
        <v/>
      </c>
      <c r="C17" s="11">
        <f>'res_raw_35663908'!$C$15</f>
        <v/>
      </c>
      <c r="D17" s="11">
        <f>'res_raw_35663908'!$D$15</f>
        <v/>
      </c>
      <c r="E17" s="11">
        <f>'res_raw_35663908'!$E$15</f>
        <v/>
      </c>
      <c r="F17" s="11">
        <f>'res_raw_35663908'!$F$15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'res_raw_35663908'!$B$16</f>
        <v/>
      </c>
      <c r="C18" s="8">
        <f>'res_raw_35663908'!$C$16</f>
        <v/>
      </c>
      <c r="D18" s="8">
        <f>'res_raw_35663908'!$D$16</f>
        <v/>
      </c>
      <c r="E18" s="8">
        <f>'res_raw_35663908'!$E$16</f>
        <v/>
      </c>
      <c r="F18" s="8">
        <f>'res_raw_35663908'!$F$16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7" t="inlineStr">
        <is>
          <t>Immaterielle anlægsaktiver</t>
        </is>
      </c>
      <c r="B21" s="8">
        <f>'balance_raw_35663908'!$B$2</f>
        <v/>
      </c>
      <c r="C21" s="8">
        <f>'balance_raw_35663908'!$C$2</f>
        <v/>
      </c>
      <c r="D21" s="8">
        <f>'balance_raw_35663908'!$D$2</f>
        <v/>
      </c>
      <c r="E21" s="8">
        <f>'balance_raw_35663908'!$E$2</f>
        <v/>
      </c>
      <c r="F21" s="8">
        <f>'balance_raw_35663908'!$F$2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'balance_raw_35663908'!$B$3</f>
        <v/>
      </c>
      <c r="C22" s="8">
        <f>'balance_raw_35663908'!$C$3</f>
        <v/>
      </c>
      <c r="D22" s="8">
        <f>'balance_raw_35663908'!$D$3</f>
        <v/>
      </c>
      <c r="E22" s="8">
        <f>'balance_raw_35663908'!$E$3</f>
        <v/>
      </c>
      <c r="F22" s="8">
        <f>'balance_raw_35663908'!$F$3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7" t="inlineStr">
        <is>
          <t>Anlægsaktiver</t>
        </is>
      </c>
      <c r="B23" s="8">
        <f>'balance_raw_35663908'!$B$4</f>
        <v/>
      </c>
      <c r="C23" s="8">
        <f>'balance_raw_35663908'!$C$4</f>
        <v/>
      </c>
      <c r="D23" s="8">
        <f>'balance_raw_35663908'!$D$4</f>
        <v/>
      </c>
      <c r="E23" s="8">
        <f>'balance_raw_35663908'!$E$4</f>
        <v/>
      </c>
      <c r="F23" s="8">
        <f>'balance_raw_35663908'!$F$4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7" t="inlineStr">
        <is>
          <t>Varebeholdninger</t>
        </is>
      </c>
      <c r="B24" s="8">
        <f>'balance_raw_35663908'!$B$5</f>
        <v/>
      </c>
      <c r="C24" s="8">
        <f>'balance_raw_35663908'!$C$5</f>
        <v/>
      </c>
      <c r="D24" s="8">
        <f>'balance_raw_35663908'!$D$5</f>
        <v/>
      </c>
      <c r="E24" s="8">
        <f>'balance_raw_35663908'!$E$5</f>
        <v/>
      </c>
      <c r="F24" s="8">
        <f>'balance_raw_35663908'!$F$5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Tilgodehavender fra salg og tjenesteydelser</t>
        </is>
      </c>
      <c r="B25" s="11">
        <f>'balance_raw_35663908'!$B$6</f>
        <v/>
      </c>
      <c r="C25" s="11">
        <f>'balance_raw_35663908'!$C$6</f>
        <v/>
      </c>
      <c r="D25" s="11">
        <f>'balance_raw_35663908'!$D$6</f>
        <v/>
      </c>
      <c r="E25" s="11">
        <f>'balance_raw_35663908'!$E$6</f>
        <v/>
      </c>
      <c r="F25" s="11">
        <f>'balance_raw_35663908'!$F$6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Tilgodehavender hos tilknyttede virksomheder</t>
        </is>
      </c>
      <c r="B26" s="5">
        <f>'balance_raw_35663908'!$B$7</f>
        <v/>
      </c>
      <c r="C26" s="5">
        <f>'balance_raw_35663908'!$C$7</f>
        <v/>
      </c>
      <c r="D26" s="5">
        <f>'balance_raw_35663908'!$D$7</f>
        <v/>
      </c>
      <c r="E26" s="5">
        <f>'balance_raw_35663908'!$E$7</f>
        <v/>
      </c>
      <c r="F26" s="5">
        <f>'balance_raw_35663908'!$F$7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Andre tilgodehavender</t>
        </is>
      </c>
      <c r="B27" s="11">
        <f>'balance_raw_35663908'!$B$8</f>
        <v/>
      </c>
      <c r="C27" s="11">
        <f>'balance_raw_35663908'!$C$8</f>
        <v/>
      </c>
      <c r="D27" s="11">
        <f>'balance_raw_35663908'!$D$8</f>
        <v/>
      </c>
      <c r="E27" s="11">
        <f>'balance_raw_35663908'!$E$8</f>
        <v/>
      </c>
      <c r="F27" s="11">
        <f>'balance_raw_35663908'!$F$8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Periodeafgrænsningsposter (aktiver)</t>
        </is>
      </c>
      <c r="B28" s="5">
        <f>'balance_raw_35663908'!$B$9</f>
        <v/>
      </c>
      <c r="C28" s="5">
        <f>'balance_raw_35663908'!$C$9</f>
        <v/>
      </c>
      <c r="D28" s="5">
        <f>'balance_raw_35663908'!$D$9</f>
        <v/>
      </c>
      <c r="E28" s="5">
        <f>'balance_raw_35663908'!$E$9</f>
        <v/>
      </c>
      <c r="F28" s="5">
        <f>'balance_raw_35663908'!$F$9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Udskudt skatteaktiv</t>
        </is>
      </c>
      <c r="B29" s="11">
        <f>'balance_raw_35663908'!$B$10</f>
        <v/>
      </c>
      <c r="C29" s="11">
        <f>'balance_raw_35663908'!$C$10</f>
        <v/>
      </c>
      <c r="D29" s="11">
        <f>'balance_raw_35663908'!$D$10</f>
        <v/>
      </c>
      <c r="E29" s="11">
        <f>'balance_raw_35663908'!$E$10</f>
        <v/>
      </c>
      <c r="F29" s="11">
        <f>'balance_raw_35663908'!$F$10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 skat hos tilknyttede virksomheder</t>
        </is>
      </c>
      <c r="B30" s="5">
        <f>'balance_raw_35663908'!$B$11</f>
        <v/>
      </c>
      <c r="C30" s="5">
        <f>'balance_raw_35663908'!$C$11</f>
        <v/>
      </c>
      <c r="D30" s="5">
        <f>'balance_raw_35663908'!$D$11</f>
        <v/>
      </c>
      <c r="E30" s="5">
        <f>'balance_raw_35663908'!$E$11</f>
        <v/>
      </c>
      <c r="F30" s="5">
        <f>'balance_raw_35663908'!$F$11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Kortfristede skattetilgodehavender</t>
        </is>
      </c>
      <c r="B31" s="11">
        <f>'balance_raw_35663908'!$B$12</f>
        <v/>
      </c>
      <c r="C31" s="11">
        <f>'balance_raw_35663908'!$C$12</f>
        <v/>
      </c>
      <c r="D31" s="11">
        <f>'balance_raw_35663908'!$D$12</f>
        <v/>
      </c>
      <c r="E31" s="11">
        <f>'balance_raw_35663908'!$E$12</f>
        <v/>
      </c>
      <c r="F31" s="11">
        <f>'balance_raw_35663908'!$F$12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7" t="inlineStr">
        <is>
          <t>Tilgodehavender</t>
        </is>
      </c>
      <c r="B32" s="8">
        <f>'balance_raw_35663908'!$B$13</f>
        <v/>
      </c>
      <c r="C32" s="8">
        <f>'balance_raw_35663908'!$C$13</f>
        <v/>
      </c>
      <c r="D32" s="8">
        <f>'balance_raw_35663908'!$D$13</f>
        <v/>
      </c>
      <c r="E32" s="8">
        <f>'balance_raw_35663908'!$E$13</f>
        <v/>
      </c>
      <c r="F32" s="8">
        <f>'balance_raw_35663908'!$F$13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Værdipapirer</t>
        </is>
      </c>
      <c r="B33" s="11">
        <f>'balance_raw_35663908'!$B$14</f>
        <v/>
      </c>
      <c r="C33" s="11">
        <f>'balance_raw_35663908'!$C$14</f>
        <v/>
      </c>
      <c r="D33" s="11">
        <f>'balance_raw_35663908'!$D$14</f>
        <v/>
      </c>
      <c r="E33" s="11">
        <f>'balance_raw_35663908'!$E$14</f>
        <v/>
      </c>
      <c r="F33" s="11">
        <f>'balance_raw_35663908'!$F$14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Likvide beholdninger</t>
        </is>
      </c>
      <c r="B34" s="5">
        <f>'balance_raw_35663908'!$B$15</f>
        <v/>
      </c>
      <c r="C34" s="5">
        <f>'balance_raw_35663908'!$C$15</f>
        <v/>
      </c>
      <c r="D34" s="5">
        <f>'balance_raw_35663908'!$D$15</f>
        <v/>
      </c>
      <c r="E34" s="5">
        <f>'balance_raw_35663908'!$E$15</f>
        <v/>
      </c>
      <c r="F34" s="5">
        <f>'balance_raw_35663908'!$F$15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Omsætningsaktiver</t>
        </is>
      </c>
      <c r="B35" s="8">
        <f>'balance_raw_35663908'!$B$16</f>
        <v/>
      </c>
      <c r="C35" s="8">
        <f>'balance_raw_35663908'!$C$16</f>
        <v/>
      </c>
      <c r="D35" s="8">
        <f>'balance_raw_35663908'!$D$16</f>
        <v/>
      </c>
      <c r="E35" s="8">
        <f>'balance_raw_35663908'!$E$16</f>
        <v/>
      </c>
      <c r="F35" s="8">
        <f>'balance_raw_35663908'!$F$16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7" t="inlineStr">
        <is>
          <t>Aktiver</t>
        </is>
      </c>
      <c r="B36" s="8">
        <f>'balance_raw_35663908'!$B$17</f>
        <v/>
      </c>
      <c r="C36" s="8">
        <f>'balance_raw_35663908'!$C$17</f>
        <v/>
      </c>
      <c r="D36" s="8">
        <f>'balance_raw_35663908'!$D$17</f>
        <v/>
      </c>
      <c r="E36" s="8">
        <f>'balance_raw_35663908'!$E$17</f>
        <v/>
      </c>
      <c r="F36" s="8">
        <f>'balance_raw_35663908'!$F$17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8" ht="22" customHeight="1">
      <c r="A38" s="3" t="inlineStr">
        <is>
          <t>PASSIVER t.kr.</t>
        </is>
      </c>
      <c r="B38" s="3" t="n">
        <v>2020</v>
      </c>
      <c r="C38" s="3" t="n">
        <v>2021</v>
      </c>
      <c r="D38" s="3" t="n">
        <v>2022</v>
      </c>
      <c r="E38" s="3" t="n">
        <v>2023</v>
      </c>
      <c r="F38" s="3" t="n">
        <v>2024</v>
      </c>
      <c r="G38" t="inlineStr"/>
      <c r="H38" s="3" t="n">
        <v>2020</v>
      </c>
      <c r="I38" s="3" t="n">
        <v>2021</v>
      </c>
      <c r="J38" s="3" t="n">
        <v>2022</v>
      </c>
      <c r="K38" s="3" t="n">
        <v>2023</v>
      </c>
      <c r="L38" s="3" t="n">
        <v>2024</v>
      </c>
    </row>
    <row r="39" ht="16" customHeight="1">
      <c r="A39" s="10" t="inlineStr">
        <is>
          <t>Selskabskapital</t>
        </is>
      </c>
      <c r="B39" s="11">
        <f>'balance_raw_35663908'!$B$18</f>
        <v/>
      </c>
      <c r="C39" s="11">
        <f>'balance_raw_35663908'!$C$18</f>
        <v/>
      </c>
      <c r="D39" s="11">
        <f>'balance_raw_35663908'!$D$18</f>
        <v/>
      </c>
      <c r="E39" s="11">
        <f>'balance_raw_35663908'!$E$18</f>
        <v/>
      </c>
      <c r="F39" s="11">
        <f>'balance_raw_35663908'!$F$18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Reserve for nettoopskrivning (indre værdis metode)</t>
        </is>
      </c>
      <c r="B40" s="5">
        <f>'balance_raw_35663908'!$B$19</f>
        <v/>
      </c>
      <c r="C40" s="5">
        <f>'balance_raw_35663908'!$C$19</f>
        <v/>
      </c>
      <c r="D40" s="5">
        <f>'balance_raw_35663908'!$D$19</f>
        <v/>
      </c>
      <c r="E40" s="5">
        <f>'balance_raw_35663908'!$E$19</f>
        <v/>
      </c>
      <c r="F40" s="5">
        <f>'balance_raw_35663908'!$F$19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Reserve for udviklingsomkostninger</t>
        </is>
      </c>
      <c r="B41" s="11">
        <f>'balance_raw_35663908'!$B$20</f>
        <v/>
      </c>
      <c r="C41" s="11">
        <f>'balance_raw_35663908'!$C$20</f>
        <v/>
      </c>
      <c r="D41" s="11">
        <f>'balance_raw_35663908'!$D$20</f>
        <v/>
      </c>
      <c r="E41" s="11">
        <f>'balance_raw_35663908'!$E$20</f>
        <v/>
      </c>
      <c r="F41" s="11">
        <f>'balance_raw_35663908'!$F$20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Reserve for sikringstransaktioner</t>
        </is>
      </c>
      <c r="B42" s="5">
        <f>'balance_raw_35663908'!$B$21</f>
        <v/>
      </c>
      <c r="C42" s="5">
        <f>'balance_raw_35663908'!$C$21</f>
        <v/>
      </c>
      <c r="D42" s="5">
        <f>'balance_raw_35663908'!$D$21</f>
        <v/>
      </c>
      <c r="E42" s="5">
        <f>'balance_raw_35663908'!$E$21</f>
        <v/>
      </c>
      <c r="F42" s="5">
        <f>'balance_raw_35663908'!$F$21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Andre reserver</t>
        </is>
      </c>
      <c r="B43" s="11">
        <f>'balance_raw_35663908'!$B$22</f>
        <v/>
      </c>
      <c r="C43" s="11">
        <f>'balance_raw_35663908'!$C$22</f>
        <v/>
      </c>
      <c r="D43" s="11">
        <f>'balance_raw_35663908'!$D$22</f>
        <v/>
      </c>
      <c r="E43" s="11">
        <f>'balance_raw_35663908'!$E$22</f>
        <v/>
      </c>
      <c r="F43" s="11">
        <f>'balance_raw_35663908'!$F$22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Overført resultat</t>
        </is>
      </c>
      <c r="B44" s="5">
        <f>'balance_raw_35663908'!$B$23</f>
        <v/>
      </c>
      <c r="C44" s="5">
        <f>'balance_raw_35663908'!$C$23</f>
        <v/>
      </c>
      <c r="D44" s="5">
        <f>'balance_raw_35663908'!$D$23</f>
        <v/>
      </c>
      <c r="E44" s="5">
        <f>'balance_raw_35663908'!$E$23</f>
        <v/>
      </c>
      <c r="F44" s="5">
        <f>'balance_raw_35663908'!$F$23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Egenkapital i alt</t>
        </is>
      </c>
      <c r="B45" s="8">
        <f>'balance_raw_35663908'!$B$24</f>
        <v/>
      </c>
      <c r="C45" s="8">
        <f>'balance_raw_35663908'!$C$24</f>
        <v/>
      </c>
      <c r="D45" s="8">
        <f>'balance_raw_35663908'!$D$24</f>
        <v/>
      </c>
      <c r="E45" s="8">
        <f>'balance_raw_35663908'!$E$24</f>
        <v/>
      </c>
      <c r="F45" s="8">
        <f>'balance_raw_35663908'!$F$24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Hensættelse til udskudt skat</t>
        </is>
      </c>
      <c r="B46" s="5">
        <f>'balance_raw_35663908'!$B$25</f>
        <v/>
      </c>
      <c r="C46" s="5">
        <f>'balance_raw_35663908'!$C$25</f>
        <v/>
      </c>
      <c r="D46" s="5">
        <f>'balance_raw_35663908'!$D$25</f>
        <v/>
      </c>
      <c r="E46" s="5">
        <f>'balance_raw_35663908'!$E$25</f>
        <v/>
      </c>
      <c r="F46" s="5">
        <f>'balance_raw_35663908'!$F$25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Hensatte forpligtelser</t>
        </is>
      </c>
      <c r="B47" s="8">
        <f>'balance_raw_35663908'!$B$26</f>
        <v/>
      </c>
      <c r="C47" s="8">
        <f>'balance_raw_35663908'!$C$26</f>
        <v/>
      </c>
      <c r="D47" s="8">
        <f>'balance_raw_35663908'!$D$26</f>
        <v/>
      </c>
      <c r="E47" s="8">
        <f>'balance_raw_35663908'!$E$26</f>
        <v/>
      </c>
      <c r="F47" s="8">
        <f>'balance_raw_35663908'!$F$26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Ansvarlig lånekapital (langfristet)</t>
        </is>
      </c>
      <c r="B48" s="5">
        <f>'balance_raw_35663908'!$B$27</f>
        <v/>
      </c>
      <c r="C48" s="5">
        <f>'balance_raw_35663908'!$C$27</f>
        <v/>
      </c>
      <c r="D48" s="5">
        <f>'balance_raw_35663908'!$D$27</f>
        <v/>
      </c>
      <c r="E48" s="5">
        <f>'balance_raw_35663908'!$E$27</f>
        <v/>
      </c>
      <c r="F48" s="5">
        <f>'balance_raw_35663908'!$F$27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Langfristede lån</t>
        </is>
      </c>
      <c r="B49" s="11">
        <f>'balance_raw_35663908'!$B$28</f>
        <v/>
      </c>
      <c r="C49" s="11">
        <f>'balance_raw_35663908'!$C$28</f>
        <v/>
      </c>
      <c r="D49" s="11">
        <f>'balance_raw_35663908'!$D$28</f>
        <v/>
      </c>
      <c r="E49" s="11">
        <f>'balance_raw_35663908'!$E$28</f>
        <v/>
      </c>
      <c r="F49" s="11">
        <f>'balance_raw_35663908'!$F$28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Leasingforpligtelser (langfristet)</t>
        </is>
      </c>
      <c r="B50" s="5">
        <f>'balance_raw_35663908'!$B$29</f>
        <v/>
      </c>
      <c r="C50" s="5">
        <f>'balance_raw_35663908'!$C$29</f>
        <v/>
      </c>
      <c r="D50" s="5">
        <f>'balance_raw_35663908'!$D$29</f>
        <v/>
      </c>
      <c r="E50" s="5">
        <f>'balance_raw_35663908'!$E$29</f>
        <v/>
      </c>
      <c r="F50" s="5">
        <f>'balance_raw_35663908'!$F$29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Anden gæld (langfristet)</t>
        </is>
      </c>
      <c r="B51" s="11">
        <f>'balance_raw_35663908'!$B$30</f>
        <v/>
      </c>
      <c r="C51" s="11">
        <f>'balance_raw_35663908'!$C$30</f>
        <v/>
      </c>
      <c r="D51" s="11">
        <f>'balance_raw_35663908'!$D$30</f>
        <v/>
      </c>
      <c r="E51" s="11">
        <f>'balance_raw_35663908'!$E$30</f>
        <v/>
      </c>
      <c r="F51" s="11">
        <f>'balance_raw_35663908'!$F$30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7" t="inlineStr">
        <is>
          <t>Langfristede gældsforpligtelser</t>
        </is>
      </c>
      <c r="B52" s="8">
        <f>'balance_raw_35663908'!$B$31</f>
        <v/>
      </c>
      <c r="C52" s="8">
        <f>'balance_raw_35663908'!$C$31</f>
        <v/>
      </c>
      <c r="D52" s="8">
        <f>'balance_raw_35663908'!$D$31</f>
        <v/>
      </c>
      <c r="E52" s="8">
        <f>'balance_raw_35663908'!$E$31</f>
        <v/>
      </c>
      <c r="F52" s="8">
        <f>'balance_raw_35663908'!$F$31</f>
        <v/>
      </c>
      <c r="G52" t="inlineStr"/>
      <c r="H52" s="9">
        <f>IFERROR(B52/$B$52*100,"")</f>
        <v/>
      </c>
      <c r="I52" s="9">
        <f>IFERROR(C52/$B$52*100,"")</f>
        <v/>
      </c>
      <c r="J52" s="9">
        <f>IFERROR(D52/$B$52*100,"")</f>
        <v/>
      </c>
      <c r="K52" s="9">
        <f>IFERROR(E52/$B$52*100,"")</f>
        <v/>
      </c>
      <c r="L52" s="9">
        <f>IFERROR(F52/$B$52*100,"")</f>
        <v/>
      </c>
    </row>
    <row r="53" ht="16" customHeight="1">
      <c r="A53" s="10" t="inlineStr">
        <is>
          <t>Ansvarlig lånekapital (kortfristet)</t>
        </is>
      </c>
      <c r="B53" s="11">
        <f>'balance_raw_35663908'!$B$32</f>
        <v/>
      </c>
      <c r="C53" s="11">
        <f>'balance_raw_35663908'!$C$32</f>
        <v/>
      </c>
      <c r="D53" s="11">
        <f>'balance_raw_35663908'!$D$32</f>
        <v/>
      </c>
      <c r="E53" s="11">
        <f>'balance_raw_35663908'!$E$32</f>
        <v/>
      </c>
      <c r="F53" s="11">
        <f>'balance_raw_35663908'!$F$32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Kortfristet del af langfristede gældsforpligtelser</t>
        </is>
      </c>
      <c r="B54" s="5">
        <f>'balance_raw_35663908'!$B$33</f>
        <v/>
      </c>
      <c r="C54" s="5">
        <f>'balance_raw_35663908'!$C$33</f>
        <v/>
      </c>
      <c r="D54" s="5">
        <f>'balance_raw_35663908'!$D$33</f>
        <v/>
      </c>
      <c r="E54" s="5">
        <f>'balance_raw_35663908'!$E$33</f>
        <v/>
      </c>
      <c r="F54" s="5">
        <f>'balance_raw_35663908'!$F$33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Kreditinstitutter</t>
        </is>
      </c>
      <c r="B55" s="11">
        <f>'balance_raw_35663908'!$B$34</f>
        <v/>
      </c>
      <c r="C55" s="11">
        <f>'balance_raw_35663908'!$C$34</f>
        <v/>
      </c>
      <c r="D55" s="11">
        <f>'balance_raw_35663908'!$D$34</f>
        <v/>
      </c>
      <c r="E55" s="11">
        <f>'balance_raw_35663908'!$E$34</f>
        <v/>
      </c>
      <c r="F55" s="11">
        <f>'balance_raw_35663908'!$F$34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(kortfristet)</t>
        </is>
      </c>
      <c r="B56" s="5">
        <f>'balance_raw_35663908'!$B$35</f>
        <v/>
      </c>
      <c r="C56" s="5">
        <f>'balance_raw_35663908'!$C$35</f>
        <v/>
      </c>
      <c r="D56" s="5">
        <f>'balance_raw_35663908'!$D$35</f>
        <v/>
      </c>
      <c r="E56" s="5">
        <f>'balance_raw_35663908'!$E$35</f>
        <v/>
      </c>
      <c r="F56" s="5">
        <f>'balance_raw_35663908'!$F$35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Leverandører af varer og tjenesteydelser</t>
        </is>
      </c>
      <c r="B57" s="11">
        <f>'balance_raw_35663908'!$B$36</f>
        <v/>
      </c>
      <c r="C57" s="11">
        <f>'balance_raw_35663908'!$C$36</f>
        <v/>
      </c>
      <c r="D57" s="11">
        <f>'balance_raw_35663908'!$D$36</f>
        <v/>
      </c>
      <c r="E57" s="11">
        <f>'balance_raw_35663908'!$E$36</f>
        <v/>
      </c>
      <c r="F57" s="11">
        <f>'balance_raw_35663908'!$F$36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Gæld til tilknyttede virksomheder</t>
        </is>
      </c>
      <c r="B58" s="5">
        <f>'balance_raw_35663908'!$B$37</f>
        <v/>
      </c>
      <c r="C58" s="5">
        <f>'balance_raw_35663908'!$C$37</f>
        <v/>
      </c>
      <c r="D58" s="5">
        <f>'balance_raw_35663908'!$D$37</f>
        <v/>
      </c>
      <c r="E58" s="5">
        <f>'balance_raw_35663908'!$E$37</f>
        <v/>
      </c>
      <c r="F58" s="5">
        <f>'balance_raw_35663908'!$F$37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Gæld til selskabsdeltagere og ledelse</t>
        </is>
      </c>
      <c r="B59" s="11">
        <f>'balance_raw_35663908'!$B$38</f>
        <v/>
      </c>
      <c r="C59" s="11">
        <f>'balance_raw_35663908'!$C$38</f>
        <v/>
      </c>
      <c r="D59" s="11">
        <f>'balance_raw_35663908'!$D$38</f>
        <v/>
      </c>
      <c r="E59" s="11">
        <f>'balance_raw_35663908'!$E$38</f>
        <v/>
      </c>
      <c r="F59" s="11">
        <f>'balance_raw_35663908'!$F$38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Selskabsskat</t>
        </is>
      </c>
      <c r="B60" s="5">
        <f>'balance_raw_35663908'!$B$39</f>
        <v/>
      </c>
      <c r="C60" s="5">
        <f>'balance_raw_35663908'!$C$39</f>
        <v/>
      </c>
      <c r="D60" s="5">
        <f>'balance_raw_35663908'!$D$39</f>
        <v/>
      </c>
      <c r="E60" s="5">
        <f>'balance_raw_35663908'!$E$39</f>
        <v/>
      </c>
      <c r="F60" s="5">
        <f>'balance_raw_35663908'!$F$39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 vedr. selskabsskat</t>
        </is>
      </c>
      <c r="B61" s="11">
        <f>'balance_raw_35663908'!$B$40</f>
        <v/>
      </c>
      <c r="C61" s="11">
        <f>'balance_raw_35663908'!$C$40</f>
        <v/>
      </c>
      <c r="D61" s="11">
        <f>'balance_raw_35663908'!$D$40</f>
        <v/>
      </c>
      <c r="E61" s="11">
        <f>'balance_raw_35663908'!$E$40</f>
        <v/>
      </c>
      <c r="F61" s="11">
        <f>'balance_raw_35663908'!$F$40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(kortfristet)</t>
        </is>
      </c>
      <c r="B62" s="5">
        <f>'balance_raw_35663908'!$B$41</f>
        <v/>
      </c>
      <c r="C62" s="5">
        <f>'balance_raw_35663908'!$C$41</f>
        <v/>
      </c>
      <c r="D62" s="5">
        <f>'balance_raw_35663908'!$D$41</f>
        <v/>
      </c>
      <c r="E62" s="5">
        <f>'balance_raw_35663908'!$E$41</f>
        <v/>
      </c>
      <c r="F62" s="5">
        <f>'balance_raw_35663908'!$F$41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Periodeafgrænsningsposter (passiver)</t>
        </is>
      </c>
      <c r="B63" s="11">
        <f>'balance_raw_35663908'!$B$42</f>
        <v/>
      </c>
      <c r="C63" s="11">
        <f>'balance_raw_35663908'!$C$42</f>
        <v/>
      </c>
      <c r="D63" s="11">
        <f>'balance_raw_35663908'!$D$42</f>
        <v/>
      </c>
      <c r="E63" s="11">
        <f>'balance_raw_35663908'!$E$42</f>
        <v/>
      </c>
      <c r="F63" s="11">
        <f>'balance_raw_35663908'!$F$42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7" t="inlineStr">
        <is>
          <t>Kortfristede gældsforpligtelser</t>
        </is>
      </c>
      <c r="B64" s="8">
        <f>'balance_raw_35663908'!$B$43</f>
        <v/>
      </c>
      <c r="C64" s="8">
        <f>'balance_raw_35663908'!$C$43</f>
        <v/>
      </c>
      <c r="D64" s="8">
        <f>'balance_raw_35663908'!$D$43</f>
        <v/>
      </c>
      <c r="E64" s="8">
        <f>'balance_raw_35663908'!$E$43</f>
        <v/>
      </c>
      <c r="F64" s="8">
        <f>'balance_raw_35663908'!$F$43</f>
        <v/>
      </c>
      <c r="G64" t="inlineStr"/>
      <c r="H64" s="9">
        <f>IFERROR(B64/$B$64*100,"")</f>
        <v/>
      </c>
      <c r="I64" s="9">
        <f>IFERROR(C64/$B$64*100,"")</f>
        <v/>
      </c>
      <c r="J64" s="9">
        <f>IFERROR(D64/$B$64*100,"")</f>
        <v/>
      </c>
      <c r="K64" s="9">
        <f>IFERROR(E64/$B$64*100,"")</f>
        <v/>
      </c>
      <c r="L64" s="9">
        <f>IFERROR(F64/$B$64*100,"")</f>
        <v/>
      </c>
    </row>
    <row r="65" ht="16" customHeight="1">
      <c r="A65" s="7" t="inlineStr">
        <is>
          <t>Gældsforpligtelser</t>
        </is>
      </c>
      <c r="B65" s="8">
        <f>'balance_raw_35663908'!$B$44</f>
        <v/>
      </c>
      <c r="C65" s="8">
        <f>'balance_raw_35663908'!$C$44</f>
        <v/>
      </c>
      <c r="D65" s="8">
        <f>'balance_raw_35663908'!$D$44</f>
        <v/>
      </c>
      <c r="E65" s="8">
        <f>'balance_raw_35663908'!$E$44</f>
        <v/>
      </c>
      <c r="F65" s="8">
        <f>'balance_raw_35663908'!$F$44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7" t="inlineStr">
        <is>
          <t>Passiver</t>
        </is>
      </c>
      <c r="B66" s="8">
        <f>'balance_raw_35663908'!$B$45</f>
        <v/>
      </c>
      <c r="C66" s="8">
        <f>'balance_raw_35663908'!$C$45</f>
        <v/>
      </c>
      <c r="D66" s="8">
        <f>'balance_raw_35663908'!$D$45</f>
        <v/>
      </c>
      <c r="E66" s="8">
        <f>'balance_raw_35663908'!$E$45</f>
        <v/>
      </c>
      <c r="F66" s="8">
        <f>'balance_raw_35663908'!$F$45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8" ht="22" customHeight="1">
      <c r="A68" s="3" t="inlineStr">
        <is>
          <t>NØGLEOPLYSNINGER</t>
        </is>
      </c>
      <c r="B68" s="3" t="n">
        <v>2020</v>
      </c>
      <c r="C68" s="3" t="n">
        <v>2021</v>
      </c>
      <c r="D68" s="3" t="n">
        <v>2022</v>
      </c>
      <c r="E68" s="3" t="n">
        <v>2023</v>
      </c>
      <c r="F68" s="3" t="n">
        <v>2024</v>
      </c>
    </row>
    <row r="69" ht="16" customHeight="1">
      <c r="A69" s="10" t="inlineStr">
        <is>
          <t>Gns. antal medarbejdere</t>
        </is>
      </c>
      <c r="B69" s="11">
        <f>'res_raw_35663908'!$B$17</f>
        <v/>
      </c>
      <c r="C69" s="11">
        <f>'res_raw_35663908'!$C$17</f>
        <v/>
      </c>
      <c r="D69" s="11">
        <f>'res_raw_35663908'!$D$17</f>
        <v/>
      </c>
      <c r="E69" s="11">
        <f>'res_raw_35663908'!$E$17</f>
        <v/>
      </c>
      <c r="F69" s="11">
        <f>'res_raw_35663908'!$F$17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Investering i materielle anlægsaktiver</t>
        </is>
      </c>
      <c r="B70" s="5">
        <f>'res_raw_35663908'!$B$18</f>
        <v/>
      </c>
      <c r="C70" s="5">
        <f>'res_raw_35663908'!$C$18</f>
        <v/>
      </c>
      <c r="D70" s="5">
        <f>'res_raw_35663908'!$D$18</f>
        <v/>
      </c>
      <c r="E70" s="5">
        <f>'res_raw_35663908'!$E$18</f>
        <v/>
      </c>
      <c r="F70" s="5">
        <f>'res_raw_35663908'!$F$18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2" ht="22" customHeight="1">
      <c r="A72" s="3" t="inlineStr">
        <is>
          <t>NØGLETAL</t>
        </is>
      </c>
      <c r="B72" s="3" t="n">
        <v>2020</v>
      </c>
      <c r="C72" s="3" t="n">
        <v>2021</v>
      </c>
      <c r="D72" s="3" t="n">
        <v>2022</v>
      </c>
      <c r="E72" s="3" t="n">
        <v>2023</v>
      </c>
      <c r="F72" s="3" t="n">
        <v>2024</v>
      </c>
    </row>
    <row r="73" ht="16" customHeight="1">
      <c r="A73" s="10" t="inlineStr">
        <is>
          <t>Afkastningsgrad, %</t>
        </is>
      </c>
      <c r="B73" s="13">
        <f>IFERROR(($B$11+$B$13+$B$12)/$B$36*100,"")</f>
        <v/>
      </c>
      <c r="C73" s="13">
        <f>IFERROR(($C$11+$C$13+$C$12)/$C$36*100,"")</f>
        <v/>
      </c>
      <c r="D73" s="13">
        <f>IFERROR(($D$11+$D$13+$D$12)/$D$36*100,"")</f>
        <v/>
      </c>
      <c r="E73" s="13">
        <f>IFERROR(($E$11+$E$13+$E$12)/$E$36*100,"")</f>
        <v/>
      </c>
      <c r="F73" s="13">
        <f>IFERROR(($F$11+$F$13+$F$12)/$F$36*100,"")</f>
        <v/>
      </c>
    </row>
    <row r="74" ht="16" customHeight="1">
      <c r="A74" s="4" t="inlineStr">
        <is>
          <t>Overskudsgrad, %</t>
        </is>
      </c>
      <c r="B74" s="14">
        <f>IFERROR(($B$11+$B$13+$B$12)/$B$4*100,"")</f>
        <v/>
      </c>
      <c r="C74" s="14">
        <f>IFERROR(($C$11+$C$13+$C$12)/$C$4*100,"")</f>
        <v/>
      </c>
      <c r="D74" s="14">
        <f>IFERROR(($D$11+$D$13+$D$12)/$D$4*100,"")</f>
        <v/>
      </c>
      <c r="E74" s="14">
        <f>IFERROR(($E$11+$E$13+$E$12)/$E$4*100,"")</f>
        <v/>
      </c>
      <c r="F74" s="14">
        <f>IFERROR(($F$11+$F$13+$F$12)/$F$4*100,"")</f>
        <v/>
      </c>
    </row>
    <row r="75" ht="16" customHeight="1">
      <c r="A75" s="10" t="inlineStr">
        <is>
          <t>Aktivernes omsætningshastighed, gange</t>
        </is>
      </c>
      <c r="B75" s="13">
        <f>IFERROR($B$4/$B$36,"")</f>
        <v/>
      </c>
      <c r="C75" s="13">
        <f>IFERROR($C$4/$C$36,"")</f>
        <v/>
      </c>
      <c r="D75" s="13">
        <f>IFERROR($D$4/$D$36,"")</f>
        <v/>
      </c>
      <c r="E75" s="13">
        <f>IFERROR($E$4/$E$36,"")</f>
        <v/>
      </c>
      <c r="F75" s="13">
        <f>IFERROR($F$4/$F$36,"")</f>
        <v/>
      </c>
    </row>
    <row r="76" ht="16" customHeight="1">
      <c r="A76" s="4" t="inlineStr">
        <is>
          <t>Egenkapitalens forrentning, %</t>
        </is>
      </c>
      <c r="B76" s="14">
        <f>IFERROR($B$16/$B$45*100,"")</f>
        <v/>
      </c>
      <c r="C76" s="14">
        <f>IFERROR($C$16/$C$45*100,"")</f>
        <v/>
      </c>
      <c r="D76" s="14">
        <f>IFERROR($D$16/$D$45*100,"")</f>
        <v/>
      </c>
      <c r="E76" s="14">
        <f>IFERROR($E$16/$E$45*100,"")</f>
        <v/>
      </c>
      <c r="F76" s="14">
        <f>IFERROR($F$16/$F$45*100,"")</f>
        <v/>
      </c>
    </row>
    <row r="77" ht="16" customHeight="1">
      <c r="A77" s="10" t="inlineStr">
        <is>
          <t>Gældsrente, %</t>
        </is>
      </c>
      <c r="B77" s="13">
        <f>IFERROR($B$14/($B$66-$B$45)*100,"")</f>
        <v/>
      </c>
      <c r="C77" s="13">
        <f>IFERROR($C$14/($C$66-$C$45)*100,"")</f>
        <v/>
      </c>
      <c r="D77" s="13">
        <f>IFERROR($D$14/($D$66-$D$45)*100,"")</f>
        <v/>
      </c>
      <c r="E77" s="13">
        <f>IFERROR($E$14/($E$66-$E$45)*100,"")</f>
        <v/>
      </c>
      <c r="F77" s="13">
        <f>IFERROR($F$14/($F$66-$F$45)*100,"")</f>
        <v/>
      </c>
    </row>
    <row r="78" ht="16" customHeight="1">
      <c r="A78" s="4" t="inlineStr">
        <is>
          <t>Soliditetsgrad, %</t>
        </is>
      </c>
      <c r="B78" s="14">
        <f>IFERROR($B$45/$B$36*100,"")</f>
        <v/>
      </c>
      <c r="C78" s="14">
        <f>IFERROR($C$45/$C$36*100,"")</f>
        <v/>
      </c>
      <c r="D78" s="14">
        <f>IFERROR($D$45/$D$36*100,"")</f>
        <v/>
      </c>
      <c r="E78" s="14">
        <f>IFERROR($E$45/$E$36*100,"")</f>
        <v/>
      </c>
      <c r="F78" s="14">
        <f>IFERROR($F$45/$F$36*100,"")</f>
        <v/>
      </c>
    </row>
    <row r="79" ht="16" customHeight="1">
      <c r="A79" s="10" t="inlineStr">
        <is>
          <t>Gearing</t>
        </is>
      </c>
      <c r="B79" s="13">
        <f>IFERROR(($B$66-$B$45)/$B$45,"")</f>
        <v/>
      </c>
      <c r="C79" s="13">
        <f>IFERROR(($C$66-$C$45)/$C$45,"")</f>
        <v/>
      </c>
      <c r="D79" s="13">
        <f>IFERROR(($D$66-$D$45)/$D$45,"")</f>
        <v/>
      </c>
      <c r="E79" s="13">
        <f>IFERROR(($E$66-$E$45)/$E$45,"")</f>
        <v/>
      </c>
      <c r="F79" s="13">
        <f>IFERROR(($F$66-$F$45)/$F$45,"")</f>
        <v/>
      </c>
    </row>
    <row r="80" ht="16" customHeight="1">
      <c r="A80" s="4" t="inlineStr">
        <is>
          <t>Likviditetsgrad, %</t>
        </is>
      </c>
      <c r="B80" s="14">
        <f>IFERROR($B$35/$B$64*100,"")</f>
        <v/>
      </c>
      <c r="C80" s="14">
        <f>IFERROR($C$35/$C$64*100,"")</f>
        <v/>
      </c>
      <c r="D80" s="14">
        <f>IFERROR($D$35/$D$64*100,"")</f>
        <v/>
      </c>
      <c r="E80" s="14">
        <f>IFERROR($E$35/$E$64*100,"")</f>
        <v/>
      </c>
      <c r="F80" s="14">
        <f>IFERROR($F$35/$F$64*100,"")</f>
        <v/>
      </c>
    </row>
    <row r="81" ht="16" customHeight="1">
      <c r="A81" s="10" t="inlineStr">
        <is>
          <t>Rentemarginal, %</t>
        </is>
      </c>
      <c r="B81" s="13">
        <f>IFERROR(B73-B77,"")</f>
        <v/>
      </c>
      <c r="C81" s="13">
        <f>IFERROR(C73-C77,"")</f>
        <v/>
      </c>
      <c r="D81" s="13">
        <f>IFERROR(D73-D77,"")</f>
        <v/>
      </c>
      <c r="E81" s="13">
        <f>IFERROR(E73-E77,"")</f>
        <v/>
      </c>
      <c r="F81" s="13">
        <f>IFERROR(F73-F77,"")</f>
        <v/>
      </c>
    </row>
    <row r="82" ht="16" customHeight="1">
      <c r="A82" s="4" t="inlineStr">
        <is>
          <t>Gældsandel, %</t>
        </is>
      </c>
      <c r="B82" s="14">
        <f>IFERROR(($B$66-$B$45)/$B$36*100,"")</f>
        <v/>
      </c>
      <c r="C82" s="14">
        <f>IFERROR(($C$66-$C$45)/$C$36*100,"")</f>
        <v/>
      </c>
      <c r="D82" s="14">
        <f>IFERROR(($D$66-$D$45)/$D$36*100,"")</f>
        <v/>
      </c>
      <c r="E82" s="14">
        <f>IFERROR(($E$66-$E$45)/$E$36*100,"")</f>
        <v/>
      </c>
      <c r="F82" s="14">
        <f>IFERROR(($F$66-$F$45)/$F$36*100,"")</f>
        <v/>
      </c>
    </row>
    <row r="83" ht="16" customHeight="1">
      <c r="A83" s="10" t="inlineStr">
        <is>
          <t>Kapitalbindingsgrad, %</t>
        </is>
      </c>
      <c r="B83" s="13">
        <f>IFERROR($B$23/($B$45+$B$52)*100,"")</f>
        <v/>
      </c>
      <c r="C83" s="13">
        <f>IFERROR($C$23/($C$45+$C$52)*100,"")</f>
        <v/>
      </c>
      <c r="D83" s="13">
        <f>IFERROR($D$23/($D$45+$D$52)*100,"")</f>
        <v/>
      </c>
      <c r="E83" s="13">
        <f>IFERROR($E$23/($E$45+$E$52)*100,"")</f>
        <v/>
      </c>
      <c r="F83" s="13">
        <f>IFERROR($F$23/($F$45+$F$52)*100,"")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1983400</v>
      </c>
      <c r="C2" s="16" t="n">
        <v>2381500</v>
      </c>
      <c r="D2" s="16" t="n">
        <v>3128500</v>
      </c>
      <c r="E2" s="16" t="n">
        <v>3377900</v>
      </c>
      <c r="F2" s="16" t="n">
        <v>3455600</v>
      </c>
    </row>
    <row r="3">
      <c r="A3" s="15" t="inlineStr">
        <is>
          <t>Produktionsomkostninger</t>
        </is>
      </c>
      <c r="B3" s="16" t="n"/>
      <c r="C3" s="16" t="n">
        <v>1288700</v>
      </c>
      <c r="D3" s="16" t="n">
        <v>1733800</v>
      </c>
      <c r="E3" s="16" t="n">
        <v>1810800</v>
      </c>
      <c r="F3" s="16" t="n">
        <v>1796800</v>
      </c>
    </row>
    <row r="4">
      <c r="A4" s="17" t="inlineStr">
        <is>
          <t>Bruttoresultat</t>
        </is>
      </c>
      <c r="B4" s="16" t="n">
        <v>882200</v>
      </c>
      <c r="C4" s="16" t="n">
        <v>1047600</v>
      </c>
      <c r="D4" s="16" t="n">
        <v>1339700</v>
      </c>
      <c r="E4" s="16" t="n">
        <v>1518200</v>
      </c>
      <c r="F4" s="16" t="n">
        <v>1600800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Andre driftsindtægter</t>
        </is>
      </c>
      <c r="B7" s="16" t="n"/>
      <c r="C7" s="16" t="n"/>
      <c r="D7" s="16" t="n">
        <v>16500</v>
      </c>
      <c r="E7" s="16" t="n">
        <v>23600</v>
      </c>
      <c r="F7" s="16" t="n"/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298300</v>
      </c>
      <c r="C9" s="16" t="n">
        <v>378200</v>
      </c>
      <c r="D9" s="16" t="n">
        <v>498300</v>
      </c>
      <c r="E9" s="16" t="n">
        <v>621400</v>
      </c>
      <c r="F9" s="16" t="n">
        <v>576900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23400</v>
      </c>
      <c r="C11" s="16" t="n">
        <v>29800</v>
      </c>
      <c r="D11" s="16" t="n">
        <v>101800</v>
      </c>
      <c r="E11" s="16" t="n">
        <v>25500</v>
      </c>
      <c r="F11" s="16" t="n">
        <v>20600</v>
      </c>
    </row>
    <row r="12">
      <c r="A12" s="15" t="inlineStr">
        <is>
          <t>Finansielle omkostninger</t>
        </is>
      </c>
      <c r="B12" s="16" t="n">
        <v>38000</v>
      </c>
      <c r="C12" s="16" t="n">
        <v>34100</v>
      </c>
      <c r="D12" s="16" t="n">
        <v>37200</v>
      </c>
      <c r="E12" s="16" t="n">
        <v>48800</v>
      </c>
      <c r="F12" s="16" t="n">
        <v>62500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283700</v>
      </c>
      <c r="C14" s="16" t="n">
        <v>355900</v>
      </c>
      <c r="D14" s="16" t="n">
        <v>562900</v>
      </c>
      <c r="E14" s="16" t="n">
        <v>598100</v>
      </c>
      <c r="F14" s="16" t="n">
        <v>535000</v>
      </c>
    </row>
    <row r="15">
      <c r="A15" s="15" t="inlineStr">
        <is>
          <t>Skat af årets resultat</t>
        </is>
      </c>
      <c r="B15" s="16" t="n">
        <v>59300</v>
      </c>
      <c r="C15" s="16" t="n"/>
      <c r="D15" s="16" t="n">
        <v>115400</v>
      </c>
      <c r="E15" s="16" t="n">
        <v>133700</v>
      </c>
      <c r="F15" s="16" t="n">
        <v>116000</v>
      </c>
    </row>
    <row r="16">
      <c r="A16" s="17" t="inlineStr">
        <is>
          <t>Årets resultat</t>
        </is>
      </c>
      <c r="B16" s="16" t="n">
        <v>224400</v>
      </c>
      <c r="C16" s="16" t="n">
        <v>279200</v>
      </c>
      <c r="D16" s="16" t="n">
        <v>447500</v>
      </c>
      <c r="E16" s="16" t="n">
        <v>464400</v>
      </c>
      <c r="F16" s="16" t="n">
        <v>419000</v>
      </c>
    </row>
    <row r="17">
      <c r="A17" s="15" t="inlineStr">
        <is>
          <t>Gns. antal medarbejdere</t>
        </is>
      </c>
      <c r="B17" s="16" t="n">
        <v>1419</v>
      </c>
      <c r="C17" s="16" t="n">
        <v>1488</v>
      </c>
      <c r="D17" s="16" t="n">
        <v>1811</v>
      </c>
      <c r="E17" s="16" t="n">
        <v>3</v>
      </c>
      <c r="F17" s="16" t="n">
        <v>1886</v>
      </c>
    </row>
    <row r="18">
      <c r="A18" s="15" t="inlineStr">
        <is>
          <t>Investering i materielle anlægsaktiver</t>
        </is>
      </c>
      <c r="B18" s="16" t="n">
        <v>14200</v>
      </c>
      <c r="C18" s="16" t="n">
        <v>19900</v>
      </c>
      <c r="D18" s="16" t="n">
        <v>39900</v>
      </c>
      <c r="E18" s="16" t="n">
        <v>59600</v>
      </c>
      <c r="F18" s="16" t="n">
        <v>102600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7" t="inlineStr">
        <is>
          <t>Immaterielle anlægsaktiver</t>
        </is>
      </c>
      <c r="B2" s="16" t="n">
        <v>1273100</v>
      </c>
      <c r="C2" s="16" t="n">
        <v>1288800</v>
      </c>
      <c r="D2" s="16" t="n">
        <v>1289800</v>
      </c>
      <c r="E2" s="16" t="n">
        <v>1295100</v>
      </c>
      <c r="F2" s="16" t="n">
        <v>1320100</v>
      </c>
    </row>
    <row r="3">
      <c r="A3" s="17" t="inlineStr">
        <is>
          <t>Materielle anlægsaktiver</t>
        </is>
      </c>
      <c r="B3" s="16" t="n">
        <v>127800</v>
      </c>
      <c r="C3" s="16" t="n"/>
      <c r="D3" s="16" t="n">
        <v>145300</v>
      </c>
      <c r="E3" s="16" t="n">
        <v>179300</v>
      </c>
      <c r="F3" s="16" t="n">
        <v>243300</v>
      </c>
    </row>
    <row r="4">
      <c r="A4" s="17" t="inlineStr">
        <is>
          <t>Anlægsaktiver</t>
        </is>
      </c>
      <c r="B4" s="16" t="n">
        <v>1630700</v>
      </c>
      <c r="C4" s="16" t="n">
        <v>1642900</v>
      </c>
      <c r="D4" s="16" t="n">
        <v>1714500</v>
      </c>
      <c r="E4" s="16" t="n">
        <v>1708000</v>
      </c>
      <c r="F4" s="16" t="n">
        <v>1774400</v>
      </c>
    </row>
    <row r="5">
      <c r="A5" s="17" t="inlineStr">
        <is>
          <t>Varebeholdninger</t>
        </is>
      </c>
      <c r="B5" s="16" t="n">
        <v>124600</v>
      </c>
      <c r="C5" s="16" t="n">
        <v>168200</v>
      </c>
      <c r="D5" s="16" t="n">
        <v>260200</v>
      </c>
      <c r="E5" s="16" t="n">
        <v>219900</v>
      </c>
      <c r="F5" s="16" t="n">
        <v>238400</v>
      </c>
    </row>
    <row r="6">
      <c r="A6" s="15" t="inlineStr">
        <is>
          <t>Tilgodehavender fra salg og tjenesteydelser</t>
        </is>
      </c>
      <c r="B6" s="16" t="n"/>
      <c r="C6" s="16" t="n">
        <v>462300</v>
      </c>
      <c r="D6" s="16" t="n"/>
      <c r="E6" s="16" t="n"/>
      <c r="F6" s="16" t="n"/>
    </row>
    <row r="7">
      <c r="A7" s="15" t="inlineStr">
        <is>
          <t>Tilgodehavender hos tilknyttede virksomheder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tilgodehavender</t>
        </is>
      </c>
      <c r="B8" s="16" t="n"/>
      <c r="C8" s="16" t="n"/>
      <c r="D8" s="16" t="n"/>
      <c r="E8" s="16" t="n"/>
      <c r="F8" s="16" t="n"/>
    </row>
    <row r="9">
      <c r="A9" s="15" t="inlineStr">
        <is>
          <t>Periodeafgrænsningsposter (aktiver)</t>
        </is>
      </c>
      <c r="B9" s="16" t="n">
        <v>31600</v>
      </c>
      <c r="C9" s="16" t="n">
        <v>42700</v>
      </c>
      <c r="D9" s="16" t="n">
        <v>54000</v>
      </c>
      <c r="E9" s="16" t="n">
        <v>48500</v>
      </c>
      <c r="F9" s="16" t="n">
        <v>64800</v>
      </c>
    </row>
    <row r="10">
      <c r="A10" s="15" t="inlineStr">
        <is>
          <t>Udskudt skatteaktiv</t>
        </is>
      </c>
      <c r="B10" s="16" t="n">
        <v>3600</v>
      </c>
      <c r="C10" s="16" t="n">
        <v>5400</v>
      </c>
      <c r="D10" s="16" t="n">
        <v>10100</v>
      </c>
      <c r="E10" s="16" t="n">
        <v>10400</v>
      </c>
      <c r="F10" s="16" t="n">
        <v>11400</v>
      </c>
    </row>
    <row r="11">
      <c r="A11" s="15" t="inlineStr">
        <is>
          <t>Tilgodehavende skat hos tilknyttede virksomheder</t>
        </is>
      </c>
      <c r="B11" s="16" t="n"/>
      <c r="C11" s="16" t="n"/>
      <c r="D11" s="16" t="n"/>
      <c r="E11" s="16" t="n"/>
      <c r="F11" s="16" t="n"/>
    </row>
    <row r="12">
      <c r="A12" s="15" t="inlineStr">
        <is>
          <t>Kortfristede skattetilgodehavender</t>
        </is>
      </c>
      <c r="B12" s="16" t="n"/>
      <c r="C12" s="16" t="n"/>
      <c r="D12" s="16" t="n">
        <v>9000</v>
      </c>
      <c r="E12" s="16" t="n">
        <v>0</v>
      </c>
      <c r="F12" s="16" t="n"/>
    </row>
    <row r="13">
      <c r="A13" s="17" t="inlineStr">
        <is>
          <t>Tilgodehavender</t>
        </is>
      </c>
      <c r="B13" s="16" t="n"/>
      <c r="C13" s="16" t="n">
        <v>38800</v>
      </c>
      <c r="D13" s="16" t="n">
        <v>65200</v>
      </c>
      <c r="E13" s="16" t="n">
        <v>41500</v>
      </c>
      <c r="F13" s="16" t="n">
        <v>43200</v>
      </c>
    </row>
    <row r="14">
      <c r="A14" s="15" t="inlineStr">
        <is>
          <t>Værdipapirer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Likvide beholdninger</t>
        </is>
      </c>
      <c r="B15" s="16" t="n">
        <v>197100</v>
      </c>
      <c r="C15" s="16" t="n">
        <v>116000</v>
      </c>
      <c r="D15" s="16" t="n">
        <v>195100</v>
      </c>
      <c r="E15" s="16" t="n">
        <v>243900</v>
      </c>
      <c r="F15" s="16" t="n">
        <v>243900</v>
      </c>
    </row>
    <row r="16">
      <c r="A16" s="17" t="inlineStr">
        <is>
          <t>Omsætningsaktiver</t>
        </is>
      </c>
      <c r="B16" s="16" t="n">
        <v>729000</v>
      </c>
      <c r="C16" s="16" t="n">
        <v>845900</v>
      </c>
      <c r="D16" s="16" t="n">
        <v>1259600</v>
      </c>
      <c r="E16" s="16" t="n">
        <v>1177800</v>
      </c>
      <c r="F16" s="16" t="n">
        <v>1196400</v>
      </c>
    </row>
    <row r="17">
      <c r="A17" s="17" t="inlineStr">
        <is>
          <t>Aktiver</t>
        </is>
      </c>
      <c r="B17" s="16" t="n">
        <v>2359700</v>
      </c>
      <c r="C17" s="16" t="n">
        <v>2488800</v>
      </c>
      <c r="D17" s="16" t="n">
        <v>2974100</v>
      </c>
      <c r="E17" s="16" t="n">
        <v>2885800</v>
      </c>
      <c r="F17" s="16" t="n">
        <v>2970800</v>
      </c>
    </row>
    <row r="18">
      <c r="A18" s="15" t="inlineStr">
        <is>
          <t>Selskabskapital</t>
        </is>
      </c>
      <c r="B18" s="16" t="n">
        <v>51800</v>
      </c>
      <c r="C18" s="16" t="n">
        <v>51900</v>
      </c>
      <c r="D18" s="16" t="n">
        <v>51900</v>
      </c>
      <c r="E18" s="16" t="n">
        <v>51900</v>
      </c>
      <c r="F18" s="16" t="n">
        <v>51900</v>
      </c>
    </row>
    <row r="19">
      <c r="A19" s="15" t="inlineStr">
        <is>
          <t>Reserve for nettoopskrivning (indre værdis metode)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Reserve for udviklingsomkostninger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Reserve for sikringstransaktioner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Andre reserver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Overført resultat</t>
        </is>
      </c>
      <c r="B23" s="16" t="n"/>
      <c r="C23" s="16" t="n">
        <v>756600</v>
      </c>
      <c r="D23" s="16" t="n">
        <v>955900</v>
      </c>
      <c r="E23" s="16" t="n">
        <v>982100</v>
      </c>
      <c r="F23" s="16" t="n">
        <v>892200</v>
      </c>
    </row>
    <row r="24">
      <c r="A24" s="17" t="inlineStr">
        <is>
          <t>Egenkapital i alt</t>
        </is>
      </c>
      <c r="B24" s="16" t="n">
        <v>1027600</v>
      </c>
      <c r="C24" s="16" t="n">
        <v>1032100</v>
      </c>
      <c r="D24" s="16" t="n">
        <v>1220400</v>
      </c>
      <c r="E24" s="16" t="n">
        <v>1446800</v>
      </c>
      <c r="F24" s="16" t="n">
        <v>1448400</v>
      </c>
    </row>
    <row r="25">
      <c r="A25" s="15" t="inlineStr">
        <is>
          <t>Hensættelse til udskudt skat</t>
        </is>
      </c>
      <c r="B25" s="16" t="n">
        <v>51200</v>
      </c>
      <c r="C25" s="16" t="n">
        <v>42800</v>
      </c>
      <c r="D25" s="16" t="n">
        <v>43300</v>
      </c>
      <c r="E25" s="16" t="n">
        <v>45300</v>
      </c>
      <c r="F25" s="16" t="n">
        <v>48300</v>
      </c>
    </row>
    <row r="26">
      <c r="A26" s="17" t="inlineStr">
        <is>
          <t>Hensatte forpligtelser</t>
        </is>
      </c>
      <c r="B26" s="16" t="n">
        <v>12800</v>
      </c>
      <c r="C26" s="16" t="n">
        <v>14000</v>
      </c>
      <c r="D26" s="16" t="n">
        <v>43300</v>
      </c>
      <c r="E26" s="16" t="n">
        <v>45300</v>
      </c>
      <c r="F26" s="16" t="n">
        <v>48300</v>
      </c>
    </row>
    <row r="27">
      <c r="A27" s="15" t="inlineStr">
        <is>
          <t>Ansvarlig lånekapital (langfristet)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Langfristede lån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Leasingforpligtelser (langfristet)</t>
        </is>
      </c>
      <c r="B29" s="16" t="n">
        <v>186200</v>
      </c>
      <c r="C29" s="16" t="n">
        <v>182200</v>
      </c>
      <c r="D29" s="16" t="n">
        <v>185900</v>
      </c>
      <c r="E29" s="16" t="n">
        <v>153800</v>
      </c>
      <c r="F29" s="16" t="n">
        <v>142900</v>
      </c>
    </row>
    <row r="30">
      <c r="A30" s="15" t="inlineStr">
        <is>
          <t>Anden gæld (langfristet)</t>
        </is>
      </c>
      <c r="B30" s="16" t="n">
        <v>68900</v>
      </c>
      <c r="C30" s="16" t="n">
        <v>52100</v>
      </c>
      <c r="D30" s="16" t="n"/>
      <c r="E30" s="16" t="n"/>
      <c r="F30" s="16" t="n">
        <v>29500</v>
      </c>
    </row>
    <row r="31">
      <c r="A31" s="17" t="inlineStr">
        <is>
          <t>Langfristede gældsforpligtelser</t>
        </is>
      </c>
      <c r="B31" s="16" t="n">
        <v>774900</v>
      </c>
      <c r="C31" s="16" t="n">
        <v>858700</v>
      </c>
      <c r="D31" s="16" t="n">
        <v>1007900</v>
      </c>
      <c r="E31" s="16" t="n">
        <v>812400</v>
      </c>
      <c r="F31" s="16" t="n">
        <v>808200</v>
      </c>
    </row>
    <row r="32">
      <c r="A32" s="15" t="inlineStr">
        <is>
          <t>Ansvarlig lånekapital (kortfristet)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Kortfristet del af langfristede gældsforpligtelser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Kreditinstitutter</t>
        </is>
      </c>
      <c r="B34" s="16" t="n"/>
      <c r="C34" s="16" t="n">
        <v>97100</v>
      </c>
      <c r="D34" s="16" t="n"/>
      <c r="E34" s="16" t="n"/>
      <c r="F34" s="16" t="n"/>
    </row>
    <row r="35">
      <c r="A35" s="15" t="inlineStr">
        <is>
          <t>Leasingforpligtelser (kortfristet)</t>
        </is>
      </c>
      <c r="B35" s="16" t="n">
        <v>45900</v>
      </c>
      <c r="C35" s="16" t="n">
        <v>45600</v>
      </c>
      <c r="D35" s="16" t="n">
        <v>55800</v>
      </c>
      <c r="E35" s="16" t="n">
        <v>54600</v>
      </c>
      <c r="F35" s="16" t="n">
        <v>67300</v>
      </c>
    </row>
    <row r="36">
      <c r="A36" s="15" t="inlineStr">
        <is>
          <t>Leverandører af varer og tjenesteydelser</t>
        </is>
      </c>
      <c r="B36" s="16" t="n">
        <v>193600</v>
      </c>
      <c r="C36" s="16" t="n">
        <v>241800</v>
      </c>
      <c r="D36" s="16" t="n">
        <v>249200</v>
      </c>
      <c r="E36" s="16" t="n">
        <v>260400</v>
      </c>
      <c r="F36" s="16" t="n">
        <v>302300</v>
      </c>
    </row>
    <row r="37">
      <c r="A37" s="15" t="inlineStr">
        <is>
          <t>Gæld til tilknyttede virksomheder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Gæld til selskabsdeltagere og ledelse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Selskabsskat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Gæld til tilknyttede virksomheder vedr. selskabsskat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Anden gæld (kortfristet)</t>
        </is>
      </c>
      <c r="B41" s="16" t="n">
        <v>122500</v>
      </c>
      <c r="C41" s="16" t="n"/>
      <c r="D41" s="16" t="n">
        <v>185600</v>
      </c>
      <c r="E41" s="16" t="n">
        <v>183200</v>
      </c>
      <c r="F41" s="16" t="n"/>
    </row>
    <row r="42">
      <c r="A42" s="15" t="inlineStr">
        <is>
          <t>Periodeafgrænsningsposter (passiver)</t>
        </is>
      </c>
      <c r="B42" s="16" t="n"/>
      <c r="C42" s="16" t="n"/>
      <c r="D42" s="16" t="n"/>
      <c r="E42" s="16" t="n"/>
      <c r="F42" s="16" t="n"/>
    </row>
    <row r="43">
      <c r="A43" s="17" t="inlineStr">
        <is>
          <t>Kortfristede gældsforpligtelser</t>
        </is>
      </c>
      <c r="B43" s="16" t="n">
        <v>557200</v>
      </c>
      <c r="C43" s="16" t="n">
        <v>598000</v>
      </c>
      <c r="D43" s="16" t="n">
        <v>745800</v>
      </c>
      <c r="E43" s="16" t="n">
        <v>626600</v>
      </c>
      <c r="F43" s="16" t="n">
        <v>714200</v>
      </c>
    </row>
    <row r="44">
      <c r="A44" s="17" t="inlineStr">
        <is>
          <t>Gældsforpligtelser</t>
        </is>
      </c>
      <c r="B44" s="16" t="n">
        <v>1332100</v>
      </c>
      <c r="C44" s="16" t="n">
        <v>1456700</v>
      </c>
      <c r="D44" s="16" t="n">
        <v>1753700</v>
      </c>
      <c r="E44" s="16" t="n">
        <v>1439000</v>
      </c>
      <c r="F44" s="16" t="n">
        <v>1522400</v>
      </c>
    </row>
    <row r="45">
      <c r="A45" s="17" t="inlineStr">
        <is>
          <t>Passiver</t>
        </is>
      </c>
      <c r="B45" s="16" t="n">
        <v>2359700</v>
      </c>
      <c r="C45" s="16" t="n">
        <v>2488800</v>
      </c>
      <c r="D45" s="16" t="n">
        <v>2974100</v>
      </c>
      <c r="E45" s="16" t="n">
        <v>2885800</v>
      </c>
      <c r="F45" s="16" t="n">
        <v>2970800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35663908)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'res_raw_35663908'!$F$2</f>
        <v/>
      </c>
      <c r="C5" s="24">
        <f>'res_raw_35663908'!$E$2</f>
        <v/>
      </c>
      <c r="D5" s="24">
        <f>'res_raw_35663908'!$D$2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-'res_raw_35663908'!$F$3</f>
        <v/>
      </c>
      <c r="C6" s="24">
        <f>-'res_raw_35663908'!$E$3</f>
        <v/>
      </c>
      <c r="D6" s="24">
        <f>-'res_raw_35663908'!$D$3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-'res_raw_35663908'!$F$5</f>
        <v/>
      </c>
      <c r="C8" s="24">
        <f>-'res_raw_35663908'!$E$5</f>
        <v/>
      </c>
      <c r="D8" s="24">
        <f>-'res_raw_35663908'!$D$5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-'res_raw_35663908'!$F$6</f>
        <v/>
      </c>
      <c r="C9" s="24">
        <f>-'res_raw_35663908'!$E$6</f>
        <v/>
      </c>
      <c r="D9" s="24">
        <f>-'res_raw_35663908'!$D$6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'res_raw_35663908'!$F$7</f>
        <v/>
      </c>
      <c r="C10" s="24">
        <f>'res_raw_35663908'!$E$7</f>
        <v/>
      </c>
      <c r="D10" s="24">
        <f>'res_raw_35663908'!$D$7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-'res_raw_35663908'!$F$8</f>
        <v/>
      </c>
      <c r="C11" s="24">
        <f>-'res_raw_35663908'!$E$8</f>
        <v/>
      </c>
      <c r="D11" s="24">
        <f>-'res_raw_35663908'!$D$8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N('res_raw_35663908'!$F$10)+N('res_raw_35663908'!$F$11)</f>
        <v/>
      </c>
      <c r="C13" s="24">
        <f>N('res_raw_35663908'!$E$10)+N('res_raw_35663908'!$E$11)</f>
        <v/>
      </c>
      <c r="D13" s="24">
        <f>N('res_raw_35663908'!$D$10)+N('res_raw_35663908'!$D$11)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-'res_raw_35663908'!$F$12</f>
        <v/>
      </c>
      <c r="C14" s="24">
        <f>-'res_raw_35663908'!$E$12</f>
        <v/>
      </c>
      <c r="D14" s="24">
        <f>-'res_raw_35663908'!$D$12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'balance_raw_35663908'!$F$4</f>
        <v/>
      </c>
      <c r="C18" s="24">
        <f>'balance_raw_35663908'!$E$4</f>
        <v/>
      </c>
      <c r="D18" s="24">
        <f>'balance_raw_35663908'!$D$4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'balance_raw_35663908'!$F$16</f>
        <v/>
      </c>
      <c r="C19" s="24">
        <f>'balance_raw_35663908'!$E$16</f>
        <v/>
      </c>
      <c r="D19" s="24">
        <f>'balance_raw_35663908'!$D$16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'balance_raw_35663908'!$F$24</f>
        <v/>
      </c>
      <c r="C22" s="24">
        <f>'balance_raw_35663908'!$E$24</f>
        <v/>
      </c>
      <c r="D22" s="24">
        <f>'balance_raw_35663908'!$D$24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'balance_raw_35663908'!$F$45-'balance_raw_35663908'!$F$24</f>
        <v/>
      </c>
      <c r="C23" s="24">
        <f>'balance_raw_35663908'!$E$45-'balance_raw_35663908'!$E$24</f>
        <v/>
      </c>
      <c r="D23" s="24">
        <f>'balance_raw_35663908'!$D$45-'balance_raw_35663908'!$D$24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'balance_raw_35663908'!$F$5</f>
        <v/>
      </c>
      <c r="C27" s="24">
        <f>'balance_raw_35663908'!$E$5</f>
        <v/>
      </c>
      <c r="D27" s="24">
        <f>'balance_raw_35663908'!$D$5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'balance_raw_35663908'!$F$6</f>
        <v/>
      </c>
      <c r="C28" s="24">
        <f>'balance_raw_35663908'!$E$6</f>
        <v/>
      </c>
      <c r="D28" s="24">
        <f>'balance_raw_35663908'!$D$6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'balance_raw_35663908'!$F$43</f>
        <v/>
      </c>
      <c r="C29" s="24">
        <f>'balance_raw_35663908'!$E$43</f>
        <v/>
      </c>
      <c r="D29" s="24">
        <f>'balance_raw_35663908'!$D$43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IF('balance_raw_35663908'!$F$17="","—",IF(ABS(B20-'balance_raw_35663908'!$F$17)&lt;=1,"✓ OK","❌ "&amp;TEXT(B20-'balance_raw_35663908'!$F$17,"+#,##0;-#,##0")&amp;" t.kr."))</f>
        <v/>
      </c>
      <c r="C60" s="29">
        <f>IF('balance_raw_35663908'!$E$17="","—",IF(ABS(C20-'balance_raw_35663908'!$E$17)&lt;=1,"✓ OK","❌ "&amp;TEXT(C20-'balance_raw_35663908'!$E$17,"+#,##0;-#,##0")&amp;" t.kr."))</f>
        <v/>
      </c>
      <c r="D60" s="29">
        <f>IF('balance_raw_35663908'!$D$17="","—",IF(ABS(D20-'balance_raw_35663908'!$D$17)&lt;=1,"✓ OK","❌ "&amp;TEXT(D20-'balance_raw_35663908'!$D$17,"+#,##0;-#,##0")&amp;"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IF('balance_raw_35663908'!$F$45="","—",IF(ABS(B24-'balance_raw_35663908'!$F$45)&lt;=1,"✓ OK","❌ "&amp;TEXT(B24-'balance_raw_35663908'!$F$45,"+#,##0;-#,##0")&amp;" t.kr."))</f>
        <v/>
      </c>
      <c r="C61" s="29">
        <f>IF('balance_raw_35663908'!$E$45="","—",IF(ABS(C24-'balance_raw_35663908'!$E$45)&lt;=1,"✓ OK","❌ "&amp;TEXT(C24-'balance_raw_35663908'!$E$45,"+#,##0;-#,##0")&amp;" t.kr."))</f>
        <v/>
      </c>
      <c r="D61" s="29">
        <f>IF('balance_raw_35663908'!$D$45="","—",IF(ABS(D24-'balance_raw_35663908'!$D$45)&lt;=1,"✓ OK","❌ "&amp;TEXT(D24-'balance_raw_35663908'!$D$45,"+#,##0;-#,##0")&amp;"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IF('res_raw_35663908'!$F$4="","—",IF(ABS(B7-'res_raw_35663908'!$F$4)&lt;=1,"✓ OK","❌ "&amp;TEXT(B7-'res_raw_35663908'!$F$4,"+#,##0;-#,##0")&amp;" t.kr."))</f>
        <v/>
      </c>
      <c r="C63" s="29">
        <f>IF('res_raw_35663908'!$E$4="","—",IF(ABS(C7-'res_raw_35663908'!$E$4)&lt;=1,"✓ OK","❌ "&amp;TEXT(C7-'res_raw_35663908'!$E$4,"+#,##0;-#,##0")&amp;" t.kr."))</f>
        <v/>
      </c>
      <c r="D63" s="29">
        <f>IF('res_raw_35663908'!$D$4="","—",IF(ABS(D7-'res_raw_35663908'!$D$4)&lt;=1,"✓ OK","❌ "&amp;TEXT(D7-'res_raw_35663908'!$D$4,"+#,##0;-#,##0")&amp;"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IF('res_raw_35663908'!$F$9="","—",IF(ABS(B12-'res_raw_35663908'!$F$9)&lt;=1,"✓ OK","❌ "&amp;TEXT(B12-'res_raw_35663908'!$F$9,"+#,##0;-#,##0")&amp;" t.kr."))</f>
        <v/>
      </c>
      <c r="C64" s="29">
        <f>IF('res_raw_35663908'!$E$9="","—",IF(ABS(C12-'res_raw_35663908'!$E$9)&lt;=1,"✓ OK","❌ "&amp;TEXT(C12-'res_raw_35663908'!$E$9,"+#,##0;-#,##0")&amp;" t.kr."))</f>
        <v/>
      </c>
      <c r="D64" s="29">
        <f>IF('res_raw_35663908'!$D$9="","—",IF(ABS(D12-'res_raw_35663908'!$D$9)&lt;=1,"✓ OK","❌ "&amp;TEXT(D12-'res_raw_35663908'!$D$9,"+#,##0;-#,##0")&amp;"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IF('res_raw_35663908'!$F$14="","—",IF(ABS(B15-'res_raw_35663908'!$F$14)&lt;=1,"✓ OK","❌ "&amp;TEXT(B15-'res_raw_35663908'!$F$14,"+#,##0;-#,##0")&amp;" t.kr."))</f>
        <v/>
      </c>
      <c r="C65" s="29">
        <f>IF('res_raw_35663908'!$E$14="","—",IF(ABS(C15-'res_raw_35663908'!$E$14)&lt;=1,"✓ OK","❌ "&amp;TEXT(C15-'res_raw_35663908'!$E$14,"+#,##0;-#,##0")&amp;" t.kr."))</f>
        <v/>
      </c>
      <c r="D65" s="29">
        <f>IF('res_raw_35663908'!$D$14="","—",IF(ABS(D15-'res_raw_35663908'!$D$14)&lt;=1,"✓ OK","❌ "&amp;TEXT(D15-'res_raw_35663908'!$D$14,"+#,##0;-#,##0")&amp;"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2026-09-07T19:38:03Z</dcterms:created>
  <dcterms:modified xmlns:dcterms="http://purl.org/dc/terms/" xmlns:xsi="http://www.w3.org/2001/XMLSchema-instance" xsi:type="dcterms:W3CDTF">2026-09-07T19:38:04Z</dcterms:modified>
</cp:coreProperties>
</file>