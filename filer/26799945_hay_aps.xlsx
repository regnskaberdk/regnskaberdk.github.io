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799945" sheetId="1" state="visible" r:id="rId1"/>
    <sheet xmlns:r="http://schemas.openxmlformats.org/officeDocument/2006/relationships" name="res_raw_26799945" sheetId="2" state="visible" r:id="rId2"/>
    <sheet xmlns:r="http://schemas.openxmlformats.org/officeDocument/2006/relationships" name="balance_raw_2679994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HAY ApS (CVR 26799945) — Regnskabsanalyse – Resultatopgørelse &amp; Balance (t.kr.) · Klasse C-stor · Revision · Regnskabsår 1/6–31/5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'res_raw_26799945'!$B$2</f>
        <v/>
      </c>
      <c r="C4" s="5">
        <f>'res_raw_26799945'!$C$2</f>
        <v/>
      </c>
      <c r="D4" s="5">
        <f>'res_raw_26799945'!$D$2</f>
        <v/>
      </c>
      <c r="E4" s="5">
        <f>'res_raw_26799945'!$E$2</f>
        <v/>
      </c>
      <c r="F4" s="5">
        <f>'res_raw_26799945'!$F$2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'res_raw_26799945'!$B$3</f>
        <v/>
      </c>
      <c r="C5" s="8">
        <f>'res_raw_26799945'!$C$3</f>
        <v/>
      </c>
      <c r="D5" s="8">
        <f>'res_raw_26799945'!$D$3</f>
        <v/>
      </c>
      <c r="E5" s="8">
        <f>'res_raw_26799945'!$E$3</f>
        <v/>
      </c>
      <c r="F5" s="8">
        <f>'res_raw_26799945'!$F$3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'res_raw_26799945'!$B$4</f>
        <v/>
      </c>
      <c r="C6" s="5">
        <f>'res_raw_26799945'!$C$4</f>
        <v/>
      </c>
      <c r="D6" s="5">
        <f>'res_raw_26799945'!$D$4</f>
        <v/>
      </c>
      <c r="E6" s="5">
        <f>'res_raw_26799945'!$E$4</f>
        <v/>
      </c>
      <c r="F6" s="5">
        <f>'res_raw_26799945'!$F$4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'res_raw_26799945'!$B$5</f>
        <v/>
      </c>
      <c r="C7" s="8">
        <f>'res_raw_26799945'!$C$5</f>
        <v/>
      </c>
      <c r="D7" s="8">
        <f>'res_raw_26799945'!$D$5</f>
        <v/>
      </c>
      <c r="E7" s="8">
        <f>'res_raw_26799945'!$E$5</f>
        <v/>
      </c>
      <c r="F7" s="8">
        <f>'res_raw_26799945'!$F$5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'res_raw_26799945'!$B$6</f>
        <v/>
      </c>
      <c r="C8" s="11">
        <f>'res_raw_26799945'!$C$6</f>
        <v/>
      </c>
      <c r="D8" s="11">
        <f>'res_raw_26799945'!$D$6</f>
        <v/>
      </c>
      <c r="E8" s="11">
        <f>'res_raw_26799945'!$E$6</f>
        <v/>
      </c>
      <c r="F8" s="11">
        <f>'res_raw_26799945'!$F$6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'res_raw_26799945'!$B$7</f>
        <v/>
      </c>
      <c r="C9" s="8">
        <f>'res_raw_26799945'!$C$7</f>
        <v/>
      </c>
      <c r="D9" s="8">
        <f>'res_raw_26799945'!$D$7</f>
        <v/>
      </c>
      <c r="E9" s="8">
        <f>'res_raw_26799945'!$E$7</f>
        <v/>
      </c>
      <c r="F9" s="8">
        <f>'res_raw_26799945'!$F$7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'res_raw_26799945'!$B$9</f>
        <v/>
      </c>
      <c r="C11" s="8">
        <f>'res_raw_26799945'!$C$9</f>
        <v/>
      </c>
      <c r="D11" s="8">
        <f>'res_raw_26799945'!$D$9</f>
        <v/>
      </c>
      <c r="E11" s="8">
        <f>'res_raw_26799945'!$E$9</f>
        <v/>
      </c>
      <c r="F11" s="8">
        <f>'res_raw_26799945'!$F$9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'res_raw_26799945'!$B$10</f>
        <v/>
      </c>
      <c r="C12" s="5">
        <f>'res_raw_26799945'!$C$10</f>
        <v/>
      </c>
      <c r="D12" s="5">
        <f>'res_raw_26799945'!$D$10</f>
        <v/>
      </c>
      <c r="E12" s="5">
        <f>'res_raw_26799945'!$E$10</f>
        <v/>
      </c>
      <c r="F12" s="5">
        <f>'res_raw_26799945'!$F$10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'res_raw_26799945'!$B$11</f>
        <v/>
      </c>
      <c r="C13" s="11">
        <f>'res_raw_26799945'!$C$11</f>
        <v/>
      </c>
      <c r="D13" s="11">
        <f>'res_raw_26799945'!$D$11</f>
        <v/>
      </c>
      <c r="E13" s="11">
        <f>'res_raw_26799945'!$E$11</f>
        <v/>
      </c>
      <c r="F13" s="11">
        <f>'res_raw_26799945'!$F$11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'res_raw_26799945'!$B$12</f>
        <v/>
      </c>
      <c r="C14" s="5">
        <f>'res_raw_26799945'!$C$12</f>
        <v/>
      </c>
      <c r="D14" s="5">
        <f>'res_raw_26799945'!$D$12</f>
        <v/>
      </c>
      <c r="E14" s="5">
        <f>'res_raw_26799945'!$E$12</f>
        <v/>
      </c>
      <c r="F14" s="5">
        <f>'res_raw_26799945'!$F$12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'res_raw_26799945'!$B$13</f>
        <v/>
      </c>
      <c r="C15" s="8">
        <f>'res_raw_26799945'!$C$13</f>
        <v/>
      </c>
      <c r="D15" s="8">
        <f>'res_raw_26799945'!$D$13</f>
        <v/>
      </c>
      <c r="E15" s="8">
        <f>'res_raw_26799945'!$E$13</f>
        <v/>
      </c>
      <c r="F15" s="8">
        <f>'res_raw_26799945'!$F$13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'res_raw_26799945'!$B$14</f>
        <v/>
      </c>
      <c r="C16" s="5">
        <f>'res_raw_26799945'!$C$14</f>
        <v/>
      </c>
      <c r="D16" s="5">
        <f>'res_raw_26799945'!$D$14</f>
        <v/>
      </c>
      <c r="E16" s="5">
        <f>'res_raw_26799945'!$E$14</f>
        <v/>
      </c>
      <c r="F16" s="5">
        <f>'res_raw_26799945'!$F$14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'res_raw_26799945'!$B$15</f>
        <v/>
      </c>
      <c r="C17" s="11">
        <f>'res_raw_26799945'!$C$15</f>
        <v/>
      </c>
      <c r="D17" s="11">
        <f>'res_raw_26799945'!$D$15</f>
        <v/>
      </c>
      <c r="E17" s="11">
        <f>'res_raw_26799945'!$E$15</f>
        <v/>
      </c>
      <c r="F17" s="11">
        <f>'res_raw_26799945'!$F$15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'res_raw_26799945'!$B$16</f>
        <v/>
      </c>
      <c r="C18" s="11">
        <f>'res_raw_26799945'!$C$16</f>
        <v/>
      </c>
      <c r="D18" s="11">
        <f>'res_raw_26799945'!$D$16</f>
        <v/>
      </c>
      <c r="E18" s="11">
        <f>'res_raw_26799945'!$E$16</f>
        <v/>
      </c>
      <c r="F18" s="11">
        <f>'res_raw_26799945'!$F$16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'res_raw_26799945'!$B$17</f>
        <v/>
      </c>
      <c r="C19" s="8">
        <f>'res_raw_26799945'!$C$17</f>
        <v/>
      </c>
      <c r="D19" s="8">
        <f>'res_raw_26799945'!$D$17</f>
        <v/>
      </c>
      <c r="E19" s="8">
        <f>'res_raw_26799945'!$E$17</f>
        <v/>
      </c>
      <c r="F19" s="8">
        <f>'res_raw_26799945'!$F$17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'res_raw_26799945'!$B$18</f>
        <v/>
      </c>
      <c r="C20" s="11">
        <f>'res_raw_26799945'!$C$18</f>
        <v/>
      </c>
      <c r="D20" s="11">
        <f>'res_raw_26799945'!$D$18</f>
        <v/>
      </c>
      <c r="E20" s="11">
        <f>'res_raw_26799945'!$E$18</f>
        <v/>
      </c>
      <c r="F20" s="11">
        <f>'res_raw_26799945'!$F$18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'balance_raw_26799945'!$B$2</f>
        <v/>
      </c>
      <c r="C23" s="8">
        <f>'balance_raw_26799945'!$C$2</f>
        <v/>
      </c>
      <c r="D23" s="8">
        <f>'balance_raw_26799945'!$D$2</f>
        <v/>
      </c>
      <c r="E23" s="8">
        <f>'balance_raw_26799945'!$E$2</f>
        <v/>
      </c>
      <c r="F23" s="8">
        <f>'balance_raw_26799945'!$F$2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'balance_raw_26799945'!$B$3</f>
        <v/>
      </c>
      <c r="C24" s="5">
        <f>'balance_raw_26799945'!$C$3</f>
        <v/>
      </c>
      <c r="D24" s="5">
        <f>'balance_raw_26799945'!$D$3</f>
        <v/>
      </c>
      <c r="E24" s="5">
        <f>'balance_raw_26799945'!$E$3</f>
        <v/>
      </c>
      <c r="F24" s="5">
        <f>'balance_raw_26799945'!$F$3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'balance_raw_26799945'!$B$4</f>
        <v/>
      </c>
      <c r="C25" s="8">
        <f>'balance_raw_26799945'!$C$4</f>
        <v/>
      </c>
      <c r="D25" s="8">
        <f>'balance_raw_26799945'!$D$4</f>
        <v/>
      </c>
      <c r="E25" s="8">
        <f>'balance_raw_26799945'!$E$4</f>
        <v/>
      </c>
      <c r="F25" s="8">
        <f>'balance_raw_26799945'!$F$4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'balance_raw_26799945'!$B$5</f>
        <v/>
      </c>
      <c r="C26" s="11">
        <f>'balance_raw_26799945'!$C$5</f>
        <v/>
      </c>
      <c r="D26" s="11">
        <f>'balance_raw_26799945'!$D$5</f>
        <v/>
      </c>
      <c r="E26" s="11">
        <f>'balance_raw_26799945'!$E$5</f>
        <v/>
      </c>
      <c r="F26" s="11">
        <f>'balance_raw_26799945'!$F$5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'balance_raw_26799945'!$B$6</f>
        <v/>
      </c>
      <c r="C27" s="8">
        <f>'balance_raw_26799945'!$C$6</f>
        <v/>
      </c>
      <c r="D27" s="8">
        <f>'balance_raw_26799945'!$D$6</f>
        <v/>
      </c>
      <c r="E27" s="8">
        <f>'balance_raw_26799945'!$E$6</f>
        <v/>
      </c>
      <c r="F27" s="8">
        <f>'balance_raw_26799945'!$F$6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'balance_raw_26799945'!$B$7</f>
        <v/>
      </c>
      <c r="C28" s="5">
        <f>'balance_raw_26799945'!$C$7</f>
        <v/>
      </c>
      <c r="D28" s="5">
        <f>'balance_raw_26799945'!$D$7</f>
        <v/>
      </c>
      <c r="E28" s="5">
        <f>'balance_raw_26799945'!$E$7</f>
        <v/>
      </c>
      <c r="F28" s="5">
        <f>'balance_raw_26799945'!$F$7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'balance_raw_26799945'!$B$8</f>
        <v/>
      </c>
      <c r="C29" s="8">
        <f>'balance_raw_26799945'!$C$8</f>
        <v/>
      </c>
      <c r="D29" s="8">
        <f>'balance_raw_26799945'!$D$8</f>
        <v/>
      </c>
      <c r="E29" s="8">
        <f>'balance_raw_26799945'!$E$8</f>
        <v/>
      </c>
      <c r="F29" s="8">
        <f>'balance_raw_26799945'!$F$8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'balance_raw_26799945'!$B$9</f>
        <v/>
      </c>
      <c r="C30" s="5">
        <f>'balance_raw_26799945'!$C$9</f>
        <v/>
      </c>
      <c r="D30" s="5">
        <f>'balance_raw_26799945'!$D$9</f>
        <v/>
      </c>
      <c r="E30" s="5">
        <f>'balance_raw_26799945'!$E$9</f>
        <v/>
      </c>
      <c r="F30" s="5">
        <f>'balance_raw_26799945'!$F$9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'balance_raw_26799945'!$B$10</f>
        <v/>
      </c>
      <c r="C31" s="8">
        <f>'balance_raw_26799945'!$C$10</f>
        <v/>
      </c>
      <c r="D31" s="8">
        <f>'balance_raw_26799945'!$D$10</f>
        <v/>
      </c>
      <c r="E31" s="8">
        <f>'balance_raw_26799945'!$E$10</f>
        <v/>
      </c>
      <c r="F31" s="8">
        <f>'balance_raw_26799945'!$F$10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'balance_raw_26799945'!$B$11</f>
        <v/>
      </c>
      <c r="C32" s="11">
        <f>'balance_raw_26799945'!$C$11</f>
        <v/>
      </c>
      <c r="D32" s="11">
        <f>'balance_raw_26799945'!$D$11</f>
        <v/>
      </c>
      <c r="E32" s="11">
        <f>'balance_raw_26799945'!$E$11</f>
        <v/>
      </c>
      <c r="F32" s="11">
        <f>'balance_raw_26799945'!$F$11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'balance_raw_26799945'!$B$12</f>
        <v/>
      </c>
      <c r="C33" s="8">
        <f>'balance_raw_26799945'!$C$12</f>
        <v/>
      </c>
      <c r="D33" s="8">
        <f>'balance_raw_26799945'!$D$12</f>
        <v/>
      </c>
      <c r="E33" s="8">
        <f>'balance_raw_26799945'!$E$12</f>
        <v/>
      </c>
      <c r="F33" s="8">
        <f>'balance_raw_26799945'!$F$12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'balance_raw_26799945'!$B$13</f>
        <v/>
      </c>
      <c r="C34" s="5">
        <f>'balance_raw_26799945'!$C$13</f>
        <v/>
      </c>
      <c r="D34" s="5">
        <f>'balance_raw_26799945'!$D$13</f>
        <v/>
      </c>
      <c r="E34" s="5">
        <f>'balance_raw_26799945'!$E$13</f>
        <v/>
      </c>
      <c r="F34" s="5">
        <f>'balance_raw_26799945'!$F$13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'balance_raw_26799945'!$B$14</f>
        <v/>
      </c>
      <c r="C35" s="11">
        <f>'balance_raw_26799945'!$C$14</f>
        <v/>
      </c>
      <c r="D35" s="11">
        <f>'balance_raw_26799945'!$D$14</f>
        <v/>
      </c>
      <c r="E35" s="11">
        <f>'balance_raw_26799945'!$E$14</f>
        <v/>
      </c>
      <c r="F35" s="11">
        <f>'balance_raw_26799945'!$F$14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'balance_raw_26799945'!$B$15</f>
        <v/>
      </c>
      <c r="C36" s="11">
        <f>'balance_raw_26799945'!$C$15</f>
        <v/>
      </c>
      <c r="D36" s="11">
        <f>'balance_raw_26799945'!$D$15</f>
        <v/>
      </c>
      <c r="E36" s="11">
        <f>'balance_raw_26799945'!$E$15</f>
        <v/>
      </c>
      <c r="F36" s="11">
        <f>'balance_raw_26799945'!$F$15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'balance_raw_26799945'!$B$16</f>
        <v/>
      </c>
      <c r="C37" s="8">
        <f>'balance_raw_26799945'!$C$16</f>
        <v/>
      </c>
      <c r="D37" s="8">
        <f>'balance_raw_26799945'!$D$16</f>
        <v/>
      </c>
      <c r="E37" s="8">
        <f>'balance_raw_26799945'!$E$16</f>
        <v/>
      </c>
      <c r="F37" s="8">
        <f>'balance_raw_26799945'!$F$16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'balance_raw_26799945'!$B$17</f>
        <v/>
      </c>
      <c r="C38" s="5">
        <f>'balance_raw_26799945'!$C$17</f>
        <v/>
      </c>
      <c r="D38" s="5">
        <f>'balance_raw_26799945'!$D$17</f>
        <v/>
      </c>
      <c r="E38" s="5">
        <f>'balance_raw_26799945'!$E$17</f>
        <v/>
      </c>
      <c r="F38" s="5">
        <f>'balance_raw_26799945'!$F$17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'balance_raw_26799945'!$B$18</f>
        <v/>
      </c>
      <c r="C39" s="8">
        <f>'balance_raw_26799945'!$C$18</f>
        <v/>
      </c>
      <c r="D39" s="8">
        <f>'balance_raw_26799945'!$D$18</f>
        <v/>
      </c>
      <c r="E39" s="8">
        <f>'balance_raw_26799945'!$E$18</f>
        <v/>
      </c>
      <c r="F39" s="8">
        <f>'balance_raw_26799945'!$F$18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'balance_raw_26799945'!$B$19</f>
        <v/>
      </c>
      <c r="C40" s="11">
        <f>'balance_raw_26799945'!$C$19</f>
        <v/>
      </c>
      <c r="D40" s="11">
        <f>'balance_raw_26799945'!$D$19</f>
        <v/>
      </c>
      <c r="E40" s="11">
        <f>'balance_raw_26799945'!$E$19</f>
        <v/>
      </c>
      <c r="F40" s="11">
        <f>'balance_raw_26799945'!$F$19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'balance_raw_26799945'!$B$20</f>
        <v/>
      </c>
      <c r="C41" s="8">
        <f>'balance_raw_26799945'!$C$20</f>
        <v/>
      </c>
      <c r="D41" s="8">
        <f>'balance_raw_26799945'!$D$20</f>
        <v/>
      </c>
      <c r="E41" s="8">
        <f>'balance_raw_26799945'!$E$20</f>
        <v/>
      </c>
      <c r="F41" s="8">
        <f>'balance_raw_26799945'!$F$20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'balance_raw_26799945'!$B$21</f>
        <v/>
      </c>
      <c r="C42" s="5">
        <f>'balance_raw_26799945'!$C$21</f>
        <v/>
      </c>
      <c r="D42" s="5">
        <f>'balance_raw_26799945'!$D$21</f>
        <v/>
      </c>
      <c r="E42" s="5">
        <f>'balance_raw_26799945'!$E$21</f>
        <v/>
      </c>
      <c r="F42" s="5">
        <f>'balance_raw_26799945'!$F$21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'balance_raw_26799945'!$B$22</f>
        <v/>
      </c>
      <c r="C43" s="8">
        <f>'balance_raw_26799945'!$C$22</f>
        <v/>
      </c>
      <c r="D43" s="8">
        <f>'balance_raw_26799945'!$D$22</f>
        <v/>
      </c>
      <c r="E43" s="8">
        <f>'balance_raw_26799945'!$E$22</f>
        <v/>
      </c>
      <c r="F43" s="8">
        <f>'balance_raw_26799945'!$F$22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'balance_raw_26799945'!$B$23</f>
        <v/>
      </c>
      <c r="C44" s="5">
        <f>'balance_raw_26799945'!$C$23</f>
        <v/>
      </c>
      <c r="D44" s="5">
        <f>'balance_raw_26799945'!$D$23</f>
        <v/>
      </c>
      <c r="E44" s="5">
        <f>'balance_raw_26799945'!$E$23</f>
        <v/>
      </c>
      <c r="F44" s="5">
        <f>'balance_raw_26799945'!$F$23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'balance_raw_26799945'!$B$24</f>
        <v/>
      </c>
      <c r="C45" s="8">
        <f>'balance_raw_26799945'!$C$24</f>
        <v/>
      </c>
      <c r="D45" s="8">
        <f>'balance_raw_26799945'!$D$24</f>
        <v/>
      </c>
      <c r="E45" s="8">
        <f>'balance_raw_26799945'!$E$24</f>
        <v/>
      </c>
      <c r="F45" s="8">
        <f>'balance_raw_26799945'!$F$24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'balance_raw_26799945'!$B$25</f>
        <v/>
      </c>
      <c r="C46" s="5">
        <f>'balance_raw_26799945'!$C$25</f>
        <v/>
      </c>
      <c r="D46" s="5">
        <f>'balance_raw_26799945'!$D$25</f>
        <v/>
      </c>
      <c r="E46" s="5">
        <f>'balance_raw_26799945'!$E$25</f>
        <v/>
      </c>
      <c r="F46" s="5">
        <f>'balance_raw_26799945'!$F$25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'balance_raw_26799945'!$B$26</f>
        <v/>
      </c>
      <c r="C47" s="8">
        <f>'balance_raw_26799945'!$C$26</f>
        <v/>
      </c>
      <c r="D47" s="8">
        <f>'balance_raw_26799945'!$D$26</f>
        <v/>
      </c>
      <c r="E47" s="8">
        <f>'balance_raw_26799945'!$E$26</f>
        <v/>
      </c>
      <c r="F47" s="8">
        <f>'balance_raw_26799945'!$F$26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'balance_raw_26799945'!$B$27</f>
        <v/>
      </c>
      <c r="C48" s="11">
        <f>'balance_raw_26799945'!$C$27</f>
        <v/>
      </c>
      <c r="D48" s="11">
        <f>'balance_raw_26799945'!$D$27</f>
        <v/>
      </c>
      <c r="E48" s="11">
        <f>'balance_raw_26799945'!$E$27</f>
        <v/>
      </c>
      <c r="F48" s="11">
        <f>'balance_raw_26799945'!$F$27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'balance_raw_26799945'!$B$28</f>
        <v/>
      </c>
      <c r="C49" s="8">
        <f>'balance_raw_26799945'!$C$28</f>
        <v/>
      </c>
      <c r="D49" s="8">
        <f>'balance_raw_26799945'!$D$28</f>
        <v/>
      </c>
      <c r="E49" s="8">
        <f>'balance_raw_26799945'!$E$28</f>
        <v/>
      </c>
      <c r="F49" s="8">
        <f>'balance_raw_26799945'!$F$28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'balance_raw_26799945'!$B$29</f>
        <v/>
      </c>
      <c r="C50" s="5">
        <f>'balance_raw_26799945'!$C$29</f>
        <v/>
      </c>
      <c r="D50" s="5">
        <f>'balance_raw_26799945'!$D$29</f>
        <v/>
      </c>
      <c r="E50" s="5">
        <f>'balance_raw_26799945'!$E$29</f>
        <v/>
      </c>
      <c r="F50" s="5">
        <f>'balance_raw_26799945'!$F$29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'balance_raw_26799945'!$B$30</f>
        <v/>
      </c>
      <c r="C51" s="11">
        <f>'balance_raw_26799945'!$C$30</f>
        <v/>
      </c>
      <c r="D51" s="11">
        <f>'balance_raw_26799945'!$D$30</f>
        <v/>
      </c>
      <c r="E51" s="11">
        <f>'balance_raw_26799945'!$E$30</f>
        <v/>
      </c>
      <c r="F51" s="11">
        <f>'balance_raw_26799945'!$F$30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'balance_raw_26799945'!$B$31</f>
        <v/>
      </c>
      <c r="C52" s="11">
        <f>'balance_raw_26799945'!$C$31</f>
        <v/>
      </c>
      <c r="D52" s="11">
        <f>'balance_raw_26799945'!$D$31</f>
        <v/>
      </c>
      <c r="E52" s="11">
        <f>'balance_raw_26799945'!$E$31</f>
        <v/>
      </c>
      <c r="F52" s="11">
        <f>'balance_raw_26799945'!$F$31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'balance_raw_26799945'!$B$32</f>
        <v/>
      </c>
      <c r="C55" s="8">
        <f>'balance_raw_26799945'!$C$32</f>
        <v/>
      </c>
      <c r="D55" s="8">
        <f>'balance_raw_26799945'!$D$32</f>
        <v/>
      </c>
      <c r="E55" s="8">
        <f>'balance_raw_26799945'!$E$32</f>
        <v/>
      </c>
      <c r="F55" s="8">
        <f>'balance_raw_26799945'!$F$32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'balance_raw_26799945'!$B$33</f>
        <v/>
      </c>
      <c r="C56" s="5">
        <f>'balance_raw_26799945'!$C$33</f>
        <v/>
      </c>
      <c r="D56" s="5">
        <f>'balance_raw_26799945'!$D$33</f>
        <v/>
      </c>
      <c r="E56" s="5">
        <f>'balance_raw_26799945'!$E$33</f>
        <v/>
      </c>
      <c r="F56" s="5">
        <f>'balance_raw_26799945'!$F$33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'balance_raw_26799945'!$B$34</f>
        <v/>
      </c>
      <c r="C57" s="8">
        <f>'balance_raw_26799945'!$C$34</f>
        <v/>
      </c>
      <c r="D57" s="8">
        <f>'balance_raw_26799945'!$D$34</f>
        <v/>
      </c>
      <c r="E57" s="8">
        <f>'balance_raw_26799945'!$E$34</f>
        <v/>
      </c>
      <c r="F57" s="8">
        <f>'balance_raw_26799945'!$F$34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'balance_raw_26799945'!$B$35</f>
        <v/>
      </c>
      <c r="C58" s="5">
        <f>'balance_raw_26799945'!$C$35</f>
        <v/>
      </c>
      <c r="D58" s="5">
        <f>'balance_raw_26799945'!$D$35</f>
        <v/>
      </c>
      <c r="E58" s="5">
        <f>'balance_raw_26799945'!$E$35</f>
        <v/>
      </c>
      <c r="F58" s="5">
        <f>'balance_raw_26799945'!$F$35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'balance_raw_26799945'!$B$36</f>
        <v/>
      </c>
      <c r="C59" s="8">
        <f>'balance_raw_26799945'!$C$36</f>
        <v/>
      </c>
      <c r="D59" s="8">
        <f>'balance_raw_26799945'!$D$36</f>
        <v/>
      </c>
      <c r="E59" s="8">
        <f>'balance_raw_26799945'!$E$36</f>
        <v/>
      </c>
      <c r="F59" s="8">
        <f>'balance_raw_26799945'!$F$36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'balance_raw_26799945'!$B$37</f>
        <v/>
      </c>
      <c r="C60" s="5">
        <f>'balance_raw_26799945'!$C$37</f>
        <v/>
      </c>
      <c r="D60" s="5">
        <f>'balance_raw_26799945'!$D$37</f>
        <v/>
      </c>
      <c r="E60" s="5">
        <f>'balance_raw_26799945'!$E$37</f>
        <v/>
      </c>
      <c r="F60" s="5">
        <f>'balance_raw_26799945'!$F$37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'balance_raw_26799945'!$B$38</f>
        <v/>
      </c>
      <c r="C61" s="11">
        <f>'balance_raw_26799945'!$C$38</f>
        <v/>
      </c>
      <c r="D61" s="11">
        <f>'balance_raw_26799945'!$D$38</f>
        <v/>
      </c>
      <c r="E61" s="11">
        <f>'balance_raw_26799945'!$E$38</f>
        <v/>
      </c>
      <c r="F61" s="11">
        <f>'balance_raw_26799945'!$F$38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'balance_raw_26799945'!$B$39</f>
        <v/>
      </c>
      <c r="C62" s="5">
        <f>'balance_raw_26799945'!$C$39</f>
        <v/>
      </c>
      <c r="D62" s="5">
        <f>'balance_raw_26799945'!$D$39</f>
        <v/>
      </c>
      <c r="E62" s="5">
        <f>'balance_raw_26799945'!$E$39</f>
        <v/>
      </c>
      <c r="F62" s="5">
        <f>'balance_raw_26799945'!$F$39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'balance_raw_26799945'!$B$40</f>
        <v/>
      </c>
      <c r="C63" s="11">
        <f>'balance_raw_26799945'!$C$40</f>
        <v/>
      </c>
      <c r="D63" s="11">
        <f>'balance_raw_26799945'!$D$40</f>
        <v/>
      </c>
      <c r="E63" s="11">
        <f>'balance_raw_26799945'!$E$40</f>
        <v/>
      </c>
      <c r="F63" s="11">
        <f>'balance_raw_26799945'!$F$40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'balance_raw_26799945'!$B$41</f>
        <v/>
      </c>
      <c r="C64" s="5">
        <f>'balance_raw_26799945'!$C$41</f>
        <v/>
      </c>
      <c r="D64" s="5">
        <f>'balance_raw_26799945'!$D$41</f>
        <v/>
      </c>
      <c r="E64" s="5">
        <f>'balance_raw_26799945'!$E$41</f>
        <v/>
      </c>
      <c r="F64" s="5">
        <f>'balance_raw_26799945'!$F$41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'balance_raw_26799945'!$B$42</f>
        <v/>
      </c>
      <c r="C65" s="8">
        <f>'balance_raw_26799945'!$C$42</f>
        <v/>
      </c>
      <c r="D65" s="8">
        <f>'balance_raw_26799945'!$D$42</f>
        <v/>
      </c>
      <c r="E65" s="8">
        <f>'balance_raw_26799945'!$E$42</f>
        <v/>
      </c>
      <c r="F65" s="8">
        <f>'balance_raw_26799945'!$F$42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'balance_raw_26799945'!$B$43</f>
        <v/>
      </c>
      <c r="C66" s="5">
        <f>'balance_raw_26799945'!$C$43</f>
        <v/>
      </c>
      <c r="D66" s="5">
        <f>'balance_raw_26799945'!$D$43</f>
        <v/>
      </c>
      <c r="E66" s="5">
        <f>'balance_raw_26799945'!$E$43</f>
        <v/>
      </c>
      <c r="F66" s="5">
        <f>'balance_raw_26799945'!$F$43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'balance_raw_26799945'!$B$44</f>
        <v/>
      </c>
      <c r="C67" s="8">
        <f>'balance_raw_26799945'!$C$44</f>
        <v/>
      </c>
      <c r="D67" s="8">
        <f>'balance_raw_26799945'!$D$44</f>
        <v/>
      </c>
      <c r="E67" s="8">
        <f>'balance_raw_26799945'!$E$44</f>
        <v/>
      </c>
      <c r="F67" s="8">
        <f>'balance_raw_26799945'!$F$44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'balance_raw_26799945'!$B$45</f>
        <v/>
      </c>
      <c r="C68" s="5">
        <f>'balance_raw_26799945'!$C$45</f>
        <v/>
      </c>
      <c r="D68" s="5">
        <f>'balance_raw_26799945'!$D$45</f>
        <v/>
      </c>
      <c r="E68" s="5">
        <f>'balance_raw_26799945'!$E$45</f>
        <v/>
      </c>
      <c r="F68" s="5">
        <f>'balance_raw_26799945'!$F$45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'balance_raw_26799945'!$B$46</f>
        <v/>
      </c>
      <c r="C69" s="8">
        <f>'balance_raw_26799945'!$C$46</f>
        <v/>
      </c>
      <c r="D69" s="8">
        <f>'balance_raw_26799945'!$D$46</f>
        <v/>
      </c>
      <c r="E69" s="8">
        <f>'balance_raw_26799945'!$E$46</f>
        <v/>
      </c>
      <c r="F69" s="8">
        <f>'balance_raw_26799945'!$F$46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'balance_raw_26799945'!$B$47</f>
        <v/>
      </c>
      <c r="C70" s="5">
        <f>'balance_raw_26799945'!$C$47</f>
        <v/>
      </c>
      <c r="D70" s="5">
        <f>'balance_raw_26799945'!$D$47</f>
        <v/>
      </c>
      <c r="E70" s="5">
        <f>'balance_raw_26799945'!$E$47</f>
        <v/>
      </c>
      <c r="F70" s="5">
        <f>'balance_raw_26799945'!$F$47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'balance_raw_26799945'!$B$48</f>
        <v/>
      </c>
      <c r="C71" s="8">
        <f>'balance_raw_26799945'!$C$48</f>
        <v/>
      </c>
      <c r="D71" s="8">
        <f>'balance_raw_26799945'!$D$48</f>
        <v/>
      </c>
      <c r="E71" s="8">
        <f>'balance_raw_26799945'!$E$48</f>
        <v/>
      </c>
      <c r="F71" s="8">
        <f>'balance_raw_26799945'!$F$48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'balance_raw_26799945'!$B$49</f>
        <v/>
      </c>
      <c r="C72" s="5">
        <f>'balance_raw_26799945'!$C$49</f>
        <v/>
      </c>
      <c r="D72" s="5">
        <f>'balance_raw_26799945'!$D$49</f>
        <v/>
      </c>
      <c r="E72" s="5">
        <f>'balance_raw_26799945'!$E$49</f>
        <v/>
      </c>
      <c r="F72" s="5">
        <f>'balance_raw_26799945'!$F$49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'balance_raw_26799945'!$B$50</f>
        <v/>
      </c>
      <c r="C73" s="8">
        <f>'balance_raw_26799945'!$C$50</f>
        <v/>
      </c>
      <c r="D73" s="8">
        <f>'balance_raw_26799945'!$D$50</f>
        <v/>
      </c>
      <c r="E73" s="8">
        <f>'balance_raw_26799945'!$E$50</f>
        <v/>
      </c>
      <c r="F73" s="8">
        <f>'balance_raw_26799945'!$F$50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'balance_raw_26799945'!$B$51</f>
        <v/>
      </c>
      <c r="C74" s="5">
        <f>'balance_raw_26799945'!$C$51</f>
        <v/>
      </c>
      <c r="D74" s="5">
        <f>'balance_raw_26799945'!$D$51</f>
        <v/>
      </c>
      <c r="E74" s="5">
        <f>'balance_raw_26799945'!$E$51</f>
        <v/>
      </c>
      <c r="F74" s="5">
        <f>'balance_raw_26799945'!$F$51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'balance_raw_26799945'!$B$52</f>
        <v/>
      </c>
      <c r="C75" s="11">
        <f>'balance_raw_26799945'!$C$52</f>
        <v/>
      </c>
      <c r="D75" s="11">
        <f>'balance_raw_26799945'!$D$52</f>
        <v/>
      </c>
      <c r="E75" s="11">
        <f>'balance_raw_26799945'!$E$52</f>
        <v/>
      </c>
      <c r="F75" s="11">
        <f>'balance_raw_26799945'!$F$52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'balance_raw_26799945'!$B$53</f>
        <v/>
      </c>
      <c r="C76" s="11">
        <f>'balance_raw_26799945'!$C$53</f>
        <v/>
      </c>
      <c r="D76" s="11">
        <f>'balance_raw_26799945'!$D$53</f>
        <v/>
      </c>
      <c r="E76" s="11">
        <f>'balance_raw_26799945'!$E$53</f>
        <v/>
      </c>
      <c r="F76" s="11">
        <f>'balance_raw_26799945'!$F$53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'balance_raw_26799945'!$B$54</f>
        <v/>
      </c>
      <c r="C77" s="11">
        <f>'balance_raw_26799945'!$C$54</f>
        <v/>
      </c>
      <c r="D77" s="11">
        <f>'balance_raw_26799945'!$D$54</f>
        <v/>
      </c>
      <c r="E77" s="11">
        <f>'balance_raw_26799945'!$E$54</f>
        <v/>
      </c>
      <c r="F77" s="11">
        <f>'balance_raw_26799945'!$F$54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'res_raw_26799945'!$B$19</f>
        <v/>
      </c>
      <c r="C80" s="5">
        <f>'res_raw_26799945'!$C$19</f>
        <v/>
      </c>
      <c r="D80" s="5">
        <f>'res_raw_26799945'!$D$19</f>
        <v/>
      </c>
      <c r="E80" s="5">
        <f>'res_raw_26799945'!$E$19</f>
        <v/>
      </c>
      <c r="F80" s="5">
        <f>'res_raw_26799945'!$F$19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'res_raw_26799945'!$B$20</f>
        <v/>
      </c>
      <c r="C81" s="8">
        <f>'res_raw_26799945'!$C$20</f>
        <v/>
      </c>
      <c r="D81" s="8">
        <f>'res_raw_26799945'!$D$20</f>
        <v/>
      </c>
      <c r="E81" s="8">
        <f>'res_raw_26799945'!$E$20</f>
        <v/>
      </c>
      <c r="F81" s="8">
        <f>'res_raw_26799945'!$F$20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HAY ApS (CVR 26799945)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1189541</v>
      </c>
      <c r="C2" s="16" t="n">
        <v>1470759</v>
      </c>
      <c r="D2" s="16" t="n">
        <v>1358614</v>
      </c>
      <c r="E2" s="16" t="n">
        <v>1215587</v>
      </c>
      <c r="F2" s="16" t="n">
        <v>1219263</v>
      </c>
    </row>
    <row r="3">
      <c r="A3" s="15" t="inlineStr">
        <is>
          <t>Andre driftsindtægter</t>
        </is>
      </c>
      <c r="B3" s="16" t="n">
        <v>-828338</v>
      </c>
      <c r="C3" s="16" t="n">
        <v>6925</v>
      </c>
      <c r="D3" s="16" t="n">
        <v>7199</v>
      </c>
      <c r="E3" s="16" t="n">
        <v>15164</v>
      </c>
      <c r="F3" s="16" t="n">
        <v>14014</v>
      </c>
    </row>
    <row r="4">
      <c r="A4" s="15" t="inlineStr">
        <is>
          <t>Vareforbrug</t>
        </is>
      </c>
      <c r="B4" s="16" t="n">
        <v>811862</v>
      </c>
      <c r="C4" s="16" t="n">
        <v>1016558</v>
      </c>
      <c r="D4" s="16" t="n">
        <v>954234</v>
      </c>
      <c r="E4" s="16" t="n">
        <v>843292</v>
      </c>
      <c r="F4" s="16" t="n">
        <v>813960</v>
      </c>
    </row>
    <row r="5">
      <c r="A5" s="15" t="inlineStr">
        <is>
          <t>Andre eksterne omkostninger</t>
        </is>
      </c>
      <c r="B5" s="16" t="n">
        <v>89871</v>
      </c>
      <c r="C5" s="16" t="n">
        <v>126352</v>
      </c>
      <c r="D5" s="16" t="n">
        <v>137059</v>
      </c>
      <c r="E5" s="16" t="n">
        <v>133731</v>
      </c>
      <c r="F5" s="16" t="n">
        <v>133663</v>
      </c>
    </row>
    <row r="6">
      <c r="A6" s="17" t="inlineStr">
        <is>
          <t>Bruttoresultat</t>
        </is>
      </c>
      <c r="B6" s="16" t="n">
        <v>276096</v>
      </c>
      <c r="C6" s="16" t="n">
        <v>334774</v>
      </c>
      <c r="D6" s="16" t="n">
        <v>274520</v>
      </c>
      <c r="E6" s="16" t="n">
        <v>253728</v>
      </c>
      <c r="F6" s="16" t="n">
        <v>285654</v>
      </c>
    </row>
    <row r="7">
      <c r="A7" s="15" t="inlineStr">
        <is>
          <t>Personaleomkostninger</t>
        </is>
      </c>
      <c r="B7" s="16" t="n">
        <v>89738</v>
      </c>
      <c r="C7" s="16" t="n">
        <v>107731</v>
      </c>
      <c r="D7" s="16" t="n">
        <v>109328</v>
      </c>
      <c r="E7" s="16" t="n">
        <v>121637</v>
      </c>
      <c r="F7" s="16" t="n">
        <v>124917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7494</v>
      </c>
      <c r="C9" s="16" t="n">
        <v>6271</v>
      </c>
      <c r="D9" s="16" t="n">
        <v>10154</v>
      </c>
      <c r="E9" s="16" t="n">
        <v>9444</v>
      </c>
      <c r="F9" s="16" t="n">
        <v>9091</v>
      </c>
    </row>
    <row r="10">
      <c r="A10" s="15" t="inlineStr">
        <is>
          <t>Andre driftsomkostninger</t>
        </is>
      </c>
      <c r="B10" s="16" t="n">
        <v>0</v>
      </c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178864</v>
      </c>
      <c r="C11" s="16" t="n">
        <v>220772</v>
      </c>
      <c r="D11" s="16" t="n">
        <v>155038</v>
      </c>
      <c r="E11" s="16" t="n">
        <v>122647</v>
      </c>
      <c r="F11" s="16" t="n">
        <v>151646</v>
      </c>
    </row>
    <row r="12">
      <c r="A12" s="15" t="inlineStr">
        <is>
          <t>Indtægter af kapitalandele, dattervirksomheder</t>
        </is>
      </c>
      <c r="B12" s="16" t="n"/>
      <c r="C12" s="16" t="n">
        <v>-922</v>
      </c>
      <c r="D12" s="16" t="n">
        <v>-3426</v>
      </c>
      <c r="E12" s="16" t="n">
        <v>-1679</v>
      </c>
      <c r="F12" s="16" t="n">
        <v>-952</v>
      </c>
    </row>
    <row r="13">
      <c r="A13" s="15" t="inlineStr">
        <is>
          <t>Finansielle indtægter</t>
        </is>
      </c>
      <c r="B13" s="16" t="n">
        <v>2064</v>
      </c>
      <c r="C13" s="16" t="n">
        <v>843</v>
      </c>
      <c r="D13" s="16" t="n">
        <v>569</v>
      </c>
      <c r="E13" s="16" t="n">
        <v>3988</v>
      </c>
      <c r="F13" s="16" t="n">
        <v>4964</v>
      </c>
    </row>
    <row r="14">
      <c r="A14" s="15" t="inlineStr">
        <is>
          <t>Finansielle omkostninger</t>
        </is>
      </c>
      <c r="B14" s="16" t="n">
        <v>187</v>
      </c>
      <c r="C14" s="16" t="n">
        <v>1488</v>
      </c>
      <c r="D14" s="16" t="n">
        <v>3705</v>
      </c>
      <c r="E14" s="16" t="n">
        <v>882</v>
      </c>
      <c r="F14" s="16" t="n">
        <v>10463</v>
      </c>
    </row>
    <row r="15">
      <c r="A15" s="17" t="inlineStr">
        <is>
          <t>Finansielle poster, netto</t>
        </is>
      </c>
      <c r="B15" s="16" t="n"/>
      <c r="C15" s="16" t="n"/>
      <c r="D15" s="16" t="n">
        <v>-3136</v>
      </c>
      <c r="E15" s="16" t="n">
        <v>1427</v>
      </c>
      <c r="F15" s="16" t="n">
        <v>-6451</v>
      </c>
    </row>
    <row r="16">
      <c r="A16" s="17" t="inlineStr">
        <is>
          <t>Resultat før skat</t>
        </is>
      </c>
      <c r="B16" s="16" t="n">
        <v>180741</v>
      </c>
      <c r="C16" s="16" t="n">
        <v>219205</v>
      </c>
      <c r="D16" s="16" t="n">
        <v>148476</v>
      </c>
      <c r="E16" s="16" t="n">
        <v>124074</v>
      </c>
      <c r="F16" s="16" t="n">
        <v>145195</v>
      </c>
    </row>
    <row r="17">
      <c r="A17" s="15" t="inlineStr">
        <is>
          <t>Skat af årets resultat</t>
        </is>
      </c>
      <c r="B17" s="16" t="n">
        <v>39752</v>
      </c>
      <c r="C17" s="16" t="n">
        <v>48540</v>
      </c>
      <c r="D17" s="16" t="n">
        <v>33821</v>
      </c>
      <c r="E17" s="16" t="n">
        <v>30454</v>
      </c>
      <c r="F17" s="16" t="n">
        <v>32275</v>
      </c>
    </row>
    <row r="18">
      <c r="A18" s="17" t="inlineStr">
        <is>
          <t>Årets resultat</t>
        </is>
      </c>
      <c r="B18" s="16" t="n">
        <v>140989</v>
      </c>
      <c r="C18" s="16" t="n">
        <v>170665</v>
      </c>
      <c r="D18" s="16" t="n">
        <v>114655</v>
      </c>
      <c r="E18" s="16" t="n">
        <v>93620</v>
      </c>
      <c r="F18" s="16" t="n">
        <v>112920</v>
      </c>
    </row>
    <row r="19">
      <c r="A19" s="15" t="inlineStr">
        <is>
          <t>Gns. antal medarbejdere</t>
        </is>
      </c>
      <c r="B19" s="16" t="n">
        <v>171</v>
      </c>
      <c r="C19" s="16" t="n">
        <v>191</v>
      </c>
      <c r="D19" s="16" t="n">
        <v>207</v>
      </c>
      <c r="E19" s="16" t="n">
        <v>204</v>
      </c>
      <c r="F19" s="16" t="n">
        <v>201</v>
      </c>
    </row>
    <row r="20">
      <c r="A20" s="15" t="inlineStr">
        <is>
          <t>Investering i materielle anlægsaktiver</t>
        </is>
      </c>
      <c r="B20" s="16" t="n">
        <v>839</v>
      </c>
      <c r="C20" s="16" t="n">
        <v>9952</v>
      </c>
      <c r="D20" s="16" t="n">
        <v>1621</v>
      </c>
      <c r="E20" s="16" t="n">
        <v>7817</v>
      </c>
      <c r="F20" s="16" t="n">
        <v>10754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HAY ApS (CVR 26799945)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3263</v>
      </c>
      <c r="C2" s="16" t="n">
        <v>1765</v>
      </c>
      <c r="D2" s="16" t="n">
        <v>4750</v>
      </c>
      <c r="E2" s="16" t="n">
        <v>4406</v>
      </c>
      <c r="F2" s="16" t="n">
        <v>3656</v>
      </c>
    </row>
    <row r="3">
      <c r="A3" s="15" t="inlineStr">
        <is>
          <t>Patenter, varemærker mv.</t>
        </is>
      </c>
      <c r="B3" s="16" t="n"/>
      <c r="C3" s="16" t="n">
        <v>4352</v>
      </c>
      <c r="D3" s="16" t="n">
        <v>6513</v>
      </c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18558</v>
      </c>
      <c r="C5" s="16" t="n">
        <v>10347</v>
      </c>
      <c r="D5" s="16" t="n">
        <v>12205</v>
      </c>
      <c r="E5" s="16" t="n">
        <v>13656</v>
      </c>
      <c r="F5" s="16" t="n">
        <v>13751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5299</v>
      </c>
      <c r="C8" s="16" t="n">
        <v>12659</v>
      </c>
      <c r="D8" s="16" t="n">
        <v>8174</v>
      </c>
      <c r="E8" s="16" t="n">
        <v>11110</v>
      </c>
      <c r="F8" s="16" t="n">
        <v>17996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5299</v>
      </c>
      <c r="C11" s="16" t="n"/>
      <c r="D11" s="16" t="n"/>
      <c r="E11" s="16" t="n">
        <v>11110</v>
      </c>
      <c r="F11" s="16" t="n">
        <v>17996</v>
      </c>
    </row>
    <row r="12">
      <c r="A12" s="15" t="inlineStr">
        <is>
          <t>Kapitalandele, dattervirksomheder</t>
        </is>
      </c>
      <c r="B12" s="16" t="n">
        <v>12604</v>
      </c>
      <c r="C12" s="16" t="n">
        <v>15383</v>
      </c>
      <c r="D12" s="16" t="n">
        <v>11957</v>
      </c>
      <c r="E12" s="16" t="n">
        <v>8407</v>
      </c>
      <c r="F12" s="16" t="n">
        <v>10440</v>
      </c>
    </row>
    <row r="13">
      <c r="A13" s="15" t="inlineStr">
        <is>
          <t>Deposita</t>
        </is>
      </c>
      <c r="B13" s="16" t="n"/>
      <c r="C13" s="16" t="n">
        <v>0</v>
      </c>
      <c r="D13" s="16" t="n">
        <v>13901</v>
      </c>
      <c r="E13" s="16" t="n">
        <v>2732</v>
      </c>
      <c r="F13" s="16" t="n">
        <v>4443</v>
      </c>
    </row>
    <row r="14">
      <c r="A14" s="17" t="inlineStr">
        <is>
          <t>Finansielle anlægsaktiver</t>
        </is>
      </c>
      <c r="B14" s="16" t="n">
        <v>12604</v>
      </c>
      <c r="C14" s="16" t="n">
        <v>15383</v>
      </c>
      <c r="D14" s="16" t="n">
        <v>25858</v>
      </c>
      <c r="E14" s="16" t="n">
        <v>27611</v>
      </c>
      <c r="F14" s="16" t="n">
        <v>39031</v>
      </c>
    </row>
    <row r="15">
      <c r="A15" s="17" t="inlineStr">
        <is>
          <t>Anlægsaktiver</t>
        </is>
      </c>
      <c r="B15" s="16" t="n">
        <v>36461</v>
      </c>
      <c r="C15" s="16" t="n">
        <v>38389</v>
      </c>
      <c r="D15" s="16" t="n">
        <v>46237</v>
      </c>
      <c r="E15" s="16" t="n">
        <v>52377</v>
      </c>
      <c r="F15" s="16" t="n">
        <v>70778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73360</v>
      </c>
      <c r="C18" s="16" t="n">
        <v>122469</v>
      </c>
      <c r="D18" s="16" t="n">
        <v>108979</v>
      </c>
      <c r="E18" s="16" t="n">
        <v>117927</v>
      </c>
      <c r="F18" s="16" t="n">
        <v>171199</v>
      </c>
    </row>
    <row r="19">
      <c r="A19" s="17" t="inlineStr">
        <is>
          <t>Varebeholdninger</t>
        </is>
      </c>
      <c r="B19" s="16" t="n">
        <v>73360</v>
      </c>
      <c r="C19" s="16" t="n">
        <v>122469</v>
      </c>
      <c r="D19" s="16" t="n">
        <v>134109</v>
      </c>
      <c r="E19" s="16" t="n">
        <v>119193</v>
      </c>
      <c r="F19" s="16" t="n">
        <v>171421</v>
      </c>
    </row>
    <row r="20">
      <c r="A20" s="15" t="inlineStr">
        <is>
          <t>Tilgodehavender fra salg og tjenesteydelser</t>
        </is>
      </c>
      <c r="B20" s="16" t="n">
        <v>139652</v>
      </c>
      <c r="C20" s="16" t="n">
        <v>212092</v>
      </c>
      <c r="D20" s="16" t="n">
        <v>171961</v>
      </c>
      <c r="E20" s="16" t="n">
        <v>137202</v>
      </c>
      <c r="F20" s="16" t="n">
        <v>154444</v>
      </c>
    </row>
    <row r="21">
      <c r="A21" s="15" t="inlineStr">
        <is>
          <t>Tilgodehavender hos tilknyttede virksomheder</t>
        </is>
      </c>
      <c r="B21" s="16" t="n">
        <v>37392</v>
      </c>
      <c r="C21" s="16" t="n">
        <v>19854</v>
      </c>
      <c r="D21" s="16" t="n">
        <v>24171</v>
      </c>
      <c r="E21" s="16" t="n">
        <v>30696</v>
      </c>
      <c r="F21" s="16" t="n">
        <v>14173</v>
      </c>
    </row>
    <row r="22">
      <c r="A22" s="15" t="inlineStr">
        <is>
          <t>Andre tilgodehavender</t>
        </is>
      </c>
      <c r="B22" s="16" t="n">
        <v>7772</v>
      </c>
      <c r="C22" s="16" t="n">
        <v>20026</v>
      </c>
      <c r="D22" s="16" t="n">
        <v>6397</v>
      </c>
      <c r="E22" s="16" t="n">
        <v>9116</v>
      </c>
      <c r="F22" s="16" t="n">
        <v>12394</v>
      </c>
    </row>
    <row r="23">
      <c r="A23" s="15" t="inlineStr">
        <is>
          <t>Periodeafgrænsningsposter (aktiver)</t>
        </is>
      </c>
      <c r="B23" s="16" t="n">
        <v>981</v>
      </c>
      <c r="C23" s="16" t="n">
        <v>9260</v>
      </c>
      <c r="D23" s="16" t="n">
        <v>16617</v>
      </c>
      <c r="E23" s="16" t="n">
        <v>12731</v>
      </c>
      <c r="F23" s="16" t="n">
        <v>6517</v>
      </c>
    </row>
    <row r="24">
      <c r="A24" s="15" t="inlineStr">
        <is>
          <t>Udskudt skatteaktiv</t>
        </is>
      </c>
      <c r="B24" s="16" t="n">
        <v>1443</v>
      </c>
      <c r="C24" s="16" t="n">
        <v>896</v>
      </c>
      <c r="D24" s="16" t="n">
        <v>0</v>
      </c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187240</v>
      </c>
      <c r="C27" s="16" t="n">
        <v>262128</v>
      </c>
      <c r="D27" s="16" t="n">
        <v>219146</v>
      </c>
      <c r="E27" s="16" t="n">
        <v>189745</v>
      </c>
      <c r="F27" s="16" t="n">
        <v>187528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178711</v>
      </c>
      <c r="C29" s="16" t="n">
        <v>167035</v>
      </c>
      <c r="D29" s="16" t="n">
        <v>93747</v>
      </c>
      <c r="E29" s="16" t="n">
        <v>159426</v>
      </c>
      <c r="F29" s="16" t="n">
        <v>152329</v>
      </c>
    </row>
    <row r="30">
      <c r="A30" s="17" t="inlineStr">
        <is>
          <t>Omsætningsaktiver</t>
        </is>
      </c>
      <c r="B30" s="16" t="n">
        <v>439311</v>
      </c>
      <c r="C30" s="16" t="n">
        <v>551632</v>
      </c>
      <c r="D30" s="16" t="n">
        <v>447002</v>
      </c>
      <c r="E30" s="16" t="n">
        <v>468364</v>
      </c>
      <c r="F30" s="16" t="n">
        <v>511278</v>
      </c>
    </row>
    <row r="31">
      <c r="A31" s="17" t="inlineStr">
        <is>
          <t>Aktiver</t>
        </is>
      </c>
      <c r="B31" s="16" t="n">
        <v>475772</v>
      </c>
      <c r="C31" s="16" t="n">
        <v>590021</v>
      </c>
      <c r="D31" s="16" t="n">
        <v>493239</v>
      </c>
      <c r="E31" s="16" t="n">
        <v>520741</v>
      </c>
      <c r="F31" s="16" t="n">
        <v>582056</v>
      </c>
    </row>
    <row r="32">
      <c r="A32" s="15" t="inlineStr">
        <is>
          <t>Selskabskapital</t>
        </is>
      </c>
      <c r="B32" s="16" t="n">
        <v>4500</v>
      </c>
      <c r="C32" s="16" t="n">
        <v>4500</v>
      </c>
      <c r="D32" s="16" t="n">
        <v>4500</v>
      </c>
      <c r="E32" s="16" t="n">
        <v>4500</v>
      </c>
      <c r="F32" s="16" t="n">
        <v>4500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12898</v>
      </c>
      <c r="C34" s="16" t="n"/>
      <c r="D34" s="16" t="n">
        <v>3705</v>
      </c>
      <c r="E34" s="16" t="n">
        <v>4694</v>
      </c>
      <c r="F34" s="16" t="n">
        <v>5127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292075</v>
      </c>
      <c r="C37" s="16" t="n">
        <v>228050</v>
      </c>
      <c r="D37" s="16" t="n">
        <v>292464</v>
      </c>
      <c r="E37" s="16" t="n">
        <v>291255</v>
      </c>
      <c r="F37" s="16" t="n">
        <v>343742</v>
      </c>
    </row>
    <row r="38">
      <c r="A38" s="17" t="inlineStr">
        <is>
          <t>Egenkapital i alt</t>
        </is>
      </c>
      <c r="B38" s="16" t="n">
        <v>309473</v>
      </c>
      <c r="C38" s="16" t="n">
        <v>347979</v>
      </c>
      <c r="D38" s="16" t="n">
        <v>358669</v>
      </c>
      <c r="E38" s="16" t="n">
        <v>394449</v>
      </c>
      <c r="F38" s="16" t="n">
        <v>413369</v>
      </c>
    </row>
    <row r="39">
      <c r="A39" s="15" t="inlineStr">
        <is>
          <t>Hensættelse til udskudt skat</t>
        </is>
      </c>
      <c r="B39" s="16" t="n"/>
      <c r="C39" s="16" t="n">
        <v>0</v>
      </c>
      <c r="D39" s="16" t="n">
        <v>227</v>
      </c>
      <c r="E39" s="16" t="n">
        <v>670</v>
      </c>
      <c r="F39" s="16" t="n">
        <v>861</v>
      </c>
    </row>
    <row r="40">
      <c r="A40" s="17" t="inlineStr">
        <is>
          <t>Hensatte forpligtelser</t>
        </is>
      </c>
      <c r="B40" s="16" t="n"/>
      <c r="C40" s="16" t="n">
        <v>0</v>
      </c>
      <c r="D40" s="16" t="n">
        <v>227</v>
      </c>
      <c r="E40" s="16" t="n">
        <v>670</v>
      </c>
      <c r="F40" s="16" t="n">
        <v>861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/>
      <c r="C43" s="16" t="n">
        <v>0</v>
      </c>
      <c r="D43" s="16" t="n">
        <v>463</v>
      </c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79778</v>
      </c>
      <c r="C45" s="16" t="n">
        <v>111259</v>
      </c>
      <c r="D45" s="16" t="n">
        <v>30968</v>
      </c>
      <c r="E45" s="16" t="n">
        <v>73155</v>
      </c>
      <c r="F45" s="16" t="n">
        <v>95503</v>
      </c>
    </row>
    <row r="46">
      <c r="A46" s="15" t="inlineStr">
        <is>
          <t>Gæld til tilknyttede virksomheder</t>
        </is>
      </c>
      <c r="B46" s="16" t="n">
        <v>7</v>
      </c>
      <c r="C46" s="16" t="n">
        <v>9450</v>
      </c>
      <c r="D46" s="16" t="n">
        <v>18638</v>
      </c>
      <c r="E46" s="16" t="n">
        <v>5274</v>
      </c>
      <c r="F46" s="16" t="n">
        <v>4372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37253</v>
      </c>
      <c r="C48" s="16" t="n">
        <v>41189</v>
      </c>
      <c r="D48" s="16" t="n">
        <v>46236</v>
      </c>
      <c r="E48" s="16" t="n">
        <v>27538</v>
      </c>
      <c r="F48" s="16" t="n">
        <v>25749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32767</v>
      </c>
      <c r="C50" s="16" t="n">
        <v>45274</v>
      </c>
      <c r="D50" s="16" t="n">
        <v>28967</v>
      </c>
      <c r="E50" s="16" t="n">
        <v>14905</v>
      </c>
      <c r="F50" s="16" t="n">
        <v>24367</v>
      </c>
    </row>
    <row r="51">
      <c r="A51" s="15" t="inlineStr">
        <is>
          <t>Periodeafgrænsningsposter (passiver)</t>
        </is>
      </c>
      <c r="B51" s="16" t="n">
        <v>16494</v>
      </c>
      <c r="C51" s="16" t="n">
        <v>34870</v>
      </c>
      <c r="D51" s="16" t="n">
        <v>9071</v>
      </c>
      <c r="E51" s="16" t="n">
        <v>4750</v>
      </c>
      <c r="F51" s="16" t="n">
        <v>17835</v>
      </c>
    </row>
    <row r="52">
      <c r="A52" s="17" t="inlineStr">
        <is>
          <t>Kortfristede gældsforpligtelser</t>
        </is>
      </c>
      <c r="B52" s="16" t="n">
        <v>166299</v>
      </c>
      <c r="C52" s="16" t="n">
        <v>242042</v>
      </c>
      <c r="D52" s="16" t="n">
        <v>134343</v>
      </c>
      <c r="E52" s="16" t="n">
        <v>125622</v>
      </c>
      <c r="F52" s="16" t="n">
        <v>167826</v>
      </c>
    </row>
    <row r="53">
      <c r="A53" s="17" t="inlineStr">
        <is>
          <t>Gældsforpligtelser</t>
        </is>
      </c>
      <c r="B53" s="16" t="n">
        <v>166299</v>
      </c>
      <c r="C53" s="16" t="n">
        <v>242042</v>
      </c>
      <c r="D53" s="16" t="n">
        <v>134343</v>
      </c>
      <c r="E53" s="16" t="n">
        <v>125622</v>
      </c>
      <c r="F53" s="16" t="n">
        <v>167826</v>
      </c>
    </row>
    <row r="54">
      <c r="A54" s="17" t="inlineStr">
        <is>
          <t>Passiver</t>
        </is>
      </c>
      <c r="B54" s="16" t="n">
        <v>475772</v>
      </c>
      <c r="C54" s="16" t="n">
        <v>590021</v>
      </c>
      <c r="D54" s="16" t="n">
        <v>493239</v>
      </c>
      <c r="E54" s="16" t="n">
        <v>520741</v>
      </c>
      <c r="F54" s="16" t="n">
        <v>582056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HAY ApS (CVR 26799945) — Regnskabs- og nøgletal (CVR: 26799945)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'res_raw_26799945'!$F$2</f>
        <v/>
      </c>
      <c r="C5" s="24">
        <f>'res_raw_26799945'!$E$2</f>
        <v/>
      </c>
      <c r="D5" s="24">
        <f>'res_raw_26799945'!$D$2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'res_raw_26799945'!$F$3</f>
        <v/>
      </c>
      <c r="C6" s="24">
        <f>'res_raw_26799945'!$E$3</f>
        <v/>
      </c>
      <c r="D6" s="24">
        <f>'res_raw_26799945'!$D$3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-'res_raw_26799945'!$F$4</f>
        <v/>
      </c>
      <c r="C7" s="24">
        <f>-'res_raw_26799945'!$E$4</f>
        <v/>
      </c>
      <c r="D7" s="24">
        <f>-'res_raw_26799945'!$D$4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-'res_raw_26799945'!$F$5</f>
        <v/>
      </c>
      <c r="C8" s="24">
        <f>-'res_raw_26799945'!$E$5</f>
        <v/>
      </c>
      <c r="D8" s="24">
        <f>-'res_raw_26799945'!$D$5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-'res_raw_26799945'!$F$7</f>
        <v/>
      </c>
      <c r="C10" s="24">
        <f>-'res_raw_26799945'!$E$7</f>
        <v/>
      </c>
      <c r="D10" s="24">
        <f>-'res_raw_26799945'!$D$7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-'res_raw_26799945'!$F$9</f>
        <v/>
      </c>
      <c r="C11" s="24">
        <f>-'res_raw_26799945'!$E$9</f>
        <v/>
      </c>
      <c r="D11" s="24">
        <f>-'res_raw_26799945'!$D$9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-'res_raw_26799945'!$F$10</f>
        <v/>
      </c>
      <c r="C12" s="24">
        <f>-'res_raw_26799945'!$E$10</f>
        <v/>
      </c>
      <c r="D12" s="24">
        <f>-'res_raw_26799945'!$D$10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N('res_raw_26799945'!$F$12)+N('res_raw_26799945'!$F$13)</f>
        <v/>
      </c>
      <c r="C14" s="24">
        <f>N('res_raw_26799945'!$E$12)+N('res_raw_26799945'!$E$13)</f>
        <v/>
      </c>
      <c r="D14" s="24">
        <f>N('res_raw_26799945'!$D$12)+N('res_raw_26799945'!$D$13)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-'res_raw_26799945'!$F$14</f>
        <v/>
      </c>
      <c r="C15" s="24">
        <f>-'res_raw_26799945'!$E$14</f>
        <v/>
      </c>
      <c r="D15" s="24">
        <f>-'res_raw_26799945'!$D$14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'balance_raw_26799945'!$F$15</f>
        <v/>
      </c>
      <c r="C19" s="24">
        <f>'balance_raw_26799945'!$E$15</f>
        <v/>
      </c>
      <c r="D19" s="24">
        <f>'balance_raw_26799945'!$D$15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'balance_raw_26799945'!$F$30</f>
        <v/>
      </c>
      <c r="C20" s="24">
        <f>'balance_raw_26799945'!$E$30</f>
        <v/>
      </c>
      <c r="D20" s="24">
        <f>'balance_raw_26799945'!$D$30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'balance_raw_26799945'!$F$38</f>
        <v/>
      </c>
      <c r="C23" s="24">
        <f>'balance_raw_26799945'!$E$38</f>
        <v/>
      </c>
      <c r="D23" s="24">
        <f>'balance_raw_26799945'!$D$38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'balance_raw_26799945'!$F$54-'balance_raw_26799945'!$F$38</f>
        <v/>
      </c>
      <c r="C24" s="24">
        <f>'balance_raw_26799945'!$E$54-'balance_raw_26799945'!$E$38</f>
        <v/>
      </c>
      <c r="D24" s="24">
        <f>'balance_raw_26799945'!$D$54-'balance_raw_26799945'!$D$38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'balance_raw_26799945'!$F$19</f>
        <v/>
      </c>
      <c r="C28" s="24">
        <f>'balance_raw_26799945'!$E$19</f>
        <v/>
      </c>
      <c r="D28" s="24">
        <f>'balance_raw_26799945'!$D$19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'balance_raw_26799945'!$F$20</f>
        <v/>
      </c>
      <c r="C29" s="24">
        <f>'balance_raw_26799945'!$E$20</f>
        <v/>
      </c>
      <c r="D29" s="24">
        <f>'balance_raw_26799945'!$D$20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'balance_raw_26799945'!$F$52</f>
        <v/>
      </c>
      <c r="C30" s="24">
        <f>'balance_raw_26799945'!$E$52</f>
        <v/>
      </c>
      <c r="D30" s="24">
        <f>'balance_raw_26799945'!$D$52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IF('balance_raw_26799945'!$F$31="","—",IF(ABS(B21-'balance_raw_26799945'!$F$31)&lt;=1,"✓ OK","❌ "&amp;TEXT(B21-'balance_raw_26799945'!$F$31,"+#,##0;-#,##0")&amp;" t.kr."))</f>
        <v/>
      </c>
      <c r="C61" s="29">
        <f>IF('balance_raw_26799945'!$E$31="","—",IF(ABS(C21-'balance_raw_26799945'!$E$31)&lt;=1,"✓ OK","❌ "&amp;TEXT(C21-'balance_raw_26799945'!$E$31,"+#,##0;-#,##0")&amp;" t.kr."))</f>
        <v/>
      </c>
      <c r="D61" s="29">
        <f>IF('balance_raw_26799945'!$D$31="","—",IF(ABS(D21-'balance_raw_26799945'!$D$31)&lt;=1,"✓ OK","❌ "&amp;TEXT(D21-'balance_raw_26799945'!$D$31,"+#,##0;-#,##0")&amp;"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IF('balance_raw_26799945'!$F$54="","—",IF(ABS(B25-'balance_raw_26799945'!$F$54)&lt;=1,"✓ OK","❌ "&amp;TEXT(B25-'balance_raw_26799945'!$F$54,"+#,##0;-#,##0")&amp;" t.kr."))</f>
        <v/>
      </c>
      <c r="C62" s="29">
        <f>IF('balance_raw_26799945'!$E$54="","—",IF(ABS(C25-'balance_raw_26799945'!$E$54)&lt;=1,"✓ OK","❌ "&amp;TEXT(C25-'balance_raw_26799945'!$E$54,"+#,##0;-#,##0")&amp;" t.kr."))</f>
        <v/>
      </c>
      <c r="D62" s="29">
        <f>IF('balance_raw_26799945'!$D$54="","—",IF(ABS(D25-'balance_raw_26799945'!$D$54)&lt;=1,"✓ OK","❌ "&amp;TEXT(D25-'balance_raw_26799945'!$D$54,"+#,##0;-#,##0")&amp;"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IF('res_raw_26799945'!$F$6="","—",IF(ABS(B9-'res_raw_26799945'!$F$6)&lt;=1,"✓ OK","❌ "&amp;TEXT(B9-'res_raw_26799945'!$F$6,"+#,##0;-#,##0")&amp;" t.kr."))</f>
        <v/>
      </c>
      <c r="C64" s="29">
        <f>IF('res_raw_26799945'!$E$6="","—",IF(ABS(C9-'res_raw_26799945'!$E$6)&lt;=1,"✓ OK","❌ "&amp;TEXT(C9-'res_raw_26799945'!$E$6,"+#,##0;-#,##0")&amp;" t.kr."))</f>
        <v/>
      </c>
      <c r="D64" s="29">
        <f>IF('res_raw_26799945'!$D$6="","—",IF(ABS(D9-'res_raw_26799945'!$D$6)&lt;=1,"✓ OK","❌ "&amp;TEXT(D9-'res_raw_26799945'!$D$6,"+#,##0;-#,##0")&amp;"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IF('res_raw_26799945'!$F$11="","—",IF(ABS(B13-'res_raw_26799945'!$F$11)&lt;=1,"✓ OK","❌ "&amp;TEXT(B13-'res_raw_26799945'!$F$11,"+#,##0;-#,##0")&amp;" t.kr."))</f>
        <v/>
      </c>
      <c r="C65" s="29">
        <f>IF('res_raw_26799945'!$E$11="","—",IF(ABS(C13-'res_raw_26799945'!$E$11)&lt;=1,"✓ OK","❌ "&amp;TEXT(C13-'res_raw_26799945'!$E$11,"+#,##0;-#,##0")&amp;" t.kr."))</f>
        <v/>
      </c>
      <c r="D65" s="29">
        <f>IF('res_raw_26799945'!$D$11="","—",IF(ABS(D13-'res_raw_26799945'!$D$11)&lt;=1,"✓ OK","❌ "&amp;TEXT(D13-'res_raw_26799945'!$D$11,"+#,##0;-#,##0")&amp;"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IF('res_raw_26799945'!$F$16="","—",IF(ABS(B16-'res_raw_26799945'!$F$16)&lt;=1,"✓ OK","❌ "&amp;TEXT(B16-'res_raw_26799945'!$F$16,"+#,##0;-#,##0")&amp;" t.kr."))</f>
        <v/>
      </c>
      <c r="C66" s="29">
        <f>IF('res_raw_26799945'!$E$16="","—",IF(ABS(C16-'res_raw_26799945'!$E$16)&lt;=1,"✓ OK","❌ "&amp;TEXT(C16-'res_raw_26799945'!$E$16,"+#,##0;-#,##0")&amp;" t.kr."))</f>
        <v/>
      </c>
      <c r="D66" s="29">
        <f>IF('res_raw_26799945'!$D$16="","—",IF(ABS(D16-'res_raw_26799945'!$D$16)&lt;=1,"✓ OK","❌ "&amp;TEXT(D16-'res_raw_26799945'!$D$16,"+#,##0;-#,##0")&amp;"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HAY ApS (CVR 26799945)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fsa:ReserveForUnpaidContributedCapital</t>
        </is>
      </c>
      <c r="C3" s="34" t="inlineStr">
        <is>
          <t>fsa:ReserveForUnpaidContributedCapital</t>
        </is>
      </c>
      <c r="D3" s="35" t="n"/>
      <c r="E3" s="35" t="n">
        <v>11464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2026-09-09T19:22:56Z</dcterms:created>
  <dcterms:modified xmlns:dcterms="http://purl.org/dc/terms/" xmlns:xsi="http://www.w3.org/2001/XMLSchema-instance" xsi:type="dcterms:W3CDTF">2026-09-09T19:22:56Z</dcterms:modified>
</cp:coreProperties>
</file>