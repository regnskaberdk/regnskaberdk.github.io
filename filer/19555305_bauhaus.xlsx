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555305" sheetId="1" state="visible" r:id="rId1"/>
    <sheet xmlns:r="http://schemas.openxmlformats.org/officeDocument/2006/relationships" name="res_raw_19555305" sheetId="2" state="visible" r:id="rId2"/>
    <sheet xmlns:r="http://schemas.openxmlformats.org/officeDocument/2006/relationships" name="balance_raw_19555305" sheetId="3" state="visible" r:id="rId3"/>
    <sheet xmlns:r="http://schemas.openxmlformats.org/officeDocument/2006/relationships" name="pengestrom_raw_19555305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'res_raw_19555305'!$B$2</f>
        <v/>
      </c>
      <c r="C4" s="5">
        <f>'res_raw_19555305'!$C$2</f>
        <v/>
      </c>
      <c r="D4" s="5">
        <f>'res_raw_19555305'!$D$2</f>
        <v/>
      </c>
      <c r="E4" s="5">
        <f>'res_raw_19555305'!$E$2</f>
        <v/>
      </c>
      <c r="F4" s="5">
        <f>'res_raw_19555305'!$F$2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'res_raw_19555305'!$B$3</f>
        <v/>
      </c>
      <c r="C5" s="8">
        <f>'res_raw_19555305'!$C$3</f>
        <v/>
      </c>
      <c r="D5" s="8">
        <f>'res_raw_19555305'!$D$3</f>
        <v/>
      </c>
      <c r="E5" s="8">
        <f>'res_raw_19555305'!$E$3</f>
        <v/>
      </c>
      <c r="F5" s="8">
        <f>'res_raw_19555305'!$F$3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'res_raw_19555305'!$B$4</f>
        <v/>
      </c>
      <c r="C6" s="5">
        <f>'res_raw_19555305'!$C$4</f>
        <v/>
      </c>
      <c r="D6" s="5">
        <f>'res_raw_19555305'!$D$4</f>
        <v/>
      </c>
      <c r="E6" s="5">
        <f>'res_raw_19555305'!$E$4</f>
        <v/>
      </c>
      <c r="F6" s="5">
        <f>'res_raw_19555305'!$F$4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'res_raw_19555305'!$B$5</f>
        <v/>
      </c>
      <c r="C7" s="8">
        <f>'res_raw_19555305'!$C$5</f>
        <v/>
      </c>
      <c r="D7" s="8">
        <f>'res_raw_19555305'!$D$5</f>
        <v/>
      </c>
      <c r="E7" s="8">
        <f>'res_raw_19555305'!$E$5</f>
        <v/>
      </c>
      <c r="F7" s="8">
        <f>'res_raw_19555305'!$F$5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'res_raw_19555305'!$B$6</f>
        <v/>
      </c>
      <c r="C8" s="11">
        <f>'res_raw_19555305'!$C$6</f>
        <v/>
      </c>
      <c r="D8" s="11">
        <f>'res_raw_19555305'!$D$6</f>
        <v/>
      </c>
      <c r="E8" s="11">
        <f>'res_raw_19555305'!$E$6</f>
        <v/>
      </c>
      <c r="F8" s="11">
        <f>'res_raw_19555305'!$F$6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'res_raw_19555305'!$B$7</f>
        <v/>
      </c>
      <c r="C9" s="8">
        <f>'res_raw_19555305'!$C$7</f>
        <v/>
      </c>
      <c r="D9" s="8">
        <f>'res_raw_19555305'!$D$7</f>
        <v/>
      </c>
      <c r="E9" s="8">
        <f>'res_raw_19555305'!$E$7</f>
        <v/>
      </c>
      <c r="F9" s="8">
        <f>'res_raw_19555305'!$F$7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'res_raw_19555305'!$B$9</f>
        <v/>
      </c>
      <c r="C11" s="8">
        <f>'res_raw_19555305'!$C$9</f>
        <v/>
      </c>
      <c r="D11" s="8">
        <f>'res_raw_19555305'!$D$9</f>
        <v/>
      </c>
      <c r="E11" s="8">
        <f>'res_raw_19555305'!$E$9</f>
        <v/>
      </c>
      <c r="F11" s="8">
        <f>'res_raw_19555305'!$F$9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'res_raw_19555305'!$B$10</f>
        <v/>
      </c>
      <c r="C12" s="5">
        <f>'res_raw_19555305'!$C$10</f>
        <v/>
      </c>
      <c r="D12" s="5">
        <f>'res_raw_19555305'!$D$10</f>
        <v/>
      </c>
      <c r="E12" s="5">
        <f>'res_raw_19555305'!$E$10</f>
        <v/>
      </c>
      <c r="F12" s="5">
        <f>'res_raw_19555305'!$F$10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'res_raw_19555305'!$B$11</f>
        <v/>
      </c>
      <c r="C13" s="11">
        <f>'res_raw_19555305'!$C$11</f>
        <v/>
      </c>
      <c r="D13" s="11">
        <f>'res_raw_19555305'!$D$11</f>
        <v/>
      </c>
      <c r="E13" s="11">
        <f>'res_raw_19555305'!$E$11</f>
        <v/>
      </c>
      <c r="F13" s="11">
        <f>'res_raw_19555305'!$F$11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'res_raw_19555305'!$B$12</f>
        <v/>
      </c>
      <c r="C14" s="5">
        <f>'res_raw_19555305'!$C$12</f>
        <v/>
      </c>
      <c r="D14" s="5">
        <f>'res_raw_19555305'!$D$12</f>
        <v/>
      </c>
      <c r="E14" s="5">
        <f>'res_raw_19555305'!$E$12</f>
        <v/>
      </c>
      <c r="F14" s="5">
        <f>'res_raw_19555305'!$F$12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'res_raw_19555305'!$B$13</f>
        <v/>
      </c>
      <c r="C15" s="8">
        <f>'res_raw_19555305'!$C$13</f>
        <v/>
      </c>
      <c r="D15" s="8">
        <f>'res_raw_19555305'!$D$13</f>
        <v/>
      </c>
      <c r="E15" s="8">
        <f>'res_raw_19555305'!$E$13</f>
        <v/>
      </c>
      <c r="F15" s="8">
        <f>'res_raw_19555305'!$F$13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'res_raw_19555305'!$B$14</f>
        <v/>
      </c>
      <c r="C16" s="5">
        <f>'res_raw_19555305'!$C$14</f>
        <v/>
      </c>
      <c r="D16" s="5">
        <f>'res_raw_19555305'!$D$14</f>
        <v/>
      </c>
      <c r="E16" s="5">
        <f>'res_raw_19555305'!$E$14</f>
        <v/>
      </c>
      <c r="F16" s="5">
        <f>'res_raw_19555305'!$F$14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'res_raw_19555305'!$B$15</f>
        <v/>
      </c>
      <c r="C17" s="11">
        <f>'res_raw_19555305'!$C$15</f>
        <v/>
      </c>
      <c r="D17" s="11">
        <f>'res_raw_19555305'!$D$15</f>
        <v/>
      </c>
      <c r="E17" s="11">
        <f>'res_raw_19555305'!$E$15</f>
        <v/>
      </c>
      <c r="F17" s="11">
        <f>'res_raw_19555305'!$F$15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'res_raw_19555305'!$B$16</f>
        <v/>
      </c>
      <c r="C18" s="11">
        <f>'res_raw_19555305'!$C$16</f>
        <v/>
      </c>
      <c r="D18" s="11">
        <f>'res_raw_19555305'!$D$16</f>
        <v/>
      </c>
      <c r="E18" s="11">
        <f>'res_raw_19555305'!$E$16</f>
        <v/>
      </c>
      <c r="F18" s="11">
        <f>'res_raw_19555305'!$F$16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'res_raw_19555305'!$B$17</f>
        <v/>
      </c>
      <c r="C19" s="8">
        <f>'res_raw_19555305'!$C$17</f>
        <v/>
      </c>
      <c r="D19" s="8">
        <f>'res_raw_19555305'!$D$17</f>
        <v/>
      </c>
      <c r="E19" s="8">
        <f>'res_raw_19555305'!$E$17</f>
        <v/>
      </c>
      <c r="F19" s="8">
        <f>'res_raw_19555305'!$F$17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'res_raw_19555305'!$B$18</f>
        <v/>
      </c>
      <c r="C20" s="11">
        <f>'res_raw_19555305'!$C$18</f>
        <v/>
      </c>
      <c r="D20" s="11">
        <f>'res_raw_19555305'!$D$18</f>
        <v/>
      </c>
      <c r="E20" s="11">
        <f>'res_raw_19555305'!$E$18</f>
        <v/>
      </c>
      <c r="F20" s="11">
        <f>'res_raw_19555305'!$F$18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'balance_raw_19555305'!$B$2</f>
        <v/>
      </c>
      <c r="C23" s="11">
        <f>'balance_raw_19555305'!$C$2</f>
        <v/>
      </c>
      <c r="D23" s="11">
        <f>'balance_raw_19555305'!$D$2</f>
        <v/>
      </c>
      <c r="E23" s="11">
        <f>'balance_raw_19555305'!$E$2</f>
        <v/>
      </c>
      <c r="F23" s="11">
        <f>'balance_raw_19555305'!$F$2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'balance_raw_19555305'!$B$3</f>
        <v/>
      </c>
      <c r="C24" s="5">
        <f>'balance_raw_19555305'!$C$3</f>
        <v/>
      </c>
      <c r="D24" s="5">
        <f>'balance_raw_19555305'!$D$3</f>
        <v/>
      </c>
      <c r="E24" s="5">
        <f>'balance_raw_19555305'!$E$3</f>
        <v/>
      </c>
      <c r="F24" s="5">
        <f>'balance_raw_19555305'!$F$3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'balance_raw_19555305'!$B$4</f>
        <v/>
      </c>
      <c r="C25" s="8">
        <f>'balance_raw_19555305'!$C$4</f>
        <v/>
      </c>
      <c r="D25" s="8">
        <f>'balance_raw_19555305'!$D$4</f>
        <v/>
      </c>
      <c r="E25" s="8">
        <f>'balance_raw_19555305'!$E$4</f>
        <v/>
      </c>
      <c r="F25" s="8">
        <f>'balance_raw_19555305'!$F$4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'balance_raw_19555305'!$B$5</f>
        <v/>
      </c>
      <c r="C26" s="5">
        <f>'balance_raw_19555305'!$C$5</f>
        <v/>
      </c>
      <c r="D26" s="5">
        <f>'balance_raw_19555305'!$D$5</f>
        <v/>
      </c>
      <c r="E26" s="5">
        <f>'balance_raw_19555305'!$E$5</f>
        <v/>
      </c>
      <c r="F26" s="5">
        <f>'balance_raw_19555305'!$F$5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'balance_raw_19555305'!$B$6</f>
        <v/>
      </c>
      <c r="C27" s="8">
        <f>'balance_raw_19555305'!$C$6</f>
        <v/>
      </c>
      <c r="D27" s="8">
        <f>'balance_raw_19555305'!$D$6</f>
        <v/>
      </c>
      <c r="E27" s="8">
        <f>'balance_raw_19555305'!$E$6</f>
        <v/>
      </c>
      <c r="F27" s="8">
        <f>'balance_raw_19555305'!$F$6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'balance_raw_19555305'!$B$7</f>
        <v/>
      </c>
      <c r="C28" s="5">
        <f>'balance_raw_19555305'!$C$7</f>
        <v/>
      </c>
      <c r="D28" s="5">
        <f>'balance_raw_19555305'!$D$7</f>
        <v/>
      </c>
      <c r="E28" s="5">
        <f>'balance_raw_19555305'!$E$7</f>
        <v/>
      </c>
      <c r="F28" s="5">
        <f>'balance_raw_19555305'!$F$7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'balance_raw_19555305'!$B$8</f>
        <v/>
      </c>
      <c r="C29" s="11">
        <f>'balance_raw_19555305'!$C$8</f>
        <v/>
      </c>
      <c r="D29" s="11">
        <f>'balance_raw_19555305'!$D$8</f>
        <v/>
      </c>
      <c r="E29" s="11">
        <f>'balance_raw_19555305'!$E$8</f>
        <v/>
      </c>
      <c r="F29" s="11">
        <f>'balance_raw_19555305'!$F$8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'balance_raw_19555305'!$B$9</f>
        <v/>
      </c>
      <c r="C30" s="11">
        <f>'balance_raw_19555305'!$C$9</f>
        <v/>
      </c>
      <c r="D30" s="11">
        <f>'balance_raw_19555305'!$D$9</f>
        <v/>
      </c>
      <c r="E30" s="11">
        <f>'balance_raw_19555305'!$E$9</f>
        <v/>
      </c>
      <c r="F30" s="11">
        <f>'balance_raw_19555305'!$F$9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'balance_raw_19555305'!$B$10</f>
        <v/>
      </c>
      <c r="C31" s="8">
        <f>'balance_raw_19555305'!$C$10</f>
        <v/>
      </c>
      <c r="D31" s="8">
        <f>'balance_raw_19555305'!$D$10</f>
        <v/>
      </c>
      <c r="E31" s="8">
        <f>'balance_raw_19555305'!$E$10</f>
        <v/>
      </c>
      <c r="F31" s="8">
        <f>'balance_raw_19555305'!$F$10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'balance_raw_19555305'!$B$11</f>
        <v/>
      </c>
      <c r="C32" s="5">
        <f>'balance_raw_19555305'!$C$11</f>
        <v/>
      </c>
      <c r="D32" s="5">
        <f>'balance_raw_19555305'!$D$11</f>
        <v/>
      </c>
      <c r="E32" s="5">
        <f>'balance_raw_19555305'!$E$11</f>
        <v/>
      </c>
      <c r="F32" s="5">
        <f>'balance_raw_19555305'!$F$11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'balance_raw_19555305'!$B$12</f>
        <v/>
      </c>
      <c r="C33" s="8">
        <f>'balance_raw_19555305'!$C$12</f>
        <v/>
      </c>
      <c r="D33" s="8">
        <f>'balance_raw_19555305'!$D$12</f>
        <v/>
      </c>
      <c r="E33" s="8">
        <f>'balance_raw_19555305'!$E$12</f>
        <v/>
      </c>
      <c r="F33" s="8">
        <f>'balance_raw_19555305'!$F$12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'balance_raw_19555305'!$B$13</f>
        <v/>
      </c>
      <c r="C34" s="11">
        <f>'balance_raw_19555305'!$C$13</f>
        <v/>
      </c>
      <c r="D34" s="11">
        <f>'balance_raw_19555305'!$D$13</f>
        <v/>
      </c>
      <c r="E34" s="11">
        <f>'balance_raw_19555305'!$E$13</f>
        <v/>
      </c>
      <c r="F34" s="11">
        <f>'balance_raw_19555305'!$F$13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'balance_raw_19555305'!$B$14</f>
        <v/>
      </c>
      <c r="C35" s="8">
        <f>'balance_raw_19555305'!$C$14</f>
        <v/>
      </c>
      <c r="D35" s="8">
        <f>'balance_raw_19555305'!$D$14</f>
        <v/>
      </c>
      <c r="E35" s="8">
        <f>'balance_raw_19555305'!$E$14</f>
        <v/>
      </c>
      <c r="F35" s="8">
        <f>'balance_raw_19555305'!$F$14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'balance_raw_19555305'!$B$15</f>
        <v/>
      </c>
      <c r="C36" s="5">
        <f>'balance_raw_19555305'!$C$15</f>
        <v/>
      </c>
      <c r="D36" s="5">
        <f>'balance_raw_19555305'!$D$15</f>
        <v/>
      </c>
      <c r="E36" s="5">
        <f>'balance_raw_19555305'!$E$15</f>
        <v/>
      </c>
      <c r="F36" s="5">
        <f>'balance_raw_19555305'!$F$15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'balance_raw_19555305'!$B$16</f>
        <v/>
      </c>
      <c r="C37" s="8">
        <f>'balance_raw_19555305'!$C$16</f>
        <v/>
      </c>
      <c r="D37" s="8">
        <f>'balance_raw_19555305'!$D$16</f>
        <v/>
      </c>
      <c r="E37" s="8">
        <f>'balance_raw_19555305'!$E$16</f>
        <v/>
      </c>
      <c r="F37" s="8">
        <f>'balance_raw_19555305'!$F$16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'balance_raw_19555305'!$B$17</f>
        <v/>
      </c>
      <c r="C38" s="5">
        <f>'balance_raw_19555305'!$C$17</f>
        <v/>
      </c>
      <c r="D38" s="5">
        <f>'balance_raw_19555305'!$D$17</f>
        <v/>
      </c>
      <c r="E38" s="5">
        <f>'balance_raw_19555305'!$E$17</f>
        <v/>
      </c>
      <c r="F38" s="5">
        <f>'balance_raw_19555305'!$F$17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'balance_raw_19555305'!$B$18</f>
        <v/>
      </c>
      <c r="C39" s="8">
        <f>'balance_raw_19555305'!$C$18</f>
        <v/>
      </c>
      <c r="D39" s="8">
        <f>'balance_raw_19555305'!$D$18</f>
        <v/>
      </c>
      <c r="E39" s="8">
        <f>'balance_raw_19555305'!$E$18</f>
        <v/>
      </c>
      <c r="F39" s="8">
        <f>'balance_raw_19555305'!$F$18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'balance_raw_19555305'!$B$19</f>
        <v/>
      </c>
      <c r="C40" s="5">
        <f>'balance_raw_19555305'!$C$19</f>
        <v/>
      </c>
      <c r="D40" s="5">
        <f>'balance_raw_19555305'!$D$19</f>
        <v/>
      </c>
      <c r="E40" s="5">
        <f>'balance_raw_19555305'!$E$19</f>
        <v/>
      </c>
      <c r="F40" s="5">
        <f>'balance_raw_19555305'!$F$19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'balance_raw_19555305'!$B$20</f>
        <v/>
      </c>
      <c r="C41" s="8">
        <f>'balance_raw_19555305'!$C$20</f>
        <v/>
      </c>
      <c r="D41" s="8">
        <f>'balance_raw_19555305'!$D$20</f>
        <v/>
      </c>
      <c r="E41" s="8">
        <f>'balance_raw_19555305'!$E$20</f>
        <v/>
      </c>
      <c r="F41" s="8">
        <f>'balance_raw_19555305'!$F$20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'balance_raw_19555305'!$B$21</f>
        <v/>
      </c>
      <c r="C42" s="11">
        <f>'balance_raw_19555305'!$C$21</f>
        <v/>
      </c>
      <c r="D42" s="11">
        <f>'balance_raw_19555305'!$D$21</f>
        <v/>
      </c>
      <c r="E42" s="11">
        <f>'balance_raw_19555305'!$E$21</f>
        <v/>
      </c>
      <c r="F42" s="11">
        <f>'balance_raw_19555305'!$F$21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'balance_raw_19555305'!$B$22</f>
        <v/>
      </c>
      <c r="C43" s="8">
        <f>'balance_raw_19555305'!$C$22</f>
        <v/>
      </c>
      <c r="D43" s="8">
        <f>'balance_raw_19555305'!$D$22</f>
        <v/>
      </c>
      <c r="E43" s="8">
        <f>'balance_raw_19555305'!$E$22</f>
        <v/>
      </c>
      <c r="F43" s="8">
        <f>'balance_raw_19555305'!$F$22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'balance_raw_19555305'!$B$23</f>
        <v/>
      </c>
      <c r="C44" s="5">
        <f>'balance_raw_19555305'!$C$23</f>
        <v/>
      </c>
      <c r="D44" s="5">
        <f>'balance_raw_19555305'!$D$23</f>
        <v/>
      </c>
      <c r="E44" s="5">
        <f>'balance_raw_19555305'!$E$23</f>
        <v/>
      </c>
      <c r="F44" s="5">
        <f>'balance_raw_19555305'!$F$23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'balance_raw_19555305'!$B$24</f>
        <v/>
      </c>
      <c r="C45" s="11">
        <f>'balance_raw_19555305'!$C$24</f>
        <v/>
      </c>
      <c r="D45" s="11">
        <f>'balance_raw_19555305'!$D$24</f>
        <v/>
      </c>
      <c r="E45" s="11">
        <f>'balance_raw_19555305'!$E$24</f>
        <v/>
      </c>
      <c r="F45" s="11">
        <f>'balance_raw_19555305'!$F$24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'balance_raw_19555305'!$B$25</f>
        <v/>
      </c>
      <c r="C46" s="11">
        <f>'balance_raw_19555305'!$C$25</f>
        <v/>
      </c>
      <c r="D46" s="11">
        <f>'balance_raw_19555305'!$D$25</f>
        <v/>
      </c>
      <c r="E46" s="11">
        <f>'balance_raw_19555305'!$E$25</f>
        <v/>
      </c>
      <c r="F46" s="11">
        <f>'balance_raw_19555305'!$F$25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'balance_raw_19555305'!$B$26</f>
        <v/>
      </c>
      <c r="C49" s="8">
        <f>'balance_raw_19555305'!$C$26</f>
        <v/>
      </c>
      <c r="D49" s="8">
        <f>'balance_raw_19555305'!$D$26</f>
        <v/>
      </c>
      <c r="E49" s="8">
        <f>'balance_raw_19555305'!$E$26</f>
        <v/>
      </c>
      <c r="F49" s="8">
        <f>'balance_raw_19555305'!$F$26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'balance_raw_19555305'!$B$27</f>
        <v/>
      </c>
      <c r="C50" s="5">
        <f>'balance_raw_19555305'!$C$27</f>
        <v/>
      </c>
      <c r="D50" s="5">
        <f>'balance_raw_19555305'!$D$27</f>
        <v/>
      </c>
      <c r="E50" s="5">
        <f>'balance_raw_19555305'!$E$27</f>
        <v/>
      </c>
      <c r="F50" s="5">
        <f>'balance_raw_19555305'!$F$27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'balance_raw_19555305'!$B$28</f>
        <v/>
      </c>
      <c r="C51" s="8">
        <f>'balance_raw_19555305'!$C$28</f>
        <v/>
      </c>
      <c r="D51" s="8">
        <f>'balance_raw_19555305'!$D$28</f>
        <v/>
      </c>
      <c r="E51" s="8">
        <f>'balance_raw_19555305'!$E$28</f>
        <v/>
      </c>
      <c r="F51" s="8">
        <f>'balance_raw_19555305'!$F$28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'balance_raw_19555305'!$B$29</f>
        <v/>
      </c>
      <c r="C52" s="5">
        <f>'balance_raw_19555305'!$C$29</f>
        <v/>
      </c>
      <c r="D52" s="5">
        <f>'balance_raw_19555305'!$D$29</f>
        <v/>
      </c>
      <c r="E52" s="5">
        <f>'balance_raw_19555305'!$E$29</f>
        <v/>
      </c>
      <c r="F52" s="5">
        <f>'balance_raw_19555305'!$F$29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'balance_raw_19555305'!$B$30</f>
        <v/>
      </c>
      <c r="C53" s="8">
        <f>'balance_raw_19555305'!$C$30</f>
        <v/>
      </c>
      <c r="D53" s="8">
        <f>'balance_raw_19555305'!$D$30</f>
        <v/>
      </c>
      <c r="E53" s="8">
        <f>'balance_raw_19555305'!$E$30</f>
        <v/>
      </c>
      <c r="F53" s="8">
        <f>'balance_raw_19555305'!$F$30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'balance_raw_19555305'!$B$31</f>
        <v/>
      </c>
      <c r="C54" s="5">
        <f>'balance_raw_19555305'!$C$31</f>
        <v/>
      </c>
      <c r="D54" s="5">
        <f>'balance_raw_19555305'!$D$31</f>
        <v/>
      </c>
      <c r="E54" s="5">
        <f>'balance_raw_19555305'!$E$31</f>
        <v/>
      </c>
      <c r="F54" s="5">
        <f>'balance_raw_19555305'!$F$31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'balance_raw_19555305'!$B$32</f>
        <v/>
      </c>
      <c r="C55" s="11">
        <f>'balance_raw_19555305'!$C$32</f>
        <v/>
      </c>
      <c r="D55" s="11">
        <f>'balance_raw_19555305'!$D$32</f>
        <v/>
      </c>
      <c r="E55" s="11">
        <f>'balance_raw_19555305'!$E$32</f>
        <v/>
      </c>
      <c r="F55" s="11">
        <f>'balance_raw_19555305'!$F$32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'balance_raw_19555305'!$B$33</f>
        <v/>
      </c>
      <c r="C56" s="5">
        <f>'balance_raw_19555305'!$C$33</f>
        <v/>
      </c>
      <c r="D56" s="5">
        <f>'balance_raw_19555305'!$D$33</f>
        <v/>
      </c>
      <c r="E56" s="5">
        <f>'balance_raw_19555305'!$E$33</f>
        <v/>
      </c>
      <c r="F56" s="5">
        <f>'balance_raw_19555305'!$F$33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Hensatte forpligtelser</t>
        </is>
      </c>
      <c r="B57" s="11">
        <f>'balance_raw_19555305'!$B$34</f>
        <v/>
      </c>
      <c r="C57" s="11">
        <f>'balance_raw_19555305'!$C$34</f>
        <v/>
      </c>
      <c r="D57" s="11">
        <f>'balance_raw_19555305'!$D$34</f>
        <v/>
      </c>
      <c r="E57" s="11">
        <f>'balance_raw_19555305'!$E$34</f>
        <v/>
      </c>
      <c r="F57" s="11">
        <f>'balance_raw_19555305'!$F$34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'balance_raw_19555305'!$B$35</f>
        <v/>
      </c>
      <c r="C58" s="5">
        <f>'balance_raw_19555305'!$C$35</f>
        <v/>
      </c>
      <c r="D58" s="5">
        <f>'balance_raw_19555305'!$D$35</f>
        <v/>
      </c>
      <c r="E58" s="5">
        <f>'balance_raw_19555305'!$E$35</f>
        <v/>
      </c>
      <c r="F58" s="5">
        <f>'balance_raw_19555305'!$F$35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'balance_raw_19555305'!$B$36</f>
        <v/>
      </c>
      <c r="C59" s="8">
        <f>'balance_raw_19555305'!$C$36</f>
        <v/>
      </c>
      <c r="D59" s="8">
        <f>'balance_raw_19555305'!$D$36</f>
        <v/>
      </c>
      <c r="E59" s="8">
        <f>'balance_raw_19555305'!$E$36</f>
        <v/>
      </c>
      <c r="F59" s="8">
        <f>'balance_raw_19555305'!$F$36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'balance_raw_19555305'!$B$37</f>
        <v/>
      </c>
      <c r="C60" s="5">
        <f>'balance_raw_19555305'!$C$37</f>
        <v/>
      </c>
      <c r="D60" s="5">
        <f>'balance_raw_19555305'!$D$37</f>
        <v/>
      </c>
      <c r="E60" s="5">
        <f>'balance_raw_19555305'!$E$37</f>
        <v/>
      </c>
      <c r="F60" s="5">
        <f>'balance_raw_19555305'!$F$37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'balance_raw_19555305'!$B$38</f>
        <v/>
      </c>
      <c r="C61" s="8">
        <f>'balance_raw_19555305'!$C$38</f>
        <v/>
      </c>
      <c r="D61" s="8">
        <f>'balance_raw_19555305'!$D$38</f>
        <v/>
      </c>
      <c r="E61" s="8">
        <f>'balance_raw_19555305'!$E$38</f>
        <v/>
      </c>
      <c r="F61" s="8">
        <f>'balance_raw_19555305'!$F$38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'balance_raw_19555305'!$B$39</f>
        <v/>
      </c>
      <c r="C62" s="11">
        <f>'balance_raw_19555305'!$C$39</f>
        <v/>
      </c>
      <c r="D62" s="11">
        <f>'balance_raw_19555305'!$D$39</f>
        <v/>
      </c>
      <c r="E62" s="11">
        <f>'balance_raw_19555305'!$E$39</f>
        <v/>
      </c>
      <c r="F62" s="11">
        <f>'balance_raw_19555305'!$F$39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'balance_raw_19555305'!$B$40</f>
        <v/>
      </c>
      <c r="C63" s="8">
        <f>'balance_raw_19555305'!$C$40</f>
        <v/>
      </c>
      <c r="D63" s="8">
        <f>'balance_raw_19555305'!$D$40</f>
        <v/>
      </c>
      <c r="E63" s="8">
        <f>'balance_raw_19555305'!$E$40</f>
        <v/>
      </c>
      <c r="F63" s="8">
        <f>'balance_raw_19555305'!$F$40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'balance_raw_19555305'!$B$41</f>
        <v/>
      </c>
      <c r="C64" s="5">
        <f>'balance_raw_19555305'!$C$41</f>
        <v/>
      </c>
      <c r="D64" s="5">
        <f>'balance_raw_19555305'!$D$41</f>
        <v/>
      </c>
      <c r="E64" s="5">
        <f>'balance_raw_19555305'!$E$41</f>
        <v/>
      </c>
      <c r="F64" s="5">
        <f>'balance_raw_19555305'!$F$41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'balance_raw_19555305'!$B$42</f>
        <v/>
      </c>
      <c r="C65" s="8">
        <f>'balance_raw_19555305'!$C$42</f>
        <v/>
      </c>
      <c r="D65" s="8">
        <f>'balance_raw_19555305'!$D$42</f>
        <v/>
      </c>
      <c r="E65" s="8">
        <f>'balance_raw_19555305'!$E$42</f>
        <v/>
      </c>
      <c r="F65" s="8">
        <f>'balance_raw_19555305'!$F$42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'balance_raw_19555305'!$B$43</f>
        <v/>
      </c>
      <c r="C66" s="5">
        <f>'balance_raw_19555305'!$C$43</f>
        <v/>
      </c>
      <c r="D66" s="5">
        <f>'balance_raw_19555305'!$D$43</f>
        <v/>
      </c>
      <c r="E66" s="5">
        <f>'balance_raw_19555305'!$E$43</f>
        <v/>
      </c>
      <c r="F66" s="5">
        <f>'balance_raw_19555305'!$F$43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'balance_raw_19555305'!$B$44</f>
        <v/>
      </c>
      <c r="C67" s="8">
        <f>'balance_raw_19555305'!$C$44</f>
        <v/>
      </c>
      <c r="D67" s="8">
        <f>'balance_raw_19555305'!$D$44</f>
        <v/>
      </c>
      <c r="E67" s="8">
        <f>'balance_raw_19555305'!$E$44</f>
        <v/>
      </c>
      <c r="F67" s="8">
        <f>'balance_raw_19555305'!$F$44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'balance_raw_19555305'!$B$45</f>
        <v/>
      </c>
      <c r="C68" s="5">
        <f>'balance_raw_19555305'!$C$45</f>
        <v/>
      </c>
      <c r="D68" s="5">
        <f>'balance_raw_19555305'!$D$45</f>
        <v/>
      </c>
      <c r="E68" s="5">
        <f>'balance_raw_19555305'!$E$45</f>
        <v/>
      </c>
      <c r="F68" s="5">
        <f>'balance_raw_19555305'!$F$45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'balance_raw_19555305'!$B$46</f>
        <v/>
      </c>
      <c r="C69" s="8">
        <f>'balance_raw_19555305'!$C$46</f>
        <v/>
      </c>
      <c r="D69" s="8">
        <f>'balance_raw_19555305'!$D$46</f>
        <v/>
      </c>
      <c r="E69" s="8">
        <f>'balance_raw_19555305'!$E$46</f>
        <v/>
      </c>
      <c r="F69" s="8">
        <f>'balance_raw_19555305'!$F$46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'balance_raw_19555305'!$B$47</f>
        <v/>
      </c>
      <c r="C70" s="5">
        <f>'balance_raw_19555305'!$C$47</f>
        <v/>
      </c>
      <c r="D70" s="5">
        <f>'balance_raw_19555305'!$D$47</f>
        <v/>
      </c>
      <c r="E70" s="5">
        <f>'balance_raw_19555305'!$E$47</f>
        <v/>
      </c>
      <c r="F70" s="5">
        <f>'balance_raw_19555305'!$F$47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'balance_raw_19555305'!$B$48</f>
        <v/>
      </c>
      <c r="C71" s="8">
        <f>'balance_raw_19555305'!$C$48</f>
        <v/>
      </c>
      <c r="D71" s="8">
        <f>'balance_raw_19555305'!$D$48</f>
        <v/>
      </c>
      <c r="E71" s="8">
        <f>'balance_raw_19555305'!$E$48</f>
        <v/>
      </c>
      <c r="F71" s="8">
        <f>'balance_raw_19555305'!$F$48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'balance_raw_19555305'!$B$49</f>
        <v/>
      </c>
      <c r="C72" s="5">
        <f>'balance_raw_19555305'!$C$49</f>
        <v/>
      </c>
      <c r="D72" s="5">
        <f>'balance_raw_19555305'!$D$49</f>
        <v/>
      </c>
      <c r="E72" s="5">
        <f>'balance_raw_19555305'!$E$49</f>
        <v/>
      </c>
      <c r="F72" s="5">
        <f>'balance_raw_19555305'!$F$49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'balance_raw_19555305'!$B$50</f>
        <v/>
      </c>
      <c r="C73" s="8">
        <f>'balance_raw_19555305'!$C$50</f>
        <v/>
      </c>
      <c r="D73" s="8">
        <f>'balance_raw_19555305'!$D$50</f>
        <v/>
      </c>
      <c r="E73" s="8">
        <f>'balance_raw_19555305'!$E$50</f>
        <v/>
      </c>
      <c r="F73" s="8">
        <f>'balance_raw_19555305'!$F$50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'balance_raw_19555305'!$B$51</f>
        <v/>
      </c>
      <c r="C74" s="11">
        <f>'balance_raw_19555305'!$C$51</f>
        <v/>
      </c>
      <c r="D74" s="11">
        <f>'balance_raw_19555305'!$D$51</f>
        <v/>
      </c>
      <c r="E74" s="11">
        <f>'balance_raw_19555305'!$E$51</f>
        <v/>
      </c>
      <c r="F74" s="11">
        <f>'balance_raw_19555305'!$F$51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'balance_raw_19555305'!$B$52</f>
        <v/>
      </c>
      <c r="C75" s="11">
        <f>'balance_raw_19555305'!$C$52</f>
        <v/>
      </c>
      <c r="D75" s="11">
        <f>'balance_raw_19555305'!$D$52</f>
        <v/>
      </c>
      <c r="E75" s="11">
        <f>'balance_raw_19555305'!$E$52</f>
        <v/>
      </c>
      <c r="F75" s="11">
        <f>'balance_raw_19555305'!$F$52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'balance_raw_19555305'!$B$53</f>
        <v/>
      </c>
      <c r="C76" s="11">
        <f>'balance_raw_19555305'!$C$53</f>
        <v/>
      </c>
      <c r="D76" s="11">
        <f>'balance_raw_19555305'!$D$53</f>
        <v/>
      </c>
      <c r="E76" s="11">
        <f>'balance_raw_19555305'!$E$53</f>
        <v/>
      </c>
      <c r="F76" s="11">
        <f>'balance_raw_19555305'!$F$53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'res_raw_19555305'!$B$19</f>
        <v/>
      </c>
      <c r="C79" s="8">
        <f>'res_raw_19555305'!$C$19</f>
        <v/>
      </c>
      <c r="D79" s="8">
        <f>'res_raw_19555305'!$D$19</f>
        <v/>
      </c>
      <c r="E79" s="8">
        <f>'res_raw_19555305'!$E$19</f>
        <v/>
      </c>
      <c r="F79" s="8">
        <f>'res_raw_19555305'!$F$19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'res_raw_19555305'!$B$20</f>
        <v/>
      </c>
      <c r="C80" s="5">
        <f>'res_raw_19555305'!$C$20</f>
        <v/>
      </c>
      <c r="D80" s="5">
        <f>'res_raw_19555305'!$D$20</f>
        <v/>
      </c>
      <c r="E80" s="5">
        <f>'res_raw_19555305'!$E$20</f>
        <v/>
      </c>
      <c r="F80" s="5">
        <f>'res_raw_19555305'!$F$20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IFERROR(($B$13+$B$15+$B$14)/$B$46*100,"")</f>
        <v/>
      </c>
      <c r="C83" s="13">
        <f>IFERROR(($C$13+$C$15+$C$14)/$C$46*100,"")</f>
        <v/>
      </c>
      <c r="D83" s="13">
        <f>IFERROR(($D$13+$D$15+$D$14)/$D$46*100,"")</f>
        <v/>
      </c>
      <c r="E83" s="13">
        <f>IFERROR(($E$13+$E$15+$E$14)/$E$46*100,"")</f>
        <v/>
      </c>
      <c r="F83" s="13">
        <f>IFERROR(($F$13+$F$15+$F$14)/$F$46*100,"")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IFERROR($B$18/$B$55*100,"")</f>
        <v/>
      </c>
      <c r="C86" s="14">
        <f>IFERROR($C$18/$C$55*100,"")</f>
        <v/>
      </c>
      <c r="D86" s="14">
        <f>IFERROR($D$18/$D$55*100,"")</f>
        <v/>
      </c>
      <c r="E86" s="14">
        <f>IFERROR($E$18/$E$55*100,"")</f>
        <v/>
      </c>
      <c r="F86" s="14">
        <f>IFERROR($F$18/$F$55*100,"")</f>
        <v/>
      </c>
    </row>
    <row r="87" ht="16" customHeight="1">
      <c r="A87" s="7" t="inlineStr">
        <is>
          <t>Gældsrente, %</t>
        </is>
      </c>
      <c r="B87" s="13">
        <f>IFERROR($B$16/($B$76-$B$55)*100,"")</f>
        <v/>
      </c>
      <c r="C87" s="13">
        <f>IFERROR($C$16/($C$76-$C$55)*100,"")</f>
        <v/>
      </c>
      <c r="D87" s="13">
        <f>IFERROR($D$16/($D$76-$D$55)*100,"")</f>
        <v/>
      </c>
      <c r="E87" s="13">
        <f>IFERROR($E$16/($E$76-$E$55)*100,"")</f>
        <v/>
      </c>
      <c r="F87" s="13">
        <f>IFERROR($F$16/($F$76-$F$55)*100,"")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7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7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'pengestrom_raw_19555305'!$B$2</f>
        <v/>
      </c>
      <c r="C96" s="17">
        <f>'pengestrom_raw_19555305'!$C$2</f>
        <v/>
      </c>
      <c r="D96" s="17">
        <f>'pengestrom_raw_19555305'!$D$2</f>
        <v/>
      </c>
      <c r="E96" s="17">
        <f>'pengestrom_raw_19555305'!$E$2</f>
        <v/>
      </c>
      <c r="F96" s="17">
        <f>'pengestrom_raw_19555305'!$F$2</f>
        <v/>
      </c>
    </row>
    <row r="97">
      <c r="A97" s="16" t="inlineStr">
        <is>
          <t>Pengestrømme fra investeringsaktivitet</t>
        </is>
      </c>
      <c r="B97" s="17">
        <f>'pengestrom_raw_19555305'!$B$3</f>
        <v/>
      </c>
      <c r="C97" s="17">
        <f>'pengestrom_raw_19555305'!$C$3</f>
        <v/>
      </c>
      <c r="D97" s="17">
        <f>'pengestrom_raw_19555305'!$D$3</f>
        <v/>
      </c>
      <c r="E97" s="17">
        <f>'pengestrom_raw_19555305'!$E$3</f>
        <v/>
      </c>
      <c r="F97" s="17">
        <f>'pengestrom_raw_19555305'!$F$3</f>
        <v/>
      </c>
    </row>
    <row r="98">
      <c r="A98" s="16" t="inlineStr">
        <is>
          <t>Pengestrømme fra finansieringsaktivitet</t>
        </is>
      </c>
      <c r="B98" s="17">
        <f>'pengestrom_raw_19555305'!$B$4</f>
        <v/>
      </c>
      <c r="C98" s="17">
        <f>'pengestrom_raw_19555305'!$C$4</f>
        <v/>
      </c>
      <c r="D98" s="17">
        <f>'pengestrom_raw_19555305'!$D$4</f>
        <v/>
      </c>
      <c r="E98" s="17">
        <f>'pengestrom_raw_19555305'!$E$4</f>
        <v/>
      </c>
      <c r="F98" s="17">
        <f>'pengestrom_raw_19555305'!$F$4</f>
        <v/>
      </c>
    </row>
    <row r="99">
      <c r="A99" s="16" t="inlineStr">
        <is>
          <t>Årets pengestrøm (rapporteret)</t>
        </is>
      </c>
      <c r="B99" s="17">
        <f>'pengestrom_raw_19555305'!$B$5</f>
        <v/>
      </c>
      <c r="C99" s="17">
        <f>'pengestrom_raw_19555305'!$C$5</f>
        <v/>
      </c>
      <c r="D99" s="17">
        <f>'pengestrom_raw_19555305'!$D$5</f>
        <v/>
      </c>
      <c r="E99" s="17">
        <f>'pengestrom_raw_19555305'!$E$5</f>
        <v/>
      </c>
      <c r="F99" s="17">
        <f>'pengestrom_raw_19555305'!$F$5</f>
        <v/>
      </c>
    </row>
    <row r="100">
      <c r="A100" s="16" t="inlineStr">
        <is>
          <t>Krydstjek: drift + inv. + fin. = årets pengestrøm</t>
        </is>
      </c>
      <c r="B100">
        <f>IF(ABS(('pengestrom_raw_19555305'!$B$2+'pengestrom_raw_19555305'!$B$3+'pengestrom_raw_19555305'!$B$4)-'pengestrom_raw_19555305'!$B$5)&lt;=2,"✓","⚠ "&amp;TEXT(('pengestrom_raw_19555305'!$B$2+'pengestrom_raw_19555305'!$B$3+'pengestrom_raw_19555305'!$B$4)-'pengestrom_raw_19555305'!$B$5,"+#,##0;-#,##0"))</f>
        <v/>
      </c>
      <c r="C100">
        <f>IF(ABS(('pengestrom_raw_19555305'!$C$2+'pengestrom_raw_19555305'!$C$3+'pengestrom_raw_19555305'!$C$4)-'pengestrom_raw_19555305'!$C$5)&lt;=2,"✓","⚠ "&amp;TEXT(('pengestrom_raw_19555305'!$C$2+'pengestrom_raw_19555305'!$C$3+'pengestrom_raw_19555305'!$C$4)-'pengestrom_raw_19555305'!$C$5,"+#,##0;-#,##0"))</f>
        <v/>
      </c>
      <c r="D100">
        <f>IF(ABS(('pengestrom_raw_19555305'!$D$2+'pengestrom_raw_19555305'!$D$3+'pengestrom_raw_19555305'!$D$4)-'pengestrom_raw_19555305'!$D$5)&lt;=2,"✓","⚠ "&amp;TEXT(('pengestrom_raw_19555305'!$D$2+'pengestrom_raw_19555305'!$D$3+'pengestrom_raw_19555305'!$D$4)-'pengestrom_raw_19555305'!$D$5,"+#,##0;-#,##0"))</f>
        <v/>
      </c>
      <c r="E100">
        <f>IF(ABS(('pengestrom_raw_19555305'!$E$2+'pengestrom_raw_19555305'!$E$3+'pengestrom_raw_19555305'!$E$4)-'pengestrom_raw_19555305'!$E$5)&lt;=2,"✓","⚠ "&amp;TEXT(('pengestrom_raw_19555305'!$E$2+'pengestrom_raw_19555305'!$E$3+'pengestrom_raw_19555305'!$E$4)-'pengestrom_raw_19555305'!$E$5,"+#,##0;-#,##0"))</f>
        <v/>
      </c>
      <c r="F100">
        <f>IF(ABS(('pengestrom_raw_19555305'!$F$2+'pengestrom_raw_19555305'!$F$3+'pengestrom_raw_19555305'!$F$4)-'pengestrom_raw_19555305'!$F$5)&lt;=2,"✓","⚠ "&amp;TEXT(('pengestrom_raw_19555305'!$F$2+'pengestrom_raw_19555305'!$F$3+'pengestrom_raw_19555305'!$F$4)-'pengestrom_raw_19555305'!$F$5,"+#,##0;-#,##0"))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3066793</v>
      </c>
      <c r="C2" s="17" t="n">
        <v>3003311</v>
      </c>
      <c r="D2" s="17" t="n">
        <v>2796892</v>
      </c>
      <c r="E2" s="17" t="n">
        <v>2844360</v>
      </c>
      <c r="F2" s="17" t="n">
        <v>2959613</v>
      </c>
    </row>
    <row r="3">
      <c r="A3" s="16" t="inlineStr">
        <is>
          <t>Andre driftsindtægter</t>
        </is>
      </c>
      <c r="B3" s="17" t="n">
        <v>3503</v>
      </c>
      <c r="C3" s="17" t="n">
        <v>4846</v>
      </c>
      <c r="D3" s="17" t="n">
        <v>4105</v>
      </c>
      <c r="E3" s="17" t="n">
        <v>2819</v>
      </c>
      <c r="F3" s="17" t="n">
        <v>2847</v>
      </c>
    </row>
    <row r="4">
      <c r="A4" s="16" t="inlineStr">
        <is>
          <t>Vareforbrug</t>
        </is>
      </c>
      <c r="B4" s="17" t="n">
        <v>1869021</v>
      </c>
      <c r="C4" s="17" t="n">
        <v>1886147</v>
      </c>
      <c r="D4" s="17" t="n">
        <v>1778980</v>
      </c>
      <c r="E4" s="17" t="n">
        <v>1804016</v>
      </c>
      <c r="F4" s="17" t="n">
        <v>1814362</v>
      </c>
    </row>
    <row r="5">
      <c r="A5" s="16" t="inlineStr">
        <is>
          <t>Andre eksterne omkostninger</t>
        </is>
      </c>
      <c r="B5" s="17" t="n">
        <v>470806</v>
      </c>
      <c r="C5" s="17" t="n">
        <v>479214</v>
      </c>
      <c r="D5" s="17" t="n">
        <v>479086</v>
      </c>
      <c r="E5" s="17" t="n">
        <v>500025</v>
      </c>
      <c r="F5" s="17" t="n">
        <v>505728</v>
      </c>
    </row>
    <row r="6">
      <c r="A6" s="15" t="inlineStr">
        <is>
          <t>Bruttoresultat</t>
        </is>
      </c>
      <c r="B6" s="17" t="n">
        <v>730469</v>
      </c>
      <c r="C6" s="17" t="n">
        <v>642796</v>
      </c>
      <c r="D6" s="17" t="n">
        <v>542931</v>
      </c>
      <c r="E6" s="17" t="n">
        <v>543138</v>
      </c>
      <c r="F6" s="17" t="n">
        <v>642370</v>
      </c>
    </row>
    <row r="7">
      <c r="A7" s="16" t="inlineStr">
        <is>
          <t>Personaleomkostninger</t>
        </is>
      </c>
      <c r="B7" s="17" t="n">
        <v>440132</v>
      </c>
      <c r="C7" s="17" t="n">
        <v>451591</v>
      </c>
      <c r="D7" s="17" t="n">
        <v>435193</v>
      </c>
      <c r="E7" s="17" t="n">
        <v>439563</v>
      </c>
      <c r="F7" s="17" t="n">
        <v>463171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65506</v>
      </c>
      <c r="C9" s="17" t="n">
        <v>68741</v>
      </c>
      <c r="D9" s="17" t="n">
        <v>76967</v>
      </c>
      <c r="E9" s="17" t="n">
        <v>68385</v>
      </c>
      <c r="F9" s="17" t="n">
        <v>59134</v>
      </c>
    </row>
    <row r="10">
      <c r="A10" s="16" t="inlineStr">
        <is>
          <t>Andre driftsomkostninger</t>
        </is>
      </c>
      <c r="B10" s="17" t="n"/>
      <c r="C10" s="17" t="n">
        <v>2664</v>
      </c>
      <c r="D10" s="17" t="n">
        <v>465</v>
      </c>
      <c r="E10" s="17" t="n">
        <v>787</v>
      </c>
      <c r="F10" s="17" t="n">
        <v>708</v>
      </c>
    </row>
    <row r="11">
      <c r="A11" s="15" t="inlineStr">
        <is>
          <t>Resultat af primær drift</t>
        </is>
      </c>
      <c r="B11" s="17" t="n">
        <v>224831</v>
      </c>
      <c r="C11" s="17" t="n">
        <v>119800</v>
      </c>
      <c r="D11" s="17" t="n">
        <v>30306</v>
      </c>
      <c r="E11" s="17" t="n">
        <v>34403</v>
      </c>
      <c r="F11" s="17" t="n">
        <v>119357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</v>
      </c>
      <c r="C13" s="17" t="n">
        <v>328</v>
      </c>
      <c r="D13" s="17" t="n">
        <v>3229</v>
      </c>
      <c r="E13" s="17" t="n">
        <v>6085</v>
      </c>
      <c r="F13" s="17" t="n">
        <v>5993</v>
      </c>
    </row>
    <row r="14">
      <c r="A14" s="16" t="inlineStr">
        <is>
          <t>Finansielle omkostninger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220032</v>
      </c>
      <c r="C16" s="17" t="n">
        <v>116623</v>
      </c>
      <c r="D16" s="17" t="n">
        <v>31717</v>
      </c>
      <c r="E16" s="17" t="n">
        <v>38892</v>
      </c>
      <c r="F16" s="17" t="n">
        <v>124233</v>
      </c>
    </row>
    <row r="17">
      <c r="A17" s="16" t="inlineStr">
        <is>
          <t>Skat af årets resultat</t>
        </is>
      </c>
      <c r="B17" s="17" t="n">
        <v>48492</v>
      </c>
      <c r="C17" s="17" t="n">
        <v>25969</v>
      </c>
      <c r="D17" s="17" t="n">
        <v>6995</v>
      </c>
      <c r="E17" s="17" t="n">
        <v>8704</v>
      </c>
      <c r="F17" s="17" t="n">
        <v>27451</v>
      </c>
    </row>
    <row r="18">
      <c r="A18" s="15" t="inlineStr">
        <is>
          <t>Årets resultat</t>
        </is>
      </c>
      <c r="B18" s="17" t="n">
        <v>171540</v>
      </c>
      <c r="C18" s="17" t="n">
        <v>90654</v>
      </c>
      <c r="D18" s="17" t="n">
        <v>24722</v>
      </c>
      <c r="E18" s="17" t="n">
        <v>30188</v>
      </c>
      <c r="F18" s="17" t="n">
        <v>96782</v>
      </c>
    </row>
    <row r="19">
      <c r="A19" s="16" t="inlineStr">
        <is>
          <t>Gns. antal medarbejdere</t>
        </is>
      </c>
      <c r="B19" s="17" t="n">
        <v>1113</v>
      </c>
      <c r="C19" s="17" t="n">
        <v>1134</v>
      </c>
      <c r="D19" s="17" t="n">
        <v>1095</v>
      </c>
      <c r="E19" s="17" t="n">
        <v>1001</v>
      </c>
      <c r="F19" s="17" t="n">
        <v>1003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22007</v>
      </c>
      <c r="C2" s="17" t="n">
        <v>42220</v>
      </c>
      <c r="D2" s="17" t="n">
        <v>23305</v>
      </c>
      <c r="E2" s="17" t="n">
        <v>8649</v>
      </c>
      <c r="F2" s="17" t="n">
        <v>9541</v>
      </c>
    </row>
    <row r="3">
      <c r="A3" s="16" t="inlineStr">
        <is>
          <t>Grunde og bygninger</t>
        </is>
      </c>
      <c r="B3" s="17" t="n"/>
      <c r="C3" s="17" t="n"/>
      <c r="D3" s="17" t="n"/>
      <c r="E3" s="17" t="n"/>
      <c r="F3" s="17" t="n"/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189059</v>
      </c>
      <c r="C5" s="17" t="n">
        <v>217810</v>
      </c>
      <c r="D5" s="17" t="n">
        <v>211478</v>
      </c>
      <c r="E5" s="17" t="n">
        <v>204868</v>
      </c>
      <c r="F5" s="17" t="n">
        <v>194529</v>
      </c>
    </row>
    <row r="6">
      <c r="A6" s="16" t="inlineStr">
        <is>
          <t>Indretning af lejede lokaler</t>
        </is>
      </c>
      <c r="B6" s="17" t="n">
        <v>14260</v>
      </c>
      <c r="C6" s="17" t="n">
        <v>11178</v>
      </c>
      <c r="D6" s="17" t="n">
        <v>19221</v>
      </c>
      <c r="E6" s="17" t="n">
        <v>17615</v>
      </c>
      <c r="F6" s="17" t="n">
        <v>16838</v>
      </c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203319</v>
      </c>
      <c r="C8" s="17" t="n">
        <v>228988</v>
      </c>
      <c r="D8" s="17" t="n">
        <v>230699</v>
      </c>
      <c r="E8" s="17" t="n">
        <v>222483</v>
      </c>
      <c r="F8" s="17" t="n">
        <v>211367</v>
      </c>
    </row>
    <row r="9">
      <c r="A9" s="15" t="inlineStr">
        <is>
          <t>Anlægsaktiver</t>
        </is>
      </c>
      <c r="B9" s="17" t="n">
        <v>225326</v>
      </c>
      <c r="C9" s="17" t="n">
        <v>271208</v>
      </c>
      <c r="D9" s="17" t="n">
        <v>254004</v>
      </c>
      <c r="E9" s="17" t="n">
        <v>231132</v>
      </c>
      <c r="F9" s="17" t="n">
        <v>220908</v>
      </c>
    </row>
    <row r="10">
      <c r="A10" s="16" t="inlineStr">
        <is>
          <t>Råvarer og hjælpematerialer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Varer under fremstilling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Færdigvarer og handelsvarer</t>
        </is>
      </c>
      <c r="B12" s="17" t="n">
        <v>672250</v>
      </c>
      <c r="C12" s="17" t="n">
        <v>793657</v>
      </c>
      <c r="D12" s="17" t="n">
        <v>769481</v>
      </c>
      <c r="E12" s="17" t="n">
        <v>722739</v>
      </c>
      <c r="F12" s="17" t="n">
        <v>791746</v>
      </c>
    </row>
    <row r="13">
      <c r="A13" s="15" t="inlineStr">
        <is>
          <t>Varebeholdninger</t>
        </is>
      </c>
      <c r="B13" s="17" t="n">
        <v>672250</v>
      </c>
      <c r="C13" s="17" t="n">
        <v>793657</v>
      </c>
      <c r="D13" s="17" t="n">
        <v>769481</v>
      </c>
      <c r="E13" s="17" t="n">
        <v>722739</v>
      </c>
      <c r="F13" s="17" t="n">
        <v>791746</v>
      </c>
    </row>
    <row r="14">
      <c r="A14" s="16" t="inlineStr">
        <is>
          <t>Tilgodehavender fra salg og tjenesteydelser</t>
        </is>
      </c>
      <c r="B14" s="17" t="n">
        <v>57797</v>
      </c>
      <c r="C14" s="17" t="n">
        <v>37192</v>
      </c>
      <c r="D14" s="17" t="n">
        <v>83608</v>
      </c>
      <c r="E14" s="17" t="n">
        <v>74415</v>
      </c>
      <c r="F14" s="17" t="n">
        <v>47743</v>
      </c>
    </row>
    <row r="15">
      <c r="A15" s="16" t="inlineStr">
        <is>
          <t>Tilgodehavender hos tilknyttede virksomheder</t>
        </is>
      </c>
      <c r="B15" s="17" t="n">
        <v>47314</v>
      </c>
      <c r="C15" s="17" t="n">
        <v>65559</v>
      </c>
      <c r="D15" s="17" t="n">
        <v>32939</v>
      </c>
      <c r="E15" s="17" t="n">
        <v>3195</v>
      </c>
      <c r="F15" s="17" t="n">
        <v>29943</v>
      </c>
    </row>
    <row r="16">
      <c r="A16" s="16" t="inlineStr">
        <is>
          <t>Andre tilgodehavender</t>
        </is>
      </c>
      <c r="B16" s="17" t="n">
        <v>120</v>
      </c>
      <c r="C16" s="17" t="n">
        <v>808</v>
      </c>
      <c r="D16" s="17" t="n">
        <v>14365</v>
      </c>
      <c r="E16" s="17" t="n">
        <v>4254</v>
      </c>
      <c r="F16" s="17" t="n">
        <v>6725</v>
      </c>
    </row>
    <row r="17">
      <c r="A17" s="16" t="inlineStr">
        <is>
          <t>Periodeafgrænsningsposter (aktiver)</t>
        </is>
      </c>
      <c r="B17" s="17" t="n">
        <v>5032</v>
      </c>
      <c r="C17" s="17" t="n">
        <v>8775</v>
      </c>
      <c r="D17" s="17" t="n">
        <v>435</v>
      </c>
      <c r="E17" s="17" t="n">
        <v>6336</v>
      </c>
      <c r="F17" s="17" t="n">
        <v>9642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>
        <v>32288</v>
      </c>
      <c r="C19" s="17" t="n">
        <v>64042</v>
      </c>
      <c r="D19" s="17" t="n">
        <v>62603</v>
      </c>
      <c r="E19" s="17" t="n">
        <v>25631</v>
      </c>
      <c r="F19" s="17" t="n">
        <v>18211</v>
      </c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142551</v>
      </c>
      <c r="C21" s="17" t="n">
        <v>176376</v>
      </c>
      <c r="D21" s="17" t="n">
        <v>193950</v>
      </c>
      <c r="E21" s="17" t="n">
        <v>113831</v>
      </c>
      <c r="F21" s="17" t="n">
        <v>112264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127204</v>
      </c>
      <c r="C23" s="17" t="n">
        <v>60423</v>
      </c>
      <c r="D23" s="17" t="n">
        <v>77537</v>
      </c>
      <c r="E23" s="17" t="n">
        <v>216020</v>
      </c>
      <c r="F23" s="17" t="n">
        <v>288703</v>
      </c>
    </row>
    <row r="24">
      <c r="A24" s="15" t="inlineStr">
        <is>
          <t>Omsætningsaktiver</t>
        </is>
      </c>
      <c r="B24" s="17" t="n">
        <v>942005</v>
      </c>
      <c r="C24" s="17" t="n">
        <v>1030456</v>
      </c>
      <c r="D24" s="17" t="n">
        <v>1040968</v>
      </c>
      <c r="E24" s="17" t="n">
        <v>1052590</v>
      </c>
      <c r="F24" s="17" t="n">
        <v>1192713</v>
      </c>
    </row>
    <row r="25">
      <c r="A25" s="15" t="inlineStr">
        <is>
          <t>Aktiver</t>
        </is>
      </c>
      <c r="B25" s="17" t="n">
        <v>1167331</v>
      </c>
      <c r="C25" s="17" t="n">
        <v>1301664</v>
      </c>
      <c r="D25" s="17" t="n">
        <v>1294972</v>
      </c>
      <c r="E25" s="17" t="n">
        <v>1283722</v>
      </c>
      <c r="F25" s="17" t="n">
        <v>1413621</v>
      </c>
    </row>
    <row r="26">
      <c r="A26" s="16" t="inlineStr">
        <is>
          <t>Selskabskapital</t>
        </is>
      </c>
      <c r="B26" s="17" t="n">
        <v>32000</v>
      </c>
      <c r="C26" s="17" t="n">
        <v>32000</v>
      </c>
      <c r="D26" s="17" t="n">
        <v>32000</v>
      </c>
      <c r="E26" s="17" t="n">
        <v>32000</v>
      </c>
      <c r="F26" s="17" t="n">
        <v>32000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719688</v>
      </c>
      <c r="C31" s="17" t="n">
        <v>810342</v>
      </c>
      <c r="D31" s="17" t="n">
        <v>835064</v>
      </c>
      <c r="E31" s="17" t="n">
        <v>865252</v>
      </c>
      <c r="F31" s="17" t="n">
        <v>962034</v>
      </c>
    </row>
    <row r="32">
      <c r="A32" s="15" t="inlineStr">
        <is>
          <t>Egenkapital i alt</t>
        </is>
      </c>
      <c r="B32" s="17" t="n">
        <v>751688</v>
      </c>
      <c r="C32" s="17" t="n">
        <v>842342</v>
      </c>
      <c r="D32" s="17" t="n">
        <v>867064</v>
      </c>
      <c r="E32" s="17" t="n">
        <v>897252</v>
      </c>
      <c r="F32" s="17" t="n">
        <v>994034</v>
      </c>
    </row>
    <row r="33">
      <c r="A33" s="16" t="inlineStr">
        <is>
          <t>Hensættelse til udskudt skat</t>
        </is>
      </c>
      <c r="B33" s="17" t="n">
        <v>9926</v>
      </c>
      <c r="C33" s="17" t="n">
        <v>16993</v>
      </c>
      <c r="D33" s="17" t="n">
        <v>13055</v>
      </c>
      <c r="E33" s="17" t="n">
        <v>10128</v>
      </c>
      <c r="F33" s="17" t="n">
        <v>8707</v>
      </c>
    </row>
    <row r="34">
      <c r="A34" s="15" t="inlineStr">
        <is>
          <t>Hensatte forpligtelser</t>
        </is>
      </c>
      <c r="B34" s="17" t="n">
        <v>9926</v>
      </c>
      <c r="C34" s="17" t="n">
        <v>16993</v>
      </c>
      <c r="D34" s="17" t="n">
        <v>13055</v>
      </c>
      <c r="E34" s="17" t="n">
        <v>10128</v>
      </c>
      <c r="F34" s="17" t="n">
        <v>8707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3576</v>
      </c>
      <c r="C37" s="17" t="n">
        <v>3298</v>
      </c>
      <c r="D37" s="17" t="n">
        <v>3443</v>
      </c>
      <c r="E37" s="17" t="n">
        <v>4221</v>
      </c>
      <c r="F37" s="17" t="n">
        <v>6100</v>
      </c>
    </row>
    <row r="38">
      <c r="A38" s="16" t="inlineStr">
        <is>
          <t>Anden gæld (langfristet)</t>
        </is>
      </c>
      <c r="B38" s="17" t="n">
        <v>100000</v>
      </c>
      <c r="C38" s="17" t="n">
        <v>0</v>
      </c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103576</v>
      </c>
      <c r="C39" s="17" t="n">
        <v>3298</v>
      </c>
      <c r="D39" s="17" t="n">
        <v>3443</v>
      </c>
      <c r="E39" s="17" t="n">
        <v>4221</v>
      </c>
      <c r="F39" s="17" t="n">
        <v>6100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2769</v>
      </c>
      <c r="C41" s="17" t="n">
        <v>3068</v>
      </c>
      <c r="D41" s="17" t="n">
        <v>4881</v>
      </c>
      <c r="E41" s="17" t="n">
        <v>3723</v>
      </c>
      <c r="F41" s="17" t="n">
        <v>3677</v>
      </c>
    </row>
    <row r="42">
      <c r="A42" s="16" t="inlineStr">
        <is>
          <t>Kreditinstitutter</t>
        </is>
      </c>
      <c r="B42" s="17" t="n">
        <v>2903</v>
      </c>
      <c r="C42" s="17" t="n">
        <v>1443</v>
      </c>
      <c r="D42" s="17" t="n">
        <v>0</v>
      </c>
      <c r="E42" s="17" t="n"/>
      <c r="F42" s="17" t="n"/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163970</v>
      </c>
      <c r="C44" s="17" t="n">
        <v>179229</v>
      </c>
      <c r="D44" s="17" t="n">
        <v>257164</v>
      </c>
      <c r="E44" s="17" t="n">
        <v>245732</v>
      </c>
      <c r="F44" s="17" t="n">
        <v>273688</v>
      </c>
    </row>
    <row r="45">
      <c r="A45" s="16" t="inlineStr">
        <is>
          <t>Gæld til tilknyttede virksomheder</t>
        </is>
      </c>
      <c r="B45" s="17" t="n">
        <v>3584</v>
      </c>
      <c r="C45" s="17" t="n">
        <v>139336</v>
      </c>
      <c r="D45" s="17" t="n">
        <v>17821</v>
      </c>
      <c r="E45" s="17" t="n">
        <v>7807</v>
      </c>
      <c r="F45" s="17" t="n">
        <v>9867</v>
      </c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125298</v>
      </c>
      <c r="C49" s="17" t="n">
        <v>111577</v>
      </c>
      <c r="D49" s="17" t="n">
        <v>129594</v>
      </c>
      <c r="E49" s="17" t="n">
        <v>112173</v>
      </c>
      <c r="F49" s="17" t="n">
        <v>116338</v>
      </c>
    </row>
    <row r="50">
      <c r="A50" s="16" t="inlineStr">
        <is>
          <t>Periodeafgrænsningsposter (passiver)</t>
        </is>
      </c>
      <c r="B50" s="17" t="n">
        <v>3617</v>
      </c>
      <c r="C50" s="17" t="n">
        <v>4378</v>
      </c>
      <c r="D50" s="17" t="n">
        <v>1950</v>
      </c>
      <c r="E50" s="17" t="n">
        <v>2686</v>
      </c>
      <c r="F50" s="17" t="n">
        <v>1210</v>
      </c>
    </row>
    <row r="51">
      <c r="A51" s="15" t="inlineStr">
        <is>
          <t>Kortfristede gældsforpligtelser</t>
        </is>
      </c>
      <c r="B51" s="17" t="n">
        <v>302141</v>
      </c>
      <c r="C51" s="17" t="n">
        <v>439031</v>
      </c>
      <c r="D51" s="17" t="n">
        <v>411410</v>
      </c>
      <c r="E51" s="17" t="n">
        <v>372121</v>
      </c>
      <c r="F51" s="17" t="n">
        <v>404780</v>
      </c>
    </row>
    <row r="52">
      <c r="A52" s="15" t="inlineStr">
        <is>
          <t>Gældsforpligtelser</t>
        </is>
      </c>
      <c r="B52" s="17" t="n">
        <v>405717</v>
      </c>
      <c r="C52" s="17" t="n">
        <v>442329</v>
      </c>
      <c r="D52" s="17" t="n">
        <v>414853</v>
      </c>
      <c r="E52" s="17" t="n">
        <v>376342</v>
      </c>
      <c r="F52" s="17" t="n">
        <v>410880</v>
      </c>
    </row>
    <row r="53">
      <c r="A53" s="15" t="inlineStr">
        <is>
          <t>Passiver</t>
        </is>
      </c>
      <c r="B53" s="17" t="n">
        <v>1167331</v>
      </c>
      <c r="C53" s="17" t="n">
        <v>1301664</v>
      </c>
      <c r="D53" s="17" t="n">
        <v>1294972</v>
      </c>
      <c r="E53" s="17" t="n">
        <v>1283722</v>
      </c>
      <c r="F53" s="17" t="n">
        <v>1413621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184758</v>
      </c>
      <c r="C2" s="17" t="n">
        <v>156672</v>
      </c>
      <c r="D2" s="17" t="n">
        <v>74039</v>
      </c>
      <c r="E2" s="17" t="n">
        <v>184376</v>
      </c>
      <c r="F2" s="17" t="n">
        <v>118646</v>
      </c>
    </row>
    <row r="3">
      <c r="A3" s="16" t="inlineStr">
        <is>
          <t>Pengestrømme fra investeringsaktivitet</t>
        </is>
      </c>
      <c r="B3" s="17" t="n">
        <v>-72168</v>
      </c>
      <c r="C3" s="17" t="n">
        <v>-119465</v>
      </c>
      <c r="D3" s="17" t="n">
        <v>-59535</v>
      </c>
      <c r="E3" s="17" t="n">
        <v>-45468</v>
      </c>
      <c r="F3" s="17" t="n">
        <v>-47796</v>
      </c>
    </row>
    <row r="4">
      <c r="A4" s="16" t="inlineStr">
        <is>
          <t>Pengestrømme fra finansieringsaktivitet</t>
        </is>
      </c>
      <c r="B4" s="17" t="n">
        <v>-1113</v>
      </c>
      <c r="C4" s="17" t="n">
        <v>-102528</v>
      </c>
      <c r="D4" s="17" t="n">
        <v>4053</v>
      </c>
      <c r="E4" s="17" t="n">
        <v>-425</v>
      </c>
      <c r="F4" s="17" t="n">
        <v>1833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19555305)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'res_raw_19555305'!$F$2</f>
        <v/>
      </c>
      <c r="C5" s="24">
        <f>'res_raw_19555305'!$E$2</f>
        <v/>
      </c>
      <c r="D5" s="24">
        <f>'res_raw_19555305'!$D$2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'res_raw_19555305'!$F$3</f>
        <v/>
      </c>
      <c r="C6" s="24">
        <f>'res_raw_19555305'!$E$3</f>
        <v/>
      </c>
      <c r="D6" s="24">
        <f>'res_raw_19555305'!$D$3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-'res_raw_19555305'!$F$4</f>
        <v/>
      </c>
      <c r="C7" s="24">
        <f>-'res_raw_19555305'!$E$4</f>
        <v/>
      </c>
      <c r="D7" s="24">
        <f>-'res_raw_19555305'!$D$4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-'res_raw_19555305'!$F$5</f>
        <v/>
      </c>
      <c r="C8" s="24">
        <f>-'res_raw_19555305'!$E$5</f>
        <v/>
      </c>
      <c r="D8" s="24">
        <f>-'res_raw_19555305'!$D$5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-'res_raw_19555305'!$F$7</f>
        <v/>
      </c>
      <c r="C10" s="24">
        <f>-'res_raw_19555305'!$E$7</f>
        <v/>
      </c>
      <c r="D10" s="24">
        <f>-'res_raw_19555305'!$D$7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-'res_raw_19555305'!$F$9</f>
        <v/>
      </c>
      <c r="C11" s="24">
        <f>-'res_raw_19555305'!$E$9</f>
        <v/>
      </c>
      <c r="D11" s="24">
        <f>-'res_raw_19555305'!$D$9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-'res_raw_19555305'!$F$10</f>
        <v/>
      </c>
      <c r="C12" s="24">
        <f>-'res_raw_19555305'!$E$10</f>
        <v/>
      </c>
      <c r="D12" s="24">
        <f>-'res_raw_19555305'!$D$10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N('res_raw_19555305'!$F$12)+N('res_raw_19555305'!$F$13)</f>
        <v/>
      </c>
      <c r="C14" s="24">
        <f>N('res_raw_19555305'!$E$12)+N('res_raw_19555305'!$E$13)</f>
        <v/>
      </c>
      <c r="D14" s="24">
        <f>N('res_raw_19555305'!$D$12)+N('res_raw_19555305'!$D$13)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-'res_raw_19555305'!$F$14</f>
        <v/>
      </c>
      <c r="C15" s="24">
        <f>-'res_raw_19555305'!$E$14</f>
        <v/>
      </c>
      <c r="D15" s="24">
        <f>-'res_raw_19555305'!$D$14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'balance_raw_19555305'!$F$9</f>
        <v/>
      </c>
      <c r="C19" s="24">
        <f>'balance_raw_19555305'!$E$9</f>
        <v/>
      </c>
      <c r="D19" s="24">
        <f>'balance_raw_19555305'!$D$9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'balance_raw_19555305'!$F$24</f>
        <v/>
      </c>
      <c r="C20" s="24">
        <f>'balance_raw_19555305'!$E$24</f>
        <v/>
      </c>
      <c r="D20" s="24">
        <f>'balance_raw_19555305'!$D$24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'balance_raw_19555305'!$F$32</f>
        <v/>
      </c>
      <c r="C23" s="24">
        <f>'balance_raw_19555305'!$E$32</f>
        <v/>
      </c>
      <c r="D23" s="24">
        <f>'balance_raw_19555305'!$D$32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'balance_raw_19555305'!$F$53-'balance_raw_19555305'!$F$32</f>
        <v/>
      </c>
      <c r="C24" s="24">
        <f>'balance_raw_19555305'!$E$53-'balance_raw_19555305'!$E$32</f>
        <v/>
      </c>
      <c r="D24" s="24">
        <f>'balance_raw_19555305'!$D$53-'balance_raw_19555305'!$D$32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'balance_raw_19555305'!$F$13</f>
        <v/>
      </c>
      <c r="C28" s="24">
        <f>'balance_raw_19555305'!$E$13</f>
        <v/>
      </c>
      <c r="D28" s="24">
        <f>'balance_raw_19555305'!$D$13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'balance_raw_19555305'!$F$14</f>
        <v/>
      </c>
      <c r="C29" s="24">
        <f>'balance_raw_19555305'!$E$14</f>
        <v/>
      </c>
      <c r="D29" s="24">
        <f>'balance_raw_19555305'!$D$14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'balance_raw_19555305'!$F$51</f>
        <v/>
      </c>
      <c r="C30" s="24">
        <f>'balance_raw_19555305'!$E$51</f>
        <v/>
      </c>
      <c r="D30" s="24">
        <f>'balance_raw_19555305'!$D$51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IF('balance_raw_19555305'!$F$25="","—",IF(ABS(B21-'balance_raw_19555305'!$F$25)&lt;=1,"✓ OK","❌ "&amp;TEXT(B21-'balance_raw_19555305'!$F$25,"+#,##0;-#,##0")&amp;" t.kr."))</f>
        <v/>
      </c>
      <c r="C61" s="29">
        <f>IF('balance_raw_19555305'!$E$25="","—",IF(ABS(C21-'balance_raw_19555305'!$E$25)&lt;=1,"✓ OK","❌ "&amp;TEXT(C21-'balance_raw_19555305'!$E$25,"+#,##0;-#,##0")&amp;" t.kr."))</f>
        <v/>
      </c>
      <c r="D61" s="29">
        <f>IF('balance_raw_19555305'!$D$25="","—",IF(ABS(D21-'balance_raw_19555305'!$D$25)&lt;=1,"✓ OK","❌ "&amp;TEXT(D21-'balance_raw_19555305'!$D$25,"+#,##0;-#,##0")&amp;"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IF('balance_raw_19555305'!$F$53="","—",IF(ABS(B25-'balance_raw_19555305'!$F$53)&lt;=1,"✓ OK","❌ "&amp;TEXT(B25-'balance_raw_19555305'!$F$53,"+#,##0;-#,##0")&amp;" t.kr."))</f>
        <v/>
      </c>
      <c r="C62" s="29">
        <f>IF('balance_raw_19555305'!$E$53="","—",IF(ABS(C25-'balance_raw_19555305'!$E$53)&lt;=1,"✓ OK","❌ "&amp;TEXT(C25-'balance_raw_19555305'!$E$53,"+#,##0;-#,##0")&amp;" t.kr."))</f>
        <v/>
      </c>
      <c r="D62" s="29">
        <f>IF('balance_raw_19555305'!$D$53="","—",IF(ABS(D25-'balance_raw_19555305'!$D$53)&lt;=1,"✓ OK","❌ "&amp;TEXT(D25-'balance_raw_19555305'!$D$53,"+#,##0;-#,##0")&amp;"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IF('res_raw_19555305'!$F$6="","—",IF(ABS(B9-'res_raw_19555305'!$F$6)&lt;=1,"✓ OK","❌ "&amp;TEXT(B9-'res_raw_19555305'!$F$6,"+#,##0;-#,##0")&amp;" t.kr."))</f>
        <v/>
      </c>
      <c r="C64" s="29">
        <f>IF('res_raw_19555305'!$E$6="","—",IF(ABS(C9-'res_raw_19555305'!$E$6)&lt;=1,"✓ OK","❌ "&amp;TEXT(C9-'res_raw_19555305'!$E$6,"+#,##0;-#,##0")&amp;" t.kr."))</f>
        <v/>
      </c>
      <c r="D64" s="29">
        <f>IF('res_raw_19555305'!$D$6="","—",IF(ABS(D9-'res_raw_19555305'!$D$6)&lt;=1,"✓ OK","❌ "&amp;TEXT(D9-'res_raw_19555305'!$D$6,"+#,##0;-#,##0")&amp;"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IF('res_raw_19555305'!$F$11="","—",IF(ABS(B13-'res_raw_19555305'!$F$11)&lt;=1,"✓ OK","❌ "&amp;TEXT(B13-'res_raw_19555305'!$F$11,"+#,##0;-#,##0")&amp;" t.kr."))</f>
        <v/>
      </c>
      <c r="C65" s="29">
        <f>IF('res_raw_19555305'!$E$11="","—",IF(ABS(C13-'res_raw_19555305'!$E$11)&lt;=1,"✓ OK","❌ "&amp;TEXT(C13-'res_raw_19555305'!$E$11,"+#,##0;-#,##0")&amp;" t.kr."))</f>
        <v/>
      </c>
      <c r="D65" s="29">
        <f>IF('res_raw_19555305'!$D$11="","—",IF(ABS(D13-'res_raw_19555305'!$D$11)&lt;=1,"✓ OK","❌ "&amp;TEXT(D13-'res_raw_19555305'!$D$11,"+#,##0;-#,##0")&amp;"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IF('res_raw_19555305'!$F$16="","—",IF(ABS(B16-'res_raw_19555305'!$F$16)&lt;=1,"✓ OK","❌ "&amp;TEXT(B16-'res_raw_19555305'!$F$16,"+#,##0;-#,##0")&amp;" t.kr."))</f>
        <v/>
      </c>
      <c r="C66" s="29">
        <f>IF('res_raw_19555305'!$E$16="","—",IF(ABS(C16-'res_raw_19555305'!$E$16)&lt;=1,"✓ OK","❌ "&amp;TEXT(C16-'res_raw_19555305'!$E$16,"+#,##0;-#,##0")&amp;" t.kr."))</f>
        <v/>
      </c>
      <c r="D66" s="29">
        <f>IF('res_raw_19555305'!$D$16="","—",IF(ABS(D16-'res_raw_19555305'!$D$16)&lt;=1,"✓ OK","❌ "&amp;TEXT(D16-'res_raw_19555305'!$D$16,"+#,##0;-#,##0")&amp;"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2026-09-08T14:57:28Z</dcterms:created>
  <dcterms:modified xmlns:dcterms="http://purl.org/dc/terms/" xmlns:xsi="http://www.w3.org/2001/XMLSchema-instance" xsi:type="dcterms:W3CDTF">2026-09-08T14:57:28Z</dcterms:modified>
</cp:coreProperties>
</file>