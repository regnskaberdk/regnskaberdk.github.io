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6759328" sheetId="1" state="visible" r:id="rId1"/>
    <sheet xmlns:r="http://schemas.openxmlformats.org/officeDocument/2006/relationships" name="res_raw_56759328" sheetId="2" state="visible" r:id="rId2"/>
    <sheet xmlns:r="http://schemas.openxmlformats.org/officeDocument/2006/relationships" name="balance_raw_56759328" sheetId="3" state="visible" r:id="rId3"/>
    <sheet xmlns:r="http://schemas.openxmlformats.org/officeDocument/2006/relationships" name="pengestrom_raw_56759328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Toms Gruppen A/S (CVR 56759328)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'res_raw_56759328'!$B$2</f>
        <v/>
      </c>
      <c r="C4" s="5">
        <f>'res_raw_56759328'!$C$2</f>
        <v/>
      </c>
      <c r="D4" s="5">
        <f>'res_raw_56759328'!$D$2</f>
        <v/>
      </c>
      <c r="E4" s="5">
        <f>'res_raw_56759328'!$E$2</f>
        <v/>
      </c>
      <c r="F4" s="5">
        <f>'res_raw_56759328'!$F$2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'res_raw_56759328'!$B$3</f>
        <v/>
      </c>
      <c r="C5" s="8">
        <f>'res_raw_56759328'!$C$3</f>
        <v/>
      </c>
      <c r="D5" s="8">
        <f>'res_raw_56759328'!$D$3</f>
        <v/>
      </c>
      <c r="E5" s="8">
        <f>'res_raw_56759328'!$E$3</f>
        <v/>
      </c>
      <c r="F5" s="8">
        <f>'res_raw_56759328'!$F$3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'res_raw_56759328'!$B$4</f>
        <v/>
      </c>
      <c r="C6" s="8">
        <f>'res_raw_56759328'!$C$4</f>
        <v/>
      </c>
      <c r="D6" s="8">
        <f>'res_raw_56759328'!$D$4</f>
        <v/>
      </c>
      <c r="E6" s="8">
        <f>'res_raw_56759328'!$E$4</f>
        <v/>
      </c>
      <c r="F6" s="8">
        <f>'res_raw_56759328'!$F$4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'res_raw_56759328'!$B$5</f>
        <v/>
      </c>
      <c r="C7" s="8">
        <f>'res_raw_56759328'!$C$5</f>
        <v/>
      </c>
      <c r="D7" s="8">
        <f>'res_raw_56759328'!$D$5</f>
        <v/>
      </c>
      <c r="E7" s="8">
        <f>'res_raw_56759328'!$E$5</f>
        <v/>
      </c>
      <c r="F7" s="8">
        <f>'res_raw_56759328'!$F$5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'res_raw_56759328'!$B$6</f>
        <v/>
      </c>
      <c r="C8" s="8">
        <f>'res_raw_56759328'!$C$6</f>
        <v/>
      </c>
      <c r="D8" s="8">
        <f>'res_raw_56759328'!$D$6</f>
        <v/>
      </c>
      <c r="E8" s="8">
        <f>'res_raw_56759328'!$E$6</f>
        <v/>
      </c>
      <c r="F8" s="8">
        <f>'res_raw_56759328'!$F$6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'res_raw_56759328'!$B$7</f>
        <v/>
      </c>
      <c r="C9" s="11">
        <f>'res_raw_56759328'!$C$7</f>
        <v/>
      </c>
      <c r="D9" s="11">
        <f>'res_raw_56759328'!$D$7</f>
        <v/>
      </c>
      <c r="E9" s="11">
        <f>'res_raw_56759328'!$E$7</f>
        <v/>
      </c>
      <c r="F9" s="11">
        <f>'res_raw_56759328'!$F$7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'res_raw_56759328'!$B$8</f>
        <v/>
      </c>
      <c r="C10" s="5">
        <f>'res_raw_56759328'!$C$8</f>
        <v/>
      </c>
      <c r="D10" s="5">
        <f>'res_raw_56759328'!$D$8</f>
        <v/>
      </c>
      <c r="E10" s="5">
        <f>'res_raw_56759328'!$E$8</f>
        <v/>
      </c>
      <c r="F10" s="5">
        <f>'res_raw_56759328'!$F$8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'res_raw_56759328'!$B$9</f>
        <v/>
      </c>
      <c r="C11" s="8">
        <f>'res_raw_56759328'!$C$9</f>
        <v/>
      </c>
      <c r="D11" s="8">
        <f>'res_raw_56759328'!$D$9</f>
        <v/>
      </c>
      <c r="E11" s="8">
        <f>'res_raw_56759328'!$E$9</f>
        <v/>
      </c>
      <c r="F11" s="8">
        <f>'res_raw_56759328'!$F$9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'res_raw_56759328'!$B$10</f>
        <v/>
      </c>
      <c r="C12" s="5">
        <f>'res_raw_56759328'!$C$10</f>
        <v/>
      </c>
      <c r="D12" s="5">
        <f>'res_raw_56759328'!$D$10</f>
        <v/>
      </c>
      <c r="E12" s="5">
        <f>'res_raw_56759328'!$E$10</f>
        <v/>
      </c>
      <c r="F12" s="5">
        <f>'res_raw_56759328'!$F$10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'res_raw_56759328'!$B$11</f>
        <v/>
      </c>
      <c r="C13" s="11">
        <f>'res_raw_56759328'!$C$11</f>
        <v/>
      </c>
      <c r="D13" s="11">
        <f>'res_raw_56759328'!$D$11</f>
        <v/>
      </c>
      <c r="E13" s="11">
        <f>'res_raw_56759328'!$E$11</f>
        <v/>
      </c>
      <c r="F13" s="11">
        <f>'res_raw_56759328'!$F$11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'res_raw_56759328'!$B$12</f>
        <v/>
      </c>
      <c r="C14" s="5">
        <f>'res_raw_56759328'!$C$12</f>
        <v/>
      </c>
      <c r="D14" s="5">
        <f>'res_raw_56759328'!$D$12</f>
        <v/>
      </c>
      <c r="E14" s="5">
        <f>'res_raw_56759328'!$E$12</f>
        <v/>
      </c>
      <c r="F14" s="5">
        <f>'res_raw_56759328'!$F$12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'res_raw_56759328'!$B$13</f>
        <v/>
      </c>
      <c r="C15" s="8">
        <f>'res_raw_56759328'!$C$13</f>
        <v/>
      </c>
      <c r="D15" s="8">
        <f>'res_raw_56759328'!$D$13</f>
        <v/>
      </c>
      <c r="E15" s="8">
        <f>'res_raw_56759328'!$E$13</f>
        <v/>
      </c>
      <c r="F15" s="8">
        <f>'res_raw_56759328'!$F$13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'res_raw_56759328'!$B$14</f>
        <v/>
      </c>
      <c r="C16" s="8">
        <f>'res_raw_56759328'!$C$14</f>
        <v/>
      </c>
      <c r="D16" s="8">
        <f>'res_raw_56759328'!$D$14</f>
        <v/>
      </c>
      <c r="E16" s="8">
        <f>'res_raw_56759328'!$E$14</f>
        <v/>
      </c>
      <c r="F16" s="8">
        <f>'res_raw_56759328'!$F$14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'res_raw_56759328'!$B$15</f>
        <v/>
      </c>
      <c r="C17" s="11">
        <f>'res_raw_56759328'!$C$15</f>
        <v/>
      </c>
      <c r="D17" s="11">
        <f>'res_raw_56759328'!$D$15</f>
        <v/>
      </c>
      <c r="E17" s="11">
        <f>'res_raw_56759328'!$E$15</f>
        <v/>
      </c>
      <c r="F17" s="11">
        <f>'res_raw_56759328'!$F$15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'res_raw_56759328'!$B$16</f>
        <v/>
      </c>
      <c r="C18" s="8">
        <f>'res_raw_56759328'!$C$16</f>
        <v/>
      </c>
      <c r="D18" s="8">
        <f>'res_raw_56759328'!$D$16</f>
        <v/>
      </c>
      <c r="E18" s="8">
        <f>'res_raw_56759328'!$E$16</f>
        <v/>
      </c>
      <c r="F18" s="8">
        <f>'res_raw_56759328'!$F$16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'balance_raw_56759328'!$B$2</f>
        <v/>
      </c>
      <c r="C21" s="11">
        <f>'balance_raw_56759328'!$C$2</f>
        <v/>
      </c>
      <c r="D21" s="11">
        <f>'balance_raw_56759328'!$D$2</f>
        <v/>
      </c>
      <c r="E21" s="11">
        <f>'balance_raw_56759328'!$E$2</f>
        <v/>
      </c>
      <c r="F21" s="11">
        <f>'balance_raw_56759328'!$F$2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'balance_raw_56759328'!$B$3</f>
        <v/>
      </c>
      <c r="C22" s="5">
        <f>'balance_raw_56759328'!$C$3</f>
        <v/>
      </c>
      <c r="D22" s="5">
        <f>'balance_raw_56759328'!$D$3</f>
        <v/>
      </c>
      <c r="E22" s="5">
        <f>'balance_raw_56759328'!$E$3</f>
        <v/>
      </c>
      <c r="F22" s="5">
        <f>'balance_raw_56759328'!$F$3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'balance_raw_56759328'!$B$4</f>
        <v/>
      </c>
      <c r="C23" s="11">
        <f>'balance_raw_56759328'!$C$4</f>
        <v/>
      </c>
      <c r="D23" s="11">
        <f>'balance_raw_56759328'!$D$4</f>
        <v/>
      </c>
      <c r="E23" s="11">
        <f>'balance_raw_56759328'!$E$4</f>
        <v/>
      </c>
      <c r="F23" s="11">
        <f>'balance_raw_56759328'!$F$4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'balance_raw_56759328'!$B$5</f>
        <v/>
      </c>
      <c r="C24" s="8">
        <f>'balance_raw_56759328'!$C$5</f>
        <v/>
      </c>
      <c r="D24" s="8">
        <f>'balance_raw_56759328'!$D$5</f>
        <v/>
      </c>
      <c r="E24" s="8">
        <f>'balance_raw_56759328'!$E$5</f>
        <v/>
      </c>
      <c r="F24" s="8">
        <f>'balance_raw_56759328'!$F$5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'balance_raw_56759328'!$B$6</f>
        <v/>
      </c>
      <c r="C25" s="11">
        <f>'balance_raw_56759328'!$C$6</f>
        <v/>
      </c>
      <c r="D25" s="11">
        <f>'balance_raw_56759328'!$D$6</f>
        <v/>
      </c>
      <c r="E25" s="11">
        <f>'balance_raw_56759328'!$E$6</f>
        <v/>
      </c>
      <c r="F25" s="11">
        <f>'balance_raw_56759328'!$F$6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'balance_raw_56759328'!$B$7</f>
        <v/>
      </c>
      <c r="C26" s="5">
        <f>'balance_raw_56759328'!$C$7</f>
        <v/>
      </c>
      <c r="D26" s="5">
        <f>'balance_raw_56759328'!$D$7</f>
        <v/>
      </c>
      <c r="E26" s="5">
        <f>'balance_raw_56759328'!$E$7</f>
        <v/>
      </c>
      <c r="F26" s="5">
        <f>'balance_raw_56759328'!$F$7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'balance_raw_56759328'!$B$8</f>
        <v/>
      </c>
      <c r="C27" s="11">
        <f>'balance_raw_56759328'!$C$8</f>
        <v/>
      </c>
      <c r="D27" s="11">
        <f>'balance_raw_56759328'!$D$8</f>
        <v/>
      </c>
      <c r="E27" s="11">
        <f>'balance_raw_56759328'!$E$8</f>
        <v/>
      </c>
      <c r="F27" s="11">
        <f>'balance_raw_56759328'!$F$8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'balance_raw_56759328'!$B$9</f>
        <v/>
      </c>
      <c r="C28" s="5">
        <f>'balance_raw_56759328'!$C$9</f>
        <v/>
      </c>
      <c r="D28" s="5">
        <f>'balance_raw_56759328'!$D$9</f>
        <v/>
      </c>
      <c r="E28" s="5">
        <f>'balance_raw_56759328'!$E$9</f>
        <v/>
      </c>
      <c r="F28" s="5">
        <f>'balance_raw_56759328'!$F$9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'balance_raw_56759328'!$B$10</f>
        <v/>
      </c>
      <c r="C29" s="11">
        <f>'balance_raw_56759328'!$C$10</f>
        <v/>
      </c>
      <c r="D29" s="11">
        <f>'balance_raw_56759328'!$D$10</f>
        <v/>
      </c>
      <c r="E29" s="11">
        <f>'balance_raw_56759328'!$E$10</f>
        <v/>
      </c>
      <c r="F29" s="11">
        <f>'balance_raw_56759328'!$F$10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'balance_raw_56759328'!$B$11</f>
        <v/>
      </c>
      <c r="C30" s="8">
        <f>'balance_raw_56759328'!$C$11</f>
        <v/>
      </c>
      <c r="D30" s="8">
        <f>'balance_raw_56759328'!$D$11</f>
        <v/>
      </c>
      <c r="E30" s="8">
        <f>'balance_raw_56759328'!$E$11</f>
        <v/>
      </c>
      <c r="F30" s="8">
        <f>'balance_raw_56759328'!$F$11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Finansielle anlægsaktiver</t>
        </is>
      </c>
      <c r="B31" s="8">
        <f>'balance_raw_56759328'!$B$12</f>
        <v/>
      </c>
      <c r="C31" s="8">
        <f>'balance_raw_56759328'!$C$12</f>
        <v/>
      </c>
      <c r="D31" s="8">
        <f>'balance_raw_56759328'!$D$12</f>
        <v/>
      </c>
      <c r="E31" s="8">
        <f>'balance_raw_56759328'!$E$12</f>
        <v/>
      </c>
      <c r="F31" s="8">
        <f>'balance_raw_56759328'!$F$12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'balance_raw_56759328'!$B$13</f>
        <v/>
      </c>
      <c r="C32" s="8">
        <f>'balance_raw_56759328'!$C$13</f>
        <v/>
      </c>
      <c r="D32" s="8">
        <f>'balance_raw_56759328'!$D$13</f>
        <v/>
      </c>
      <c r="E32" s="8">
        <f>'balance_raw_56759328'!$E$13</f>
        <v/>
      </c>
      <c r="F32" s="8">
        <f>'balance_raw_56759328'!$F$13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Varebeholdninger</t>
        </is>
      </c>
      <c r="B33" s="8">
        <f>'balance_raw_56759328'!$B$14</f>
        <v/>
      </c>
      <c r="C33" s="8">
        <f>'balance_raw_56759328'!$C$14</f>
        <v/>
      </c>
      <c r="D33" s="8">
        <f>'balance_raw_56759328'!$D$14</f>
        <v/>
      </c>
      <c r="E33" s="8">
        <f>'balance_raw_56759328'!$E$14</f>
        <v/>
      </c>
      <c r="F33" s="8">
        <f>'balance_raw_56759328'!$F$14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'balance_raw_56759328'!$B$15</f>
        <v/>
      </c>
      <c r="C34" s="5">
        <f>'balance_raw_56759328'!$C$15</f>
        <v/>
      </c>
      <c r="D34" s="5">
        <f>'balance_raw_56759328'!$D$15</f>
        <v/>
      </c>
      <c r="E34" s="5">
        <f>'balance_raw_56759328'!$E$15</f>
        <v/>
      </c>
      <c r="F34" s="5">
        <f>'balance_raw_56759328'!$F$15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'balance_raw_56759328'!$B$16</f>
        <v/>
      </c>
      <c r="C35" s="11">
        <f>'balance_raw_56759328'!$C$16</f>
        <v/>
      </c>
      <c r="D35" s="11">
        <f>'balance_raw_56759328'!$D$16</f>
        <v/>
      </c>
      <c r="E35" s="11">
        <f>'balance_raw_56759328'!$E$16</f>
        <v/>
      </c>
      <c r="F35" s="11">
        <f>'balance_raw_56759328'!$F$16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'balance_raw_56759328'!$B$17</f>
        <v/>
      </c>
      <c r="C36" s="5">
        <f>'balance_raw_56759328'!$C$17</f>
        <v/>
      </c>
      <c r="D36" s="5">
        <f>'balance_raw_56759328'!$D$17</f>
        <v/>
      </c>
      <c r="E36" s="5">
        <f>'balance_raw_56759328'!$E$17</f>
        <v/>
      </c>
      <c r="F36" s="5">
        <f>'balance_raw_56759328'!$F$17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'balance_raw_56759328'!$B$18</f>
        <v/>
      </c>
      <c r="C37" s="11">
        <f>'balance_raw_56759328'!$C$18</f>
        <v/>
      </c>
      <c r="D37" s="11">
        <f>'balance_raw_56759328'!$D$18</f>
        <v/>
      </c>
      <c r="E37" s="11">
        <f>'balance_raw_56759328'!$E$18</f>
        <v/>
      </c>
      <c r="F37" s="11">
        <f>'balance_raw_56759328'!$F$18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'balance_raw_56759328'!$B$19</f>
        <v/>
      </c>
      <c r="C38" s="5">
        <f>'balance_raw_56759328'!$C$19</f>
        <v/>
      </c>
      <c r="D38" s="5">
        <f>'balance_raw_56759328'!$D$19</f>
        <v/>
      </c>
      <c r="E38" s="5">
        <f>'balance_raw_56759328'!$E$19</f>
        <v/>
      </c>
      <c r="F38" s="5">
        <f>'balance_raw_56759328'!$F$19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'balance_raw_56759328'!$B$20</f>
        <v/>
      </c>
      <c r="C39" s="11">
        <f>'balance_raw_56759328'!$C$20</f>
        <v/>
      </c>
      <c r="D39" s="11">
        <f>'balance_raw_56759328'!$D$20</f>
        <v/>
      </c>
      <c r="E39" s="11">
        <f>'balance_raw_56759328'!$E$20</f>
        <v/>
      </c>
      <c r="F39" s="11">
        <f>'balance_raw_56759328'!$F$20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'balance_raw_56759328'!$B$21</f>
        <v/>
      </c>
      <c r="C40" s="5">
        <f>'balance_raw_56759328'!$C$21</f>
        <v/>
      </c>
      <c r="D40" s="5">
        <f>'balance_raw_56759328'!$D$21</f>
        <v/>
      </c>
      <c r="E40" s="5">
        <f>'balance_raw_56759328'!$E$21</f>
        <v/>
      </c>
      <c r="F40" s="5">
        <f>'balance_raw_56759328'!$F$21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'balance_raw_56759328'!$B$22</f>
        <v/>
      </c>
      <c r="C41" s="8">
        <f>'balance_raw_56759328'!$C$22</f>
        <v/>
      </c>
      <c r="D41" s="8">
        <f>'balance_raw_56759328'!$D$22</f>
        <v/>
      </c>
      <c r="E41" s="8">
        <f>'balance_raw_56759328'!$E$22</f>
        <v/>
      </c>
      <c r="F41" s="8">
        <f>'balance_raw_56759328'!$F$22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'balance_raw_56759328'!$B$23</f>
        <v/>
      </c>
      <c r="C42" s="5">
        <f>'balance_raw_56759328'!$C$23</f>
        <v/>
      </c>
      <c r="D42" s="5">
        <f>'balance_raw_56759328'!$D$23</f>
        <v/>
      </c>
      <c r="E42" s="5">
        <f>'balance_raw_56759328'!$E$23</f>
        <v/>
      </c>
      <c r="F42" s="5">
        <f>'balance_raw_56759328'!$F$23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'balance_raw_56759328'!$B$24</f>
        <v/>
      </c>
      <c r="C43" s="11">
        <f>'balance_raw_56759328'!$C$24</f>
        <v/>
      </c>
      <c r="D43" s="11">
        <f>'balance_raw_56759328'!$D$24</f>
        <v/>
      </c>
      <c r="E43" s="11">
        <f>'balance_raw_56759328'!$E$24</f>
        <v/>
      </c>
      <c r="F43" s="11">
        <f>'balance_raw_56759328'!$F$24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'balance_raw_56759328'!$B$25</f>
        <v/>
      </c>
      <c r="C44" s="8">
        <f>'balance_raw_56759328'!$C$25</f>
        <v/>
      </c>
      <c r="D44" s="8">
        <f>'balance_raw_56759328'!$D$25</f>
        <v/>
      </c>
      <c r="E44" s="8">
        <f>'balance_raw_56759328'!$E$25</f>
        <v/>
      </c>
      <c r="F44" s="8">
        <f>'balance_raw_56759328'!$F$25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'balance_raw_56759328'!$B$26</f>
        <v/>
      </c>
      <c r="C45" s="8">
        <f>'balance_raw_56759328'!$C$26</f>
        <v/>
      </c>
      <c r="D45" s="8">
        <f>'balance_raw_56759328'!$D$26</f>
        <v/>
      </c>
      <c r="E45" s="8">
        <f>'balance_raw_56759328'!$E$26</f>
        <v/>
      </c>
      <c r="F45" s="8">
        <f>'balance_raw_56759328'!$F$26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'balance_raw_56759328'!$B$27</f>
        <v/>
      </c>
      <c r="C48" s="5">
        <f>'balance_raw_56759328'!$C$27</f>
        <v/>
      </c>
      <c r="D48" s="5">
        <f>'balance_raw_56759328'!$D$27</f>
        <v/>
      </c>
      <c r="E48" s="5">
        <f>'balance_raw_56759328'!$E$27</f>
        <v/>
      </c>
      <c r="F48" s="5">
        <f>'balance_raw_56759328'!$F$27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'balance_raw_56759328'!$B$28</f>
        <v/>
      </c>
      <c r="C49" s="11">
        <f>'balance_raw_56759328'!$C$28</f>
        <v/>
      </c>
      <c r="D49" s="11">
        <f>'balance_raw_56759328'!$D$28</f>
        <v/>
      </c>
      <c r="E49" s="11">
        <f>'balance_raw_56759328'!$E$28</f>
        <v/>
      </c>
      <c r="F49" s="11">
        <f>'balance_raw_56759328'!$F$28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'balance_raw_56759328'!$B$29</f>
        <v/>
      </c>
      <c r="C50" s="5">
        <f>'balance_raw_56759328'!$C$29</f>
        <v/>
      </c>
      <c r="D50" s="5">
        <f>'balance_raw_56759328'!$D$29</f>
        <v/>
      </c>
      <c r="E50" s="5">
        <f>'balance_raw_56759328'!$E$29</f>
        <v/>
      </c>
      <c r="F50" s="5">
        <f>'balance_raw_56759328'!$F$29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'balance_raw_56759328'!$B$30</f>
        <v/>
      </c>
      <c r="C51" s="11">
        <f>'balance_raw_56759328'!$C$30</f>
        <v/>
      </c>
      <c r="D51" s="11">
        <f>'balance_raw_56759328'!$D$30</f>
        <v/>
      </c>
      <c r="E51" s="11">
        <f>'balance_raw_56759328'!$E$30</f>
        <v/>
      </c>
      <c r="F51" s="11">
        <f>'balance_raw_56759328'!$F$30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'balance_raw_56759328'!$B$31</f>
        <v/>
      </c>
      <c r="C52" s="5">
        <f>'balance_raw_56759328'!$C$31</f>
        <v/>
      </c>
      <c r="D52" s="5">
        <f>'balance_raw_56759328'!$D$31</f>
        <v/>
      </c>
      <c r="E52" s="5">
        <f>'balance_raw_56759328'!$E$31</f>
        <v/>
      </c>
      <c r="F52" s="5">
        <f>'balance_raw_56759328'!$F$31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'balance_raw_56759328'!$B$32</f>
        <v/>
      </c>
      <c r="C53" s="11">
        <f>'balance_raw_56759328'!$C$32</f>
        <v/>
      </c>
      <c r="D53" s="11">
        <f>'balance_raw_56759328'!$D$32</f>
        <v/>
      </c>
      <c r="E53" s="11">
        <f>'balance_raw_56759328'!$E$32</f>
        <v/>
      </c>
      <c r="F53" s="11">
        <f>'balance_raw_56759328'!$F$32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'balance_raw_56759328'!$B$33</f>
        <v/>
      </c>
      <c r="C54" s="8">
        <f>'balance_raw_56759328'!$C$33</f>
        <v/>
      </c>
      <c r="D54" s="8">
        <f>'balance_raw_56759328'!$D$33</f>
        <v/>
      </c>
      <c r="E54" s="8">
        <f>'balance_raw_56759328'!$E$33</f>
        <v/>
      </c>
      <c r="F54" s="8">
        <f>'balance_raw_56759328'!$F$33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Hensættelse til udskudt skat</t>
        </is>
      </c>
      <c r="B55" s="11">
        <f>'balance_raw_56759328'!$B$34</f>
        <v/>
      </c>
      <c r="C55" s="11">
        <f>'balance_raw_56759328'!$C$34</f>
        <v/>
      </c>
      <c r="D55" s="11">
        <f>'balance_raw_56759328'!$D$34</f>
        <v/>
      </c>
      <c r="E55" s="11">
        <f>'balance_raw_56759328'!$E$34</f>
        <v/>
      </c>
      <c r="F55" s="11">
        <f>'balance_raw_56759328'!$F$34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Hensatte forpligtelser</t>
        </is>
      </c>
      <c r="B56" s="8">
        <f>'balance_raw_56759328'!$B$35</f>
        <v/>
      </c>
      <c r="C56" s="8">
        <f>'balance_raw_56759328'!$C$35</f>
        <v/>
      </c>
      <c r="D56" s="8">
        <f>'balance_raw_56759328'!$D$35</f>
        <v/>
      </c>
      <c r="E56" s="8">
        <f>'balance_raw_56759328'!$E$35</f>
        <v/>
      </c>
      <c r="F56" s="8">
        <f>'balance_raw_56759328'!$F$35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'balance_raw_56759328'!$B$36</f>
        <v/>
      </c>
      <c r="C57" s="11">
        <f>'balance_raw_56759328'!$C$36</f>
        <v/>
      </c>
      <c r="D57" s="11">
        <f>'balance_raw_56759328'!$D$36</f>
        <v/>
      </c>
      <c r="E57" s="11">
        <f>'balance_raw_56759328'!$E$36</f>
        <v/>
      </c>
      <c r="F57" s="11">
        <f>'balance_raw_56759328'!$F$36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'balance_raw_56759328'!$B$37</f>
        <v/>
      </c>
      <c r="C58" s="5">
        <f>'balance_raw_56759328'!$C$37</f>
        <v/>
      </c>
      <c r="D58" s="5">
        <f>'balance_raw_56759328'!$D$37</f>
        <v/>
      </c>
      <c r="E58" s="5">
        <f>'balance_raw_56759328'!$E$37</f>
        <v/>
      </c>
      <c r="F58" s="5">
        <f>'balance_raw_56759328'!$F$37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'balance_raw_56759328'!$B$38</f>
        <v/>
      </c>
      <c r="C59" s="11">
        <f>'balance_raw_56759328'!$C$38</f>
        <v/>
      </c>
      <c r="D59" s="11">
        <f>'balance_raw_56759328'!$D$38</f>
        <v/>
      </c>
      <c r="E59" s="11">
        <f>'balance_raw_56759328'!$E$38</f>
        <v/>
      </c>
      <c r="F59" s="11">
        <f>'balance_raw_56759328'!$F$38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'balance_raw_56759328'!$B$39</f>
        <v/>
      </c>
      <c r="C60" s="5">
        <f>'balance_raw_56759328'!$C$39</f>
        <v/>
      </c>
      <c r="D60" s="5">
        <f>'balance_raw_56759328'!$D$39</f>
        <v/>
      </c>
      <c r="E60" s="5">
        <f>'balance_raw_56759328'!$E$39</f>
        <v/>
      </c>
      <c r="F60" s="5">
        <f>'balance_raw_56759328'!$F$39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'balance_raw_56759328'!$B$40</f>
        <v/>
      </c>
      <c r="C61" s="8">
        <f>'balance_raw_56759328'!$C$40</f>
        <v/>
      </c>
      <c r="D61" s="8">
        <f>'balance_raw_56759328'!$D$40</f>
        <v/>
      </c>
      <c r="E61" s="8">
        <f>'balance_raw_56759328'!$E$40</f>
        <v/>
      </c>
      <c r="F61" s="8">
        <f>'balance_raw_56759328'!$F$40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'balance_raw_56759328'!$B$41</f>
        <v/>
      </c>
      <c r="C62" s="5">
        <f>'balance_raw_56759328'!$C$41</f>
        <v/>
      </c>
      <c r="D62" s="5">
        <f>'balance_raw_56759328'!$D$41</f>
        <v/>
      </c>
      <c r="E62" s="5">
        <f>'balance_raw_56759328'!$E$41</f>
        <v/>
      </c>
      <c r="F62" s="5">
        <f>'balance_raw_56759328'!$F$41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'balance_raw_56759328'!$B$42</f>
        <v/>
      </c>
      <c r="C63" s="11">
        <f>'balance_raw_56759328'!$C$42</f>
        <v/>
      </c>
      <c r="D63" s="11">
        <f>'balance_raw_56759328'!$D$42</f>
        <v/>
      </c>
      <c r="E63" s="11">
        <f>'balance_raw_56759328'!$E$42</f>
        <v/>
      </c>
      <c r="F63" s="11">
        <f>'balance_raw_56759328'!$F$42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'balance_raw_56759328'!$B$43</f>
        <v/>
      </c>
      <c r="C64" s="5">
        <f>'balance_raw_56759328'!$C$43</f>
        <v/>
      </c>
      <c r="D64" s="5">
        <f>'balance_raw_56759328'!$D$43</f>
        <v/>
      </c>
      <c r="E64" s="5">
        <f>'balance_raw_56759328'!$E$43</f>
        <v/>
      </c>
      <c r="F64" s="5">
        <f>'balance_raw_56759328'!$F$43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'balance_raw_56759328'!$B$44</f>
        <v/>
      </c>
      <c r="C65" s="11">
        <f>'balance_raw_56759328'!$C$44</f>
        <v/>
      </c>
      <c r="D65" s="11">
        <f>'balance_raw_56759328'!$D$44</f>
        <v/>
      </c>
      <c r="E65" s="11">
        <f>'balance_raw_56759328'!$E$44</f>
        <v/>
      </c>
      <c r="F65" s="11">
        <f>'balance_raw_56759328'!$F$44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'balance_raw_56759328'!$B$45</f>
        <v/>
      </c>
      <c r="C66" s="5">
        <f>'balance_raw_56759328'!$C$45</f>
        <v/>
      </c>
      <c r="D66" s="5">
        <f>'balance_raw_56759328'!$D$45</f>
        <v/>
      </c>
      <c r="E66" s="5">
        <f>'balance_raw_56759328'!$E$45</f>
        <v/>
      </c>
      <c r="F66" s="5">
        <f>'balance_raw_56759328'!$F$45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'balance_raw_56759328'!$B$46</f>
        <v/>
      </c>
      <c r="C67" s="11">
        <f>'balance_raw_56759328'!$C$46</f>
        <v/>
      </c>
      <c r="D67" s="11">
        <f>'balance_raw_56759328'!$D$46</f>
        <v/>
      </c>
      <c r="E67" s="11">
        <f>'balance_raw_56759328'!$E$46</f>
        <v/>
      </c>
      <c r="F67" s="11">
        <f>'balance_raw_56759328'!$F$46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'balance_raw_56759328'!$B$47</f>
        <v/>
      </c>
      <c r="C68" s="5">
        <f>'balance_raw_56759328'!$C$47</f>
        <v/>
      </c>
      <c r="D68" s="5">
        <f>'balance_raw_56759328'!$D$47</f>
        <v/>
      </c>
      <c r="E68" s="5">
        <f>'balance_raw_56759328'!$E$47</f>
        <v/>
      </c>
      <c r="F68" s="5">
        <f>'balance_raw_56759328'!$F$47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'balance_raw_56759328'!$B$48</f>
        <v/>
      </c>
      <c r="C69" s="11">
        <f>'balance_raw_56759328'!$C$48</f>
        <v/>
      </c>
      <c r="D69" s="11">
        <f>'balance_raw_56759328'!$D$48</f>
        <v/>
      </c>
      <c r="E69" s="11">
        <f>'balance_raw_56759328'!$E$48</f>
        <v/>
      </c>
      <c r="F69" s="11">
        <f>'balance_raw_56759328'!$F$48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'balance_raw_56759328'!$B$49</f>
        <v/>
      </c>
      <c r="C70" s="5">
        <f>'balance_raw_56759328'!$C$49</f>
        <v/>
      </c>
      <c r="D70" s="5">
        <f>'balance_raw_56759328'!$D$49</f>
        <v/>
      </c>
      <c r="E70" s="5">
        <f>'balance_raw_56759328'!$E$49</f>
        <v/>
      </c>
      <c r="F70" s="5">
        <f>'balance_raw_56759328'!$F$49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'balance_raw_56759328'!$B$50</f>
        <v/>
      </c>
      <c r="C71" s="11">
        <f>'balance_raw_56759328'!$C$50</f>
        <v/>
      </c>
      <c r="D71" s="11">
        <f>'balance_raw_56759328'!$D$50</f>
        <v/>
      </c>
      <c r="E71" s="11">
        <f>'balance_raw_56759328'!$E$50</f>
        <v/>
      </c>
      <c r="F71" s="11">
        <f>'balance_raw_56759328'!$F$50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'balance_raw_56759328'!$B$51</f>
        <v/>
      </c>
      <c r="C72" s="5">
        <f>'balance_raw_56759328'!$C$51</f>
        <v/>
      </c>
      <c r="D72" s="5">
        <f>'balance_raw_56759328'!$D$51</f>
        <v/>
      </c>
      <c r="E72" s="5">
        <f>'balance_raw_56759328'!$E$51</f>
        <v/>
      </c>
      <c r="F72" s="5">
        <f>'balance_raw_56759328'!$F$51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'balance_raw_56759328'!$B$52</f>
        <v/>
      </c>
      <c r="C73" s="8">
        <f>'balance_raw_56759328'!$C$52</f>
        <v/>
      </c>
      <c r="D73" s="8">
        <f>'balance_raw_56759328'!$D$52</f>
        <v/>
      </c>
      <c r="E73" s="8">
        <f>'balance_raw_56759328'!$E$52</f>
        <v/>
      </c>
      <c r="F73" s="8">
        <f>'balance_raw_56759328'!$F$52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'balance_raw_56759328'!$B$53</f>
        <v/>
      </c>
      <c r="C74" s="8">
        <f>'balance_raw_56759328'!$C$53</f>
        <v/>
      </c>
      <c r="D74" s="8">
        <f>'balance_raw_56759328'!$D$53</f>
        <v/>
      </c>
      <c r="E74" s="8">
        <f>'balance_raw_56759328'!$E$53</f>
        <v/>
      </c>
      <c r="F74" s="8">
        <f>'balance_raw_56759328'!$F$53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'balance_raw_56759328'!$B$54</f>
        <v/>
      </c>
      <c r="C75" s="8">
        <f>'balance_raw_56759328'!$C$54</f>
        <v/>
      </c>
      <c r="D75" s="8">
        <f>'balance_raw_56759328'!$D$54</f>
        <v/>
      </c>
      <c r="E75" s="8">
        <f>'balance_raw_56759328'!$E$54</f>
        <v/>
      </c>
      <c r="F75" s="8">
        <f>'balance_raw_56759328'!$F$54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'res_raw_56759328'!$B$17</f>
        <v/>
      </c>
      <c r="C78" s="5">
        <f>'res_raw_56759328'!$C$17</f>
        <v/>
      </c>
      <c r="D78" s="5">
        <f>'res_raw_56759328'!$D$17</f>
        <v/>
      </c>
      <c r="E78" s="5">
        <f>'res_raw_56759328'!$E$17</f>
        <v/>
      </c>
      <c r="F78" s="5">
        <f>'res_raw_56759328'!$F$17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'res_raw_56759328'!$B$18</f>
        <v/>
      </c>
      <c r="C79" s="11">
        <f>'res_raw_56759328'!$C$18</f>
        <v/>
      </c>
      <c r="D79" s="11">
        <f>'res_raw_56759328'!$D$18</f>
        <v/>
      </c>
      <c r="E79" s="11">
        <f>'res_raw_56759328'!$E$18</f>
        <v/>
      </c>
      <c r="F79" s="11">
        <f>'res_raw_56759328'!$F$18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IFERROR(($B$11+$B$13+$B$12)/$B$45*100,"")</f>
        <v/>
      </c>
      <c r="C82" s="13">
        <f>IFERROR(($C$11+$C$13+$C$12)/$C$45*100,"")</f>
        <v/>
      </c>
      <c r="D82" s="13">
        <f>IFERROR(($D$11+$D$13+$D$12)/$D$45*100,"")</f>
        <v/>
      </c>
      <c r="E82" s="13">
        <f>IFERROR(($E$11+$E$13+$E$12)/$E$45*100,"")</f>
        <v/>
      </c>
      <c r="F82" s="13">
        <f>IFERROR(($F$11+$F$13+$F$12)/$F$45*100,"")</f>
        <v/>
      </c>
    </row>
    <row r="83" ht="16" customHeight="1">
      <c r="A83" s="10" t="inlineStr">
        <is>
          <t>Overskudsgrad, %</t>
        </is>
      </c>
      <c r="B83" s="14">
        <f>IFERROR(($B$11+$B$13+$B$12)/$B$4*100,"")</f>
        <v/>
      </c>
      <c r="C83" s="14">
        <f>IFERROR(($C$11+$C$13+$C$12)/$C$4*100,"")</f>
        <v/>
      </c>
      <c r="D83" s="14">
        <f>IFERROR(($D$11+$D$13+$D$12)/$D$4*100,"")</f>
        <v/>
      </c>
      <c r="E83" s="14">
        <f>IFERROR(($E$11+$E$13+$E$12)/$E$4*100,"")</f>
        <v/>
      </c>
      <c r="F83" s="14">
        <f>IFERROR(($F$11+$F$13+$F$12)/$F$4*100,"")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10" t="inlineStr">
        <is>
          <t>Egenkapitalens forrentning, %</t>
        </is>
      </c>
      <c r="B85" s="14">
        <f>IFERROR($B$16/$B$54*100,"")</f>
        <v/>
      </c>
      <c r="C85" s="14">
        <f>IFERROR($C$16/$C$54*100,"")</f>
        <v/>
      </c>
      <c r="D85" s="14">
        <f>IFERROR($D$16/$D$54*100,"")</f>
        <v/>
      </c>
      <c r="E85" s="14">
        <f>IFERROR($E$16/$E$54*100,"")</f>
        <v/>
      </c>
      <c r="F85" s="14">
        <f>IFERROR($F$16/$F$54*100,"")</f>
        <v/>
      </c>
    </row>
    <row r="86" ht="16" customHeight="1">
      <c r="A86" s="4" t="inlineStr">
        <is>
          <t>Gældsrente, %</t>
        </is>
      </c>
      <c r="B86" s="13">
        <f>IFERROR($B$14/($B$75-$B$54)*100,"")</f>
        <v/>
      </c>
      <c r="C86" s="13">
        <f>IFERROR($C$14/($C$75-$C$54)*100,"")</f>
        <v/>
      </c>
      <c r="D86" s="13">
        <f>IFERROR($D$14/($D$75-$D$54)*100,"")</f>
        <v/>
      </c>
      <c r="E86" s="13">
        <f>IFERROR($E$14/($E$75-$E$54)*100,"")</f>
        <v/>
      </c>
      <c r="F86" s="13">
        <f>IFERROR($F$14/($F$75-$F$54)*100,"")</f>
        <v/>
      </c>
    </row>
    <row r="87" ht="16" customHeight="1">
      <c r="A87" s="10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10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IFERROR($B$32/($B$54+$B$61)*100,"")</f>
        <v/>
      </c>
      <c r="C92" s="13">
        <f>IFERROR($C$32/($C$54+$C$61)*100,"")</f>
        <v/>
      </c>
      <c r="D92" s="13">
        <f>IFERROR($D$32/($D$54+$D$61)*100,"")</f>
        <v/>
      </c>
      <c r="E92" s="13">
        <f>IFERROR($E$32/($E$54+$E$61)*100,"")</f>
        <v/>
      </c>
      <c r="F92" s="13">
        <f>IFERROR($F$32/($F$54+$F$61)*100,"")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'pengestrom_raw_56759328'!$B$2</f>
        <v/>
      </c>
      <c r="C95" s="17">
        <f>'pengestrom_raw_56759328'!$C$2</f>
        <v/>
      </c>
      <c r="D95" s="17">
        <f>'pengestrom_raw_56759328'!$D$2</f>
        <v/>
      </c>
      <c r="E95" s="17">
        <f>'pengestrom_raw_56759328'!$E$2</f>
        <v/>
      </c>
      <c r="F95" s="17">
        <f>'pengestrom_raw_56759328'!$F$2</f>
        <v/>
      </c>
    </row>
    <row r="96">
      <c r="A96" s="16" t="inlineStr">
        <is>
          <t>Pengestrømme fra investeringsaktivitet</t>
        </is>
      </c>
      <c r="B96" s="17">
        <f>'pengestrom_raw_56759328'!$B$3</f>
        <v/>
      </c>
      <c r="C96" s="17">
        <f>'pengestrom_raw_56759328'!$C$3</f>
        <v/>
      </c>
      <c r="D96" s="17">
        <f>'pengestrom_raw_56759328'!$D$3</f>
        <v/>
      </c>
      <c r="E96" s="17">
        <f>'pengestrom_raw_56759328'!$E$3</f>
        <v/>
      </c>
      <c r="F96" s="17">
        <f>'pengestrom_raw_56759328'!$F$3</f>
        <v/>
      </c>
    </row>
    <row r="97">
      <c r="A97" s="16" t="inlineStr">
        <is>
          <t>Pengestrømme fra finansieringsaktivitet</t>
        </is>
      </c>
      <c r="B97" s="17">
        <f>'pengestrom_raw_56759328'!$B$4</f>
        <v/>
      </c>
      <c r="C97" s="17">
        <f>'pengestrom_raw_56759328'!$C$4</f>
        <v/>
      </c>
      <c r="D97" s="17">
        <f>'pengestrom_raw_56759328'!$D$4</f>
        <v/>
      </c>
      <c r="E97" s="17">
        <f>'pengestrom_raw_56759328'!$E$4</f>
        <v/>
      </c>
      <c r="F97" s="17">
        <f>'pengestrom_raw_56759328'!$F$4</f>
        <v/>
      </c>
    </row>
    <row r="98">
      <c r="A98" s="16" t="inlineStr">
        <is>
          <t>Årets pengestrøm (rapporteret)</t>
        </is>
      </c>
      <c r="B98" s="17">
        <f>'pengestrom_raw_56759328'!$B$5</f>
        <v/>
      </c>
      <c r="C98" s="17">
        <f>'pengestrom_raw_56759328'!$C$5</f>
        <v/>
      </c>
      <c r="D98" s="17">
        <f>'pengestrom_raw_56759328'!$D$5</f>
        <v/>
      </c>
      <c r="E98" s="17">
        <f>'pengestrom_raw_56759328'!$E$5</f>
        <v/>
      </c>
      <c r="F98" s="17">
        <f>'pengestrom_raw_56759328'!$F$5</f>
        <v/>
      </c>
    </row>
    <row r="99">
      <c r="A99" s="16" t="inlineStr">
        <is>
          <t>Krydstjek: drift + inv. + fin. = årets pengestrøm</t>
        </is>
      </c>
      <c r="B99">
        <f>IF(ABS(('pengestrom_raw_56759328'!$B$2+'pengestrom_raw_56759328'!$B$3+'pengestrom_raw_56759328'!$B$4)-'pengestrom_raw_56759328'!$B$5)&lt;=2,"✓","⚠ "&amp;TEXT(('pengestrom_raw_56759328'!$B$2+'pengestrom_raw_56759328'!$B$3+'pengestrom_raw_56759328'!$B$4)-'pengestrom_raw_56759328'!$B$5,"+#,##0;-#,##0"))</f>
        <v/>
      </c>
      <c r="C99">
        <f>IF(ABS(('pengestrom_raw_56759328'!$C$2+'pengestrom_raw_56759328'!$C$3+'pengestrom_raw_56759328'!$C$4)-'pengestrom_raw_56759328'!$C$5)&lt;=2,"✓","⚠ "&amp;TEXT(('pengestrom_raw_56759328'!$C$2+'pengestrom_raw_56759328'!$C$3+'pengestrom_raw_56759328'!$C$4)-'pengestrom_raw_56759328'!$C$5,"+#,##0;-#,##0"))</f>
        <v/>
      </c>
      <c r="D99">
        <f>IF(ABS(('pengestrom_raw_56759328'!$D$2+'pengestrom_raw_56759328'!$D$3+'pengestrom_raw_56759328'!$D$4)-'pengestrom_raw_56759328'!$D$5)&lt;=2,"✓","⚠ "&amp;TEXT(('pengestrom_raw_56759328'!$D$2+'pengestrom_raw_56759328'!$D$3+'pengestrom_raw_56759328'!$D$4)-'pengestrom_raw_56759328'!$D$5,"+#,##0;-#,##0"))</f>
        <v/>
      </c>
      <c r="E99">
        <f>IF(ABS(('pengestrom_raw_56759328'!$E$2+'pengestrom_raw_56759328'!$E$3+'pengestrom_raw_56759328'!$E$4)-'pengestrom_raw_56759328'!$E$5)&lt;=2,"✓","⚠ "&amp;TEXT(('pengestrom_raw_56759328'!$E$2+'pengestrom_raw_56759328'!$E$3+'pengestrom_raw_56759328'!$E$4)-'pengestrom_raw_56759328'!$E$5,"+#,##0;-#,##0"))</f>
        <v/>
      </c>
      <c r="F99">
        <f>IF(ABS(('pengestrom_raw_56759328'!$F$2+'pengestrom_raw_56759328'!$F$3+'pengestrom_raw_56759328'!$F$4)-'pengestrom_raw_56759328'!$F$5)&lt;=2,"✓","⚠ "&amp;TEXT(('pengestrom_raw_56759328'!$F$2+'pengestrom_raw_56759328'!$F$3+'pengestrom_raw_56759328'!$F$4)-'pengestrom_raw_56759328'!$F$5,"+#,##0;-#,##0"))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Toms Gruppen A/S (CVR 56759328)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1602273</v>
      </c>
      <c r="C2" s="17" t="n">
        <v>1777718</v>
      </c>
      <c r="D2" s="17" t="n">
        <v>1660868</v>
      </c>
      <c r="E2" s="17" t="n">
        <v>1683500</v>
      </c>
      <c r="F2" s="17" t="n">
        <v>1802100</v>
      </c>
    </row>
    <row r="3">
      <c r="A3" s="16" t="inlineStr">
        <is>
          <t>Produktionsomkostninger</t>
        </is>
      </c>
      <c r="B3" s="17" t="n">
        <v>1031522</v>
      </c>
      <c r="C3" s="17" t="n">
        <v>1142482</v>
      </c>
      <c r="D3" s="17" t="n">
        <v>1203505</v>
      </c>
      <c r="E3" s="17" t="n">
        <v>1239900</v>
      </c>
      <c r="F3" s="17" t="n">
        <v>1393200</v>
      </c>
    </row>
    <row r="4">
      <c r="A4" s="15" t="inlineStr">
        <is>
          <t>Bruttoresultat</t>
        </is>
      </c>
      <c r="B4" s="17" t="n">
        <v>570751</v>
      </c>
      <c r="C4" s="17" t="n">
        <v>635236</v>
      </c>
      <c r="D4" s="17" t="n">
        <v>457363</v>
      </c>
      <c r="E4" s="17" t="n">
        <v>443600</v>
      </c>
      <c r="F4" s="17" t="n">
        <v>408900</v>
      </c>
    </row>
    <row r="5">
      <c r="A5" s="16" t="inlineStr">
        <is>
          <t>Salgs- og distributionsomkostninger</t>
        </is>
      </c>
      <c r="B5" s="17" t="n">
        <v>407105</v>
      </c>
      <c r="C5" s="17" t="n">
        <v>449398</v>
      </c>
      <c r="D5" s="17" t="n">
        <v>310453</v>
      </c>
      <c r="E5" s="17" t="n">
        <v>251600</v>
      </c>
      <c r="F5" s="17" t="n">
        <v>254200</v>
      </c>
    </row>
    <row r="6">
      <c r="A6" s="16" t="inlineStr">
        <is>
          <t>Administrationsomkostninger</t>
        </is>
      </c>
      <c r="B6" s="17" t="n">
        <v>88547</v>
      </c>
      <c r="C6" s="17" t="n">
        <v>90481</v>
      </c>
      <c r="D6" s="17" t="n">
        <v>97044</v>
      </c>
      <c r="E6" s="17" t="n">
        <v>109500</v>
      </c>
      <c r="F6" s="17" t="n">
        <v>102200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>
        <v>90600</v>
      </c>
      <c r="F7" s="17" t="n">
        <v>1100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>
        <v>2200</v>
      </c>
    </row>
    <row r="9">
      <c r="A9" s="15" t="inlineStr">
        <is>
          <t>Resultat af primær drift</t>
        </is>
      </c>
      <c r="B9" s="17" t="n">
        <v>75099</v>
      </c>
      <c r="C9" s="17" t="n">
        <v>95357</v>
      </c>
      <c r="D9" s="17" t="n">
        <v>49866</v>
      </c>
      <c r="E9" s="17" t="n">
        <v>82500</v>
      </c>
      <c r="F9" s="17" t="n">
        <v>52500</v>
      </c>
    </row>
    <row r="10">
      <c r="A10" s="16" t="inlineStr">
        <is>
          <t>Indtægter af kapitalandele, dattervirksomheder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</row>
    <row r="11">
      <c r="A11" s="16" t="inlineStr">
        <is>
          <t>Finansielle indtægter</t>
        </is>
      </c>
      <c r="B11" s="17" t="n">
        <v>0</v>
      </c>
      <c r="C11" s="17" t="n">
        <v>2223</v>
      </c>
      <c r="D11" s="17" t="n">
        <v>33643</v>
      </c>
      <c r="E11" s="17" t="n">
        <v>5500</v>
      </c>
      <c r="F11" s="17" t="n">
        <v>27000</v>
      </c>
    </row>
    <row r="12">
      <c r="A12" s="16" t="inlineStr">
        <is>
          <t>Finansielle omkostninger</t>
        </is>
      </c>
      <c r="B12" s="17" t="n">
        <v>22418</v>
      </c>
      <c r="C12" s="17" t="n">
        <v>10540</v>
      </c>
      <c r="D12" s="17" t="n">
        <v>12436</v>
      </c>
      <c r="E12" s="17" t="n">
        <v>11500</v>
      </c>
      <c r="F12" s="17" t="n">
        <v>30100</v>
      </c>
    </row>
    <row r="13">
      <c r="A13" s="15" t="inlineStr">
        <is>
          <t>Finansielle poster, netto</t>
        </is>
      </c>
      <c r="B13" s="17" t="n">
        <v>-22400</v>
      </c>
      <c r="C13" s="17" t="n">
        <v>-8300</v>
      </c>
      <c r="D13" s="17" t="n">
        <v>21200</v>
      </c>
      <c r="E13" s="17" t="n">
        <v>-6000</v>
      </c>
      <c r="F13" s="17" t="n">
        <v>-3100</v>
      </c>
    </row>
    <row r="14">
      <c r="A14" s="15" t="inlineStr">
        <is>
          <t>Resultat før skat</t>
        </is>
      </c>
      <c r="B14" s="17" t="n">
        <v>52681</v>
      </c>
      <c r="C14" s="17" t="n">
        <v>87040</v>
      </c>
      <c r="D14" s="17" t="n">
        <v>71073</v>
      </c>
      <c r="E14" s="17" t="n">
        <v>167100</v>
      </c>
      <c r="F14" s="17" t="n">
        <v>48300</v>
      </c>
    </row>
    <row r="15">
      <c r="A15" s="16" t="inlineStr">
        <is>
          <t>Skat af årets resultat</t>
        </is>
      </c>
      <c r="B15" s="17" t="n">
        <v>-3399</v>
      </c>
      <c r="C15" s="17" t="n">
        <v>15071</v>
      </c>
      <c r="D15" s="17" t="n">
        <v>16734</v>
      </c>
      <c r="E15" s="17" t="n">
        <v>43800</v>
      </c>
      <c r="F15" s="17" t="n">
        <v>7100</v>
      </c>
    </row>
    <row r="16">
      <c r="A16" s="15" t="inlineStr">
        <is>
          <t>Årets resultat</t>
        </is>
      </c>
      <c r="B16" s="17" t="n">
        <v>56080</v>
      </c>
      <c r="C16" s="17" t="n">
        <v>71969</v>
      </c>
      <c r="D16" s="17" t="n">
        <v>54339</v>
      </c>
      <c r="E16" s="17" t="n">
        <v>123300</v>
      </c>
      <c r="F16" s="17" t="n">
        <v>41200</v>
      </c>
    </row>
    <row r="17">
      <c r="A17" s="16" t="inlineStr">
        <is>
          <t>Gns. antal medarbejdere</t>
        </is>
      </c>
      <c r="B17" s="17" t="n">
        <v>928</v>
      </c>
      <c r="C17" s="17" t="n">
        <v>919</v>
      </c>
      <c r="D17" s="17" t="n">
        <v>902</v>
      </c>
      <c r="E17" s="17" t="n">
        <v>841</v>
      </c>
      <c r="F17" s="17" t="n">
        <v>900</v>
      </c>
    </row>
    <row r="18">
      <c r="A18" s="16" t="inlineStr">
        <is>
          <t>Investering i materielle anlægsaktiver</t>
        </is>
      </c>
      <c r="B18" s="17" t="n"/>
      <c r="C18" s="17" t="n"/>
      <c r="D18" s="17" t="n"/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Toms Gruppen A/S (CVR 56759328)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>
        <v>10670</v>
      </c>
      <c r="E2" s="17" t="n">
        <v>0</v>
      </c>
      <c r="F2" s="17" t="n"/>
    </row>
    <row r="3">
      <c r="A3" s="16" t="inlineStr">
        <is>
          <t>Patenter, varemærker mv.</t>
        </is>
      </c>
      <c r="B3" s="17" t="n">
        <v>4596</v>
      </c>
      <c r="C3" s="17" t="n">
        <v>4195</v>
      </c>
      <c r="D3" s="17" t="n">
        <v>939</v>
      </c>
      <c r="E3" s="17" t="n">
        <v>13100</v>
      </c>
      <c r="F3" s="17" t="n"/>
    </row>
    <row r="4">
      <c r="A4" s="16" t="inlineStr">
        <is>
          <t>Goodwill</t>
        </is>
      </c>
      <c r="B4" s="17" t="n">
        <v>962</v>
      </c>
      <c r="C4" s="17" t="n">
        <v>0</v>
      </c>
      <c r="D4" s="17" t="n">
        <v>0</v>
      </c>
      <c r="E4" s="17" t="n"/>
      <c r="F4" s="17" t="n"/>
    </row>
    <row r="5">
      <c r="A5" s="15" t="inlineStr">
        <is>
          <t>Immaterielle anlægsaktiver</t>
        </is>
      </c>
      <c r="B5" s="17" t="n">
        <v>5558</v>
      </c>
      <c r="C5" s="17" t="n">
        <v>4195</v>
      </c>
      <c r="D5" s="17" t="n">
        <v>11609</v>
      </c>
      <c r="E5" s="17" t="n">
        <v>13100</v>
      </c>
      <c r="F5" s="17" t="n">
        <v>10900</v>
      </c>
    </row>
    <row r="6">
      <c r="A6" s="16" t="inlineStr">
        <is>
          <t>Grunde og bygninger</t>
        </is>
      </c>
      <c r="B6" s="17" t="n">
        <v>311875</v>
      </c>
      <c r="C6" s="17" t="n">
        <v>300760</v>
      </c>
      <c r="D6" s="17" t="n">
        <v>325425</v>
      </c>
      <c r="E6" s="17" t="n">
        <v>316900</v>
      </c>
      <c r="F6" s="17" t="n"/>
    </row>
    <row r="7">
      <c r="A7" s="16" t="inlineStr">
        <is>
          <t>Produktionsanlæg og maskiner</t>
        </is>
      </c>
      <c r="B7" s="17" t="n">
        <v>442635</v>
      </c>
      <c r="C7" s="17" t="n">
        <v>417381</v>
      </c>
      <c r="D7" s="17" t="n">
        <v>396952</v>
      </c>
      <c r="E7" s="17" t="n">
        <v>367200</v>
      </c>
      <c r="F7" s="17" t="n"/>
    </row>
    <row r="8">
      <c r="A8" s="16" t="inlineStr">
        <is>
          <t>Driftsmateriel og inventar</t>
        </is>
      </c>
      <c r="B8" s="17" t="n">
        <v>17833</v>
      </c>
      <c r="C8" s="17" t="n">
        <v>9191</v>
      </c>
      <c r="D8" s="17" t="n">
        <v>7819</v>
      </c>
      <c r="E8" s="17" t="n">
        <v>12400</v>
      </c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3682</v>
      </c>
      <c r="C10" s="17" t="n">
        <v>4324</v>
      </c>
      <c r="D10" s="17" t="n">
        <v>7026</v>
      </c>
      <c r="E10" s="17" t="n">
        <v>9900</v>
      </c>
      <c r="F10" s="17" t="n"/>
    </row>
    <row r="11">
      <c r="A11" s="15" t="inlineStr">
        <is>
          <t>Materielle anlægsaktiver</t>
        </is>
      </c>
      <c r="B11" s="17" t="n">
        <v>776025</v>
      </c>
      <c r="C11" s="17" t="n">
        <v>731656</v>
      </c>
      <c r="D11" s="17" t="n">
        <v>737222</v>
      </c>
      <c r="E11" s="17" t="n">
        <v>706400</v>
      </c>
      <c r="F11" s="17" t="n">
        <v>761100</v>
      </c>
    </row>
    <row r="12">
      <c r="A12" s="15" t="inlineStr">
        <is>
          <t>Finansielle anlægsaktiver</t>
        </is>
      </c>
      <c r="B12" s="17" t="n">
        <v>36556</v>
      </c>
      <c r="C12" s="17" t="n">
        <v>40095</v>
      </c>
      <c r="D12" s="17" t="n">
        <v>41561</v>
      </c>
      <c r="E12" s="17" t="n">
        <v>16800</v>
      </c>
      <c r="F12" s="17" t="n"/>
    </row>
    <row r="13">
      <c r="A13" s="15" t="inlineStr">
        <is>
          <t>Anlægsaktiver</t>
        </is>
      </c>
      <c r="B13" s="17" t="n">
        <v>818139</v>
      </c>
      <c r="C13" s="17" t="n">
        <v>775946</v>
      </c>
      <c r="D13" s="17" t="n">
        <v>790392</v>
      </c>
      <c r="E13" s="17" t="n">
        <v>736300</v>
      </c>
      <c r="F13" s="17" t="n">
        <v>788600</v>
      </c>
    </row>
    <row r="14">
      <c r="A14" s="15" t="inlineStr">
        <is>
          <t>Varebeholdninger</t>
        </is>
      </c>
      <c r="B14" s="17" t="n">
        <v>235224</v>
      </c>
      <c r="C14" s="17" t="n">
        <v>277756</v>
      </c>
      <c r="D14" s="17" t="n">
        <v>318694</v>
      </c>
      <c r="E14" s="17" t="n">
        <v>285700</v>
      </c>
      <c r="F14" s="17" t="n">
        <v>346300</v>
      </c>
    </row>
    <row r="15">
      <c r="A15" s="16" t="inlineStr">
        <is>
          <t>Tilgodehavender fra salg og tjenesteydelser</t>
        </is>
      </c>
      <c r="B15" s="17" t="n">
        <v>203244</v>
      </c>
      <c r="C15" s="17" t="n">
        <v>267076</v>
      </c>
      <c r="D15" s="17" t="n">
        <v>289411</v>
      </c>
      <c r="E15" s="17" t="n">
        <v>290000</v>
      </c>
      <c r="F15" s="17" t="n">
        <v>314700</v>
      </c>
    </row>
    <row r="16">
      <c r="A16" s="16" t="inlineStr">
        <is>
          <t>Tilgodehavender hos tilknyttede virksomheder</t>
        </is>
      </c>
      <c r="B16" s="17" t="n">
        <v>0</v>
      </c>
      <c r="C16" s="17" t="n">
        <v>3</v>
      </c>
      <c r="D16" s="17" t="n">
        <v>81</v>
      </c>
      <c r="E16" s="17" t="n">
        <v>18300</v>
      </c>
      <c r="F16" s="17" t="n">
        <v>0</v>
      </c>
    </row>
    <row r="17">
      <c r="A17" s="16" t="inlineStr">
        <is>
          <t>Andre tilgodehavender</t>
        </is>
      </c>
      <c r="B17" s="17" t="n">
        <v>24761</v>
      </c>
      <c r="C17" s="17" t="n">
        <v>33229</v>
      </c>
      <c r="D17" s="17" t="n">
        <v>11712</v>
      </c>
      <c r="E17" s="17" t="n">
        <v>34400</v>
      </c>
      <c r="F17" s="17" t="n">
        <v>39300</v>
      </c>
    </row>
    <row r="18">
      <c r="A18" s="16" t="inlineStr">
        <is>
          <t>Periodeafgrænsningsposter (aktiver)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Udskudt skatteaktiv</t>
        </is>
      </c>
      <c r="B19" s="17" t="n">
        <v>36556</v>
      </c>
      <c r="C19" s="17" t="n">
        <v>40095</v>
      </c>
      <c r="D19" s="17" t="n">
        <v>41561</v>
      </c>
      <c r="E19" s="17" t="n">
        <v>16800</v>
      </c>
      <c r="F19" s="17" t="n">
        <v>16600</v>
      </c>
    </row>
    <row r="20">
      <c r="A20" s="16" t="inlineStr">
        <is>
          <t>Tilgodehavende skat hos tilknyttede virksomheder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Kortfristede skattetilgodehavender</t>
        </is>
      </c>
      <c r="B21" s="17" t="n">
        <v>3583</v>
      </c>
      <c r="C21" s="17" t="n">
        <v>2261</v>
      </c>
      <c r="D21" s="17" t="n">
        <v>12276</v>
      </c>
      <c r="E21" s="17" t="n">
        <v>500</v>
      </c>
      <c r="F21" s="17" t="n">
        <v>5500</v>
      </c>
    </row>
    <row r="22">
      <c r="A22" s="15" t="inlineStr">
        <is>
          <t>Tilgodehavender</t>
        </is>
      </c>
      <c r="B22" s="17" t="n">
        <v>231588</v>
      </c>
      <c r="C22" s="17" t="n">
        <v>306025</v>
      </c>
      <c r="D22" s="17" t="n">
        <v>313480</v>
      </c>
      <c r="E22" s="17" t="n"/>
      <c r="F22" s="17" t="n"/>
    </row>
    <row r="23">
      <c r="A23" s="16" t="inlineStr">
        <is>
          <t>Værdipapirer</t>
        </is>
      </c>
      <c r="B23" s="17" t="n">
        <v>725</v>
      </c>
      <c r="C23" s="17" t="n">
        <v>774</v>
      </c>
      <c r="D23" s="17" t="n">
        <v>846</v>
      </c>
      <c r="E23" s="17" t="n"/>
      <c r="F23" s="17" t="n"/>
    </row>
    <row r="24">
      <c r="A24" s="16" t="inlineStr">
        <is>
          <t>Likvide beholdninger</t>
        </is>
      </c>
      <c r="B24" s="17" t="n">
        <v>97053</v>
      </c>
      <c r="C24" s="17" t="n">
        <v>31638</v>
      </c>
      <c r="D24" s="17" t="n">
        <v>61553</v>
      </c>
      <c r="E24" s="17" t="n">
        <v>183900</v>
      </c>
      <c r="F24" s="17" t="n">
        <v>111500</v>
      </c>
    </row>
    <row r="25">
      <c r="A25" s="15" t="inlineStr">
        <is>
          <t>Omsætningsaktiver</t>
        </is>
      </c>
      <c r="B25" s="17" t="n">
        <v>564590</v>
      </c>
      <c r="C25" s="17" t="n">
        <v>616193</v>
      </c>
      <c r="D25" s="17" t="n">
        <v>694573</v>
      </c>
      <c r="E25" s="17" t="n">
        <v>812800</v>
      </c>
      <c r="F25" s="17" t="n">
        <v>817300</v>
      </c>
    </row>
    <row r="26">
      <c r="A26" s="15" t="inlineStr">
        <is>
          <t>Aktiver</t>
        </is>
      </c>
      <c r="B26" s="17" t="n">
        <v>1382729</v>
      </c>
      <c r="C26" s="17" t="n">
        <v>1392139</v>
      </c>
      <c r="D26" s="17" t="n">
        <v>1484965</v>
      </c>
      <c r="E26" s="17" t="n">
        <v>1549100</v>
      </c>
      <c r="F26" s="17" t="n">
        <v>1605900</v>
      </c>
    </row>
    <row r="27">
      <c r="A27" s="16" t="inlineStr">
        <is>
          <t>Selskabskapital</t>
        </is>
      </c>
      <c r="B27" s="17" t="n">
        <v>3500</v>
      </c>
      <c r="C27" s="17" t="n">
        <v>3500</v>
      </c>
      <c r="D27" s="17" t="n">
        <v>3500</v>
      </c>
      <c r="E27" s="17" t="n">
        <v>3500</v>
      </c>
      <c r="F27" s="17" t="n">
        <v>3500</v>
      </c>
    </row>
    <row r="28">
      <c r="A28" s="16" t="inlineStr">
        <is>
          <t>Reserve for nettoopskrivning (indre værdis metode)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udviklingsomkostninger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sikringstransaktioner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Andre reserver</t>
        </is>
      </c>
      <c r="B31" s="17" t="n"/>
      <c r="C31" s="17" t="n"/>
      <c r="D31" s="17" t="n"/>
      <c r="E31" s="17" t="n"/>
      <c r="F31" s="17" t="n">
        <v>11800</v>
      </c>
    </row>
    <row r="32">
      <c r="A32" s="16" t="inlineStr">
        <is>
          <t>Overført resultat</t>
        </is>
      </c>
      <c r="B32" s="17" t="n">
        <v>760033</v>
      </c>
      <c r="C32" s="17" t="n">
        <v>833686</v>
      </c>
      <c r="D32" s="17" t="n">
        <v>904692</v>
      </c>
      <c r="E32" s="17" t="n">
        <v>1033400</v>
      </c>
      <c r="F32" s="17" t="n">
        <v>1083100</v>
      </c>
    </row>
    <row r="33">
      <c r="A33" s="15" t="inlineStr">
        <is>
          <t>Egenkapital i alt</t>
        </is>
      </c>
      <c r="B33" s="17" t="n">
        <v>763533</v>
      </c>
      <c r="C33" s="17" t="n">
        <v>837186</v>
      </c>
      <c r="D33" s="17" t="n">
        <v>908192</v>
      </c>
      <c r="E33" s="17" t="n">
        <v>1036900</v>
      </c>
      <c r="F33" s="17" t="n">
        <v>1098400</v>
      </c>
    </row>
    <row r="34">
      <c r="A34" s="16" t="inlineStr">
        <is>
          <t>Hensættelse til udskudt skat</t>
        </is>
      </c>
      <c r="B34" s="17" t="n">
        <v>24445</v>
      </c>
      <c r="C34" s="17" t="n"/>
      <c r="D34" s="17" t="n"/>
      <c r="E34" s="17" t="n"/>
      <c r="F34" s="17" t="n">
        <v>37800</v>
      </c>
    </row>
    <row r="35">
      <c r="A35" s="15" t="inlineStr">
        <is>
          <t>Hensatte forpligtelser</t>
        </is>
      </c>
      <c r="B35" s="17" t="n">
        <v>21447</v>
      </c>
      <c r="C35" s="17" t="n">
        <v>31</v>
      </c>
      <c r="D35" s="17" t="n">
        <v>60338</v>
      </c>
      <c r="E35" s="17" t="n">
        <v>28700</v>
      </c>
      <c r="F35" s="17" t="n">
        <v>61700</v>
      </c>
    </row>
    <row r="36">
      <c r="A36" s="16" t="inlineStr">
        <is>
          <t>Ansvarlig lånekapital (langfristet)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Langfristede lån</t>
        </is>
      </c>
      <c r="B37" s="17" t="n">
        <v>163985</v>
      </c>
      <c r="C37" s="17" t="n">
        <v>155497</v>
      </c>
      <c r="D37" s="17" t="n">
        <v>146860</v>
      </c>
      <c r="E37" s="17" t="n">
        <v>138200</v>
      </c>
      <c r="F37" s="17" t="n">
        <v>129100</v>
      </c>
    </row>
    <row r="38">
      <c r="A38" s="16" t="inlineStr">
        <is>
          <t>Leasingforpligtelser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Anden gæld (langfristet)</t>
        </is>
      </c>
      <c r="B39" s="17" t="n">
        <v>14691</v>
      </c>
      <c r="C39" s="17" t="n">
        <v>14781</v>
      </c>
      <c r="D39" s="17" t="n"/>
      <c r="E39" s="17" t="n"/>
      <c r="F39" s="17" t="n"/>
    </row>
    <row r="40">
      <c r="A40" s="15" t="inlineStr">
        <is>
          <t>Langfristede gældsforpligtelser</t>
        </is>
      </c>
      <c r="B40" s="17" t="n">
        <v>224568</v>
      </c>
      <c r="C40" s="17" t="n">
        <v>219131</v>
      </c>
      <c r="D40" s="17" t="n">
        <v>224361</v>
      </c>
      <c r="E40" s="17" t="n">
        <v>210900</v>
      </c>
      <c r="F40" s="17" t="n">
        <v>195000</v>
      </c>
    </row>
    <row r="41">
      <c r="A41" s="16" t="inlineStr">
        <is>
          <t>Ansvarlig lånekapital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Kortfristet del af langfristede gældsforpligtelser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Kreditinstitutter</t>
        </is>
      </c>
      <c r="B43" s="17" t="n">
        <v>0</v>
      </c>
      <c r="C43" s="17" t="n">
        <v>8488</v>
      </c>
      <c r="D43" s="17" t="n">
        <v>8637</v>
      </c>
      <c r="E43" s="17" t="n">
        <v>8600</v>
      </c>
      <c r="F43" s="17" t="n">
        <v>8900</v>
      </c>
    </row>
    <row r="44">
      <c r="A44" s="16" t="inlineStr">
        <is>
          <t>Leasingforpligtelser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Leverandører af varer og tjenesteydelser</t>
        </is>
      </c>
      <c r="B45" s="17" t="n">
        <v>222734</v>
      </c>
      <c r="C45" s="17" t="n">
        <v>210353</v>
      </c>
      <c r="D45" s="17" t="n">
        <v>199080</v>
      </c>
      <c r="E45" s="17" t="n">
        <v>190500</v>
      </c>
      <c r="F45" s="17" t="n">
        <v>210000</v>
      </c>
    </row>
    <row r="46">
      <c r="A46" s="16" t="inlineStr">
        <is>
          <t>Gæld til tilknyttede virksomheder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</row>
    <row r="47">
      <c r="A47" s="16" t="inlineStr">
        <is>
          <t>Gæld til selskabsdeltagere og ledelse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Selskabsskat</t>
        </is>
      </c>
      <c r="B48" s="17" t="n">
        <v>3037</v>
      </c>
      <c r="C48" s="17" t="n">
        <v>893</v>
      </c>
      <c r="D48" s="17" t="n">
        <v>654</v>
      </c>
      <c r="E48" s="17" t="n">
        <v>9600</v>
      </c>
      <c r="F48" s="17" t="n">
        <v>5100</v>
      </c>
    </row>
    <row r="49">
      <c r="A49" s="16" t="inlineStr">
        <is>
          <t>Gæld til tilknyttede virksomheder vedr. selskabsskat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Anden gæld (kortfristet)</t>
        </is>
      </c>
      <c r="B50" s="17" t="n">
        <v>153604</v>
      </c>
      <c r="C50" s="17" t="n">
        <v>101918</v>
      </c>
      <c r="D50" s="17" t="n">
        <v>100514</v>
      </c>
      <c r="E50" s="17" t="n">
        <v>81500</v>
      </c>
      <c r="F50" s="17" t="n">
        <v>77300</v>
      </c>
    </row>
    <row r="51">
      <c r="A51" s="16" t="inlineStr">
        <is>
          <t>Periodeafgrænsningsposter (passiver)</t>
        </is>
      </c>
      <c r="B51" s="17" t="n"/>
      <c r="C51" s="17" t="n"/>
      <c r="D51" s="17" t="n"/>
      <c r="E51" s="17" t="n"/>
      <c r="F51" s="17" t="n"/>
    </row>
    <row r="52">
      <c r="A52" s="15" t="inlineStr">
        <is>
          <t>Kortfristede gældsforpligtelser</t>
        </is>
      </c>
      <c r="B52" s="17" t="n">
        <v>394628</v>
      </c>
      <c r="C52" s="17" t="n">
        <v>335822</v>
      </c>
      <c r="D52" s="17" t="n">
        <v>352412</v>
      </c>
      <c r="E52" s="17" t="n">
        <v>301300</v>
      </c>
      <c r="F52" s="17" t="n">
        <v>312500</v>
      </c>
    </row>
    <row r="53">
      <c r="A53" s="15" t="inlineStr">
        <is>
          <t>Gældsforpligtelser</t>
        </is>
      </c>
      <c r="B53" s="17" t="n">
        <v>619196</v>
      </c>
      <c r="C53" s="17" t="n">
        <v>554953</v>
      </c>
      <c r="D53" s="17" t="n">
        <v>576773</v>
      </c>
      <c r="E53" s="17" t="n">
        <v>512200</v>
      </c>
      <c r="F53" s="17" t="n">
        <v>507500</v>
      </c>
    </row>
    <row r="54">
      <c r="A54" s="15" t="inlineStr">
        <is>
          <t>Passiver</t>
        </is>
      </c>
      <c r="B54" s="17" t="n">
        <v>1382729</v>
      </c>
      <c r="C54" s="17" t="n">
        <v>1392139</v>
      </c>
      <c r="D54" s="17" t="n">
        <v>1484965</v>
      </c>
      <c r="E54" s="17" t="n">
        <v>1549100</v>
      </c>
      <c r="F54" s="17" t="n">
        <v>1605900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Toms Gruppen A/S (CVR 56759328)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204566</v>
      </c>
      <c r="C2" s="17" t="n">
        <v>8925</v>
      </c>
      <c r="D2" s="17" t="n">
        <v>90420</v>
      </c>
      <c r="E2" s="17" t="n">
        <v>95100</v>
      </c>
      <c r="F2" s="17" t="n">
        <v>62900</v>
      </c>
    </row>
    <row r="3">
      <c r="A3" s="16" t="inlineStr">
        <is>
          <t>Pengestrømme fra investeringsaktivitet</t>
        </is>
      </c>
      <c r="B3" s="17" t="n">
        <v>-49693</v>
      </c>
      <c r="C3" s="17" t="n">
        <v>-48413</v>
      </c>
      <c r="D3" s="17" t="n">
        <v>-44375</v>
      </c>
      <c r="E3" s="17" t="n">
        <v>53400</v>
      </c>
      <c r="F3" s="17" t="n">
        <v>-130700</v>
      </c>
    </row>
    <row r="4">
      <c r="A4" s="16" t="inlineStr">
        <is>
          <t>Pengestrømme fra finansieringsaktivitet</t>
        </is>
      </c>
      <c r="B4" s="17" t="n">
        <v>-63842</v>
      </c>
      <c r="C4" s="17" t="n">
        <v>-16828</v>
      </c>
      <c r="D4" s="17" t="n">
        <v>-17185</v>
      </c>
      <c r="E4" s="17" t="n">
        <v>-20100</v>
      </c>
      <c r="F4" s="17" t="n">
        <v>-11300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Toms Gruppen A/S (CVR 56759328) — Regnskabs- og nøgletal (CVR: 56759328)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'res_raw_56759328'!$F$2</f>
        <v/>
      </c>
      <c r="C5" s="24">
        <f>'res_raw_56759328'!$E$2</f>
        <v/>
      </c>
      <c r="D5" s="24">
        <f>'res_raw_56759328'!$D$2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-'res_raw_56759328'!$F$3</f>
        <v/>
      </c>
      <c r="C6" s="24">
        <f>-'res_raw_56759328'!$E$3</f>
        <v/>
      </c>
      <c r="D6" s="24">
        <f>-'res_raw_56759328'!$D$3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-'res_raw_56759328'!$F$5</f>
        <v/>
      </c>
      <c r="C8" s="24">
        <f>-'res_raw_56759328'!$E$5</f>
        <v/>
      </c>
      <c r="D8" s="24">
        <f>-'res_raw_56759328'!$D$5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-'res_raw_56759328'!$F$6</f>
        <v/>
      </c>
      <c r="C9" s="24">
        <f>-'res_raw_56759328'!$E$6</f>
        <v/>
      </c>
      <c r="D9" s="24">
        <f>-'res_raw_56759328'!$D$6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'res_raw_56759328'!$F$7</f>
        <v/>
      </c>
      <c r="C10" s="24">
        <f>'res_raw_56759328'!$E$7</f>
        <v/>
      </c>
      <c r="D10" s="24">
        <f>'res_raw_56759328'!$D$7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-'res_raw_56759328'!$F$8</f>
        <v/>
      </c>
      <c r="C11" s="24">
        <f>-'res_raw_56759328'!$E$8</f>
        <v/>
      </c>
      <c r="D11" s="24">
        <f>-'res_raw_56759328'!$D$8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N('res_raw_56759328'!$F$10)+N('res_raw_56759328'!$F$11)</f>
        <v/>
      </c>
      <c r="C13" s="24">
        <f>N('res_raw_56759328'!$E$10)+N('res_raw_56759328'!$E$11)</f>
        <v/>
      </c>
      <c r="D13" s="24">
        <f>N('res_raw_56759328'!$D$10)+N('res_raw_56759328'!$D$11)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-'res_raw_56759328'!$F$12</f>
        <v/>
      </c>
      <c r="C14" s="24">
        <f>-'res_raw_56759328'!$E$12</f>
        <v/>
      </c>
      <c r="D14" s="24">
        <f>-'res_raw_56759328'!$D$12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'balance_raw_56759328'!$F$13</f>
        <v/>
      </c>
      <c r="C18" s="24">
        <f>'balance_raw_56759328'!$E$13</f>
        <v/>
      </c>
      <c r="D18" s="24">
        <f>'balance_raw_56759328'!$D$13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'balance_raw_56759328'!$F$25</f>
        <v/>
      </c>
      <c r="C19" s="24">
        <f>'balance_raw_56759328'!$E$25</f>
        <v/>
      </c>
      <c r="D19" s="24">
        <f>'balance_raw_56759328'!$D$25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'balance_raw_56759328'!$F$33</f>
        <v/>
      </c>
      <c r="C22" s="24">
        <f>'balance_raw_56759328'!$E$33</f>
        <v/>
      </c>
      <c r="D22" s="24">
        <f>'balance_raw_56759328'!$D$33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'balance_raw_56759328'!$F$54-'balance_raw_56759328'!$F$33</f>
        <v/>
      </c>
      <c r="C23" s="24">
        <f>'balance_raw_56759328'!$E$54-'balance_raw_56759328'!$E$33</f>
        <v/>
      </c>
      <c r="D23" s="24">
        <f>'balance_raw_56759328'!$D$54-'balance_raw_56759328'!$D$33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'balance_raw_56759328'!$F$14</f>
        <v/>
      </c>
      <c r="C27" s="24">
        <f>'balance_raw_56759328'!$E$14</f>
        <v/>
      </c>
      <c r="D27" s="24">
        <f>'balance_raw_56759328'!$D$14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'balance_raw_56759328'!$F$15</f>
        <v/>
      </c>
      <c r="C28" s="24">
        <f>'balance_raw_56759328'!$E$15</f>
        <v/>
      </c>
      <c r="D28" s="24">
        <f>'balance_raw_56759328'!$D$15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'balance_raw_56759328'!$F$52</f>
        <v/>
      </c>
      <c r="C29" s="24">
        <f>'balance_raw_56759328'!$E$52</f>
        <v/>
      </c>
      <c r="D29" s="24">
        <f>'balance_raw_56759328'!$D$52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IF('balance_raw_56759328'!$F$26="","—",IF(ABS(B20-'balance_raw_56759328'!$F$26)&lt;=1,"✓ OK","❌ "&amp;TEXT(B20-'balance_raw_56759328'!$F$26,"+#,##0;-#,##0")&amp;" t.kr."))</f>
        <v/>
      </c>
      <c r="C60" s="29">
        <f>IF('balance_raw_56759328'!$E$26="","—",IF(ABS(C20-'balance_raw_56759328'!$E$26)&lt;=1,"✓ OK","❌ "&amp;TEXT(C20-'balance_raw_56759328'!$E$26,"+#,##0;-#,##0")&amp;" t.kr."))</f>
        <v/>
      </c>
      <c r="D60" s="29">
        <f>IF('balance_raw_56759328'!$D$26="","—",IF(ABS(D20-'balance_raw_56759328'!$D$26)&lt;=1,"✓ OK","❌ "&amp;TEXT(D20-'balance_raw_56759328'!$D$26,"+#,##0;-#,##0")&amp;"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IF('balance_raw_56759328'!$F$54="","—",IF(ABS(B24-'balance_raw_56759328'!$F$54)&lt;=1,"✓ OK","❌ "&amp;TEXT(B24-'balance_raw_56759328'!$F$54,"+#,##0;-#,##0")&amp;" t.kr."))</f>
        <v/>
      </c>
      <c r="C61" s="29">
        <f>IF('balance_raw_56759328'!$E$54="","—",IF(ABS(C24-'balance_raw_56759328'!$E$54)&lt;=1,"✓ OK","❌ "&amp;TEXT(C24-'balance_raw_56759328'!$E$54,"+#,##0;-#,##0")&amp;" t.kr."))</f>
        <v/>
      </c>
      <c r="D61" s="29">
        <f>IF('balance_raw_56759328'!$D$54="","—",IF(ABS(D24-'balance_raw_56759328'!$D$54)&lt;=1,"✓ OK","❌ "&amp;TEXT(D24-'balance_raw_56759328'!$D$54,"+#,##0;-#,##0")&amp;"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IF('res_raw_56759328'!$F$4="","—",IF(ABS(B7-'res_raw_56759328'!$F$4)&lt;=1,"✓ OK","❌ "&amp;TEXT(B7-'res_raw_56759328'!$F$4,"+#,##0;-#,##0")&amp;" t.kr."))</f>
        <v/>
      </c>
      <c r="C63" s="29">
        <f>IF('res_raw_56759328'!$E$4="","—",IF(ABS(C7-'res_raw_56759328'!$E$4)&lt;=1,"✓ OK","❌ "&amp;TEXT(C7-'res_raw_56759328'!$E$4,"+#,##0;-#,##0")&amp;" t.kr."))</f>
        <v/>
      </c>
      <c r="D63" s="29">
        <f>IF('res_raw_56759328'!$D$4="","—",IF(ABS(D7-'res_raw_56759328'!$D$4)&lt;=1,"✓ OK","❌ "&amp;TEXT(D7-'res_raw_56759328'!$D$4,"+#,##0;-#,##0")&amp;"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IF('res_raw_56759328'!$F$9="","—",IF(ABS(B12-'res_raw_56759328'!$F$9)&lt;=1,"✓ OK","❌ "&amp;TEXT(B12-'res_raw_56759328'!$F$9,"+#,##0;-#,##0")&amp;" t.kr."))</f>
        <v/>
      </c>
      <c r="C64" s="29">
        <f>IF('res_raw_56759328'!$E$9="","—",IF(ABS(C12-'res_raw_56759328'!$E$9)&lt;=1,"✓ OK","❌ "&amp;TEXT(C12-'res_raw_56759328'!$E$9,"+#,##0;-#,##0")&amp;" t.kr."))</f>
        <v/>
      </c>
      <c r="D64" s="29">
        <f>IF('res_raw_56759328'!$D$9="","—",IF(ABS(D12-'res_raw_56759328'!$D$9)&lt;=1,"✓ OK","❌ "&amp;TEXT(D12-'res_raw_56759328'!$D$9,"+#,##0;-#,##0")&amp;"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IF('res_raw_56759328'!$F$14="","—",IF(ABS(B15-'res_raw_56759328'!$F$14)&lt;=1,"✓ OK","❌ "&amp;TEXT(B15-'res_raw_56759328'!$F$14,"+#,##0;-#,##0")&amp;" t.kr."))</f>
        <v/>
      </c>
      <c r="C65" s="29">
        <f>IF('res_raw_56759328'!$E$14="","—",IF(ABS(C15-'res_raw_56759328'!$E$14)&lt;=1,"✓ OK","❌ "&amp;TEXT(C15-'res_raw_56759328'!$E$14,"+#,##0;-#,##0")&amp;" t.kr."))</f>
        <v/>
      </c>
      <c r="D65" s="29">
        <f>IF('res_raw_56759328'!$D$14="","—",IF(ABS(D15-'res_raw_56759328'!$D$14)&lt;=1,"✓ OK","❌ "&amp;TEXT(D15-'res_raw_56759328'!$D$14,"+#,##0;-#,##0")&amp;"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Toms Gruppen A/S (CVR 56759328)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fsa:AdjustmentsOfCollateralsBySaleOfInvestments</t>
        </is>
      </c>
      <c r="C3" s="34" t="inlineStr">
        <is>
          <t>fsa:AdjustmentsOfCollateralsBySaleOfInvestments</t>
        </is>
      </c>
      <c r="D3" s="35" t="n">
        <v>256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fsa:CashFlowsStatement</t>
        </is>
      </c>
      <c r="C4" s="37" t="inlineStr">
        <is>
          <t>fsa:CashFlowsStatement</t>
        </is>
      </c>
      <c r="D4" s="38" t="n">
        <v>2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fsa:DepreciationOfEquity</t>
        </is>
      </c>
      <c r="C5" s="34" t="inlineStr">
        <is>
          <t>fsa:DepreciationOfEquity</t>
        </is>
      </c>
      <c r="D5" s="35" t="n"/>
      <c r="E5" s="35" t="n"/>
      <c r="F5" s="35" t="n"/>
      <c r="G5" s="35" t="n"/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fsa:Dividend</t>
        </is>
      </c>
      <c r="C6" s="37" t="inlineStr">
        <is>
          <t>fsa:Dividend</t>
        </is>
      </c>
      <c r="D6" s="38" t="n"/>
      <c r="E6" s="38" t="n">
        <v>-71969</v>
      </c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fsa:ImpairmentLossesAndDepreciationOfActuarialGainsLossesStatementOfChangesInEquity</t>
        </is>
      </c>
      <c r="C7" s="34" t="inlineStr">
        <is>
          <t>fsa:ImpairmentLossesAndDepreciationOfActuarialGainsLossesStatementOfChangesInEquity</t>
        </is>
      </c>
      <c r="D7" s="35" t="n"/>
      <c r="E7" s="35" t="n"/>
      <c r="F7" s="35" t="n"/>
      <c r="G7" s="35" t="n"/>
      <c r="H7" s="35" t="n">
        <v>2000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fsa:LongtermDeferredIncome</t>
        </is>
      </c>
      <c r="C8" s="37" t="inlineStr">
        <is>
          <t>fsa:LongtermDeferredIncome</t>
        </is>
      </c>
      <c r="D8" s="38" t="n"/>
      <c r="E8" s="38" t="n">
        <v>32182</v>
      </c>
      <c r="F8" s="38" t="n">
        <v>43431</v>
      </c>
      <c r="G8" s="38" t="n">
        <v>39100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fsa:ProvisionsForInvestmentsInGroupEnterprises</t>
        </is>
      </c>
      <c r="C9" s="34" t="inlineStr">
        <is>
          <t>fsa:ProvisionsForInvestmentsInGroupEnterprises</t>
        </is>
      </c>
      <c r="D9" s="35" t="n">
        <v>6911</v>
      </c>
      <c r="E9" s="35" t="n"/>
      <c r="F9" s="35" t="n"/>
      <c r="G9" s="35" t="n"/>
      <c r="H9" s="35" t="n"/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2026-09-09T19:23:41Z</dcterms:created>
  <dcterms:modified xmlns:dcterms="http://purl.org/dc/terms/" xmlns:xsi="http://www.w3.org/2001/XMLSchema-instance" xsi:type="dcterms:W3CDTF">2026-09-09T19:23:41Z</dcterms:modified>
</cp:coreProperties>
</file>