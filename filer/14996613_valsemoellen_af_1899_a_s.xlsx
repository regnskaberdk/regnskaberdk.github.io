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996613" sheetId="1" state="visible" r:id="rId1"/>
    <sheet xmlns:r="http://schemas.openxmlformats.org/officeDocument/2006/relationships" name="res_raw_14996613" sheetId="2" state="visible" r:id="rId2"/>
    <sheet xmlns:r="http://schemas.openxmlformats.org/officeDocument/2006/relationships" name="balance_raw_14996613" sheetId="3" state="visible" r:id="rId3"/>
    <sheet xmlns:r="http://schemas.openxmlformats.org/officeDocument/2006/relationships" name="pengestrom_raw_14996613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Valsemøllen af 1899 A/S (CVR 14996613)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'res_raw_14996613'!$B$2</f>
        <v/>
      </c>
      <c r="C4" s="5">
        <f>'res_raw_14996613'!$C$2</f>
        <v/>
      </c>
      <c r="D4" s="5">
        <f>'res_raw_14996613'!$D$2</f>
        <v/>
      </c>
      <c r="E4" s="5">
        <f>'res_raw_14996613'!$E$2</f>
        <v/>
      </c>
      <c r="F4" s="5">
        <f>'res_raw_14996613'!$F$2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'res_raw_14996613'!$B$3</f>
        <v/>
      </c>
      <c r="C5" s="8">
        <f>'res_raw_14996613'!$C$3</f>
        <v/>
      </c>
      <c r="D5" s="8">
        <f>'res_raw_14996613'!$D$3</f>
        <v/>
      </c>
      <c r="E5" s="8">
        <f>'res_raw_14996613'!$E$3</f>
        <v/>
      </c>
      <c r="F5" s="8">
        <f>'res_raw_14996613'!$F$3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'res_raw_14996613'!$B$4</f>
        <v/>
      </c>
      <c r="C6" s="5">
        <f>'res_raw_14996613'!$C$4</f>
        <v/>
      </c>
      <c r="D6" s="5">
        <f>'res_raw_14996613'!$D$4</f>
        <v/>
      </c>
      <c r="E6" s="5">
        <f>'res_raw_14996613'!$E$4</f>
        <v/>
      </c>
      <c r="F6" s="5">
        <f>'res_raw_14996613'!$F$4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'res_raw_14996613'!$B$5</f>
        <v/>
      </c>
      <c r="C7" s="8">
        <f>'res_raw_14996613'!$C$5</f>
        <v/>
      </c>
      <c r="D7" s="8">
        <f>'res_raw_14996613'!$D$5</f>
        <v/>
      </c>
      <c r="E7" s="8">
        <f>'res_raw_14996613'!$E$5</f>
        <v/>
      </c>
      <c r="F7" s="8">
        <f>'res_raw_14996613'!$F$5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'res_raw_14996613'!$B$6</f>
        <v/>
      </c>
      <c r="C8" s="11">
        <f>'res_raw_14996613'!$C$6</f>
        <v/>
      </c>
      <c r="D8" s="11">
        <f>'res_raw_14996613'!$D$6</f>
        <v/>
      </c>
      <c r="E8" s="11">
        <f>'res_raw_14996613'!$E$6</f>
        <v/>
      </c>
      <c r="F8" s="11">
        <f>'res_raw_14996613'!$F$6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'res_raw_14996613'!$B$7</f>
        <v/>
      </c>
      <c r="C9" s="8">
        <f>'res_raw_14996613'!$C$7</f>
        <v/>
      </c>
      <c r="D9" s="8">
        <f>'res_raw_14996613'!$D$7</f>
        <v/>
      </c>
      <c r="E9" s="8">
        <f>'res_raw_14996613'!$E$7</f>
        <v/>
      </c>
      <c r="F9" s="8">
        <f>'res_raw_14996613'!$F$7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'res_raw_14996613'!$B$9</f>
        <v/>
      </c>
      <c r="C11" s="8">
        <f>'res_raw_14996613'!$C$9</f>
        <v/>
      </c>
      <c r="D11" s="8">
        <f>'res_raw_14996613'!$D$9</f>
        <v/>
      </c>
      <c r="E11" s="8">
        <f>'res_raw_14996613'!$E$9</f>
        <v/>
      </c>
      <c r="F11" s="8">
        <f>'res_raw_14996613'!$F$9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'res_raw_14996613'!$B$10</f>
        <v/>
      </c>
      <c r="C12" s="5">
        <f>'res_raw_14996613'!$C$10</f>
        <v/>
      </c>
      <c r="D12" s="5">
        <f>'res_raw_14996613'!$D$10</f>
        <v/>
      </c>
      <c r="E12" s="5">
        <f>'res_raw_14996613'!$E$10</f>
        <v/>
      </c>
      <c r="F12" s="5">
        <f>'res_raw_14996613'!$F$10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'res_raw_14996613'!$B$11</f>
        <v/>
      </c>
      <c r="C13" s="11">
        <f>'res_raw_14996613'!$C$11</f>
        <v/>
      </c>
      <c r="D13" s="11">
        <f>'res_raw_14996613'!$D$11</f>
        <v/>
      </c>
      <c r="E13" s="11">
        <f>'res_raw_14996613'!$E$11</f>
        <v/>
      </c>
      <c r="F13" s="11">
        <f>'res_raw_14996613'!$F$11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'res_raw_14996613'!$B$12</f>
        <v/>
      </c>
      <c r="C14" s="5">
        <f>'res_raw_14996613'!$C$12</f>
        <v/>
      </c>
      <c r="D14" s="5">
        <f>'res_raw_14996613'!$D$12</f>
        <v/>
      </c>
      <c r="E14" s="5">
        <f>'res_raw_14996613'!$E$12</f>
        <v/>
      </c>
      <c r="F14" s="5">
        <f>'res_raw_14996613'!$F$12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'res_raw_14996613'!$B$13</f>
        <v/>
      </c>
      <c r="C15" s="8">
        <f>'res_raw_14996613'!$C$13</f>
        <v/>
      </c>
      <c r="D15" s="8">
        <f>'res_raw_14996613'!$D$13</f>
        <v/>
      </c>
      <c r="E15" s="8">
        <f>'res_raw_14996613'!$E$13</f>
        <v/>
      </c>
      <c r="F15" s="8">
        <f>'res_raw_14996613'!$F$13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'res_raw_14996613'!$B$14</f>
        <v/>
      </c>
      <c r="C16" s="5">
        <f>'res_raw_14996613'!$C$14</f>
        <v/>
      </c>
      <c r="D16" s="5">
        <f>'res_raw_14996613'!$D$14</f>
        <v/>
      </c>
      <c r="E16" s="5">
        <f>'res_raw_14996613'!$E$14</f>
        <v/>
      </c>
      <c r="F16" s="5">
        <f>'res_raw_14996613'!$F$14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'res_raw_14996613'!$B$15</f>
        <v/>
      </c>
      <c r="C17" s="11">
        <f>'res_raw_14996613'!$C$15</f>
        <v/>
      </c>
      <c r="D17" s="11">
        <f>'res_raw_14996613'!$D$15</f>
        <v/>
      </c>
      <c r="E17" s="11">
        <f>'res_raw_14996613'!$E$15</f>
        <v/>
      </c>
      <c r="F17" s="11">
        <f>'res_raw_14996613'!$F$15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'res_raw_14996613'!$B$16</f>
        <v/>
      </c>
      <c r="C18" s="11">
        <f>'res_raw_14996613'!$C$16</f>
        <v/>
      </c>
      <c r="D18" s="11">
        <f>'res_raw_14996613'!$D$16</f>
        <v/>
      </c>
      <c r="E18" s="11">
        <f>'res_raw_14996613'!$E$16</f>
        <v/>
      </c>
      <c r="F18" s="11">
        <f>'res_raw_14996613'!$F$16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'res_raw_14996613'!$B$17</f>
        <v/>
      </c>
      <c r="C19" s="8">
        <f>'res_raw_14996613'!$C$17</f>
        <v/>
      </c>
      <c r="D19" s="8">
        <f>'res_raw_14996613'!$D$17</f>
        <v/>
      </c>
      <c r="E19" s="8">
        <f>'res_raw_14996613'!$E$17</f>
        <v/>
      </c>
      <c r="F19" s="8">
        <f>'res_raw_14996613'!$F$17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'res_raw_14996613'!$B$18</f>
        <v/>
      </c>
      <c r="C20" s="11">
        <f>'res_raw_14996613'!$C$18</f>
        <v/>
      </c>
      <c r="D20" s="11">
        <f>'res_raw_14996613'!$D$18</f>
        <v/>
      </c>
      <c r="E20" s="11">
        <f>'res_raw_14996613'!$E$18</f>
        <v/>
      </c>
      <c r="F20" s="11">
        <f>'res_raw_14996613'!$F$18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'balance_raw_14996613'!$B$2</f>
        <v/>
      </c>
      <c r="C23" s="8">
        <f>'balance_raw_14996613'!$C$2</f>
        <v/>
      </c>
      <c r="D23" s="8">
        <f>'balance_raw_14996613'!$D$2</f>
        <v/>
      </c>
      <c r="E23" s="8">
        <f>'balance_raw_14996613'!$E$2</f>
        <v/>
      </c>
      <c r="F23" s="8">
        <f>'balance_raw_14996613'!$F$2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'balance_raw_14996613'!$B$3</f>
        <v/>
      </c>
      <c r="C24" s="5">
        <f>'balance_raw_14996613'!$C$3</f>
        <v/>
      </c>
      <c r="D24" s="5">
        <f>'balance_raw_14996613'!$D$3</f>
        <v/>
      </c>
      <c r="E24" s="5">
        <f>'balance_raw_14996613'!$E$3</f>
        <v/>
      </c>
      <c r="F24" s="5">
        <f>'balance_raw_14996613'!$F$3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'balance_raw_14996613'!$B$4</f>
        <v/>
      </c>
      <c r="C25" s="8">
        <f>'balance_raw_14996613'!$C$4</f>
        <v/>
      </c>
      <c r="D25" s="8">
        <f>'balance_raw_14996613'!$D$4</f>
        <v/>
      </c>
      <c r="E25" s="8">
        <f>'balance_raw_14996613'!$E$4</f>
        <v/>
      </c>
      <c r="F25" s="8">
        <f>'balance_raw_14996613'!$F$4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'balance_raw_14996613'!$B$5</f>
        <v/>
      </c>
      <c r="C26" s="5">
        <f>'balance_raw_14996613'!$C$5</f>
        <v/>
      </c>
      <c r="D26" s="5">
        <f>'balance_raw_14996613'!$D$5</f>
        <v/>
      </c>
      <c r="E26" s="5">
        <f>'balance_raw_14996613'!$E$5</f>
        <v/>
      </c>
      <c r="F26" s="5">
        <f>'balance_raw_14996613'!$F$5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'balance_raw_14996613'!$B$6</f>
        <v/>
      </c>
      <c r="C27" s="8">
        <f>'balance_raw_14996613'!$C$6</f>
        <v/>
      </c>
      <c r="D27" s="8">
        <f>'balance_raw_14996613'!$D$6</f>
        <v/>
      </c>
      <c r="E27" s="8">
        <f>'balance_raw_14996613'!$E$6</f>
        <v/>
      </c>
      <c r="F27" s="8">
        <f>'balance_raw_14996613'!$F$6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'balance_raw_14996613'!$B$7</f>
        <v/>
      </c>
      <c r="C28" s="11">
        <f>'balance_raw_14996613'!$C$7</f>
        <v/>
      </c>
      <c r="D28" s="11">
        <f>'balance_raw_14996613'!$D$7</f>
        <v/>
      </c>
      <c r="E28" s="11">
        <f>'balance_raw_14996613'!$E$7</f>
        <v/>
      </c>
      <c r="F28" s="11">
        <f>'balance_raw_14996613'!$F$7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'balance_raw_14996613'!$B$8</f>
        <v/>
      </c>
      <c r="C29" s="8">
        <f>'balance_raw_14996613'!$C$8</f>
        <v/>
      </c>
      <c r="D29" s="8">
        <f>'balance_raw_14996613'!$D$8</f>
        <v/>
      </c>
      <c r="E29" s="8">
        <f>'balance_raw_14996613'!$E$8</f>
        <v/>
      </c>
      <c r="F29" s="8">
        <f>'balance_raw_14996613'!$F$8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'balance_raw_14996613'!$B$9</f>
        <v/>
      </c>
      <c r="C30" s="5">
        <f>'balance_raw_14996613'!$C$9</f>
        <v/>
      </c>
      <c r="D30" s="5">
        <f>'balance_raw_14996613'!$D$9</f>
        <v/>
      </c>
      <c r="E30" s="5">
        <f>'balance_raw_14996613'!$E$9</f>
        <v/>
      </c>
      <c r="F30" s="5">
        <f>'balance_raw_14996613'!$F$9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'balance_raw_14996613'!$B$10</f>
        <v/>
      </c>
      <c r="C31" s="11">
        <f>'balance_raw_14996613'!$C$10</f>
        <v/>
      </c>
      <c r="D31" s="11">
        <f>'balance_raw_14996613'!$D$10</f>
        <v/>
      </c>
      <c r="E31" s="11">
        <f>'balance_raw_14996613'!$E$10</f>
        <v/>
      </c>
      <c r="F31" s="11">
        <f>'balance_raw_14996613'!$F$10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'balance_raw_14996613'!$B$11</f>
        <v/>
      </c>
      <c r="C32" s="11">
        <f>'balance_raw_14996613'!$C$11</f>
        <v/>
      </c>
      <c r="D32" s="11">
        <f>'balance_raw_14996613'!$D$11</f>
        <v/>
      </c>
      <c r="E32" s="11">
        <f>'balance_raw_14996613'!$E$11</f>
        <v/>
      </c>
      <c r="F32" s="11">
        <f>'balance_raw_14996613'!$F$11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'balance_raw_14996613'!$B$12</f>
        <v/>
      </c>
      <c r="C33" s="8">
        <f>'balance_raw_14996613'!$C$12</f>
        <v/>
      </c>
      <c r="D33" s="8">
        <f>'balance_raw_14996613'!$D$12</f>
        <v/>
      </c>
      <c r="E33" s="8">
        <f>'balance_raw_14996613'!$E$12</f>
        <v/>
      </c>
      <c r="F33" s="8">
        <f>'balance_raw_14996613'!$F$12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'balance_raw_14996613'!$B$13</f>
        <v/>
      </c>
      <c r="C34" s="5">
        <f>'balance_raw_14996613'!$C$13</f>
        <v/>
      </c>
      <c r="D34" s="5">
        <f>'balance_raw_14996613'!$D$13</f>
        <v/>
      </c>
      <c r="E34" s="5">
        <f>'balance_raw_14996613'!$E$13</f>
        <v/>
      </c>
      <c r="F34" s="5">
        <f>'balance_raw_14996613'!$F$13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'balance_raw_14996613'!$B$14</f>
        <v/>
      </c>
      <c r="C35" s="8">
        <f>'balance_raw_14996613'!$C$14</f>
        <v/>
      </c>
      <c r="D35" s="8">
        <f>'balance_raw_14996613'!$D$14</f>
        <v/>
      </c>
      <c r="E35" s="8">
        <f>'balance_raw_14996613'!$E$14</f>
        <v/>
      </c>
      <c r="F35" s="8">
        <f>'balance_raw_14996613'!$F$14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'balance_raw_14996613'!$B$15</f>
        <v/>
      </c>
      <c r="C36" s="11">
        <f>'balance_raw_14996613'!$C$15</f>
        <v/>
      </c>
      <c r="D36" s="11">
        <f>'balance_raw_14996613'!$D$15</f>
        <v/>
      </c>
      <c r="E36" s="11">
        <f>'balance_raw_14996613'!$E$15</f>
        <v/>
      </c>
      <c r="F36" s="11">
        <f>'balance_raw_14996613'!$F$15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'balance_raw_14996613'!$B$16</f>
        <v/>
      </c>
      <c r="C37" s="8">
        <f>'balance_raw_14996613'!$C$16</f>
        <v/>
      </c>
      <c r="D37" s="8">
        <f>'balance_raw_14996613'!$D$16</f>
        <v/>
      </c>
      <c r="E37" s="8">
        <f>'balance_raw_14996613'!$E$16</f>
        <v/>
      </c>
      <c r="F37" s="8">
        <f>'balance_raw_14996613'!$F$16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'balance_raw_14996613'!$B$17</f>
        <v/>
      </c>
      <c r="C38" s="5">
        <f>'balance_raw_14996613'!$C$17</f>
        <v/>
      </c>
      <c r="D38" s="5">
        <f>'balance_raw_14996613'!$D$17</f>
        <v/>
      </c>
      <c r="E38" s="5">
        <f>'balance_raw_14996613'!$E$17</f>
        <v/>
      </c>
      <c r="F38" s="5">
        <f>'balance_raw_14996613'!$F$17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'balance_raw_14996613'!$B$18</f>
        <v/>
      </c>
      <c r="C39" s="8">
        <f>'balance_raw_14996613'!$C$18</f>
        <v/>
      </c>
      <c r="D39" s="8">
        <f>'balance_raw_14996613'!$D$18</f>
        <v/>
      </c>
      <c r="E39" s="8">
        <f>'balance_raw_14996613'!$E$18</f>
        <v/>
      </c>
      <c r="F39" s="8">
        <f>'balance_raw_14996613'!$F$18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'balance_raw_14996613'!$B$19</f>
        <v/>
      </c>
      <c r="C40" s="5">
        <f>'balance_raw_14996613'!$C$19</f>
        <v/>
      </c>
      <c r="D40" s="5">
        <f>'balance_raw_14996613'!$D$19</f>
        <v/>
      </c>
      <c r="E40" s="5">
        <f>'balance_raw_14996613'!$E$19</f>
        <v/>
      </c>
      <c r="F40" s="5">
        <f>'balance_raw_14996613'!$F$19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'balance_raw_14996613'!$B$20</f>
        <v/>
      </c>
      <c r="C41" s="8">
        <f>'balance_raw_14996613'!$C$20</f>
        <v/>
      </c>
      <c r="D41" s="8">
        <f>'balance_raw_14996613'!$D$20</f>
        <v/>
      </c>
      <c r="E41" s="8">
        <f>'balance_raw_14996613'!$E$20</f>
        <v/>
      </c>
      <c r="F41" s="8">
        <f>'balance_raw_14996613'!$F$20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'balance_raw_14996613'!$B$21</f>
        <v/>
      </c>
      <c r="C42" s="5">
        <f>'balance_raw_14996613'!$C$21</f>
        <v/>
      </c>
      <c r="D42" s="5">
        <f>'balance_raw_14996613'!$D$21</f>
        <v/>
      </c>
      <c r="E42" s="5">
        <f>'balance_raw_14996613'!$E$21</f>
        <v/>
      </c>
      <c r="F42" s="5">
        <f>'balance_raw_14996613'!$F$21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'balance_raw_14996613'!$B$22</f>
        <v/>
      </c>
      <c r="C43" s="8">
        <f>'balance_raw_14996613'!$C$22</f>
        <v/>
      </c>
      <c r="D43" s="8">
        <f>'balance_raw_14996613'!$D$22</f>
        <v/>
      </c>
      <c r="E43" s="8">
        <f>'balance_raw_14996613'!$E$22</f>
        <v/>
      </c>
      <c r="F43" s="8">
        <f>'balance_raw_14996613'!$F$22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'balance_raw_14996613'!$B$23</f>
        <v/>
      </c>
      <c r="C44" s="11">
        <f>'balance_raw_14996613'!$C$23</f>
        <v/>
      </c>
      <c r="D44" s="11">
        <f>'balance_raw_14996613'!$D$23</f>
        <v/>
      </c>
      <c r="E44" s="11">
        <f>'balance_raw_14996613'!$E$23</f>
        <v/>
      </c>
      <c r="F44" s="11">
        <f>'balance_raw_14996613'!$F$23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'balance_raw_14996613'!$B$24</f>
        <v/>
      </c>
      <c r="C45" s="8">
        <f>'balance_raw_14996613'!$C$24</f>
        <v/>
      </c>
      <c r="D45" s="8">
        <f>'balance_raw_14996613'!$D$24</f>
        <v/>
      </c>
      <c r="E45" s="8">
        <f>'balance_raw_14996613'!$E$24</f>
        <v/>
      </c>
      <c r="F45" s="8">
        <f>'balance_raw_14996613'!$F$24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'balance_raw_14996613'!$B$25</f>
        <v/>
      </c>
      <c r="C46" s="5">
        <f>'balance_raw_14996613'!$C$25</f>
        <v/>
      </c>
      <c r="D46" s="5">
        <f>'balance_raw_14996613'!$D$25</f>
        <v/>
      </c>
      <c r="E46" s="5">
        <f>'balance_raw_14996613'!$E$25</f>
        <v/>
      </c>
      <c r="F46" s="5">
        <f>'balance_raw_14996613'!$F$25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'balance_raw_14996613'!$B$26</f>
        <v/>
      </c>
      <c r="C47" s="11">
        <f>'balance_raw_14996613'!$C$26</f>
        <v/>
      </c>
      <c r="D47" s="11">
        <f>'balance_raw_14996613'!$D$26</f>
        <v/>
      </c>
      <c r="E47" s="11">
        <f>'balance_raw_14996613'!$E$26</f>
        <v/>
      </c>
      <c r="F47" s="11">
        <f>'balance_raw_14996613'!$F$26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'balance_raw_14996613'!$B$27</f>
        <v/>
      </c>
      <c r="C48" s="11">
        <f>'balance_raw_14996613'!$C$27</f>
        <v/>
      </c>
      <c r="D48" s="11">
        <f>'balance_raw_14996613'!$D$27</f>
        <v/>
      </c>
      <c r="E48" s="11">
        <f>'balance_raw_14996613'!$E$27</f>
        <v/>
      </c>
      <c r="F48" s="11">
        <f>'balance_raw_14996613'!$F$27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'balance_raw_14996613'!$B$28</f>
        <v/>
      </c>
      <c r="C51" s="8">
        <f>'balance_raw_14996613'!$C$28</f>
        <v/>
      </c>
      <c r="D51" s="8">
        <f>'balance_raw_14996613'!$D$28</f>
        <v/>
      </c>
      <c r="E51" s="8">
        <f>'balance_raw_14996613'!$E$28</f>
        <v/>
      </c>
      <c r="F51" s="8">
        <f>'balance_raw_14996613'!$F$28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'balance_raw_14996613'!$B$29</f>
        <v/>
      </c>
      <c r="C52" s="5">
        <f>'balance_raw_14996613'!$C$29</f>
        <v/>
      </c>
      <c r="D52" s="5">
        <f>'balance_raw_14996613'!$D$29</f>
        <v/>
      </c>
      <c r="E52" s="5">
        <f>'balance_raw_14996613'!$E$29</f>
        <v/>
      </c>
      <c r="F52" s="5">
        <f>'balance_raw_14996613'!$F$29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'balance_raw_14996613'!$B$30</f>
        <v/>
      </c>
      <c r="C53" s="8">
        <f>'balance_raw_14996613'!$C$30</f>
        <v/>
      </c>
      <c r="D53" s="8">
        <f>'balance_raw_14996613'!$D$30</f>
        <v/>
      </c>
      <c r="E53" s="8">
        <f>'balance_raw_14996613'!$E$30</f>
        <v/>
      </c>
      <c r="F53" s="8">
        <f>'balance_raw_14996613'!$F$30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'balance_raw_14996613'!$B$31</f>
        <v/>
      </c>
      <c r="C54" s="5">
        <f>'balance_raw_14996613'!$C$31</f>
        <v/>
      </c>
      <c r="D54" s="5">
        <f>'balance_raw_14996613'!$D$31</f>
        <v/>
      </c>
      <c r="E54" s="5">
        <f>'balance_raw_14996613'!$E$31</f>
        <v/>
      </c>
      <c r="F54" s="5">
        <f>'balance_raw_14996613'!$F$31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'balance_raw_14996613'!$B$32</f>
        <v/>
      </c>
      <c r="C55" s="8">
        <f>'balance_raw_14996613'!$C$32</f>
        <v/>
      </c>
      <c r="D55" s="8">
        <f>'balance_raw_14996613'!$D$32</f>
        <v/>
      </c>
      <c r="E55" s="8">
        <f>'balance_raw_14996613'!$E$32</f>
        <v/>
      </c>
      <c r="F55" s="8">
        <f>'balance_raw_14996613'!$F$32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'balance_raw_14996613'!$B$33</f>
        <v/>
      </c>
      <c r="C56" s="5">
        <f>'balance_raw_14996613'!$C$33</f>
        <v/>
      </c>
      <c r="D56" s="5">
        <f>'balance_raw_14996613'!$D$33</f>
        <v/>
      </c>
      <c r="E56" s="5">
        <f>'balance_raw_14996613'!$E$33</f>
        <v/>
      </c>
      <c r="F56" s="5">
        <f>'balance_raw_14996613'!$F$33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'balance_raw_14996613'!$B$34</f>
        <v/>
      </c>
      <c r="C57" s="11">
        <f>'balance_raw_14996613'!$C$34</f>
        <v/>
      </c>
      <c r="D57" s="11">
        <f>'balance_raw_14996613'!$D$34</f>
        <v/>
      </c>
      <c r="E57" s="11">
        <f>'balance_raw_14996613'!$E$34</f>
        <v/>
      </c>
      <c r="F57" s="11">
        <f>'balance_raw_14996613'!$F$34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'balance_raw_14996613'!$B$35</f>
        <v/>
      </c>
      <c r="C58" s="5">
        <f>'balance_raw_14996613'!$C$35</f>
        <v/>
      </c>
      <c r="D58" s="5">
        <f>'balance_raw_14996613'!$D$35</f>
        <v/>
      </c>
      <c r="E58" s="5">
        <f>'balance_raw_14996613'!$E$35</f>
        <v/>
      </c>
      <c r="F58" s="5">
        <f>'balance_raw_14996613'!$F$35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'balance_raw_14996613'!$B$36</f>
        <v/>
      </c>
      <c r="C59" s="11">
        <f>'balance_raw_14996613'!$C$36</f>
        <v/>
      </c>
      <c r="D59" s="11">
        <f>'balance_raw_14996613'!$D$36</f>
        <v/>
      </c>
      <c r="E59" s="11">
        <f>'balance_raw_14996613'!$E$36</f>
        <v/>
      </c>
      <c r="F59" s="11">
        <f>'balance_raw_14996613'!$F$36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'balance_raw_14996613'!$B$37</f>
        <v/>
      </c>
      <c r="C60" s="5">
        <f>'balance_raw_14996613'!$C$37</f>
        <v/>
      </c>
      <c r="D60" s="5">
        <f>'balance_raw_14996613'!$D$37</f>
        <v/>
      </c>
      <c r="E60" s="5">
        <f>'balance_raw_14996613'!$E$37</f>
        <v/>
      </c>
      <c r="F60" s="5">
        <f>'balance_raw_14996613'!$F$37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'balance_raw_14996613'!$B$38</f>
        <v/>
      </c>
      <c r="C61" s="8">
        <f>'balance_raw_14996613'!$C$38</f>
        <v/>
      </c>
      <c r="D61" s="8">
        <f>'balance_raw_14996613'!$D$38</f>
        <v/>
      </c>
      <c r="E61" s="8">
        <f>'balance_raw_14996613'!$E$38</f>
        <v/>
      </c>
      <c r="F61" s="8">
        <f>'balance_raw_14996613'!$F$38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'balance_raw_14996613'!$B$39</f>
        <v/>
      </c>
      <c r="C62" s="5">
        <f>'balance_raw_14996613'!$C$39</f>
        <v/>
      </c>
      <c r="D62" s="5">
        <f>'balance_raw_14996613'!$D$39</f>
        <v/>
      </c>
      <c r="E62" s="5">
        <f>'balance_raw_14996613'!$E$39</f>
        <v/>
      </c>
      <c r="F62" s="5">
        <f>'balance_raw_14996613'!$F$39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'balance_raw_14996613'!$B$40</f>
        <v/>
      </c>
      <c r="C63" s="8">
        <f>'balance_raw_14996613'!$C$40</f>
        <v/>
      </c>
      <c r="D63" s="8">
        <f>'balance_raw_14996613'!$D$40</f>
        <v/>
      </c>
      <c r="E63" s="8">
        <f>'balance_raw_14996613'!$E$40</f>
        <v/>
      </c>
      <c r="F63" s="8">
        <f>'balance_raw_14996613'!$F$40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'balance_raw_14996613'!$B$41</f>
        <v/>
      </c>
      <c r="C64" s="11">
        <f>'balance_raw_14996613'!$C$41</f>
        <v/>
      </c>
      <c r="D64" s="11">
        <f>'balance_raw_14996613'!$D$41</f>
        <v/>
      </c>
      <c r="E64" s="11">
        <f>'balance_raw_14996613'!$E$41</f>
        <v/>
      </c>
      <c r="F64" s="11">
        <f>'balance_raw_14996613'!$F$41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'balance_raw_14996613'!$B$42</f>
        <v/>
      </c>
      <c r="C65" s="8">
        <f>'balance_raw_14996613'!$C$42</f>
        <v/>
      </c>
      <c r="D65" s="8">
        <f>'balance_raw_14996613'!$D$42</f>
        <v/>
      </c>
      <c r="E65" s="8">
        <f>'balance_raw_14996613'!$E$42</f>
        <v/>
      </c>
      <c r="F65" s="8">
        <f>'balance_raw_14996613'!$F$42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'balance_raw_14996613'!$B$43</f>
        <v/>
      </c>
      <c r="C66" s="5">
        <f>'balance_raw_14996613'!$C$43</f>
        <v/>
      </c>
      <c r="D66" s="5">
        <f>'balance_raw_14996613'!$D$43</f>
        <v/>
      </c>
      <c r="E66" s="5">
        <f>'balance_raw_14996613'!$E$43</f>
        <v/>
      </c>
      <c r="F66" s="5">
        <f>'balance_raw_14996613'!$F$43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'balance_raw_14996613'!$B$44</f>
        <v/>
      </c>
      <c r="C67" s="8">
        <f>'balance_raw_14996613'!$C$44</f>
        <v/>
      </c>
      <c r="D67" s="8">
        <f>'balance_raw_14996613'!$D$44</f>
        <v/>
      </c>
      <c r="E67" s="8">
        <f>'balance_raw_14996613'!$E$44</f>
        <v/>
      </c>
      <c r="F67" s="8">
        <f>'balance_raw_14996613'!$F$44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'balance_raw_14996613'!$B$45</f>
        <v/>
      </c>
      <c r="C68" s="5">
        <f>'balance_raw_14996613'!$C$45</f>
        <v/>
      </c>
      <c r="D68" s="5">
        <f>'balance_raw_14996613'!$D$45</f>
        <v/>
      </c>
      <c r="E68" s="5">
        <f>'balance_raw_14996613'!$E$45</f>
        <v/>
      </c>
      <c r="F68" s="5">
        <f>'balance_raw_14996613'!$F$45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'balance_raw_14996613'!$B$46</f>
        <v/>
      </c>
      <c r="C69" s="8">
        <f>'balance_raw_14996613'!$C$46</f>
        <v/>
      </c>
      <c r="D69" s="8">
        <f>'balance_raw_14996613'!$D$46</f>
        <v/>
      </c>
      <c r="E69" s="8">
        <f>'balance_raw_14996613'!$E$46</f>
        <v/>
      </c>
      <c r="F69" s="8">
        <f>'balance_raw_14996613'!$F$46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'balance_raw_14996613'!$B$47</f>
        <v/>
      </c>
      <c r="C70" s="5">
        <f>'balance_raw_14996613'!$C$47</f>
        <v/>
      </c>
      <c r="D70" s="5">
        <f>'balance_raw_14996613'!$D$47</f>
        <v/>
      </c>
      <c r="E70" s="5">
        <f>'balance_raw_14996613'!$E$47</f>
        <v/>
      </c>
      <c r="F70" s="5">
        <f>'balance_raw_14996613'!$F$47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'balance_raw_14996613'!$B$48</f>
        <v/>
      </c>
      <c r="C71" s="8">
        <f>'balance_raw_14996613'!$C$48</f>
        <v/>
      </c>
      <c r="D71" s="8">
        <f>'balance_raw_14996613'!$D$48</f>
        <v/>
      </c>
      <c r="E71" s="8">
        <f>'balance_raw_14996613'!$E$48</f>
        <v/>
      </c>
      <c r="F71" s="8">
        <f>'balance_raw_14996613'!$F$48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'balance_raw_14996613'!$B$49</f>
        <v/>
      </c>
      <c r="C72" s="5">
        <f>'balance_raw_14996613'!$C$49</f>
        <v/>
      </c>
      <c r="D72" s="5">
        <f>'balance_raw_14996613'!$D$49</f>
        <v/>
      </c>
      <c r="E72" s="5">
        <f>'balance_raw_14996613'!$E$49</f>
        <v/>
      </c>
      <c r="F72" s="5">
        <f>'balance_raw_14996613'!$F$49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'balance_raw_14996613'!$B$50</f>
        <v/>
      </c>
      <c r="C73" s="8">
        <f>'balance_raw_14996613'!$C$50</f>
        <v/>
      </c>
      <c r="D73" s="8">
        <f>'balance_raw_14996613'!$D$50</f>
        <v/>
      </c>
      <c r="E73" s="8">
        <f>'balance_raw_14996613'!$E$50</f>
        <v/>
      </c>
      <c r="F73" s="8">
        <f>'balance_raw_14996613'!$F$50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'balance_raw_14996613'!$B$51</f>
        <v/>
      </c>
      <c r="C74" s="5">
        <f>'balance_raw_14996613'!$C$51</f>
        <v/>
      </c>
      <c r="D74" s="5">
        <f>'balance_raw_14996613'!$D$51</f>
        <v/>
      </c>
      <c r="E74" s="5">
        <f>'balance_raw_14996613'!$E$51</f>
        <v/>
      </c>
      <c r="F74" s="5">
        <f>'balance_raw_14996613'!$F$51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'balance_raw_14996613'!$B$52</f>
        <v/>
      </c>
      <c r="C75" s="8">
        <f>'balance_raw_14996613'!$C$52</f>
        <v/>
      </c>
      <c r="D75" s="8">
        <f>'balance_raw_14996613'!$D$52</f>
        <v/>
      </c>
      <c r="E75" s="8">
        <f>'balance_raw_14996613'!$E$52</f>
        <v/>
      </c>
      <c r="F75" s="8">
        <f>'balance_raw_14996613'!$F$52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'balance_raw_14996613'!$B$53</f>
        <v/>
      </c>
      <c r="C76" s="11">
        <f>'balance_raw_14996613'!$C$53</f>
        <v/>
      </c>
      <c r="D76" s="11">
        <f>'balance_raw_14996613'!$D$53</f>
        <v/>
      </c>
      <c r="E76" s="11">
        <f>'balance_raw_14996613'!$E$53</f>
        <v/>
      </c>
      <c r="F76" s="11">
        <f>'balance_raw_14996613'!$F$53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'balance_raw_14996613'!$B$54</f>
        <v/>
      </c>
      <c r="C77" s="11">
        <f>'balance_raw_14996613'!$C$54</f>
        <v/>
      </c>
      <c r="D77" s="11">
        <f>'balance_raw_14996613'!$D$54</f>
        <v/>
      </c>
      <c r="E77" s="11">
        <f>'balance_raw_14996613'!$E$54</f>
        <v/>
      </c>
      <c r="F77" s="11">
        <f>'balance_raw_14996613'!$F$54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'balance_raw_14996613'!$B$55</f>
        <v/>
      </c>
      <c r="C78" s="11">
        <f>'balance_raw_14996613'!$C$55</f>
        <v/>
      </c>
      <c r="D78" s="11">
        <f>'balance_raw_14996613'!$D$55</f>
        <v/>
      </c>
      <c r="E78" s="11">
        <f>'balance_raw_14996613'!$E$55</f>
        <v/>
      </c>
      <c r="F78" s="11">
        <f>'balance_raw_14996613'!$F$55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'res_raw_14996613'!$B$19</f>
        <v/>
      </c>
      <c r="C81" s="8">
        <f>'res_raw_14996613'!$C$19</f>
        <v/>
      </c>
      <c r="D81" s="8">
        <f>'res_raw_14996613'!$D$19</f>
        <v/>
      </c>
      <c r="E81" s="8">
        <f>'res_raw_14996613'!$E$19</f>
        <v/>
      </c>
      <c r="F81" s="8">
        <f>'res_raw_14996613'!$F$19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'res_raw_14996613'!$B$20</f>
        <v/>
      </c>
      <c r="C82" s="5">
        <f>'res_raw_14996613'!$C$20</f>
        <v/>
      </c>
      <c r="D82" s="5">
        <f>'res_raw_14996613'!$D$20</f>
        <v/>
      </c>
      <c r="E82" s="5">
        <f>'res_raw_14996613'!$E$20</f>
        <v/>
      </c>
      <c r="F82" s="5">
        <f>'res_raw_14996613'!$F$20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'pengestrom_raw_14996613'!$B$2</f>
        <v/>
      </c>
      <c r="C98" s="17">
        <f>'pengestrom_raw_14996613'!$C$2</f>
        <v/>
      </c>
      <c r="D98" s="17">
        <f>'pengestrom_raw_14996613'!$D$2</f>
        <v/>
      </c>
      <c r="E98" s="17">
        <f>'pengestrom_raw_14996613'!$E$2</f>
        <v/>
      </c>
      <c r="F98" s="17">
        <f>'pengestrom_raw_14996613'!$F$2</f>
        <v/>
      </c>
    </row>
    <row r="99">
      <c r="A99" s="16" t="inlineStr">
        <is>
          <t>Pengestrømme fra investeringsaktivitet</t>
        </is>
      </c>
      <c r="B99" s="17">
        <f>'pengestrom_raw_14996613'!$B$3</f>
        <v/>
      </c>
      <c r="C99" s="17">
        <f>'pengestrom_raw_14996613'!$C$3</f>
        <v/>
      </c>
      <c r="D99" s="17">
        <f>'pengestrom_raw_14996613'!$D$3</f>
        <v/>
      </c>
      <c r="E99" s="17">
        <f>'pengestrom_raw_14996613'!$E$3</f>
        <v/>
      </c>
      <c r="F99" s="17">
        <f>'pengestrom_raw_14996613'!$F$3</f>
        <v/>
      </c>
    </row>
    <row r="100">
      <c r="A100" s="16" t="inlineStr">
        <is>
          <t>Pengestrømme fra finansieringsaktivitet</t>
        </is>
      </c>
      <c r="B100" s="17">
        <f>'pengestrom_raw_14996613'!$B$4</f>
        <v/>
      </c>
      <c r="C100" s="17">
        <f>'pengestrom_raw_14996613'!$C$4</f>
        <v/>
      </c>
      <c r="D100" s="17">
        <f>'pengestrom_raw_14996613'!$D$4</f>
        <v/>
      </c>
      <c r="E100" s="17">
        <f>'pengestrom_raw_14996613'!$E$4</f>
        <v/>
      </c>
      <c r="F100" s="17">
        <f>'pengestrom_raw_14996613'!$F$4</f>
        <v/>
      </c>
    </row>
    <row r="101">
      <c r="A101" s="16" t="inlineStr">
        <is>
          <t>Årets pengestrøm (rapporteret)</t>
        </is>
      </c>
      <c r="B101" s="17">
        <f>'pengestrom_raw_14996613'!$B$5</f>
        <v/>
      </c>
      <c r="C101" s="17">
        <f>'pengestrom_raw_14996613'!$C$5</f>
        <v/>
      </c>
      <c r="D101" s="17">
        <f>'pengestrom_raw_14996613'!$D$5</f>
        <v/>
      </c>
      <c r="E101" s="17">
        <f>'pengestrom_raw_14996613'!$E$5</f>
        <v/>
      </c>
      <c r="F101" s="17">
        <f>'pengestrom_raw_14996613'!$F$5</f>
        <v/>
      </c>
    </row>
    <row r="102">
      <c r="A102" s="16" t="inlineStr">
        <is>
          <t>Krydstjek: drift + inv. + fin. = årets pengestrøm</t>
        </is>
      </c>
      <c r="B102">
        <f>IF(ABS(('pengestrom_raw_14996613'!$B$2+'pengestrom_raw_14996613'!$B$3+'pengestrom_raw_14996613'!$B$4)-'pengestrom_raw_14996613'!$B$5)&lt;=2,"✓","⚠ "&amp;TEXT(('pengestrom_raw_14996613'!$B$2+'pengestrom_raw_14996613'!$B$3+'pengestrom_raw_14996613'!$B$4)-'pengestrom_raw_14996613'!$B$5,"+#,##0;-#,##0"))</f>
        <v/>
      </c>
      <c r="C102">
        <f>IF(ABS(('pengestrom_raw_14996613'!$C$2+'pengestrom_raw_14996613'!$C$3+'pengestrom_raw_14996613'!$C$4)-'pengestrom_raw_14996613'!$C$5)&lt;=2,"✓","⚠ "&amp;TEXT(('pengestrom_raw_14996613'!$C$2+'pengestrom_raw_14996613'!$C$3+'pengestrom_raw_14996613'!$C$4)-'pengestrom_raw_14996613'!$C$5,"+#,##0;-#,##0"))</f>
        <v/>
      </c>
      <c r="D102">
        <f>IF(ABS(('pengestrom_raw_14996613'!$D$2+'pengestrom_raw_14996613'!$D$3+'pengestrom_raw_14996613'!$D$4)-'pengestrom_raw_14996613'!$D$5)&lt;=2,"✓","⚠ "&amp;TEXT(('pengestrom_raw_14996613'!$D$2+'pengestrom_raw_14996613'!$D$3+'pengestrom_raw_14996613'!$D$4)-'pengestrom_raw_14996613'!$D$5,"+#,##0;-#,##0"))</f>
        <v/>
      </c>
      <c r="E102">
        <f>IF(ABS(('pengestrom_raw_14996613'!$E$2+'pengestrom_raw_14996613'!$E$3+'pengestrom_raw_14996613'!$E$4)-'pengestrom_raw_14996613'!$E$5)&lt;=2,"✓","⚠ "&amp;TEXT(('pengestrom_raw_14996613'!$E$2+'pengestrom_raw_14996613'!$E$3+'pengestrom_raw_14996613'!$E$4)-'pengestrom_raw_14996613'!$E$5,"+#,##0;-#,##0"))</f>
        <v/>
      </c>
      <c r="F102">
        <f>IF(ABS(('pengestrom_raw_14996613'!$F$2+'pengestrom_raw_14996613'!$F$3+'pengestrom_raw_14996613'!$F$4)-'pengestrom_raw_14996613'!$F$5)&lt;=2,"✓","⚠ "&amp;TEXT(('pengestrom_raw_14996613'!$F$2+'pengestrom_raw_14996613'!$F$3+'pengestrom_raw_14996613'!$F$4)-'pengestrom_raw_14996613'!$F$5,"+#,##0;-#,##0"))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Valsemøllen af 1899 A/S (CVR 14996613)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658835</v>
      </c>
      <c r="C2" s="17" t="n">
        <v>778921</v>
      </c>
      <c r="D2" s="17" t="n">
        <v>880300</v>
      </c>
      <c r="E2" s="17" t="n">
        <v>806421</v>
      </c>
      <c r="F2" s="17" t="n">
        <v>850775</v>
      </c>
    </row>
    <row r="3">
      <c r="A3" s="16" t="inlineStr">
        <is>
          <t>Andre driftsindtægter</t>
        </is>
      </c>
      <c r="B3" s="17" t="n">
        <v>650</v>
      </c>
      <c r="C3" s="17" t="n">
        <v>6879</v>
      </c>
      <c r="D3" s="17" t="n">
        <v>7016</v>
      </c>
      <c r="E3" s="17" t="n">
        <v>7945</v>
      </c>
      <c r="F3" s="17" t="n">
        <v>10060</v>
      </c>
    </row>
    <row r="4">
      <c r="A4" s="16" t="inlineStr">
        <is>
          <t>Vareforbrug</t>
        </is>
      </c>
      <c r="B4" s="17" t="n">
        <v>477884</v>
      </c>
      <c r="C4" s="17" t="n">
        <v>600809</v>
      </c>
      <c r="D4" s="17" t="n">
        <v>667228</v>
      </c>
      <c r="E4" s="17" t="n">
        <v>601515</v>
      </c>
      <c r="F4" s="17" t="n">
        <v>637037</v>
      </c>
    </row>
    <row r="5">
      <c r="A5" s="16" t="inlineStr">
        <is>
          <t>Andre eksterne omkostninger</t>
        </is>
      </c>
      <c r="B5" s="17" t="n">
        <v>49109</v>
      </c>
      <c r="C5" s="17" t="n">
        <v>56119</v>
      </c>
      <c r="D5" s="17" t="n">
        <v>65306</v>
      </c>
      <c r="E5" s="17" t="n">
        <v>72529</v>
      </c>
      <c r="F5" s="17" t="n">
        <v>73013</v>
      </c>
    </row>
    <row r="6">
      <c r="A6" s="15" t="inlineStr">
        <is>
          <t>Bruttoresultat</t>
        </is>
      </c>
      <c r="B6" s="17" t="n">
        <v>132492</v>
      </c>
      <c r="C6" s="17" t="n">
        <v>128872</v>
      </c>
      <c r="D6" s="17" t="n">
        <v>154782</v>
      </c>
      <c r="E6" s="17" t="n">
        <v>140322</v>
      </c>
      <c r="F6" s="17" t="n">
        <v>150785</v>
      </c>
    </row>
    <row r="7">
      <c r="A7" s="16" t="inlineStr">
        <is>
          <t>Personaleomkostninger</t>
        </is>
      </c>
      <c r="B7" s="17" t="n">
        <v>70849</v>
      </c>
      <c r="C7" s="17" t="n">
        <v>78338</v>
      </c>
      <c r="D7" s="17" t="n">
        <v>86959</v>
      </c>
      <c r="E7" s="17" t="n">
        <v>88183</v>
      </c>
      <c r="F7" s="17" t="n">
        <v>95507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16811</v>
      </c>
      <c r="C9" s="17" t="n">
        <v>16585</v>
      </c>
      <c r="D9" s="17" t="n">
        <v>17564</v>
      </c>
      <c r="E9" s="17" t="n">
        <v>18529</v>
      </c>
      <c r="F9" s="17" t="n">
        <v>21204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>
        <v>1000</v>
      </c>
    </row>
    <row r="11">
      <c r="A11" s="15" t="inlineStr">
        <is>
          <t>Resultat af primær drift</t>
        </is>
      </c>
      <c r="B11" s="17" t="n">
        <v>44832</v>
      </c>
      <c r="C11" s="17" t="n">
        <v>33949</v>
      </c>
      <c r="D11" s="17" t="n">
        <v>50259</v>
      </c>
      <c r="E11" s="17" t="n">
        <v>33610</v>
      </c>
      <c r="F11" s="17" t="n">
        <v>33074</v>
      </c>
    </row>
    <row r="12">
      <c r="A12" s="16" t="inlineStr">
        <is>
          <t>Indtægter af kapitalandele, dattervirksomheder</t>
        </is>
      </c>
      <c r="B12" s="17" t="n">
        <v>438</v>
      </c>
      <c r="C12" s="17" t="n">
        <v>476</v>
      </c>
      <c r="D12" s="17" t="n">
        <v>85</v>
      </c>
      <c r="E12" s="17" t="n">
        <v>69</v>
      </c>
      <c r="F12" s="17" t="n"/>
    </row>
    <row r="13">
      <c r="A13" s="16" t="inlineStr">
        <is>
          <t>Finansielle indtægter</t>
        </is>
      </c>
      <c r="B13" s="17" t="n">
        <v>231</v>
      </c>
      <c r="C13" s="17" t="n">
        <v>386</v>
      </c>
      <c r="D13" s="17" t="n">
        <v>1701</v>
      </c>
      <c r="E13" s="17" t="n">
        <v>756</v>
      </c>
      <c r="F13" s="17" t="n">
        <v>244</v>
      </c>
    </row>
    <row r="14">
      <c r="A14" s="16" t="inlineStr">
        <is>
          <t>Finansielle omkostninger</t>
        </is>
      </c>
      <c r="B14" s="17" t="n">
        <v>1462</v>
      </c>
      <c r="C14" s="17" t="n">
        <v>1948</v>
      </c>
      <c r="D14" s="17" t="n">
        <v>2896</v>
      </c>
      <c r="E14" s="17" t="n">
        <v>5685</v>
      </c>
      <c r="F14" s="17" t="n">
        <v>6835</v>
      </c>
    </row>
    <row r="15">
      <c r="A15" s="15" t="inlineStr">
        <is>
          <t>Finansielle poster, netto</t>
        </is>
      </c>
      <c r="B15" s="17" t="n">
        <v>634</v>
      </c>
      <c r="C15" s="17" t="n">
        <v>1086</v>
      </c>
      <c r="D15" s="17" t="n">
        <v>1110</v>
      </c>
      <c r="E15" s="17" t="n">
        <v>4860</v>
      </c>
      <c r="F15" s="17" t="n">
        <v>-6591</v>
      </c>
    </row>
    <row r="16">
      <c r="A16" s="15" t="inlineStr">
        <is>
          <t>Resultat før skat</t>
        </is>
      </c>
      <c r="B16" s="17" t="n">
        <v>44198</v>
      </c>
      <c r="C16" s="17" t="n">
        <v>32863</v>
      </c>
      <c r="D16" s="17" t="n">
        <v>49149</v>
      </c>
      <c r="E16" s="17" t="n">
        <v>28750</v>
      </c>
      <c r="F16" s="17" t="n">
        <v>26483</v>
      </c>
    </row>
    <row r="17">
      <c r="A17" s="16" t="inlineStr">
        <is>
          <t>Skat af årets resultat</t>
        </is>
      </c>
      <c r="B17" s="17" t="n">
        <v>9669</v>
      </c>
      <c r="C17" s="17" t="n">
        <v>7172</v>
      </c>
      <c r="D17" s="17" t="n">
        <v>10780</v>
      </c>
      <c r="E17" s="17" t="n">
        <v>6076</v>
      </c>
      <c r="F17" s="17" t="n">
        <v>6126</v>
      </c>
    </row>
    <row r="18">
      <c r="A18" s="15" t="inlineStr">
        <is>
          <t>Årets resultat</t>
        </is>
      </c>
      <c r="B18" s="17" t="n">
        <v>34529</v>
      </c>
      <c r="C18" s="17" t="n">
        <v>25691</v>
      </c>
      <c r="D18" s="17" t="n">
        <v>38369</v>
      </c>
      <c r="E18" s="17" t="n">
        <v>22674</v>
      </c>
      <c r="F18" s="17" t="n">
        <v>20357</v>
      </c>
    </row>
    <row r="19">
      <c r="A19" s="16" t="inlineStr">
        <is>
          <t>Gns. antal medarbejdere</t>
        </is>
      </c>
      <c r="B19" s="17" t="n">
        <v>129</v>
      </c>
      <c r="C19" s="17" t="n">
        <v>133</v>
      </c>
      <c r="D19" s="17" t="n">
        <v>134</v>
      </c>
      <c r="E19" s="17" t="n">
        <v>136</v>
      </c>
      <c r="F19" s="17" t="n">
        <v>142</v>
      </c>
    </row>
    <row r="20">
      <c r="A20" s="16" t="inlineStr">
        <is>
          <t>Investering i materielle anlægsaktiver</t>
        </is>
      </c>
      <c r="B20" s="17" t="n">
        <v>19996</v>
      </c>
      <c r="C20" s="17" t="n">
        <v>26857</v>
      </c>
      <c r="D20" s="17" t="n">
        <v>26416</v>
      </c>
      <c r="E20" s="17" t="n">
        <v>30677</v>
      </c>
      <c r="F20" s="17" t="n">
        <v>65610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Valsemøllen af 1899 A/S (CVR 14996613)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68293</v>
      </c>
      <c r="C2" s="17" t="n">
        <v>65702</v>
      </c>
      <c r="D2" s="17" t="n">
        <v>86478</v>
      </c>
      <c r="E2" s="17" t="n">
        <v>89485</v>
      </c>
      <c r="F2" s="17" t="n">
        <v>108998</v>
      </c>
    </row>
    <row r="3">
      <c r="A3" s="16" t="inlineStr">
        <is>
          <t>Produktionsanlæg og maskiner</t>
        </is>
      </c>
      <c r="B3" s="17" t="n">
        <v>109298</v>
      </c>
      <c r="C3" s="17" t="n">
        <v>108169</v>
      </c>
      <c r="D3" s="17" t="n">
        <v>107935</v>
      </c>
      <c r="E3" s="17" t="n">
        <v>109732</v>
      </c>
      <c r="F3" s="17" t="n">
        <v>110832</v>
      </c>
    </row>
    <row r="4">
      <c r="A4" s="16" t="inlineStr">
        <is>
          <t>Driftsmateriel og inventar</t>
        </is>
      </c>
      <c r="B4" s="17" t="n"/>
      <c r="C4" s="17" t="n"/>
      <c r="D4" s="17" t="n"/>
      <c r="E4" s="17" t="n"/>
      <c r="F4" s="17" t="n">
        <v>1356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9788</v>
      </c>
      <c r="C6" s="17" t="n">
        <v>23780</v>
      </c>
      <c r="D6" s="17" t="n">
        <v>12089</v>
      </c>
      <c r="E6" s="17" t="n">
        <v>19209</v>
      </c>
      <c r="F6" s="17" t="n">
        <v>65369</v>
      </c>
    </row>
    <row r="7">
      <c r="A7" s="15" t="inlineStr">
        <is>
          <t>Materielle anlægsaktiver</t>
        </is>
      </c>
      <c r="B7" s="17" t="n">
        <v>187379</v>
      </c>
      <c r="C7" s="17" t="n">
        <v>197651</v>
      </c>
      <c r="D7" s="17" t="n">
        <v>206502</v>
      </c>
      <c r="E7" s="17" t="n">
        <v>218426</v>
      </c>
      <c r="F7" s="17" t="n">
        <v>286555</v>
      </c>
    </row>
    <row r="8">
      <c r="A8" s="16" t="inlineStr">
        <is>
          <t>Kapitalandele, dattervirksomheder</t>
        </is>
      </c>
      <c r="B8" s="17" t="n">
        <v>2108</v>
      </c>
      <c r="C8" s="17" t="n">
        <v>2584</v>
      </c>
      <c r="D8" s="17" t="n">
        <v>2669</v>
      </c>
      <c r="E8" s="17" t="n">
        <v>2738</v>
      </c>
      <c r="F8" s="17" t="n"/>
    </row>
    <row r="9">
      <c r="A9" s="16" t="inlineStr">
        <is>
          <t>Deposita</t>
        </is>
      </c>
      <c r="B9" s="17" t="n">
        <v>580</v>
      </c>
      <c r="C9" s="17" t="n">
        <v>580</v>
      </c>
      <c r="D9" s="17" t="n">
        <v>586</v>
      </c>
      <c r="E9" s="17" t="n">
        <v>791</v>
      </c>
      <c r="F9" s="17" t="n">
        <v>319</v>
      </c>
    </row>
    <row r="10">
      <c r="A10" s="15" t="inlineStr">
        <is>
          <t>Finansielle anlægsaktiver</t>
        </is>
      </c>
      <c r="B10" s="17" t="n">
        <v>2688</v>
      </c>
      <c r="C10" s="17" t="n">
        <v>3164</v>
      </c>
      <c r="D10" s="17" t="n">
        <v>3255</v>
      </c>
      <c r="E10" s="17" t="n">
        <v>3529</v>
      </c>
      <c r="F10" s="17" t="n">
        <v>319</v>
      </c>
    </row>
    <row r="11">
      <c r="A11" s="15" t="inlineStr">
        <is>
          <t>Anlægsaktiver</t>
        </is>
      </c>
      <c r="B11" s="17" t="n">
        <v>190067</v>
      </c>
      <c r="C11" s="17" t="n">
        <v>200815</v>
      </c>
      <c r="D11" s="17" t="n">
        <v>209757</v>
      </c>
      <c r="E11" s="17" t="n">
        <v>221955</v>
      </c>
      <c r="F11" s="17" t="n">
        <v>286874</v>
      </c>
    </row>
    <row r="12">
      <c r="A12" s="16" t="inlineStr">
        <is>
          <t>Råvarer og hjælpematerialer</t>
        </is>
      </c>
      <c r="B12" s="17" t="n">
        <v>59500</v>
      </c>
      <c r="C12" s="17" t="n">
        <v>83406</v>
      </c>
      <c r="D12" s="17" t="n">
        <v>66026</v>
      </c>
      <c r="E12" s="17" t="n">
        <v>95300</v>
      </c>
      <c r="F12" s="17" t="n">
        <v>55636</v>
      </c>
    </row>
    <row r="13">
      <c r="A13" s="16" t="inlineStr">
        <is>
          <t>Varer under fremstilling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Færdigvarer og handelsvarer</t>
        </is>
      </c>
      <c r="B14" s="17" t="n">
        <v>18311</v>
      </c>
      <c r="C14" s="17" t="n">
        <v>26012</v>
      </c>
      <c r="D14" s="17" t="n">
        <v>28206</v>
      </c>
      <c r="E14" s="17" t="n">
        <v>27027</v>
      </c>
      <c r="F14" s="17" t="n">
        <v>30410</v>
      </c>
    </row>
    <row r="15">
      <c r="A15" s="15" t="inlineStr">
        <is>
          <t>Varebeholdninger</t>
        </is>
      </c>
      <c r="B15" s="17" t="n">
        <v>77811</v>
      </c>
      <c r="C15" s="17" t="n">
        <v>109418</v>
      </c>
      <c r="D15" s="17" t="n">
        <v>94232</v>
      </c>
      <c r="E15" s="17" t="n">
        <v>122327</v>
      </c>
      <c r="F15" s="17" t="n">
        <v>86046</v>
      </c>
    </row>
    <row r="16">
      <c r="A16" s="16" t="inlineStr">
        <is>
          <t>Tilgodehavender fra salg og tjenesteydelser</t>
        </is>
      </c>
      <c r="B16" s="17" t="n">
        <v>65005</v>
      </c>
      <c r="C16" s="17" t="n">
        <v>118095</v>
      </c>
      <c r="D16" s="17" t="n">
        <v>99994</v>
      </c>
      <c r="E16" s="17" t="n">
        <v>83719</v>
      </c>
      <c r="F16" s="17" t="n">
        <v>84504</v>
      </c>
    </row>
    <row r="17">
      <c r="A17" s="16" t="inlineStr">
        <is>
          <t>Tilgodehavender hos tilknyttede virksomheder</t>
        </is>
      </c>
      <c r="B17" s="17" t="n">
        <v>3095</v>
      </c>
      <c r="C17" s="17" t="n">
        <v>17753</v>
      </c>
      <c r="D17" s="17" t="n">
        <v>3714</v>
      </c>
      <c r="E17" s="17" t="n">
        <v>24134</v>
      </c>
      <c r="F17" s="17" t="n">
        <v>3234</v>
      </c>
    </row>
    <row r="18">
      <c r="A18" s="16" t="inlineStr">
        <is>
          <t>Andre tilgodehavender</t>
        </is>
      </c>
      <c r="B18" s="17" t="n">
        <v>6</v>
      </c>
      <c r="C18" s="17" t="n">
        <v>2029</v>
      </c>
      <c r="D18" s="17" t="n">
        <v>1076</v>
      </c>
      <c r="E18" s="17" t="n">
        <v>2751</v>
      </c>
      <c r="F18" s="17" t="n">
        <v>880</v>
      </c>
    </row>
    <row r="19">
      <c r="A19" s="16" t="inlineStr">
        <is>
          <t>Periodeafgrænsningsposter (aktiver)</t>
        </is>
      </c>
      <c r="B19" s="17" t="n">
        <v>1386</v>
      </c>
      <c r="C19" s="17" t="n">
        <v>1990</v>
      </c>
      <c r="D19" s="17" t="n">
        <v>2035</v>
      </c>
      <c r="E19" s="17" t="n">
        <v>950</v>
      </c>
      <c r="F19" s="17" t="n">
        <v>2128</v>
      </c>
    </row>
    <row r="20">
      <c r="A20" s="16" t="inlineStr">
        <is>
          <t>Udskudt skatteaktiv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/>
      <c r="C22" s="17" t="n"/>
      <c r="D22" s="17" t="n"/>
      <c r="E22" s="17" t="n"/>
      <c r="F22" s="17" t="n"/>
    </row>
    <row r="23">
      <c r="A23" s="15" t="inlineStr">
        <is>
          <t>Tilgodehavender</t>
        </is>
      </c>
      <c r="B23" s="17" t="n">
        <v>76100</v>
      </c>
      <c r="C23" s="17" t="n">
        <v>139972</v>
      </c>
      <c r="D23" s="17" t="n">
        <v>106819</v>
      </c>
      <c r="E23" s="17" t="n">
        <v>111554</v>
      </c>
      <c r="F23" s="17" t="n">
        <v>90746</v>
      </c>
    </row>
    <row r="24">
      <c r="A24" s="16" t="inlineStr">
        <is>
          <t>Værdipapirer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Likvide beholdninger</t>
        </is>
      </c>
      <c r="B25" s="17" t="n">
        <v>6056</v>
      </c>
      <c r="C25" s="17" t="n">
        <v>1140</v>
      </c>
      <c r="D25" s="17" t="n">
        <v>7148</v>
      </c>
      <c r="E25" s="17" t="n">
        <v>417</v>
      </c>
      <c r="F25" s="17" t="n">
        <v>12126</v>
      </c>
    </row>
    <row r="26">
      <c r="A26" s="15" t="inlineStr">
        <is>
          <t>Omsætningsaktiver</t>
        </is>
      </c>
      <c r="B26" s="17" t="n">
        <v>159967</v>
      </c>
      <c r="C26" s="17" t="n">
        <v>250530</v>
      </c>
      <c r="D26" s="17" t="n">
        <v>208199</v>
      </c>
      <c r="E26" s="17" t="n">
        <v>234298</v>
      </c>
      <c r="F26" s="17" t="n">
        <v>188918</v>
      </c>
    </row>
    <row r="27">
      <c r="A27" s="15" t="inlineStr">
        <is>
          <t>Aktiver</t>
        </is>
      </c>
      <c r="B27" s="17" t="n">
        <v>350034</v>
      </c>
      <c r="C27" s="17" t="n">
        <v>451345</v>
      </c>
      <c r="D27" s="17" t="n">
        <v>417956</v>
      </c>
      <c r="E27" s="17" t="n">
        <v>456253</v>
      </c>
      <c r="F27" s="17" t="n">
        <v>475792</v>
      </c>
    </row>
    <row r="28">
      <c r="A28" s="16" t="inlineStr">
        <is>
          <t>Selskabskapital</t>
        </is>
      </c>
      <c r="B28" s="17" t="n">
        <v>5000</v>
      </c>
      <c r="C28" s="17" t="n">
        <v>5000</v>
      </c>
      <c r="D28" s="17" t="n">
        <v>5000</v>
      </c>
      <c r="E28" s="17" t="n">
        <v>5000</v>
      </c>
      <c r="F28" s="17" t="n">
        <v>5000</v>
      </c>
    </row>
    <row r="29">
      <c r="A29" s="16" t="inlineStr">
        <is>
          <t>Reserve for nettoopskrivning (indre værdis metode)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>
        <v>-1037</v>
      </c>
      <c r="C31" s="17" t="n">
        <v>-240</v>
      </c>
      <c r="D31" s="17" t="n">
        <v>1013</v>
      </c>
      <c r="E31" s="17" t="n">
        <v>2702</v>
      </c>
      <c r="F31" s="17" t="n">
        <v>-2784</v>
      </c>
    </row>
    <row r="32">
      <c r="A32" s="16" t="inlineStr">
        <is>
          <t>Andre reserver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Overført resultat</t>
        </is>
      </c>
      <c r="B33" s="17" t="n">
        <v>161677</v>
      </c>
      <c r="C33" s="17" t="n">
        <v>168421</v>
      </c>
      <c r="D33" s="17" t="n">
        <v>185790</v>
      </c>
      <c r="E33" s="17" t="n">
        <v>179464</v>
      </c>
      <c r="F33" s="17" t="n">
        <v>186821</v>
      </c>
    </row>
    <row r="34">
      <c r="A34" s="15" t="inlineStr">
        <is>
          <t>Egenkapital i alt</t>
        </is>
      </c>
      <c r="B34" s="17" t="n">
        <v>185640</v>
      </c>
      <c r="C34" s="17" t="n">
        <v>192128</v>
      </c>
      <c r="D34" s="17" t="n">
        <v>212803</v>
      </c>
      <c r="E34" s="17" t="n">
        <v>216166</v>
      </c>
      <c r="F34" s="17" t="n">
        <v>202037</v>
      </c>
    </row>
    <row r="35">
      <c r="A35" s="16" t="inlineStr">
        <is>
          <t>Hensættelse til udskudt skat</t>
        </is>
      </c>
      <c r="B35" s="17" t="n">
        <v>13442</v>
      </c>
      <c r="C35" s="17" t="n">
        <v>14189</v>
      </c>
      <c r="D35" s="17" t="n">
        <v>14553</v>
      </c>
      <c r="E35" s="17" t="n">
        <v>15305</v>
      </c>
      <c r="F35" s="17" t="n">
        <v>17340</v>
      </c>
    </row>
    <row r="36">
      <c r="A36" s="15" t="inlineStr">
        <is>
          <t>Hensatte forpligtelser</t>
        </is>
      </c>
      <c r="B36" s="17" t="n">
        <v>13442</v>
      </c>
      <c r="C36" s="17" t="n">
        <v>14189</v>
      </c>
      <c r="D36" s="17" t="n">
        <v>14553</v>
      </c>
      <c r="E36" s="17" t="n">
        <v>15305</v>
      </c>
      <c r="F36" s="17" t="n">
        <v>17340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>
        <v>34011</v>
      </c>
      <c r="C38" s="17" t="n">
        <v>44389</v>
      </c>
      <c r="D38" s="17" t="n">
        <v>42081</v>
      </c>
      <c r="E38" s="17" t="n">
        <v>50908</v>
      </c>
      <c r="F38" s="17" t="n">
        <v>54355</v>
      </c>
    </row>
    <row r="39">
      <c r="A39" s="16" t="inlineStr">
        <is>
          <t>Leasingforpligtelser (langfristet)</t>
        </is>
      </c>
      <c r="B39" s="17" t="n">
        <v>10609</v>
      </c>
      <c r="C39" s="17" t="n">
        <v>9660</v>
      </c>
      <c r="D39" s="17" t="n">
        <v>8702</v>
      </c>
      <c r="E39" s="17" t="n">
        <v>7670</v>
      </c>
      <c r="F39" s="17" t="n">
        <v>42731</v>
      </c>
    </row>
    <row r="40">
      <c r="A40" s="16" t="inlineStr">
        <is>
          <t>Anden gæld (langfristet)</t>
        </is>
      </c>
      <c r="B40" s="17" t="n"/>
      <c r="C40" s="17" t="n"/>
      <c r="D40" s="17" t="n"/>
      <c r="E40" s="17" t="n"/>
      <c r="F40" s="17" t="n"/>
    </row>
    <row r="41">
      <c r="A41" s="15" t="inlineStr">
        <is>
          <t>Langfristede gældsforpligtelser</t>
        </is>
      </c>
      <c r="B41" s="17" t="n">
        <v>49370</v>
      </c>
      <c r="C41" s="17" t="n">
        <v>57799</v>
      </c>
      <c r="D41" s="17" t="n">
        <v>53533</v>
      </c>
      <c r="E41" s="17" t="n">
        <v>69093</v>
      </c>
      <c r="F41" s="17" t="n">
        <v>109024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>
        <v>3972</v>
      </c>
      <c r="C43" s="17" t="n">
        <v>4332</v>
      </c>
      <c r="D43" s="17" t="n">
        <v>4422</v>
      </c>
      <c r="E43" s="17" t="n">
        <v>5160</v>
      </c>
      <c r="F43" s="17" t="n">
        <v>8835</v>
      </c>
    </row>
    <row r="44">
      <c r="A44" s="16" t="inlineStr">
        <is>
          <t>Kreditinstitutter</t>
        </is>
      </c>
      <c r="B44" s="17" t="n">
        <v>10247</v>
      </c>
      <c r="C44" s="17" t="n">
        <v>82683</v>
      </c>
      <c r="D44" s="17" t="n">
        <v>22610</v>
      </c>
      <c r="E44" s="17" t="n">
        <v>64344</v>
      </c>
      <c r="F44" s="17" t="n">
        <v>35473</v>
      </c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50871</v>
      </c>
      <c r="C46" s="17" t="n">
        <v>61170</v>
      </c>
      <c r="D46" s="17" t="n">
        <v>58253</v>
      </c>
      <c r="E46" s="17" t="n">
        <v>52445</v>
      </c>
      <c r="F46" s="17" t="n">
        <v>65356</v>
      </c>
    </row>
    <row r="47">
      <c r="A47" s="16" t="inlineStr">
        <is>
          <t>Gæld til tilknyttede virksomheder</t>
        </is>
      </c>
      <c r="B47" s="17" t="n"/>
      <c r="C47" s="17" t="n"/>
      <c r="D47" s="17" t="n">
        <v>4645</v>
      </c>
      <c r="E47" s="17" t="n">
        <v>0</v>
      </c>
      <c r="F47" s="17" t="n"/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>
        <v>137</v>
      </c>
    </row>
    <row r="49">
      <c r="A49" s="16" t="inlineStr">
        <is>
          <t>Selskabsskat</t>
        </is>
      </c>
      <c r="B49" s="17" t="n">
        <v>0</v>
      </c>
      <c r="C49" s="17" t="n"/>
      <c r="D49" s="17" t="n"/>
      <c r="E49" s="17" t="n"/>
      <c r="F49" s="17" t="n"/>
    </row>
    <row r="50">
      <c r="A50" s="16" t="inlineStr">
        <is>
          <t>Gæld til tilknyttede virksomheder vedr. selskabsskat</t>
        </is>
      </c>
      <c r="B50" s="17" t="n">
        <v>8603</v>
      </c>
      <c r="C50" s="17" t="n">
        <v>6853</v>
      </c>
      <c r="D50" s="17" t="n">
        <v>10770</v>
      </c>
      <c r="E50" s="17" t="n">
        <v>5800</v>
      </c>
      <c r="F50" s="17" t="n">
        <v>3788</v>
      </c>
    </row>
    <row r="51">
      <c r="A51" s="16" t="inlineStr">
        <is>
          <t>Anden gæld (kortfristet)</t>
        </is>
      </c>
      <c r="B51" s="17" t="n">
        <v>27889</v>
      </c>
      <c r="C51" s="17" t="n">
        <v>31523</v>
      </c>
      <c r="D51" s="17" t="n">
        <v>35699</v>
      </c>
      <c r="E51" s="17" t="n">
        <v>27399</v>
      </c>
      <c r="F51" s="17" t="n">
        <v>33802</v>
      </c>
    </row>
    <row r="52">
      <c r="A52" s="16" t="inlineStr">
        <is>
          <t>Periodeafgrænsningsposter (passiver)</t>
        </is>
      </c>
      <c r="B52" s="17" t="n"/>
      <c r="C52" s="17" t="n">
        <v>668</v>
      </c>
      <c r="D52" s="17" t="n">
        <v>668</v>
      </c>
      <c r="E52" s="17" t="n">
        <v>541</v>
      </c>
      <c r="F52" s="17" t="n">
        <v>0</v>
      </c>
    </row>
    <row r="53">
      <c r="A53" s="15" t="inlineStr">
        <is>
          <t>Kortfristede gældsforpligtelser</t>
        </is>
      </c>
      <c r="B53" s="17" t="n">
        <v>101582</v>
      </c>
      <c r="C53" s="17" t="n">
        <v>187229</v>
      </c>
      <c r="D53" s="17" t="n">
        <v>137067</v>
      </c>
      <c r="E53" s="17" t="n">
        <v>155689</v>
      </c>
      <c r="F53" s="17" t="n">
        <v>147391</v>
      </c>
    </row>
    <row r="54">
      <c r="A54" s="15" t="inlineStr">
        <is>
          <t>Gældsforpligtelser</t>
        </is>
      </c>
      <c r="B54" s="17" t="n">
        <v>150952</v>
      </c>
      <c r="C54" s="17" t="n">
        <v>245028</v>
      </c>
      <c r="D54" s="17" t="n">
        <v>190600</v>
      </c>
      <c r="E54" s="17" t="n">
        <v>224782</v>
      </c>
      <c r="F54" s="17" t="n">
        <v>256415</v>
      </c>
    </row>
    <row r="55">
      <c r="A55" s="15" t="inlineStr">
        <is>
          <t>Passiver</t>
        </is>
      </c>
      <c r="B55" s="17" t="n">
        <v>350034</v>
      </c>
      <c r="C55" s="17" t="n">
        <v>451345</v>
      </c>
      <c r="D55" s="17" t="n">
        <v>417956</v>
      </c>
      <c r="E55" s="17" t="n">
        <v>456253</v>
      </c>
      <c r="F55" s="17" t="n">
        <v>475792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Valsemøllen af 1899 A/S (CVR 14996613)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50430</v>
      </c>
      <c r="C2" s="17" t="n">
        <v>-30895</v>
      </c>
      <c r="D2" s="17" t="n">
        <v>122480</v>
      </c>
      <c r="E2" s="17" t="n">
        <v>-2161</v>
      </c>
      <c r="F2" s="17" t="n">
        <v>110364</v>
      </c>
    </row>
    <row r="3">
      <c r="A3" s="16" t="inlineStr">
        <is>
          <t>Pengestrømme fra investeringsaktivitet</t>
        </is>
      </c>
      <c r="B3" s="17" t="n">
        <v>-20008</v>
      </c>
      <c r="C3" s="17" t="n">
        <v>-26846</v>
      </c>
      <c r="D3" s="17" t="n">
        <v>-26422</v>
      </c>
      <c r="E3" s="17" t="n">
        <v>-30834</v>
      </c>
      <c r="F3" s="17" t="n">
        <v>-65468</v>
      </c>
    </row>
    <row r="4">
      <c r="A4" s="16" t="inlineStr">
        <is>
          <t>Pengestrømme fra finansieringsaktivitet</t>
        </is>
      </c>
      <c r="B4" s="17" t="n">
        <v>-15942</v>
      </c>
      <c r="C4" s="17" t="n">
        <v>61225</v>
      </c>
      <c r="D4" s="17" t="n">
        <v>-83197</v>
      </c>
      <c r="E4" s="17" t="n">
        <v>37034</v>
      </c>
      <c r="F4" s="17" t="n">
        <v>-27682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Valsemøllen af 1899 A/S (CVR 14996613) — Regnskabs- og nøgletal (CVR: 14996613)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'res_raw_14996613'!$F$2</f>
        <v/>
      </c>
      <c r="C5" s="24">
        <f>'res_raw_14996613'!$E$2</f>
        <v/>
      </c>
      <c r="D5" s="24">
        <f>'res_raw_14996613'!$D$2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'res_raw_14996613'!$F$3</f>
        <v/>
      </c>
      <c r="C6" s="24">
        <f>'res_raw_14996613'!$E$3</f>
        <v/>
      </c>
      <c r="D6" s="24">
        <f>'res_raw_14996613'!$D$3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-'res_raw_14996613'!$F$4</f>
        <v/>
      </c>
      <c r="C7" s="24">
        <f>-'res_raw_14996613'!$E$4</f>
        <v/>
      </c>
      <c r="D7" s="24">
        <f>-'res_raw_14996613'!$D$4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-'res_raw_14996613'!$F$5</f>
        <v/>
      </c>
      <c r="C8" s="24">
        <f>-'res_raw_14996613'!$E$5</f>
        <v/>
      </c>
      <c r="D8" s="24">
        <f>-'res_raw_14996613'!$D$5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-'res_raw_14996613'!$F$7</f>
        <v/>
      </c>
      <c r="C10" s="24">
        <f>-'res_raw_14996613'!$E$7</f>
        <v/>
      </c>
      <c r="D10" s="24">
        <f>-'res_raw_14996613'!$D$7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-'res_raw_14996613'!$F$9</f>
        <v/>
      </c>
      <c r="C11" s="24">
        <f>-'res_raw_14996613'!$E$9</f>
        <v/>
      </c>
      <c r="D11" s="24">
        <f>-'res_raw_14996613'!$D$9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-'res_raw_14996613'!$F$10</f>
        <v/>
      </c>
      <c r="C12" s="24">
        <f>-'res_raw_14996613'!$E$10</f>
        <v/>
      </c>
      <c r="D12" s="24">
        <f>-'res_raw_14996613'!$D$10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N('res_raw_14996613'!$F$12)+N('res_raw_14996613'!$F$13)</f>
        <v/>
      </c>
      <c r="C14" s="24">
        <f>N('res_raw_14996613'!$E$12)+N('res_raw_14996613'!$E$13)</f>
        <v/>
      </c>
      <c r="D14" s="24">
        <f>N('res_raw_14996613'!$D$12)+N('res_raw_14996613'!$D$13)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-'res_raw_14996613'!$F$14</f>
        <v/>
      </c>
      <c r="C15" s="24">
        <f>-'res_raw_14996613'!$E$14</f>
        <v/>
      </c>
      <c r="D15" s="24">
        <f>-'res_raw_14996613'!$D$14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'balance_raw_14996613'!$F$11</f>
        <v/>
      </c>
      <c r="C19" s="24">
        <f>'balance_raw_14996613'!$E$11</f>
        <v/>
      </c>
      <c r="D19" s="24">
        <f>'balance_raw_14996613'!$D$11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'balance_raw_14996613'!$F$26</f>
        <v/>
      </c>
      <c r="C20" s="24">
        <f>'balance_raw_14996613'!$E$26</f>
        <v/>
      </c>
      <c r="D20" s="24">
        <f>'balance_raw_14996613'!$D$26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'balance_raw_14996613'!$F$34</f>
        <v/>
      </c>
      <c r="C23" s="24">
        <f>'balance_raw_14996613'!$E$34</f>
        <v/>
      </c>
      <c r="D23" s="24">
        <f>'balance_raw_14996613'!$D$34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'balance_raw_14996613'!$F$55-'balance_raw_14996613'!$F$34</f>
        <v/>
      </c>
      <c r="C24" s="24">
        <f>'balance_raw_14996613'!$E$55-'balance_raw_14996613'!$E$34</f>
        <v/>
      </c>
      <c r="D24" s="24">
        <f>'balance_raw_14996613'!$D$55-'balance_raw_14996613'!$D$34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'balance_raw_14996613'!$F$15</f>
        <v/>
      </c>
      <c r="C28" s="24">
        <f>'balance_raw_14996613'!$E$15</f>
        <v/>
      </c>
      <c r="D28" s="24">
        <f>'balance_raw_14996613'!$D$15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'balance_raw_14996613'!$F$16</f>
        <v/>
      </c>
      <c r="C29" s="24">
        <f>'balance_raw_14996613'!$E$16</f>
        <v/>
      </c>
      <c r="D29" s="24">
        <f>'balance_raw_14996613'!$D$16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'balance_raw_14996613'!$F$53</f>
        <v/>
      </c>
      <c r="C30" s="24">
        <f>'balance_raw_14996613'!$E$53</f>
        <v/>
      </c>
      <c r="D30" s="24">
        <f>'balance_raw_14996613'!$D$53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IF('balance_raw_14996613'!$F$27="","—",IF(ABS(B21-'balance_raw_14996613'!$F$27)&lt;=1,"✓ OK","❌ "&amp;TEXT(B21-'balance_raw_14996613'!$F$27,"+#,##0;-#,##0")&amp;" t.kr."))</f>
        <v/>
      </c>
      <c r="C61" s="29">
        <f>IF('balance_raw_14996613'!$E$27="","—",IF(ABS(C21-'balance_raw_14996613'!$E$27)&lt;=1,"✓ OK","❌ "&amp;TEXT(C21-'balance_raw_14996613'!$E$27,"+#,##0;-#,##0")&amp;" t.kr."))</f>
        <v/>
      </c>
      <c r="D61" s="29">
        <f>IF('balance_raw_14996613'!$D$27="","—",IF(ABS(D21-'balance_raw_14996613'!$D$27)&lt;=1,"✓ OK","❌ "&amp;TEXT(D21-'balance_raw_14996613'!$D$27,"+#,##0;-#,##0")&amp;"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IF('balance_raw_14996613'!$F$55="","—",IF(ABS(B25-'balance_raw_14996613'!$F$55)&lt;=1,"✓ OK","❌ "&amp;TEXT(B25-'balance_raw_14996613'!$F$55,"+#,##0;-#,##0")&amp;" t.kr."))</f>
        <v/>
      </c>
      <c r="C62" s="29">
        <f>IF('balance_raw_14996613'!$E$55="","—",IF(ABS(C25-'balance_raw_14996613'!$E$55)&lt;=1,"✓ OK","❌ "&amp;TEXT(C25-'balance_raw_14996613'!$E$55,"+#,##0;-#,##0")&amp;" t.kr."))</f>
        <v/>
      </c>
      <c r="D62" s="29">
        <f>IF('balance_raw_14996613'!$D$55="","—",IF(ABS(D25-'balance_raw_14996613'!$D$55)&lt;=1,"✓ OK","❌ "&amp;TEXT(D25-'balance_raw_14996613'!$D$55,"+#,##0;-#,##0")&amp;"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IF('res_raw_14996613'!$F$6="","—",IF(ABS(B9-'res_raw_14996613'!$F$6)&lt;=1,"✓ OK","❌ "&amp;TEXT(B9-'res_raw_14996613'!$F$6,"+#,##0;-#,##0")&amp;" t.kr."))</f>
        <v/>
      </c>
      <c r="C64" s="29">
        <f>IF('res_raw_14996613'!$E$6="","—",IF(ABS(C9-'res_raw_14996613'!$E$6)&lt;=1,"✓ OK","❌ "&amp;TEXT(C9-'res_raw_14996613'!$E$6,"+#,##0;-#,##0")&amp;" t.kr."))</f>
        <v/>
      </c>
      <c r="D64" s="29">
        <f>IF('res_raw_14996613'!$D$6="","—",IF(ABS(D9-'res_raw_14996613'!$D$6)&lt;=1,"✓ OK","❌ "&amp;TEXT(D9-'res_raw_14996613'!$D$6,"+#,##0;-#,##0")&amp;"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IF('res_raw_14996613'!$F$11="","—",IF(ABS(B13-'res_raw_14996613'!$F$11)&lt;=1,"✓ OK","❌ "&amp;TEXT(B13-'res_raw_14996613'!$F$11,"+#,##0;-#,##0")&amp;" t.kr."))</f>
        <v/>
      </c>
      <c r="C65" s="29">
        <f>IF('res_raw_14996613'!$E$11="","—",IF(ABS(C13-'res_raw_14996613'!$E$11)&lt;=1,"✓ OK","❌ "&amp;TEXT(C13-'res_raw_14996613'!$E$11,"+#,##0;-#,##0")&amp;" t.kr."))</f>
        <v/>
      </c>
      <c r="D65" s="29">
        <f>IF('res_raw_14996613'!$D$11="","—",IF(ABS(D13-'res_raw_14996613'!$D$11)&lt;=1,"✓ OK","❌ "&amp;TEXT(D13-'res_raw_14996613'!$D$11,"+#,##0;-#,##0")&amp;"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IF('res_raw_14996613'!$F$16="","—",IF(ABS(B16-'res_raw_14996613'!$F$16)&lt;=1,"✓ OK","❌ "&amp;TEXT(B16-'res_raw_14996613'!$F$16,"+#,##0;-#,##0")&amp;" t.kr."))</f>
        <v/>
      </c>
      <c r="C66" s="29">
        <f>IF('res_raw_14996613'!$E$16="","—",IF(ABS(C16-'res_raw_14996613'!$E$16)&lt;=1,"✓ OK","❌ "&amp;TEXT(C16-'res_raw_14996613'!$E$16,"+#,##0;-#,##0")&amp;" t.kr."))</f>
        <v/>
      </c>
      <c r="D66" s="29">
        <f>IF('res_raw_14996613'!$D$16="","—",IF(ABS(D16-'res_raw_14996613'!$D$16)&lt;=1,"✓ OK","❌ "&amp;TEXT(D16-'res_raw_14996613'!$D$16,"+#,##0;-#,##0")&amp;"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Valsemøllen af 1899 A/S (CVR 14996613)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fsa:AdjustmentsForDeferredTaxCashFlow</t>
        </is>
      </c>
      <c r="C3" s="34" t="inlineStr">
        <is>
          <t>fsa:AdjustmentsForDeferredTaxCashFlow</t>
        </is>
      </c>
      <c r="D3" s="35" t="n">
        <v>928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fsa:AdjustmentsOfDividendsFromParticipatingInterests</t>
        </is>
      </c>
      <c r="C4" s="37" t="inlineStr">
        <is>
          <t>fsa:AdjustmentsOfDividendsFromParticipatingInterests</t>
        </is>
      </c>
      <c r="D4" s="38" t="n">
        <v>1462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fsa:AdjustmentsOfProfitLossFromParticipatingInterestsAfterTax</t>
        </is>
      </c>
      <c r="C5" s="34" t="inlineStr">
        <is>
          <t>fsa:AdjustmentsOfProfitLossFromParticipatingInterestsAfterTax</t>
        </is>
      </c>
      <c r="D5" s="35" t="n">
        <v>-390</v>
      </c>
      <c r="E5" s="35" t="n"/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fsa:AdjustmentsOfShareBasedPayment</t>
        </is>
      </c>
      <c r="C6" s="37" t="inlineStr">
        <is>
          <t>fsa:AdjustmentsOfShareBasedPayment</t>
        </is>
      </c>
      <c r="D6" s="38" t="n">
        <v>9669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fsa:ShorttermReceivablesFromOwnersAndManagement</t>
        </is>
      </c>
      <c r="C7" s="34" t="inlineStr">
        <is>
          <t>fsa:ShorttermReceivablesFromOwnersAndManagement</t>
        </is>
      </c>
      <c r="D7" s="35" t="n">
        <v>6608</v>
      </c>
      <c r="E7" s="35" t="n">
        <v>105</v>
      </c>
      <c r="F7" s="35" t="n">
        <v>0</v>
      </c>
      <c r="G7" s="35" t="n"/>
      <c r="H7" s="35" t="n"/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2026-09-10T15:36:16Z</dcterms:created>
  <dcterms:modified xmlns:dcterms="http://purl.org/dc/terms/" xmlns:xsi="http://www.w3.org/2001/XMLSchema-instance" xsi:type="dcterms:W3CDTF">2026-09-10T15:36:17Z</dcterms:modified>
</cp:coreProperties>
</file>