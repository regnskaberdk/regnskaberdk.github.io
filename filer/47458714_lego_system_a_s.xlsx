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7458714" sheetId="1" state="visible" r:id="rId1"/>
    <sheet xmlns:r="http://schemas.openxmlformats.org/officeDocument/2006/relationships" name="res_raw_47458714" sheetId="2" state="visible" r:id="rId2"/>
    <sheet xmlns:r="http://schemas.openxmlformats.org/officeDocument/2006/relationships" name="balance_raw_47458714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LEGO System A/S (CVR 47458714)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'res_raw_47458714'!$B$2</f>
        <v/>
      </c>
      <c r="C4" s="5">
        <f>'res_raw_47458714'!$C$2</f>
        <v/>
      </c>
      <c r="D4" s="5">
        <f>'res_raw_47458714'!$D$2</f>
        <v/>
      </c>
      <c r="E4" s="5">
        <f>'res_raw_47458714'!$E$2</f>
        <v/>
      </c>
      <c r="F4" s="5">
        <f>'res_raw_47458714'!$F$2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'res_raw_47458714'!$B$3</f>
        <v/>
      </c>
      <c r="C5" s="8">
        <f>'res_raw_47458714'!$C$3</f>
        <v/>
      </c>
      <c r="D5" s="8">
        <f>'res_raw_47458714'!$D$3</f>
        <v/>
      </c>
      <c r="E5" s="8">
        <f>'res_raw_47458714'!$E$3</f>
        <v/>
      </c>
      <c r="F5" s="8">
        <f>'res_raw_47458714'!$F$3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'res_raw_47458714'!$B$4</f>
        <v/>
      </c>
      <c r="C6" s="8">
        <f>'res_raw_47458714'!$C$4</f>
        <v/>
      </c>
      <c r="D6" s="8">
        <f>'res_raw_47458714'!$D$4</f>
        <v/>
      </c>
      <c r="E6" s="8">
        <f>'res_raw_47458714'!$E$4</f>
        <v/>
      </c>
      <c r="F6" s="8">
        <f>'res_raw_47458714'!$F$4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'res_raw_47458714'!$B$5</f>
        <v/>
      </c>
      <c r="C7" s="8">
        <f>'res_raw_47458714'!$C$5</f>
        <v/>
      </c>
      <c r="D7" s="8">
        <f>'res_raw_47458714'!$D$5</f>
        <v/>
      </c>
      <c r="E7" s="8">
        <f>'res_raw_47458714'!$E$5</f>
        <v/>
      </c>
      <c r="F7" s="8">
        <f>'res_raw_47458714'!$F$5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'res_raw_47458714'!$B$6</f>
        <v/>
      </c>
      <c r="C8" s="8">
        <f>'res_raw_47458714'!$C$6</f>
        <v/>
      </c>
      <c r="D8" s="8">
        <f>'res_raw_47458714'!$D$6</f>
        <v/>
      </c>
      <c r="E8" s="8">
        <f>'res_raw_47458714'!$E$6</f>
        <v/>
      </c>
      <c r="F8" s="8">
        <f>'res_raw_47458714'!$F$6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'res_raw_47458714'!$B$7</f>
        <v/>
      </c>
      <c r="C9" s="11">
        <f>'res_raw_47458714'!$C$7</f>
        <v/>
      </c>
      <c r="D9" s="11">
        <f>'res_raw_47458714'!$D$7</f>
        <v/>
      </c>
      <c r="E9" s="11">
        <f>'res_raw_47458714'!$E$7</f>
        <v/>
      </c>
      <c r="F9" s="11">
        <f>'res_raw_47458714'!$F$7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'res_raw_47458714'!$B$8</f>
        <v/>
      </c>
      <c r="C10" s="5">
        <f>'res_raw_47458714'!$C$8</f>
        <v/>
      </c>
      <c r="D10" s="5">
        <f>'res_raw_47458714'!$D$8</f>
        <v/>
      </c>
      <c r="E10" s="5">
        <f>'res_raw_47458714'!$E$8</f>
        <v/>
      </c>
      <c r="F10" s="5">
        <f>'res_raw_47458714'!$F$8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'res_raw_47458714'!$B$9</f>
        <v/>
      </c>
      <c r="C11" s="8">
        <f>'res_raw_47458714'!$C$9</f>
        <v/>
      </c>
      <c r="D11" s="8">
        <f>'res_raw_47458714'!$D$9</f>
        <v/>
      </c>
      <c r="E11" s="8">
        <f>'res_raw_47458714'!$E$9</f>
        <v/>
      </c>
      <c r="F11" s="8">
        <f>'res_raw_47458714'!$F$9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'res_raw_47458714'!$B$10</f>
        <v/>
      </c>
      <c r="C12" s="5">
        <f>'res_raw_47458714'!$C$10</f>
        <v/>
      </c>
      <c r="D12" s="5">
        <f>'res_raw_47458714'!$D$10</f>
        <v/>
      </c>
      <c r="E12" s="5">
        <f>'res_raw_47458714'!$E$10</f>
        <v/>
      </c>
      <c r="F12" s="5">
        <f>'res_raw_47458714'!$F$10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'res_raw_47458714'!$B$11</f>
        <v/>
      </c>
      <c r="C13" s="11">
        <f>'res_raw_47458714'!$C$11</f>
        <v/>
      </c>
      <c r="D13" s="11">
        <f>'res_raw_47458714'!$D$11</f>
        <v/>
      </c>
      <c r="E13" s="11">
        <f>'res_raw_47458714'!$E$11</f>
        <v/>
      </c>
      <c r="F13" s="11">
        <f>'res_raw_47458714'!$F$11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'res_raw_47458714'!$B$12</f>
        <v/>
      </c>
      <c r="C14" s="5">
        <f>'res_raw_47458714'!$C$12</f>
        <v/>
      </c>
      <c r="D14" s="5">
        <f>'res_raw_47458714'!$D$12</f>
        <v/>
      </c>
      <c r="E14" s="5">
        <f>'res_raw_47458714'!$E$12</f>
        <v/>
      </c>
      <c r="F14" s="5">
        <f>'res_raw_47458714'!$F$12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'res_raw_47458714'!$B$13</f>
        <v/>
      </c>
      <c r="C15" s="8">
        <f>'res_raw_47458714'!$C$13</f>
        <v/>
      </c>
      <c r="D15" s="8">
        <f>'res_raw_47458714'!$D$13</f>
        <v/>
      </c>
      <c r="E15" s="8">
        <f>'res_raw_47458714'!$E$13</f>
        <v/>
      </c>
      <c r="F15" s="8">
        <f>'res_raw_47458714'!$F$13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'res_raw_47458714'!$B$14</f>
        <v/>
      </c>
      <c r="C16" s="8">
        <f>'res_raw_47458714'!$C$14</f>
        <v/>
      </c>
      <c r="D16" s="8">
        <f>'res_raw_47458714'!$D$14</f>
        <v/>
      </c>
      <c r="E16" s="8">
        <f>'res_raw_47458714'!$E$14</f>
        <v/>
      </c>
      <c r="F16" s="8">
        <f>'res_raw_47458714'!$F$14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'res_raw_47458714'!$B$15</f>
        <v/>
      </c>
      <c r="C17" s="11">
        <f>'res_raw_47458714'!$C$15</f>
        <v/>
      </c>
      <c r="D17" s="11">
        <f>'res_raw_47458714'!$D$15</f>
        <v/>
      </c>
      <c r="E17" s="11">
        <f>'res_raw_47458714'!$E$15</f>
        <v/>
      </c>
      <c r="F17" s="11">
        <f>'res_raw_47458714'!$F$15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'res_raw_47458714'!$B$16</f>
        <v/>
      </c>
      <c r="C18" s="8">
        <f>'res_raw_47458714'!$C$16</f>
        <v/>
      </c>
      <c r="D18" s="8">
        <f>'res_raw_47458714'!$D$16</f>
        <v/>
      </c>
      <c r="E18" s="8">
        <f>'res_raw_47458714'!$E$16</f>
        <v/>
      </c>
      <c r="F18" s="8">
        <f>'res_raw_47458714'!$F$16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'balance_raw_47458714'!$B$2</f>
        <v/>
      </c>
      <c r="C21" s="11">
        <f>'balance_raw_47458714'!$C$2</f>
        <v/>
      </c>
      <c r="D21" s="11">
        <f>'balance_raw_47458714'!$D$2</f>
        <v/>
      </c>
      <c r="E21" s="11">
        <f>'balance_raw_47458714'!$E$2</f>
        <v/>
      </c>
      <c r="F21" s="11">
        <f>'balance_raw_47458714'!$F$2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'balance_raw_47458714'!$B$3</f>
        <v/>
      </c>
      <c r="C22" s="5">
        <f>'balance_raw_47458714'!$C$3</f>
        <v/>
      </c>
      <c r="D22" s="5">
        <f>'balance_raw_47458714'!$D$3</f>
        <v/>
      </c>
      <c r="E22" s="5">
        <f>'balance_raw_47458714'!$E$3</f>
        <v/>
      </c>
      <c r="F22" s="5">
        <f>'balance_raw_47458714'!$F$3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'balance_raw_47458714'!$B$4</f>
        <v/>
      </c>
      <c r="C23" s="11">
        <f>'balance_raw_47458714'!$C$4</f>
        <v/>
      </c>
      <c r="D23" s="11">
        <f>'balance_raw_47458714'!$D$4</f>
        <v/>
      </c>
      <c r="E23" s="11">
        <f>'balance_raw_47458714'!$E$4</f>
        <v/>
      </c>
      <c r="F23" s="11">
        <f>'balance_raw_47458714'!$F$4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'balance_raw_47458714'!$B$5</f>
        <v/>
      </c>
      <c r="C24" s="8">
        <f>'balance_raw_47458714'!$C$5</f>
        <v/>
      </c>
      <c r="D24" s="8">
        <f>'balance_raw_47458714'!$D$5</f>
        <v/>
      </c>
      <c r="E24" s="8">
        <f>'balance_raw_47458714'!$E$5</f>
        <v/>
      </c>
      <c r="F24" s="8">
        <f>'balance_raw_47458714'!$F$5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'balance_raw_47458714'!$B$6</f>
        <v/>
      </c>
      <c r="C25" s="11">
        <f>'balance_raw_47458714'!$C$6</f>
        <v/>
      </c>
      <c r="D25" s="11">
        <f>'balance_raw_47458714'!$D$6</f>
        <v/>
      </c>
      <c r="E25" s="11">
        <f>'balance_raw_47458714'!$E$6</f>
        <v/>
      </c>
      <c r="F25" s="11">
        <f>'balance_raw_47458714'!$F$6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'balance_raw_47458714'!$B$7</f>
        <v/>
      </c>
      <c r="C26" s="5">
        <f>'balance_raw_47458714'!$C$7</f>
        <v/>
      </c>
      <c r="D26" s="5">
        <f>'balance_raw_47458714'!$D$7</f>
        <v/>
      </c>
      <c r="E26" s="5">
        <f>'balance_raw_47458714'!$E$7</f>
        <v/>
      </c>
      <c r="F26" s="5">
        <f>'balance_raw_47458714'!$F$7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'balance_raw_47458714'!$B$8</f>
        <v/>
      </c>
      <c r="C27" s="11">
        <f>'balance_raw_47458714'!$C$8</f>
        <v/>
      </c>
      <c r="D27" s="11">
        <f>'balance_raw_47458714'!$D$8</f>
        <v/>
      </c>
      <c r="E27" s="11">
        <f>'balance_raw_47458714'!$E$8</f>
        <v/>
      </c>
      <c r="F27" s="11">
        <f>'balance_raw_47458714'!$F$8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'balance_raw_47458714'!$B$9</f>
        <v/>
      </c>
      <c r="C28" s="5">
        <f>'balance_raw_47458714'!$C$9</f>
        <v/>
      </c>
      <c r="D28" s="5">
        <f>'balance_raw_47458714'!$D$9</f>
        <v/>
      </c>
      <c r="E28" s="5">
        <f>'balance_raw_47458714'!$E$9</f>
        <v/>
      </c>
      <c r="F28" s="5">
        <f>'balance_raw_47458714'!$F$9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'balance_raw_47458714'!$B$10</f>
        <v/>
      </c>
      <c r="C29" s="11">
        <f>'balance_raw_47458714'!$C$10</f>
        <v/>
      </c>
      <c r="D29" s="11">
        <f>'balance_raw_47458714'!$D$10</f>
        <v/>
      </c>
      <c r="E29" s="11">
        <f>'balance_raw_47458714'!$E$10</f>
        <v/>
      </c>
      <c r="F29" s="11">
        <f>'balance_raw_47458714'!$F$10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'balance_raw_47458714'!$B$11</f>
        <v/>
      </c>
      <c r="C30" s="8">
        <f>'balance_raw_47458714'!$C$11</f>
        <v/>
      </c>
      <c r="D30" s="8">
        <f>'balance_raw_47458714'!$D$11</f>
        <v/>
      </c>
      <c r="E30" s="8">
        <f>'balance_raw_47458714'!$E$11</f>
        <v/>
      </c>
      <c r="F30" s="8">
        <f>'balance_raw_47458714'!$F$11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'balance_raw_47458714'!$B$12</f>
        <v/>
      </c>
      <c r="C31" s="11">
        <f>'balance_raw_47458714'!$C$12</f>
        <v/>
      </c>
      <c r="D31" s="11">
        <f>'balance_raw_47458714'!$D$12</f>
        <v/>
      </c>
      <c r="E31" s="11">
        <f>'balance_raw_47458714'!$E$12</f>
        <v/>
      </c>
      <c r="F31" s="11">
        <f>'balance_raw_47458714'!$F$12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'balance_raw_47458714'!$B$13</f>
        <v/>
      </c>
      <c r="C32" s="5">
        <f>'balance_raw_47458714'!$C$13</f>
        <v/>
      </c>
      <c r="D32" s="5">
        <f>'balance_raw_47458714'!$D$13</f>
        <v/>
      </c>
      <c r="E32" s="5">
        <f>'balance_raw_47458714'!$E$13</f>
        <v/>
      </c>
      <c r="F32" s="5">
        <f>'balance_raw_47458714'!$F$13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'balance_raw_47458714'!$B$14</f>
        <v/>
      </c>
      <c r="C33" s="8">
        <f>'balance_raw_47458714'!$C$14</f>
        <v/>
      </c>
      <c r="D33" s="8">
        <f>'balance_raw_47458714'!$D$14</f>
        <v/>
      </c>
      <c r="E33" s="8">
        <f>'balance_raw_47458714'!$E$14</f>
        <v/>
      </c>
      <c r="F33" s="8">
        <f>'balance_raw_47458714'!$F$14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'balance_raw_47458714'!$B$15</f>
        <v/>
      </c>
      <c r="C34" s="8">
        <f>'balance_raw_47458714'!$C$15</f>
        <v/>
      </c>
      <c r="D34" s="8">
        <f>'balance_raw_47458714'!$D$15</f>
        <v/>
      </c>
      <c r="E34" s="8">
        <f>'balance_raw_47458714'!$E$15</f>
        <v/>
      </c>
      <c r="F34" s="8">
        <f>'balance_raw_47458714'!$F$15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Varebeholdninger</t>
        </is>
      </c>
      <c r="B35" s="8">
        <f>'balance_raw_47458714'!$B$16</f>
        <v/>
      </c>
      <c r="C35" s="8">
        <f>'balance_raw_47458714'!$C$16</f>
        <v/>
      </c>
      <c r="D35" s="8">
        <f>'balance_raw_47458714'!$D$16</f>
        <v/>
      </c>
      <c r="E35" s="8">
        <f>'balance_raw_47458714'!$E$16</f>
        <v/>
      </c>
      <c r="F35" s="8">
        <f>'balance_raw_47458714'!$F$16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fra salg og tjenesteydelser</t>
        </is>
      </c>
      <c r="B36" s="5">
        <f>'balance_raw_47458714'!$B$17</f>
        <v/>
      </c>
      <c r="C36" s="5">
        <f>'balance_raw_47458714'!$C$17</f>
        <v/>
      </c>
      <c r="D36" s="5">
        <f>'balance_raw_47458714'!$D$17</f>
        <v/>
      </c>
      <c r="E36" s="5">
        <f>'balance_raw_47458714'!$E$17</f>
        <v/>
      </c>
      <c r="F36" s="5">
        <f>'balance_raw_47458714'!$F$17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 hos tilknyttede virksomheder</t>
        </is>
      </c>
      <c r="B37" s="11">
        <f>'balance_raw_47458714'!$B$18</f>
        <v/>
      </c>
      <c r="C37" s="11">
        <f>'balance_raw_47458714'!$C$18</f>
        <v/>
      </c>
      <c r="D37" s="11">
        <f>'balance_raw_47458714'!$D$18</f>
        <v/>
      </c>
      <c r="E37" s="11">
        <f>'balance_raw_47458714'!$E$18</f>
        <v/>
      </c>
      <c r="F37" s="11">
        <f>'balance_raw_47458714'!$F$18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Andre tilgodehavender</t>
        </is>
      </c>
      <c r="B38" s="5">
        <f>'balance_raw_47458714'!$B$19</f>
        <v/>
      </c>
      <c r="C38" s="5">
        <f>'balance_raw_47458714'!$C$19</f>
        <v/>
      </c>
      <c r="D38" s="5">
        <f>'balance_raw_47458714'!$D$19</f>
        <v/>
      </c>
      <c r="E38" s="5">
        <f>'balance_raw_47458714'!$E$19</f>
        <v/>
      </c>
      <c r="F38" s="5">
        <f>'balance_raw_47458714'!$F$19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Periodeafgrænsningsposter (aktiver)</t>
        </is>
      </c>
      <c r="B39" s="11">
        <f>'balance_raw_47458714'!$B$20</f>
        <v/>
      </c>
      <c r="C39" s="11">
        <f>'balance_raw_47458714'!$C$20</f>
        <v/>
      </c>
      <c r="D39" s="11">
        <f>'balance_raw_47458714'!$D$20</f>
        <v/>
      </c>
      <c r="E39" s="11">
        <f>'balance_raw_47458714'!$E$20</f>
        <v/>
      </c>
      <c r="F39" s="11">
        <f>'balance_raw_47458714'!$F$20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Udskudt skatteaktiv</t>
        </is>
      </c>
      <c r="B40" s="5">
        <f>'balance_raw_47458714'!$B$21</f>
        <v/>
      </c>
      <c r="C40" s="5">
        <f>'balance_raw_47458714'!$C$21</f>
        <v/>
      </c>
      <c r="D40" s="5">
        <f>'balance_raw_47458714'!$D$21</f>
        <v/>
      </c>
      <c r="E40" s="5">
        <f>'balance_raw_47458714'!$E$21</f>
        <v/>
      </c>
      <c r="F40" s="5">
        <f>'balance_raw_47458714'!$F$21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 skat hos tilknyttede virksomheder</t>
        </is>
      </c>
      <c r="B41" s="11">
        <f>'balance_raw_47458714'!$B$22</f>
        <v/>
      </c>
      <c r="C41" s="11">
        <f>'balance_raw_47458714'!$C$22</f>
        <v/>
      </c>
      <c r="D41" s="11">
        <f>'balance_raw_47458714'!$D$22</f>
        <v/>
      </c>
      <c r="E41" s="11">
        <f>'balance_raw_47458714'!$E$22</f>
        <v/>
      </c>
      <c r="F41" s="11">
        <f>'balance_raw_47458714'!$F$22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Kortfristede skattetilgodehavender</t>
        </is>
      </c>
      <c r="B42" s="5">
        <f>'balance_raw_47458714'!$B$23</f>
        <v/>
      </c>
      <c r="C42" s="5">
        <f>'balance_raw_47458714'!$C$23</f>
        <v/>
      </c>
      <c r="D42" s="5">
        <f>'balance_raw_47458714'!$D$23</f>
        <v/>
      </c>
      <c r="E42" s="5">
        <f>'balance_raw_47458714'!$E$23</f>
        <v/>
      </c>
      <c r="F42" s="5">
        <f>'balance_raw_47458714'!$F$23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Tilgodehavender</t>
        </is>
      </c>
      <c r="B43" s="8">
        <f>'balance_raw_47458714'!$B$24</f>
        <v/>
      </c>
      <c r="C43" s="8">
        <f>'balance_raw_47458714'!$C$24</f>
        <v/>
      </c>
      <c r="D43" s="8">
        <f>'balance_raw_47458714'!$D$24</f>
        <v/>
      </c>
      <c r="E43" s="8">
        <f>'balance_raw_47458714'!$E$24</f>
        <v/>
      </c>
      <c r="F43" s="8">
        <f>'balance_raw_47458714'!$F$24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Værdipapirer</t>
        </is>
      </c>
      <c r="B44" s="5">
        <f>'balance_raw_47458714'!$B$25</f>
        <v/>
      </c>
      <c r="C44" s="5">
        <f>'balance_raw_47458714'!$C$25</f>
        <v/>
      </c>
      <c r="D44" s="5">
        <f>'balance_raw_47458714'!$D$25</f>
        <v/>
      </c>
      <c r="E44" s="5">
        <f>'balance_raw_47458714'!$E$25</f>
        <v/>
      </c>
      <c r="F44" s="5">
        <f>'balance_raw_47458714'!$F$25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Likvide beholdninger</t>
        </is>
      </c>
      <c r="B45" s="11">
        <f>'balance_raw_47458714'!$B$26</f>
        <v/>
      </c>
      <c r="C45" s="11">
        <f>'balance_raw_47458714'!$C$26</f>
        <v/>
      </c>
      <c r="D45" s="11">
        <f>'balance_raw_47458714'!$D$26</f>
        <v/>
      </c>
      <c r="E45" s="11">
        <f>'balance_raw_47458714'!$E$26</f>
        <v/>
      </c>
      <c r="F45" s="11">
        <f>'balance_raw_47458714'!$F$26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Omsætningsaktiver</t>
        </is>
      </c>
      <c r="B46" s="8">
        <f>'balance_raw_47458714'!$B$27</f>
        <v/>
      </c>
      <c r="C46" s="8">
        <f>'balance_raw_47458714'!$C$27</f>
        <v/>
      </c>
      <c r="D46" s="8">
        <f>'balance_raw_47458714'!$D$27</f>
        <v/>
      </c>
      <c r="E46" s="8">
        <f>'balance_raw_47458714'!$E$27</f>
        <v/>
      </c>
      <c r="F46" s="8">
        <f>'balance_raw_47458714'!$F$27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7" t="inlineStr">
        <is>
          <t>Aktiver</t>
        </is>
      </c>
      <c r="B47" s="8">
        <f>'balance_raw_47458714'!$B$28</f>
        <v/>
      </c>
      <c r="C47" s="8">
        <f>'balance_raw_47458714'!$C$28</f>
        <v/>
      </c>
      <c r="D47" s="8">
        <f>'balance_raw_47458714'!$D$28</f>
        <v/>
      </c>
      <c r="E47" s="8">
        <f>'balance_raw_47458714'!$E$28</f>
        <v/>
      </c>
      <c r="F47" s="8">
        <f>'balance_raw_47458714'!$F$28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9" ht="22" customHeight="1">
      <c r="A49" s="3" t="inlineStr">
        <is>
          <t>PASSIVER t.kr.</t>
        </is>
      </c>
      <c r="B49" s="3" t="n">
        <v>2021</v>
      </c>
      <c r="C49" s="3" t="n">
        <v>2022</v>
      </c>
      <c r="D49" s="3" t="n">
        <v>2023</v>
      </c>
      <c r="E49" s="3" t="n">
        <v>2024</v>
      </c>
      <c r="F49" s="3" t="n">
        <v>2025</v>
      </c>
      <c r="G49" t="inlineStr"/>
      <c r="H49" s="3" t="n">
        <v>2021</v>
      </c>
      <c r="I49" s="3" t="n">
        <v>2022</v>
      </c>
      <c r="J49" s="3" t="n">
        <v>2023</v>
      </c>
      <c r="K49" s="3" t="n">
        <v>2024</v>
      </c>
      <c r="L49" s="3" t="n">
        <v>2025</v>
      </c>
    </row>
    <row r="50" ht="16" customHeight="1">
      <c r="A50" s="4" t="inlineStr">
        <is>
          <t>Selskabskapital</t>
        </is>
      </c>
      <c r="B50" s="5">
        <f>'balance_raw_47458714'!$B$29</f>
        <v/>
      </c>
      <c r="C50" s="5">
        <f>'balance_raw_47458714'!$C$29</f>
        <v/>
      </c>
      <c r="D50" s="5">
        <f>'balance_raw_47458714'!$D$29</f>
        <v/>
      </c>
      <c r="E50" s="5">
        <f>'balance_raw_47458714'!$E$29</f>
        <v/>
      </c>
      <c r="F50" s="5">
        <f>'balance_raw_47458714'!$F$29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nettoopskrivning (indre værdis metode)</t>
        </is>
      </c>
      <c r="B51" s="11">
        <f>'balance_raw_47458714'!$B$30</f>
        <v/>
      </c>
      <c r="C51" s="11">
        <f>'balance_raw_47458714'!$C$30</f>
        <v/>
      </c>
      <c r="D51" s="11">
        <f>'balance_raw_47458714'!$D$30</f>
        <v/>
      </c>
      <c r="E51" s="11">
        <f>'balance_raw_47458714'!$E$30</f>
        <v/>
      </c>
      <c r="F51" s="11">
        <f>'balance_raw_47458714'!$F$30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udviklingsomkostninger</t>
        </is>
      </c>
      <c r="B52" s="5">
        <f>'balance_raw_47458714'!$B$31</f>
        <v/>
      </c>
      <c r="C52" s="5">
        <f>'balance_raw_47458714'!$C$31</f>
        <v/>
      </c>
      <c r="D52" s="5">
        <f>'balance_raw_47458714'!$D$31</f>
        <v/>
      </c>
      <c r="E52" s="5">
        <f>'balance_raw_47458714'!$E$31</f>
        <v/>
      </c>
      <c r="F52" s="5">
        <f>'balance_raw_47458714'!$F$31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Reserve for sikringstransaktioner</t>
        </is>
      </c>
      <c r="B53" s="11">
        <f>'balance_raw_47458714'!$B$32</f>
        <v/>
      </c>
      <c r="C53" s="11">
        <f>'balance_raw_47458714'!$C$32</f>
        <v/>
      </c>
      <c r="D53" s="11">
        <f>'balance_raw_47458714'!$D$32</f>
        <v/>
      </c>
      <c r="E53" s="11">
        <f>'balance_raw_47458714'!$E$32</f>
        <v/>
      </c>
      <c r="F53" s="11">
        <f>'balance_raw_47458714'!$F$32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Andre reserver</t>
        </is>
      </c>
      <c r="B54" s="5">
        <f>'balance_raw_47458714'!$B$33</f>
        <v/>
      </c>
      <c r="C54" s="5">
        <f>'balance_raw_47458714'!$C$33</f>
        <v/>
      </c>
      <c r="D54" s="5">
        <f>'balance_raw_47458714'!$D$33</f>
        <v/>
      </c>
      <c r="E54" s="5">
        <f>'balance_raw_47458714'!$E$33</f>
        <v/>
      </c>
      <c r="F54" s="5">
        <f>'balance_raw_47458714'!$F$33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Overført resultat</t>
        </is>
      </c>
      <c r="B55" s="11">
        <f>'balance_raw_47458714'!$B$34</f>
        <v/>
      </c>
      <c r="C55" s="11">
        <f>'balance_raw_47458714'!$C$34</f>
        <v/>
      </c>
      <c r="D55" s="11">
        <f>'balance_raw_47458714'!$D$34</f>
        <v/>
      </c>
      <c r="E55" s="11">
        <f>'balance_raw_47458714'!$E$34</f>
        <v/>
      </c>
      <c r="F55" s="11">
        <f>'balance_raw_47458714'!$F$34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Egenkapital i alt</t>
        </is>
      </c>
      <c r="B56" s="8">
        <f>'balance_raw_47458714'!$B$35</f>
        <v/>
      </c>
      <c r="C56" s="8">
        <f>'balance_raw_47458714'!$C$35</f>
        <v/>
      </c>
      <c r="D56" s="8">
        <f>'balance_raw_47458714'!$D$35</f>
        <v/>
      </c>
      <c r="E56" s="8">
        <f>'balance_raw_47458714'!$E$35</f>
        <v/>
      </c>
      <c r="F56" s="8">
        <f>'balance_raw_47458714'!$F$35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Hensættelse til udskudt skat</t>
        </is>
      </c>
      <c r="B57" s="11">
        <f>'balance_raw_47458714'!$B$36</f>
        <v/>
      </c>
      <c r="C57" s="11">
        <f>'balance_raw_47458714'!$C$36</f>
        <v/>
      </c>
      <c r="D57" s="11">
        <f>'balance_raw_47458714'!$D$36</f>
        <v/>
      </c>
      <c r="E57" s="11">
        <f>'balance_raw_47458714'!$E$36</f>
        <v/>
      </c>
      <c r="F57" s="11">
        <f>'balance_raw_47458714'!$F$36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Hensatte forpligtelser</t>
        </is>
      </c>
      <c r="B58" s="8">
        <f>'balance_raw_47458714'!$B$37</f>
        <v/>
      </c>
      <c r="C58" s="8">
        <f>'balance_raw_47458714'!$C$37</f>
        <v/>
      </c>
      <c r="D58" s="8">
        <f>'balance_raw_47458714'!$D$37</f>
        <v/>
      </c>
      <c r="E58" s="8">
        <f>'balance_raw_47458714'!$E$37</f>
        <v/>
      </c>
      <c r="F58" s="8">
        <f>'balance_raw_47458714'!$F$37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10" t="inlineStr">
        <is>
          <t>Ansvarlig lånekapital (langfristet)</t>
        </is>
      </c>
      <c r="B59" s="11">
        <f>'balance_raw_47458714'!$B$38</f>
        <v/>
      </c>
      <c r="C59" s="11">
        <f>'balance_raw_47458714'!$C$38</f>
        <v/>
      </c>
      <c r="D59" s="11">
        <f>'balance_raw_47458714'!$D$38</f>
        <v/>
      </c>
      <c r="E59" s="11">
        <f>'balance_raw_47458714'!$E$38</f>
        <v/>
      </c>
      <c r="F59" s="11">
        <f>'balance_raw_47458714'!$F$38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Langfristede lån</t>
        </is>
      </c>
      <c r="B60" s="5">
        <f>'balance_raw_47458714'!$B$39</f>
        <v/>
      </c>
      <c r="C60" s="5">
        <f>'balance_raw_47458714'!$C$39</f>
        <v/>
      </c>
      <c r="D60" s="5">
        <f>'balance_raw_47458714'!$D$39</f>
        <v/>
      </c>
      <c r="E60" s="5">
        <f>'balance_raw_47458714'!$E$39</f>
        <v/>
      </c>
      <c r="F60" s="5">
        <f>'balance_raw_47458714'!$F$39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Leasingforpligtelser (langfristet)</t>
        </is>
      </c>
      <c r="B61" s="11">
        <f>'balance_raw_47458714'!$B$40</f>
        <v/>
      </c>
      <c r="C61" s="11">
        <f>'balance_raw_47458714'!$C$40</f>
        <v/>
      </c>
      <c r="D61" s="11">
        <f>'balance_raw_47458714'!$D$40</f>
        <v/>
      </c>
      <c r="E61" s="11">
        <f>'balance_raw_47458714'!$E$40</f>
        <v/>
      </c>
      <c r="F61" s="11">
        <f>'balance_raw_47458714'!$F$40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Anden gæld (langfristet)</t>
        </is>
      </c>
      <c r="B62" s="5">
        <f>'balance_raw_47458714'!$B$41</f>
        <v/>
      </c>
      <c r="C62" s="5">
        <f>'balance_raw_47458714'!$C$41</f>
        <v/>
      </c>
      <c r="D62" s="5">
        <f>'balance_raw_47458714'!$D$41</f>
        <v/>
      </c>
      <c r="E62" s="5">
        <f>'balance_raw_47458714'!$E$41</f>
        <v/>
      </c>
      <c r="F62" s="5">
        <f>'balance_raw_47458714'!$F$41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gældsforpligtelser</t>
        </is>
      </c>
      <c r="B63" s="8">
        <f>'balance_raw_47458714'!$B$42</f>
        <v/>
      </c>
      <c r="C63" s="8">
        <f>'balance_raw_47458714'!$C$42</f>
        <v/>
      </c>
      <c r="D63" s="8">
        <f>'balance_raw_47458714'!$D$42</f>
        <v/>
      </c>
      <c r="E63" s="8">
        <f>'balance_raw_47458714'!$E$42</f>
        <v/>
      </c>
      <c r="F63" s="8">
        <f>'balance_raw_47458714'!$F$42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'balance_raw_47458714'!$B$43</f>
        <v/>
      </c>
      <c r="C64" s="5">
        <f>'balance_raw_47458714'!$C$43</f>
        <v/>
      </c>
      <c r="D64" s="5">
        <f>'balance_raw_47458714'!$D$43</f>
        <v/>
      </c>
      <c r="E64" s="5">
        <f>'balance_raw_47458714'!$E$43</f>
        <v/>
      </c>
      <c r="F64" s="5">
        <f>'balance_raw_47458714'!$F$43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Kortfristet del af langfristede gældsforpligtelser</t>
        </is>
      </c>
      <c r="B65" s="11">
        <f>'balance_raw_47458714'!$B$44</f>
        <v/>
      </c>
      <c r="C65" s="11">
        <f>'balance_raw_47458714'!$C$44</f>
        <v/>
      </c>
      <c r="D65" s="11">
        <f>'balance_raw_47458714'!$D$44</f>
        <v/>
      </c>
      <c r="E65" s="11">
        <f>'balance_raw_47458714'!$E$44</f>
        <v/>
      </c>
      <c r="F65" s="11">
        <f>'balance_raw_47458714'!$F$44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'balance_raw_47458714'!$B$45</f>
        <v/>
      </c>
      <c r="C66" s="5">
        <f>'balance_raw_47458714'!$C$45</f>
        <v/>
      </c>
      <c r="D66" s="5">
        <f>'balance_raw_47458714'!$D$45</f>
        <v/>
      </c>
      <c r="E66" s="5">
        <f>'balance_raw_47458714'!$E$45</f>
        <v/>
      </c>
      <c r="F66" s="5">
        <f>'balance_raw_47458714'!$F$45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Leasingforpligtelser (kortfristet)</t>
        </is>
      </c>
      <c r="B67" s="11">
        <f>'balance_raw_47458714'!$B$46</f>
        <v/>
      </c>
      <c r="C67" s="11">
        <f>'balance_raw_47458714'!$C$46</f>
        <v/>
      </c>
      <c r="D67" s="11">
        <f>'balance_raw_47458714'!$D$46</f>
        <v/>
      </c>
      <c r="E67" s="11">
        <f>'balance_raw_47458714'!$E$46</f>
        <v/>
      </c>
      <c r="F67" s="11">
        <f>'balance_raw_47458714'!$F$46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'balance_raw_47458714'!$B$47</f>
        <v/>
      </c>
      <c r="C68" s="5">
        <f>'balance_raw_47458714'!$C$47</f>
        <v/>
      </c>
      <c r="D68" s="5">
        <f>'balance_raw_47458714'!$D$47</f>
        <v/>
      </c>
      <c r="E68" s="5">
        <f>'balance_raw_47458714'!$E$47</f>
        <v/>
      </c>
      <c r="F68" s="5">
        <f>'balance_raw_47458714'!$F$47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</t>
        </is>
      </c>
      <c r="B69" s="11">
        <f>'balance_raw_47458714'!$B$48</f>
        <v/>
      </c>
      <c r="C69" s="11">
        <f>'balance_raw_47458714'!$C$48</f>
        <v/>
      </c>
      <c r="D69" s="11">
        <f>'balance_raw_47458714'!$D$48</f>
        <v/>
      </c>
      <c r="E69" s="11">
        <f>'balance_raw_47458714'!$E$48</f>
        <v/>
      </c>
      <c r="F69" s="11">
        <f>'balance_raw_47458714'!$F$48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'balance_raw_47458714'!$B$49</f>
        <v/>
      </c>
      <c r="C70" s="5">
        <f>'balance_raw_47458714'!$C$49</f>
        <v/>
      </c>
      <c r="D70" s="5">
        <f>'balance_raw_47458714'!$D$49</f>
        <v/>
      </c>
      <c r="E70" s="5">
        <f>'balance_raw_47458714'!$E$49</f>
        <v/>
      </c>
      <c r="F70" s="5">
        <f>'balance_raw_47458714'!$F$49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Selskabsskat</t>
        </is>
      </c>
      <c r="B71" s="11">
        <f>'balance_raw_47458714'!$B$50</f>
        <v/>
      </c>
      <c r="C71" s="11">
        <f>'balance_raw_47458714'!$C$50</f>
        <v/>
      </c>
      <c r="D71" s="11">
        <f>'balance_raw_47458714'!$D$50</f>
        <v/>
      </c>
      <c r="E71" s="11">
        <f>'balance_raw_47458714'!$E$50</f>
        <v/>
      </c>
      <c r="F71" s="11">
        <f>'balance_raw_47458714'!$F$50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'balance_raw_47458714'!$B$51</f>
        <v/>
      </c>
      <c r="C72" s="5">
        <f>'balance_raw_47458714'!$C$51</f>
        <v/>
      </c>
      <c r="D72" s="5">
        <f>'balance_raw_47458714'!$D$51</f>
        <v/>
      </c>
      <c r="E72" s="5">
        <f>'balance_raw_47458714'!$E$51</f>
        <v/>
      </c>
      <c r="F72" s="5">
        <f>'balance_raw_47458714'!$F$51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Anden gæld (kortfristet)</t>
        </is>
      </c>
      <c r="B73" s="11">
        <f>'balance_raw_47458714'!$B$52</f>
        <v/>
      </c>
      <c r="C73" s="11">
        <f>'balance_raw_47458714'!$C$52</f>
        <v/>
      </c>
      <c r="D73" s="11">
        <f>'balance_raw_47458714'!$D$52</f>
        <v/>
      </c>
      <c r="E73" s="11">
        <f>'balance_raw_47458714'!$E$52</f>
        <v/>
      </c>
      <c r="F73" s="11">
        <f>'balance_raw_47458714'!$F$52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'balance_raw_47458714'!$B$53</f>
        <v/>
      </c>
      <c r="C74" s="5">
        <f>'balance_raw_47458714'!$C$53</f>
        <v/>
      </c>
      <c r="D74" s="5">
        <f>'balance_raw_47458714'!$D$53</f>
        <v/>
      </c>
      <c r="E74" s="5">
        <f>'balance_raw_47458714'!$E$53</f>
        <v/>
      </c>
      <c r="F74" s="5">
        <f>'balance_raw_47458714'!$F$53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Kortfristede gældsforpligtelser</t>
        </is>
      </c>
      <c r="B75" s="8">
        <f>'balance_raw_47458714'!$B$54</f>
        <v/>
      </c>
      <c r="C75" s="8">
        <f>'balance_raw_47458714'!$C$54</f>
        <v/>
      </c>
      <c r="D75" s="8">
        <f>'balance_raw_47458714'!$D$54</f>
        <v/>
      </c>
      <c r="E75" s="8">
        <f>'balance_raw_47458714'!$E$54</f>
        <v/>
      </c>
      <c r="F75" s="8">
        <f>'balance_raw_47458714'!$F$54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7" t="inlineStr">
        <is>
          <t>Gældsforpligtelser</t>
        </is>
      </c>
      <c r="B76" s="8">
        <f>'balance_raw_47458714'!$B$55</f>
        <v/>
      </c>
      <c r="C76" s="8">
        <f>'balance_raw_47458714'!$C$55</f>
        <v/>
      </c>
      <c r="D76" s="8">
        <f>'balance_raw_47458714'!$D$55</f>
        <v/>
      </c>
      <c r="E76" s="8">
        <f>'balance_raw_47458714'!$E$55</f>
        <v/>
      </c>
      <c r="F76" s="8">
        <f>'balance_raw_47458714'!$F$55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7" ht="16" customHeight="1">
      <c r="A77" s="7" t="inlineStr">
        <is>
          <t>Passiver</t>
        </is>
      </c>
      <c r="B77" s="8">
        <f>'balance_raw_47458714'!$B$56</f>
        <v/>
      </c>
      <c r="C77" s="8">
        <f>'balance_raw_47458714'!$C$56</f>
        <v/>
      </c>
      <c r="D77" s="8">
        <f>'balance_raw_47458714'!$D$56</f>
        <v/>
      </c>
      <c r="E77" s="8">
        <f>'balance_raw_47458714'!$E$56</f>
        <v/>
      </c>
      <c r="F77" s="8">
        <f>'balance_raw_47458714'!$F$56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9" ht="22" customHeight="1">
      <c r="A79" s="3" t="inlineStr">
        <is>
          <t>NØGLEOPLYSNINGER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Gns. antal medarbejdere</t>
        </is>
      </c>
      <c r="B80" s="5">
        <f>'res_raw_47458714'!$B$17</f>
        <v/>
      </c>
      <c r="C80" s="5">
        <f>'res_raw_47458714'!$C$17</f>
        <v/>
      </c>
      <c r="D80" s="5">
        <f>'res_raw_47458714'!$D$17</f>
        <v/>
      </c>
      <c r="E80" s="5">
        <f>'res_raw_47458714'!$E$17</f>
        <v/>
      </c>
      <c r="F80" s="5">
        <f>'res_raw_47458714'!$F$17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10" t="inlineStr">
        <is>
          <t>Investering i materielle anlægsaktiver</t>
        </is>
      </c>
      <c r="B81" s="11">
        <f>'res_raw_47458714'!$B$18</f>
        <v/>
      </c>
      <c r="C81" s="11">
        <f>'res_raw_47458714'!$C$18</f>
        <v/>
      </c>
      <c r="D81" s="11">
        <f>'res_raw_47458714'!$D$18</f>
        <v/>
      </c>
      <c r="E81" s="11">
        <f>'res_raw_47458714'!$E$18</f>
        <v/>
      </c>
      <c r="F81" s="11">
        <f>'res_raw_47458714'!$F$18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NØGLETAL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Afkastningsgrad, %</t>
        </is>
      </c>
      <c r="B84" s="13">
        <f>IFERROR(($B$11+$B$13+$B$12)/$B$47*100,"")</f>
        <v/>
      </c>
      <c r="C84" s="13">
        <f>IFERROR(($C$11+$C$13+$C$12)/$C$47*100,"")</f>
        <v/>
      </c>
      <c r="D84" s="13">
        <f>IFERROR(($D$11+$D$13+$D$12)/$D$47*100,"")</f>
        <v/>
      </c>
      <c r="E84" s="13">
        <f>IFERROR(($E$11+$E$13+$E$12)/$E$47*100,"")</f>
        <v/>
      </c>
      <c r="F84" s="13">
        <f>IFERROR(($F$11+$F$13+$F$12)/$F$47*100,"")</f>
        <v/>
      </c>
    </row>
    <row r="85" ht="16" customHeight="1">
      <c r="A85" s="10" t="inlineStr">
        <is>
          <t>Overskudsgrad, %</t>
        </is>
      </c>
      <c r="B85" s="14">
        <f>IFERROR(($B$11+$B$13+$B$12)/$B$4*100,"")</f>
        <v/>
      </c>
      <c r="C85" s="14">
        <f>IFERROR(($C$11+$C$13+$C$12)/$C$4*100,"")</f>
        <v/>
      </c>
      <c r="D85" s="14">
        <f>IFERROR(($D$11+$D$13+$D$12)/$D$4*100,"")</f>
        <v/>
      </c>
      <c r="E85" s="14">
        <f>IFERROR(($E$11+$E$13+$E$12)/$E$4*100,"")</f>
        <v/>
      </c>
      <c r="F85" s="14">
        <f>IFERROR(($F$11+$F$13+$F$12)/$F$4*100,"")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IFERROR($B$4/$B$47,"")</f>
        <v/>
      </c>
      <c r="C86" s="13">
        <f>IFERROR($C$4/$C$47,"")</f>
        <v/>
      </c>
      <c r="D86" s="13">
        <f>IFERROR($D$4/$D$47,"")</f>
        <v/>
      </c>
      <c r="E86" s="13">
        <f>IFERROR($E$4/$E$47,"")</f>
        <v/>
      </c>
      <c r="F86" s="13">
        <f>IFERROR($F$4/$F$47,"")</f>
        <v/>
      </c>
    </row>
    <row r="87" ht="16" customHeight="1">
      <c r="A87" s="10" t="inlineStr">
        <is>
          <t>Egenkapitalens forrentning, %</t>
        </is>
      </c>
      <c r="B87" s="14">
        <f>IFERROR($B$16/$B$56*100,"")</f>
        <v/>
      </c>
      <c r="C87" s="14">
        <f>IFERROR($C$16/$C$56*100,"")</f>
        <v/>
      </c>
      <c r="D87" s="14">
        <f>IFERROR($D$16/$D$56*100,"")</f>
        <v/>
      </c>
      <c r="E87" s="14">
        <f>IFERROR($E$16/$E$56*100,"")</f>
        <v/>
      </c>
      <c r="F87" s="14">
        <f>IFERROR($F$16/$F$56*100,"")</f>
        <v/>
      </c>
    </row>
    <row r="88" ht="16" customHeight="1">
      <c r="A88" s="4" t="inlineStr">
        <is>
          <t>Gældsrente, %</t>
        </is>
      </c>
      <c r="B88" s="13">
        <f>IFERROR($B$14/($B$77-$B$56)*100,"")</f>
        <v/>
      </c>
      <c r="C88" s="13">
        <f>IFERROR($C$14/($C$77-$C$56)*100,"")</f>
        <v/>
      </c>
      <c r="D88" s="13">
        <f>IFERROR($D$14/($D$77-$D$56)*100,"")</f>
        <v/>
      </c>
      <c r="E88" s="13">
        <f>IFERROR($E$14/($E$77-$E$56)*100,"")</f>
        <v/>
      </c>
      <c r="F88" s="13">
        <f>IFERROR($F$14/($F$77-$F$56)*100,"")</f>
        <v/>
      </c>
    </row>
    <row r="89" ht="16" customHeight="1">
      <c r="A89" s="10" t="inlineStr">
        <is>
          <t>Soliditetsgrad, %</t>
        </is>
      </c>
      <c r="B89" s="14">
        <f>IFERROR($B$56/$B$47*100,"")</f>
        <v/>
      </c>
      <c r="C89" s="14">
        <f>IFERROR($C$56/$C$47*100,"")</f>
        <v/>
      </c>
      <c r="D89" s="14">
        <f>IFERROR($D$56/$D$47*100,"")</f>
        <v/>
      </c>
      <c r="E89" s="14">
        <f>IFERROR($E$56/$E$47*100,"")</f>
        <v/>
      </c>
      <c r="F89" s="14">
        <f>IFERROR($F$56/$F$47*100,"")</f>
        <v/>
      </c>
    </row>
    <row r="90" ht="16" customHeight="1">
      <c r="A90" s="4" t="inlineStr">
        <is>
          <t>Gearing</t>
        </is>
      </c>
      <c r="B90" s="13">
        <f>IFERROR(($B$77-$B$56)/$B$56,"")</f>
        <v/>
      </c>
      <c r="C90" s="13">
        <f>IFERROR(($C$77-$C$56)/$C$56,"")</f>
        <v/>
      </c>
      <c r="D90" s="13">
        <f>IFERROR(($D$77-$D$56)/$D$56,"")</f>
        <v/>
      </c>
      <c r="E90" s="13">
        <f>IFERROR(($E$77-$E$56)/$E$56,"")</f>
        <v/>
      </c>
      <c r="F90" s="13">
        <f>IFERROR(($F$77-$F$56)/$F$56,"")</f>
        <v/>
      </c>
    </row>
    <row r="91" ht="16" customHeight="1">
      <c r="A91" s="10" t="inlineStr">
        <is>
          <t>Likviditetsgrad, %</t>
        </is>
      </c>
      <c r="B91" s="14">
        <f>IFERROR($B$46/$B$75*100,"")</f>
        <v/>
      </c>
      <c r="C91" s="14">
        <f>IFERROR($C$46/$C$75*100,"")</f>
        <v/>
      </c>
      <c r="D91" s="14">
        <f>IFERROR($D$46/$D$75*100,"")</f>
        <v/>
      </c>
      <c r="E91" s="14">
        <f>IFERROR($E$46/$E$75*100,"")</f>
        <v/>
      </c>
      <c r="F91" s="14">
        <f>IFERROR($F$46/$F$75*100,"")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10" t="inlineStr">
        <is>
          <t>Gældsandel, %</t>
        </is>
      </c>
      <c r="B93" s="14">
        <f>IFERROR(($B$77-$B$56)/$B$47*100,"")</f>
        <v/>
      </c>
      <c r="C93" s="14">
        <f>IFERROR(($C$77-$C$56)/$C$47*100,"")</f>
        <v/>
      </c>
      <c r="D93" s="14">
        <f>IFERROR(($D$77-$D$56)/$D$47*100,"")</f>
        <v/>
      </c>
      <c r="E93" s="14">
        <f>IFERROR(($E$77-$E$56)/$E$47*100,"")</f>
        <v/>
      </c>
      <c r="F93" s="14">
        <f>IFERROR(($F$77-$F$56)/$F$47*100,"")</f>
        <v/>
      </c>
    </row>
    <row r="94" ht="16" customHeight="1">
      <c r="A94" s="4" t="inlineStr">
        <is>
          <t>Kapitalbindingsgrad, %</t>
        </is>
      </c>
      <c r="B94" s="13">
        <f>IFERROR($B$34/($B$56+$B$63)*100,"")</f>
        <v/>
      </c>
      <c r="C94" s="13">
        <f>IFERROR($C$34/($C$56+$C$63)*100,"")</f>
        <v/>
      </c>
      <c r="D94" s="13">
        <f>IFERROR($D$34/($D$56+$D$63)*100,"")</f>
        <v/>
      </c>
      <c r="E94" s="13">
        <f>IFERROR($E$34/($E$56+$E$63)*100,"")</f>
        <v/>
      </c>
      <c r="F94" s="13">
        <f>IFERROR($F$34/($F$56+$F$63)*100,"")</f>
        <v/>
      </c>
    </row>
    <row r="96">
      <c r="A96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LEGO System A/S (CVR 47458714)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40925000</v>
      </c>
      <c r="C2" s="16" t="n">
        <v>48295000</v>
      </c>
      <c r="D2" s="16" t="n">
        <v>47957000</v>
      </c>
      <c r="E2" s="16" t="n">
        <v>55590000</v>
      </c>
      <c r="F2" s="16" t="n">
        <v>61963000</v>
      </c>
    </row>
    <row r="3">
      <c r="A3" s="15" t="inlineStr">
        <is>
          <t>Produktionsomkostninger</t>
        </is>
      </c>
      <c r="B3" s="16" t="n">
        <v>17545000</v>
      </c>
      <c r="C3" s="16" t="n">
        <v>21641000</v>
      </c>
      <c r="D3" s="16" t="n">
        <v>22828000</v>
      </c>
      <c r="E3" s="16" t="n">
        <v>26075000</v>
      </c>
      <c r="F3" s="16" t="n">
        <v>29937000</v>
      </c>
    </row>
    <row r="4">
      <c r="A4" s="17" t="inlineStr">
        <is>
          <t>Bruttoresultat</t>
        </is>
      </c>
      <c r="B4" s="16" t="n">
        <v>23380000</v>
      </c>
      <c r="C4" s="16" t="n">
        <v>26654000</v>
      </c>
      <c r="D4" s="16" t="n">
        <v>25129000</v>
      </c>
      <c r="E4" s="16" t="n">
        <v>29515000</v>
      </c>
      <c r="F4" s="16" t="n">
        <v>32026000</v>
      </c>
    </row>
    <row r="5">
      <c r="A5" s="15" t="inlineStr">
        <is>
          <t>Salgs- og distributionsomkostninger</t>
        </is>
      </c>
      <c r="B5" s="16" t="n">
        <v>6266000</v>
      </c>
      <c r="C5" s="16" t="n">
        <v>7592000</v>
      </c>
      <c r="D5" s="16" t="n">
        <v>7616000</v>
      </c>
      <c r="E5" s="16" t="n">
        <v>8884000</v>
      </c>
      <c r="F5" s="16" t="n">
        <v>9544000</v>
      </c>
    </row>
    <row r="6">
      <c r="A6" s="15" t="inlineStr">
        <is>
          <t>Administrationsomkostninger</t>
        </is>
      </c>
      <c r="B6" s="16" t="n">
        <v>2657000</v>
      </c>
      <c r="C6" s="16" t="n">
        <v>2746000</v>
      </c>
      <c r="D6" s="16" t="n">
        <v>3187000</v>
      </c>
      <c r="E6" s="16" t="n">
        <v>3884000</v>
      </c>
      <c r="F6" s="16" t="n">
        <v>4157000</v>
      </c>
    </row>
    <row r="7">
      <c r="A7" s="15" t="inlineStr">
        <is>
          <t>Andre driftsindtægter</t>
        </is>
      </c>
      <c r="B7" s="16" t="n"/>
      <c r="C7" s="16" t="n"/>
      <c r="D7" s="16" t="n"/>
      <c r="E7" s="16" t="n"/>
      <c r="F7" s="16" t="n"/>
    </row>
    <row r="8">
      <c r="A8" s="15" t="inlineStr">
        <is>
          <t>Andre driftsomkostninger</t>
        </is>
      </c>
      <c r="B8" s="16" t="n">
        <v>999000</v>
      </c>
      <c r="C8" s="16" t="n">
        <v>1594000</v>
      </c>
      <c r="D8" s="16" t="n">
        <v>1876000</v>
      </c>
      <c r="E8" s="16" t="n">
        <v>2447000</v>
      </c>
      <c r="F8" s="16" t="n">
        <v>2544000</v>
      </c>
    </row>
    <row r="9">
      <c r="A9" s="17" t="inlineStr">
        <is>
          <t>Resultat af primær drift</t>
        </is>
      </c>
      <c r="B9" s="16" t="n">
        <v>14457000</v>
      </c>
      <c r="C9" s="16" t="n">
        <v>16316000</v>
      </c>
      <c r="D9" s="16" t="n">
        <v>14326000</v>
      </c>
      <c r="E9" s="16" t="n">
        <v>16747000</v>
      </c>
      <c r="F9" s="16" t="n">
        <v>18325000</v>
      </c>
    </row>
    <row r="10">
      <c r="A10" s="15" t="inlineStr">
        <is>
          <t>Indtægter af kapitalandele, dattervirksomheder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Finansielle indtægter</t>
        </is>
      </c>
      <c r="B11" s="16" t="n">
        <v>382000</v>
      </c>
      <c r="C11" s="16" t="n">
        <v>587000</v>
      </c>
      <c r="D11" s="16" t="n">
        <v>1690000</v>
      </c>
      <c r="E11" s="16" t="n">
        <v>1296000</v>
      </c>
      <c r="F11" s="16" t="n">
        <v>1410000</v>
      </c>
    </row>
    <row r="12">
      <c r="A12" s="15" t="inlineStr">
        <is>
          <t>Finansielle omkostninger</t>
        </is>
      </c>
      <c r="B12" s="16" t="n">
        <v>186000</v>
      </c>
      <c r="C12" s="16" t="n">
        <v>990000</v>
      </c>
      <c r="D12" s="16" t="n">
        <v>377000</v>
      </c>
      <c r="E12" s="16" t="n">
        <v>948000</v>
      </c>
      <c r="F12" s="16" t="n">
        <v>242000</v>
      </c>
    </row>
    <row r="13">
      <c r="A13" s="17" t="inlineStr">
        <is>
          <t>Finansielle poster, netto</t>
        </is>
      </c>
      <c r="B13" s="16" t="n">
        <v>196000</v>
      </c>
      <c r="C13" s="16" t="n">
        <v>-403000</v>
      </c>
      <c r="D13" s="16" t="n">
        <v>1313000</v>
      </c>
      <c r="E13" s="16" t="n">
        <v>348000</v>
      </c>
      <c r="F13" s="16" t="n">
        <v>1168000</v>
      </c>
    </row>
    <row r="14">
      <c r="A14" s="17" t="inlineStr">
        <is>
          <t>Resultat før skat</t>
        </is>
      </c>
      <c r="B14" s="16" t="n">
        <v>13654000</v>
      </c>
      <c r="C14" s="16" t="n">
        <v>14319000</v>
      </c>
      <c r="D14" s="16" t="n">
        <v>13763000</v>
      </c>
      <c r="E14" s="16" t="n">
        <v>14648000</v>
      </c>
      <c r="F14" s="16" t="n">
        <v>16949000</v>
      </c>
    </row>
    <row r="15">
      <c r="A15" s="15" t="inlineStr">
        <is>
          <t>Skat af årets resultat</t>
        </is>
      </c>
      <c r="B15" s="16" t="n">
        <v>2981000</v>
      </c>
      <c r="C15" s="16" t="n">
        <v>2949000</v>
      </c>
      <c r="D15" s="16" t="n">
        <v>2851000</v>
      </c>
      <c r="E15" s="16" t="n">
        <v>3243000</v>
      </c>
      <c r="F15" s="16" t="n">
        <v>3691000</v>
      </c>
    </row>
    <row r="16">
      <c r="A16" s="17" t="inlineStr">
        <is>
          <t>Årets resultat</t>
        </is>
      </c>
      <c r="B16" s="16" t="n">
        <v>10673000</v>
      </c>
      <c r="C16" s="16" t="n">
        <v>11370000</v>
      </c>
      <c r="D16" s="16" t="n">
        <v>10912000</v>
      </c>
      <c r="E16" s="16" t="n">
        <v>11405000</v>
      </c>
      <c r="F16" s="16" t="n">
        <v>13258000</v>
      </c>
    </row>
    <row r="17">
      <c r="A17" s="15" t="inlineStr">
        <is>
          <t>Gns. antal medarbejdere</t>
        </is>
      </c>
      <c r="B17" s="16" t="n">
        <v>4409</v>
      </c>
      <c r="C17" s="16" t="n">
        <v>4958</v>
      </c>
      <c r="D17" s="16" t="n">
        <v>5587</v>
      </c>
      <c r="E17" s="16" t="n">
        <v>5950</v>
      </c>
      <c r="F17" s="16" t="n">
        <v>6257</v>
      </c>
    </row>
    <row r="18">
      <c r="A18" s="15" t="inlineStr">
        <is>
          <t>Investering i materielle anlægsaktiver</t>
        </is>
      </c>
      <c r="B18" s="16" t="n">
        <v>1313000</v>
      </c>
      <c r="C18" s="16" t="n">
        <v>1822000</v>
      </c>
      <c r="D18" s="16" t="n">
        <v>1707000</v>
      </c>
      <c r="E18" s="16" t="n">
        <v>1900000</v>
      </c>
      <c r="F18" s="16" t="n">
        <v>2528000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LEGO System A/S (CVR 47458714)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51000</v>
      </c>
      <c r="C2" s="16" t="n">
        <v>126000</v>
      </c>
      <c r="D2" s="16" t="n">
        <v>306000</v>
      </c>
      <c r="E2" s="16" t="n">
        <v>442000</v>
      </c>
      <c r="F2" s="16" t="n">
        <v>629000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81000</v>
      </c>
      <c r="C5" s="16" t="n">
        <v>143000</v>
      </c>
      <c r="D5" s="16" t="n">
        <v>310000</v>
      </c>
      <c r="E5" s="16" t="n">
        <v>445000</v>
      </c>
      <c r="F5" s="16" t="n">
        <v>631000</v>
      </c>
    </row>
    <row r="6">
      <c r="A6" s="15" t="inlineStr">
        <is>
          <t>Grunde og bygninger</t>
        </is>
      </c>
      <c r="B6" s="16" t="n">
        <v>563000</v>
      </c>
      <c r="C6" s="16" t="n">
        <v>589000</v>
      </c>
      <c r="D6" s="16" t="n">
        <v>573000</v>
      </c>
      <c r="E6" s="16" t="n">
        <v>556000</v>
      </c>
      <c r="F6" s="16" t="n">
        <v>672000</v>
      </c>
    </row>
    <row r="7">
      <c r="A7" s="15" t="inlineStr">
        <is>
          <t>Produktionsanlæg og maskiner</t>
        </is>
      </c>
      <c r="B7" s="16" t="n">
        <v>2061000</v>
      </c>
      <c r="C7" s="16" t="n">
        <v>2283000</v>
      </c>
      <c r="D7" s="16" t="n">
        <v>2419000</v>
      </c>
      <c r="E7" s="16" t="n">
        <v>2307000</v>
      </c>
      <c r="F7" s="16" t="n">
        <v>3357000</v>
      </c>
    </row>
    <row r="8">
      <c r="A8" s="15" t="inlineStr">
        <is>
          <t>Driftsmateriel og inventar</t>
        </is>
      </c>
      <c r="B8" s="16" t="n">
        <v>209000</v>
      </c>
      <c r="C8" s="16" t="n">
        <v>293000</v>
      </c>
      <c r="D8" s="16" t="n">
        <v>306000</v>
      </c>
      <c r="E8" s="16" t="n">
        <v>336000</v>
      </c>
      <c r="F8" s="16" t="n">
        <v>286000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>
        <v>645000</v>
      </c>
      <c r="C10" s="16" t="n">
        <v>1246000</v>
      </c>
      <c r="D10" s="16" t="n">
        <v>1782000</v>
      </c>
      <c r="E10" s="16" t="n">
        <v>2849000</v>
      </c>
      <c r="F10" s="16" t="n">
        <v>3431000</v>
      </c>
    </row>
    <row r="11">
      <c r="A11" s="17" t="inlineStr">
        <is>
          <t>Materielle anlægsaktiver</t>
        </is>
      </c>
      <c r="B11" s="16" t="n">
        <v>3478000</v>
      </c>
      <c r="C11" s="16" t="n">
        <v>4411000</v>
      </c>
      <c r="D11" s="16" t="n">
        <v>5080000</v>
      </c>
      <c r="E11" s="16" t="n">
        <v>6048000</v>
      </c>
      <c r="F11" s="16" t="n">
        <v>7746000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/>
      <c r="C13" s="16" t="n"/>
      <c r="D13" s="16" t="n">
        <v>5098000</v>
      </c>
      <c r="E13" s="16" t="n">
        <v>10077000</v>
      </c>
      <c r="F13" s="16" t="n">
        <v>9475000</v>
      </c>
    </row>
    <row r="14">
      <c r="A14" s="17" t="inlineStr">
        <is>
          <t>Finansielle anlægsaktiver</t>
        </is>
      </c>
      <c r="B14" s="16" t="n"/>
      <c r="C14" s="16" t="n"/>
      <c r="D14" s="16" t="n">
        <v>175000</v>
      </c>
      <c r="E14" s="16" t="n">
        <v>10187000</v>
      </c>
      <c r="F14" s="16" t="n">
        <v>9703000</v>
      </c>
    </row>
    <row r="15">
      <c r="A15" s="17" t="inlineStr">
        <is>
          <t>Anlægsaktiver</t>
        </is>
      </c>
      <c r="B15" s="16" t="n">
        <v>5552000</v>
      </c>
      <c r="C15" s="16" t="n">
        <v>6556000</v>
      </c>
      <c r="D15" s="16" t="n">
        <v>12503000</v>
      </c>
      <c r="E15" s="16" t="n">
        <v>18893000</v>
      </c>
      <c r="F15" s="16" t="n">
        <v>20827000</v>
      </c>
    </row>
    <row r="16">
      <c r="A16" s="17" t="inlineStr">
        <is>
          <t>Varebeholdninger</t>
        </is>
      </c>
      <c r="B16" s="16" t="n">
        <v>2126000</v>
      </c>
      <c r="C16" s="16" t="n">
        <v>3522000</v>
      </c>
      <c r="D16" s="16" t="n">
        <v>3378000</v>
      </c>
      <c r="E16" s="16" t="n">
        <v>4034000</v>
      </c>
      <c r="F16" s="16" t="n">
        <v>4505000</v>
      </c>
    </row>
    <row r="17">
      <c r="A17" s="15" t="inlineStr">
        <is>
          <t>Tilgodehavender fra salg og tjenesteydelser</t>
        </is>
      </c>
      <c r="B17" s="16" t="n">
        <v>622000</v>
      </c>
      <c r="C17" s="16" t="n">
        <v>399000</v>
      </c>
      <c r="D17" s="16" t="n">
        <v>421000</v>
      </c>
      <c r="E17" s="16" t="n">
        <v>517000</v>
      </c>
      <c r="F17" s="16" t="n">
        <v>537000</v>
      </c>
    </row>
    <row r="18">
      <c r="A18" s="15" t="inlineStr">
        <is>
          <t>Tilgodehavender hos tilknyttede virksomheder</t>
        </is>
      </c>
      <c r="B18" s="16" t="n">
        <v>27394000</v>
      </c>
      <c r="C18" s="16" t="n">
        <v>28959000</v>
      </c>
      <c r="D18" s="16" t="n">
        <v>23782000</v>
      </c>
      <c r="E18" s="16" t="n">
        <v>21833000</v>
      </c>
      <c r="F18" s="16" t="n">
        <v>23125000</v>
      </c>
    </row>
    <row r="19">
      <c r="A19" s="15" t="inlineStr">
        <is>
          <t>Andre tilgodehavender</t>
        </is>
      </c>
      <c r="B19" s="16" t="n">
        <v>818000</v>
      </c>
      <c r="C19" s="16" t="n">
        <v>1391000</v>
      </c>
      <c r="D19" s="16" t="n">
        <v>1438000</v>
      </c>
      <c r="E19" s="16" t="n">
        <v>771000</v>
      </c>
      <c r="F19" s="16" t="n">
        <v>1130000</v>
      </c>
    </row>
    <row r="20">
      <c r="A20" s="15" t="inlineStr">
        <is>
          <t>Periodeafgrænsningsposter (aktiver)</t>
        </is>
      </c>
      <c r="B20" s="16" t="n"/>
      <c r="C20" s="16" t="n">
        <v>0</v>
      </c>
      <c r="D20" s="16" t="n"/>
      <c r="E20" s="16" t="n"/>
      <c r="F20" s="16" t="n"/>
    </row>
    <row r="21">
      <c r="A21" s="15" t="inlineStr">
        <is>
          <t>Udskudt skatteaktiv</t>
        </is>
      </c>
      <c r="B21" s="16" t="n">
        <v>66000</v>
      </c>
      <c r="C21" s="16" t="n"/>
      <c r="D21" s="16" t="n">
        <v>39000</v>
      </c>
      <c r="E21" s="16" t="n">
        <v>79000</v>
      </c>
      <c r="F21" s="16" t="n">
        <v>0</v>
      </c>
    </row>
    <row r="22">
      <c r="A22" s="15" t="inlineStr">
        <is>
          <t>Tilgodehavende skat hos tilknyttede virksomheder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Kortfristede skattetilgodehavender</t>
        </is>
      </c>
      <c r="B23" s="16" t="n">
        <v>0</v>
      </c>
      <c r="C23" s="16" t="n"/>
      <c r="D23" s="16" t="n">
        <v>531000</v>
      </c>
      <c r="E23" s="16" t="n">
        <v>501000</v>
      </c>
      <c r="F23" s="16" t="n">
        <v>501000</v>
      </c>
    </row>
    <row r="24">
      <c r="A24" s="17" t="inlineStr">
        <is>
          <t>Tilgodehavender</t>
        </is>
      </c>
      <c r="B24" s="16" t="n">
        <v>28900000</v>
      </c>
      <c r="C24" s="16" t="n">
        <v>30749000</v>
      </c>
      <c r="D24" s="16" t="n">
        <v>26211000</v>
      </c>
      <c r="E24" s="16" t="n">
        <v>24085000</v>
      </c>
      <c r="F24" s="16" t="n">
        <v>25720000</v>
      </c>
    </row>
    <row r="25">
      <c r="A25" s="15" t="inlineStr">
        <is>
          <t>Værdipapirer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Likvide beholdninger</t>
        </is>
      </c>
      <c r="B26" s="16" t="n">
        <v>427000</v>
      </c>
      <c r="C26" s="16" t="n">
        <v>509000</v>
      </c>
      <c r="D26" s="16" t="n">
        <v>102000</v>
      </c>
      <c r="E26" s="16" t="n">
        <v>0</v>
      </c>
      <c r="F26" s="16" t="n">
        <v>185000</v>
      </c>
    </row>
    <row r="27">
      <c r="A27" s="17" t="inlineStr">
        <is>
          <t>Omsætningsaktiver</t>
        </is>
      </c>
      <c r="B27" s="16" t="n">
        <v>31453000</v>
      </c>
      <c r="C27" s="16" t="n">
        <v>34780000</v>
      </c>
      <c r="D27" s="16" t="n">
        <v>29691000</v>
      </c>
      <c r="E27" s="16" t="n">
        <v>28119000</v>
      </c>
      <c r="F27" s="16" t="n">
        <v>30410000</v>
      </c>
    </row>
    <row r="28">
      <c r="A28" s="17" t="inlineStr">
        <is>
          <t>Aktiver</t>
        </is>
      </c>
      <c r="B28" s="16" t="n">
        <v>37005000</v>
      </c>
      <c r="C28" s="16" t="n">
        <v>41336000</v>
      </c>
      <c r="D28" s="16" t="n">
        <v>42194000</v>
      </c>
      <c r="E28" s="16" t="n">
        <v>47012000</v>
      </c>
      <c r="F28" s="16" t="n">
        <v>51237000</v>
      </c>
    </row>
    <row r="29">
      <c r="A29" s="15" t="inlineStr">
        <is>
          <t>Selskabskapital</t>
        </is>
      </c>
      <c r="B29" s="16" t="n">
        <v>50000</v>
      </c>
      <c r="C29" s="16" t="n">
        <v>50000</v>
      </c>
      <c r="D29" s="16" t="n">
        <v>50000</v>
      </c>
      <c r="E29" s="16" t="n">
        <v>50000</v>
      </c>
      <c r="F29" s="16" t="n">
        <v>50000</v>
      </c>
    </row>
    <row r="30">
      <c r="A30" s="15" t="inlineStr">
        <is>
          <t>Reserve for nettoopskrivning (indre værdis metode)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udviklingsomkostninger</t>
        </is>
      </c>
      <c r="B31" s="16" t="n">
        <v>63000</v>
      </c>
      <c r="C31" s="16" t="n">
        <v>112000</v>
      </c>
      <c r="D31" s="16" t="n">
        <v>242000</v>
      </c>
      <c r="E31" s="16" t="n">
        <v>347000</v>
      </c>
      <c r="F31" s="16" t="n">
        <v>493000</v>
      </c>
    </row>
    <row r="32">
      <c r="A32" s="15" t="inlineStr">
        <is>
          <t>Reserve for sikringstransaktioner</t>
        </is>
      </c>
      <c r="B32" s="16" t="n">
        <v>-161000</v>
      </c>
      <c r="C32" s="16" t="n">
        <v>157000</v>
      </c>
      <c r="D32" s="16" t="n">
        <v>54000</v>
      </c>
      <c r="E32" s="16" t="n">
        <v>-216000</v>
      </c>
      <c r="F32" s="16" t="n">
        <v>147000</v>
      </c>
    </row>
    <row r="33">
      <c r="A33" s="15" t="inlineStr">
        <is>
          <t>Andre reserver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Overført resultat</t>
        </is>
      </c>
      <c r="B34" s="16" t="n">
        <v>6670000</v>
      </c>
      <c r="C34" s="16" t="n">
        <v>8991000</v>
      </c>
      <c r="D34" s="16" t="n">
        <v>10773000</v>
      </c>
      <c r="E34" s="16" t="n">
        <v>13073000</v>
      </c>
      <c r="F34" s="16" t="n">
        <v>12185000</v>
      </c>
    </row>
    <row r="35">
      <c r="A35" s="17" t="inlineStr">
        <is>
          <t>Egenkapital i alt</t>
        </is>
      </c>
      <c r="B35" s="16" t="n">
        <v>16622000</v>
      </c>
      <c r="C35" s="16" t="n">
        <v>18310000</v>
      </c>
      <c r="D35" s="16" t="n">
        <v>20119000</v>
      </c>
      <c r="E35" s="16" t="n">
        <v>22254000</v>
      </c>
      <c r="F35" s="16" t="n">
        <v>24875000</v>
      </c>
    </row>
    <row r="36">
      <c r="A36" s="15" t="inlineStr">
        <is>
          <t>Hensættelse til udskudt skat</t>
        </is>
      </c>
      <c r="B36" s="16" t="n">
        <v>0</v>
      </c>
      <c r="C36" s="16" t="n">
        <v>26000</v>
      </c>
      <c r="D36" s="16" t="n">
        <v>0</v>
      </c>
      <c r="E36" s="16" t="n"/>
      <c r="F36" s="16" t="n">
        <v>81000</v>
      </c>
    </row>
    <row r="37">
      <c r="A37" s="17" t="inlineStr">
        <is>
          <t>Hensatte forpligtelser</t>
        </is>
      </c>
      <c r="B37" s="16" t="n">
        <v>46000</v>
      </c>
      <c r="C37" s="16" t="n">
        <v>100000</v>
      </c>
      <c r="D37" s="16" t="n">
        <v>24000</v>
      </c>
      <c r="E37" s="16" t="n">
        <v>9000</v>
      </c>
      <c r="F37" s="16" t="n">
        <v>89000</v>
      </c>
    </row>
    <row r="38">
      <c r="A38" s="15" t="inlineStr">
        <is>
          <t>Ansvarlig lånekapital (langfristet)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Langfristede lån</t>
        </is>
      </c>
      <c r="B39" s="16" t="n">
        <v>127000</v>
      </c>
      <c r="C39" s="16" t="n">
        <v>118000</v>
      </c>
      <c r="D39" s="16" t="n">
        <v>0</v>
      </c>
      <c r="E39" s="16" t="n"/>
      <c r="F39" s="16" t="n"/>
    </row>
    <row r="40">
      <c r="A40" s="15" t="inlineStr">
        <is>
          <t>Leasingforpligtelser (langfristet)</t>
        </is>
      </c>
      <c r="B40" s="16" t="n">
        <v>1838000</v>
      </c>
      <c r="C40" s="16" t="n">
        <v>1827000</v>
      </c>
      <c r="D40" s="16" t="n">
        <v>1860000</v>
      </c>
      <c r="E40" s="16" t="n">
        <v>1982000</v>
      </c>
      <c r="F40" s="16" t="n">
        <v>2558000</v>
      </c>
    </row>
    <row r="41">
      <c r="A41" s="15" t="inlineStr">
        <is>
          <t>Anden gæld (langfristet)</t>
        </is>
      </c>
      <c r="B41" s="16" t="n"/>
      <c r="C41" s="16" t="n">
        <v>95000</v>
      </c>
      <c r="D41" s="16" t="n">
        <v>0</v>
      </c>
      <c r="E41" s="16" t="n"/>
      <c r="F41" s="16" t="n">
        <v>97000</v>
      </c>
    </row>
    <row r="42">
      <c r="A42" s="17" t="inlineStr">
        <is>
          <t>Langfristede gældsforpligtelser</t>
        </is>
      </c>
      <c r="B42" s="16" t="n">
        <v>1965000</v>
      </c>
      <c r="C42" s="16" t="n">
        <v>2040000</v>
      </c>
      <c r="D42" s="16" t="n">
        <v>1860000</v>
      </c>
      <c r="E42" s="16" t="n">
        <v>1982000</v>
      </c>
      <c r="F42" s="16" t="n">
        <v>2655000</v>
      </c>
    </row>
    <row r="43">
      <c r="A43" s="15" t="inlineStr">
        <is>
          <t>Ansvarlig lånekapital (kortfristet)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Kortfristet del af langfristede gældsforpligtelser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Kreditinstitutter</t>
        </is>
      </c>
      <c r="B45" s="16" t="n">
        <v>10000</v>
      </c>
      <c r="C45" s="16" t="n">
        <v>9000</v>
      </c>
      <c r="D45" s="16" t="n">
        <v>0</v>
      </c>
      <c r="E45" s="16" t="n">
        <v>68000</v>
      </c>
      <c r="F45" s="16" t="n">
        <v>0</v>
      </c>
    </row>
    <row r="46">
      <c r="A46" s="15" t="inlineStr">
        <is>
          <t>Leasingforpligtelser (kortfristet)</t>
        </is>
      </c>
      <c r="B46" s="16" t="n">
        <v>181000</v>
      </c>
      <c r="C46" s="16" t="n">
        <v>210000</v>
      </c>
      <c r="D46" s="16" t="n">
        <v>202000</v>
      </c>
      <c r="E46" s="16" t="n">
        <v>289000</v>
      </c>
      <c r="F46" s="16" t="n">
        <v>249000</v>
      </c>
    </row>
    <row r="47">
      <c r="A47" s="15" t="inlineStr">
        <is>
          <t>Leverandører af varer og tjenesteydelser</t>
        </is>
      </c>
      <c r="B47" s="16" t="n">
        <v>2200000</v>
      </c>
      <c r="C47" s="16" t="n">
        <v>2408000</v>
      </c>
      <c r="D47" s="16" t="n">
        <v>2193000</v>
      </c>
      <c r="E47" s="16" t="n">
        <v>2366000</v>
      </c>
      <c r="F47" s="16" t="n">
        <v>2938000</v>
      </c>
    </row>
    <row r="48">
      <c r="A48" s="15" t="inlineStr">
        <is>
          <t>Gæld til tilknyttede virksomheder</t>
        </is>
      </c>
      <c r="B48" s="16" t="n">
        <v>12693000</v>
      </c>
      <c r="C48" s="16" t="n">
        <v>14665000</v>
      </c>
      <c r="D48" s="16" t="n">
        <v>13495000</v>
      </c>
      <c r="E48" s="16" t="n">
        <v>14038000</v>
      </c>
      <c r="F48" s="16" t="n">
        <v>13986000</v>
      </c>
    </row>
    <row r="49">
      <c r="A49" s="15" t="inlineStr">
        <is>
          <t>Gæld til selskabsdeltagere og ledelse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Selskabsskat</t>
        </is>
      </c>
      <c r="B50" s="16" t="n">
        <v>18000</v>
      </c>
      <c r="C50" s="16" t="n">
        <v>232000</v>
      </c>
      <c r="D50" s="16" t="n">
        <v>690000</v>
      </c>
      <c r="E50" s="16" t="n">
        <v>561000</v>
      </c>
      <c r="F50" s="16" t="n">
        <v>837000</v>
      </c>
    </row>
    <row r="51">
      <c r="A51" s="15" t="inlineStr">
        <is>
          <t>Gæld til tilknyttede virksomheder vedr. selskabsskat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Anden gæld (kortfristet)</t>
        </is>
      </c>
      <c r="B52" s="16" t="n">
        <v>2875000</v>
      </c>
      <c r="C52" s="16" t="n">
        <v>2747000</v>
      </c>
      <c r="D52" s="16" t="n">
        <v>2803000</v>
      </c>
      <c r="E52" s="16" t="n">
        <v>4497000</v>
      </c>
      <c r="F52" s="16" t="n">
        <v>4595000</v>
      </c>
    </row>
    <row r="53">
      <c r="A53" s="15" t="inlineStr">
        <is>
          <t>Periodeafgrænsningsposter (passiver)</t>
        </is>
      </c>
      <c r="B53" s="16" t="n">
        <v>395000</v>
      </c>
      <c r="C53" s="16" t="n">
        <v>615000</v>
      </c>
      <c r="D53" s="16" t="n">
        <v>808000</v>
      </c>
      <c r="E53" s="16" t="n">
        <v>948000</v>
      </c>
      <c r="F53" s="16" t="n">
        <v>1013000</v>
      </c>
    </row>
    <row r="54">
      <c r="A54" s="17" t="inlineStr">
        <is>
          <t>Kortfristede gældsforpligtelser</t>
        </is>
      </c>
      <c r="B54" s="16" t="n">
        <v>18372000</v>
      </c>
      <c r="C54" s="16" t="n">
        <v>20886000</v>
      </c>
      <c r="D54" s="16" t="n">
        <v>20191000</v>
      </c>
      <c r="E54" s="16" t="n">
        <v>22767000</v>
      </c>
      <c r="F54" s="16" t="n">
        <v>23618000</v>
      </c>
    </row>
    <row r="55">
      <c r="A55" s="17" t="inlineStr">
        <is>
          <t>Gældsforpligtelser</t>
        </is>
      </c>
      <c r="B55" s="16" t="n">
        <v>20337000</v>
      </c>
      <c r="C55" s="16" t="n">
        <v>22926000</v>
      </c>
      <c r="D55" s="16" t="n">
        <v>22051000</v>
      </c>
      <c r="E55" s="16" t="n">
        <v>24749000</v>
      </c>
      <c r="F55" s="16" t="n">
        <v>26273000</v>
      </c>
    </row>
    <row r="56">
      <c r="A56" s="17" t="inlineStr">
        <is>
          <t>Passiver</t>
        </is>
      </c>
      <c r="B56" s="16" t="n">
        <v>37005000</v>
      </c>
      <c r="C56" s="16" t="n">
        <v>41336000</v>
      </c>
      <c r="D56" s="16" t="n">
        <v>42194000</v>
      </c>
      <c r="E56" s="16" t="n">
        <v>47012000</v>
      </c>
      <c r="F56" s="16" t="n">
        <v>51237000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LEGO System A/S (CVR 47458714) — Regnskabs- og nøgletal (CVR: 47458714)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'res_raw_47458714'!$F$2</f>
        <v/>
      </c>
      <c r="C5" s="24">
        <f>'res_raw_47458714'!$E$2</f>
        <v/>
      </c>
      <c r="D5" s="24">
        <f>'res_raw_47458714'!$D$2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-'res_raw_47458714'!$F$3</f>
        <v/>
      </c>
      <c r="C6" s="24">
        <f>-'res_raw_47458714'!$E$3</f>
        <v/>
      </c>
      <c r="D6" s="24">
        <f>-'res_raw_47458714'!$D$3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-'res_raw_47458714'!$F$5</f>
        <v/>
      </c>
      <c r="C8" s="24">
        <f>-'res_raw_47458714'!$E$5</f>
        <v/>
      </c>
      <c r="D8" s="24">
        <f>-'res_raw_47458714'!$D$5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-'res_raw_47458714'!$F$6</f>
        <v/>
      </c>
      <c r="C9" s="24">
        <f>-'res_raw_47458714'!$E$6</f>
        <v/>
      </c>
      <c r="D9" s="24">
        <f>-'res_raw_47458714'!$D$6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'res_raw_47458714'!$F$7</f>
        <v/>
      </c>
      <c r="C10" s="24">
        <f>'res_raw_47458714'!$E$7</f>
        <v/>
      </c>
      <c r="D10" s="24">
        <f>'res_raw_47458714'!$D$7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-'res_raw_47458714'!$F$8</f>
        <v/>
      </c>
      <c r="C11" s="24">
        <f>-'res_raw_47458714'!$E$8</f>
        <v/>
      </c>
      <c r="D11" s="24">
        <f>-'res_raw_47458714'!$D$8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N('res_raw_47458714'!$F$10)+N('res_raw_47458714'!$F$11)</f>
        <v/>
      </c>
      <c r="C13" s="24">
        <f>N('res_raw_47458714'!$E$10)+N('res_raw_47458714'!$E$11)</f>
        <v/>
      </c>
      <c r="D13" s="24">
        <f>N('res_raw_47458714'!$D$10)+N('res_raw_47458714'!$D$11)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-'res_raw_47458714'!$F$12</f>
        <v/>
      </c>
      <c r="C14" s="24">
        <f>-'res_raw_47458714'!$E$12</f>
        <v/>
      </c>
      <c r="D14" s="24">
        <f>-'res_raw_47458714'!$D$12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'balance_raw_47458714'!$F$15</f>
        <v/>
      </c>
      <c r="C18" s="24">
        <f>'balance_raw_47458714'!$E$15</f>
        <v/>
      </c>
      <c r="D18" s="24">
        <f>'balance_raw_47458714'!$D$15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'balance_raw_47458714'!$F$27</f>
        <v/>
      </c>
      <c r="C19" s="24">
        <f>'balance_raw_47458714'!$E$27</f>
        <v/>
      </c>
      <c r="D19" s="24">
        <f>'balance_raw_47458714'!$D$27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'balance_raw_47458714'!$F$35</f>
        <v/>
      </c>
      <c r="C22" s="24">
        <f>'balance_raw_47458714'!$E$35</f>
        <v/>
      </c>
      <c r="D22" s="24">
        <f>'balance_raw_47458714'!$D$35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'balance_raw_47458714'!$F$56-'balance_raw_47458714'!$F$35</f>
        <v/>
      </c>
      <c r="C23" s="24">
        <f>'balance_raw_47458714'!$E$56-'balance_raw_47458714'!$E$35</f>
        <v/>
      </c>
      <c r="D23" s="24">
        <f>'balance_raw_47458714'!$D$56-'balance_raw_47458714'!$D$35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'balance_raw_47458714'!$F$16</f>
        <v/>
      </c>
      <c r="C27" s="24">
        <f>'balance_raw_47458714'!$E$16</f>
        <v/>
      </c>
      <c r="D27" s="24">
        <f>'balance_raw_47458714'!$D$16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'balance_raw_47458714'!$F$17</f>
        <v/>
      </c>
      <c r="C28" s="24">
        <f>'balance_raw_47458714'!$E$17</f>
        <v/>
      </c>
      <c r="D28" s="24">
        <f>'balance_raw_47458714'!$D$17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'balance_raw_47458714'!$F$54</f>
        <v/>
      </c>
      <c r="C29" s="24">
        <f>'balance_raw_47458714'!$E$54</f>
        <v/>
      </c>
      <c r="D29" s="24">
        <f>'balance_raw_47458714'!$D$54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IF('balance_raw_47458714'!$F$28="","—",IF(ABS(B20-'balance_raw_47458714'!$F$28)&lt;=1,"✓ OK","❌ "&amp;TEXT(B20-'balance_raw_47458714'!$F$28,"+#,##0;-#,##0")&amp;" t.kr."))</f>
        <v/>
      </c>
      <c r="C60" s="29">
        <f>IF('balance_raw_47458714'!$E$28="","—",IF(ABS(C20-'balance_raw_47458714'!$E$28)&lt;=1,"✓ OK","❌ "&amp;TEXT(C20-'balance_raw_47458714'!$E$28,"+#,##0;-#,##0")&amp;" t.kr."))</f>
        <v/>
      </c>
      <c r="D60" s="29">
        <f>IF('balance_raw_47458714'!$D$28="","—",IF(ABS(D20-'balance_raw_47458714'!$D$28)&lt;=1,"✓ OK","❌ "&amp;TEXT(D20-'balance_raw_47458714'!$D$28,"+#,##0;-#,##0")&amp;"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IF('balance_raw_47458714'!$F$56="","—",IF(ABS(B24-'balance_raw_47458714'!$F$56)&lt;=1,"✓ OK","❌ "&amp;TEXT(B24-'balance_raw_47458714'!$F$56,"+#,##0;-#,##0")&amp;" t.kr."))</f>
        <v/>
      </c>
      <c r="C61" s="29">
        <f>IF('balance_raw_47458714'!$E$56="","—",IF(ABS(C24-'balance_raw_47458714'!$E$56)&lt;=1,"✓ OK","❌ "&amp;TEXT(C24-'balance_raw_47458714'!$E$56,"+#,##0;-#,##0")&amp;" t.kr."))</f>
        <v/>
      </c>
      <c r="D61" s="29">
        <f>IF('balance_raw_47458714'!$D$56="","—",IF(ABS(D24-'balance_raw_47458714'!$D$56)&lt;=1,"✓ OK","❌ "&amp;TEXT(D24-'balance_raw_47458714'!$D$56,"+#,##0;-#,##0")&amp;"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IF('res_raw_47458714'!$F$4="","—",IF(ABS(B7-'res_raw_47458714'!$F$4)&lt;=1,"✓ OK","❌ "&amp;TEXT(B7-'res_raw_47458714'!$F$4,"+#,##0;-#,##0")&amp;" t.kr."))</f>
        <v/>
      </c>
      <c r="C63" s="29">
        <f>IF('res_raw_47458714'!$E$4="","—",IF(ABS(C7-'res_raw_47458714'!$E$4)&lt;=1,"✓ OK","❌ "&amp;TEXT(C7-'res_raw_47458714'!$E$4,"+#,##0;-#,##0")&amp;" t.kr."))</f>
        <v/>
      </c>
      <c r="D63" s="29">
        <f>IF('res_raw_47458714'!$D$4="","—",IF(ABS(D7-'res_raw_47458714'!$D$4)&lt;=1,"✓ OK","❌ "&amp;TEXT(D7-'res_raw_47458714'!$D$4,"+#,##0;-#,##0")&amp;"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IF('res_raw_47458714'!$F$9="","—",IF(ABS(B12-'res_raw_47458714'!$F$9)&lt;=1,"✓ OK","❌ "&amp;TEXT(B12-'res_raw_47458714'!$F$9,"+#,##0;-#,##0")&amp;" t.kr."))</f>
        <v/>
      </c>
      <c r="C64" s="29">
        <f>IF('res_raw_47458714'!$E$9="","—",IF(ABS(C12-'res_raw_47458714'!$E$9)&lt;=1,"✓ OK","❌ "&amp;TEXT(C12-'res_raw_47458714'!$E$9,"+#,##0;-#,##0")&amp;" t.kr."))</f>
        <v/>
      </c>
      <c r="D64" s="29">
        <f>IF('res_raw_47458714'!$D$9="","—",IF(ABS(D12-'res_raw_47458714'!$D$9)&lt;=1,"✓ OK","❌ "&amp;TEXT(D12-'res_raw_47458714'!$D$9,"+#,##0;-#,##0")&amp;"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IF('res_raw_47458714'!$F$14="","—",IF(ABS(B15-'res_raw_47458714'!$F$14)&lt;=1,"✓ OK","❌ "&amp;TEXT(B15-'res_raw_47458714'!$F$14,"+#,##0;-#,##0")&amp;" t.kr."))</f>
        <v/>
      </c>
      <c r="C65" s="29">
        <f>IF('res_raw_47458714'!$E$14="","—",IF(ABS(C15-'res_raw_47458714'!$E$14)&lt;=1,"✓ OK","❌ "&amp;TEXT(C15-'res_raw_47458714'!$E$14,"+#,##0;-#,##0")&amp;" t.kr."))</f>
        <v/>
      </c>
      <c r="D65" s="29">
        <f>IF('res_raw_47458714'!$D$14="","—",IF(ABS(D15-'res_raw_47458714'!$D$14)&lt;=1,"✓ OK","❌ "&amp;TEXT(D15-'res_raw_47458714'!$D$14,"+#,##0;-#,##0")&amp;"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LEGO System A/S (CVR 47458714)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fsa:LongtermDeferredIncome</t>
        </is>
      </c>
      <c r="C3" s="34" t="inlineStr">
        <is>
          <t>fsa:LongtermDeferredIncome</t>
        </is>
      </c>
      <c r="D3" s="35" t="n"/>
      <c r="E3" s="35" t="n"/>
      <c r="F3" s="35" t="n"/>
      <c r="G3" s="35" t="n"/>
      <c r="H3" s="35" t="n"/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2026-09-11T07:37:07Z</dcterms:created>
  <dcterms:modified xmlns:dcterms="http://purl.org/dc/terms/" xmlns:xsi="http://www.w3.org/2001/XMLSchema-instance" xsi:type="dcterms:W3CDTF">2026-09-11T07:37:08Z</dcterms:modified>
</cp:coreProperties>
</file>