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313763" sheetId="1" state="visible" r:id="rId1"/>
    <sheet xmlns:r="http://schemas.openxmlformats.org/officeDocument/2006/relationships" name="res_raw_25313763" sheetId="2" state="visible" r:id="rId2"/>
    <sheet xmlns:r="http://schemas.openxmlformats.org/officeDocument/2006/relationships" name="balance_raw_25313763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(t.EUR)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'res_raw_25313763'!$B$2</f>
        <v/>
      </c>
      <c r="C4" s="5">
        <f>'res_raw_25313763'!$C$2</f>
        <v/>
      </c>
      <c r="D4" s="5">
        <f>'res_raw_25313763'!$D$2</f>
        <v/>
      </c>
      <c r="E4" s="5">
        <f>'res_raw_25313763'!$E$2</f>
        <v/>
      </c>
      <c r="F4" s="5">
        <f>'res_raw_25313763'!$F$2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'res_raw_25313763'!$B$3</f>
        <v/>
      </c>
      <c r="C5" s="8">
        <f>'res_raw_25313763'!$C$3</f>
        <v/>
      </c>
      <c r="D5" s="8">
        <f>'res_raw_25313763'!$D$3</f>
        <v/>
      </c>
      <c r="E5" s="8">
        <f>'res_raw_25313763'!$E$3</f>
        <v/>
      </c>
      <c r="F5" s="8">
        <f>'res_raw_25313763'!$F$3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'res_raw_25313763'!$B$4</f>
        <v/>
      </c>
      <c r="C6" s="8">
        <f>'res_raw_25313763'!$C$4</f>
        <v/>
      </c>
      <c r="D6" s="8">
        <f>'res_raw_25313763'!$D$4</f>
        <v/>
      </c>
      <c r="E6" s="8">
        <f>'res_raw_25313763'!$E$4</f>
        <v/>
      </c>
      <c r="F6" s="8">
        <f>'res_raw_25313763'!$F$4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'res_raw_25313763'!$B$5</f>
        <v/>
      </c>
      <c r="C7" s="8">
        <f>'res_raw_25313763'!$C$5</f>
        <v/>
      </c>
      <c r="D7" s="8">
        <f>'res_raw_25313763'!$D$5</f>
        <v/>
      </c>
      <c r="E7" s="8">
        <f>'res_raw_25313763'!$E$5</f>
        <v/>
      </c>
      <c r="F7" s="8">
        <f>'res_raw_25313763'!$F$5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'res_raw_25313763'!$B$6</f>
        <v/>
      </c>
      <c r="C8" s="8">
        <f>'res_raw_25313763'!$C$6</f>
        <v/>
      </c>
      <c r="D8" s="8">
        <f>'res_raw_25313763'!$D$6</f>
        <v/>
      </c>
      <c r="E8" s="8">
        <f>'res_raw_25313763'!$E$6</f>
        <v/>
      </c>
      <c r="F8" s="8">
        <f>'res_raw_25313763'!$F$6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'res_raw_25313763'!$B$7</f>
        <v/>
      </c>
      <c r="C9" s="11">
        <f>'res_raw_25313763'!$C$7</f>
        <v/>
      </c>
      <c r="D9" s="11">
        <f>'res_raw_25313763'!$D$7</f>
        <v/>
      </c>
      <c r="E9" s="11">
        <f>'res_raw_25313763'!$E$7</f>
        <v/>
      </c>
      <c r="F9" s="11">
        <f>'res_raw_25313763'!$F$7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'res_raw_25313763'!$B$8</f>
        <v/>
      </c>
      <c r="C10" s="5">
        <f>'res_raw_25313763'!$C$8</f>
        <v/>
      </c>
      <c r="D10" s="5">
        <f>'res_raw_25313763'!$D$8</f>
        <v/>
      </c>
      <c r="E10" s="5">
        <f>'res_raw_25313763'!$E$8</f>
        <v/>
      </c>
      <c r="F10" s="5">
        <f>'res_raw_25313763'!$F$8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'res_raw_25313763'!$B$9</f>
        <v/>
      </c>
      <c r="C11" s="8">
        <f>'res_raw_25313763'!$C$9</f>
        <v/>
      </c>
      <c r="D11" s="8">
        <f>'res_raw_25313763'!$D$9</f>
        <v/>
      </c>
      <c r="E11" s="8">
        <f>'res_raw_25313763'!$E$9</f>
        <v/>
      </c>
      <c r="F11" s="8">
        <f>'res_raw_25313763'!$F$9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'res_raw_25313763'!$B$10</f>
        <v/>
      </c>
      <c r="C12" s="5">
        <f>'res_raw_25313763'!$C$10</f>
        <v/>
      </c>
      <c r="D12" s="5">
        <f>'res_raw_25313763'!$D$10</f>
        <v/>
      </c>
      <c r="E12" s="5">
        <f>'res_raw_25313763'!$E$10</f>
        <v/>
      </c>
      <c r="F12" s="5">
        <f>'res_raw_25313763'!$F$10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'res_raw_25313763'!$B$11</f>
        <v/>
      </c>
      <c r="C13" s="11">
        <f>'res_raw_25313763'!$C$11</f>
        <v/>
      </c>
      <c r="D13" s="11">
        <f>'res_raw_25313763'!$D$11</f>
        <v/>
      </c>
      <c r="E13" s="11">
        <f>'res_raw_25313763'!$E$11</f>
        <v/>
      </c>
      <c r="F13" s="11">
        <f>'res_raw_25313763'!$F$11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'res_raw_25313763'!$B$12</f>
        <v/>
      </c>
      <c r="C14" s="5">
        <f>'res_raw_25313763'!$C$12</f>
        <v/>
      </c>
      <c r="D14" s="5">
        <f>'res_raw_25313763'!$D$12</f>
        <v/>
      </c>
      <c r="E14" s="5">
        <f>'res_raw_25313763'!$E$12</f>
        <v/>
      </c>
      <c r="F14" s="5">
        <f>'res_raw_25313763'!$F$12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'res_raw_25313763'!$B$13</f>
        <v/>
      </c>
      <c r="C15" s="8">
        <f>'res_raw_25313763'!$C$13</f>
        <v/>
      </c>
      <c r="D15" s="8">
        <f>'res_raw_25313763'!$D$13</f>
        <v/>
      </c>
      <c r="E15" s="8">
        <f>'res_raw_25313763'!$E$13</f>
        <v/>
      </c>
      <c r="F15" s="8">
        <f>'res_raw_25313763'!$F$13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'res_raw_25313763'!$B$14</f>
        <v/>
      </c>
      <c r="C16" s="8">
        <f>'res_raw_25313763'!$C$14</f>
        <v/>
      </c>
      <c r="D16" s="8">
        <f>'res_raw_25313763'!$D$14</f>
        <v/>
      </c>
      <c r="E16" s="8">
        <f>'res_raw_25313763'!$E$14</f>
        <v/>
      </c>
      <c r="F16" s="8">
        <f>'res_raw_25313763'!$F$14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'res_raw_25313763'!$B$15</f>
        <v/>
      </c>
      <c r="C17" s="11">
        <f>'res_raw_25313763'!$C$15</f>
        <v/>
      </c>
      <c r="D17" s="11">
        <f>'res_raw_25313763'!$D$15</f>
        <v/>
      </c>
      <c r="E17" s="11">
        <f>'res_raw_25313763'!$E$15</f>
        <v/>
      </c>
      <c r="F17" s="11">
        <f>'res_raw_25313763'!$F$15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'res_raw_25313763'!$B$16</f>
        <v/>
      </c>
      <c r="C18" s="8">
        <f>'res_raw_25313763'!$C$16</f>
        <v/>
      </c>
      <c r="D18" s="8">
        <f>'res_raw_25313763'!$D$16</f>
        <v/>
      </c>
      <c r="E18" s="8">
        <f>'res_raw_25313763'!$E$16</f>
        <v/>
      </c>
      <c r="F18" s="8">
        <f>'res_raw_25313763'!$F$16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t.EUR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'balance_raw_25313763'!$B$2</f>
        <v/>
      </c>
      <c r="C21" s="11">
        <f>'balance_raw_25313763'!$C$2</f>
        <v/>
      </c>
      <c r="D21" s="11">
        <f>'balance_raw_25313763'!$D$2</f>
        <v/>
      </c>
      <c r="E21" s="11">
        <f>'balance_raw_25313763'!$E$2</f>
        <v/>
      </c>
      <c r="F21" s="11">
        <f>'balance_raw_25313763'!$F$2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'balance_raw_25313763'!$B$3</f>
        <v/>
      </c>
      <c r="C22" s="5">
        <f>'balance_raw_25313763'!$C$3</f>
        <v/>
      </c>
      <c r="D22" s="5">
        <f>'balance_raw_25313763'!$D$3</f>
        <v/>
      </c>
      <c r="E22" s="5">
        <f>'balance_raw_25313763'!$E$3</f>
        <v/>
      </c>
      <c r="F22" s="5">
        <f>'balance_raw_25313763'!$F$3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'balance_raw_25313763'!$B$4</f>
        <v/>
      </c>
      <c r="C23" s="11">
        <f>'balance_raw_25313763'!$C$4</f>
        <v/>
      </c>
      <c r="D23" s="11">
        <f>'balance_raw_25313763'!$D$4</f>
        <v/>
      </c>
      <c r="E23" s="11">
        <f>'balance_raw_25313763'!$E$4</f>
        <v/>
      </c>
      <c r="F23" s="11">
        <f>'balance_raw_25313763'!$F$4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'balance_raw_25313763'!$B$5</f>
        <v/>
      </c>
      <c r="C24" s="8">
        <f>'balance_raw_25313763'!$C$5</f>
        <v/>
      </c>
      <c r="D24" s="8">
        <f>'balance_raw_25313763'!$D$5</f>
        <v/>
      </c>
      <c r="E24" s="8">
        <f>'balance_raw_25313763'!$E$5</f>
        <v/>
      </c>
      <c r="F24" s="8">
        <f>'balance_raw_25313763'!$F$5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'balance_raw_25313763'!$B$6</f>
        <v/>
      </c>
      <c r="C25" s="8">
        <f>'balance_raw_25313763'!$C$6</f>
        <v/>
      </c>
      <c r="D25" s="8">
        <f>'balance_raw_25313763'!$D$6</f>
        <v/>
      </c>
      <c r="E25" s="8">
        <f>'balance_raw_25313763'!$E$6</f>
        <v/>
      </c>
      <c r="F25" s="8">
        <f>'balance_raw_25313763'!$F$6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'balance_raw_25313763'!$B$7</f>
        <v/>
      </c>
      <c r="C26" s="5">
        <f>'balance_raw_25313763'!$C$7</f>
        <v/>
      </c>
      <c r="D26" s="5">
        <f>'balance_raw_25313763'!$D$7</f>
        <v/>
      </c>
      <c r="E26" s="5">
        <f>'balance_raw_25313763'!$E$7</f>
        <v/>
      </c>
      <c r="F26" s="5">
        <f>'balance_raw_25313763'!$F$7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'balance_raw_25313763'!$B$8</f>
        <v/>
      </c>
      <c r="C27" s="11">
        <f>'balance_raw_25313763'!$C$8</f>
        <v/>
      </c>
      <c r="D27" s="11">
        <f>'balance_raw_25313763'!$D$8</f>
        <v/>
      </c>
      <c r="E27" s="11">
        <f>'balance_raw_25313763'!$E$8</f>
        <v/>
      </c>
      <c r="F27" s="11">
        <f>'balance_raw_25313763'!$F$8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'balance_raw_25313763'!$B$9</f>
        <v/>
      </c>
      <c r="C28" s="8">
        <f>'balance_raw_25313763'!$C$9</f>
        <v/>
      </c>
      <c r="D28" s="8">
        <f>'balance_raw_25313763'!$D$9</f>
        <v/>
      </c>
      <c r="E28" s="8">
        <f>'balance_raw_25313763'!$E$9</f>
        <v/>
      </c>
      <c r="F28" s="8">
        <f>'balance_raw_25313763'!$F$9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'balance_raw_25313763'!$B$10</f>
        <v/>
      </c>
      <c r="C29" s="8">
        <f>'balance_raw_25313763'!$C$10</f>
        <v/>
      </c>
      <c r="D29" s="8">
        <f>'balance_raw_25313763'!$D$10</f>
        <v/>
      </c>
      <c r="E29" s="8">
        <f>'balance_raw_25313763'!$E$10</f>
        <v/>
      </c>
      <c r="F29" s="8">
        <f>'balance_raw_25313763'!$F$10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'balance_raw_25313763'!$B$11</f>
        <v/>
      </c>
      <c r="C30" s="8">
        <f>'balance_raw_25313763'!$C$11</f>
        <v/>
      </c>
      <c r="D30" s="8">
        <f>'balance_raw_25313763'!$D$11</f>
        <v/>
      </c>
      <c r="E30" s="8">
        <f>'balance_raw_25313763'!$E$11</f>
        <v/>
      </c>
      <c r="F30" s="8">
        <f>'balance_raw_25313763'!$F$11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'balance_raw_25313763'!$B$12</f>
        <v/>
      </c>
      <c r="C31" s="11">
        <f>'balance_raw_25313763'!$C$12</f>
        <v/>
      </c>
      <c r="D31" s="11">
        <f>'balance_raw_25313763'!$D$12</f>
        <v/>
      </c>
      <c r="E31" s="11">
        <f>'balance_raw_25313763'!$E$12</f>
        <v/>
      </c>
      <c r="F31" s="11">
        <f>'balance_raw_25313763'!$F$12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'balance_raw_25313763'!$B$13</f>
        <v/>
      </c>
      <c r="C32" s="5">
        <f>'balance_raw_25313763'!$C$13</f>
        <v/>
      </c>
      <c r="D32" s="5">
        <f>'balance_raw_25313763'!$D$13</f>
        <v/>
      </c>
      <c r="E32" s="5">
        <f>'balance_raw_25313763'!$E$13</f>
        <v/>
      </c>
      <c r="F32" s="5">
        <f>'balance_raw_25313763'!$F$13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'balance_raw_25313763'!$B$14</f>
        <v/>
      </c>
      <c r="C33" s="11">
        <f>'balance_raw_25313763'!$C$14</f>
        <v/>
      </c>
      <c r="D33" s="11">
        <f>'balance_raw_25313763'!$D$14</f>
        <v/>
      </c>
      <c r="E33" s="11">
        <f>'balance_raw_25313763'!$E$14</f>
        <v/>
      </c>
      <c r="F33" s="11">
        <f>'balance_raw_25313763'!$F$14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'balance_raw_25313763'!$B$15</f>
        <v/>
      </c>
      <c r="C34" s="5">
        <f>'balance_raw_25313763'!$C$15</f>
        <v/>
      </c>
      <c r="D34" s="5">
        <f>'balance_raw_25313763'!$D$15</f>
        <v/>
      </c>
      <c r="E34" s="5">
        <f>'balance_raw_25313763'!$E$15</f>
        <v/>
      </c>
      <c r="F34" s="5">
        <f>'balance_raw_25313763'!$F$15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'balance_raw_25313763'!$B$16</f>
        <v/>
      </c>
      <c r="C35" s="11">
        <f>'balance_raw_25313763'!$C$16</f>
        <v/>
      </c>
      <c r="D35" s="11">
        <f>'balance_raw_25313763'!$D$16</f>
        <v/>
      </c>
      <c r="E35" s="11">
        <f>'balance_raw_25313763'!$E$16</f>
        <v/>
      </c>
      <c r="F35" s="11">
        <f>'balance_raw_25313763'!$F$16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'balance_raw_25313763'!$B$17</f>
        <v/>
      </c>
      <c r="C36" s="5">
        <f>'balance_raw_25313763'!$C$17</f>
        <v/>
      </c>
      <c r="D36" s="5">
        <f>'balance_raw_25313763'!$D$17</f>
        <v/>
      </c>
      <c r="E36" s="5">
        <f>'balance_raw_25313763'!$E$17</f>
        <v/>
      </c>
      <c r="F36" s="5">
        <f>'balance_raw_25313763'!$F$17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'balance_raw_25313763'!$B$18</f>
        <v/>
      </c>
      <c r="C37" s="11">
        <f>'balance_raw_25313763'!$C$18</f>
        <v/>
      </c>
      <c r="D37" s="11">
        <f>'balance_raw_25313763'!$D$18</f>
        <v/>
      </c>
      <c r="E37" s="11">
        <f>'balance_raw_25313763'!$E$18</f>
        <v/>
      </c>
      <c r="F37" s="11">
        <f>'balance_raw_25313763'!$F$18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'balance_raw_25313763'!$B$19</f>
        <v/>
      </c>
      <c r="C38" s="8">
        <f>'balance_raw_25313763'!$C$19</f>
        <v/>
      </c>
      <c r="D38" s="8">
        <f>'balance_raw_25313763'!$D$19</f>
        <v/>
      </c>
      <c r="E38" s="8">
        <f>'balance_raw_25313763'!$E$19</f>
        <v/>
      </c>
      <c r="F38" s="8">
        <f>'balance_raw_25313763'!$F$19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'balance_raw_25313763'!$B$20</f>
        <v/>
      </c>
      <c r="C39" s="11">
        <f>'balance_raw_25313763'!$C$20</f>
        <v/>
      </c>
      <c r="D39" s="11">
        <f>'balance_raw_25313763'!$D$20</f>
        <v/>
      </c>
      <c r="E39" s="11">
        <f>'balance_raw_25313763'!$E$20</f>
        <v/>
      </c>
      <c r="F39" s="11">
        <f>'balance_raw_25313763'!$F$20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'balance_raw_25313763'!$B$21</f>
        <v/>
      </c>
      <c r="C40" s="5">
        <f>'balance_raw_25313763'!$C$21</f>
        <v/>
      </c>
      <c r="D40" s="5">
        <f>'balance_raw_25313763'!$D$21</f>
        <v/>
      </c>
      <c r="E40" s="5">
        <f>'balance_raw_25313763'!$E$21</f>
        <v/>
      </c>
      <c r="F40" s="5">
        <f>'balance_raw_25313763'!$F$21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'balance_raw_25313763'!$B$22</f>
        <v/>
      </c>
      <c r="C41" s="8">
        <f>'balance_raw_25313763'!$C$22</f>
        <v/>
      </c>
      <c r="D41" s="8">
        <f>'balance_raw_25313763'!$D$22</f>
        <v/>
      </c>
      <c r="E41" s="8">
        <f>'balance_raw_25313763'!$E$22</f>
        <v/>
      </c>
      <c r="F41" s="8">
        <f>'balance_raw_25313763'!$F$22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'balance_raw_25313763'!$B$23</f>
        <v/>
      </c>
      <c r="C42" s="8">
        <f>'balance_raw_25313763'!$C$23</f>
        <v/>
      </c>
      <c r="D42" s="8">
        <f>'balance_raw_25313763'!$D$23</f>
        <v/>
      </c>
      <c r="E42" s="8">
        <f>'balance_raw_25313763'!$E$23</f>
        <v/>
      </c>
      <c r="F42" s="8">
        <f>'balance_raw_25313763'!$F$23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t.EUR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'balance_raw_25313763'!$B$24</f>
        <v/>
      </c>
      <c r="C45" s="11">
        <f>'balance_raw_25313763'!$C$24</f>
        <v/>
      </c>
      <c r="D45" s="11">
        <f>'balance_raw_25313763'!$D$24</f>
        <v/>
      </c>
      <c r="E45" s="11">
        <f>'balance_raw_25313763'!$E$24</f>
        <v/>
      </c>
      <c r="F45" s="11">
        <f>'balance_raw_25313763'!$F$24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'balance_raw_25313763'!$B$25</f>
        <v/>
      </c>
      <c r="C46" s="5">
        <f>'balance_raw_25313763'!$C$25</f>
        <v/>
      </c>
      <c r="D46" s="5">
        <f>'balance_raw_25313763'!$D$25</f>
        <v/>
      </c>
      <c r="E46" s="5">
        <f>'balance_raw_25313763'!$E$25</f>
        <v/>
      </c>
      <c r="F46" s="5">
        <f>'balance_raw_25313763'!$F$25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'balance_raw_25313763'!$B$26</f>
        <v/>
      </c>
      <c r="C47" s="11">
        <f>'balance_raw_25313763'!$C$26</f>
        <v/>
      </c>
      <c r="D47" s="11">
        <f>'balance_raw_25313763'!$D$26</f>
        <v/>
      </c>
      <c r="E47" s="11">
        <f>'balance_raw_25313763'!$E$26</f>
        <v/>
      </c>
      <c r="F47" s="11">
        <f>'balance_raw_25313763'!$F$26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'balance_raw_25313763'!$B$27</f>
        <v/>
      </c>
      <c r="C48" s="5">
        <f>'balance_raw_25313763'!$C$27</f>
        <v/>
      </c>
      <c r="D48" s="5">
        <f>'balance_raw_25313763'!$D$27</f>
        <v/>
      </c>
      <c r="E48" s="5">
        <f>'balance_raw_25313763'!$E$27</f>
        <v/>
      </c>
      <c r="F48" s="5">
        <f>'balance_raw_25313763'!$F$27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'balance_raw_25313763'!$B$28</f>
        <v/>
      </c>
      <c r="C49" s="11">
        <f>'balance_raw_25313763'!$C$28</f>
        <v/>
      </c>
      <c r="D49" s="11">
        <f>'balance_raw_25313763'!$D$28</f>
        <v/>
      </c>
      <c r="E49" s="11">
        <f>'balance_raw_25313763'!$E$28</f>
        <v/>
      </c>
      <c r="F49" s="11">
        <f>'balance_raw_25313763'!$F$28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'balance_raw_25313763'!$B$29</f>
        <v/>
      </c>
      <c r="C50" s="5">
        <f>'balance_raw_25313763'!$C$29</f>
        <v/>
      </c>
      <c r="D50" s="5">
        <f>'balance_raw_25313763'!$D$29</f>
        <v/>
      </c>
      <c r="E50" s="5">
        <f>'balance_raw_25313763'!$E$29</f>
        <v/>
      </c>
      <c r="F50" s="5">
        <f>'balance_raw_25313763'!$F$29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'balance_raw_25313763'!$B$30</f>
        <v/>
      </c>
      <c r="C51" s="8">
        <f>'balance_raw_25313763'!$C$30</f>
        <v/>
      </c>
      <c r="D51" s="8">
        <f>'balance_raw_25313763'!$D$30</f>
        <v/>
      </c>
      <c r="E51" s="8">
        <f>'balance_raw_25313763'!$E$30</f>
        <v/>
      </c>
      <c r="F51" s="8">
        <f>'balance_raw_25313763'!$F$30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'balance_raw_25313763'!$B$31</f>
        <v/>
      </c>
      <c r="C52" s="5">
        <f>'balance_raw_25313763'!$C$31</f>
        <v/>
      </c>
      <c r="D52" s="5">
        <f>'balance_raw_25313763'!$D$31</f>
        <v/>
      </c>
      <c r="E52" s="5">
        <f>'balance_raw_25313763'!$E$31</f>
        <v/>
      </c>
      <c r="F52" s="5">
        <f>'balance_raw_25313763'!$F$31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'balance_raw_25313763'!$B$32</f>
        <v/>
      </c>
      <c r="C53" s="8">
        <f>'balance_raw_25313763'!$C$32</f>
        <v/>
      </c>
      <c r="D53" s="8">
        <f>'balance_raw_25313763'!$D$32</f>
        <v/>
      </c>
      <c r="E53" s="8">
        <f>'balance_raw_25313763'!$E$32</f>
        <v/>
      </c>
      <c r="F53" s="8">
        <f>'balance_raw_25313763'!$F$32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7" t="inlineStr">
        <is>
          <t>Langfristede gældsforpligtelser</t>
        </is>
      </c>
      <c r="B54" s="8">
        <f>'balance_raw_25313763'!$B$33</f>
        <v/>
      </c>
      <c r="C54" s="8">
        <f>'balance_raw_25313763'!$C$33</f>
        <v/>
      </c>
      <c r="D54" s="8">
        <f>'balance_raw_25313763'!$D$33</f>
        <v/>
      </c>
      <c r="E54" s="8">
        <f>'balance_raw_25313763'!$E$33</f>
        <v/>
      </c>
      <c r="F54" s="8">
        <f>'balance_raw_25313763'!$F$33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(kortfristet)</t>
        </is>
      </c>
      <c r="B55" s="11">
        <f>'balance_raw_25313763'!$B$34</f>
        <v/>
      </c>
      <c r="C55" s="11">
        <f>'balance_raw_25313763'!$C$34</f>
        <v/>
      </c>
      <c r="D55" s="11">
        <f>'balance_raw_25313763'!$D$34</f>
        <v/>
      </c>
      <c r="E55" s="11">
        <f>'balance_raw_25313763'!$E$34</f>
        <v/>
      </c>
      <c r="F55" s="11">
        <f>'balance_raw_25313763'!$F$34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'balance_raw_25313763'!$B$35</f>
        <v/>
      </c>
      <c r="C56" s="5">
        <f>'balance_raw_25313763'!$C$35</f>
        <v/>
      </c>
      <c r="D56" s="5">
        <f>'balance_raw_25313763'!$D$35</f>
        <v/>
      </c>
      <c r="E56" s="5">
        <f>'balance_raw_25313763'!$E$35</f>
        <v/>
      </c>
      <c r="F56" s="5">
        <f>'balance_raw_25313763'!$F$35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Kreditinstitutter</t>
        </is>
      </c>
      <c r="B57" s="11">
        <f>'balance_raw_25313763'!$B$36</f>
        <v/>
      </c>
      <c r="C57" s="11">
        <f>'balance_raw_25313763'!$C$36</f>
        <v/>
      </c>
      <c r="D57" s="11">
        <f>'balance_raw_25313763'!$D$36</f>
        <v/>
      </c>
      <c r="E57" s="11">
        <f>'balance_raw_25313763'!$E$36</f>
        <v/>
      </c>
      <c r="F57" s="11">
        <f>'balance_raw_25313763'!$F$36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'balance_raw_25313763'!$B$37</f>
        <v/>
      </c>
      <c r="C58" s="5">
        <f>'balance_raw_25313763'!$C$37</f>
        <v/>
      </c>
      <c r="D58" s="5">
        <f>'balance_raw_25313763'!$D$37</f>
        <v/>
      </c>
      <c r="E58" s="5">
        <f>'balance_raw_25313763'!$E$37</f>
        <v/>
      </c>
      <c r="F58" s="5">
        <f>'balance_raw_25313763'!$F$37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Leverandører af varer og tjenesteydelser</t>
        </is>
      </c>
      <c r="B59" s="11">
        <f>'balance_raw_25313763'!$B$38</f>
        <v/>
      </c>
      <c r="C59" s="11">
        <f>'balance_raw_25313763'!$C$38</f>
        <v/>
      </c>
      <c r="D59" s="11">
        <f>'balance_raw_25313763'!$D$38</f>
        <v/>
      </c>
      <c r="E59" s="11">
        <f>'balance_raw_25313763'!$E$38</f>
        <v/>
      </c>
      <c r="F59" s="11">
        <f>'balance_raw_25313763'!$F$38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'balance_raw_25313763'!$B$39</f>
        <v/>
      </c>
      <c r="C60" s="5">
        <f>'balance_raw_25313763'!$C$39</f>
        <v/>
      </c>
      <c r="D60" s="5">
        <f>'balance_raw_25313763'!$D$39</f>
        <v/>
      </c>
      <c r="E60" s="5">
        <f>'balance_raw_25313763'!$E$39</f>
        <v/>
      </c>
      <c r="F60" s="5">
        <f>'balance_raw_25313763'!$F$39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selskabsdeltagere og ledelse</t>
        </is>
      </c>
      <c r="B61" s="11">
        <f>'balance_raw_25313763'!$B$40</f>
        <v/>
      </c>
      <c r="C61" s="11">
        <f>'balance_raw_25313763'!$C$40</f>
        <v/>
      </c>
      <c r="D61" s="11">
        <f>'balance_raw_25313763'!$D$40</f>
        <v/>
      </c>
      <c r="E61" s="11">
        <f>'balance_raw_25313763'!$E$40</f>
        <v/>
      </c>
      <c r="F61" s="11">
        <f>'balance_raw_25313763'!$F$40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Selskabsskat</t>
        </is>
      </c>
      <c r="B62" s="5">
        <f>'balance_raw_25313763'!$B$41</f>
        <v/>
      </c>
      <c r="C62" s="5">
        <f>'balance_raw_25313763'!$C$41</f>
        <v/>
      </c>
      <c r="D62" s="5">
        <f>'balance_raw_25313763'!$D$41</f>
        <v/>
      </c>
      <c r="E62" s="5">
        <f>'balance_raw_25313763'!$E$41</f>
        <v/>
      </c>
      <c r="F62" s="5">
        <f>'balance_raw_25313763'!$F$41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tilknyttede virksomheder vedr. selskabsskat</t>
        </is>
      </c>
      <c r="B63" s="11">
        <f>'balance_raw_25313763'!$B$42</f>
        <v/>
      </c>
      <c r="C63" s="11">
        <f>'balance_raw_25313763'!$C$42</f>
        <v/>
      </c>
      <c r="D63" s="11">
        <f>'balance_raw_25313763'!$D$42</f>
        <v/>
      </c>
      <c r="E63" s="11">
        <f>'balance_raw_25313763'!$E$42</f>
        <v/>
      </c>
      <c r="F63" s="11">
        <f>'balance_raw_25313763'!$F$42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'balance_raw_25313763'!$B$43</f>
        <v/>
      </c>
      <c r="C64" s="5">
        <f>'balance_raw_25313763'!$C$43</f>
        <v/>
      </c>
      <c r="D64" s="5">
        <f>'balance_raw_25313763'!$D$43</f>
        <v/>
      </c>
      <c r="E64" s="5">
        <f>'balance_raw_25313763'!$E$43</f>
        <v/>
      </c>
      <c r="F64" s="5">
        <f>'balance_raw_25313763'!$F$43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Periodeafgrænsningsposter (passiver)</t>
        </is>
      </c>
      <c r="B65" s="11">
        <f>'balance_raw_25313763'!$B$44</f>
        <v/>
      </c>
      <c r="C65" s="11">
        <f>'balance_raw_25313763'!$C$44</f>
        <v/>
      </c>
      <c r="D65" s="11">
        <f>'balance_raw_25313763'!$D$44</f>
        <v/>
      </c>
      <c r="E65" s="11">
        <f>'balance_raw_25313763'!$E$44</f>
        <v/>
      </c>
      <c r="F65" s="11">
        <f>'balance_raw_25313763'!$F$44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Kortfristede gældsforpligtelser</t>
        </is>
      </c>
      <c r="B66" s="8">
        <f>'balance_raw_25313763'!$B$45</f>
        <v/>
      </c>
      <c r="C66" s="8">
        <f>'balance_raw_25313763'!$C$45</f>
        <v/>
      </c>
      <c r="D66" s="8">
        <f>'balance_raw_25313763'!$D$45</f>
        <v/>
      </c>
      <c r="E66" s="8">
        <f>'balance_raw_25313763'!$E$45</f>
        <v/>
      </c>
      <c r="F66" s="8">
        <f>'balance_raw_25313763'!$F$45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7" t="inlineStr">
        <is>
          <t>Gældsforpligtelser</t>
        </is>
      </c>
      <c r="B67" s="8">
        <f>'balance_raw_25313763'!$B$46</f>
        <v/>
      </c>
      <c r="C67" s="8">
        <f>'balance_raw_25313763'!$C$46</f>
        <v/>
      </c>
      <c r="D67" s="8">
        <f>'balance_raw_25313763'!$D$46</f>
        <v/>
      </c>
      <c r="E67" s="8">
        <f>'balance_raw_25313763'!$E$46</f>
        <v/>
      </c>
      <c r="F67" s="8">
        <f>'balance_raw_25313763'!$F$46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Passiver</t>
        </is>
      </c>
      <c r="B68" s="8">
        <f>'balance_raw_25313763'!$B$47</f>
        <v/>
      </c>
      <c r="C68" s="8">
        <f>'balance_raw_25313763'!$C$47</f>
        <v/>
      </c>
      <c r="D68" s="8">
        <f>'balance_raw_25313763'!$D$47</f>
        <v/>
      </c>
      <c r="E68" s="8">
        <f>'balance_raw_25313763'!$E$47</f>
        <v/>
      </c>
      <c r="F68" s="8">
        <f>'balance_raw_25313763'!$F$47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10" t="inlineStr">
        <is>
          <t>Gns. antal medarbejdere</t>
        </is>
      </c>
      <c r="B71" s="11">
        <f>'res_raw_25313763'!$B$17</f>
        <v/>
      </c>
      <c r="C71" s="11">
        <f>'res_raw_25313763'!$C$17</f>
        <v/>
      </c>
      <c r="D71" s="11">
        <f>'res_raw_25313763'!$D$17</f>
        <v/>
      </c>
      <c r="E71" s="11">
        <f>'res_raw_25313763'!$E$17</f>
        <v/>
      </c>
      <c r="F71" s="11">
        <f>'res_raw_25313763'!$F$17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'res_raw_25313763'!$B$18</f>
        <v/>
      </c>
      <c r="C72" s="5">
        <f>'res_raw_25313763'!$C$18</f>
        <v/>
      </c>
      <c r="D72" s="5">
        <f>'res_raw_25313763'!$D$18</f>
        <v/>
      </c>
      <c r="E72" s="5">
        <f>'res_raw_25313763'!$E$18</f>
        <v/>
      </c>
      <c r="F72" s="5">
        <f>'res_raw_25313763'!$F$18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Afkastningsgrad, %</t>
        </is>
      </c>
      <c r="B75" s="13">
        <f>IFERROR(($B$11+$B$13+$B$12)/$B$42*100,"")</f>
        <v/>
      </c>
      <c r="C75" s="13">
        <f>IFERROR(($C$11+$C$13+$C$12)/$C$42*100,"")</f>
        <v/>
      </c>
      <c r="D75" s="13">
        <f>IFERROR(($D$11+$D$13+$D$12)/$D$42*100,"")</f>
        <v/>
      </c>
      <c r="E75" s="13">
        <f>IFERROR(($E$11+$E$13+$E$12)/$E$42*100,"")</f>
        <v/>
      </c>
      <c r="F75" s="13">
        <f>IFERROR(($F$11+$F$13+$F$12)/$F$42*100,"")</f>
        <v/>
      </c>
    </row>
    <row r="76" ht="16" customHeight="1">
      <c r="A76" s="4" t="inlineStr">
        <is>
          <t>Overskudsgrad, %</t>
        </is>
      </c>
      <c r="B76" s="14">
        <f>IFERROR(($B$11+$B$13+$B$12)/$B$4*100,"")</f>
        <v/>
      </c>
      <c r="C76" s="14">
        <f>IFERROR(($C$11+$C$13+$C$12)/$C$4*100,"")</f>
        <v/>
      </c>
      <c r="D76" s="14">
        <f>IFERROR(($D$11+$D$13+$D$12)/$D$4*100,"")</f>
        <v/>
      </c>
      <c r="E76" s="14">
        <f>IFERROR(($E$11+$E$13+$E$12)/$E$4*100,"")</f>
        <v/>
      </c>
      <c r="F76" s="14">
        <f>IFERROR(($F$11+$F$13+$F$12)/$F$4*100,"")</f>
        <v/>
      </c>
    </row>
    <row r="77" ht="16" customHeight="1">
      <c r="A77" s="10" t="inlineStr">
        <is>
          <t>Aktivernes omsætningshastighed, gange</t>
        </is>
      </c>
      <c r="B77" s="13">
        <f>IFERROR($B$4/$B$42,"")</f>
        <v/>
      </c>
      <c r="C77" s="13">
        <f>IFERROR($C$4/$C$42,"")</f>
        <v/>
      </c>
      <c r="D77" s="13">
        <f>IFERROR($D$4/$D$42,"")</f>
        <v/>
      </c>
      <c r="E77" s="13">
        <f>IFERROR($E$4/$E$42,"")</f>
        <v/>
      </c>
      <c r="F77" s="13">
        <f>IFERROR($F$4/$F$42,"")</f>
        <v/>
      </c>
    </row>
    <row r="78" ht="16" customHeight="1">
      <c r="A78" s="4" t="inlineStr">
        <is>
          <t>Egenkapitalens forrentning, %</t>
        </is>
      </c>
      <c r="B78" s="14">
        <f>IFERROR($B$16/$B$51*100,"")</f>
        <v/>
      </c>
      <c r="C78" s="14">
        <f>IFERROR($C$16/$C$51*100,"")</f>
        <v/>
      </c>
      <c r="D78" s="14">
        <f>IFERROR($D$16/$D$51*100,"")</f>
        <v/>
      </c>
      <c r="E78" s="14">
        <f>IFERROR($E$16/$E$51*100,"")</f>
        <v/>
      </c>
      <c r="F78" s="14">
        <f>IFERROR($F$16/$F$51*100,"")</f>
        <v/>
      </c>
    </row>
    <row r="79" ht="16" customHeight="1">
      <c r="A79" s="10" t="inlineStr">
        <is>
          <t>Gældsrente, %</t>
        </is>
      </c>
      <c r="B79" s="13">
        <f>IFERROR($B$14/($B$68-$B$51)*100,"")</f>
        <v/>
      </c>
      <c r="C79" s="13">
        <f>IFERROR($C$14/($C$68-$C$51)*100,"")</f>
        <v/>
      </c>
      <c r="D79" s="13">
        <f>IFERROR($D$14/($D$68-$D$51)*100,"")</f>
        <v/>
      </c>
      <c r="E79" s="13">
        <f>IFERROR($E$14/($E$68-$E$51)*100,"")</f>
        <v/>
      </c>
      <c r="F79" s="13">
        <f>IFERROR($F$14/($F$68-$F$51)*100,"")</f>
        <v/>
      </c>
    </row>
    <row r="80" ht="16" customHeight="1">
      <c r="A80" s="4" t="inlineStr">
        <is>
          <t>Soliditetsgrad, %</t>
        </is>
      </c>
      <c r="B80" s="14">
        <f>IFERROR($B$51/$B$42*100,"")</f>
        <v/>
      </c>
      <c r="C80" s="14">
        <f>IFERROR($C$51/$C$42*100,"")</f>
        <v/>
      </c>
      <c r="D80" s="14">
        <f>IFERROR($D$51/$D$42*100,"")</f>
        <v/>
      </c>
      <c r="E80" s="14">
        <f>IFERROR($E$51/$E$42*100,"")</f>
        <v/>
      </c>
      <c r="F80" s="14">
        <f>IFERROR($F$51/$F$42*100,"")</f>
        <v/>
      </c>
    </row>
    <row r="81" ht="16" customHeight="1">
      <c r="A81" s="10" t="inlineStr">
        <is>
          <t>Gearing</t>
        </is>
      </c>
      <c r="B81" s="13">
        <f>IFERROR(($B$68-$B$51)/$B$51,"")</f>
        <v/>
      </c>
      <c r="C81" s="13">
        <f>IFERROR(($C$68-$C$51)/$C$51,"")</f>
        <v/>
      </c>
      <c r="D81" s="13">
        <f>IFERROR(($D$68-$D$51)/$D$51,"")</f>
        <v/>
      </c>
      <c r="E81" s="13">
        <f>IFERROR(($E$68-$E$51)/$E$51,"")</f>
        <v/>
      </c>
      <c r="F81" s="13">
        <f>IFERROR(($F$68-$F$51)/$F$51,"")</f>
        <v/>
      </c>
    </row>
    <row r="82" ht="16" customHeight="1">
      <c r="A82" s="4" t="inlineStr">
        <is>
          <t>Likviditetsgrad, %</t>
        </is>
      </c>
      <c r="B82" s="14">
        <f>IFERROR($B$41/$B$66*100,"")</f>
        <v/>
      </c>
      <c r="C82" s="14">
        <f>IFERROR($C$41/$C$66*100,"")</f>
        <v/>
      </c>
      <c r="D82" s="14">
        <f>IFERROR($D$41/$D$66*100,"")</f>
        <v/>
      </c>
      <c r="E82" s="14">
        <f>IFERROR($E$41/$E$66*100,"")</f>
        <v/>
      </c>
      <c r="F82" s="14">
        <f>IFERROR($F$41/$F$66*100,"")</f>
        <v/>
      </c>
    </row>
    <row r="83" ht="16" customHeight="1">
      <c r="A83" s="10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IFERROR(($B$68-$B$51)/$B$42*100,"")</f>
        <v/>
      </c>
      <c r="C84" s="14">
        <f>IFERROR(($C$68-$C$51)/$C$42*100,"")</f>
        <v/>
      </c>
      <c r="D84" s="14">
        <f>IFERROR(($D$68-$D$51)/$D$42*100,"")</f>
        <v/>
      </c>
      <c r="E84" s="14">
        <f>IFERROR(($E$68-$E$51)/$E$42*100,"")</f>
        <v/>
      </c>
      <c r="F84" s="14">
        <f>IFERROR(($F$68-$F$51)/$F$42*100,"")</f>
        <v/>
      </c>
    </row>
    <row r="85" ht="16" customHeight="1">
      <c r="A85" s="10" t="inlineStr">
        <is>
          <t>Kapitalbindingsgrad, %</t>
        </is>
      </c>
      <c r="B85" s="13">
        <f>IFERROR($B$29/($B$51+$B$54)*100,"")</f>
        <v/>
      </c>
      <c r="C85" s="13">
        <f>IFERROR($C$29/($C$51+$C$54)*100,"")</f>
        <v/>
      </c>
      <c r="D85" s="13">
        <f>IFERROR($D$29/($D$51+$D$54)*100,"")</f>
        <v/>
      </c>
      <c r="E85" s="13">
        <f>IFERROR($E$29/($E$51+$E$54)*100,"")</f>
        <v/>
      </c>
      <c r="F85" s="13">
        <f>IFERROR($F$29/($F$51+$F$54)*100,"")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11202000</v>
      </c>
      <c r="C2" s="16" t="n">
        <v>13793000</v>
      </c>
      <c r="D2" s="16" t="n">
        <v>13674000</v>
      </c>
      <c r="E2" s="16" t="n">
        <v>13770000</v>
      </c>
      <c r="F2" s="16" t="n">
        <v>15066000</v>
      </c>
    </row>
    <row r="3">
      <c r="A3" s="15" t="inlineStr">
        <is>
          <t>Produktionsomkostninger</t>
        </is>
      </c>
      <c r="B3" s="16" t="n"/>
      <c r="C3" s="16" t="n"/>
      <c r="D3" s="16" t="n"/>
      <c r="E3" s="16" t="n">
        <v>10803000</v>
      </c>
      <c r="F3" s="16" t="n">
        <v>12068000</v>
      </c>
    </row>
    <row r="4">
      <c r="A4" s="17" t="inlineStr">
        <is>
          <t>Bruttoresultat</t>
        </is>
      </c>
      <c r="B4" s="16" t="n">
        <v>2380000</v>
      </c>
      <c r="C4" s="16" t="n">
        <v>2648000</v>
      </c>
      <c r="D4" s="16" t="n">
        <v>2780000</v>
      </c>
      <c r="E4" s="16" t="n">
        <v>2967000</v>
      </c>
      <c r="F4" s="16" t="n">
        <v>2998000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>
        <v>1824000</v>
      </c>
      <c r="F5" s="16" t="n">
        <v>1913000</v>
      </c>
    </row>
    <row r="6">
      <c r="A6" s="15" t="inlineStr">
        <is>
          <t>Administrationsomkostninger</t>
        </is>
      </c>
      <c r="B6" s="16" t="n"/>
      <c r="C6" s="16" t="n"/>
      <c r="D6" s="16" t="n"/>
      <c r="E6" s="16" t="n">
        <v>508000</v>
      </c>
      <c r="F6" s="16" t="n">
        <v>535000</v>
      </c>
    </row>
    <row r="7">
      <c r="A7" s="15" t="inlineStr">
        <is>
          <t>Andre driftsindtægter</t>
        </is>
      </c>
      <c r="B7" s="16" t="n">
        <v>110000</v>
      </c>
      <c r="C7" s="16" t="n">
        <v>162000</v>
      </c>
      <c r="D7" s="16" t="n">
        <v>113000</v>
      </c>
      <c r="E7" s="16" t="n">
        <v>48000</v>
      </c>
      <c r="F7" s="16" t="n">
        <v>135000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>
        <v>118000</v>
      </c>
      <c r="F8" s="16" t="n">
        <v>68000</v>
      </c>
    </row>
    <row r="9">
      <c r="A9" s="17" t="inlineStr">
        <is>
          <t>Resultat af primær drift</t>
        </is>
      </c>
      <c r="B9" s="16" t="n"/>
      <c r="C9" s="16" t="n"/>
      <c r="D9" s="16" t="n"/>
      <c r="E9" s="16" t="n">
        <v>598000</v>
      </c>
      <c r="F9" s="16" t="n">
        <v>647000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14000</v>
      </c>
      <c r="C11" s="16" t="n">
        <v>37000</v>
      </c>
      <c r="D11" s="16" t="n">
        <v>135000</v>
      </c>
      <c r="E11" s="16" t="n">
        <v>183000</v>
      </c>
      <c r="F11" s="16" t="n">
        <v>175000</v>
      </c>
    </row>
    <row r="12">
      <c r="A12" s="15" t="inlineStr">
        <is>
          <t>Finansielle omkostninger</t>
        </is>
      </c>
      <c r="B12" s="16" t="n">
        <v>75000</v>
      </c>
      <c r="C12" s="16" t="n">
        <v>117000</v>
      </c>
      <c r="D12" s="16" t="n">
        <v>280000</v>
      </c>
      <c r="E12" s="16" t="n">
        <v>318000</v>
      </c>
      <c r="F12" s="16" t="n">
        <v>308000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407000</v>
      </c>
      <c r="C14" s="16" t="n">
        <v>449000</v>
      </c>
      <c r="D14" s="16" t="n">
        <v>455000</v>
      </c>
      <c r="E14" s="16" t="n">
        <v>463000</v>
      </c>
      <c r="F14" s="16" t="n">
        <v>514000</v>
      </c>
    </row>
    <row r="15">
      <c r="A15" s="15" t="inlineStr">
        <is>
          <t>Skat af årets resultat</t>
        </is>
      </c>
      <c r="B15" s="16" t="n">
        <v>61000</v>
      </c>
      <c r="C15" s="16" t="n">
        <v>49000</v>
      </c>
      <c r="D15" s="16" t="n">
        <v>56000</v>
      </c>
      <c r="E15" s="16" t="n">
        <v>46000</v>
      </c>
      <c r="F15" s="16" t="n">
        <v>81000</v>
      </c>
    </row>
    <row r="16">
      <c r="A16" s="17" t="inlineStr">
        <is>
          <t>Årets resultat</t>
        </is>
      </c>
      <c r="B16" s="16" t="n">
        <v>346000</v>
      </c>
      <c r="C16" s="16" t="n">
        <v>400000</v>
      </c>
      <c r="D16" s="16" t="n">
        <v>399000</v>
      </c>
      <c r="E16" s="16" t="n">
        <v>417000</v>
      </c>
      <c r="F16" s="16" t="n">
        <v>433000</v>
      </c>
    </row>
    <row r="17">
      <c r="A17" s="15" t="inlineStr">
        <is>
          <t>Gns. antal medarbejdere</t>
        </is>
      </c>
      <c r="B17" s="16" t="n"/>
      <c r="C17" s="16" t="n">
        <v>0</v>
      </c>
      <c r="D17" s="16" t="n">
        <v>21307</v>
      </c>
      <c r="E17" s="16" t="n">
        <v>21895</v>
      </c>
      <c r="F17" s="16" t="n"/>
    </row>
    <row r="18">
      <c r="A18" s="15" t="inlineStr">
        <is>
          <t>Investering i materielle anlægsaktiver</t>
        </is>
      </c>
      <c r="B18" s="16" t="n">
        <v>452000</v>
      </c>
      <c r="C18" s="16" t="n">
        <v>373000</v>
      </c>
      <c r="D18" s="16" t="n">
        <v>445000</v>
      </c>
      <c r="E18" s="16" t="n">
        <v>557000</v>
      </c>
      <c r="F18" s="16" t="n">
        <v>570000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>
        <v>938000</v>
      </c>
      <c r="F4" s="16" t="n">
        <v>897000</v>
      </c>
    </row>
    <row r="5">
      <c r="A5" s="17" t="inlineStr">
        <is>
          <t>Immaterielle anlægsaktiver</t>
        </is>
      </c>
      <c r="B5" s="16" t="n">
        <v>946000</v>
      </c>
      <c r="C5" s="16" t="n">
        <v>954000</v>
      </c>
      <c r="D5" s="16" t="n">
        <v>1010000</v>
      </c>
      <c r="E5" s="16" t="n">
        <v>269000</v>
      </c>
      <c r="F5" s="16" t="n">
        <v>287000</v>
      </c>
    </row>
    <row r="6">
      <c r="A6" s="17" t="inlineStr">
        <is>
          <t>Materielle anlægsaktiver</t>
        </is>
      </c>
      <c r="B6" s="16" t="n"/>
      <c r="C6" s="16" t="n"/>
      <c r="D6" s="16" t="n">
        <v>3149000</v>
      </c>
      <c r="E6" s="16" t="n"/>
      <c r="F6" s="16" t="n"/>
    </row>
    <row r="7">
      <c r="A7" s="15" t="inlineStr">
        <is>
          <t>Kapitalandele, dattervirksomheder</t>
        </is>
      </c>
      <c r="B7" s="16" t="n"/>
      <c r="C7" s="16" t="n"/>
      <c r="D7" s="16" t="n"/>
      <c r="E7" s="16" t="n">
        <v>560000</v>
      </c>
      <c r="F7" s="16" t="n">
        <v>462000</v>
      </c>
    </row>
    <row r="8">
      <c r="A8" s="15" t="inlineStr">
        <is>
          <t>Deposita</t>
        </is>
      </c>
      <c r="B8" s="16" t="n">
        <v>247000</v>
      </c>
      <c r="C8" s="16" t="n">
        <v>247000</v>
      </c>
      <c r="D8" s="16" t="n">
        <v>246000</v>
      </c>
      <c r="E8" s="16" t="n">
        <v>24000</v>
      </c>
      <c r="F8" s="16" t="n">
        <v>28000</v>
      </c>
    </row>
    <row r="9">
      <c r="A9" s="17" t="inlineStr">
        <is>
          <t>Finansielle anlægsaktiver</t>
        </is>
      </c>
      <c r="B9" s="16" t="n"/>
      <c r="C9" s="16" t="n"/>
      <c r="D9" s="16" t="n"/>
      <c r="E9" s="16" t="n"/>
      <c r="F9" s="16" t="n"/>
    </row>
    <row r="10">
      <c r="A10" s="17" t="inlineStr">
        <is>
          <t>Anlægsaktiver</t>
        </is>
      </c>
      <c r="B10" s="16" t="n">
        <v>4668000</v>
      </c>
      <c r="C10" s="16" t="n">
        <v>4611000</v>
      </c>
      <c r="D10" s="16" t="n">
        <v>4788000</v>
      </c>
      <c r="E10" s="16" t="n">
        <v>5354000</v>
      </c>
      <c r="F10" s="16" t="n">
        <v>5366000</v>
      </c>
    </row>
    <row r="11">
      <c r="A11" s="17" t="inlineStr">
        <is>
          <t>Varebeholdninger</t>
        </is>
      </c>
      <c r="B11" s="16" t="n">
        <v>1248000</v>
      </c>
      <c r="C11" s="16" t="n">
        <v>1772000</v>
      </c>
      <c r="D11" s="16" t="n">
        <v>1384000</v>
      </c>
      <c r="E11" s="16" t="n">
        <v>1635000</v>
      </c>
      <c r="F11" s="16" t="n">
        <v>1743000</v>
      </c>
    </row>
    <row r="12">
      <c r="A12" s="15" t="inlineStr">
        <is>
          <t>Tilgodehavender fra salg og tjenesteydelser</t>
        </is>
      </c>
      <c r="B12" s="16" t="n">
        <v>1007000</v>
      </c>
      <c r="C12" s="16" t="n">
        <v>1267000</v>
      </c>
      <c r="D12" s="16" t="n">
        <v>1145000</v>
      </c>
      <c r="E12" s="16" t="n">
        <v>1317000</v>
      </c>
      <c r="F12" s="16" t="n">
        <v>1247000</v>
      </c>
    </row>
    <row r="13">
      <c r="A13" s="15" t="inlineStr">
        <is>
          <t>Tilgodehavender hos tilknyttede virksomheder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Andre tilgodehavender</t>
        </is>
      </c>
      <c r="B14" s="16" t="n"/>
      <c r="C14" s="16" t="n"/>
      <c r="D14" s="16" t="n"/>
      <c r="E14" s="16" t="n">
        <v>90000</v>
      </c>
      <c r="F14" s="16" t="n">
        <v>117000</v>
      </c>
    </row>
    <row r="15">
      <c r="A15" s="15" t="inlineStr">
        <is>
          <t>Periodeafgrænsningsposter (aktiver)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Udskudt skatteaktiv</t>
        </is>
      </c>
      <c r="B16" s="16" t="n">
        <v>21000</v>
      </c>
      <c r="C16" s="16" t="n">
        <v>22000</v>
      </c>
      <c r="D16" s="16" t="n">
        <v>23000</v>
      </c>
      <c r="E16" s="16" t="n">
        <v>31000</v>
      </c>
      <c r="F16" s="16" t="n">
        <v>23000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/>
      <c r="C19" s="16" t="n"/>
      <c r="D19" s="16" t="n"/>
      <c r="E19" s="16" t="n">
        <v>266000</v>
      </c>
      <c r="F19" s="16" t="n">
        <v>327000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97000</v>
      </c>
      <c r="C21" s="16" t="n">
        <v>106000</v>
      </c>
      <c r="D21" s="16" t="n">
        <v>138000</v>
      </c>
      <c r="E21" s="16" t="n">
        <v>91000</v>
      </c>
      <c r="F21" s="16" t="n">
        <v>76000</v>
      </c>
    </row>
    <row r="22">
      <c r="A22" s="17" t="inlineStr">
        <is>
          <t>Omsætningsaktiver</t>
        </is>
      </c>
      <c r="B22" s="16" t="n">
        <v>3145000</v>
      </c>
      <c r="C22" s="16" t="n">
        <v>4135000</v>
      </c>
      <c r="D22" s="16" t="n">
        <v>3511000</v>
      </c>
      <c r="E22" s="16" t="n">
        <v>3976000</v>
      </c>
      <c r="F22" s="16" t="n">
        <v>4061000</v>
      </c>
    </row>
    <row r="23">
      <c r="A23" s="17" t="inlineStr">
        <is>
          <t>Aktiver</t>
        </is>
      </c>
      <c r="B23" s="16" t="n">
        <v>7813000</v>
      </c>
      <c r="C23" s="16" t="n">
        <v>8746000</v>
      </c>
      <c r="D23" s="16" t="n">
        <v>8299000</v>
      </c>
      <c r="E23" s="16" t="n">
        <v>9330000</v>
      </c>
      <c r="F23" s="16" t="n">
        <v>9427000</v>
      </c>
    </row>
    <row r="24">
      <c r="A24" s="15" t="inlineStr">
        <is>
          <t>Selskabskapital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>
        <v>44000</v>
      </c>
      <c r="F28" s="16" t="n">
        <v>-161000</v>
      </c>
    </row>
    <row r="29">
      <c r="A29" s="15" t="inlineStr">
        <is>
          <t>Overført resultat</t>
        </is>
      </c>
      <c r="B29" s="16" t="n"/>
      <c r="C29" s="16" t="n"/>
      <c r="D29" s="16" t="n"/>
      <c r="E29" s="16" t="n"/>
      <c r="F29" s="16" t="n"/>
    </row>
    <row r="30">
      <c r="A30" s="17" t="inlineStr">
        <is>
          <t>Egenkapital i alt</t>
        </is>
      </c>
      <c r="B30" s="16" t="n">
        <v>2910000</v>
      </c>
      <c r="C30" s="16" t="n">
        <v>3168000</v>
      </c>
      <c r="D30" s="16" t="n">
        <v>3052000</v>
      </c>
      <c r="E30" s="16" t="n">
        <v>3072000</v>
      </c>
      <c r="F30" s="16" t="n">
        <v>2950000</v>
      </c>
    </row>
    <row r="31">
      <c r="A31" s="15" t="inlineStr">
        <is>
          <t>Hensættelse til udskudt skat</t>
        </is>
      </c>
      <c r="B31" s="16" t="n"/>
      <c r="C31" s="16" t="n"/>
      <c r="D31" s="16" t="n"/>
      <c r="E31" s="16" t="n">
        <v>101000</v>
      </c>
      <c r="F31" s="16" t="n">
        <v>106000</v>
      </c>
    </row>
    <row r="32">
      <c r="A32" s="17" t="inlineStr">
        <is>
          <t>Hensatte forpligtelser</t>
        </is>
      </c>
      <c r="B32" s="16" t="n">
        <v>269000</v>
      </c>
      <c r="C32" s="16" t="n">
        <v>189000</v>
      </c>
      <c r="D32" s="16" t="n">
        <v>198000</v>
      </c>
      <c r="E32" s="16" t="n">
        <v>166000</v>
      </c>
      <c r="F32" s="16" t="n">
        <v>159000</v>
      </c>
    </row>
    <row r="33">
      <c r="A33" s="17" t="inlineStr">
        <is>
          <t>Langfristede gældsforpligtelser</t>
        </is>
      </c>
      <c r="B33" s="16" t="n">
        <v>2113000</v>
      </c>
      <c r="C33" s="16" t="n">
        <v>2640000</v>
      </c>
      <c r="D33" s="16" t="n">
        <v>2650000</v>
      </c>
      <c r="E33" s="16" t="n">
        <v>2808000</v>
      </c>
      <c r="F33" s="16" t="n">
        <v>2990000</v>
      </c>
    </row>
    <row r="34">
      <c r="A34" s="15" t="inlineStr">
        <is>
          <t>Ansvarlig lånekapital (kortfristet)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Kortfristet del af langfristede gældsforpligtelser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Kreditinstitutter</t>
        </is>
      </c>
      <c r="B36" s="16" t="n"/>
      <c r="C36" s="16" t="n"/>
      <c r="D36" s="16" t="n"/>
      <c r="E36" s="16" t="n">
        <v>1194000</v>
      </c>
      <c r="F36" s="16" t="n">
        <v>1221000</v>
      </c>
    </row>
    <row r="37">
      <c r="A37" s="15" t="inlineStr">
        <is>
          <t>Leasingforpligtelser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Leverandører af varer og tjenesteydelser</t>
        </is>
      </c>
      <c r="B38" s="16" t="n">
        <v>1445000</v>
      </c>
      <c r="C38" s="16" t="n">
        <v>1597000</v>
      </c>
      <c r="D38" s="16" t="n">
        <v>1425000</v>
      </c>
      <c r="E38" s="16" t="n">
        <v>1433000</v>
      </c>
      <c r="F38" s="16" t="n">
        <v>1469000</v>
      </c>
    </row>
    <row r="39">
      <c r="A39" s="15" t="inlineStr">
        <is>
          <t>Gæld til tilknyttede virksomheder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Gæld til selskabsdeltagere og ledelse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Selskabsskat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Gæld til tilknyttede virksomheder vedr. 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(kortfristet)</t>
        </is>
      </c>
      <c r="B43" s="16" t="n">
        <v>280000</v>
      </c>
      <c r="C43" s="16" t="n">
        <v>301000</v>
      </c>
      <c r="D43" s="16" t="n">
        <v>306000</v>
      </c>
      <c r="E43" s="16" t="n">
        <v>365000</v>
      </c>
      <c r="F43" s="16" t="n">
        <v>370000</v>
      </c>
    </row>
    <row r="44">
      <c r="A44" s="15" t="inlineStr">
        <is>
          <t>Periodeafgrænsningsposter (passiver)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Kortfristede gældsforpligtelser</t>
        </is>
      </c>
      <c r="B45" s="16" t="n">
        <v>2457000</v>
      </c>
      <c r="C45" s="16" t="n">
        <v>2663000</v>
      </c>
      <c r="D45" s="16" t="n">
        <v>2597000</v>
      </c>
      <c r="E45" s="16" t="n">
        <v>3087000</v>
      </c>
      <c r="F45" s="16" t="n">
        <v>3102000</v>
      </c>
    </row>
    <row r="46">
      <c r="A46" s="17" t="inlineStr">
        <is>
          <t>Gældsforpligtelser</t>
        </is>
      </c>
      <c r="B46" s="16" t="n">
        <v>4903000</v>
      </c>
      <c r="C46" s="16" t="n">
        <v>5578000</v>
      </c>
      <c r="D46" s="16" t="n">
        <v>5247000</v>
      </c>
      <c r="E46" s="16" t="n">
        <v>6192000</v>
      </c>
      <c r="F46" s="16" t="n">
        <v>6411000</v>
      </c>
    </row>
    <row r="47">
      <c r="A47" s="17" t="inlineStr">
        <is>
          <t>Passiver</t>
        </is>
      </c>
      <c r="B47" s="16" t="n">
        <v>7813000</v>
      </c>
      <c r="C47" s="16" t="n">
        <v>8746000</v>
      </c>
      <c r="D47" s="16" t="n">
        <v>8299000</v>
      </c>
      <c r="E47" s="16" t="n">
        <v>9330000</v>
      </c>
      <c r="F47" s="16" t="n">
        <v>9427000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25313763)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'res_raw_25313763'!$F$2</f>
        <v/>
      </c>
      <c r="C5" s="24">
        <f>'res_raw_25313763'!$E$2</f>
        <v/>
      </c>
      <c r="D5" s="24">
        <f>'res_raw_25313763'!$D$2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-'res_raw_25313763'!$F$3</f>
        <v/>
      </c>
      <c r="C6" s="24">
        <f>-'res_raw_25313763'!$E$3</f>
        <v/>
      </c>
      <c r="D6" s="24">
        <f>-'res_raw_25313763'!$D$3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-'res_raw_25313763'!$F$5</f>
        <v/>
      </c>
      <c r="C8" s="24">
        <f>-'res_raw_25313763'!$E$5</f>
        <v/>
      </c>
      <c r="D8" s="24">
        <f>-'res_raw_25313763'!$D$5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-'res_raw_25313763'!$F$6</f>
        <v/>
      </c>
      <c r="C9" s="24">
        <f>-'res_raw_25313763'!$E$6</f>
        <v/>
      </c>
      <c r="D9" s="24">
        <f>-'res_raw_25313763'!$D$6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'res_raw_25313763'!$F$7</f>
        <v/>
      </c>
      <c r="C10" s="24">
        <f>'res_raw_25313763'!$E$7</f>
        <v/>
      </c>
      <c r="D10" s="24">
        <f>'res_raw_25313763'!$D$7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-'res_raw_25313763'!$F$8</f>
        <v/>
      </c>
      <c r="C11" s="24">
        <f>-'res_raw_25313763'!$E$8</f>
        <v/>
      </c>
      <c r="D11" s="24">
        <f>-'res_raw_25313763'!$D$8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N('res_raw_25313763'!$F$10)+N('res_raw_25313763'!$F$11)</f>
        <v/>
      </c>
      <c r="C13" s="24">
        <f>N('res_raw_25313763'!$E$10)+N('res_raw_25313763'!$E$11)</f>
        <v/>
      </c>
      <c r="D13" s="24">
        <f>N('res_raw_25313763'!$D$10)+N('res_raw_25313763'!$D$11)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-'res_raw_25313763'!$F$12</f>
        <v/>
      </c>
      <c r="C14" s="24">
        <f>-'res_raw_25313763'!$E$12</f>
        <v/>
      </c>
      <c r="D14" s="24">
        <f>-'res_raw_25313763'!$D$12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'balance_raw_25313763'!$F$10</f>
        <v/>
      </c>
      <c r="C18" s="24">
        <f>'balance_raw_25313763'!$E$10</f>
        <v/>
      </c>
      <c r="D18" s="24">
        <f>'balance_raw_25313763'!$D$10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'balance_raw_25313763'!$F$22</f>
        <v/>
      </c>
      <c r="C19" s="24">
        <f>'balance_raw_25313763'!$E$22</f>
        <v/>
      </c>
      <c r="D19" s="24">
        <f>'balance_raw_25313763'!$D$22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'balance_raw_25313763'!$F$30</f>
        <v/>
      </c>
      <c r="C22" s="24">
        <f>'balance_raw_25313763'!$E$30</f>
        <v/>
      </c>
      <c r="D22" s="24">
        <f>'balance_raw_25313763'!$D$30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'balance_raw_25313763'!$F$47-'balance_raw_25313763'!$F$30</f>
        <v/>
      </c>
      <c r="C23" s="24">
        <f>'balance_raw_25313763'!$E$47-'balance_raw_25313763'!$E$30</f>
        <v/>
      </c>
      <c r="D23" s="24">
        <f>'balance_raw_25313763'!$D$47-'balance_raw_25313763'!$D$30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'balance_raw_25313763'!$F$11</f>
        <v/>
      </c>
      <c r="C27" s="24">
        <f>'balance_raw_25313763'!$E$11</f>
        <v/>
      </c>
      <c r="D27" s="24">
        <f>'balance_raw_25313763'!$D$11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'balance_raw_25313763'!$F$12</f>
        <v/>
      </c>
      <c r="C28" s="24">
        <f>'balance_raw_25313763'!$E$12</f>
        <v/>
      </c>
      <c r="D28" s="24">
        <f>'balance_raw_25313763'!$D$12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'balance_raw_25313763'!$F$45</f>
        <v/>
      </c>
      <c r="C29" s="24">
        <f>'balance_raw_25313763'!$E$45</f>
        <v/>
      </c>
      <c r="D29" s="24">
        <f>'balance_raw_25313763'!$D$45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IF('balance_raw_25313763'!$F$23="","—",IF(ABS(B20-'balance_raw_25313763'!$F$23)&lt;=1,"✓ OK","❌ "&amp;TEXT(B20-'balance_raw_25313763'!$F$23,"+#,##0;-#,##0")&amp;" t.EUR"))</f>
        <v/>
      </c>
      <c r="C60" s="29">
        <f>IF('balance_raw_25313763'!$E$23="","—",IF(ABS(C20-'balance_raw_25313763'!$E$23)&lt;=1,"✓ OK","❌ "&amp;TEXT(C20-'balance_raw_25313763'!$E$23,"+#,##0;-#,##0")&amp;" t.EUR"))</f>
        <v/>
      </c>
      <c r="D60" s="29">
        <f>IF('balance_raw_25313763'!$D$23="","—",IF(ABS(D20-'balance_raw_25313763'!$D$23)&lt;=1,"✓ OK","❌ "&amp;TEXT(D20-'balance_raw_25313763'!$D$23,"+#,##0;-#,##0")&amp;" t.EUR"))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IF('balance_raw_25313763'!$F$47="","—",IF(ABS(B24-'balance_raw_25313763'!$F$47)&lt;=1,"✓ OK","❌ "&amp;TEXT(B24-'balance_raw_25313763'!$F$47,"+#,##0;-#,##0")&amp;" t.EUR"))</f>
        <v/>
      </c>
      <c r="C61" s="29">
        <f>IF('balance_raw_25313763'!$E$47="","—",IF(ABS(C24-'balance_raw_25313763'!$E$47)&lt;=1,"✓ OK","❌ "&amp;TEXT(C24-'balance_raw_25313763'!$E$47,"+#,##0;-#,##0")&amp;" t.EUR"))</f>
        <v/>
      </c>
      <c r="D61" s="29">
        <f>IF('balance_raw_25313763'!$D$47="","—",IF(ABS(D24-'balance_raw_25313763'!$D$47)&lt;=1,"✓ OK","❌ "&amp;TEXT(D24-'balance_raw_25313763'!$D$47,"+#,##0;-#,##0")&amp;" t.EUR"))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t.EUR")</f>
        <v/>
      </c>
      <c r="C62" s="29">
        <f>IF(ABS(C20-C24)&lt;=1,"✓ OK","❌ "&amp;TEXT(C20-C24,"+#,##0;-#,##0")&amp;" t.EUR")</f>
        <v/>
      </c>
      <c r="D62" s="29">
        <f>IF(ABS(D20-D24)&lt;=1,"✓ OK","❌ "&amp;TEXT(D20-D24,"+#,##0;-#,##0")&amp;" t.EUR")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IF('res_raw_25313763'!$F$4="","—",IF(ABS(B7-'res_raw_25313763'!$F$4)&lt;=1,"✓ OK","❌ "&amp;TEXT(B7-'res_raw_25313763'!$F$4,"+#,##0;-#,##0")&amp;" t.EUR"))</f>
        <v/>
      </c>
      <c r="C63" s="29">
        <f>IF('res_raw_25313763'!$E$4="","—",IF(ABS(C7-'res_raw_25313763'!$E$4)&lt;=1,"✓ OK","❌ "&amp;TEXT(C7-'res_raw_25313763'!$E$4,"+#,##0;-#,##0")&amp;" t.EUR"))</f>
        <v/>
      </c>
      <c r="D63" s="29">
        <f>IF('res_raw_25313763'!$D$4="","—",IF(ABS(D7-'res_raw_25313763'!$D$4)&lt;=1,"✓ OK","❌ "&amp;TEXT(D7-'res_raw_25313763'!$D$4,"+#,##0;-#,##0")&amp;" t.EUR"))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IF('res_raw_25313763'!$F$9="","—",IF(ABS(B12-'res_raw_25313763'!$F$9)&lt;=1,"✓ OK","❌ "&amp;TEXT(B12-'res_raw_25313763'!$F$9,"+#,##0;-#,##0")&amp;" t.EUR"))</f>
        <v/>
      </c>
      <c r="C64" s="29">
        <f>IF('res_raw_25313763'!$E$9="","—",IF(ABS(C12-'res_raw_25313763'!$E$9)&lt;=1,"✓ OK","❌ "&amp;TEXT(C12-'res_raw_25313763'!$E$9,"+#,##0;-#,##0")&amp;" t.EUR"))</f>
        <v/>
      </c>
      <c r="D64" s="29">
        <f>IF('res_raw_25313763'!$D$9="","—",IF(ABS(D12-'res_raw_25313763'!$D$9)&lt;=1,"✓ OK","❌ "&amp;TEXT(D12-'res_raw_25313763'!$D$9,"+#,##0;-#,##0")&amp;" t.EUR"))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IF('res_raw_25313763'!$F$14="","—",IF(ABS(B15-'res_raw_25313763'!$F$14)&lt;=1,"✓ OK","❌ "&amp;TEXT(B15-'res_raw_25313763'!$F$14,"+#,##0;-#,##0")&amp;" t.EUR"))</f>
        <v/>
      </c>
      <c r="C65" s="29">
        <f>IF('res_raw_25313763'!$E$14="","—",IF(ABS(C15-'res_raw_25313763'!$E$14)&lt;=1,"✓ OK","❌ "&amp;TEXT(C15-'res_raw_25313763'!$E$14,"+#,##0;-#,##0")&amp;" t.EUR"))</f>
        <v/>
      </c>
      <c r="D65" s="29">
        <f>IF('res_raw_25313763'!$D$14="","—",IF(ABS(D15-'res_raw_25313763'!$D$14)&lt;=1,"✓ OK","❌ "&amp;TEXT(D15-'res_raw_25313763'!$D$14,"+#,##0;-#,##0")&amp;" t.EUR"))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ifrs-full:AdjustmentsForUndistributedProfitsOfAssociates</t>
        </is>
      </c>
      <c r="C3" s="34" t="inlineStr">
        <is>
          <t>ifrs-full:AdjustmentsForUndistributedProfitsOfAssociates</t>
        </is>
      </c>
      <c r="D3" s="35" t="n"/>
      <c r="E3" s="35" t="n"/>
      <c r="F3" s="35" t="n"/>
      <c r="G3" s="35" t="n">
        <v>33000</v>
      </c>
      <c r="H3" s="35" t="n">
        <v>30000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ifrs-full:AmountRemovedFromReserveOfChangeInValueOfForeignCurrencyBasisSpreadsAndIncludedInInitialCostOrOtherCarryingAmountOfNonfinancialAssetLiabilityOrFirmCommitmentForWhichFairValueHedgeAccountingIsApplied</t>
        </is>
      </c>
      <c r="C4" s="37" t="inlineStr">
        <is>
          <t>ifrs-full:AmountRemovedFromReserveOfChangeInValueOfForeignCurrencyBasisSpreadsAndIncludedInInitialCostOrOtherCarryingAmountOfNonfinancialAssetLiabilityOrFirmCommitmentForWhichFairValueHedgeAccountingIsApplied</t>
        </is>
      </c>
      <c r="D4" s="38" t="n"/>
      <c r="E4" s="38" t="n"/>
      <c r="F4" s="38" t="n"/>
      <c r="G4" s="38" t="n">
        <v>-4000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ifrs-full:DividendsReceivedClassifiedAsOperatingActivities</t>
        </is>
      </c>
      <c r="C5" s="34" t="inlineStr">
        <is>
          <t>ifrs-full:DividendsReceivedClassifiedAsOperatingActivities</t>
        </is>
      </c>
      <c r="D5" s="35" t="n">
        <v>24000</v>
      </c>
      <c r="E5" s="35" t="n">
        <v>15000</v>
      </c>
      <c r="F5" s="35" t="n">
        <v>18000</v>
      </c>
      <c r="G5" s="35" t="n">
        <v>24000</v>
      </c>
      <c r="H5" s="35" t="n">
        <v>21000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ifrs-full:InvestmentsInSubsidiariesJointVenturesAndAssociates</t>
        </is>
      </c>
      <c r="C6" s="37" t="inlineStr">
        <is>
          <t>ifrs-full:InvestmentsInSubsidiariesJointVenturesAndAssociates</t>
        </is>
      </c>
      <c r="D6" s="38" t="n">
        <v>530000</v>
      </c>
      <c r="E6" s="38" t="n">
        <v>565000</v>
      </c>
      <c r="F6" s="38" t="n">
        <v>560000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ifrs-full:IssuedCapitalOrdinaryShares</t>
        </is>
      </c>
      <c r="C7" s="34" t="inlineStr">
        <is>
          <t>ifrs-full:IssuedCapitalOrdinaryShares</t>
        </is>
      </c>
      <c r="D7" s="35" t="n"/>
      <c r="E7" s="35" t="n"/>
      <c r="F7" s="35" t="n"/>
      <c r="G7" s="35" t="n">
        <v>2230000</v>
      </c>
      <c r="H7" s="35" t="n">
        <v>2049000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ifrs-full:IssuedCapitalPreferenceShares</t>
        </is>
      </c>
      <c r="C8" s="37" t="inlineStr">
        <is>
          <t>ifrs-full:IssuedCapitalPreferenceShares</t>
        </is>
      </c>
      <c r="D8" s="38" t="n"/>
      <c r="E8" s="38" t="n"/>
      <c r="F8" s="38" t="n"/>
      <c r="G8" s="38" t="n">
        <v>570000</v>
      </c>
      <c r="H8" s="38" t="n">
        <v>834000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ifrs-full:ProceedsFromSalesOrMaturityOfFinancialInstrumentsClassifiedAsInvestingActivities</t>
        </is>
      </c>
      <c r="C9" s="34" t="inlineStr">
        <is>
          <t>ifrs-full:ProceedsFromSalesOrMaturityOfFinancialInstrumentsClassifiedAsInvestingActivities</t>
        </is>
      </c>
      <c r="D9" s="35" t="n"/>
      <c r="E9" s="35" t="n"/>
      <c r="F9" s="35" t="n"/>
      <c r="G9" s="35" t="n">
        <v>56000</v>
      </c>
      <c r="H9" s="35" t="n">
        <v>36000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2026-09-07T19:37:29Z</dcterms:created>
  <dcterms:modified xmlns:dcterms="http://purl.org/dc/terms/" xmlns:xsi="http://www.w3.org/2001/XMLSchema-instance" xsi:type="dcterms:W3CDTF">2026-09-07T19:37:29Z</dcterms:modified>
</cp:coreProperties>
</file>