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'pengestrom_raw_61056416'!$B$2</f>
        <v/>
      </c>
      <c r="C89" s="17">
        <f>'pengestrom_raw_61056416'!$C$2</f>
        <v/>
      </c>
      <c r="D89" s="17">
        <f>'pengestrom_raw_61056416'!$D$2</f>
        <v/>
      </c>
      <c r="E89" s="17">
        <f>'pengestrom_raw_61056416'!$E$2</f>
        <v/>
      </c>
      <c r="F89" s="17">
        <f>'pengestrom_raw_61056416'!$F$2</f>
        <v/>
      </c>
    </row>
    <row r="90">
      <c r="A90" s="16" t="inlineStr">
        <is>
          <t>Pengestrømme fra investeringsaktivitet</t>
        </is>
      </c>
      <c r="B90" s="17">
        <f>'pengestrom_raw_61056416'!$B$3</f>
        <v/>
      </c>
      <c r="C90" s="17">
        <f>'pengestrom_raw_61056416'!$C$3</f>
        <v/>
      </c>
      <c r="D90" s="17">
        <f>'pengestrom_raw_61056416'!$D$3</f>
        <v/>
      </c>
      <c r="E90" s="17">
        <f>'pengestrom_raw_61056416'!$E$3</f>
        <v/>
      </c>
      <c r="F90" s="17">
        <f>'pengestrom_raw_61056416'!$F$3</f>
        <v/>
      </c>
    </row>
    <row r="91">
      <c r="A91" s="16" t="inlineStr">
        <is>
          <t>Pengestrømme fra finansieringsaktivitet</t>
        </is>
      </c>
      <c r="B91" s="17">
        <f>'pengestrom_raw_61056416'!$B$4</f>
        <v/>
      </c>
      <c r="C91" s="17">
        <f>'pengestrom_raw_61056416'!$C$4</f>
        <v/>
      </c>
      <c r="D91" s="17">
        <f>'pengestrom_raw_61056416'!$D$4</f>
        <v/>
      </c>
      <c r="E91" s="17">
        <f>'pengestrom_raw_61056416'!$E$4</f>
        <v/>
      </c>
      <c r="F91" s="17">
        <f>'pengestrom_raw_61056416'!$F$4</f>
        <v/>
      </c>
    </row>
    <row r="92">
      <c r="A92" s="16" t="inlineStr">
        <is>
          <t>Årets pengestrøm (rapporteret)</t>
        </is>
      </c>
      <c r="B92" s="17">
        <f>'pengestrom_raw_61056416'!$B$5</f>
        <v/>
      </c>
      <c r="C92" s="17">
        <f>'pengestrom_raw_61056416'!$C$5</f>
        <v/>
      </c>
      <c r="D92" s="17">
        <f>'pengestrom_raw_61056416'!$D$5</f>
        <v/>
      </c>
      <c r="E92" s="17">
        <f>'pengestrom_raw_61056416'!$E$5</f>
        <v/>
      </c>
      <c r="F92" s="17">
        <f>'pengestrom_raw_61056416'!$F$5</f>
        <v/>
      </c>
    </row>
    <row r="93">
      <c r="A93" s="16" t="inlineStr">
        <is>
          <t>Krydstjek: drift + inv. + fin. = årets pengestrøm</t>
        </is>
      </c>
      <c r="B93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3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3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3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3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Salgs- og distributionsomkostninger</t>
        </is>
      </c>
      <c r="B5" s="17" t="n">
        <v>14872000</v>
      </c>
      <c r="C5" s="17" t="n">
        <v>17337000</v>
      </c>
      <c r="D5" s="17" t="n">
        <v>18355000</v>
      </c>
      <c r="E5" s="17" t="n">
        <v>19242000</v>
      </c>
      <c r="F5" s="17" t="n">
        <v>23128000</v>
      </c>
    </row>
    <row r="6">
      <c r="A6" s="16" t="inlineStr">
        <is>
          <t>Administrationsomkostninger</t>
        </is>
      </c>
      <c r="B6" s="17" t="n">
        <v>3979000</v>
      </c>
      <c r="C6" s="17" t="n">
        <v>4229000</v>
      </c>
      <c r="D6" s="17" t="n">
        <v>4077000</v>
      </c>
      <c r="E6" s="17" t="n">
        <v>4381000</v>
      </c>
      <c r="F6" s="17" t="n">
        <v>4961000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10129000</v>
      </c>
      <c r="C9" s="17" t="n">
        <v>11470000</v>
      </c>
      <c r="D9" s="17" t="n">
        <v>11105000</v>
      </c>
      <c r="E9" s="17" t="n">
        <v>11411000</v>
      </c>
      <c r="F9" s="17" t="n">
        <v>13356000</v>
      </c>
    </row>
    <row r="10">
      <c r="A10" s="16" t="inlineStr">
        <is>
          <t>Indtægter af kapitalandele, dattervirksomheder</t>
        </is>
      </c>
      <c r="B10" s="17" t="n">
        <v>336000</v>
      </c>
      <c r="C10" s="17" t="n">
        <v>901000</v>
      </c>
      <c r="D10" s="17" t="n">
        <v>581000</v>
      </c>
      <c r="E10" s="17" t="n">
        <v>616000</v>
      </c>
      <c r="F10" s="17" t="n">
        <v>660000</v>
      </c>
    </row>
    <row r="11">
      <c r="A11" s="16" t="inlineStr">
        <is>
          <t>Finansielle indtægter</t>
        </is>
      </c>
      <c r="B11" s="17" t="n">
        <v>571000</v>
      </c>
      <c r="C11" s="17" t="n">
        <v>347000</v>
      </c>
      <c r="D11" s="17" t="n">
        <v>695000</v>
      </c>
      <c r="E11" s="17" t="n">
        <v>959000</v>
      </c>
      <c r="F11" s="17" t="n">
        <v>1136000</v>
      </c>
    </row>
    <row r="12">
      <c r="A12" s="16" t="inlineStr">
        <is>
          <t>Finansielle omkostninger</t>
        </is>
      </c>
      <c r="B12" s="17" t="n">
        <v>956000</v>
      </c>
      <c r="C12" s="17" t="n">
        <v>1072000</v>
      </c>
      <c r="D12" s="17" t="n">
        <v>1539000</v>
      </c>
      <c r="E12" s="17" t="n">
        <v>1864000</v>
      </c>
      <c r="F12" s="17" t="n">
        <v>3516000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10447000</v>
      </c>
      <c r="C14" s="17" t="n">
        <v>9961000</v>
      </c>
      <c r="D14" s="17" t="n">
        <v>9830000</v>
      </c>
      <c r="E14" s="17" t="n">
        <v>9987000</v>
      </c>
      <c r="F14" s="17" t="n">
        <v>9050000</v>
      </c>
    </row>
    <row r="15">
      <c r="A15" s="16" t="inlineStr">
        <is>
          <t>Skat af årets resultat</t>
        </is>
      </c>
      <c r="B15" s="17" t="n">
        <v>2154000</v>
      </c>
      <c r="C15" s="17" t="n">
        <v>1778000</v>
      </c>
      <c r="D15" s="17" t="n">
        <v>1859000</v>
      </c>
      <c r="E15" s="17" t="n">
        <v>1982000</v>
      </c>
      <c r="F15" s="17" t="n">
        <v>2072000</v>
      </c>
    </row>
    <row r="16">
      <c r="A16" s="15" t="inlineStr">
        <is>
          <t>Årets resultat</t>
        </is>
      </c>
      <c r="B16" s="17" t="n">
        <v>8293000</v>
      </c>
      <c r="C16" s="17" t="n">
        <v>8183000</v>
      </c>
      <c r="D16" s="17" t="n">
        <v>7971000</v>
      </c>
      <c r="E16" s="17" t="n">
        <v>8005000</v>
      </c>
      <c r="F16" s="17" t="n">
        <v>6978000</v>
      </c>
    </row>
    <row r="17">
      <c r="A17" s="16" t="inlineStr">
        <is>
          <t>Gns. antal medarbejdere</t>
        </is>
      </c>
      <c r="B17" s="17" t="n">
        <v>39375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-4221000</v>
      </c>
      <c r="C18" s="17" t="n"/>
      <c r="D18" s="17" t="n">
        <v>3887000</v>
      </c>
      <c r="E18" s="17" t="n">
        <v>4668000</v>
      </c>
      <c r="F18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2026-09-10T15:35:00Z</dcterms:created>
  <dcterms:modified xmlns:dcterms="http://purl.org/dc/terms/" xmlns:xsi="http://www.w3.org/2001/XMLSchema-instance" xsi:type="dcterms:W3CDTF">2026-09-10T15:35:02Z</dcterms:modified>
</cp:coreProperties>
</file>