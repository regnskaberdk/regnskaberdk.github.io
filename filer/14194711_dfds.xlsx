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'balance_raw'!$B$50</f>
        <v/>
      </c>
      <c r="C73" s="11">
        <f>'balance_raw'!$C$50</f>
        <v/>
      </c>
      <c r="D73" s="11">
        <f>'balance_raw'!$D$50</f>
        <v/>
      </c>
      <c r="E73" s="11">
        <f>'balance_raw'!$E$50</f>
        <v/>
      </c>
      <c r="F73" s="11">
        <f>'balance_raw'!$F$50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'balance_raw'!$B$51</f>
        <v/>
      </c>
      <c r="C74" s="11">
        <f>'balance_raw'!$C$51</f>
        <v/>
      </c>
      <c r="D74" s="11">
        <f>'balance_raw'!$D$51</f>
        <v/>
      </c>
      <c r="E74" s="11">
        <f>'balance_raw'!$E$51</f>
        <v/>
      </c>
      <c r="F74" s="11">
        <f>'balance_raw'!$F$51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'balance_raw'!$B$52</f>
        <v/>
      </c>
      <c r="C75" s="11">
        <f>'balance_raw'!$C$52</f>
        <v/>
      </c>
      <c r="D75" s="11">
        <f>'balance_raw'!$D$52</f>
        <v/>
      </c>
      <c r="E75" s="11">
        <f>'balance_raw'!$E$52</f>
        <v/>
      </c>
      <c r="F75" s="11">
        <f>'balance_raw'!$F$52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'res_raw'!$B$19</f>
        <v/>
      </c>
      <c r="C78" s="5">
        <f>'res_raw'!$C$19</f>
        <v/>
      </c>
      <c r="D78" s="5">
        <f>'res_raw'!$D$19</f>
        <v/>
      </c>
      <c r="E78" s="5">
        <f>'res_raw'!$E$19</f>
        <v/>
      </c>
      <c r="F78" s="5">
        <f>'res_raw'!$F$19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'res_raw'!$B$20</f>
        <v/>
      </c>
      <c r="C79" s="8">
        <f>'res_raw'!$C$20</f>
        <v/>
      </c>
      <c r="D79" s="8">
        <f>'res_raw'!$D$20</f>
        <v/>
      </c>
      <c r="E79" s="8">
        <f>'res_raw'!$E$20</f>
        <v/>
      </c>
      <c r="F79" s="8">
        <f>'res_raw'!$F$20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IFERROR(($B$13+$B$15+$B$14)/$B$49*100,"")</f>
        <v/>
      </c>
      <c r="C82" s="13">
        <f>IFERROR(($C$13+$C$15+$C$14)/$C$49*100,"")</f>
        <v/>
      </c>
      <c r="D82" s="13">
        <f>IFERROR(($D$13+$D$15+$D$14)/$D$49*100,"")</f>
        <v/>
      </c>
      <c r="E82" s="13">
        <f>IFERROR(($E$13+$E$15+$E$14)/$E$49*100,"")</f>
        <v/>
      </c>
      <c r="F82" s="13">
        <f>IFERROR(($F$13+$F$15+$F$14)/$F$49*100,"")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IFERROR($B$4/$B$49,"")</f>
        <v/>
      </c>
      <c r="C84" s="13">
        <f>IFERROR($C$4/$C$49,"")</f>
        <v/>
      </c>
      <c r="D84" s="13">
        <f>IFERROR($D$4/$D$49,"")</f>
        <v/>
      </c>
      <c r="E84" s="13">
        <f>IFERROR($E$4/$E$49,"")</f>
        <v/>
      </c>
      <c r="F84" s="13">
        <f>IFERROR($F$4/$F$49,"")</f>
        <v/>
      </c>
    </row>
    <row r="85" ht="16" customHeight="1">
      <c r="A85" s="7" t="inlineStr">
        <is>
          <t>Egenkapitalens forrentning, %</t>
        </is>
      </c>
      <c r="B85" s="14">
        <f>IFERROR($B$18/$B$58*100,"")</f>
        <v/>
      </c>
      <c r="C85" s="14">
        <f>IFERROR($C$18/$C$58*100,"")</f>
        <v/>
      </c>
      <c r="D85" s="14">
        <f>IFERROR($D$18/$D$58*100,"")</f>
        <v/>
      </c>
      <c r="E85" s="14">
        <f>IFERROR($E$18/$E$58*100,"")</f>
        <v/>
      </c>
      <c r="F85" s="14">
        <f>IFERROR($F$18/$F$58*100,"")</f>
        <v/>
      </c>
    </row>
    <row r="86" ht="16" customHeight="1">
      <c r="A86" s="4" t="inlineStr">
        <is>
          <t>Gældsrente, %</t>
        </is>
      </c>
      <c r="B86" s="13">
        <f>IFERROR($B$16/($B$75-$B$58)*100,"")</f>
        <v/>
      </c>
      <c r="C86" s="13">
        <f>IFERROR($C$16/($C$75-$C$58)*100,"")</f>
        <v/>
      </c>
      <c r="D86" s="13">
        <f>IFERROR($D$16/($D$75-$D$58)*100,"")</f>
        <v/>
      </c>
      <c r="E86" s="13">
        <f>IFERROR($E$16/($E$75-$E$58)*100,"")</f>
        <v/>
      </c>
      <c r="F86" s="13">
        <f>IFERROR($F$16/($F$75-$F$58)*100,"")</f>
        <v/>
      </c>
    </row>
    <row r="87" ht="16" customHeight="1">
      <c r="A87" s="7" t="inlineStr">
        <is>
          <t>Soliditetsgrad, %</t>
        </is>
      </c>
      <c r="B87" s="14">
        <f>IFERROR($B$58/$B$49*100,"")</f>
        <v/>
      </c>
      <c r="C87" s="14">
        <f>IFERROR($C$58/$C$49*100,"")</f>
        <v/>
      </c>
      <c r="D87" s="14">
        <f>IFERROR($D$58/$D$49*100,"")</f>
        <v/>
      </c>
      <c r="E87" s="14">
        <f>IFERROR($E$58/$E$49*100,"")</f>
        <v/>
      </c>
      <c r="F87" s="14">
        <f>IFERROR($F$58/$F$49*100,"")</f>
        <v/>
      </c>
    </row>
    <row r="88" ht="16" customHeight="1">
      <c r="A88" s="4" t="inlineStr">
        <is>
          <t>Gearing</t>
        </is>
      </c>
      <c r="B88" s="13">
        <f>IFERROR(($B$75-$B$58)/$B$58,"")</f>
        <v/>
      </c>
      <c r="C88" s="13">
        <f>IFERROR(($C$75-$C$58)/$C$58,"")</f>
        <v/>
      </c>
      <c r="D88" s="13">
        <f>IFERROR(($D$75-$D$58)/$D$58,"")</f>
        <v/>
      </c>
      <c r="E88" s="13">
        <f>IFERROR(($E$75-$E$58)/$E$58,"")</f>
        <v/>
      </c>
      <c r="F88" s="13">
        <f>IFERROR(($F$75-$F$58)/$F$58,"")</f>
        <v/>
      </c>
    </row>
    <row r="89" ht="16" customHeight="1">
      <c r="A89" s="7" t="inlineStr">
        <is>
          <t>Likviditetsgrad, %</t>
        </is>
      </c>
      <c r="B89" s="14">
        <f>IFERROR($B$48/$B$73*100,"")</f>
        <v/>
      </c>
      <c r="C89" s="14">
        <f>IFERROR($C$48/$C$73*100,"")</f>
        <v/>
      </c>
      <c r="D89" s="14">
        <f>IFERROR($D$48/$D$73*100,"")</f>
        <v/>
      </c>
      <c r="E89" s="14">
        <f>IFERROR($E$48/$E$73*100,"")</f>
        <v/>
      </c>
      <c r="F89" s="14">
        <f>IFERROR($F$48/$F$73*100,"")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IFERROR(($B$75-$B$58)/$B$49*100,"")</f>
        <v/>
      </c>
      <c r="C91" s="14">
        <f>IFERROR(($C$75-$C$58)/$C$49*100,"")</f>
        <v/>
      </c>
      <c r="D91" s="14">
        <f>IFERROR(($D$75-$D$58)/$D$49*100,"")</f>
        <v/>
      </c>
      <c r="E91" s="14">
        <f>IFERROR(($E$75-$E$58)/$E$49*100,"")</f>
        <v/>
      </c>
      <c r="F91" s="14">
        <f>IFERROR(($F$75-$F$58)/$F$49*100,"")</f>
        <v/>
      </c>
    </row>
    <row r="92" ht="16" customHeight="1">
      <c r="A92" s="4" t="inlineStr">
        <is>
          <t>Kapitalbindingsgrad, %</t>
        </is>
      </c>
      <c r="B92" s="13">
        <f>IFERROR($B$36/($B$58+$B$61)*100,"")</f>
        <v/>
      </c>
      <c r="C92" s="13">
        <f>IFERROR($C$36/($C$58+$C$61)*100,"")</f>
        <v/>
      </c>
      <c r="D92" s="13">
        <f>IFERROR($D$36/($D$58+$D$61)*100,"")</f>
        <v/>
      </c>
      <c r="E92" s="13">
        <f>IFERROR($E$36/($E$58+$E$61)*100,"")</f>
        <v/>
      </c>
      <c r="F92" s="13">
        <f>IFERROR($F$36/($F$58+$F$61)*100,"")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17869000</v>
      </c>
      <c r="C2" s="16" t="n">
        <v>26873000</v>
      </c>
      <c r="D2" s="16" t="n">
        <v>27304000</v>
      </c>
      <c r="E2" s="16" t="n">
        <v>29753000</v>
      </c>
      <c r="F2" s="16" t="n">
        <v>30947000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>
        <v>119000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643000</v>
      </c>
      <c r="C5" s="16" t="n">
        <v>1015000</v>
      </c>
      <c r="D5" s="16" t="n">
        <v>1206000</v>
      </c>
      <c r="E5" s="16" t="n">
        <v>1424000</v>
      </c>
      <c r="F5" s="16" t="n">
        <v>1423000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3444000</v>
      </c>
      <c r="C7" s="16" t="n">
        <v>4730000</v>
      </c>
      <c r="D7" s="16" t="n">
        <v>5572000</v>
      </c>
      <c r="E7" s="16" t="n">
        <v>6361000</v>
      </c>
      <c r="F7" s="16" t="n">
        <v>7117000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2087000</v>
      </c>
      <c r="C9" s="16" t="n">
        <v>2505000</v>
      </c>
      <c r="D9" s="16" t="n">
        <v>2473000</v>
      </c>
      <c r="E9" s="16" t="n">
        <v>2793000</v>
      </c>
      <c r="F9" s="16" t="n">
        <v>3108000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1348000</v>
      </c>
      <c r="C11" s="16" t="n">
        <v>2482000</v>
      </c>
      <c r="D11" s="16" t="n">
        <v>2326000</v>
      </c>
      <c r="E11" s="16" t="n">
        <v>1506000</v>
      </c>
      <c r="F11" s="16" t="n">
        <v>520000</v>
      </c>
    </row>
    <row r="12">
      <c r="A12" s="15" t="inlineStr">
        <is>
          <t>Indtægter af kapitalandele, dattervirksomheder</t>
        </is>
      </c>
      <c r="B12" s="16" t="n">
        <v>-13000</v>
      </c>
      <c r="C12" s="16" t="n">
        <v>-14000</v>
      </c>
      <c r="D12" s="16" t="n">
        <v>-26000</v>
      </c>
      <c r="E12" s="16" t="n">
        <v>-9000</v>
      </c>
      <c r="F12" s="16" t="n">
        <v>-8000</v>
      </c>
    </row>
    <row r="13">
      <c r="A13" s="15" t="inlineStr">
        <is>
          <t>Finansielle indtægter</t>
        </is>
      </c>
      <c r="B13" s="16" t="n">
        <v>29000</v>
      </c>
      <c r="C13" s="16" t="n">
        <v>66000</v>
      </c>
      <c r="D13" s="16" t="n">
        <v>80000</v>
      </c>
      <c r="E13" s="16" t="n">
        <v>47000</v>
      </c>
      <c r="F13" s="16" t="n">
        <v>38000</v>
      </c>
    </row>
    <row r="14">
      <c r="A14" s="15" t="inlineStr">
        <is>
          <t>Finansielle omkostninger</t>
        </is>
      </c>
      <c r="B14" s="16" t="n">
        <v>307000</v>
      </c>
      <c r="C14" s="16" t="n">
        <v>409000</v>
      </c>
      <c r="D14" s="16" t="n">
        <v>739000</v>
      </c>
      <c r="E14" s="16" t="n">
        <v>870000</v>
      </c>
      <c r="F14" s="16" t="n">
        <v>856000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1069000</v>
      </c>
      <c r="C16" s="16" t="n">
        <v>2139000</v>
      </c>
      <c r="D16" s="16" t="n">
        <v>1667000</v>
      </c>
      <c r="E16" s="16" t="n">
        <v>683000</v>
      </c>
      <c r="F16" s="16" t="n">
        <v>-298000</v>
      </c>
    </row>
    <row r="17">
      <c r="A17" s="15" t="inlineStr">
        <is>
          <t>Skat af årets resultat</t>
        </is>
      </c>
      <c r="B17" s="16" t="n">
        <v>94000</v>
      </c>
      <c r="C17" s="16" t="n">
        <v>120000</v>
      </c>
      <c r="D17" s="16" t="n">
        <v>148000</v>
      </c>
      <c r="E17" s="16" t="n">
        <v>142000</v>
      </c>
      <c r="F17" s="16" t="n">
        <v>127000</v>
      </c>
    </row>
    <row r="18">
      <c r="A18" s="17" t="inlineStr">
        <is>
          <t>Årets resultat</t>
        </is>
      </c>
      <c r="B18" s="16" t="n">
        <v>976000</v>
      </c>
      <c r="C18" s="16" t="n">
        <v>2019000</v>
      </c>
      <c r="D18" s="16" t="n">
        <v>1519000</v>
      </c>
      <c r="E18" s="16" t="n">
        <v>541000</v>
      </c>
      <c r="F18" s="16" t="n">
        <v>-425000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599000</v>
      </c>
      <c r="C2" s="16" t="n">
        <v>676000</v>
      </c>
      <c r="D2" s="16" t="n">
        <v>831000</v>
      </c>
      <c r="E2" s="16" t="n">
        <v>755000</v>
      </c>
      <c r="F2" s="16" t="n">
        <v>677000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4280000</v>
      </c>
      <c r="C4" s="16" t="n">
        <v>4407000</v>
      </c>
      <c r="D4" s="16" t="n">
        <v>4952000</v>
      </c>
      <c r="E4" s="16" t="n">
        <v>7497000</v>
      </c>
      <c r="F4" s="16" t="n">
        <v>7631000</v>
      </c>
    </row>
    <row r="5">
      <c r="A5" s="17" t="inlineStr">
        <is>
          <t>Immaterielle anlægsaktiver</t>
        </is>
      </c>
      <c r="B5" s="16" t="n">
        <v>6252000</v>
      </c>
      <c r="C5" s="16" t="n">
        <v>6444000</v>
      </c>
      <c r="D5" s="16" t="n">
        <v>7136000</v>
      </c>
      <c r="E5" s="16" t="n">
        <v>9837000</v>
      </c>
      <c r="F5" s="16" t="n">
        <v>9825000</v>
      </c>
    </row>
    <row r="6">
      <c r="A6" s="15" t="inlineStr">
        <is>
          <t>Grunde og bygninger</t>
        </is>
      </c>
      <c r="B6" s="16" t="n">
        <v>427000</v>
      </c>
      <c r="C6" s="16" t="n">
        <v>559000</v>
      </c>
      <c r="D6" s="16" t="n">
        <v>759000</v>
      </c>
      <c r="E6" s="16" t="n">
        <v>828000</v>
      </c>
      <c r="F6" s="16" t="n">
        <v>823000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1289000</v>
      </c>
      <c r="C11" s="16" t="n">
        <v>1600000</v>
      </c>
      <c r="D11" s="16" t="n">
        <v>1939000</v>
      </c>
      <c r="E11" s="16" t="n">
        <v>2531000</v>
      </c>
      <c r="F11" s="16" t="n">
        <v>2403000</v>
      </c>
    </row>
    <row r="12">
      <c r="A12" s="15" t="inlineStr">
        <is>
          <t>Kapitalandele, dattervirksomheder</t>
        </is>
      </c>
      <c r="B12" s="16" t="n">
        <v>35000</v>
      </c>
      <c r="C12" s="16" t="n">
        <v>13000</v>
      </c>
      <c r="D12" s="16" t="n">
        <v>2000</v>
      </c>
      <c r="E12" s="16" t="n">
        <v>3000</v>
      </c>
      <c r="F12" s="16" t="n"/>
    </row>
    <row r="13">
      <c r="A13" s="15" t="inlineStr">
        <is>
          <t>Deposita</t>
        </is>
      </c>
      <c r="B13" s="16" t="n">
        <v>366000</v>
      </c>
      <c r="C13" s="16" t="n">
        <v>500000</v>
      </c>
      <c r="D13" s="16" t="n">
        <v>238000</v>
      </c>
      <c r="E13" s="16" t="n">
        <v>225000</v>
      </c>
      <c r="F13" s="16" t="n">
        <v>150000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25807000</v>
      </c>
      <c r="C15" s="16" t="n">
        <v>28141000</v>
      </c>
      <c r="D15" s="16" t="n">
        <v>28691000</v>
      </c>
      <c r="E15" s="16" t="n">
        <v>31996000</v>
      </c>
      <c r="F15" s="16" t="n">
        <v>30507000</v>
      </c>
    </row>
    <row r="16">
      <c r="A16" s="17" t="inlineStr">
        <is>
          <t>Varebeholdninger</t>
        </is>
      </c>
      <c r="B16" s="16" t="n">
        <v>269000</v>
      </c>
      <c r="C16" s="16" t="n">
        <v>324000</v>
      </c>
      <c r="D16" s="16" t="n">
        <v>339000</v>
      </c>
      <c r="E16" s="16" t="n">
        <v>322000</v>
      </c>
      <c r="F16" s="16" t="n">
        <v>255000</v>
      </c>
    </row>
    <row r="17">
      <c r="A17" s="15" t="inlineStr">
        <is>
          <t>Tilgodehavender fra salg og tjenesteydelser</t>
        </is>
      </c>
      <c r="B17" s="16" t="n">
        <v>3423000</v>
      </c>
      <c r="C17" s="16" t="n">
        <v>4015000</v>
      </c>
      <c r="D17" s="16" t="n">
        <v>4459000</v>
      </c>
      <c r="E17" s="16" t="n">
        <v>4871000</v>
      </c>
      <c r="F17" s="16" t="n">
        <v>4080000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>
        <v>171000</v>
      </c>
      <c r="C19" s="16" t="n">
        <v>223000</v>
      </c>
      <c r="D19" s="16" t="n">
        <v>251000</v>
      </c>
      <c r="E19" s="16" t="n">
        <v>218000</v>
      </c>
      <c r="F19" s="16" t="n">
        <v>238000</v>
      </c>
    </row>
    <row r="20">
      <c r="A20" s="15" t="inlineStr">
        <is>
          <t>Periodeafgrænsningsposter (aktiver)</t>
        </is>
      </c>
      <c r="B20" s="16" t="n">
        <v>299000</v>
      </c>
      <c r="C20" s="16" t="n">
        <v>368000</v>
      </c>
      <c r="D20" s="16" t="n">
        <v>400000</v>
      </c>
      <c r="E20" s="16" t="n">
        <v>452000</v>
      </c>
      <c r="F20" s="16" t="n">
        <v>447000</v>
      </c>
    </row>
    <row r="21">
      <c r="A21" s="15" t="inlineStr">
        <is>
          <t>Udskudt skatteaktiv</t>
        </is>
      </c>
      <c r="B21" s="16" t="n">
        <v>31000</v>
      </c>
      <c r="C21" s="16" t="n">
        <v>49000</v>
      </c>
      <c r="D21" s="16" t="n">
        <v>79000</v>
      </c>
      <c r="E21" s="16" t="n">
        <v>82000</v>
      </c>
      <c r="F21" s="16" t="n">
        <v>74000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902000</v>
      </c>
      <c r="C26" s="16" t="n">
        <v>1189000</v>
      </c>
      <c r="D26" s="16" t="n">
        <v>737000</v>
      </c>
      <c r="E26" s="16" t="n">
        <v>1589000</v>
      </c>
      <c r="F26" s="16" t="n">
        <v>1795000</v>
      </c>
    </row>
    <row r="27">
      <c r="A27" s="17" t="inlineStr">
        <is>
          <t>Omsætningsaktiver</t>
        </is>
      </c>
      <c r="B27" s="16" t="n">
        <v>4914000</v>
      </c>
      <c r="C27" s="16" t="n">
        <v>5943000</v>
      </c>
      <c r="D27" s="16" t="n">
        <v>5956000</v>
      </c>
      <c r="E27" s="16" t="n">
        <v>7286000</v>
      </c>
      <c r="F27" s="16" t="n">
        <v>6610000</v>
      </c>
    </row>
    <row r="28">
      <c r="A28" s="17" t="inlineStr">
        <is>
          <t>Aktiver</t>
        </is>
      </c>
      <c r="B28" s="16" t="n">
        <v>30721000</v>
      </c>
      <c r="C28" s="16" t="n">
        <v>34084000</v>
      </c>
      <c r="D28" s="16" t="n">
        <v>34647000</v>
      </c>
      <c r="E28" s="16" t="n">
        <v>39281000</v>
      </c>
      <c r="F28" s="16" t="n">
        <v>37117000</v>
      </c>
    </row>
    <row r="29">
      <c r="A29" s="15" t="inlineStr">
        <is>
          <t>Selskabskapital</t>
        </is>
      </c>
      <c r="B29" s="16" t="n">
        <v>1173000</v>
      </c>
      <c r="C29" s="16" t="n">
        <v>1173000</v>
      </c>
      <c r="D29" s="16" t="n">
        <v>1173000</v>
      </c>
      <c r="E29" s="16" t="n">
        <v>1159000</v>
      </c>
      <c r="F29" s="16" t="n">
        <v>1124000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>
        <v>-396000</v>
      </c>
      <c r="C33" s="16" t="n">
        <v>-284000</v>
      </c>
      <c r="D33" s="16" t="n">
        <v>-451000</v>
      </c>
      <c r="E33" s="16" t="n">
        <v>-490000</v>
      </c>
      <c r="F33" s="16" t="n">
        <v>-446000</v>
      </c>
    </row>
    <row r="34">
      <c r="A34" s="15" t="inlineStr">
        <is>
          <t>Overført resultat</t>
        </is>
      </c>
      <c r="B34" s="16" t="n">
        <v>10435000</v>
      </c>
      <c r="C34" s="16" t="n">
        <v>12133000</v>
      </c>
      <c r="D34" s="16" t="n">
        <v>13119000</v>
      </c>
      <c r="E34" s="16" t="n">
        <v>13145000</v>
      </c>
      <c r="F34" s="16" t="n">
        <v>12693000</v>
      </c>
    </row>
    <row r="35">
      <c r="A35" s="17" t="inlineStr">
        <is>
          <t>Egenkapital i alt</t>
        </is>
      </c>
      <c r="B35" s="16" t="n">
        <v>11446000</v>
      </c>
      <c r="C35" s="16" t="n">
        <v>13022000</v>
      </c>
      <c r="D35" s="16" t="n">
        <v>13840000</v>
      </c>
      <c r="E35" s="16" t="n">
        <v>13814000</v>
      </c>
      <c r="F35" s="16" t="n">
        <v>13371000</v>
      </c>
    </row>
    <row r="36">
      <c r="A36" s="15" t="inlineStr">
        <is>
          <t>Hensættelse til udskudt skat</t>
        </is>
      </c>
      <c r="B36" s="16" t="n">
        <v>366000</v>
      </c>
      <c r="C36" s="16" t="n">
        <v>359000</v>
      </c>
      <c r="D36" s="16" t="n">
        <v>468000</v>
      </c>
      <c r="E36" s="16" t="n">
        <v>522000</v>
      </c>
      <c r="F36" s="16" t="n">
        <v>550000</v>
      </c>
    </row>
    <row r="37">
      <c r="A37" s="17" t="inlineStr">
        <is>
          <t>Hensatte forpligtelser</t>
        </is>
      </c>
      <c r="B37" s="16" t="n">
        <v>76000</v>
      </c>
      <c r="C37" s="16" t="n">
        <v>88000</v>
      </c>
      <c r="D37" s="16" t="n">
        <v>90000</v>
      </c>
      <c r="E37" s="16" t="n">
        <v>104000</v>
      </c>
      <c r="F37" s="16" t="n">
        <v>123000</v>
      </c>
    </row>
    <row r="38">
      <c r="A38" s="17" t="inlineStr">
        <is>
          <t>Langfristede gældsforpligtelser</t>
        </is>
      </c>
      <c r="B38" s="16" t="n">
        <v>11825000</v>
      </c>
      <c r="C38" s="16" t="n">
        <v>12397000</v>
      </c>
      <c r="D38" s="16" t="n">
        <v>13602000</v>
      </c>
      <c r="E38" s="16" t="n">
        <v>17113000</v>
      </c>
      <c r="F38" s="16" t="n">
        <v>14477000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2511000</v>
      </c>
      <c r="C41" s="16" t="n">
        <v>3137000</v>
      </c>
      <c r="D41" s="16" t="n">
        <v>1627000</v>
      </c>
      <c r="E41" s="16" t="n">
        <v>1621000</v>
      </c>
      <c r="F41" s="16" t="n">
        <v>2539000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3119000</v>
      </c>
      <c r="C43" s="16" t="n">
        <v>3661000</v>
      </c>
      <c r="D43" s="16" t="n">
        <v>3461000</v>
      </c>
      <c r="E43" s="16" t="n">
        <v>3984000</v>
      </c>
      <c r="F43" s="16" t="n">
        <v>3753000</v>
      </c>
    </row>
    <row r="44">
      <c r="A44" s="15" t="inlineStr">
        <is>
          <t>Gæld til tilknyttede virksomheder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730000</v>
      </c>
      <c r="C48" s="16" t="n">
        <v>768000</v>
      </c>
      <c r="D48" s="16" t="n">
        <v>904000</v>
      </c>
      <c r="E48" s="16" t="n">
        <v>1160000</v>
      </c>
      <c r="F48" s="16" t="n">
        <v>1135000</v>
      </c>
    </row>
    <row r="49">
      <c r="A49" s="15" t="inlineStr">
        <is>
          <t>Periodeafgrænsningsposter (passiver)</t>
        </is>
      </c>
      <c r="B49" s="16" t="n"/>
      <c r="C49" s="16" t="n"/>
      <c r="D49" s="16" t="n"/>
      <c r="E49" s="16" t="n"/>
      <c r="F49" s="16" t="n"/>
    </row>
    <row r="50">
      <c r="A50" s="17" t="inlineStr">
        <is>
          <t>Kortfristede gældsforpligtelser</t>
        </is>
      </c>
      <c r="B50" s="16" t="n">
        <v>6778000</v>
      </c>
      <c r="C50" s="16" t="n">
        <v>8053000</v>
      </c>
      <c r="D50" s="16" t="n">
        <v>6491000</v>
      </c>
      <c r="E50" s="16" t="n">
        <v>7521000</v>
      </c>
      <c r="F50" s="16" t="n">
        <v>8421000</v>
      </c>
    </row>
    <row r="51">
      <c r="A51" s="17" t="inlineStr">
        <is>
          <t>Gældsforpligtelser</t>
        </is>
      </c>
      <c r="B51" s="16" t="n">
        <v>19167000</v>
      </c>
      <c r="C51" s="16" t="n">
        <v>20949000</v>
      </c>
      <c r="D51" s="16" t="n">
        <v>20715000</v>
      </c>
      <c r="E51" s="16" t="n">
        <v>25392000</v>
      </c>
      <c r="F51" s="16" t="n">
        <v>23670000</v>
      </c>
    </row>
    <row r="52">
      <c r="A52" s="17" t="inlineStr">
        <is>
          <t>Passiver</t>
        </is>
      </c>
      <c r="B52" s="16" t="n">
        <v>30721000</v>
      </c>
      <c r="C52" s="16" t="n">
        <v>34084000</v>
      </c>
      <c r="D52" s="16" t="n">
        <v>34647000</v>
      </c>
      <c r="E52" s="16" t="n">
        <v>39281000</v>
      </c>
      <c r="F52" s="16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'balance_raw'!$F$52-'balance_raw'!$F$35</f>
        <v/>
      </c>
      <c r="C24" s="24">
        <f>'balance_raw'!$E$52-'balance_raw'!$E$35</f>
        <v/>
      </c>
      <c r="D24" s="24">
        <f>'balance_raw'!$D$52-'balance_raw'!$D$35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'balance_raw'!$F$50</f>
        <v/>
      </c>
      <c r="C30" s="24">
        <f>'balance_raw'!$E$50</f>
        <v/>
      </c>
      <c r="D30" s="24">
        <f>'balance_raw'!$D$50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IF('balance_raw'!$F$52="","—",IF(ABS(B25-'balance_raw'!$F$52)&lt;=1,"✓ OK","❌ "&amp;TEXT(B25-'balance_raw'!$F$52,"+#,##0;-#,##0")&amp;" t.kr."))</f>
        <v/>
      </c>
      <c r="C62" s="29">
        <f>IF('balance_raw'!$E$52="","—",IF(ABS(C25-'balance_raw'!$E$52)&lt;=1,"✓ OK","❌ "&amp;TEXT(C25-'balance_raw'!$E$52,"+#,##0;-#,##0")&amp;" t.kr."))</f>
        <v/>
      </c>
      <c r="D62" s="29">
        <f>IF('balance_raw'!$D$52="","—",IF(ABS(D25-'balance_raw'!$D$52)&lt;=1,"✓ OK","❌ "&amp;TEXT(D25-'balance_raw'!$D$52,"+#,##0;-#,##0")&amp;"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ifrs-full:CurrentDerivativeFinancialAssets</t>
        </is>
      </c>
      <c r="C5" s="34" t="inlineStr">
        <is>
          <t>ifrs-full:CurrentDerivativeFinancialAssets</t>
        </is>
      </c>
      <c r="D5" s="35" t="n">
        <v>22000</v>
      </c>
      <c r="E5" s="35" t="n">
        <v>48000</v>
      </c>
      <c r="F5" s="35" t="n">
        <v>20000</v>
      </c>
      <c r="G5" s="35" t="n">
        <v>51000</v>
      </c>
      <c r="H5" s="35" t="n">
        <v>34000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ifrs-full:CurrentDerivativeFinancialLiabilities</t>
        </is>
      </c>
      <c r="C6" s="37" t="inlineStr">
        <is>
          <t>ifrs-full:CurrentDerivativeFinancialLiabilities</t>
        </is>
      </c>
      <c r="D6" s="38" t="n">
        <v>77000</v>
      </c>
      <c r="E6" s="38" t="n">
        <v>40000</v>
      </c>
      <c r="F6" s="38" t="n">
        <v>52000</v>
      </c>
      <c r="G6" s="38" t="n">
        <v>69000</v>
      </c>
      <c r="H6" s="38" t="n">
        <v>81000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ifrs-full:DividendsRecognisedAsDistributionsToNoncontrollingInterests</t>
        </is>
      </c>
      <c r="C7" s="34" t="inlineStr">
        <is>
          <t>ifrs-full:DividendsRecognisedAsDistributionsToNoncontrollingInterests</t>
        </is>
      </c>
      <c r="D7" s="35" t="n"/>
      <c r="E7" s="35" t="n">
        <v>0</v>
      </c>
      <c r="F7" s="35" t="n"/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ifrs-full:DividendsRecognisedAsDistributionsToOwnersPerShare</t>
        </is>
      </c>
      <c r="C8" s="37" t="inlineStr">
        <is>
          <t>ifrs-full:DividendsRecognisedAsDistributionsToOwnersPerShare</t>
        </is>
      </c>
      <c r="D8" s="38" t="n"/>
      <c r="E8" s="38" t="n">
        <v>0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ifrs-full:GainsLossesOnDisposalsOfNoncurrentAssets</t>
        </is>
      </c>
      <c r="C9" s="34" t="inlineStr">
        <is>
          <t>ifrs-full:GainsLossesOnDisposalsOfNoncurrentAssets</t>
        </is>
      </c>
      <c r="D9" s="35" t="n">
        <v>2000</v>
      </c>
      <c r="E9" s="35" t="n">
        <v>21000</v>
      </c>
      <c r="F9" s="35" t="n">
        <v>113000</v>
      </c>
      <c r="G9" s="35" t="n">
        <v>43000</v>
      </c>
      <c r="H9" s="35" t="n">
        <v>121000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ifrs-full:NoncurrentDerivativeFinancialAssets</t>
        </is>
      </c>
      <c r="C10" s="37" t="inlineStr">
        <is>
          <t>ifrs-full:NoncurrentDerivativeFinancialAssets</t>
        </is>
      </c>
      <c r="D10" s="38" t="n">
        <v>36000</v>
      </c>
      <c r="E10" s="38" t="n">
        <v>299000</v>
      </c>
      <c r="F10" s="38" t="n">
        <v>155000</v>
      </c>
      <c r="G10" s="38" t="n">
        <v>113000</v>
      </c>
      <c r="H10" s="38" t="n">
        <v>69000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ifrs-full:NoncurrentDerivativeFinancialLiabilities</t>
        </is>
      </c>
      <c r="C11" s="34" t="inlineStr">
        <is>
          <t>ifrs-full:NoncurrentDerivativeFinancialLiabilities</t>
        </is>
      </c>
      <c r="D11" s="35" t="n">
        <v>6000</v>
      </c>
      <c r="E11" s="35" t="n">
        <v>8000</v>
      </c>
      <c r="F11" s="35" t="n">
        <v>43000</v>
      </c>
      <c r="G11" s="35" t="n">
        <v>74000</v>
      </c>
      <c r="H11" s="35" t="n">
        <v>40000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ifrs-full:NoncurrentPrepayments</t>
        </is>
      </c>
      <c r="C12" s="37" t="inlineStr">
        <is>
          <t>ifrs-full:NoncurrentPrepayments</t>
        </is>
      </c>
      <c r="D12" s="38" t="n">
        <v>222000</v>
      </c>
      <c r="E12" s="38" t="n">
        <v>124000</v>
      </c>
      <c r="F12" s="38" t="n">
        <v>1000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ifrs-full:OtherCashPaymentsToAcquireEquityOrDebtInstrumentsOfOtherEntitiesClassifiedAsInvestingActivities</t>
        </is>
      </c>
      <c r="C13" s="34" t="inlineStr">
        <is>
          <t>ifrs-full:OtherCashPaymentsToAcquireEquityOrDebtInstrumentsOfOtherEntitiesClassifiedAsInvestingActivities</t>
        </is>
      </c>
      <c r="D13" s="35" t="n"/>
      <c r="E13" s="35" t="n">
        <v>280000</v>
      </c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ifrs-full:OtherInflowsOutflowsOfCashClassifiedAsFinancingActivities</t>
        </is>
      </c>
      <c r="C14" s="37" t="inlineStr">
        <is>
          <t>ifrs-full:OtherInflowsOutflowsOfCashClassifiedAsFinancingActivities</t>
        </is>
      </c>
      <c r="D14" s="38" t="n">
        <v>0</v>
      </c>
      <c r="E14" s="38" t="n">
        <v>-33000</v>
      </c>
      <c r="F14" s="38" t="n">
        <v>-8000</v>
      </c>
      <c r="G14" s="38" t="n">
        <v>-6000</v>
      </c>
      <c r="H14" s="38" t="n">
        <v>41000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ifrs-full:OtherInflowsOutflowsOfCashClassifiedAsInvestingActivities</t>
        </is>
      </c>
      <c r="C15" s="34" t="inlineStr">
        <is>
          <t>ifrs-full:OtherInflowsOutflowsOfCashClassifiedAsInvestingActivities</t>
        </is>
      </c>
      <c r="D15" s="35" t="n">
        <v>1000</v>
      </c>
      <c r="E15" s="35" t="n">
        <v>3000</v>
      </c>
      <c r="F15" s="35" t="n">
        <v>-14000</v>
      </c>
      <c r="G15" s="35" t="n">
        <v>-7000</v>
      </c>
      <c r="H15" s="35" t="n">
        <v>-22000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ifrs-full:ProceedsFromExerciseOfOptions</t>
        </is>
      </c>
      <c r="C16" s="37" t="inlineStr">
        <is>
          <t>ifrs-full:ProceedsFromExerciseOfOptions</t>
        </is>
      </c>
      <c r="D16" s="38" t="n">
        <v>48000</v>
      </c>
      <c r="E16" s="38" t="n">
        <v>0</v>
      </c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ifrs-full:ProceedsFromIssueOfBondsNotesAndDebentures</t>
        </is>
      </c>
      <c r="C17" s="34" t="inlineStr">
        <is>
          <t>ifrs-full:ProceedsFromIssueOfBondsNotesAndDebentures</t>
        </is>
      </c>
      <c r="D17" s="35" t="n"/>
      <c r="E17" s="35" t="n"/>
      <c r="F17" s="35" t="n">
        <v>981000</v>
      </c>
      <c r="G17" s="35" t="n">
        <v>1203000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ifrs-full:RepaymentsOfBondsNotesAndDebentures</t>
        </is>
      </c>
      <c r="C18" s="37" t="inlineStr">
        <is>
          <t>ifrs-full:RepaymentsOfBondsNotesAndDebentures</t>
        </is>
      </c>
      <c r="D18" s="38" t="n"/>
      <c r="E18" s="38" t="n">
        <v>1000000</v>
      </c>
      <c r="F18" s="38" t="n">
        <v>0</v>
      </c>
      <c r="G18" s="38" t="n">
        <v>305000</v>
      </c>
      <c r="H18" s="38" t="n">
        <v>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ifrs-full:RestrictedCashAndCashEquivalents</t>
        </is>
      </c>
      <c r="C19" s="34" t="inlineStr">
        <is>
          <t>ifrs-full:RestrictedCashAndCashEquivalents</t>
        </is>
      </c>
      <c r="D19" s="35" t="n">
        <v>167000</v>
      </c>
      <c r="E19" s="35" t="n"/>
      <c r="F19" s="35" t="n">
        <v>14000</v>
      </c>
      <c r="G19" s="35" t="n">
        <v>11000</v>
      </c>
      <c r="H19" s="35" t="n">
        <v>18000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ifrs-full:ReversalOfImpairmentLossRecognisedInProfitOrLoss</t>
        </is>
      </c>
      <c r="C20" s="37" t="inlineStr">
        <is>
          <t>ifrs-full:ReversalOfImpairmentLossRecognisedInProfitOrLoss</t>
        </is>
      </c>
      <c r="D20" s="38" t="n"/>
      <c r="E20" s="38" t="n"/>
      <c r="F20" s="38" t="n">
        <v>0</v>
      </c>
      <c r="G20" s="38" t="n">
        <v>33000</v>
      </c>
      <c r="H20" s="38" t="n">
        <v>0</v>
      </c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ifrs-full:Ships</t>
        </is>
      </c>
      <c r="C21" s="34" t="inlineStr">
        <is>
          <t>ifrs-full:Ships</t>
        </is>
      </c>
      <c r="D21" s="35" t="n">
        <v>11460000</v>
      </c>
      <c r="E21" s="35" t="n">
        <v>13186000</v>
      </c>
      <c r="F21" s="35" t="n">
        <v>11782000</v>
      </c>
      <c r="G21" s="35" t="n">
        <v>11712000</v>
      </c>
      <c r="H21" s="35" t="n">
        <v>11106000</v>
      </c>
      <c r="I2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2026-08-28T20:22:33Z</dcterms:created>
  <dcterms:modified xmlns:dcterms="http://purl.org/dc/terms/" xmlns:xsi="http://www.w3.org/2001/XMLSchema-instance" xsi:type="dcterms:W3CDTF">2026-08-28T20:22:34Z</dcterms:modified>
</cp:coreProperties>
</file>