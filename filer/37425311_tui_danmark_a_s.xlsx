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7425311" sheetId="1" state="visible" r:id="rId1"/>
    <sheet xmlns:r="http://schemas.openxmlformats.org/officeDocument/2006/relationships" name="res_raw_37425311" sheetId="2" state="visible" r:id="rId2"/>
    <sheet xmlns:r="http://schemas.openxmlformats.org/officeDocument/2006/relationships" name="balance_raw_37425311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TUI Danmark A/S (CVR 37425311) — Regnskabsanalyse – Resultatopgørelse &amp; Balance (t.kr.) · Klasse C-stor · Revision · Regnskabsår 1/10–30/9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'res_raw_37425311'!$B$2</f>
        <v/>
      </c>
      <c r="C4" s="5">
        <f>'res_raw_37425311'!$C$2</f>
        <v/>
      </c>
      <c r="D4" s="5">
        <f>'res_raw_37425311'!$D$2</f>
        <v/>
      </c>
      <c r="E4" s="5">
        <f>'res_raw_37425311'!$E$2</f>
        <v/>
      </c>
      <c r="F4" s="5">
        <f>'res_raw_37425311'!$F$2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'res_raw_37425311'!$B$3</f>
        <v/>
      </c>
      <c r="C5" s="8">
        <f>'res_raw_37425311'!$C$3</f>
        <v/>
      </c>
      <c r="D5" s="8">
        <f>'res_raw_37425311'!$D$3</f>
        <v/>
      </c>
      <c r="E5" s="8">
        <f>'res_raw_37425311'!$E$3</f>
        <v/>
      </c>
      <c r="F5" s="8">
        <f>'res_raw_37425311'!$F$3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'res_raw_37425311'!$B$4</f>
        <v/>
      </c>
      <c r="C6" s="5">
        <f>'res_raw_37425311'!$C$4</f>
        <v/>
      </c>
      <c r="D6" s="5">
        <f>'res_raw_37425311'!$D$4</f>
        <v/>
      </c>
      <c r="E6" s="5">
        <f>'res_raw_37425311'!$E$4</f>
        <v/>
      </c>
      <c r="F6" s="5">
        <f>'res_raw_37425311'!$F$4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'res_raw_37425311'!$B$5</f>
        <v/>
      </c>
      <c r="C7" s="8">
        <f>'res_raw_37425311'!$C$5</f>
        <v/>
      </c>
      <c r="D7" s="8">
        <f>'res_raw_37425311'!$D$5</f>
        <v/>
      </c>
      <c r="E7" s="8">
        <f>'res_raw_37425311'!$E$5</f>
        <v/>
      </c>
      <c r="F7" s="8">
        <f>'res_raw_37425311'!$F$5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'res_raw_37425311'!$B$6</f>
        <v/>
      </c>
      <c r="C8" s="11">
        <f>'res_raw_37425311'!$C$6</f>
        <v/>
      </c>
      <c r="D8" s="11">
        <f>'res_raw_37425311'!$D$6</f>
        <v/>
      </c>
      <c r="E8" s="11">
        <f>'res_raw_37425311'!$E$6</f>
        <v/>
      </c>
      <c r="F8" s="11">
        <f>'res_raw_37425311'!$F$6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'res_raw_37425311'!$B$7</f>
        <v/>
      </c>
      <c r="C9" s="8">
        <f>'res_raw_37425311'!$C$7</f>
        <v/>
      </c>
      <c r="D9" s="8">
        <f>'res_raw_37425311'!$D$7</f>
        <v/>
      </c>
      <c r="E9" s="8">
        <f>'res_raw_37425311'!$E$7</f>
        <v/>
      </c>
      <c r="F9" s="8">
        <f>'res_raw_37425311'!$F$7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'res_raw_37425311'!$B$9</f>
        <v/>
      </c>
      <c r="C11" s="8">
        <f>'res_raw_37425311'!$C$9</f>
        <v/>
      </c>
      <c r="D11" s="8">
        <f>'res_raw_37425311'!$D$9</f>
        <v/>
      </c>
      <c r="E11" s="8">
        <f>'res_raw_37425311'!$E$9</f>
        <v/>
      </c>
      <c r="F11" s="8">
        <f>'res_raw_37425311'!$F$9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'res_raw_37425311'!$B$10</f>
        <v/>
      </c>
      <c r="C12" s="5">
        <f>'res_raw_37425311'!$C$10</f>
        <v/>
      </c>
      <c r="D12" s="5">
        <f>'res_raw_37425311'!$D$10</f>
        <v/>
      </c>
      <c r="E12" s="5">
        <f>'res_raw_37425311'!$E$10</f>
        <v/>
      </c>
      <c r="F12" s="5">
        <f>'res_raw_37425311'!$F$10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'res_raw_37425311'!$B$11</f>
        <v/>
      </c>
      <c r="C13" s="11">
        <f>'res_raw_37425311'!$C$11</f>
        <v/>
      </c>
      <c r="D13" s="11">
        <f>'res_raw_37425311'!$D$11</f>
        <v/>
      </c>
      <c r="E13" s="11">
        <f>'res_raw_37425311'!$E$11</f>
        <v/>
      </c>
      <c r="F13" s="11">
        <f>'res_raw_37425311'!$F$11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'res_raw_37425311'!$B$12</f>
        <v/>
      </c>
      <c r="C14" s="5">
        <f>'res_raw_37425311'!$C$12</f>
        <v/>
      </c>
      <c r="D14" s="5">
        <f>'res_raw_37425311'!$D$12</f>
        <v/>
      </c>
      <c r="E14" s="5">
        <f>'res_raw_37425311'!$E$12</f>
        <v/>
      </c>
      <c r="F14" s="5">
        <f>'res_raw_37425311'!$F$12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'res_raw_37425311'!$B$13</f>
        <v/>
      </c>
      <c r="C15" s="8">
        <f>'res_raw_37425311'!$C$13</f>
        <v/>
      </c>
      <c r="D15" s="8">
        <f>'res_raw_37425311'!$D$13</f>
        <v/>
      </c>
      <c r="E15" s="8">
        <f>'res_raw_37425311'!$E$13</f>
        <v/>
      </c>
      <c r="F15" s="8">
        <f>'res_raw_37425311'!$F$13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'res_raw_37425311'!$B$14</f>
        <v/>
      </c>
      <c r="C16" s="5">
        <f>'res_raw_37425311'!$C$14</f>
        <v/>
      </c>
      <c r="D16" s="5">
        <f>'res_raw_37425311'!$D$14</f>
        <v/>
      </c>
      <c r="E16" s="5">
        <f>'res_raw_37425311'!$E$14</f>
        <v/>
      </c>
      <c r="F16" s="5">
        <f>'res_raw_37425311'!$F$14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'res_raw_37425311'!$B$15</f>
        <v/>
      </c>
      <c r="C17" s="11">
        <f>'res_raw_37425311'!$C$15</f>
        <v/>
      </c>
      <c r="D17" s="11">
        <f>'res_raw_37425311'!$D$15</f>
        <v/>
      </c>
      <c r="E17" s="11">
        <f>'res_raw_37425311'!$E$15</f>
        <v/>
      </c>
      <c r="F17" s="11">
        <f>'res_raw_37425311'!$F$15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'res_raw_37425311'!$B$16</f>
        <v/>
      </c>
      <c r="C18" s="11">
        <f>'res_raw_37425311'!$C$16</f>
        <v/>
      </c>
      <c r="D18" s="11">
        <f>'res_raw_37425311'!$D$16</f>
        <v/>
      </c>
      <c r="E18" s="11">
        <f>'res_raw_37425311'!$E$16</f>
        <v/>
      </c>
      <c r="F18" s="11">
        <f>'res_raw_37425311'!$F$16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'res_raw_37425311'!$B$17</f>
        <v/>
      </c>
      <c r="C19" s="8">
        <f>'res_raw_37425311'!$C$17</f>
        <v/>
      </c>
      <c r="D19" s="8">
        <f>'res_raw_37425311'!$D$17</f>
        <v/>
      </c>
      <c r="E19" s="8">
        <f>'res_raw_37425311'!$E$17</f>
        <v/>
      </c>
      <c r="F19" s="8">
        <f>'res_raw_37425311'!$F$17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'res_raw_37425311'!$B$18</f>
        <v/>
      </c>
      <c r="C20" s="11">
        <f>'res_raw_37425311'!$C$18</f>
        <v/>
      </c>
      <c r="D20" s="11">
        <f>'res_raw_37425311'!$D$18</f>
        <v/>
      </c>
      <c r="E20" s="11">
        <f>'res_raw_37425311'!$E$18</f>
        <v/>
      </c>
      <c r="F20" s="11">
        <f>'res_raw_37425311'!$F$18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'balance_raw_37425311'!$B$2</f>
        <v/>
      </c>
      <c r="C23" s="8">
        <f>'balance_raw_37425311'!$C$2</f>
        <v/>
      </c>
      <c r="D23" s="8">
        <f>'balance_raw_37425311'!$D$2</f>
        <v/>
      </c>
      <c r="E23" s="8">
        <f>'balance_raw_37425311'!$E$2</f>
        <v/>
      </c>
      <c r="F23" s="8">
        <f>'balance_raw_37425311'!$F$2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'balance_raw_37425311'!$B$3</f>
        <v/>
      </c>
      <c r="C24" s="5">
        <f>'balance_raw_37425311'!$C$3</f>
        <v/>
      </c>
      <c r="D24" s="5">
        <f>'balance_raw_37425311'!$D$3</f>
        <v/>
      </c>
      <c r="E24" s="5">
        <f>'balance_raw_37425311'!$E$3</f>
        <v/>
      </c>
      <c r="F24" s="5">
        <f>'balance_raw_37425311'!$F$3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'balance_raw_37425311'!$B$4</f>
        <v/>
      </c>
      <c r="C25" s="8">
        <f>'balance_raw_37425311'!$C$4</f>
        <v/>
      </c>
      <c r="D25" s="8">
        <f>'balance_raw_37425311'!$D$4</f>
        <v/>
      </c>
      <c r="E25" s="8">
        <f>'balance_raw_37425311'!$E$4</f>
        <v/>
      </c>
      <c r="F25" s="8">
        <f>'balance_raw_37425311'!$F$4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'balance_raw_37425311'!$B$5</f>
        <v/>
      </c>
      <c r="C26" s="5">
        <f>'balance_raw_37425311'!$C$5</f>
        <v/>
      </c>
      <c r="D26" s="5">
        <f>'balance_raw_37425311'!$D$5</f>
        <v/>
      </c>
      <c r="E26" s="5">
        <f>'balance_raw_37425311'!$E$5</f>
        <v/>
      </c>
      <c r="F26" s="5">
        <f>'balance_raw_37425311'!$F$5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'balance_raw_37425311'!$B$6</f>
        <v/>
      </c>
      <c r="C27" s="8">
        <f>'balance_raw_37425311'!$C$6</f>
        <v/>
      </c>
      <c r="D27" s="8">
        <f>'balance_raw_37425311'!$D$6</f>
        <v/>
      </c>
      <c r="E27" s="8">
        <f>'balance_raw_37425311'!$E$6</f>
        <v/>
      </c>
      <c r="F27" s="8">
        <f>'balance_raw_37425311'!$F$6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'balance_raw_37425311'!$B$7</f>
        <v/>
      </c>
      <c r="C28" s="11">
        <f>'balance_raw_37425311'!$C$7</f>
        <v/>
      </c>
      <c r="D28" s="11">
        <f>'balance_raw_37425311'!$D$7</f>
        <v/>
      </c>
      <c r="E28" s="11">
        <f>'balance_raw_37425311'!$E$7</f>
        <v/>
      </c>
      <c r="F28" s="11">
        <f>'balance_raw_37425311'!$F$7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10" t="inlineStr">
        <is>
          <t>Anlægsaktiver</t>
        </is>
      </c>
      <c r="B29" s="11">
        <f>'balance_raw_37425311'!$B$8</f>
        <v/>
      </c>
      <c r="C29" s="11">
        <f>'balance_raw_37425311'!$C$8</f>
        <v/>
      </c>
      <c r="D29" s="11">
        <f>'balance_raw_37425311'!$D$8</f>
        <v/>
      </c>
      <c r="E29" s="11">
        <f>'balance_raw_37425311'!$E$8</f>
        <v/>
      </c>
      <c r="F29" s="11">
        <f>'balance_raw_37425311'!$F$8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Tilgodehavender fra salg og tjenesteydelser</t>
        </is>
      </c>
      <c r="B30" s="5">
        <f>'balance_raw_37425311'!$B$9</f>
        <v/>
      </c>
      <c r="C30" s="5">
        <f>'balance_raw_37425311'!$C$9</f>
        <v/>
      </c>
      <c r="D30" s="5">
        <f>'balance_raw_37425311'!$D$9</f>
        <v/>
      </c>
      <c r="E30" s="5">
        <f>'balance_raw_37425311'!$E$9</f>
        <v/>
      </c>
      <c r="F30" s="5">
        <f>'balance_raw_37425311'!$F$9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Tilgodehavender hos tilknyttede virksomheder</t>
        </is>
      </c>
      <c r="B31" s="8">
        <f>'balance_raw_37425311'!$B$10</f>
        <v/>
      </c>
      <c r="C31" s="8">
        <f>'balance_raw_37425311'!$C$10</f>
        <v/>
      </c>
      <c r="D31" s="8">
        <f>'balance_raw_37425311'!$D$10</f>
        <v/>
      </c>
      <c r="E31" s="8">
        <f>'balance_raw_37425311'!$E$10</f>
        <v/>
      </c>
      <c r="F31" s="8">
        <f>'balance_raw_37425311'!$F$10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Andre tilgodehavender</t>
        </is>
      </c>
      <c r="B32" s="5">
        <f>'balance_raw_37425311'!$B$11</f>
        <v/>
      </c>
      <c r="C32" s="5">
        <f>'balance_raw_37425311'!$C$11</f>
        <v/>
      </c>
      <c r="D32" s="5">
        <f>'balance_raw_37425311'!$D$11</f>
        <v/>
      </c>
      <c r="E32" s="5">
        <f>'balance_raw_37425311'!$E$11</f>
        <v/>
      </c>
      <c r="F32" s="5">
        <f>'balance_raw_37425311'!$F$11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Periodeafgrænsningsposter (aktiver)</t>
        </is>
      </c>
      <c r="B33" s="8">
        <f>'balance_raw_37425311'!$B$12</f>
        <v/>
      </c>
      <c r="C33" s="8">
        <f>'balance_raw_37425311'!$C$12</f>
        <v/>
      </c>
      <c r="D33" s="8">
        <f>'balance_raw_37425311'!$D$12</f>
        <v/>
      </c>
      <c r="E33" s="8">
        <f>'balance_raw_37425311'!$E$12</f>
        <v/>
      </c>
      <c r="F33" s="8">
        <f>'balance_raw_37425311'!$F$12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Udskudt skatteaktiv</t>
        </is>
      </c>
      <c r="B34" s="5">
        <f>'balance_raw_37425311'!$B$13</f>
        <v/>
      </c>
      <c r="C34" s="5">
        <f>'balance_raw_37425311'!$C$13</f>
        <v/>
      </c>
      <c r="D34" s="5">
        <f>'balance_raw_37425311'!$D$13</f>
        <v/>
      </c>
      <c r="E34" s="5">
        <f>'balance_raw_37425311'!$E$13</f>
        <v/>
      </c>
      <c r="F34" s="5">
        <f>'balance_raw_37425311'!$F$13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 skat hos tilknyttede virksomheder</t>
        </is>
      </c>
      <c r="B35" s="8">
        <f>'balance_raw_37425311'!$B$14</f>
        <v/>
      </c>
      <c r="C35" s="8">
        <f>'balance_raw_37425311'!$C$14</f>
        <v/>
      </c>
      <c r="D35" s="8">
        <f>'balance_raw_37425311'!$D$14</f>
        <v/>
      </c>
      <c r="E35" s="8">
        <f>'balance_raw_37425311'!$E$14</f>
        <v/>
      </c>
      <c r="F35" s="8">
        <f>'balance_raw_37425311'!$F$14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Kortfristede skattetilgodehavender</t>
        </is>
      </c>
      <c r="B36" s="5">
        <f>'balance_raw_37425311'!$B$15</f>
        <v/>
      </c>
      <c r="C36" s="5">
        <f>'balance_raw_37425311'!$C$15</f>
        <v/>
      </c>
      <c r="D36" s="5">
        <f>'balance_raw_37425311'!$D$15</f>
        <v/>
      </c>
      <c r="E36" s="5">
        <f>'balance_raw_37425311'!$E$15</f>
        <v/>
      </c>
      <c r="F36" s="5">
        <f>'balance_raw_37425311'!$F$15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Tilgodehavender</t>
        </is>
      </c>
      <c r="B37" s="11">
        <f>'balance_raw_37425311'!$B$16</f>
        <v/>
      </c>
      <c r="C37" s="11">
        <f>'balance_raw_37425311'!$C$16</f>
        <v/>
      </c>
      <c r="D37" s="11">
        <f>'balance_raw_37425311'!$D$16</f>
        <v/>
      </c>
      <c r="E37" s="11">
        <f>'balance_raw_37425311'!$E$16</f>
        <v/>
      </c>
      <c r="F37" s="11">
        <f>'balance_raw_37425311'!$F$16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Værdipapirer</t>
        </is>
      </c>
      <c r="B38" s="5">
        <f>'balance_raw_37425311'!$B$17</f>
        <v/>
      </c>
      <c r="C38" s="5">
        <f>'balance_raw_37425311'!$C$17</f>
        <v/>
      </c>
      <c r="D38" s="5">
        <f>'balance_raw_37425311'!$D$17</f>
        <v/>
      </c>
      <c r="E38" s="5">
        <f>'balance_raw_37425311'!$E$17</f>
        <v/>
      </c>
      <c r="F38" s="5">
        <f>'balance_raw_37425311'!$F$17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Likvide beholdninger</t>
        </is>
      </c>
      <c r="B39" s="8">
        <f>'balance_raw_37425311'!$B$18</f>
        <v/>
      </c>
      <c r="C39" s="8">
        <f>'balance_raw_37425311'!$C$18</f>
        <v/>
      </c>
      <c r="D39" s="8">
        <f>'balance_raw_37425311'!$D$18</f>
        <v/>
      </c>
      <c r="E39" s="8">
        <f>'balance_raw_37425311'!$E$18</f>
        <v/>
      </c>
      <c r="F39" s="8">
        <f>'balance_raw_37425311'!$F$18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Omsætningsaktiver</t>
        </is>
      </c>
      <c r="B40" s="11">
        <f>'balance_raw_37425311'!$B$19</f>
        <v/>
      </c>
      <c r="C40" s="11">
        <f>'balance_raw_37425311'!$C$19</f>
        <v/>
      </c>
      <c r="D40" s="11">
        <f>'balance_raw_37425311'!$D$19</f>
        <v/>
      </c>
      <c r="E40" s="11">
        <f>'balance_raw_37425311'!$E$19</f>
        <v/>
      </c>
      <c r="F40" s="11">
        <f>'balance_raw_37425311'!$F$19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10" t="inlineStr">
        <is>
          <t>Aktiver</t>
        </is>
      </c>
      <c r="B41" s="11">
        <f>'balance_raw_37425311'!$B$20</f>
        <v/>
      </c>
      <c r="C41" s="11">
        <f>'balance_raw_37425311'!$C$20</f>
        <v/>
      </c>
      <c r="D41" s="11">
        <f>'balance_raw_37425311'!$D$20</f>
        <v/>
      </c>
      <c r="E41" s="11">
        <f>'balance_raw_37425311'!$E$20</f>
        <v/>
      </c>
      <c r="F41" s="11">
        <f>'balance_raw_37425311'!$F$20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3" ht="22" customHeight="1">
      <c r="A43" s="3" t="inlineStr">
        <is>
          <t>PASSIVER t.kr.</t>
        </is>
      </c>
      <c r="B43" s="3" t="n">
        <v>2021</v>
      </c>
      <c r="C43" s="3" t="n">
        <v>2022</v>
      </c>
      <c r="D43" s="3" t="n">
        <v>2023</v>
      </c>
      <c r="E43" s="3" t="n">
        <v>2024</v>
      </c>
      <c r="F43" s="3" t="n">
        <v>2025</v>
      </c>
      <c r="G43" t="inlineStr"/>
      <c r="H43" s="3" t="n">
        <v>2021</v>
      </c>
      <c r="I43" s="3" t="n">
        <v>2022</v>
      </c>
      <c r="J43" s="3" t="n">
        <v>2023</v>
      </c>
      <c r="K43" s="3" t="n">
        <v>2024</v>
      </c>
      <c r="L43" s="3" t="n">
        <v>2025</v>
      </c>
    </row>
    <row r="44" ht="16" customHeight="1">
      <c r="A44" s="4" t="inlineStr">
        <is>
          <t>Selskabskapital</t>
        </is>
      </c>
      <c r="B44" s="5">
        <f>'balance_raw_37425311'!$B$21</f>
        <v/>
      </c>
      <c r="C44" s="5">
        <f>'balance_raw_37425311'!$C$21</f>
        <v/>
      </c>
      <c r="D44" s="5">
        <f>'balance_raw_37425311'!$D$21</f>
        <v/>
      </c>
      <c r="E44" s="5">
        <f>'balance_raw_37425311'!$E$21</f>
        <v/>
      </c>
      <c r="F44" s="5">
        <f>'balance_raw_37425311'!$F$21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Reserve for nettoopskrivning (indre værdis metode)</t>
        </is>
      </c>
      <c r="B45" s="8">
        <f>'balance_raw_37425311'!$B$22</f>
        <v/>
      </c>
      <c r="C45" s="8">
        <f>'balance_raw_37425311'!$C$22</f>
        <v/>
      </c>
      <c r="D45" s="8">
        <f>'balance_raw_37425311'!$D$22</f>
        <v/>
      </c>
      <c r="E45" s="8">
        <f>'balance_raw_37425311'!$E$22</f>
        <v/>
      </c>
      <c r="F45" s="8">
        <f>'balance_raw_37425311'!$F$22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Reserve for udviklingsomkostninger</t>
        </is>
      </c>
      <c r="B46" s="5">
        <f>'balance_raw_37425311'!$B$23</f>
        <v/>
      </c>
      <c r="C46" s="5">
        <f>'balance_raw_37425311'!$C$23</f>
        <v/>
      </c>
      <c r="D46" s="5">
        <f>'balance_raw_37425311'!$D$23</f>
        <v/>
      </c>
      <c r="E46" s="5">
        <f>'balance_raw_37425311'!$E$23</f>
        <v/>
      </c>
      <c r="F46" s="5">
        <f>'balance_raw_37425311'!$F$23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Reserve for sikringstransaktioner</t>
        </is>
      </c>
      <c r="B47" s="8">
        <f>'balance_raw_37425311'!$B$24</f>
        <v/>
      </c>
      <c r="C47" s="8">
        <f>'balance_raw_37425311'!$C$24</f>
        <v/>
      </c>
      <c r="D47" s="8">
        <f>'balance_raw_37425311'!$D$24</f>
        <v/>
      </c>
      <c r="E47" s="8">
        <f>'balance_raw_37425311'!$E$24</f>
        <v/>
      </c>
      <c r="F47" s="8">
        <f>'balance_raw_37425311'!$F$24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Andre reserver</t>
        </is>
      </c>
      <c r="B48" s="5">
        <f>'balance_raw_37425311'!$B$25</f>
        <v/>
      </c>
      <c r="C48" s="5">
        <f>'balance_raw_37425311'!$C$25</f>
        <v/>
      </c>
      <c r="D48" s="5">
        <f>'balance_raw_37425311'!$D$25</f>
        <v/>
      </c>
      <c r="E48" s="5">
        <f>'balance_raw_37425311'!$E$25</f>
        <v/>
      </c>
      <c r="F48" s="5">
        <f>'balance_raw_37425311'!$F$25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Overført resultat</t>
        </is>
      </c>
      <c r="B49" s="8">
        <f>'balance_raw_37425311'!$B$26</f>
        <v/>
      </c>
      <c r="C49" s="8">
        <f>'balance_raw_37425311'!$C$26</f>
        <v/>
      </c>
      <c r="D49" s="8">
        <f>'balance_raw_37425311'!$D$26</f>
        <v/>
      </c>
      <c r="E49" s="8">
        <f>'balance_raw_37425311'!$E$26</f>
        <v/>
      </c>
      <c r="F49" s="8">
        <f>'balance_raw_37425311'!$F$26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10" t="inlineStr">
        <is>
          <t>Egenkapital i alt</t>
        </is>
      </c>
      <c r="B50" s="11">
        <f>'balance_raw_37425311'!$B$27</f>
        <v/>
      </c>
      <c r="C50" s="11">
        <f>'balance_raw_37425311'!$C$27</f>
        <v/>
      </c>
      <c r="D50" s="11">
        <f>'balance_raw_37425311'!$D$27</f>
        <v/>
      </c>
      <c r="E50" s="11">
        <f>'balance_raw_37425311'!$E$27</f>
        <v/>
      </c>
      <c r="F50" s="11">
        <f>'balance_raw_37425311'!$F$27</f>
        <v/>
      </c>
      <c r="G50" t="inlineStr"/>
      <c r="H50" s="12">
        <f>IFERROR(B50/$B$50*100,"")</f>
        <v/>
      </c>
      <c r="I50" s="12">
        <f>IFERROR(C50/$B$50*100,"")</f>
        <v/>
      </c>
      <c r="J50" s="12">
        <f>IFERROR(D50/$B$50*100,"")</f>
        <v/>
      </c>
      <c r="K50" s="12">
        <f>IFERROR(E50/$B$50*100,"")</f>
        <v/>
      </c>
      <c r="L50" s="12">
        <f>IFERROR(F50/$B$50*100,"")</f>
        <v/>
      </c>
    </row>
    <row r="51" ht="16" customHeight="1">
      <c r="A51" s="7" t="inlineStr">
        <is>
          <t>Ansvarlig lånekapital (kortfristet)</t>
        </is>
      </c>
      <c r="B51" s="8">
        <f>'balance_raw_37425311'!$B$28</f>
        <v/>
      </c>
      <c r="C51" s="8">
        <f>'balance_raw_37425311'!$C$28</f>
        <v/>
      </c>
      <c r="D51" s="8">
        <f>'balance_raw_37425311'!$D$28</f>
        <v/>
      </c>
      <c r="E51" s="8">
        <f>'balance_raw_37425311'!$E$28</f>
        <v/>
      </c>
      <c r="F51" s="8">
        <f>'balance_raw_37425311'!$F$28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Kortfristet del af langfristede gældsforpligtelser</t>
        </is>
      </c>
      <c r="B52" s="5">
        <f>'balance_raw_37425311'!$B$29</f>
        <v/>
      </c>
      <c r="C52" s="5">
        <f>'balance_raw_37425311'!$C$29</f>
        <v/>
      </c>
      <c r="D52" s="5">
        <f>'balance_raw_37425311'!$D$29</f>
        <v/>
      </c>
      <c r="E52" s="5">
        <f>'balance_raw_37425311'!$E$29</f>
        <v/>
      </c>
      <c r="F52" s="5">
        <f>'balance_raw_37425311'!$F$29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Kreditinstitutter</t>
        </is>
      </c>
      <c r="B53" s="8">
        <f>'balance_raw_37425311'!$B$30</f>
        <v/>
      </c>
      <c r="C53" s="8">
        <f>'balance_raw_37425311'!$C$30</f>
        <v/>
      </c>
      <c r="D53" s="8">
        <f>'balance_raw_37425311'!$D$30</f>
        <v/>
      </c>
      <c r="E53" s="8">
        <f>'balance_raw_37425311'!$E$30</f>
        <v/>
      </c>
      <c r="F53" s="8">
        <f>'balance_raw_37425311'!$F$30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Leasingforpligtelser (kortfristet)</t>
        </is>
      </c>
      <c r="B54" s="5">
        <f>'balance_raw_37425311'!$B$31</f>
        <v/>
      </c>
      <c r="C54" s="5">
        <f>'balance_raw_37425311'!$C$31</f>
        <v/>
      </c>
      <c r="D54" s="5">
        <f>'balance_raw_37425311'!$D$31</f>
        <v/>
      </c>
      <c r="E54" s="5">
        <f>'balance_raw_37425311'!$E$31</f>
        <v/>
      </c>
      <c r="F54" s="5">
        <f>'balance_raw_37425311'!$F$31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Leverandører af varer og tjenesteydelser</t>
        </is>
      </c>
      <c r="B55" s="8">
        <f>'balance_raw_37425311'!$B$32</f>
        <v/>
      </c>
      <c r="C55" s="8">
        <f>'balance_raw_37425311'!$C$32</f>
        <v/>
      </c>
      <c r="D55" s="8">
        <f>'balance_raw_37425311'!$D$32</f>
        <v/>
      </c>
      <c r="E55" s="8">
        <f>'balance_raw_37425311'!$E$32</f>
        <v/>
      </c>
      <c r="F55" s="8">
        <f>'balance_raw_37425311'!$F$32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Gæld til tilknyttede virksomheder</t>
        </is>
      </c>
      <c r="B56" s="5">
        <f>'balance_raw_37425311'!$B$33</f>
        <v/>
      </c>
      <c r="C56" s="5">
        <f>'balance_raw_37425311'!$C$33</f>
        <v/>
      </c>
      <c r="D56" s="5">
        <f>'balance_raw_37425311'!$D$33</f>
        <v/>
      </c>
      <c r="E56" s="5">
        <f>'balance_raw_37425311'!$E$33</f>
        <v/>
      </c>
      <c r="F56" s="5">
        <f>'balance_raw_37425311'!$F$33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Gæld til selskabsdeltagere og ledelse</t>
        </is>
      </c>
      <c r="B57" s="8">
        <f>'balance_raw_37425311'!$B$34</f>
        <v/>
      </c>
      <c r="C57" s="8">
        <f>'balance_raw_37425311'!$C$34</f>
        <v/>
      </c>
      <c r="D57" s="8">
        <f>'balance_raw_37425311'!$D$34</f>
        <v/>
      </c>
      <c r="E57" s="8">
        <f>'balance_raw_37425311'!$E$34</f>
        <v/>
      </c>
      <c r="F57" s="8">
        <f>'balance_raw_37425311'!$F$34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Selskabsskat</t>
        </is>
      </c>
      <c r="B58" s="5">
        <f>'balance_raw_37425311'!$B$35</f>
        <v/>
      </c>
      <c r="C58" s="5">
        <f>'balance_raw_37425311'!$C$35</f>
        <v/>
      </c>
      <c r="D58" s="5">
        <f>'balance_raw_37425311'!$D$35</f>
        <v/>
      </c>
      <c r="E58" s="5">
        <f>'balance_raw_37425311'!$E$35</f>
        <v/>
      </c>
      <c r="F58" s="5">
        <f>'balance_raw_37425311'!$F$35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Gæld til tilknyttede virksomheder vedr. selskabsskat</t>
        </is>
      </c>
      <c r="B59" s="8">
        <f>'balance_raw_37425311'!$B$36</f>
        <v/>
      </c>
      <c r="C59" s="8">
        <f>'balance_raw_37425311'!$C$36</f>
        <v/>
      </c>
      <c r="D59" s="8">
        <f>'balance_raw_37425311'!$D$36</f>
        <v/>
      </c>
      <c r="E59" s="8">
        <f>'balance_raw_37425311'!$E$36</f>
        <v/>
      </c>
      <c r="F59" s="8">
        <f>'balance_raw_37425311'!$F$36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Anden gæld (kortfristet)</t>
        </is>
      </c>
      <c r="B60" s="5">
        <f>'balance_raw_37425311'!$B$37</f>
        <v/>
      </c>
      <c r="C60" s="5">
        <f>'balance_raw_37425311'!$C$37</f>
        <v/>
      </c>
      <c r="D60" s="5">
        <f>'balance_raw_37425311'!$D$37</f>
        <v/>
      </c>
      <c r="E60" s="5">
        <f>'balance_raw_37425311'!$E$37</f>
        <v/>
      </c>
      <c r="F60" s="5">
        <f>'balance_raw_37425311'!$F$37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Periodeafgrænsningsposter (passiver)</t>
        </is>
      </c>
      <c r="B61" s="8">
        <f>'balance_raw_37425311'!$B$38</f>
        <v/>
      </c>
      <c r="C61" s="8">
        <f>'balance_raw_37425311'!$C$38</f>
        <v/>
      </c>
      <c r="D61" s="8">
        <f>'balance_raw_37425311'!$D$38</f>
        <v/>
      </c>
      <c r="E61" s="8">
        <f>'balance_raw_37425311'!$E$38</f>
        <v/>
      </c>
      <c r="F61" s="8">
        <f>'balance_raw_37425311'!$F$38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10" t="inlineStr">
        <is>
          <t>Kortfristede gældsforpligtelser</t>
        </is>
      </c>
      <c r="B62" s="11">
        <f>'balance_raw_37425311'!$B$39</f>
        <v/>
      </c>
      <c r="C62" s="11">
        <f>'balance_raw_37425311'!$C$39</f>
        <v/>
      </c>
      <c r="D62" s="11">
        <f>'balance_raw_37425311'!$D$39</f>
        <v/>
      </c>
      <c r="E62" s="11">
        <f>'balance_raw_37425311'!$E$39</f>
        <v/>
      </c>
      <c r="F62" s="11">
        <f>'balance_raw_37425311'!$F$39</f>
        <v/>
      </c>
      <c r="G62" t="inlineStr"/>
      <c r="H62" s="12">
        <f>IFERROR(B62/$B$62*100,"")</f>
        <v/>
      </c>
      <c r="I62" s="12">
        <f>IFERROR(C62/$B$62*100,"")</f>
        <v/>
      </c>
      <c r="J62" s="12">
        <f>IFERROR(D62/$B$62*100,"")</f>
        <v/>
      </c>
      <c r="K62" s="12">
        <f>IFERROR(E62/$B$62*100,"")</f>
        <v/>
      </c>
      <c r="L62" s="12">
        <f>IFERROR(F62/$B$62*100,"")</f>
        <v/>
      </c>
    </row>
    <row r="63" ht="16" customHeight="1">
      <c r="A63" s="10" t="inlineStr">
        <is>
          <t>Gældsforpligtelser</t>
        </is>
      </c>
      <c r="B63" s="11">
        <f>'balance_raw_37425311'!$B$40</f>
        <v/>
      </c>
      <c r="C63" s="11">
        <f>'balance_raw_37425311'!$C$40</f>
        <v/>
      </c>
      <c r="D63" s="11">
        <f>'balance_raw_37425311'!$D$40</f>
        <v/>
      </c>
      <c r="E63" s="11">
        <f>'balance_raw_37425311'!$E$40</f>
        <v/>
      </c>
      <c r="F63" s="11">
        <f>'balance_raw_37425311'!$F$40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10" t="inlineStr">
        <is>
          <t>Passiver</t>
        </is>
      </c>
      <c r="B64" s="11">
        <f>'balance_raw_37425311'!$B$41</f>
        <v/>
      </c>
      <c r="C64" s="11">
        <f>'balance_raw_37425311'!$C$41</f>
        <v/>
      </c>
      <c r="D64" s="11">
        <f>'balance_raw_37425311'!$D$41</f>
        <v/>
      </c>
      <c r="E64" s="11">
        <f>'balance_raw_37425311'!$E$41</f>
        <v/>
      </c>
      <c r="F64" s="11">
        <f>'balance_raw_37425311'!$F$41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6" ht="22" customHeight="1">
      <c r="A66" s="3" t="inlineStr">
        <is>
          <t>NØGLEOPLYSNINGER</t>
        </is>
      </c>
      <c r="B66" s="3" t="n">
        <v>2021</v>
      </c>
      <c r="C66" s="3" t="n">
        <v>2022</v>
      </c>
      <c r="D66" s="3" t="n">
        <v>2023</v>
      </c>
      <c r="E66" s="3" t="n">
        <v>2024</v>
      </c>
      <c r="F66" s="3" t="n">
        <v>2025</v>
      </c>
    </row>
    <row r="67" ht="16" customHeight="1">
      <c r="A67" s="7" t="inlineStr">
        <is>
          <t>Gns. antal medarbejdere</t>
        </is>
      </c>
      <c r="B67" s="8">
        <f>'res_raw_37425311'!$B$19</f>
        <v/>
      </c>
      <c r="C67" s="8">
        <f>'res_raw_37425311'!$C$19</f>
        <v/>
      </c>
      <c r="D67" s="8">
        <f>'res_raw_37425311'!$D$19</f>
        <v/>
      </c>
      <c r="E67" s="8">
        <f>'res_raw_37425311'!$E$19</f>
        <v/>
      </c>
      <c r="F67" s="8">
        <f>'res_raw_37425311'!$F$19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Investering i materielle anlægsaktiver</t>
        </is>
      </c>
      <c r="B68" s="5">
        <f>'res_raw_37425311'!$B$20</f>
        <v/>
      </c>
      <c r="C68" s="5">
        <f>'res_raw_37425311'!$C$20</f>
        <v/>
      </c>
      <c r="D68" s="5">
        <f>'res_raw_37425311'!$D$20</f>
        <v/>
      </c>
      <c r="E68" s="5">
        <f>'res_raw_37425311'!$E$20</f>
        <v/>
      </c>
      <c r="F68" s="5">
        <f>'res_raw_37425311'!$F$20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70" ht="22" customHeight="1">
      <c r="A70" s="3" t="inlineStr">
        <is>
          <t>NØGLETAL</t>
        </is>
      </c>
      <c r="B70" s="3" t="n">
        <v>2021</v>
      </c>
      <c r="C70" s="3" t="n">
        <v>2022</v>
      </c>
      <c r="D70" s="3" t="n">
        <v>2023</v>
      </c>
      <c r="E70" s="3" t="n">
        <v>2024</v>
      </c>
      <c r="F70" s="3" t="n">
        <v>2025</v>
      </c>
    </row>
    <row r="71" ht="16" customHeight="1">
      <c r="A71" s="7" t="inlineStr">
        <is>
          <t>Afkastningsgrad, %</t>
        </is>
      </c>
      <c r="B71" s="13">
        <f>IFERROR(($B$13+$B$15+$B$14)/$B$41*100,"")</f>
        <v/>
      </c>
      <c r="C71" s="13">
        <f>IFERROR(($C$13+$C$15+$C$14)/$C$41*100,"")</f>
        <v/>
      </c>
      <c r="D71" s="13">
        <f>IFERROR(($D$13+$D$15+$D$14)/$D$41*100,"")</f>
        <v/>
      </c>
      <c r="E71" s="13">
        <f>IFERROR(($E$13+$E$15+$E$14)/$E$41*100,"")</f>
        <v/>
      </c>
      <c r="F71" s="13">
        <f>IFERROR(($F$13+$F$15+$F$14)/$F$41*100,"")</f>
        <v/>
      </c>
    </row>
    <row r="72" ht="16" customHeight="1">
      <c r="A72" s="4" t="inlineStr">
        <is>
          <t>Overskudsgrad, %</t>
        </is>
      </c>
      <c r="B72" s="14">
        <f>IFERROR(($B$13+$B$15+$B$14)/$B$4*100,"")</f>
        <v/>
      </c>
      <c r="C72" s="14">
        <f>IFERROR(($C$13+$C$15+$C$14)/$C$4*100,"")</f>
        <v/>
      </c>
      <c r="D72" s="14">
        <f>IFERROR(($D$13+$D$15+$D$14)/$D$4*100,"")</f>
        <v/>
      </c>
      <c r="E72" s="14">
        <f>IFERROR(($E$13+$E$15+$E$14)/$E$4*100,"")</f>
        <v/>
      </c>
      <c r="F72" s="14">
        <f>IFERROR(($F$13+$F$15+$F$14)/$F$4*100,"")</f>
        <v/>
      </c>
    </row>
    <row r="73" ht="16" customHeight="1">
      <c r="A73" s="7" t="inlineStr">
        <is>
          <t>Aktivernes omsætningshastighed, gange</t>
        </is>
      </c>
      <c r="B73" s="13">
        <f>IFERROR($B$4/$B$41,"")</f>
        <v/>
      </c>
      <c r="C73" s="13">
        <f>IFERROR($C$4/$C$41,"")</f>
        <v/>
      </c>
      <c r="D73" s="13">
        <f>IFERROR($D$4/$D$41,"")</f>
        <v/>
      </c>
      <c r="E73" s="13">
        <f>IFERROR($E$4/$E$41,"")</f>
        <v/>
      </c>
      <c r="F73" s="13">
        <f>IFERROR($F$4/$F$41,"")</f>
        <v/>
      </c>
    </row>
    <row r="74" ht="16" customHeight="1">
      <c r="A74" s="4" t="inlineStr">
        <is>
          <t>Egenkapitalens forrentning, %</t>
        </is>
      </c>
      <c r="B74" s="14">
        <f>IFERROR($B$18/$B$50*100,"")</f>
        <v/>
      </c>
      <c r="C74" s="14">
        <f>IFERROR($C$18/$C$50*100,"")</f>
        <v/>
      </c>
      <c r="D74" s="14">
        <f>IFERROR($D$18/$D$50*100,"")</f>
        <v/>
      </c>
      <c r="E74" s="14">
        <f>IFERROR($E$18/$E$50*100,"")</f>
        <v/>
      </c>
      <c r="F74" s="14">
        <f>IFERROR($F$18/$F$50*100,"")</f>
        <v/>
      </c>
    </row>
    <row r="75" ht="16" customHeight="1">
      <c r="A75" s="7" t="inlineStr">
        <is>
          <t>Gældsrente, %</t>
        </is>
      </c>
      <c r="B75" s="13">
        <f>IFERROR($B$16/($B$64-$B$50)*100,"")</f>
        <v/>
      </c>
      <c r="C75" s="13">
        <f>IFERROR($C$16/($C$64-$C$50)*100,"")</f>
        <v/>
      </c>
      <c r="D75" s="13">
        <f>IFERROR($D$16/($D$64-$D$50)*100,"")</f>
        <v/>
      </c>
      <c r="E75" s="13">
        <f>IFERROR($E$16/($E$64-$E$50)*100,"")</f>
        <v/>
      </c>
      <c r="F75" s="13">
        <f>IFERROR($F$16/($F$64-$F$50)*100,"")</f>
        <v/>
      </c>
    </row>
    <row r="76" ht="16" customHeight="1">
      <c r="A76" s="4" t="inlineStr">
        <is>
          <t>Soliditetsgrad, %</t>
        </is>
      </c>
      <c r="B76" s="14">
        <f>IFERROR($B$50/$B$41*100,"")</f>
        <v/>
      </c>
      <c r="C76" s="14">
        <f>IFERROR($C$50/$C$41*100,"")</f>
        <v/>
      </c>
      <c r="D76" s="14">
        <f>IFERROR($D$50/$D$41*100,"")</f>
        <v/>
      </c>
      <c r="E76" s="14">
        <f>IFERROR($E$50/$E$41*100,"")</f>
        <v/>
      </c>
      <c r="F76" s="14">
        <f>IFERROR($F$50/$F$41*100,"")</f>
        <v/>
      </c>
    </row>
    <row r="77" ht="16" customHeight="1">
      <c r="A77" s="7" t="inlineStr">
        <is>
          <t>Gearing</t>
        </is>
      </c>
      <c r="B77" s="13">
        <f>IFERROR(($B$64-$B$50)/$B$50,"")</f>
        <v/>
      </c>
      <c r="C77" s="13">
        <f>IFERROR(($C$64-$C$50)/$C$50,"")</f>
        <v/>
      </c>
      <c r="D77" s="13">
        <f>IFERROR(($D$64-$D$50)/$D$50,"")</f>
        <v/>
      </c>
      <c r="E77" s="13">
        <f>IFERROR(($E$64-$E$50)/$E$50,"")</f>
        <v/>
      </c>
      <c r="F77" s="13">
        <f>IFERROR(($F$64-$F$50)/$F$50,"")</f>
        <v/>
      </c>
    </row>
    <row r="78" ht="16" customHeight="1">
      <c r="A78" s="4" t="inlineStr">
        <is>
          <t>Likviditetsgrad, %</t>
        </is>
      </c>
      <c r="B78" s="14">
        <f>IFERROR($B$40/$B$62*100,"")</f>
        <v/>
      </c>
      <c r="C78" s="14">
        <f>IFERROR($C$40/$C$62*100,"")</f>
        <v/>
      </c>
      <c r="D78" s="14">
        <f>IFERROR($D$40/$D$62*100,"")</f>
        <v/>
      </c>
      <c r="E78" s="14">
        <f>IFERROR($E$40/$E$62*100,"")</f>
        <v/>
      </c>
      <c r="F78" s="14">
        <f>IFERROR($F$40/$F$62*100,"")</f>
        <v/>
      </c>
    </row>
    <row r="79" ht="16" customHeight="1">
      <c r="A79" s="7" t="inlineStr">
        <is>
          <t>Rentemarginal, %</t>
        </is>
      </c>
      <c r="B79" s="13">
        <f>IFERROR(B71-B75,"")</f>
        <v/>
      </c>
      <c r="C79" s="13">
        <f>IFERROR(C71-C75,"")</f>
        <v/>
      </c>
      <c r="D79" s="13">
        <f>IFERROR(D71-D75,"")</f>
        <v/>
      </c>
      <c r="E79" s="13">
        <f>IFERROR(E71-E75,"")</f>
        <v/>
      </c>
      <c r="F79" s="13">
        <f>IFERROR(F71-F75,"")</f>
        <v/>
      </c>
    </row>
    <row r="80" ht="16" customHeight="1">
      <c r="A80" s="4" t="inlineStr">
        <is>
          <t>Gældsandel, %</t>
        </is>
      </c>
      <c r="B80" s="14">
        <f>IFERROR(($B$64-$B$50)/$B$41*100,"")</f>
        <v/>
      </c>
      <c r="C80" s="14">
        <f>IFERROR(($C$64-$C$50)/$C$41*100,"")</f>
        <v/>
      </c>
      <c r="D80" s="14">
        <f>IFERROR(($D$64-$D$50)/$D$41*100,"")</f>
        <v/>
      </c>
      <c r="E80" s="14">
        <f>IFERROR(($E$64-$E$50)/$E$41*100,"")</f>
        <v/>
      </c>
      <c r="F80" s="14">
        <f>IFERROR(($F$64-$F$50)/$F$41*100,"")</f>
        <v/>
      </c>
    </row>
    <row r="81" ht="16" customHeight="1">
      <c r="A81" s="7" t="inlineStr">
        <is>
          <t>Kapitalbindingsgrad, %</t>
        </is>
      </c>
      <c r="B81" s="13">
        <f>IFERROR($B$29/($B$50+0)*100,"")</f>
        <v/>
      </c>
      <c r="C81" s="13">
        <f>IFERROR($C$29/($C$50+0)*100,"")</f>
        <v/>
      </c>
      <c r="D81" s="13">
        <f>IFERROR($D$29/($D$50+0)*100,"")</f>
        <v/>
      </c>
      <c r="E81" s="13">
        <f>IFERROR($E$29/($E$50+0)*100,"")</f>
        <v/>
      </c>
      <c r="F81" s="13">
        <f>IFERROR($F$29/($F$50+0)*100,"")</f>
        <v/>
      </c>
    </row>
    <row r="83">
      <c r="A83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TUI Danmark A/S (CVR 37425311)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322949</v>
      </c>
      <c r="C2" s="16" t="n">
        <v>1219171</v>
      </c>
      <c r="D2" s="16" t="n">
        <v>1289840</v>
      </c>
      <c r="E2" s="16" t="n">
        <v>1521665</v>
      </c>
      <c r="F2" s="16" t="n">
        <v>1653405</v>
      </c>
    </row>
    <row r="3">
      <c r="A3" s="15" t="inlineStr">
        <is>
          <t>Andre driftsindtægter</t>
        </is>
      </c>
      <c r="B3" s="16" t="n">
        <v>11829</v>
      </c>
      <c r="C3" s="16" t="n">
        <v>5149</v>
      </c>
      <c r="D3" s="16" t="n">
        <v>0</v>
      </c>
      <c r="E3" s="16" t="n">
        <v>1254</v>
      </c>
      <c r="F3" s="16" t="n">
        <v>698</v>
      </c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>
        <v>357243</v>
      </c>
      <c r="C5" s="16" t="n">
        <v>1220542</v>
      </c>
      <c r="D5" s="16" t="n">
        <v>1257326</v>
      </c>
      <c r="E5" s="16" t="n">
        <v>84477</v>
      </c>
      <c r="F5" s="16" t="n">
        <v>81102</v>
      </c>
    </row>
    <row r="6">
      <c r="A6" s="17" t="inlineStr">
        <is>
          <t>Bruttoresultat</t>
        </is>
      </c>
      <c r="B6" s="16" t="n">
        <v>-22464</v>
      </c>
      <c r="C6" s="16" t="n">
        <v>3778</v>
      </c>
      <c r="D6" s="16" t="n">
        <v>32514</v>
      </c>
      <c r="E6" s="16" t="n">
        <v>33310</v>
      </c>
      <c r="F6" s="16" t="n">
        <v>-6350</v>
      </c>
    </row>
    <row r="7">
      <c r="A7" s="15" t="inlineStr">
        <is>
          <t>Personaleomkostninger</t>
        </is>
      </c>
      <c r="B7" s="16" t="n">
        <v>23041</v>
      </c>
      <c r="C7" s="16" t="n">
        <v>32030</v>
      </c>
      <c r="D7" s="16" t="n">
        <v>38530</v>
      </c>
      <c r="E7" s="16" t="n">
        <v>43865</v>
      </c>
      <c r="F7" s="16" t="n">
        <v>42999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386</v>
      </c>
      <c r="C9" s="16" t="n">
        <v>329</v>
      </c>
      <c r="D9" s="16" t="n">
        <v>308</v>
      </c>
      <c r="E9" s="16" t="n">
        <v>209</v>
      </c>
      <c r="F9" s="16" t="n">
        <v>72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-45890</v>
      </c>
      <c r="C11" s="16" t="n">
        <v>-28581</v>
      </c>
      <c r="D11" s="16" t="n">
        <v>-6324</v>
      </c>
      <c r="E11" s="16" t="n">
        <v>-10764</v>
      </c>
      <c r="F11" s="16" t="n">
        <v>-49421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0</v>
      </c>
      <c r="C13" s="16" t="n">
        <v>469</v>
      </c>
      <c r="D13" s="16" t="n">
        <v>6862</v>
      </c>
      <c r="E13" s="16" t="n">
        <v>10239</v>
      </c>
      <c r="F13" s="16" t="n">
        <v>8042</v>
      </c>
    </row>
    <row r="14">
      <c r="A14" s="15" t="inlineStr">
        <is>
          <t>Finansielle omkostninger</t>
        </is>
      </c>
      <c r="B14" s="16" t="n">
        <v>624</v>
      </c>
      <c r="C14" s="16" t="n">
        <v>222</v>
      </c>
      <c r="D14" s="16" t="n">
        <v>847</v>
      </c>
      <c r="E14" s="16" t="n">
        <v>624</v>
      </c>
      <c r="F14" s="16" t="n">
        <v>1795</v>
      </c>
    </row>
    <row r="15">
      <c r="A15" s="17" t="inlineStr">
        <is>
          <t>Finansielle poster, netto</t>
        </is>
      </c>
      <c r="B15" s="16" t="n"/>
      <c r="C15" s="16" t="n">
        <v>-222</v>
      </c>
      <c r="D15" s="16" t="n">
        <v>6016</v>
      </c>
      <c r="E15" s="16" t="n"/>
      <c r="F15" s="16" t="n"/>
    </row>
    <row r="16">
      <c r="A16" s="17" t="inlineStr">
        <is>
          <t>Resultat før skat</t>
        </is>
      </c>
      <c r="B16" s="16" t="n">
        <v>-46514</v>
      </c>
      <c r="C16" s="16" t="n">
        <v>-28334</v>
      </c>
      <c r="D16" s="16" t="n">
        <v>-309</v>
      </c>
      <c r="E16" s="16" t="n">
        <v>-1149</v>
      </c>
      <c r="F16" s="16" t="n">
        <v>-43173</v>
      </c>
    </row>
    <row r="17">
      <c r="A17" s="15" t="inlineStr">
        <is>
          <t>Skat af årets resultat</t>
        </is>
      </c>
      <c r="B17" s="16" t="n">
        <v>-322</v>
      </c>
      <c r="C17" s="16" t="n">
        <v>3987</v>
      </c>
      <c r="D17" s="16" t="n">
        <v>-7156</v>
      </c>
      <c r="E17" s="16" t="n">
        <v>0</v>
      </c>
      <c r="F17" s="16" t="n">
        <v>10411</v>
      </c>
    </row>
    <row r="18">
      <c r="A18" s="17" t="inlineStr">
        <is>
          <t>Årets resultat</t>
        </is>
      </c>
      <c r="B18" s="16" t="n">
        <v>-46192</v>
      </c>
      <c r="C18" s="16" t="n">
        <v>-32322</v>
      </c>
      <c r="D18" s="16" t="n">
        <v>6847</v>
      </c>
      <c r="E18" s="16" t="n">
        <v>-1149</v>
      </c>
      <c r="F18" s="16" t="n">
        <v>-53584</v>
      </c>
    </row>
    <row r="19">
      <c r="A19" s="15" t="inlineStr">
        <is>
          <t>Gns. antal medarbejdere</t>
        </is>
      </c>
      <c r="B19" s="16" t="n">
        <v>48</v>
      </c>
      <c r="C19" s="16" t="n">
        <v>63</v>
      </c>
      <c r="D19" s="16" t="n">
        <v>74</v>
      </c>
      <c r="E19" s="16" t="n">
        <v>82</v>
      </c>
      <c r="F19" s="16" t="n">
        <v>79</v>
      </c>
    </row>
    <row r="20">
      <c r="A20" s="15" t="inlineStr">
        <is>
          <t>Investering i materielle anlægsaktiver</t>
        </is>
      </c>
      <c r="B20" s="16" t="n"/>
      <c r="C20" s="16" t="n">
        <v>128035</v>
      </c>
      <c r="D20" s="16" t="n">
        <v>96</v>
      </c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TUI Danmark A/S (CVR 37425311)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  <c r="F2" s="16" t="n"/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>
        <v>742</v>
      </c>
      <c r="C4" s="16" t="n">
        <v>542</v>
      </c>
      <c r="D4" s="16" t="n">
        <v>330</v>
      </c>
      <c r="E4" s="16" t="n">
        <v>160</v>
      </c>
      <c r="F4" s="16" t="n">
        <v>88</v>
      </c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742</v>
      </c>
      <c r="C7" s="16" t="n">
        <v>542</v>
      </c>
      <c r="D7" s="16" t="n">
        <v>330</v>
      </c>
      <c r="E7" s="16" t="n">
        <v>160</v>
      </c>
      <c r="F7" s="16" t="n">
        <v>88</v>
      </c>
    </row>
    <row r="8">
      <c r="A8" s="17" t="inlineStr">
        <is>
          <t>Anlægsaktiver</t>
        </is>
      </c>
      <c r="B8" s="16" t="n">
        <v>742</v>
      </c>
      <c r="C8" s="16" t="n">
        <v>542</v>
      </c>
      <c r="D8" s="16" t="n">
        <v>330</v>
      </c>
      <c r="E8" s="16" t="n">
        <v>160</v>
      </c>
      <c r="F8" s="16" t="n">
        <v>88</v>
      </c>
    </row>
    <row r="9">
      <c r="A9" s="15" t="inlineStr">
        <is>
          <t>Tilgodehavender fra salg og tjenesteydelser</t>
        </is>
      </c>
      <c r="B9" s="16" t="n">
        <v>1460</v>
      </c>
      <c r="C9" s="16" t="n">
        <v>9</v>
      </c>
      <c r="D9" s="16" t="n">
        <v>0</v>
      </c>
      <c r="E9" s="16" t="n"/>
      <c r="F9" s="16" t="n"/>
    </row>
    <row r="10">
      <c r="A10" s="15" t="inlineStr">
        <is>
          <t>Tilgodehavender hos tilknyttede virksomheder</t>
        </is>
      </c>
      <c r="B10" s="16" t="n">
        <v>198432</v>
      </c>
      <c r="C10" s="16" t="n">
        <v>91271</v>
      </c>
      <c r="D10" s="16" t="n">
        <v>141766</v>
      </c>
      <c r="E10" s="16" t="n">
        <v>26997</v>
      </c>
      <c r="F10" s="16" t="n">
        <v>111668</v>
      </c>
    </row>
    <row r="11">
      <c r="A11" s="15" t="inlineStr">
        <is>
          <t>Andre tilgodehavender</t>
        </is>
      </c>
      <c r="B11" s="16" t="n">
        <v>5313</v>
      </c>
      <c r="C11" s="16" t="n">
        <v>4470</v>
      </c>
      <c r="D11" s="16" t="n">
        <v>15724</v>
      </c>
      <c r="E11" s="16" t="n">
        <v>21975</v>
      </c>
      <c r="F11" s="16" t="n">
        <v>14788</v>
      </c>
    </row>
    <row r="12">
      <c r="A12" s="15" t="inlineStr">
        <is>
          <t>Periodeafgrænsningsposter (aktiver)</t>
        </is>
      </c>
      <c r="B12" s="16" t="n">
        <v>3366</v>
      </c>
      <c r="C12" s="16" t="n">
        <v>15776</v>
      </c>
      <c r="D12" s="16" t="n">
        <v>18630</v>
      </c>
      <c r="E12" s="16" t="n">
        <v>29727</v>
      </c>
      <c r="F12" s="16" t="n">
        <v>39693</v>
      </c>
    </row>
    <row r="13">
      <c r="A13" s="15" t="inlineStr">
        <is>
          <t>Udskudt skatteaktiv</t>
        </is>
      </c>
      <c r="B13" s="16" t="n">
        <v>5002</v>
      </c>
      <c r="C13" s="16" t="n">
        <v>5002</v>
      </c>
      <c r="D13" s="16" t="n">
        <v>10411</v>
      </c>
      <c r="E13" s="16" t="n">
        <v>10411</v>
      </c>
      <c r="F13" s="16" t="n">
        <v>0</v>
      </c>
    </row>
    <row r="14">
      <c r="A14" s="15" t="inlineStr">
        <is>
          <t>Tilgodehavende skat hos tilknyttede virksomheder</t>
        </is>
      </c>
      <c r="B14" s="16" t="n"/>
      <c r="C14" s="16" t="n"/>
      <c r="D14" s="16" t="n">
        <v>0</v>
      </c>
      <c r="E14" s="16" t="n"/>
      <c r="F14" s="16" t="n"/>
    </row>
    <row r="15">
      <c r="A15" s="15" t="inlineStr">
        <is>
          <t>Kortfristede skattetilgodehavender</t>
        </is>
      </c>
      <c r="B15" s="16" t="n">
        <v>302</v>
      </c>
      <c r="C15" s="16" t="n">
        <v>0</v>
      </c>
      <c r="D15" s="16" t="n"/>
      <c r="E15" s="16" t="n"/>
      <c r="F15" s="16" t="n"/>
    </row>
    <row r="16">
      <c r="A16" s="17" t="inlineStr">
        <is>
          <t>Tilgodehavender</t>
        </is>
      </c>
      <c r="B16" s="16" t="n">
        <v>214204</v>
      </c>
      <c r="C16" s="16" t="n">
        <v>118694</v>
      </c>
      <c r="D16" s="16" t="n">
        <v>186775</v>
      </c>
      <c r="E16" s="16" t="n">
        <v>89109</v>
      </c>
      <c r="F16" s="16" t="n">
        <v>166149</v>
      </c>
    </row>
    <row r="17">
      <c r="A17" s="15" t="inlineStr">
        <is>
          <t>Værdipapirer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Likvide beholdninger</t>
        </is>
      </c>
      <c r="B18" s="16" t="n">
        <v>102000</v>
      </c>
      <c r="C18" s="16" t="n">
        <v>234400</v>
      </c>
      <c r="D18" s="16" t="n">
        <v>169885</v>
      </c>
      <c r="E18" s="16" t="n">
        <v>247058</v>
      </c>
      <c r="F18" s="16" t="n">
        <v>272058</v>
      </c>
    </row>
    <row r="19">
      <c r="A19" s="17" t="inlineStr">
        <is>
          <t>Omsætningsaktiver</t>
        </is>
      </c>
      <c r="B19" s="16" t="n">
        <v>316204</v>
      </c>
      <c r="C19" s="16" t="n">
        <v>353094</v>
      </c>
      <c r="D19" s="16" t="n">
        <v>356660</v>
      </c>
      <c r="E19" s="16" t="n">
        <v>336167</v>
      </c>
      <c r="F19" s="16" t="n">
        <v>438207</v>
      </c>
    </row>
    <row r="20">
      <c r="A20" s="17" t="inlineStr">
        <is>
          <t>Aktiver</t>
        </is>
      </c>
      <c r="B20" s="16" t="n">
        <v>316946</v>
      </c>
      <c r="C20" s="16" t="n">
        <v>353636</v>
      </c>
      <c r="D20" s="16" t="n">
        <v>356989</v>
      </c>
      <c r="E20" s="16" t="n">
        <v>336327</v>
      </c>
      <c r="F20" s="16" t="n">
        <v>438295</v>
      </c>
    </row>
    <row r="21">
      <c r="A21" s="15" t="inlineStr">
        <is>
          <t>Selskabskapital</t>
        </is>
      </c>
      <c r="B21" s="16" t="n">
        <v>1500</v>
      </c>
      <c r="C21" s="16" t="n">
        <v>1500</v>
      </c>
      <c r="D21" s="16" t="n">
        <v>1500</v>
      </c>
      <c r="E21" s="16" t="n">
        <v>1500</v>
      </c>
      <c r="F21" s="16" t="n">
        <v>1500</v>
      </c>
    </row>
    <row r="22">
      <c r="A22" s="15" t="inlineStr">
        <is>
          <t>Reserve for nettoopskrivning (indre værdis metode)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Reserve for udviklingsomkostninger</t>
        </is>
      </c>
      <c r="B23" s="16" t="n"/>
      <c r="C23" s="16" t="n"/>
      <c r="D23" s="16" t="n"/>
      <c r="E23" s="16" t="n"/>
      <c r="F23" s="16" t="n"/>
    </row>
    <row r="24">
      <c r="A24" s="15" t="inlineStr">
        <is>
          <t>Reserve for sikringstransaktioner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Andre reserver</t>
        </is>
      </c>
      <c r="B25" s="16" t="n">
        <v>3619</v>
      </c>
      <c r="C25" s="16" t="n">
        <v>3619</v>
      </c>
      <c r="D25" s="16" t="n">
        <v>3619</v>
      </c>
      <c r="E25" s="16" t="n">
        <v>0</v>
      </c>
      <c r="F25" s="16" t="n">
        <v>0</v>
      </c>
    </row>
    <row r="26">
      <c r="A26" s="15" t="inlineStr">
        <is>
          <t>Overført resultat</t>
        </is>
      </c>
      <c r="B26" s="16" t="n">
        <v>42722</v>
      </c>
      <c r="C26" s="16" t="n">
        <v>10406</v>
      </c>
      <c r="D26" s="16" t="n">
        <v>17248</v>
      </c>
      <c r="E26" s="16" t="n">
        <v>19719</v>
      </c>
      <c r="F26" s="16" t="n">
        <v>6134</v>
      </c>
    </row>
    <row r="27">
      <c r="A27" s="17" t="inlineStr">
        <is>
          <t>Egenkapital i alt</t>
        </is>
      </c>
      <c r="B27" s="16" t="n">
        <v>47842</v>
      </c>
      <c r="C27" s="16" t="n">
        <v>15525</v>
      </c>
      <c r="D27" s="16" t="n">
        <v>22368</v>
      </c>
      <c r="E27" s="16" t="n">
        <v>21219</v>
      </c>
      <c r="F27" s="16" t="n">
        <v>7634</v>
      </c>
    </row>
    <row r="28">
      <c r="A28" s="15" t="inlineStr">
        <is>
          <t>Ansvarlig lånekapital (kortfristet)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Kortfristet del af langfristede gældsforpligtelser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Kreditinstitutter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Leasingforpligtelser (kortfristet)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Leverandører af varer og tjenesteydelser</t>
        </is>
      </c>
      <c r="B32" s="16" t="n">
        <v>4555</v>
      </c>
      <c r="C32" s="16" t="n">
        <v>4320</v>
      </c>
      <c r="D32" s="16" t="n">
        <v>3308</v>
      </c>
      <c r="E32" s="16" t="n">
        <v>4169</v>
      </c>
      <c r="F32" s="16" t="n">
        <v>9849</v>
      </c>
    </row>
    <row r="33">
      <c r="A33" s="15" t="inlineStr">
        <is>
          <t>Gæld til tilknyttede virksomheder</t>
        </is>
      </c>
      <c r="B33" s="16" t="n">
        <v>90335</v>
      </c>
      <c r="C33" s="16" t="n">
        <v>111172</v>
      </c>
      <c r="D33" s="16" t="n">
        <v>103984</v>
      </c>
      <c r="E33" s="16" t="n">
        <v>17677</v>
      </c>
      <c r="F33" s="16" t="n">
        <v>129644</v>
      </c>
    </row>
    <row r="34">
      <c r="A34" s="15" t="inlineStr">
        <is>
          <t>Gæld til selskabsdeltagere og ledelse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Selskabsskat</t>
        </is>
      </c>
      <c r="B35" s="16" t="n">
        <v>0</v>
      </c>
      <c r="C35" s="16" t="n">
        <v>3951</v>
      </c>
      <c r="D35" s="16" t="n"/>
      <c r="E35" s="16" t="n"/>
      <c r="F35" s="16" t="n"/>
    </row>
    <row r="36">
      <c r="A36" s="15" t="inlineStr">
        <is>
          <t>Gæld til tilknyttede virksomheder vedr. selskabsskat</t>
        </is>
      </c>
      <c r="B36" s="16" t="n"/>
      <c r="C36" s="16" t="n"/>
      <c r="D36" s="16" t="n">
        <v>0</v>
      </c>
      <c r="E36" s="16" t="n">
        <v>0</v>
      </c>
      <c r="F36" s="16" t="n">
        <v>0</v>
      </c>
    </row>
    <row r="37">
      <c r="A37" s="15" t="inlineStr">
        <is>
          <t>Anden gæld (kortfristet)</t>
        </is>
      </c>
      <c r="B37" s="16" t="n">
        <v>6553</v>
      </c>
      <c r="C37" s="16" t="n">
        <v>4667</v>
      </c>
      <c r="D37" s="16" t="n">
        <v>13447</v>
      </c>
      <c r="E37" s="16" t="n">
        <v>11173</v>
      </c>
      <c r="F37" s="16" t="n">
        <v>11336</v>
      </c>
    </row>
    <row r="38">
      <c r="A38" s="15" t="inlineStr">
        <is>
          <t>Periodeafgrænsningsposter (passiver)</t>
        </is>
      </c>
      <c r="B38" s="16" t="n">
        <v>167662</v>
      </c>
      <c r="C38" s="16" t="n">
        <v>214002</v>
      </c>
      <c r="D38" s="16" t="n">
        <v>213883</v>
      </c>
      <c r="E38" s="16" t="n">
        <v>282090</v>
      </c>
      <c r="F38" s="16" t="n">
        <v>279832</v>
      </c>
    </row>
    <row r="39">
      <c r="A39" s="17" t="inlineStr">
        <is>
          <t>Kortfristede gældsforpligtelser</t>
        </is>
      </c>
      <c r="B39" s="16" t="n">
        <v>269104</v>
      </c>
      <c r="C39" s="16" t="n">
        <v>338111</v>
      </c>
      <c r="D39" s="16" t="n">
        <v>334622</v>
      </c>
      <c r="E39" s="16" t="n">
        <v>315108</v>
      </c>
      <c r="F39" s="16" t="n">
        <v>430661</v>
      </c>
    </row>
    <row r="40">
      <c r="A40" s="17" t="inlineStr">
        <is>
          <t>Gældsforpligtelser</t>
        </is>
      </c>
      <c r="B40" s="16" t="n">
        <v>269104</v>
      </c>
      <c r="C40" s="16" t="n">
        <v>338111</v>
      </c>
      <c r="D40" s="16" t="n">
        <v>334622</v>
      </c>
      <c r="E40" s="16" t="n">
        <v>315108</v>
      </c>
      <c r="F40" s="16" t="n">
        <v>430661</v>
      </c>
    </row>
    <row r="41">
      <c r="A41" s="17" t="inlineStr">
        <is>
          <t>Passiver</t>
        </is>
      </c>
      <c r="B41" s="16" t="n">
        <v>316946</v>
      </c>
      <c r="C41" s="16" t="n">
        <v>353636</v>
      </c>
      <c r="D41" s="16" t="n">
        <v>356989</v>
      </c>
      <c r="E41" s="16" t="n">
        <v>336327</v>
      </c>
      <c r="F41" s="16" t="n">
        <v>438295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TUI Danmark A/S (CVR 37425311) — Regnskabs- og nøgletal (CVR: 37425311)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'res_raw_37425311'!$F$2</f>
        <v/>
      </c>
      <c r="C5" s="24">
        <f>'res_raw_37425311'!$E$2</f>
        <v/>
      </c>
      <c r="D5" s="24">
        <f>'res_raw_37425311'!$D$2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'res_raw_37425311'!$F$3</f>
        <v/>
      </c>
      <c r="C6" s="24">
        <f>'res_raw_37425311'!$E$3</f>
        <v/>
      </c>
      <c r="D6" s="24">
        <f>'res_raw_37425311'!$D$3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-'res_raw_37425311'!$F$4</f>
        <v/>
      </c>
      <c r="C7" s="24">
        <f>-'res_raw_37425311'!$E$4</f>
        <v/>
      </c>
      <c r="D7" s="24">
        <f>-'res_raw_37425311'!$D$4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-'res_raw_37425311'!$F$5</f>
        <v/>
      </c>
      <c r="C8" s="24">
        <f>-'res_raw_37425311'!$E$5</f>
        <v/>
      </c>
      <c r="D8" s="24">
        <f>-'res_raw_37425311'!$D$5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-'res_raw_37425311'!$F$7</f>
        <v/>
      </c>
      <c r="C10" s="24">
        <f>-'res_raw_37425311'!$E$7</f>
        <v/>
      </c>
      <c r="D10" s="24">
        <f>-'res_raw_37425311'!$D$7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-'res_raw_37425311'!$F$9</f>
        <v/>
      </c>
      <c r="C11" s="24">
        <f>-'res_raw_37425311'!$E$9</f>
        <v/>
      </c>
      <c r="D11" s="24">
        <f>-'res_raw_37425311'!$D$9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-'res_raw_37425311'!$F$10</f>
        <v/>
      </c>
      <c r="C12" s="24">
        <f>-'res_raw_37425311'!$E$10</f>
        <v/>
      </c>
      <c r="D12" s="24">
        <f>-'res_raw_37425311'!$D$10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N('res_raw_37425311'!$F$12)+N('res_raw_37425311'!$F$13)</f>
        <v/>
      </c>
      <c r="C14" s="24">
        <f>N('res_raw_37425311'!$E$12)+N('res_raw_37425311'!$E$13)</f>
        <v/>
      </c>
      <c r="D14" s="24">
        <f>N('res_raw_37425311'!$D$12)+N('res_raw_37425311'!$D$13)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-'res_raw_37425311'!$F$14</f>
        <v/>
      </c>
      <c r="C15" s="24">
        <f>-'res_raw_37425311'!$E$14</f>
        <v/>
      </c>
      <c r="D15" s="24">
        <f>-'res_raw_37425311'!$D$14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'balance_raw_37425311'!$F$8</f>
        <v/>
      </c>
      <c r="C19" s="24">
        <f>'balance_raw_37425311'!$E$8</f>
        <v/>
      </c>
      <c r="D19" s="24">
        <f>'balance_raw_37425311'!$D$8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'balance_raw_37425311'!$F$19</f>
        <v/>
      </c>
      <c r="C20" s="24">
        <f>'balance_raw_37425311'!$E$19</f>
        <v/>
      </c>
      <c r="D20" s="24">
        <f>'balance_raw_37425311'!$D$19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'balance_raw_37425311'!$F$27</f>
        <v/>
      </c>
      <c r="C23" s="24">
        <f>'balance_raw_37425311'!$E$27</f>
        <v/>
      </c>
      <c r="D23" s="24">
        <f>'balance_raw_37425311'!$D$27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'balance_raw_37425311'!$F$41-'balance_raw_37425311'!$F$27</f>
        <v/>
      </c>
      <c r="C24" s="24">
        <f>'balance_raw_37425311'!$E$41-'balance_raw_37425311'!$E$27</f>
        <v/>
      </c>
      <c r="D24" s="24">
        <f>'balance_raw_37425311'!$D$41-'balance_raw_37425311'!$D$27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9" t="n"/>
      <c r="C28" s="29" t="n"/>
      <c r="D28" s="29" t="n"/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'balance_raw_37425311'!$F$9</f>
        <v/>
      </c>
      <c r="C29" s="24">
        <f>'balance_raw_37425311'!$E$9</f>
        <v/>
      </c>
      <c r="D29" s="24">
        <f>'balance_raw_37425311'!$D$9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'balance_raw_37425311'!$F$39</f>
        <v/>
      </c>
      <c r="C30" s="24">
        <f>'balance_raw_37425311'!$E$39</f>
        <v/>
      </c>
      <c r="D30" s="24">
        <f>'balance_raw_37425311'!$D$39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IF('balance_raw_37425311'!$F$20="","—",IF(ABS(B21-'balance_raw_37425311'!$F$20)&lt;=1,"✓ OK","❌ "&amp;TEXT(B21-'balance_raw_37425311'!$F$20,"+#,##0;-#,##0")&amp;" t.kr."))</f>
        <v/>
      </c>
      <c r="C61" s="29">
        <f>IF('balance_raw_37425311'!$E$20="","—",IF(ABS(C21-'balance_raw_37425311'!$E$20)&lt;=1,"✓ OK","❌ "&amp;TEXT(C21-'balance_raw_37425311'!$E$20,"+#,##0;-#,##0")&amp;" t.kr."))</f>
        <v/>
      </c>
      <c r="D61" s="29">
        <f>IF('balance_raw_37425311'!$D$20="","—",IF(ABS(D21-'balance_raw_37425311'!$D$20)&lt;=1,"✓ OK","❌ "&amp;TEXT(D21-'balance_raw_37425311'!$D$20,"+#,##0;-#,##0")&amp;"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IF('balance_raw_37425311'!$F$41="","—",IF(ABS(B25-'balance_raw_37425311'!$F$41)&lt;=1,"✓ OK","❌ "&amp;TEXT(B25-'balance_raw_37425311'!$F$41,"+#,##0;-#,##0")&amp;" t.kr."))</f>
        <v/>
      </c>
      <c r="C62" s="29">
        <f>IF('balance_raw_37425311'!$E$41="","—",IF(ABS(C25-'balance_raw_37425311'!$E$41)&lt;=1,"✓ OK","❌ "&amp;TEXT(C25-'balance_raw_37425311'!$E$41,"+#,##0;-#,##0")&amp;" t.kr."))</f>
        <v/>
      </c>
      <c r="D62" s="29">
        <f>IF('balance_raw_37425311'!$D$41="","—",IF(ABS(D25-'balance_raw_37425311'!$D$41)&lt;=1,"✓ OK","❌ "&amp;TEXT(D25-'balance_raw_37425311'!$D$41,"+#,##0;-#,##0")&amp;"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IF('res_raw_37425311'!$F$6="","—",IF(ABS(B9-'res_raw_37425311'!$F$6)&lt;=1,"✓ OK","❌ "&amp;TEXT(B9-'res_raw_37425311'!$F$6,"+#,##0;-#,##0")&amp;" t.kr."))</f>
        <v/>
      </c>
      <c r="C64" s="29">
        <f>IF('res_raw_37425311'!$E$6="","—",IF(ABS(C9-'res_raw_37425311'!$E$6)&lt;=1,"✓ OK","❌ "&amp;TEXT(C9-'res_raw_37425311'!$E$6,"+#,##0;-#,##0")&amp;" t.kr."))</f>
        <v/>
      </c>
      <c r="D64" s="29">
        <f>IF('res_raw_37425311'!$D$6="","—",IF(ABS(D9-'res_raw_37425311'!$D$6)&lt;=1,"✓ OK","❌ "&amp;TEXT(D9-'res_raw_37425311'!$D$6,"+#,##0;-#,##0")&amp;"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IF('res_raw_37425311'!$F$11="","—",IF(ABS(B13-'res_raw_37425311'!$F$11)&lt;=1,"✓ OK","❌ "&amp;TEXT(B13-'res_raw_37425311'!$F$11,"+#,##0;-#,##0")&amp;" t.kr."))</f>
        <v/>
      </c>
      <c r="C65" s="29">
        <f>IF('res_raw_37425311'!$E$11="","—",IF(ABS(C13-'res_raw_37425311'!$E$11)&lt;=1,"✓ OK","❌ "&amp;TEXT(C13-'res_raw_37425311'!$E$11,"+#,##0;-#,##0")&amp;" t.kr."))</f>
        <v/>
      </c>
      <c r="D65" s="29">
        <f>IF('res_raw_37425311'!$D$11="","—",IF(ABS(D13-'res_raw_37425311'!$D$11)&lt;=1,"✓ OK","❌ "&amp;TEXT(D13-'res_raw_37425311'!$D$11,"+#,##0;-#,##0")&amp;"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IF('res_raw_37425311'!$F$16="","—",IF(ABS(B16-'res_raw_37425311'!$F$16)&lt;=1,"✓ OK","❌ "&amp;TEXT(B16-'res_raw_37425311'!$F$16,"+#,##0;-#,##0")&amp;" t.kr."))</f>
        <v/>
      </c>
      <c r="C66" s="29">
        <f>IF('res_raw_37425311'!$E$16="","—",IF(ABS(C16-'res_raw_37425311'!$E$16)&lt;=1,"✓ OK","❌ "&amp;TEXT(C16-'res_raw_37425311'!$E$16,"+#,##0;-#,##0")&amp;" t.kr."))</f>
        <v/>
      </c>
      <c r="D66" s="29">
        <f>IF('res_raw_37425311'!$D$16="","—",IF(ABS(D16-'res_raw_37425311'!$D$16)&lt;=1,"✓ OK","❌ "&amp;TEXT(D16-'res_raw_37425311'!$D$16,"+#,##0;-#,##0")&amp;"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2026-09-09T19:23:42Z</dcterms:created>
  <dcterms:modified xmlns:dcterms="http://purl.org/dc/terms/" xmlns:xsi="http://www.w3.org/2001/XMLSchema-instance" xsi:type="dcterms:W3CDTF">2026-09-09T19:23:43Z</dcterms:modified>
</cp:coreProperties>
</file>