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0673612" sheetId="1" state="visible" r:id="rId1"/>
    <sheet xmlns:r="http://schemas.openxmlformats.org/officeDocument/2006/relationships" name="res_raw_80673612" sheetId="2" state="visible" r:id="rId2"/>
    <sheet xmlns:r="http://schemas.openxmlformats.org/officeDocument/2006/relationships" name="balance_raw_80673612" sheetId="3" state="visible" r:id="rId3"/>
    <sheet xmlns:r="http://schemas.openxmlformats.org/officeDocument/2006/relationships" name="pengestrom_raw_80673612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Scanpan A/S (CVR 80673612)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'res_raw_80673612'!$B$2</f>
        <v/>
      </c>
      <c r="C4" s="5">
        <f>'res_raw_80673612'!$C$2</f>
        <v/>
      </c>
      <c r="D4" s="5">
        <f>'res_raw_80673612'!$D$2</f>
        <v/>
      </c>
      <c r="E4" s="5">
        <f>'res_raw_80673612'!$E$2</f>
        <v/>
      </c>
      <c r="F4" s="5">
        <f>'res_raw_80673612'!$F$2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'res_raw_80673612'!$B$3</f>
        <v/>
      </c>
      <c r="C5" s="8">
        <f>'res_raw_80673612'!$C$3</f>
        <v/>
      </c>
      <c r="D5" s="8">
        <f>'res_raw_80673612'!$D$3</f>
        <v/>
      </c>
      <c r="E5" s="8">
        <f>'res_raw_80673612'!$E$3</f>
        <v/>
      </c>
      <c r="F5" s="8">
        <f>'res_raw_80673612'!$F$3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'res_raw_80673612'!$B$4</f>
        <v/>
      </c>
      <c r="C6" s="8">
        <f>'res_raw_80673612'!$C$4</f>
        <v/>
      </c>
      <c r="D6" s="8">
        <f>'res_raw_80673612'!$D$4</f>
        <v/>
      </c>
      <c r="E6" s="8">
        <f>'res_raw_80673612'!$E$4</f>
        <v/>
      </c>
      <c r="F6" s="8">
        <f>'res_raw_80673612'!$F$4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'res_raw_80673612'!$B$5</f>
        <v/>
      </c>
      <c r="C7" s="8">
        <f>'res_raw_80673612'!$C$5</f>
        <v/>
      </c>
      <c r="D7" s="8">
        <f>'res_raw_80673612'!$D$5</f>
        <v/>
      </c>
      <c r="E7" s="8">
        <f>'res_raw_80673612'!$E$5</f>
        <v/>
      </c>
      <c r="F7" s="8">
        <f>'res_raw_80673612'!$F$5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'res_raw_80673612'!$B$6</f>
        <v/>
      </c>
      <c r="C8" s="8">
        <f>'res_raw_80673612'!$C$6</f>
        <v/>
      </c>
      <c r="D8" s="8">
        <f>'res_raw_80673612'!$D$6</f>
        <v/>
      </c>
      <c r="E8" s="8">
        <f>'res_raw_80673612'!$E$6</f>
        <v/>
      </c>
      <c r="F8" s="8">
        <f>'res_raw_80673612'!$F$6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'res_raw_80673612'!$B$7</f>
        <v/>
      </c>
      <c r="C9" s="11">
        <f>'res_raw_80673612'!$C$7</f>
        <v/>
      </c>
      <c r="D9" s="11">
        <f>'res_raw_80673612'!$D$7</f>
        <v/>
      </c>
      <c r="E9" s="11">
        <f>'res_raw_80673612'!$E$7</f>
        <v/>
      </c>
      <c r="F9" s="11">
        <f>'res_raw_80673612'!$F$7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'res_raw_80673612'!$B$8</f>
        <v/>
      </c>
      <c r="C10" s="5">
        <f>'res_raw_80673612'!$C$8</f>
        <v/>
      </c>
      <c r="D10" s="5">
        <f>'res_raw_80673612'!$D$8</f>
        <v/>
      </c>
      <c r="E10" s="5">
        <f>'res_raw_80673612'!$E$8</f>
        <v/>
      </c>
      <c r="F10" s="5">
        <f>'res_raw_80673612'!$F$8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'res_raw_80673612'!$B$9</f>
        <v/>
      </c>
      <c r="C11" s="8">
        <f>'res_raw_80673612'!$C$9</f>
        <v/>
      </c>
      <c r="D11" s="8">
        <f>'res_raw_80673612'!$D$9</f>
        <v/>
      </c>
      <c r="E11" s="8">
        <f>'res_raw_80673612'!$E$9</f>
        <v/>
      </c>
      <c r="F11" s="8">
        <f>'res_raw_80673612'!$F$9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'res_raw_80673612'!$B$10</f>
        <v/>
      </c>
      <c r="C12" s="5">
        <f>'res_raw_80673612'!$C$10</f>
        <v/>
      </c>
      <c r="D12" s="5">
        <f>'res_raw_80673612'!$D$10</f>
        <v/>
      </c>
      <c r="E12" s="5">
        <f>'res_raw_80673612'!$E$10</f>
        <v/>
      </c>
      <c r="F12" s="5">
        <f>'res_raw_80673612'!$F$10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'res_raw_80673612'!$B$11</f>
        <v/>
      </c>
      <c r="C13" s="11">
        <f>'res_raw_80673612'!$C$11</f>
        <v/>
      </c>
      <c r="D13" s="11">
        <f>'res_raw_80673612'!$D$11</f>
        <v/>
      </c>
      <c r="E13" s="11">
        <f>'res_raw_80673612'!$E$11</f>
        <v/>
      </c>
      <c r="F13" s="11">
        <f>'res_raw_80673612'!$F$11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'res_raw_80673612'!$B$12</f>
        <v/>
      </c>
      <c r="C14" s="5">
        <f>'res_raw_80673612'!$C$12</f>
        <v/>
      </c>
      <c r="D14" s="5">
        <f>'res_raw_80673612'!$D$12</f>
        <v/>
      </c>
      <c r="E14" s="5">
        <f>'res_raw_80673612'!$E$12</f>
        <v/>
      </c>
      <c r="F14" s="5">
        <f>'res_raw_80673612'!$F$12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'res_raw_80673612'!$B$13</f>
        <v/>
      </c>
      <c r="C15" s="8">
        <f>'res_raw_80673612'!$C$13</f>
        <v/>
      </c>
      <c r="D15" s="8">
        <f>'res_raw_80673612'!$D$13</f>
        <v/>
      </c>
      <c r="E15" s="8">
        <f>'res_raw_80673612'!$E$13</f>
        <v/>
      </c>
      <c r="F15" s="8">
        <f>'res_raw_80673612'!$F$13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'res_raw_80673612'!$B$14</f>
        <v/>
      </c>
      <c r="C16" s="8">
        <f>'res_raw_80673612'!$C$14</f>
        <v/>
      </c>
      <c r="D16" s="8">
        <f>'res_raw_80673612'!$D$14</f>
        <v/>
      </c>
      <c r="E16" s="8">
        <f>'res_raw_80673612'!$E$14</f>
        <v/>
      </c>
      <c r="F16" s="8">
        <f>'res_raw_80673612'!$F$14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'res_raw_80673612'!$B$15</f>
        <v/>
      </c>
      <c r="C17" s="11">
        <f>'res_raw_80673612'!$C$15</f>
        <v/>
      </c>
      <c r="D17" s="11">
        <f>'res_raw_80673612'!$D$15</f>
        <v/>
      </c>
      <c r="E17" s="11">
        <f>'res_raw_80673612'!$E$15</f>
        <v/>
      </c>
      <c r="F17" s="11">
        <f>'res_raw_80673612'!$F$15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'res_raw_80673612'!$B$16</f>
        <v/>
      </c>
      <c r="C18" s="8">
        <f>'res_raw_80673612'!$C$16</f>
        <v/>
      </c>
      <c r="D18" s="8">
        <f>'res_raw_80673612'!$D$16</f>
        <v/>
      </c>
      <c r="E18" s="8">
        <f>'res_raw_80673612'!$E$16</f>
        <v/>
      </c>
      <c r="F18" s="8">
        <f>'res_raw_80673612'!$F$16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'balance_raw_80673612'!$B$2</f>
        <v/>
      </c>
      <c r="C21" s="8">
        <f>'balance_raw_80673612'!$C$2</f>
        <v/>
      </c>
      <c r="D21" s="8">
        <f>'balance_raw_80673612'!$D$2</f>
        <v/>
      </c>
      <c r="E21" s="8">
        <f>'balance_raw_80673612'!$E$2</f>
        <v/>
      </c>
      <c r="F21" s="8">
        <f>'balance_raw_80673612'!$F$2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4" t="inlineStr">
        <is>
          <t>Grunde og bygninger</t>
        </is>
      </c>
      <c r="B22" s="5">
        <f>'balance_raw_80673612'!$B$3</f>
        <v/>
      </c>
      <c r="C22" s="5">
        <f>'balance_raw_80673612'!$C$3</f>
        <v/>
      </c>
      <c r="D22" s="5">
        <f>'balance_raw_80673612'!$D$3</f>
        <v/>
      </c>
      <c r="E22" s="5">
        <f>'balance_raw_80673612'!$E$3</f>
        <v/>
      </c>
      <c r="F22" s="5">
        <f>'balance_raw_80673612'!$F$3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'balance_raw_80673612'!$B$4</f>
        <v/>
      </c>
      <c r="C23" s="11">
        <f>'balance_raw_80673612'!$C$4</f>
        <v/>
      </c>
      <c r="D23" s="11">
        <f>'balance_raw_80673612'!$D$4</f>
        <v/>
      </c>
      <c r="E23" s="11">
        <f>'balance_raw_80673612'!$E$4</f>
        <v/>
      </c>
      <c r="F23" s="11">
        <f>'balance_raw_80673612'!$F$4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'balance_raw_80673612'!$B$5</f>
        <v/>
      </c>
      <c r="C24" s="5">
        <f>'balance_raw_80673612'!$C$5</f>
        <v/>
      </c>
      <c r="D24" s="5">
        <f>'balance_raw_80673612'!$D$5</f>
        <v/>
      </c>
      <c r="E24" s="5">
        <f>'balance_raw_80673612'!$E$5</f>
        <v/>
      </c>
      <c r="F24" s="5">
        <f>'balance_raw_80673612'!$F$5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'balance_raw_80673612'!$B$6</f>
        <v/>
      </c>
      <c r="C25" s="11">
        <f>'balance_raw_80673612'!$C$6</f>
        <v/>
      </c>
      <c r="D25" s="11">
        <f>'balance_raw_80673612'!$D$6</f>
        <v/>
      </c>
      <c r="E25" s="11">
        <f>'balance_raw_80673612'!$E$6</f>
        <v/>
      </c>
      <c r="F25" s="11">
        <f>'balance_raw_80673612'!$F$6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'balance_raw_80673612'!$B$7</f>
        <v/>
      </c>
      <c r="C26" s="5">
        <f>'balance_raw_80673612'!$C$7</f>
        <v/>
      </c>
      <c r="D26" s="5">
        <f>'balance_raw_80673612'!$D$7</f>
        <v/>
      </c>
      <c r="E26" s="5">
        <f>'balance_raw_80673612'!$E$7</f>
        <v/>
      </c>
      <c r="F26" s="5">
        <f>'balance_raw_80673612'!$F$7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'balance_raw_80673612'!$B$8</f>
        <v/>
      </c>
      <c r="C27" s="8">
        <f>'balance_raw_80673612'!$C$8</f>
        <v/>
      </c>
      <c r="D27" s="8">
        <f>'balance_raw_80673612'!$D$8</f>
        <v/>
      </c>
      <c r="E27" s="8">
        <f>'balance_raw_80673612'!$E$8</f>
        <v/>
      </c>
      <c r="F27" s="8">
        <f>'balance_raw_80673612'!$F$8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'balance_raw_80673612'!$B$9</f>
        <v/>
      </c>
      <c r="C28" s="5">
        <f>'balance_raw_80673612'!$C$9</f>
        <v/>
      </c>
      <c r="D28" s="5">
        <f>'balance_raw_80673612'!$D$9</f>
        <v/>
      </c>
      <c r="E28" s="5">
        <f>'balance_raw_80673612'!$E$9</f>
        <v/>
      </c>
      <c r="F28" s="5">
        <f>'balance_raw_80673612'!$F$9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'balance_raw_80673612'!$B$10</f>
        <v/>
      </c>
      <c r="C29" s="11">
        <f>'balance_raw_80673612'!$C$10</f>
        <v/>
      </c>
      <c r="D29" s="11">
        <f>'balance_raw_80673612'!$D$10</f>
        <v/>
      </c>
      <c r="E29" s="11">
        <f>'balance_raw_80673612'!$E$10</f>
        <v/>
      </c>
      <c r="F29" s="11">
        <f>'balance_raw_80673612'!$F$10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'balance_raw_80673612'!$B$11</f>
        <v/>
      </c>
      <c r="C30" s="8">
        <f>'balance_raw_80673612'!$C$11</f>
        <v/>
      </c>
      <c r="D30" s="8">
        <f>'balance_raw_80673612'!$D$11</f>
        <v/>
      </c>
      <c r="E30" s="8">
        <f>'balance_raw_80673612'!$E$11</f>
        <v/>
      </c>
      <c r="F30" s="8">
        <f>'balance_raw_80673612'!$F$11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'balance_raw_80673612'!$B$12</f>
        <v/>
      </c>
      <c r="C31" s="8">
        <f>'balance_raw_80673612'!$C$12</f>
        <v/>
      </c>
      <c r="D31" s="8">
        <f>'balance_raw_80673612'!$D$12</f>
        <v/>
      </c>
      <c r="E31" s="8">
        <f>'balance_raw_80673612'!$E$12</f>
        <v/>
      </c>
      <c r="F31" s="8">
        <f>'balance_raw_80673612'!$F$12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Råvarer og hjælpematerialer</t>
        </is>
      </c>
      <c r="B32" s="5">
        <f>'balance_raw_80673612'!$B$13</f>
        <v/>
      </c>
      <c r="C32" s="5">
        <f>'balance_raw_80673612'!$C$13</f>
        <v/>
      </c>
      <c r="D32" s="5">
        <f>'balance_raw_80673612'!$D$13</f>
        <v/>
      </c>
      <c r="E32" s="5">
        <f>'balance_raw_80673612'!$E$13</f>
        <v/>
      </c>
      <c r="F32" s="5">
        <f>'balance_raw_80673612'!$F$13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Varer under fremstilling</t>
        </is>
      </c>
      <c r="B33" s="11">
        <f>'balance_raw_80673612'!$B$14</f>
        <v/>
      </c>
      <c r="C33" s="11">
        <f>'balance_raw_80673612'!$C$14</f>
        <v/>
      </c>
      <c r="D33" s="11">
        <f>'balance_raw_80673612'!$D$14</f>
        <v/>
      </c>
      <c r="E33" s="11">
        <f>'balance_raw_80673612'!$E$14</f>
        <v/>
      </c>
      <c r="F33" s="11">
        <f>'balance_raw_80673612'!$F$14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Færdigvarer og handelsvarer</t>
        </is>
      </c>
      <c r="B34" s="5">
        <f>'balance_raw_80673612'!$B$15</f>
        <v/>
      </c>
      <c r="C34" s="5">
        <f>'balance_raw_80673612'!$C$15</f>
        <v/>
      </c>
      <c r="D34" s="5">
        <f>'balance_raw_80673612'!$D$15</f>
        <v/>
      </c>
      <c r="E34" s="5">
        <f>'balance_raw_80673612'!$E$15</f>
        <v/>
      </c>
      <c r="F34" s="5">
        <f>'balance_raw_80673612'!$F$15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Varebeholdninger</t>
        </is>
      </c>
      <c r="B35" s="8">
        <f>'balance_raw_80673612'!$B$16</f>
        <v/>
      </c>
      <c r="C35" s="8">
        <f>'balance_raw_80673612'!$C$16</f>
        <v/>
      </c>
      <c r="D35" s="8">
        <f>'balance_raw_80673612'!$D$16</f>
        <v/>
      </c>
      <c r="E35" s="8">
        <f>'balance_raw_80673612'!$E$16</f>
        <v/>
      </c>
      <c r="F35" s="8">
        <f>'balance_raw_80673612'!$F$16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'balance_raw_80673612'!$B$17</f>
        <v/>
      </c>
      <c r="C36" s="5">
        <f>'balance_raw_80673612'!$C$17</f>
        <v/>
      </c>
      <c r="D36" s="5">
        <f>'balance_raw_80673612'!$D$17</f>
        <v/>
      </c>
      <c r="E36" s="5">
        <f>'balance_raw_80673612'!$E$17</f>
        <v/>
      </c>
      <c r="F36" s="5">
        <f>'balance_raw_80673612'!$F$17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'balance_raw_80673612'!$B$18</f>
        <v/>
      </c>
      <c r="C37" s="11">
        <f>'balance_raw_80673612'!$C$18</f>
        <v/>
      </c>
      <c r="D37" s="11">
        <f>'balance_raw_80673612'!$D$18</f>
        <v/>
      </c>
      <c r="E37" s="11">
        <f>'balance_raw_80673612'!$E$18</f>
        <v/>
      </c>
      <c r="F37" s="11">
        <f>'balance_raw_80673612'!$F$18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'balance_raw_80673612'!$B$19</f>
        <v/>
      </c>
      <c r="C38" s="5">
        <f>'balance_raw_80673612'!$C$19</f>
        <v/>
      </c>
      <c r="D38" s="5">
        <f>'balance_raw_80673612'!$D$19</f>
        <v/>
      </c>
      <c r="E38" s="5">
        <f>'balance_raw_80673612'!$E$19</f>
        <v/>
      </c>
      <c r="F38" s="5">
        <f>'balance_raw_80673612'!$F$19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'balance_raw_80673612'!$B$20</f>
        <v/>
      </c>
      <c r="C39" s="11">
        <f>'balance_raw_80673612'!$C$20</f>
        <v/>
      </c>
      <c r="D39" s="11">
        <f>'balance_raw_80673612'!$D$20</f>
        <v/>
      </c>
      <c r="E39" s="11">
        <f>'balance_raw_80673612'!$E$20</f>
        <v/>
      </c>
      <c r="F39" s="11">
        <f>'balance_raw_80673612'!$F$20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'balance_raw_80673612'!$B$21</f>
        <v/>
      </c>
      <c r="C40" s="5">
        <f>'balance_raw_80673612'!$C$21</f>
        <v/>
      </c>
      <c r="D40" s="5">
        <f>'balance_raw_80673612'!$D$21</f>
        <v/>
      </c>
      <c r="E40" s="5">
        <f>'balance_raw_80673612'!$E$21</f>
        <v/>
      </c>
      <c r="F40" s="5">
        <f>'balance_raw_80673612'!$F$21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'balance_raw_80673612'!$B$22</f>
        <v/>
      </c>
      <c r="C41" s="11">
        <f>'balance_raw_80673612'!$C$22</f>
        <v/>
      </c>
      <c r="D41" s="11">
        <f>'balance_raw_80673612'!$D$22</f>
        <v/>
      </c>
      <c r="E41" s="11">
        <f>'balance_raw_80673612'!$E$22</f>
        <v/>
      </c>
      <c r="F41" s="11">
        <f>'balance_raw_80673612'!$F$22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'balance_raw_80673612'!$B$23</f>
        <v/>
      </c>
      <c r="C42" s="5">
        <f>'balance_raw_80673612'!$C$23</f>
        <v/>
      </c>
      <c r="D42" s="5">
        <f>'balance_raw_80673612'!$D$23</f>
        <v/>
      </c>
      <c r="E42" s="5">
        <f>'balance_raw_80673612'!$E$23</f>
        <v/>
      </c>
      <c r="F42" s="5">
        <f>'balance_raw_80673612'!$F$23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'balance_raw_80673612'!$B$24</f>
        <v/>
      </c>
      <c r="C43" s="8">
        <f>'balance_raw_80673612'!$C$24</f>
        <v/>
      </c>
      <c r="D43" s="8">
        <f>'balance_raw_80673612'!$D$24</f>
        <v/>
      </c>
      <c r="E43" s="8">
        <f>'balance_raw_80673612'!$E$24</f>
        <v/>
      </c>
      <c r="F43" s="8">
        <f>'balance_raw_80673612'!$F$24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'balance_raw_80673612'!$B$25</f>
        <v/>
      </c>
      <c r="C44" s="5">
        <f>'balance_raw_80673612'!$C$25</f>
        <v/>
      </c>
      <c r="D44" s="5">
        <f>'balance_raw_80673612'!$D$25</f>
        <v/>
      </c>
      <c r="E44" s="5">
        <f>'balance_raw_80673612'!$E$25</f>
        <v/>
      </c>
      <c r="F44" s="5">
        <f>'balance_raw_80673612'!$F$25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'balance_raw_80673612'!$B$26</f>
        <v/>
      </c>
      <c r="C45" s="11">
        <f>'balance_raw_80673612'!$C$26</f>
        <v/>
      </c>
      <c r="D45" s="11">
        <f>'balance_raw_80673612'!$D$26</f>
        <v/>
      </c>
      <c r="E45" s="11">
        <f>'balance_raw_80673612'!$E$26</f>
        <v/>
      </c>
      <c r="F45" s="11">
        <f>'balance_raw_80673612'!$F$26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'balance_raw_80673612'!$B$27</f>
        <v/>
      </c>
      <c r="C46" s="8">
        <f>'balance_raw_80673612'!$C$27</f>
        <v/>
      </c>
      <c r="D46" s="8">
        <f>'balance_raw_80673612'!$D$27</f>
        <v/>
      </c>
      <c r="E46" s="8">
        <f>'balance_raw_80673612'!$E$27</f>
        <v/>
      </c>
      <c r="F46" s="8">
        <f>'balance_raw_80673612'!$F$27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'balance_raw_80673612'!$B$28</f>
        <v/>
      </c>
      <c r="C47" s="8">
        <f>'balance_raw_80673612'!$C$28</f>
        <v/>
      </c>
      <c r="D47" s="8">
        <f>'balance_raw_80673612'!$D$28</f>
        <v/>
      </c>
      <c r="E47" s="8">
        <f>'balance_raw_80673612'!$E$28</f>
        <v/>
      </c>
      <c r="F47" s="8">
        <f>'balance_raw_80673612'!$F$28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'balance_raw_80673612'!$B$29</f>
        <v/>
      </c>
      <c r="C50" s="5">
        <f>'balance_raw_80673612'!$C$29</f>
        <v/>
      </c>
      <c r="D50" s="5">
        <f>'balance_raw_80673612'!$D$29</f>
        <v/>
      </c>
      <c r="E50" s="5">
        <f>'balance_raw_80673612'!$E$29</f>
        <v/>
      </c>
      <c r="F50" s="5">
        <f>'balance_raw_80673612'!$F$29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'balance_raw_80673612'!$B$30</f>
        <v/>
      </c>
      <c r="C51" s="11">
        <f>'balance_raw_80673612'!$C$30</f>
        <v/>
      </c>
      <c r="D51" s="11">
        <f>'balance_raw_80673612'!$D$30</f>
        <v/>
      </c>
      <c r="E51" s="11">
        <f>'balance_raw_80673612'!$E$30</f>
        <v/>
      </c>
      <c r="F51" s="11">
        <f>'balance_raw_80673612'!$F$30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'balance_raw_80673612'!$B$31</f>
        <v/>
      </c>
      <c r="C52" s="5">
        <f>'balance_raw_80673612'!$C$31</f>
        <v/>
      </c>
      <c r="D52" s="5">
        <f>'balance_raw_80673612'!$D$31</f>
        <v/>
      </c>
      <c r="E52" s="5">
        <f>'balance_raw_80673612'!$E$31</f>
        <v/>
      </c>
      <c r="F52" s="5">
        <f>'balance_raw_80673612'!$F$31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'balance_raw_80673612'!$B$32</f>
        <v/>
      </c>
      <c r="C53" s="11">
        <f>'balance_raw_80673612'!$C$32</f>
        <v/>
      </c>
      <c r="D53" s="11">
        <f>'balance_raw_80673612'!$D$32</f>
        <v/>
      </c>
      <c r="E53" s="11">
        <f>'balance_raw_80673612'!$E$32</f>
        <v/>
      </c>
      <c r="F53" s="11">
        <f>'balance_raw_80673612'!$F$32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'balance_raw_80673612'!$B$33</f>
        <v/>
      </c>
      <c r="C54" s="5">
        <f>'balance_raw_80673612'!$C$33</f>
        <v/>
      </c>
      <c r="D54" s="5">
        <f>'balance_raw_80673612'!$D$33</f>
        <v/>
      </c>
      <c r="E54" s="5">
        <f>'balance_raw_80673612'!$E$33</f>
        <v/>
      </c>
      <c r="F54" s="5">
        <f>'balance_raw_80673612'!$F$33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'balance_raw_80673612'!$B$34</f>
        <v/>
      </c>
      <c r="C55" s="11">
        <f>'balance_raw_80673612'!$C$34</f>
        <v/>
      </c>
      <c r="D55" s="11">
        <f>'balance_raw_80673612'!$D$34</f>
        <v/>
      </c>
      <c r="E55" s="11">
        <f>'balance_raw_80673612'!$E$34</f>
        <v/>
      </c>
      <c r="F55" s="11">
        <f>'balance_raw_80673612'!$F$34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'balance_raw_80673612'!$B$35</f>
        <v/>
      </c>
      <c r="C56" s="8">
        <f>'balance_raw_80673612'!$C$35</f>
        <v/>
      </c>
      <c r="D56" s="8">
        <f>'balance_raw_80673612'!$D$35</f>
        <v/>
      </c>
      <c r="E56" s="8">
        <f>'balance_raw_80673612'!$E$35</f>
        <v/>
      </c>
      <c r="F56" s="8">
        <f>'balance_raw_80673612'!$F$35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'balance_raw_80673612'!$B$36</f>
        <v/>
      </c>
      <c r="C57" s="11">
        <f>'balance_raw_80673612'!$C$36</f>
        <v/>
      </c>
      <c r="D57" s="11">
        <f>'balance_raw_80673612'!$D$36</f>
        <v/>
      </c>
      <c r="E57" s="11">
        <f>'balance_raw_80673612'!$E$36</f>
        <v/>
      </c>
      <c r="F57" s="11">
        <f>'balance_raw_80673612'!$F$36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'balance_raw_80673612'!$B$37</f>
        <v/>
      </c>
      <c r="C58" s="8">
        <f>'balance_raw_80673612'!$C$37</f>
        <v/>
      </c>
      <c r="D58" s="8">
        <f>'balance_raw_80673612'!$D$37</f>
        <v/>
      </c>
      <c r="E58" s="8">
        <f>'balance_raw_80673612'!$E$37</f>
        <v/>
      </c>
      <c r="F58" s="8">
        <f>'balance_raw_80673612'!$F$37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'balance_raw_80673612'!$B$38</f>
        <v/>
      </c>
      <c r="C59" s="11">
        <f>'balance_raw_80673612'!$C$38</f>
        <v/>
      </c>
      <c r="D59" s="11">
        <f>'balance_raw_80673612'!$D$38</f>
        <v/>
      </c>
      <c r="E59" s="11">
        <f>'balance_raw_80673612'!$E$38</f>
        <v/>
      </c>
      <c r="F59" s="11">
        <f>'balance_raw_80673612'!$F$38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'balance_raw_80673612'!$B$39</f>
        <v/>
      </c>
      <c r="C60" s="5">
        <f>'balance_raw_80673612'!$C$39</f>
        <v/>
      </c>
      <c r="D60" s="5">
        <f>'balance_raw_80673612'!$D$39</f>
        <v/>
      </c>
      <c r="E60" s="5">
        <f>'balance_raw_80673612'!$E$39</f>
        <v/>
      </c>
      <c r="F60" s="5">
        <f>'balance_raw_80673612'!$F$39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'balance_raw_80673612'!$B$40</f>
        <v/>
      </c>
      <c r="C61" s="11">
        <f>'balance_raw_80673612'!$C$40</f>
        <v/>
      </c>
      <c r="D61" s="11">
        <f>'balance_raw_80673612'!$D$40</f>
        <v/>
      </c>
      <c r="E61" s="11">
        <f>'balance_raw_80673612'!$E$40</f>
        <v/>
      </c>
      <c r="F61" s="11">
        <f>'balance_raw_80673612'!$F$40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'balance_raw_80673612'!$B$41</f>
        <v/>
      </c>
      <c r="C62" s="5">
        <f>'balance_raw_80673612'!$C$41</f>
        <v/>
      </c>
      <c r="D62" s="5">
        <f>'balance_raw_80673612'!$D$41</f>
        <v/>
      </c>
      <c r="E62" s="5">
        <f>'balance_raw_80673612'!$E$41</f>
        <v/>
      </c>
      <c r="F62" s="5">
        <f>'balance_raw_80673612'!$F$41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'balance_raw_80673612'!$B$42</f>
        <v/>
      </c>
      <c r="C63" s="8">
        <f>'balance_raw_80673612'!$C$42</f>
        <v/>
      </c>
      <c r="D63" s="8">
        <f>'balance_raw_80673612'!$D$42</f>
        <v/>
      </c>
      <c r="E63" s="8">
        <f>'balance_raw_80673612'!$E$42</f>
        <v/>
      </c>
      <c r="F63" s="8">
        <f>'balance_raw_80673612'!$F$42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'balance_raw_80673612'!$B$43</f>
        <v/>
      </c>
      <c r="C64" s="5">
        <f>'balance_raw_80673612'!$C$43</f>
        <v/>
      </c>
      <c r="D64" s="5">
        <f>'balance_raw_80673612'!$D$43</f>
        <v/>
      </c>
      <c r="E64" s="5">
        <f>'balance_raw_80673612'!$E$43</f>
        <v/>
      </c>
      <c r="F64" s="5">
        <f>'balance_raw_80673612'!$F$43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'balance_raw_80673612'!$B$44</f>
        <v/>
      </c>
      <c r="C65" s="11">
        <f>'balance_raw_80673612'!$C$44</f>
        <v/>
      </c>
      <c r="D65" s="11">
        <f>'balance_raw_80673612'!$D$44</f>
        <v/>
      </c>
      <c r="E65" s="11">
        <f>'balance_raw_80673612'!$E$44</f>
        <v/>
      </c>
      <c r="F65" s="11">
        <f>'balance_raw_80673612'!$F$44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'balance_raw_80673612'!$B$45</f>
        <v/>
      </c>
      <c r="C66" s="5">
        <f>'balance_raw_80673612'!$C$45</f>
        <v/>
      </c>
      <c r="D66" s="5">
        <f>'balance_raw_80673612'!$D$45</f>
        <v/>
      </c>
      <c r="E66" s="5">
        <f>'balance_raw_80673612'!$E$45</f>
        <v/>
      </c>
      <c r="F66" s="5">
        <f>'balance_raw_80673612'!$F$45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'balance_raw_80673612'!$B$46</f>
        <v/>
      </c>
      <c r="C67" s="11">
        <f>'balance_raw_80673612'!$C$46</f>
        <v/>
      </c>
      <c r="D67" s="11">
        <f>'balance_raw_80673612'!$D$46</f>
        <v/>
      </c>
      <c r="E67" s="11">
        <f>'balance_raw_80673612'!$E$46</f>
        <v/>
      </c>
      <c r="F67" s="11">
        <f>'balance_raw_80673612'!$F$46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'balance_raw_80673612'!$B$47</f>
        <v/>
      </c>
      <c r="C68" s="5">
        <f>'balance_raw_80673612'!$C$47</f>
        <v/>
      </c>
      <c r="D68" s="5">
        <f>'balance_raw_80673612'!$D$47</f>
        <v/>
      </c>
      <c r="E68" s="5">
        <f>'balance_raw_80673612'!$E$47</f>
        <v/>
      </c>
      <c r="F68" s="5">
        <f>'balance_raw_80673612'!$F$47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'balance_raw_80673612'!$B$48</f>
        <v/>
      </c>
      <c r="C69" s="11">
        <f>'balance_raw_80673612'!$C$48</f>
        <v/>
      </c>
      <c r="D69" s="11">
        <f>'balance_raw_80673612'!$D$48</f>
        <v/>
      </c>
      <c r="E69" s="11">
        <f>'balance_raw_80673612'!$E$48</f>
        <v/>
      </c>
      <c r="F69" s="11">
        <f>'balance_raw_80673612'!$F$48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'balance_raw_80673612'!$B$49</f>
        <v/>
      </c>
      <c r="C70" s="5">
        <f>'balance_raw_80673612'!$C$49</f>
        <v/>
      </c>
      <c r="D70" s="5">
        <f>'balance_raw_80673612'!$D$49</f>
        <v/>
      </c>
      <c r="E70" s="5">
        <f>'balance_raw_80673612'!$E$49</f>
        <v/>
      </c>
      <c r="F70" s="5">
        <f>'balance_raw_80673612'!$F$49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'balance_raw_80673612'!$B$50</f>
        <v/>
      </c>
      <c r="C71" s="11">
        <f>'balance_raw_80673612'!$C$50</f>
        <v/>
      </c>
      <c r="D71" s="11">
        <f>'balance_raw_80673612'!$D$50</f>
        <v/>
      </c>
      <c r="E71" s="11">
        <f>'balance_raw_80673612'!$E$50</f>
        <v/>
      </c>
      <c r="F71" s="11">
        <f>'balance_raw_80673612'!$F$50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'balance_raw_80673612'!$B$51</f>
        <v/>
      </c>
      <c r="C72" s="5">
        <f>'balance_raw_80673612'!$C$51</f>
        <v/>
      </c>
      <c r="D72" s="5">
        <f>'balance_raw_80673612'!$D$51</f>
        <v/>
      </c>
      <c r="E72" s="5">
        <f>'balance_raw_80673612'!$E$51</f>
        <v/>
      </c>
      <c r="F72" s="5">
        <f>'balance_raw_80673612'!$F$51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'balance_raw_80673612'!$B$52</f>
        <v/>
      </c>
      <c r="C73" s="11">
        <f>'balance_raw_80673612'!$C$52</f>
        <v/>
      </c>
      <c r="D73" s="11">
        <f>'balance_raw_80673612'!$D$52</f>
        <v/>
      </c>
      <c r="E73" s="11">
        <f>'balance_raw_80673612'!$E$52</f>
        <v/>
      </c>
      <c r="F73" s="11">
        <f>'balance_raw_80673612'!$F$52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'balance_raw_80673612'!$B$53</f>
        <v/>
      </c>
      <c r="C74" s="5">
        <f>'balance_raw_80673612'!$C$53</f>
        <v/>
      </c>
      <c r="D74" s="5">
        <f>'balance_raw_80673612'!$D$53</f>
        <v/>
      </c>
      <c r="E74" s="5">
        <f>'balance_raw_80673612'!$E$53</f>
        <v/>
      </c>
      <c r="F74" s="5">
        <f>'balance_raw_80673612'!$F$53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'balance_raw_80673612'!$B$54</f>
        <v/>
      </c>
      <c r="C75" s="8">
        <f>'balance_raw_80673612'!$C$54</f>
        <v/>
      </c>
      <c r="D75" s="8">
        <f>'balance_raw_80673612'!$D$54</f>
        <v/>
      </c>
      <c r="E75" s="8">
        <f>'balance_raw_80673612'!$E$54</f>
        <v/>
      </c>
      <c r="F75" s="8">
        <f>'balance_raw_80673612'!$F$54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'balance_raw_80673612'!$B$55</f>
        <v/>
      </c>
      <c r="C76" s="8">
        <f>'balance_raw_80673612'!$C$55</f>
        <v/>
      </c>
      <c r="D76" s="8">
        <f>'balance_raw_80673612'!$D$55</f>
        <v/>
      </c>
      <c r="E76" s="8">
        <f>'balance_raw_80673612'!$E$55</f>
        <v/>
      </c>
      <c r="F76" s="8">
        <f>'balance_raw_80673612'!$F$55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'balance_raw_80673612'!$B$56</f>
        <v/>
      </c>
      <c r="C77" s="8">
        <f>'balance_raw_80673612'!$C$56</f>
        <v/>
      </c>
      <c r="D77" s="8">
        <f>'balance_raw_80673612'!$D$56</f>
        <v/>
      </c>
      <c r="E77" s="8">
        <f>'balance_raw_80673612'!$E$56</f>
        <v/>
      </c>
      <c r="F77" s="8">
        <f>'balance_raw_80673612'!$F$56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'res_raw_80673612'!$B$17</f>
        <v/>
      </c>
      <c r="C80" s="5">
        <f>'res_raw_80673612'!$C$17</f>
        <v/>
      </c>
      <c r="D80" s="5">
        <f>'res_raw_80673612'!$D$17</f>
        <v/>
      </c>
      <c r="E80" s="5">
        <f>'res_raw_80673612'!$E$17</f>
        <v/>
      </c>
      <c r="F80" s="5">
        <f>'res_raw_80673612'!$F$17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'res_raw_80673612'!$B$18</f>
        <v/>
      </c>
      <c r="C81" s="11">
        <f>'res_raw_80673612'!$C$18</f>
        <v/>
      </c>
      <c r="D81" s="11">
        <f>'res_raw_80673612'!$D$18</f>
        <v/>
      </c>
      <c r="E81" s="11">
        <f>'res_raw_80673612'!$E$18</f>
        <v/>
      </c>
      <c r="F81" s="11">
        <f>'res_raw_80673612'!$F$18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IFERROR($B$31/($B$56+$B$63)*100,"")</f>
        <v/>
      </c>
      <c r="C94" s="13">
        <f>IFERROR($C$31/($C$56+$C$63)*100,"")</f>
        <v/>
      </c>
      <c r="D94" s="13">
        <f>IFERROR($D$31/($D$56+$D$63)*100,"")</f>
        <v/>
      </c>
      <c r="E94" s="13">
        <f>IFERROR($E$31/($E$56+$E$63)*100,"")</f>
        <v/>
      </c>
      <c r="F94" s="13">
        <f>IFERROR($F$31/($F$56+$F$63)*100,"")</f>
        <v/>
      </c>
    </row>
    <row r="96">
      <c r="A96" s="15" t="inlineStr">
        <is>
          <t>PENGESTRØMSOPGØRELSE t.kr.</t>
        </is>
      </c>
    </row>
    <row r="97">
      <c r="A97" s="16" t="inlineStr">
        <is>
          <t>Pengestrømme fra driftsaktivitet</t>
        </is>
      </c>
      <c r="B97" s="17">
        <f>'pengestrom_raw_80673612'!$B$2</f>
        <v/>
      </c>
      <c r="C97" s="17">
        <f>'pengestrom_raw_80673612'!$C$2</f>
        <v/>
      </c>
      <c r="D97" s="17">
        <f>'pengestrom_raw_80673612'!$D$2</f>
        <v/>
      </c>
      <c r="E97" s="17">
        <f>'pengestrom_raw_80673612'!$E$2</f>
        <v/>
      </c>
      <c r="F97" s="17">
        <f>'pengestrom_raw_80673612'!$F$2</f>
        <v/>
      </c>
    </row>
    <row r="98">
      <c r="A98" s="16" t="inlineStr">
        <is>
          <t>Pengestrømme fra investeringsaktivitet</t>
        </is>
      </c>
      <c r="B98" s="17">
        <f>'pengestrom_raw_80673612'!$B$3</f>
        <v/>
      </c>
      <c r="C98" s="17">
        <f>'pengestrom_raw_80673612'!$C$3</f>
        <v/>
      </c>
      <c r="D98" s="17">
        <f>'pengestrom_raw_80673612'!$D$3</f>
        <v/>
      </c>
      <c r="E98" s="17">
        <f>'pengestrom_raw_80673612'!$E$3</f>
        <v/>
      </c>
      <c r="F98" s="17">
        <f>'pengestrom_raw_80673612'!$F$3</f>
        <v/>
      </c>
    </row>
    <row r="99">
      <c r="A99" s="16" t="inlineStr">
        <is>
          <t>Pengestrømme fra finansieringsaktivitet</t>
        </is>
      </c>
      <c r="B99" s="17">
        <f>'pengestrom_raw_80673612'!$B$4</f>
        <v/>
      </c>
      <c r="C99" s="17">
        <f>'pengestrom_raw_80673612'!$C$4</f>
        <v/>
      </c>
      <c r="D99" s="17">
        <f>'pengestrom_raw_80673612'!$D$4</f>
        <v/>
      </c>
      <c r="E99" s="17">
        <f>'pengestrom_raw_80673612'!$E$4</f>
        <v/>
      </c>
      <c r="F99" s="17">
        <f>'pengestrom_raw_80673612'!$F$4</f>
        <v/>
      </c>
    </row>
    <row r="100">
      <c r="A100" s="16" t="inlineStr">
        <is>
          <t>Årets pengestrøm (rapporteret)</t>
        </is>
      </c>
      <c r="B100" s="17">
        <f>'pengestrom_raw_80673612'!$B$5</f>
        <v/>
      </c>
      <c r="C100" s="17">
        <f>'pengestrom_raw_80673612'!$C$5</f>
        <v/>
      </c>
      <c r="D100" s="17">
        <f>'pengestrom_raw_80673612'!$D$5</f>
        <v/>
      </c>
      <c r="E100" s="17">
        <f>'pengestrom_raw_80673612'!$E$5</f>
        <v/>
      </c>
      <c r="F100" s="17">
        <f>'pengestrom_raw_80673612'!$F$5</f>
        <v/>
      </c>
    </row>
    <row r="101">
      <c r="A101" s="16" t="inlineStr">
        <is>
          <t>Krydstjek: drift + inv. + fin. = årets pengestrøm</t>
        </is>
      </c>
      <c r="B101">
        <f>IF(ABS(('pengestrom_raw_80673612'!$B$2+'pengestrom_raw_80673612'!$B$3+'pengestrom_raw_80673612'!$B$4)-'pengestrom_raw_80673612'!$B$5)&lt;=2,"✓","⚠ "&amp;TEXT(('pengestrom_raw_80673612'!$B$2+'pengestrom_raw_80673612'!$B$3+'pengestrom_raw_80673612'!$B$4)-'pengestrom_raw_80673612'!$B$5,"+#,##0;-#,##0"))</f>
        <v/>
      </c>
      <c r="C101">
        <f>IF(ABS(('pengestrom_raw_80673612'!$C$2+'pengestrom_raw_80673612'!$C$3+'pengestrom_raw_80673612'!$C$4)-'pengestrom_raw_80673612'!$C$5)&lt;=2,"✓","⚠ "&amp;TEXT(('pengestrom_raw_80673612'!$C$2+'pengestrom_raw_80673612'!$C$3+'pengestrom_raw_80673612'!$C$4)-'pengestrom_raw_80673612'!$C$5,"+#,##0;-#,##0"))</f>
        <v/>
      </c>
      <c r="D101">
        <f>IF(ABS(('pengestrom_raw_80673612'!$D$2+'pengestrom_raw_80673612'!$D$3+'pengestrom_raw_80673612'!$D$4)-'pengestrom_raw_80673612'!$D$5)&lt;=2,"✓","⚠ "&amp;TEXT(('pengestrom_raw_80673612'!$D$2+'pengestrom_raw_80673612'!$D$3+'pengestrom_raw_80673612'!$D$4)-'pengestrom_raw_80673612'!$D$5,"+#,##0;-#,##0"))</f>
        <v/>
      </c>
      <c r="E101">
        <f>IF(ABS(('pengestrom_raw_80673612'!$E$2+'pengestrom_raw_80673612'!$E$3+'pengestrom_raw_80673612'!$E$4)-'pengestrom_raw_80673612'!$E$5)&lt;=2,"✓","⚠ "&amp;TEXT(('pengestrom_raw_80673612'!$E$2+'pengestrom_raw_80673612'!$E$3+'pengestrom_raw_80673612'!$E$4)-'pengestrom_raw_80673612'!$E$5,"+#,##0;-#,##0"))</f>
        <v/>
      </c>
      <c r="F101">
        <f>IF(ABS(('pengestrom_raw_80673612'!$F$2+'pengestrom_raw_80673612'!$F$3+'pengestrom_raw_80673612'!$F$4)-'pengestrom_raw_80673612'!$F$5)&lt;=2,"✓","⚠ "&amp;TEXT(('pengestrom_raw_80673612'!$F$2+'pengestrom_raw_80673612'!$F$3+'pengestrom_raw_80673612'!$F$4)-'pengestrom_raw_80673612'!$F$5,"+#,##0;-#,##0"))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Scanpan A/S (CVR 80673612)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Produktionsomkostninger</t>
        </is>
      </c>
      <c r="B3" s="17" t="n"/>
      <c r="C3" s="17" t="n"/>
      <c r="D3" s="17" t="n"/>
      <c r="E3" s="17" t="n"/>
      <c r="F3" s="17" t="n"/>
    </row>
    <row r="4">
      <c r="A4" s="15" t="inlineStr">
        <is>
          <t>Bruttoresultat</t>
        </is>
      </c>
      <c r="B4" s="17" t="n">
        <v>75873</v>
      </c>
      <c r="C4" s="17" t="n">
        <v>52019</v>
      </c>
      <c r="D4" s="17" t="n">
        <v>31064</v>
      </c>
      <c r="E4" s="17" t="n">
        <v>44876</v>
      </c>
      <c r="F4" s="17" t="n">
        <v>54264</v>
      </c>
    </row>
    <row r="5">
      <c r="A5" s="16" t="inlineStr">
        <is>
          <t>Salgs- og distributionsomkostninger</t>
        </is>
      </c>
      <c r="B5" s="17" t="n">
        <v>26983</v>
      </c>
      <c r="C5" s="17" t="n">
        <v>25379</v>
      </c>
      <c r="D5" s="17" t="n">
        <v>24645</v>
      </c>
      <c r="E5" s="17" t="n">
        <v>26429</v>
      </c>
      <c r="F5" s="17" t="n">
        <v>27637</v>
      </c>
    </row>
    <row r="6">
      <c r="A6" s="16" t="inlineStr">
        <is>
          <t>Administrationsomkostninger</t>
        </is>
      </c>
      <c r="B6" s="17" t="n">
        <v>17351</v>
      </c>
      <c r="C6" s="17" t="n">
        <v>16466</v>
      </c>
      <c r="D6" s="17" t="n">
        <v>19296</v>
      </c>
      <c r="E6" s="17" t="n">
        <v>21534</v>
      </c>
      <c r="F6" s="17" t="n">
        <v>22151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>
        <v>15</v>
      </c>
      <c r="C8" s="17" t="n">
        <v>0</v>
      </c>
      <c r="D8" s="17" t="n">
        <v>4</v>
      </c>
      <c r="E8" s="17" t="n">
        <v>0</v>
      </c>
      <c r="F8" s="17" t="n">
        <v>5</v>
      </c>
    </row>
    <row r="9">
      <c r="A9" s="15" t="inlineStr">
        <is>
          <t>Resultat af primær drift</t>
        </is>
      </c>
      <c r="B9" s="17" t="n">
        <v>31524</v>
      </c>
      <c r="C9" s="17" t="n">
        <v>10175</v>
      </c>
      <c r="D9" s="17" t="n">
        <v>-12881</v>
      </c>
      <c r="E9" s="17" t="n">
        <v>-3088</v>
      </c>
      <c r="F9" s="17" t="n">
        <v>4471</v>
      </c>
    </row>
    <row r="10">
      <c r="A10" s="16" t="inlineStr">
        <is>
          <t>Indtægter af kapitalandele, dattervirksomheder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674</v>
      </c>
      <c r="C11" s="17" t="n">
        <v>664</v>
      </c>
      <c r="D11" s="17" t="n">
        <v>338</v>
      </c>
      <c r="E11" s="17" t="n">
        <v>309</v>
      </c>
      <c r="F11" s="17" t="n">
        <v>509</v>
      </c>
    </row>
    <row r="12">
      <c r="A12" s="16" t="inlineStr">
        <is>
          <t>Finansielle omkostninger</t>
        </is>
      </c>
      <c r="B12" s="17" t="n">
        <v>836</v>
      </c>
      <c r="C12" s="17" t="n">
        <v>1067</v>
      </c>
      <c r="D12" s="17" t="n">
        <v>628</v>
      </c>
      <c r="E12" s="17" t="n">
        <v>1603</v>
      </c>
      <c r="F12" s="17" t="n">
        <v>2502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46170</v>
      </c>
      <c r="C14" s="17" t="n">
        <v>23988</v>
      </c>
      <c r="D14" s="17" t="n">
        <v>-7153</v>
      </c>
      <c r="E14" s="17" t="n">
        <v>1475</v>
      </c>
      <c r="F14" s="17" t="n">
        <v>7257</v>
      </c>
    </row>
    <row r="15">
      <c r="A15" s="16" t="inlineStr">
        <is>
          <t>Skat af årets resultat</t>
        </is>
      </c>
      <c r="B15" s="17" t="n">
        <v>6583</v>
      </c>
      <c r="C15" s="17" t="n">
        <v>2299</v>
      </c>
      <c r="D15" s="17" t="n">
        <v>-2815</v>
      </c>
      <c r="E15" s="17" t="n">
        <v>-723</v>
      </c>
      <c r="F15" s="17" t="n">
        <v>515</v>
      </c>
    </row>
    <row r="16">
      <c r="A16" s="15" t="inlineStr">
        <is>
          <t>Årets resultat</t>
        </is>
      </c>
      <c r="B16" s="17" t="n">
        <v>39587</v>
      </c>
      <c r="C16" s="17" t="n">
        <v>21689</v>
      </c>
      <c r="D16" s="17" t="n">
        <v>-4338</v>
      </c>
      <c r="E16" s="17" t="n">
        <v>2198</v>
      </c>
      <c r="F16" s="17" t="n">
        <v>6742</v>
      </c>
    </row>
    <row r="17">
      <c r="A17" s="16" t="inlineStr">
        <is>
          <t>Gns. antal medarbejdere</t>
        </is>
      </c>
      <c r="B17" s="17" t="n">
        <v>126</v>
      </c>
      <c r="C17" s="17" t="n">
        <v>120</v>
      </c>
      <c r="D17" s="17" t="n">
        <v>107</v>
      </c>
      <c r="E17" s="17" t="n">
        <v>98</v>
      </c>
      <c r="F17" s="17" t="n">
        <v>104</v>
      </c>
    </row>
    <row r="18">
      <c r="A18" s="16" t="inlineStr">
        <is>
          <t>Investering i materielle anlægsaktiver</t>
        </is>
      </c>
      <c r="B18" s="17" t="n">
        <v>4719</v>
      </c>
      <c r="C18" s="17" t="n">
        <v>1831</v>
      </c>
      <c r="D18" s="17" t="n">
        <v>462</v>
      </c>
      <c r="E18" s="17" t="n">
        <v>2585</v>
      </c>
      <c r="F18" s="17" t="n">
        <v>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Scanpan A/S (CVR 80673612)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/>
      <c r="C2" s="17" t="n"/>
      <c r="D2" s="17" t="n"/>
      <c r="E2" s="17" t="n">
        <v>750</v>
      </c>
      <c r="F2" s="17" t="n">
        <v>520</v>
      </c>
    </row>
    <row r="3">
      <c r="A3" s="16" t="inlineStr">
        <is>
          <t>Grunde og bygninger</t>
        </is>
      </c>
      <c r="B3" s="17" t="n">
        <v>9802</v>
      </c>
      <c r="C3" s="17" t="n">
        <v>10123</v>
      </c>
      <c r="D3" s="17" t="n">
        <v>9858</v>
      </c>
      <c r="E3" s="17" t="n">
        <v>9327</v>
      </c>
      <c r="F3" s="17" t="n">
        <v>8796</v>
      </c>
    </row>
    <row r="4">
      <c r="A4" s="16" t="inlineStr">
        <is>
          <t>Produktionsanlæg og maskiner</t>
        </is>
      </c>
      <c r="B4" s="17" t="n">
        <v>4968</v>
      </c>
      <c r="C4" s="17" t="n">
        <v>3870</v>
      </c>
      <c r="D4" s="17" t="n">
        <v>2700</v>
      </c>
      <c r="E4" s="17" t="n">
        <v>1626</v>
      </c>
      <c r="F4" s="17" t="n">
        <v>2308</v>
      </c>
    </row>
    <row r="5">
      <c r="A5" s="16" t="inlineStr">
        <is>
          <t>Driftsmateriel og inventar</t>
        </is>
      </c>
      <c r="B5" s="17" t="n">
        <v>3161</v>
      </c>
      <c r="C5" s="17" t="n">
        <v>2074</v>
      </c>
      <c r="D5" s="17" t="n">
        <v>998</v>
      </c>
      <c r="E5" s="17" t="n">
        <v>2263</v>
      </c>
      <c r="F5" s="17" t="n">
        <v>1422</v>
      </c>
    </row>
    <row r="6">
      <c r="A6" s="16" t="inlineStr">
        <is>
          <t>Indretning af lejede lokaler</t>
        </is>
      </c>
      <c r="B6" s="17" t="n">
        <v>1904</v>
      </c>
      <c r="C6" s="17" t="n">
        <v>1425</v>
      </c>
      <c r="D6" s="17" t="n">
        <v>1050</v>
      </c>
      <c r="E6" s="17" t="n">
        <v>736</v>
      </c>
      <c r="F6" s="17" t="n">
        <v>449</v>
      </c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19834</v>
      </c>
      <c r="C8" s="17" t="n">
        <v>17492</v>
      </c>
      <c r="D8" s="17" t="n">
        <v>14607</v>
      </c>
      <c r="E8" s="17" t="n">
        <v>13952</v>
      </c>
      <c r="F8" s="17" t="n">
        <v>12974</v>
      </c>
    </row>
    <row r="9">
      <c r="A9" s="16" t="inlineStr">
        <is>
          <t>Kapitalandele, dattervirksomheder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</row>
    <row r="10">
      <c r="A10" s="16" t="inlineStr">
        <is>
          <t>Deposita</t>
        </is>
      </c>
      <c r="B10" s="17" t="n">
        <v>768</v>
      </c>
      <c r="C10" s="17" t="n">
        <v>858</v>
      </c>
      <c r="D10" s="17" t="n">
        <v>852</v>
      </c>
      <c r="E10" s="17" t="n">
        <v>851</v>
      </c>
      <c r="F10" s="17" t="n">
        <v>851</v>
      </c>
    </row>
    <row r="11">
      <c r="A11" s="15" t="inlineStr">
        <is>
          <t>Finansielle anlægsaktiver</t>
        </is>
      </c>
      <c r="B11" s="17" t="n">
        <v>45793</v>
      </c>
      <c r="C11" s="17" t="n">
        <v>46059</v>
      </c>
      <c r="D11" s="17" t="n">
        <v>40745</v>
      </c>
      <c r="E11" s="17" t="n">
        <v>49360</v>
      </c>
      <c r="F11" s="17" t="n">
        <v>43734</v>
      </c>
    </row>
    <row r="12">
      <c r="A12" s="15" t="inlineStr">
        <is>
          <t>Anlægsaktiver</t>
        </is>
      </c>
      <c r="B12" s="17" t="n">
        <v>65627</v>
      </c>
      <c r="C12" s="17" t="n">
        <v>63551</v>
      </c>
      <c r="D12" s="17" t="n">
        <v>55352</v>
      </c>
      <c r="E12" s="17" t="n">
        <v>64062</v>
      </c>
      <c r="F12" s="17" t="n">
        <v>57228</v>
      </c>
    </row>
    <row r="13">
      <c r="A13" s="16" t="inlineStr">
        <is>
          <t>Råvarer og hjælpematerialer</t>
        </is>
      </c>
      <c r="B13" s="17" t="n">
        <v>31701</v>
      </c>
      <c r="C13" s="17" t="n">
        <v>29329</v>
      </c>
      <c r="D13" s="17" t="n">
        <v>22573</v>
      </c>
      <c r="E13" s="17" t="n">
        <v>27079</v>
      </c>
      <c r="F13" s="17" t="n">
        <v>27956</v>
      </c>
    </row>
    <row r="14">
      <c r="A14" s="16" t="inlineStr">
        <is>
          <t>Varer under fremstilling</t>
        </is>
      </c>
      <c r="B14" s="17" t="n">
        <v>7155</v>
      </c>
      <c r="C14" s="17" t="n">
        <v>7196</v>
      </c>
      <c r="D14" s="17" t="n">
        <v>8674</v>
      </c>
      <c r="E14" s="17" t="n">
        <v>7935</v>
      </c>
      <c r="F14" s="17" t="n">
        <v>7972</v>
      </c>
    </row>
    <row r="15">
      <c r="A15" s="16" t="inlineStr">
        <is>
          <t>Færdigvarer og handelsvarer</t>
        </is>
      </c>
      <c r="B15" s="17" t="n">
        <v>24519</v>
      </c>
      <c r="C15" s="17" t="n">
        <v>37011</v>
      </c>
      <c r="D15" s="17" t="n">
        <v>35611</v>
      </c>
      <c r="E15" s="17" t="n">
        <v>33732</v>
      </c>
      <c r="F15" s="17" t="n">
        <v>38552</v>
      </c>
    </row>
    <row r="16">
      <c r="A16" s="15" t="inlineStr">
        <is>
          <t>Varebeholdninger</t>
        </is>
      </c>
      <c r="B16" s="17" t="n">
        <v>63375</v>
      </c>
      <c r="C16" s="17" t="n">
        <v>73536</v>
      </c>
      <c r="D16" s="17" t="n">
        <v>66858</v>
      </c>
      <c r="E16" s="17" t="n">
        <v>68747</v>
      </c>
      <c r="F16" s="17" t="n">
        <v>74480</v>
      </c>
    </row>
    <row r="17">
      <c r="A17" s="16" t="inlineStr">
        <is>
          <t>Tilgodehavender fra salg og tjenesteydelser</t>
        </is>
      </c>
      <c r="B17" s="17" t="n">
        <v>33119</v>
      </c>
      <c r="C17" s="17" t="n">
        <v>25329</v>
      </c>
      <c r="D17" s="17" t="n">
        <v>25076</v>
      </c>
      <c r="E17" s="17" t="n">
        <v>24017</v>
      </c>
      <c r="F17" s="17" t="n">
        <v>28227</v>
      </c>
    </row>
    <row r="18">
      <c r="A18" s="16" t="inlineStr">
        <is>
          <t>Tilgodehavender hos tilknyttede virksomheder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</row>
    <row r="19">
      <c r="A19" s="16" t="inlineStr">
        <is>
          <t>Andre tilgodehavender</t>
        </is>
      </c>
      <c r="B19" s="17" t="n">
        <v>728</v>
      </c>
      <c r="C19" s="17" t="n">
        <v>28</v>
      </c>
      <c r="D19" s="17" t="n">
        <v>2745</v>
      </c>
      <c r="E19" s="17" t="n">
        <v>990</v>
      </c>
      <c r="F19" s="17" t="n">
        <v>1604</v>
      </c>
    </row>
    <row r="20">
      <c r="A20" s="16" t="inlineStr">
        <is>
          <t>Periodeafgrænsningsposter (aktiver)</t>
        </is>
      </c>
      <c r="B20" s="17" t="n">
        <v>1473</v>
      </c>
      <c r="C20" s="17" t="n">
        <v>236</v>
      </c>
      <c r="D20" s="17" t="n">
        <v>176</v>
      </c>
      <c r="E20" s="17" t="n">
        <v>522</v>
      </c>
      <c r="F20" s="17" t="n">
        <v>397</v>
      </c>
    </row>
    <row r="21">
      <c r="A21" s="16" t="inlineStr">
        <is>
          <t>Udskudt skatteaktiv</t>
        </is>
      </c>
      <c r="B21" s="17" t="n"/>
      <c r="C21" s="17" t="n"/>
      <c r="D21" s="17" t="n">
        <v>2104</v>
      </c>
      <c r="E21" s="17" t="n">
        <v>2912</v>
      </c>
      <c r="F21" s="17" t="n">
        <v>2480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/>
      <c r="D23" s="17" t="n">
        <v>94</v>
      </c>
      <c r="E23" s="17" t="n">
        <v>534</v>
      </c>
      <c r="F23" s="17" t="n">
        <v>267</v>
      </c>
    </row>
    <row r="24">
      <c r="A24" s="15" t="inlineStr">
        <is>
          <t>Tilgodehavender</t>
        </is>
      </c>
      <c r="B24" s="17" t="n">
        <v>40981</v>
      </c>
      <c r="C24" s="17" t="n">
        <v>26347</v>
      </c>
      <c r="D24" s="17" t="n">
        <v>34743</v>
      </c>
      <c r="E24" s="17" t="n">
        <v>33480</v>
      </c>
      <c r="F24" s="17" t="n">
        <v>34182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24104</v>
      </c>
      <c r="C26" s="17" t="n">
        <v>18311</v>
      </c>
      <c r="D26" s="17" t="n">
        <v>25798</v>
      </c>
      <c r="E26" s="17" t="n">
        <v>32459</v>
      </c>
      <c r="F26" s="17" t="n">
        <v>22306</v>
      </c>
    </row>
    <row r="27">
      <c r="A27" s="15" t="inlineStr">
        <is>
          <t>Omsætningsaktiver</t>
        </is>
      </c>
      <c r="B27" s="17" t="n">
        <v>128461</v>
      </c>
      <c r="C27" s="17" t="n">
        <v>118195</v>
      </c>
      <c r="D27" s="17" t="n">
        <v>127399</v>
      </c>
      <c r="E27" s="17" t="n">
        <v>134685</v>
      </c>
      <c r="F27" s="17" t="n">
        <v>130968</v>
      </c>
    </row>
    <row r="28">
      <c r="A28" s="15" t="inlineStr">
        <is>
          <t>Aktiver</t>
        </is>
      </c>
      <c r="B28" s="17" t="n">
        <v>194088</v>
      </c>
      <c r="C28" s="17" t="n">
        <v>181746</v>
      </c>
      <c r="D28" s="17" t="n">
        <v>182751</v>
      </c>
      <c r="E28" s="17" t="n">
        <v>198748</v>
      </c>
      <c r="F28" s="17" t="n">
        <v>188196</v>
      </c>
    </row>
    <row r="29">
      <c r="A29" s="16" t="inlineStr">
        <is>
          <t>Selskabskapital</t>
        </is>
      </c>
      <c r="B29" s="17" t="n">
        <v>1000</v>
      </c>
      <c r="C29" s="17" t="n">
        <v>1000</v>
      </c>
      <c r="D29" s="17" t="n">
        <v>1000</v>
      </c>
      <c r="E29" s="17" t="n">
        <v>1000</v>
      </c>
      <c r="F29" s="17" t="n">
        <v>1000</v>
      </c>
    </row>
    <row r="30">
      <c r="A30" s="16" t="inlineStr">
        <is>
          <t>Reserve for nettoopskrivning (indre værdis metode)</t>
        </is>
      </c>
      <c r="B30" s="17" t="n">
        <v>55200</v>
      </c>
      <c r="C30" s="17" t="n">
        <v>56809</v>
      </c>
      <c r="D30" s="17" t="n">
        <v>34732</v>
      </c>
      <c r="E30" s="17" t="n">
        <v>43348</v>
      </c>
      <c r="F30" s="17" t="n">
        <v>37722</v>
      </c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>
        <v>131</v>
      </c>
      <c r="C32" s="17" t="n">
        <v>0</v>
      </c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64913</v>
      </c>
      <c r="C34" s="17" t="n">
        <v>89365</v>
      </c>
      <c r="D34" s="17" t="n">
        <v>105227</v>
      </c>
      <c r="E34" s="17" t="n">
        <v>92146</v>
      </c>
      <c r="F34" s="17" t="n">
        <v>87989</v>
      </c>
    </row>
    <row r="35">
      <c r="A35" s="15" t="inlineStr">
        <is>
          <t>Egenkapital i alt</t>
        </is>
      </c>
      <c r="B35" s="17" t="n">
        <v>125244</v>
      </c>
      <c r="C35" s="17" t="n">
        <v>147174</v>
      </c>
      <c r="D35" s="17" t="n">
        <v>140959</v>
      </c>
      <c r="E35" s="17" t="n">
        <v>146494</v>
      </c>
      <c r="F35" s="17" t="n">
        <v>136711</v>
      </c>
    </row>
    <row r="36">
      <c r="A36" s="16" t="inlineStr">
        <is>
          <t>Hensættelse til udskudt skat</t>
        </is>
      </c>
      <c r="B36" s="17" t="n">
        <v>607</v>
      </c>
      <c r="C36" s="17" t="n">
        <v>727</v>
      </c>
      <c r="D36" s="17" t="n">
        <v>0</v>
      </c>
      <c r="E36" s="17" t="n">
        <v>2104</v>
      </c>
      <c r="F36" s="17" t="n">
        <v>2912</v>
      </c>
    </row>
    <row r="37">
      <c r="A37" s="15" t="inlineStr">
        <is>
          <t>Hensatte forpligtelser</t>
        </is>
      </c>
      <c r="B37" s="17" t="n">
        <v>2774</v>
      </c>
      <c r="C37" s="17" t="n">
        <v>2934</v>
      </c>
      <c r="D37" s="17" t="n">
        <v>2000</v>
      </c>
      <c r="E37" s="17" t="n">
        <v>1866</v>
      </c>
      <c r="F37" s="17" t="n">
        <v>1786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4203</v>
      </c>
      <c r="C39" s="17" t="n">
        <v>0</v>
      </c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2073</v>
      </c>
      <c r="C40" s="17" t="n">
        <v>1182</v>
      </c>
      <c r="D40" s="17" t="n">
        <v>193</v>
      </c>
      <c r="E40" s="17" t="n">
        <v>1908</v>
      </c>
      <c r="F40" s="17" t="n">
        <v>269</v>
      </c>
    </row>
    <row r="41">
      <c r="A41" s="16" t="inlineStr">
        <is>
          <t>Anden gæld (langfristet)</t>
        </is>
      </c>
      <c r="B41" s="17" t="n">
        <v>4376</v>
      </c>
      <c r="C41" s="17" t="n">
        <v>4468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10652</v>
      </c>
      <c r="C42" s="17" t="n">
        <v>5650</v>
      </c>
      <c r="D42" s="17" t="n">
        <v>4770</v>
      </c>
      <c r="E42" s="17" t="n">
        <v>6481</v>
      </c>
      <c r="F42" s="17" t="n">
        <v>4841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>
        <v>1262</v>
      </c>
      <c r="C44" s="17" t="n">
        <v>369</v>
      </c>
      <c r="D44" s="17" t="n">
        <v>302</v>
      </c>
      <c r="E44" s="17" t="n">
        <v>221</v>
      </c>
      <c r="F44" s="17" t="n">
        <v>951</v>
      </c>
    </row>
    <row r="45">
      <c r="A45" s="16" t="inlineStr">
        <is>
          <t>Kreditinstitutter</t>
        </is>
      </c>
      <c r="B45" s="17" t="n">
        <v>12972</v>
      </c>
      <c r="C45" s="17" t="n">
        <v>3395</v>
      </c>
      <c r="D45" s="17" t="n">
        <v>8988</v>
      </c>
      <c r="E45" s="17" t="n">
        <v>25002</v>
      </c>
      <c r="F45" s="17" t="n">
        <v>22103</v>
      </c>
    </row>
    <row r="46">
      <c r="A46" s="16" t="inlineStr">
        <is>
          <t>Leasingforpligtelser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Leverandører af varer og tjenesteydelser</t>
        </is>
      </c>
      <c r="B47" s="17" t="n">
        <v>19187</v>
      </c>
      <c r="C47" s="17" t="n">
        <v>7403</v>
      </c>
      <c r="D47" s="17" t="n">
        <v>12231</v>
      </c>
      <c r="E47" s="17" t="n">
        <v>6616</v>
      </c>
      <c r="F47" s="17" t="n">
        <v>13359</v>
      </c>
    </row>
    <row r="48">
      <c r="A48" s="16" t="inlineStr">
        <is>
          <t>Gæld til tilknyttede virksomheder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>
        <v>6573</v>
      </c>
      <c r="C50" s="17" t="n">
        <v>2202</v>
      </c>
      <c r="D50" s="17" t="n">
        <v>0</v>
      </c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14901</v>
      </c>
      <c r="C52" s="17" t="n">
        <v>12572</v>
      </c>
      <c r="D52" s="17" t="n">
        <v>13292</v>
      </c>
      <c r="E52" s="17" t="n">
        <v>11934</v>
      </c>
      <c r="F52" s="17" t="n">
        <v>8223</v>
      </c>
    </row>
    <row r="53">
      <c r="A53" s="16" t="inlineStr">
        <is>
          <t>Periodeafgrænsningsposter (passiver)</t>
        </is>
      </c>
      <c r="B53" s="17" t="n">
        <v>401</v>
      </c>
      <c r="C53" s="17" t="n">
        <v>47</v>
      </c>
      <c r="D53" s="17" t="n">
        <v>209</v>
      </c>
      <c r="E53" s="17" t="n">
        <v>133</v>
      </c>
      <c r="F53" s="17" t="n">
        <v>220</v>
      </c>
    </row>
    <row r="54">
      <c r="A54" s="15" t="inlineStr">
        <is>
          <t>Kortfristede gældsforpligtelser</t>
        </is>
      </c>
      <c r="B54" s="17" t="n">
        <v>55418</v>
      </c>
      <c r="C54" s="17" t="n">
        <v>25988</v>
      </c>
      <c r="D54" s="17" t="n">
        <v>35022</v>
      </c>
      <c r="E54" s="17" t="n">
        <v>43907</v>
      </c>
      <c r="F54" s="17" t="n">
        <v>44857</v>
      </c>
    </row>
    <row r="55">
      <c r="A55" s="15" t="inlineStr">
        <is>
          <t>Gældsforpligtelser</t>
        </is>
      </c>
      <c r="B55" s="17" t="n">
        <v>66070</v>
      </c>
      <c r="C55" s="17" t="n">
        <v>31637</v>
      </c>
      <c r="D55" s="17" t="n">
        <v>39792</v>
      </c>
      <c r="E55" s="17" t="n">
        <v>50388</v>
      </c>
      <c r="F55" s="17" t="n">
        <v>49698</v>
      </c>
    </row>
    <row r="56">
      <c r="A56" s="15" t="inlineStr">
        <is>
          <t>Passiver</t>
        </is>
      </c>
      <c r="B56" s="17" t="n">
        <v>194088</v>
      </c>
      <c r="C56" s="17" t="n">
        <v>181746</v>
      </c>
      <c r="D56" s="17" t="n">
        <v>182751</v>
      </c>
      <c r="E56" s="17" t="n">
        <v>198748</v>
      </c>
      <c r="F56" s="17" t="n">
        <v>188196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Scanpan A/S (CVR 80673612)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-602</v>
      </c>
      <c r="C2" s="17" t="n">
        <v>-5340</v>
      </c>
      <c r="D2" s="17" t="n">
        <v>-6923</v>
      </c>
      <c r="E2" s="17" t="n">
        <v>-7788</v>
      </c>
      <c r="F2" s="17" t="n">
        <v>27</v>
      </c>
    </row>
    <row r="3">
      <c r="A3" s="16" t="inlineStr">
        <is>
          <t>Pengestrømme fra investeringsaktivitet</t>
        </is>
      </c>
      <c r="B3" s="17" t="n">
        <v>11016</v>
      </c>
      <c r="C3" s="17" t="n">
        <v>16101</v>
      </c>
      <c r="D3" s="17" t="n">
        <v>9873</v>
      </c>
      <c r="E3" s="17" t="n">
        <v>-3375</v>
      </c>
      <c r="F3" s="17" t="n">
        <v>3628</v>
      </c>
    </row>
    <row r="4">
      <c r="A4" s="16" t="inlineStr">
        <is>
          <t>Pengestrømme fra finansieringsaktivitet</t>
        </is>
      </c>
      <c r="B4" s="17" t="n">
        <v>-1144</v>
      </c>
      <c r="C4" s="17" t="n">
        <v>-16554</v>
      </c>
      <c r="D4" s="17" t="n">
        <v>4537</v>
      </c>
      <c r="E4" s="17" t="n">
        <v>17824</v>
      </c>
      <c r="F4" s="17" t="n">
        <v>-13808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Scanpan A/S (CVR 80673612) — Regnskabs- og nøgletal (CVR: 80673612)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'res_raw_80673612'!$F$2</f>
        <v/>
      </c>
      <c r="C5" s="24">
        <f>'res_raw_80673612'!$E$2</f>
        <v/>
      </c>
      <c r="D5" s="24">
        <f>'res_raw_80673612'!$D$2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-'res_raw_80673612'!$F$3</f>
        <v/>
      </c>
      <c r="C6" s="24">
        <f>-'res_raw_80673612'!$E$3</f>
        <v/>
      </c>
      <c r="D6" s="24">
        <f>-'res_raw_80673612'!$D$3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-'res_raw_80673612'!$F$5</f>
        <v/>
      </c>
      <c r="C8" s="24">
        <f>-'res_raw_80673612'!$E$5</f>
        <v/>
      </c>
      <c r="D8" s="24">
        <f>-'res_raw_80673612'!$D$5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-'res_raw_80673612'!$F$6</f>
        <v/>
      </c>
      <c r="C9" s="24">
        <f>-'res_raw_80673612'!$E$6</f>
        <v/>
      </c>
      <c r="D9" s="24">
        <f>-'res_raw_80673612'!$D$6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'res_raw_80673612'!$F$7</f>
        <v/>
      </c>
      <c r="C10" s="24">
        <f>'res_raw_80673612'!$E$7</f>
        <v/>
      </c>
      <c r="D10" s="24">
        <f>'res_raw_80673612'!$D$7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-'res_raw_80673612'!$F$8</f>
        <v/>
      </c>
      <c r="C11" s="24">
        <f>-'res_raw_80673612'!$E$8</f>
        <v/>
      </c>
      <c r="D11" s="24">
        <f>-'res_raw_80673612'!$D$8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N('res_raw_80673612'!$F$10)+N('res_raw_80673612'!$F$11)</f>
        <v/>
      </c>
      <c r="C13" s="24">
        <f>N('res_raw_80673612'!$E$10)+N('res_raw_80673612'!$E$11)</f>
        <v/>
      </c>
      <c r="D13" s="24">
        <f>N('res_raw_80673612'!$D$10)+N('res_raw_80673612'!$D$11)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-'res_raw_80673612'!$F$12</f>
        <v/>
      </c>
      <c r="C14" s="24">
        <f>-'res_raw_80673612'!$E$12</f>
        <v/>
      </c>
      <c r="D14" s="24">
        <f>-'res_raw_80673612'!$D$12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'balance_raw_80673612'!$F$12</f>
        <v/>
      </c>
      <c r="C18" s="24">
        <f>'balance_raw_80673612'!$E$12</f>
        <v/>
      </c>
      <c r="D18" s="24">
        <f>'balance_raw_80673612'!$D$12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'balance_raw_80673612'!$F$27</f>
        <v/>
      </c>
      <c r="C19" s="24">
        <f>'balance_raw_80673612'!$E$27</f>
        <v/>
      </c>
      <c r="D19" s="24">
        <f>'balance_raw_80673612'!$D$27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'balance_raw_80673612'!$F$35</f>
        <v/>
      </c>
      <c r="C22" s="24">
        <f>'balance_raw_80673612'!$E$35</f>
        <v/>
      </c>
      <c r="D22" s="24">
        <f>'balance_raw_80673612'!$D$35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'balance_raw_80673612'!$F$56-'balance_raw_80673612'!$F$35</f>
        <v/>
      </c>
      <c r="C23" s="24">
        <f>'balance_raw_80673612'!$E$56-'balance_raw_80673612'!$E$35</f>
        <v/>
      </c>
      <c r="D23" s="24">
        <f>'balance_raw_80673612'!$D$56-'balance_raw_80673612'!$D$35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'balance_raw_80673612'!$F$16</f>
        <v/>
      </c>
      <c r="C27" s="24">
        <f>'balance_raw_80673612'!$E$16</f>
        <v/>
      </c>
      <c r="D27" s="24">
        <f>'balance_raw_80673612'!$D$16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'balance_raw_80673612'!$F$17</f>
        <v/>
      </c>
      <c r="C28" s="24">
        <f>'balance_raw_80673612'!$E$17</f>
        <v/>
      </c>
      <c r="D28" s="24">
        <f>'balance_raw_80673612'!$D$17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'balance_raw_80673612'!$F$54</f>
        <v/>
      </c>
      <c r="C29" s="24">
        <f>'balance_raw_80673612'!$E$54</f>
        <v/>
      </c>
      <c r="D29" s="24">
        <f>'balance_raw_80673612'!$D$54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IF('balance_raw_80673612'!$F$28="","—",IF(ABS(B20-'balance_raw_80673612'!$F$28)&lt;=1,"✓ OK","❌ "&amp;TEXT(B20-'balance_raw_80673612'!$F$28,"+#,##0;-#,##0")&amp;" t.kr."))</f>
        <v/>
      </c>
      <c r="C60" s="29">
        <f>IF('balance_raw_80673612'!$E$28="","—",IF(ABS(C20-'balance_raw_80673612'!$E$28)&lt;=1,"✓ OK","❌ "&amp;TEXT(C20-'balance_raw_80673612'!$E$28,"+#,##0;-#,##0")&amp;" t.kr."))</f>
        <v/>
      </c>
      <c r="D60" s="29">
        <f>IF('balance_raw_80673612'!$D$28="","—",IF(ABS(D20-'balance_raw_80673612'!$D$28)&lt;=1,"✓ OK","❌ "&amp;TEXT(D20-'balance_raw_80673612'!$D$28,"+#,##0;-#,##0")&amp;"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IF('balance_raw_80673612'!$F$56="","—",IF(ABS(B24-'balance_raw_80673612'!$F$56)&lt;=1,"✓ OK","❌ "&amp;TEXT(B24-'balance_raw_80673612'!$F$56,"+#,##0;-#,##0")&amp;" t.kr."))</f>
        <v/>
      </c>
      <c r="C61" s="29">
        <f>IF('balance_raw_80673612'!$E$56="","—",IF(ABS(C24-'balance_raw_80673612'!$E$56)&lt;=1,"✓ OK","❌ "&amp;TEXT(C24-'balance_raw_80673612'!$E$56,"+#,##0;-#,##0")&amp;" t.kr."))</f>
        <v/>
      </c>
      <c r="D61" s="29">
        <f>IF('balance_raw_80673612'!$D$56="","—",IF(ABS(D24-'balance_raw_80673612'!$D$56)&lt;=1,"✓ OK","❌ "&amp;TEXT(D24-'balance_raw_80673612'!$D$56,"+#,##0;-#,##0")&amp;"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IF('res_raw_80673612'!$F$4="","—",IF(ABS(B7-'res_raw_80673612'!$F$4)&lt;=1,"✓ OK","❌ "&amp;TEXT(B7-'res_raw_80673612'!$F$4,"+#,##0;-#,##0")&amp;" t.kr."))</f>
        <v/>
      </c>
      <c r="C63" s="29">
        <f>IF('res_raw_80673612'!$E$4="","—",IF(ABS(C7-'res_raw_80673612'!$E$4)&lt;=1,"✓ OK","❌ "&amp;TEXT(C7-'res_raw_80673612'!$E$4,"+#,##0;-#,##0")&amp;" t.kr."))</f>
        <v/>
      </c>
      <c r="D63" s="29">
        <f>IF('res_raw_80673612'!$D$4="","—",IF(ABS(D7-'res_raw_80673612'!$D$4)&lt;=1,"✓ OK","❌ "&amp;TEXT(D7-'res_raw_80673612'!$D$4,"+#,##0;-#,##0")&amp;"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IF('res_raw_80673612'!$F$9="","—",IF(ABS(B12-'res_raw_80673612'!$F$9)&lt;=1,"✓ OK","❌ "&amp;TEXT(B12-'res_raw_80673612'!$F$9,"+#,##0;-#,##0")&amp;" t.kr."))</f>
        <v/>
      </c>
      <c r="C64" s="29">
        <f>IF('res_raw_80673612'!$E$9="","—",IF(ABS(C12-'res_raw_80673612'!$E$9)&lt;=1,"✓ OK","❌ "&amp;TEXT(C12-'res_raw_80673612'!$E$9,"+#,##0;-#,##0")&amp;" t.kr."))</f>
        <v/>
      </c>
      <c r="D64" s="29">
        <f>IF('res_raw_80673612'!$D$9="","—",IF(ABS(D12-'res_raw_80673612'!$D$9)&lt;=1,"✓ OK","❌ "&amp;TEXT(D12-'res_raw_80673612'!$D$9,"+#,##0;-#,##0")&amp;"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IF('res_raw_80673612'!$F$14="","—",IF(ABS(B15-'res_raw_80673612'!$F$14)&lt;=1,"✓ OK","❌ "&amp;TEXT(B15-'res_raw_80673612'!$F$14,"+#,##0;-#,##0")&amp;" t.kr."))</f>
        <v/>
      </c>
      <c r="C65" s="29">
        <f>IF('res_raw_80673612'!$E$14="","—",IF(ABS(C15-'res_raw_80673612'!$E$14)&lt;=1,"✓ OK","❌ "&amp;TEXT(C15-'res_raw_80673612'!$E$14,"+#,##0;-#,##0")&amp;" t.kr."))</f>
        <v/>
      </c>
      <c r="D65" s="29">
        <f>IF('res_raw_80673612'!$D$14="","—",IF(ABS(D15-'res_raw_80673612'!$D$14)&lt;=1,"✓ OK","❌ "&amp;TEXT(D15-'res_raw_80673612'!$D$14,"+#,##0;-#,##0")&amp;"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Scanpan A/S (CVR 80673612)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>
        <v>8</v>
      </c>
      <c r="E3" s="35" t="n">
        <v>217</v>
      </c>
      <c r="F3" s="35" t="n">
        <v>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fsa:Loans</t>
        </is>
      </c>
      <c r="C4" s="37" t="inlineStr">
        <is>
          <t>fsa:Loans</t>
        </is>
      </c>
      <c r="D4" s="38" t="n">
        <v>-50</v>
      </c>
      <c r="E4" s="38" t="n">
        <v>-90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fsa:RaisingOfLongtermDebt</t>
        </is>
      </c>
      <c r="C5" s="34" t="inlineStr">
        <is>
          <t>fsa:RaisingOfLongtermDebt</t>
        </is>
      </c>
      <c r="D5" s="35" t="n"/>
      <c r="E5" s="35" t="n"/>
      <c r="F5" s="35" t="n"/>
      <c r="G5" s="35" t="n">
        <v>1715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fsa:ReductionOfLeaseCommitments</t>
        </is>
      </c>
      <c r="C6" s="37" t="inlineStr">
        <is>
          <t>fsa:ReductionOfLeaseCommitments</t>
        </is>
      </c>
      <c r="D6" s="38" t="n">
        <v>-1810</v>
      </c>
      <c r="E6" s="38" t="n">
        <v>-1236</v>
      </c>
      <c r="F6" s="38" t="n">
        <v>-741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fsa:RepaymentOfMortgageDebt</t>
        </is>
      </c>
      <c r="C7" s="34" t="inlineStr">
        <is>
          <t>fsa:RepaymentOfMortgageDebt</t>
        </is>
      </c>
      <c r="D7" s="35" t="n">
        <v>-335</v>
      </c>
      <c r="E7" s="35" t="n">
        <v>-4203</v>
      </c>
      <c r="F7" s="35" t="n">
        <v>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fsa:ShorttermPayablesToAssociates</t>
        </is>
      </c>
      <c r="C8" s="37" t="inlineStr">
        <is>
          <t>fsa:ShorttermPayablesToAssociates</t>
        </is>
      </c>
      <c r="D8" s="38" t="n">
        <v>122</v>
      </c>
      <c r="E8" s="38" t="n">
        <v>0</v>
      </c>
      <c r="F8" s="38" t="n"/>
      <c r="G8" s="38" t="n"/>
      <c r="H8" s="38" t="n"/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2026-09-11T07:37:55Z</dcterms:created>
  <dcterms:modified xmlns:dcterms="http://purl.org/dc/terms/" xmlns:xsi="http://www.w3.org/2001/XMLSchema-instance" xsi:type="dcterms:W3CDTF">2026-09-11T07:37:55Z</dcterms:modified>
</cp:coreProperties>
</file>