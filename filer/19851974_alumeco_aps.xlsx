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851974" sheetId="1" state="visible" r:id="rId1"/>
    <sheet xmlns:r="http://schemas.openxmlformats.org/officeDocument/2006/relationships" name="res_raw_19851974" sheetId="2" state="visible" r:id="rId2"/>
    <sheet xmlns:r="http://schemas.openxmlformats.org/officeDocument/2006/relationships" name="balance_raw_1985197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Alumeco ApS (CVR 19851974)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'res_raw_19851974'!$B$2</f>
        <v/>
      </c>
      <c r="C4" s="5">
        <f>'res_raw_19851974'!$C$2</f>
        <v/>
      </c>
      <c r="D4" s="5">
        <f>'res_raw_19851974'!$D$2</f>
        <v/>
      </c>
      <c r="E4" s="5">
        <f>'res_raw_19851974'!$E$2</f>
        <v/>
      </c>
      <c r="F4" s="5">
        <f>'res_raw_19851974'!$F$2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'res_raw_19851974'!$B$3</f>
        <v/>
      </c>
      <c r="C5" s="8">
        <f>'res_raw_19851974'!$C$3</f>
        <v/>
      </c>
      <c r="D5" s="8">
        <f>'res_raw_19851974'!$D$3</f>
        <v/>
      </c>
      <c r="E5" s="8">
        <f>'res_raw_19851974'!$E$3</f>
        <v/>
      </c>
      <c r="F5" s="8">
        <f>'res_raw_19851974'!$F$3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'res_raw_19851974'!$B$4</f>
        <v/>
      </c>
      <c r="C6" s="5">
        <f>'res_raw_19851974'!$C$4</f>
        <v/>
      </c>
      <c r="D6" s="5">
        <f>'res_raw_19851974'!$D$4</f>
        <v/>
      </c>
      <c r="E6" s="5">
        <f>'res_raw_19851974'!$E$4</f>
        <v/>
      </c>
      <c r="F6" s="5">
        <f>'res_raw_19851974'!$F$4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'res_raw_19851974'!$B$5</f>
        <v/>
      </c>
      <c r="C7" s="8">
        <f>'res_raw_19851974'!$C$5</f>
        <v/>
      </c>
      <c r="D7" s="8">
        <f>'res_raw_19851974'!$D$5</f>
        <v/>
      </c>
      <c r="E7" s="8">
        <f>'res_raw_19851974'!$E$5</f>
        <v/>
      </c>
      <c r="F7" s="8">
        <f>'res_raw_19851974'!$F$5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'res_raw_19851974'!$B$6</f>
        <v/>
      </c>
      <c r="C8" s="11">
        <f>'res_raw_19851974'!$C$6</f>
        <v/>
      </c>
      <c r="D8" s="11">
        <f>'res_raw_19851974'!$D$6</f>
        <v/>
      </c>
      <c r="E8" s="11">
        <f>'res_raw_19851974'!$E$6</f>
        <v/>
      </c>
      <c r="F8" s="11">
        <f>'res_raw_19851974'!$F$6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'res_raw_19851974'!$B$7</f>
        <v/>
      </c>
      <c r="C9" s="8">
        <f>'res_raw_19851974'!$C$7</f>
        <v/>
      </c>
      <c r="D9" s="8">
        <f>'res_raw_19851974'!$D$7</f>
        <v/>
      </c>
      <c r="E9" s="8">
        <f>'res_raw_19851974'!$E$7</f>
        <v/>
      </c>
      <c r="F9" s="8">
        <f>'res_raw_19851974'!$F$7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'res_raw_19851974'!$B$9</f>
        <v/>
      </c>
      <c r="C11" s="8">
        <f>'res_raw_19851974'!$C$9</f>
        <v/>
      </c>
      <c r="D11" s="8">
        <f>'res_raw_19851974'!$D$9</f>
        <v/>
      </c>
      <c r="E11" s="8">
        <f>'res_raw_19851974'!$E$9</f>
        <v/>
      </c>
      <c r="F11" s="8">
        <f>'res_raw_19851974'!$F$9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'res_raw_19851974'!$B$10</f>
        <v/>
      </c>
      <c r="C12" s="5">
        <f>'res_raw_19851974'!$C$10</f>
        <v/>
      </c>
      <c r="D12" s="5">
        <f>'res_raw_19851974'!$D$10</f>
        <v/>
      </c>
      <c r="E12" s="5">
        <f>'res_raw_19851974'!$E$10</f>
        <v/>
      </c>
      <c r="F12" s="5">
        <f>'res_raw_19851974'!$F$10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'res_raw_19851974'!$B$11</f>
        <v/>
      </c>
      <c r="C13" s="11">
        <f>'res_raw_19851974'!$C$11</f>
        <v/>
      </c>
      <c r="D13" s="11">
        <f>'res_raw_19851974'!$D$11</f>
        <v/>
      </c>
      <c r="E13" s="11">
        <f>'res_raw_19851974'!$E$11</f>
        <v/>
      </c>
      <c r="F13" s="11">
        <f>'res_raw_19851974'!$F$11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'res_raw_19851974'!$B$12</f>
        <v/>
      </c>
      <c r="C14" s="5">
        <f>'res_raw_19851974'!$C$12</f>
        <v/>
      </c>
      <c r="D14" s="5">
        <f>'res_raw_19851974'!$D$12</f>
        <v/>
      </c>
      <c r="E14" s="5">
        <f>'res_raw_19851974'!$E$12</f>
        <v/>
      </c>
      <c r="F14" s="5">
        <f>'res_raw_19851974'!$F$12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'res_raw_19851974'!$B$13</f>
        <v/>
      </c>
      <c r="C15" s="8">
        <f>'res_raw_19851974'!$C$13</f>
        <v/>
      </c>
      <c r="D15" s="8">
        <f>'res_raw_19851974'!$D$13</f>
        <v/>
      </c>
      <c r="E15" s="8">
        <f>'res_raw_19851974'!$E$13</f>
        <v/>
      </c>
      <c r="F15" s="8">
        <f>'res_raw_19851974'!$F$13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'res_raw_19851974'!$B$14</f>
        <v/>
      </c>
      <c r="C16" s="5">
        <f>'res_raw_19851974'!$C$14</f>
        <v/>
      </c>
      <c r="D16" s="5">
        <f>'res_raw_19851974'!$D$14</f>
        <v/>
      </c>
      <c r="E16" s="5">
        <f>'res_raw_19851974'!$E$14</f>
        <v/>
      </c>
      <c r="F16" s="5">
        <f>'res_raw_19851974'!$F$14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'res_raw_19851974'!$B$15</f>
        <v/>
      </c>
      <c r="C17" s="11">
        <f>'res_raw_19851974'!$C$15</f>
        <v/>
      </c>
      <c r="D17" s="11">
        <f>'res_raw_19851974'!$D$15</f>
        <v/>
      </c>
      <c r="E17" s="11">
        <f>'res_raw_19851974'!$E$15</f>
        <v/>
      </c>
      <c r="F17" s="11">
        <f>'res_raw_19851974'!$F$15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'res_raw_19851974'!$B$16</f>
        <v/>
      </c>
      <c r="C18" s="11">
        <f>'res_raw_19851974'!$C$16</f>
        <v/>
      </c>
      <c r="D18" s="11">
        <f>'res_raw_19851974'!$D$16</f>
        <v/>
      </c>
      <c r="E18" s="11">
        <f>'res_raw_19851974'!$E$16</f>
        <v/>
      </c>
      <c r="F18" s="11">
        <f>'res_raw_19851974'!$F$16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'res_raw_19851974'!$B$17</f>
        <v/>
      </c>
      <c r="C19" s="8">
        <f>'res_raw_19851974'!$C$17</f>
        <v/>
      </c>
      <c r="D19" s="8">
        <f>'res_raw_19851974'!$D$17</f>
        <v/>
      </c>
      <c r="E19" s="8">
        <f>'res_raw_19851974'!$E$17</f>
        <v/>
      </c>
      <c r="F19" s="8">
        <f>'res_raw_19851974'!$F$17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'res_raw_19851974'!$B$18</f>
        <v/>
      </c>
      <c r="C20" s="11">
        <f>'res_raw_19851974'!$C$18</f>
        <v/>
      </c>
      <c r="D20" s="11">
        <f>'res_raw_19851974'!$D$18</f>
        <v/>
      </c>
      <c r="E20" s="11">
        <f>'res_raw_19851974'!$E$18</f>
        <v/>
      </c>
      <c r="F20" s="11">
        <f>'res_raw_19851974'!$F$18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'balance_raw_19851974'!$B$2</f>
        <v/>
      </c>
      <c r="C23" s="8">
        <f>'balance_raw_19851974'!$C$2</f>
        <v/>
      </c>
      <c r="D23" s="8">
        <f>'balance_raw_19851974'!$D$2</f>
        <v/>
      </c>
      <c r="E23" s="8">
        <f>'balance_raw_19851974'!$E$2</f>
        <v/>
      </c>
      <c r="F23" s="8">
        <f>'balance_raw_19851974'!$F$2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'balance_raw_19851974'!$B$3</f>
        <v/>
      </c>
      <c r="C24" s="5">
        <f>'balance_raw_19851974'!$C$3</f>
        <v/>
      </c>
      <c r="D24" s="5">
        <f>'balance_raw_19851974'!$D$3</f>
        <v/>
      </c>
      <c r="E24" s="5">
        <f>'balance_raw_19851974'!$E$3</f>
        <v/>
      </c>
      <c r="F24" s="5">
        <f>'balance_raw_19851974'!$F$3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'balance_raw_19851974'!$B$4</f>
        <v/>
      </c>
      <c r="C25" s="8">
        <f>'balance_raw_19851974'!$C$4</f>
        <v/>
      </c>
      <c r="D25" s="8">
        <f>'balance_raw_19851974'!$D$4</f>
        <v/>
      </c>
      <c r="E25" s="8">
        <f>'balance_raw_19851974'!$E$4</f>
        <v/>
      </c>
      <c r="F25" s="8">
        <f>'balance_raw_19851974'!$F$4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'balance_raw_19851974'!$B$5</f>
        <v/>
      </c>
      <c r="C26" s="11">
        <f>'balance_raw_19851974'!$C$5</f>
        <v/>
      </c>
      <c r="D26" s="11">
        <f>'balance_raw_19851974'!$D$5</f>
        <v/>
      </c>
      <c r="E26" s="11">
        <f>'balance_raw_19851974'!$E$5</f>
        <v/>
      </c>
      <c r="F26" s="11">
        <f>'balance_raw_19851974'!$F$5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'balance_raw_19851974'!$B$6</f>
        <v/>
      </c>
      <c r="C27" s="8">
        <f>'balance_raw_19851974'!$C$6</f>
        <v/>
      </c>
      <c r="D27" s="8">
        <f>'balance_raw_19851974'!$D$6</f>
        <v/>
      </c>
      <c r="E27" s="8">
        <f>'balance_raw_19851974'!$E$6</f>
        <v/>
      </c>
      <c r="F27" s="8">
        <f>'balance_raw_19851974'!$F$6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'balance_raw_19851974'!$B$7</f>
        <v/>
      </c>
      <c r="C28" s="5">
        <f>'balance_raw_19851974'!$C$7</f>
        <v/>
      </c>
      <c r="D28" s="5">
        <f>'balance_raw_19851974'!$D$7</f>
        <v/>
      </c>
      <c r="E28" s="5">
        <f>'balance_raw_19851974'!$E$7</f>
        <v/>
      </c>
      <c r="F28" s="5">
        <f>'balance_raw_19851974'!$F$7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'balance_raw_19851974'!$B$8</f>
        <v/>
      </c>
      <c r="C29" s="8">
        <f>'balance_raw_19851974'!$C$8</f>
        <v/>
      </c>
      <c r="D29" s="8">
        <f>'balance_raw_19851974'!$D$8</f>
        <v/>
      </c>
      <c r="E29" s="8">
        <f>'balance_raw_19851974'!$E$8</f>
        <v/>
      </c>
      <c r="F29" s="8">
        <f>'balance_raw_19851974'!$F$8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'balance_raw_19851974'!$B$9</f>
        <v/>
      </c>
      <c r="C30" s="5">
        <f>'balance_raw_19851974'!$C$9</f>
        <v/>
      </c>
      <c r="D30" s="5">
        <f>'balance_raw_19851974'!$D$9</f>
        <v/>
      </c>
      <c r="E30" s="5">
        <f>'balance_raw_19851974'!$E$9</f>
        <v/>
      </c>
      <c r="F30" s="5">
        <f>'balance_raw_19851974'!$F$9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'balance_raw_19851974'!$B$10</f>
        <v/>
      </c>
      <c r="C31" s="8">
        <f>'balance_raw_19851974'!$C$10</f>
        <v/>
      </c>
      <c r="D31" s="8">
        <f>'balance_raw_19851974'!$D$10</f>
        <v/>
      </c>
      <c r="E31" s="8">
        <f>'balance_raw_19851974'!$E$10</f>
        <v/>
      </c>
      <c r="F31" s="8">
        <f>'balance_raw_19851974'!$F$10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'balance_raw_19851974'!$B$11</f>
        <v/>
      </c>
      <c r="C32" s="11">
        <f>'balance_raw_19851974'!$C$11</f>
        <v/>
      </c>
      <c r="D32" s="11">
        <f>'balance_raw_19851974'!$D$11</f>
        <v/>
      </c>
      <c r="E32" s="11">
        <f>'balance_raw_19851974'!$E$11</f>
        <v/>
      </c>
      <c r="F32" s="11">
        <f>'balance_raw_19851974'!$F$11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'balance_raw_19851974'!$B$12</f>
        <v/>
      </c>
      <c r="C33" s="8">
        <f>'balance_raw_19851974'!$C$12</f>
        <v/>
      </c>
      <c r="D33" s="8">
        <f>'balance_raw_19851974'!$D$12</f>
        <v/>
      </c>
      <c r="E33" s="8">
        <f>'balance_raw_19851974'!$E$12</f>
        <v/>
      </c>
      <c r="F33" s="8">
        <f>'balance_raw_19851974'!$F$12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'balance_raw_19851974'!$B$13</f>
        <v/>
      </c>
      <c r="C34" s="5">
        <f>'balance_raw_19851974'!$C$13</f>
        <v/>
      </c>
      <c r="D34" s="5">
        <f>'balance_raw_19851974'!$D$13</f>
        <v/>
      </c>
      <c r="E34" s="5">
        <f>'balance_raw_19851974'!$E$13</f>
        <v/>
      </c>
      <c r="F34" s="5">
        <f>'balance_raw_19851974'!$F$13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'balance_raw_19851974'!$B$14</f>
        <v/>
      </c>
      <c r="C35" s="11">
        <f>'balance_raw_19851974'!$C$14</f>
        <v/>
      </c>
      <c r="D35" s="11">
        <f>'balance_raw_19851974'!$D$14</f>
        <v/>
      </c>
      <c r="E35" s="11">
        <f>'balance_raw_19851974'!$E$14</f>
        <v/>
      </c>
      <c r="F35" s="11">
        <f>'balance_raw_19851974'!$F$14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'balance_raw_19851974'!$B$15</f>
        <v/>
      </c>
      <c r="C36" s="11">
        <f>'balance_raw_19851974'!$C$15</f>
        <v/>
      </c>
      <c r="D36" s="11">
        <f>'balance_raw_19851974'!$D$15</f>
        <v/>
      </c>
      <c r="E36" s="11">
        <f>'balance_raw_19851974'!$E$15</f>
        <v/>
      </c>
      <c r="F36" s="11">
        <f>'balance_raw_19851974'!$F$15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'balance_raw_19851974'!$B$16</f>
        <v/>
      </c>
      <c r="C37" s="8">
        <f>'balance_raw_19851974'!$C$16</f>
        <v/>
      </c>
      <c r="D37" s="8">
        <f>'balance_raw_19851974'!$D$16</f>
        <v/>
      </c>
      <c r="E37" s="8">
        <f>'balance_raw_19851974'!$E$16</f>
        <v/>
      </c>
      <c r="F37" s="8">
        <f>'balance_raw_19851974'!$F$16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'balance_raw_19851974'!$B$17</f>
        <v/>
      </c>
      <c r="C38" s="5">
        <f>'balance_raw_19851974'!$C$17</f>
        <v/>
      </c>
      <c r="D38" s="5">
        <f>'balance_raw_19851974'!$D$17</f>
        <v/>
      </c>
      <c r="E38" s="5">
        <f>'balance_raw_19851974'!$E$17</f>
        <v/>
      </c>
      <c r="F38" s="5">
        <f>'balance_raw_19851974'!$F$17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'balance_raw_19851974'!$B$18</f>
        <v/>
      </c>
      <c r="C39" s="8">
        <f>'balance_raw_19851974'!$C$18</f>
        <v/>
      </c>
      <c r="D39" s="8">
        <f>'balance_raw_19851974'!$D$18</f>
        <v/>
      </c>
      <c r="E39" s="8">
        <f>'balance_raw_19851974'!$E$18</f>
        <v/>
      </c>
      <c r="F39" s="8">
        <f>'balance_raw_19851974'!$F$18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'balance_raw_19851974'!$B$19</f>
        <v/>
      </c>
      <c r="C40" s="11">
        <f>'balance_raw_19851974'!$C$19</f>
        <v/>
      </c>
      <c r="D40" s="11">
        <f>'balance_raw_19851974'!$D$19</f>
        <v/>
      </c>
      <c r="E40" s="11">
        <f>'balance_raw_19851974'!$E$19</f>
        <v/>
      </c>
      <c r="F40" s="11">
        <f>'balance_raw_19851974'!$F$19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'balance_raw_19851974'!$B$20</f>
        <v/>
      </c>
      <c r="C41" s="8">
        <f>'balance_raw_19851974'!$C$20</f>
        <v/>
      </c>
      <c r="D41" s="8">
        <f>'balance_raw_19851974'!$D$20</f>
        <v/>
      </c>
      <c r="E41" s="8">
        <f>'balance_raw_19851974'!$E$20</f>
        <v/>
      </c>
      <c r="F41" s="8">
        <f>'balance_raw_19851974'!$F$20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'balance_raw_19851974'!$B$21</f>
        <v/>
      </c>
      <c r="C42" s="5">
        <f>'balance_raw_19851974'!$C$21</f>
        <v/>
      </c>
      <c r="D42" s="5">
        <f>'balance_raw_19851974'!$D$21</f>
        <v/>
      </c>
      <c r="E42" s="5">
        <f>'balance_raw_19851974'!$E$21</f>
        <v/>
      </c>
      <c r="F42" s="5">
        <f>'balance_raw_19851974'!$F$21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'balance_raw_19851974'!$B$22</f>
        <v/>
      </c>
      <c r="C43" s="8">
        <f>'balance_raw_19851974'!$C$22</f>
        <v/>
      </c>
      <c r="D43" s="8">
        <f>'balance_raw_19851974'!$D$22</f>
        <v/>
      </c>
      <c r="E43" s="8">
        <f>'balance_raw_19851974'!$E$22</f>
        <v/>
      </c>
      <c r="F43" s="8">
        <f>'balance_raw_19851974'!$F$22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'balance_raw_19851974'!$B$23</f>
        <v/>
      </c>
      <c r="C44" s="5">
        <f>'balance_raw_19851974'!$C$23</f>
        <v/>
      </c>
      <c r="D44" s="5">
        <f>'balance_raw_19851974'!$D$23</f>
        <v/>
      </c>
      <c r="E44" s="5">
        <f>'balance_raw_19851974'!$E$23</f>
        <v/>
      </c>
      <c r="F44" s="5">
        <f>'balance_raw_19851974'!$F$23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'balance_raw_19851974'!$B$24</f>
        <v/>
      </c>
      <c r="C45" s="8">
        <f>'balance_raw_19851974'!$C$24</f>
        <v/>
      </c>
      <c r="D45" s="8">
        <f>'balance_raw_19851974'!$D$24</f>
        <v/>
      </c>
      <c r="E45" s="8">
        <f>'balance_raw_19851974'!$E$24</f>
        <v/>
      </c>
      <c r="F45" s="8">
        <f>'balance_raw_19851974'!$F$24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'balance_raw_19851974'!$B$25</f>
        <v/>
      </c>
      <c r="C46" s="5">
        <f>'balance_raw_19851974'!$C$25</f>
        <v/>
      </c>
      <c r="D46" s="5">
        <f>'balance_raw_19851974'!$D$25</f>
        <v/>
      </c>
      <c r="E46" s="5">
        <f>'balance_raw_19851974'!$E$25</f>
        <v/>
      </c>
      <c r="F46" s="5">
        <f>'balance_raw_19851974'!$F$25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'balance_raw_19851974'!$B$26</f>
        <v/>
      </c>
      <c r="C47" s="8">
        <f>'balance_raw_19851974'!$C$26</f>
        <v/>
      </c>
      <c r="D47" s="8">
        <f>'balance_raw_19851974'!$D$26</f>
        <v/>
      </c>
      <c r="E47" s="8">
        <f>'balance_raw_19851974'!$E$26</f>
        <v/>
      </c>
      <c r="F47" s="8">
        <f>'balance_raw_19851974'!$F$26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'balance_raw_19851974'!$B$27</f>
        <v/>
      </c>
      <c r="C48" s="11">
        <f>'balance_raw_19851974'!$C$27</f>
        <v/>
      </c>
      <c r="D48" s="11">
        <f>'balance_raw_19851974'!$D$27</f>
        <v/>
      </c>
      <c r="E48" s="11">
        <f>'balance_raw_19851974'!$E$27</f>
        <v/>
      </c>
      <c r="F48" s="11">
        <f>'balance_raw_19851974'!$F$27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'balance_raw_19851974'!$B$28</f>
        <v/>
      </c>
      <c r="C49" s="8">
        <f>'balance_raw_19851974'!$C$28</f>
        <v/>
      </c>
      <c r="D49" s="8">
        <f>'balance_raw_19851974'!$D$28</f>
        <v/>
      </c>
      <c r="E49" s="8">
        <f>'balance_raw_19851974'!$E$28</f>
        <v/>
      </c>
      <c r="F49" s="8">
        <f>'balance_raw_19851974'!$F$28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'balance_raw_19851974'!$B$29</f>
        <v/>
      </c>
      <c r="C50" s="5">
        <f>'balance_raw_19851974'!$C$29</f>
        <v/>
      </c>
      <c r="D50" s="5">
        <f>'balance_raw_19851974'!$D$29</f>
        <v/>
      </c>
      <c r="E50" s="5">
        <f>'balance_raw_19851974'!$E$29</f>
        <v/>
      </c>
      <c r="F50" s="5">
        <f>'balance_raw_19851974'!$F$29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'balance_raw_19851974'!$B$30</f>
        <v/>
      </c>
      <c r="C51" s="11">
        <f>'balance_raw_19851974'!$C$30</f>
        <v/>
      </c>
      <c r="D51" s="11">
        <f>'balance_raw_19851974'!$D$30</f>
        <v/>
      </c>
      <c r="E51" s="11">
        <f>'balance_raw_19851974'!$E$30</f>
        <v/>
      </c>
      <c r="F51" s="11">
        <f>'balance_raw_19851974'!$F$30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'balance_raw_19851974'!$B$31</f>
        <v/>
      </c>
      <c r="C52" s="11">
        <f>'balance_raw_19851974'!$C$31</f>
        <v/>
      </c>
      <c r="D52" s="11">
        <f>'balance_raw_19851974'!$D$31</f>
        <v/>
      </c>
      <c r="E52" s="11">
        <f>'balance_raw_19851974'!$E$31</f>
        <v/>
      </c>
      <c r="F52" s="11">
        <f>'balance_raw_19851974'!$F$31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'balance_raw_19851974'!$B$32</f>
        <v/>
      </c>
      <c r="C55" s="8">
        <f>'balance_raw_19851974'!$C$32</f>
        <v/>
      </c>
      <c r="D55" s="8">
        <f>'balance_raw_19851974'!$D$32</f>
        <v/>
      </c>
      <c r="E55" s="8">
        <f>'balance_raw_19851974'!$E$32</f>
        <v/>
      </c>
      <c r="F55" s="8">
        <f>'balance_raw_19851974'!$F$32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'balance_raw_19851974'!$B$33</f>
        <v/>
      </c>
      <c r="C56" s="5">
        <f>'balance_raw_19851974'!$C$33</f>
        <v/>
      </c>
      <c r="D56" s="5">
        <f>'balance_raw_19851974'!$D$33</f>
        <v/>
      </c>
      <c r="E56" s="5">
        <f>'balance_raw_19851974'!$E$33</f>
        <v/>
      </c>
      <c r="F56" s="5">
        <f>'balance_raw_19851974'!$F$33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'balance_raw_19851974'!$B$34</f>
        <v/>
      </c>
      <c r="C57" s="8">
        <f>'balance_raw_19851974'!$C$34</f>
        <v/>
      </c>
      <c r="D57" s="8">
        <f>'balance_raw_19851974'!$D$34</f>
        <v/>
      </c>
      <c r="E57" s="8">
        <f>'balance_raw_19851974'!$E$34</f>
        <v/>
      </c>
      <c r="F57" s="8">
        <f>'balance_raw_19851974'!$F$34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'balance_raw_19851974'!$B$35</f>
        <v/>
      </c>
      <c r="C58" s="5">
        <f>'balance_raw_19851974'!$C$35</f>
        <v/>
      </c>
      <c r="D58" s="5">
        <f>'balance_raw_19851974'!$D$35</f>
        <v/>
      </c>
      <c r="E58" s="5">
        <f>'balance_raw_19851974'!$E$35</f>
        <v/>
      </c>
      <c r="F58" s="5">
        <f>'balance_raw_19851974'!$F$35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'balance_raw_19851974'!$B$36</f>
        <v/>
      </c>
      <c r="C59" s="8">
        <f>'balance_raw_19851974'!$C$36</f>
        <v/>
      </c>
      <c r="D59" s="8">
        <f>'balance_raw_19851974'!$D$36</f>
        <v/>
      </c>
      <c r="E59" s="8">
        <f>'balance_raw_19851974'!$E$36</f>
        <v/>
      </c>
      <c r="F59" s="8">
        <f>'balance_raw_19851974'!$F$36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'balance_raw_19851974'!$B$37</f>
        <v/>
      </c>
      <c r="C60" s="5">
        <f>'balance_raw_19851974'!$C$37</f>
        <v/>
      </c>
      <c r="D60" s="5">
        <f>'balance_raw_19851974'!$D$37</f>
        <v/>
      </c>
      <c r="E60" s="5">
        <f>'balance_raw_19851974'!$E$37</f>
        <v/>
      </c>
      <c r="F60" s="5">
        <f>'balance_raw_19851974'!$F$37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'balance_raw_19851974'!$B$38</f>
        <v/>
      </c>
      <c r="C61" s="11">
        <f>'balance_raw_19851974'!$C$38</f>
        <v/>
      </c>
      <c r="D61" s="11">
        <f>'balance_raw_19851974'!$D$38</f>
        <v/>
      </c>
      <c r="E61" s="11">
        <f>'balance_raw_19851974'!$E$38</f>
        <v/>
      </c>
      <c r="F61" s="11">
        <f>'balance_raw_19851974'!$F$38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'balance_raw_19851974'!$B$39</f>
        <v/>
      </c>
      <c r="C62" s="5">
        <f>'balance_raw_19851974'!$C$39</f>
        <v/>
      </c>
      <c r="D62" s="5">
        <f>'balance_raw_19851974'!$D$39</f>
        <v/>
      </c>
      <c r="E62" s="5">
        <f>'balance_raw_19851974'!$E$39</f>
        <v/>
      </c>
      <c r="F62" s="5">
        <f>'balance_raw_19851974'!$F$39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'balance_raw_19851974'!$B$40</f>
        <v/>
      </c>
      <c r="C63" s="11">
        <f>'balance_raw_19851974'!$C$40</f>
        <v/>
      </c>
      <c r="D63" s="11">
        <f>'balance_raw_19851974'!$D$40</f>
        <v/>
      </c>
      <c r="E63" s="11">
        <f>'balance_raw_19851974'!$E$40</f>
        <v/>
      </c>
      <c r="F63" s="11">
        <f>'balance_raw_19851974'!$F$40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'balance_raw_19851974'!$B$41</f>
        <v/>
      </c>
      <c r="C64" s="5">
        <f>'balance_raw_19851974'!$C$41</f>
        <v/>
      </c>
      <c r="D64" s="5">
        <f>'balance_raw_19851974'!$D$41</f>
        <v/>
      </c>
      <c r="E64" s="5">
        <f>'balance_raw_19851974'!$E$41</f>
        <v/>
      </c>
      <c r="F64" s="5">
        <f>'balance_raw_19851974'!$F$41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'balance_raw_19851974'!$B$42</f>
        <v/>
      </c>
      <c r="C65" s="8">
        <f>'balance_raw_19851974'!$C$42</f>
        <v/>
      </c>
      <c r="D65" s="8">
        <f>'balance_raw_19851974'!$D$42</f>
        <v/>
      </c>
      <c r="E65" s="8">
        <f>'balance_raw_19851974'!$E$42</f>
        <v/>
      </c>
      <c r="F65" s="8">
        <f>'balance_raw_19851974'!$F$42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'balance_raw_19851974'!$B$43</f>
        <v/>
      </c>
      <c r="C66" s="5">
        <f>'balance_raw_19851974'!$C$43</f>
        <v/>
      </c>
      <c r="D66" s="5">
        <f>'balance_raw_19851974'!$D$43</f>
        <v/>
      </c>
      <c r="E66" s="5">
        <f>'balance_raw_19851974'!$E$43</f>
        <v/>
      </c>
      <c r="F66" s="5">
        <f>'balance_raw_19851974'!$F$43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'balance_raw_19851974'!$B$44</f>
        <v/>
      </c>
      <c r="C67" s="8">
        <f>'balance_raw_19851974'!$C$44</f>
        <v/>
      </c>
      <c r="D67" s="8">
        <f>'balance_raw_19851974'!$D$44</f>
        <v/>
      </c>
      <c r="E67" s="8">
        <f>'balance_raw_19851974'!$E$44</f>
        <v/>
      </c>
      <c r="F67" s="8">
        <f>'balance_raw_19851974'!$F$44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'balance_raw_19851974'!$B$45</f>
        <v/>
      </c>
      <c r="C68" s="11">
        <f>'balance_raw_19851974'!$C$45</f>
        <v/>
      </c>
      <c r="D68" s="11">
        <f>'balance_raw_19851974'!$D$45</f>
        <v/>
      </c>
      <c r="E68" s="11">
        <f>'balance_raw_19851974'!$E$45</f>
        <v/>
      </c>
      <c r="F68" s="11">
        <f>'balance_raw_19851974'!$F$45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'balance_raw_19851974'!$B$46</f>
        <v/>
      </c>
      <c r="C69" s="8">
        <f>'balance_raw_19851974'!$C$46</f>
        <v/>
      </c>
      <c r="D69" s="8">
        <f>'balance_raw_19851974'!$D$46</f>
        <v/>
      </c>
      <c r="E69" s="8">
        <f>'balance_raw_19851974'!$E$46</f>
        <v/>
      </c>
      <c r="F69" s="8">
        <f>'balance_raw_19851974'!$F$46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'balance_raw_19851974'!$B$47</f>
        <v/>
      </c>
      <c r="C70" s="5">
        <f>'balance_raw_19851974'!$C$47</f>
        <v/>
      </c>
      <c r="D70" s="5">
        <f>'balance_raw_19851974'!$D$47</f>
        <v/>
      </c>
      <c r="E70" s="5">
        <f>'balance_raw_19851974'!$E$47</f>
        <v/>
      </c>
      <c r="F70" s="5">
        <f>'balance_raw_19851974'!$F$47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'balance_raw_19851974'!$B$48</f>
        <v/>
      </c>
      <c r="C71" s="8">
        <f>'balance_raw_19851974'!$C$48</f>
        <v/>
      </c>
      <c r="D71" s="8">
        <f>'balance_raw_19851974'!$D$48</f>
        <v/>
      </c>
      <c r="E71" s="8">
        <f>'balance_raw_19851974'!$E$48</f>
        <v/>
      </c>
      <c r="F71" s="8">
        <f>'balance_raw_19851974'!$F$48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'balance_raw_19851974'!$B$49</f>
        <v/>
      </c>
      <c r="C72" s="5">
        <f>'balance_raw_19851974'!$C$49</f>
        <v/>
      </c>
      <c r="D72" s="5">
        <f>'balance_raw_19851974'!$D$49</f>
        <v/>
      </c>
      <c r="E72" s="5">
        <f>'balance_raw_19851974'!$E$49</f>
        <v/>
      </c>
      <c r="F72" s="5">
        <f>'balance_raw_19851974'!$F$49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'balance_raw_19851974'!$B$50</f>
        <v/>
      </c>
      <c r="C73" s="8">
        <f>'balance_raw_19851974'!$C$50</f>
        <v/>
      </c>
      <c r="D73" s="8">
        <f>'balance_raw_19851974'!$D$50</f>
        <v/>
      </c>
      <c r="E73" s="8">
        <f>'balance_raw_19851974'!$E$50</f>
        <v/>
      </c>
      <c r="F73" s="8">
        <f>'balance_raw_19851974'!$F$50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'balance_raw_19851974'!$B$51</f>
        <v/>
      </c>
      <c r="C74" s="5">
        <f>'balance_raw_19851974'!$C$51</f>
        <v/>
      </c>
      <c r="D74" s="5">
        <f>'balance_raw_19851974'!$D$51</f>
        <v/>
      </c>
      <c r="E74" s="5">
        <f>'balance_raw_19851974'!$E$51</f>
        <v/>
      </c>
      <c r="F74" s="5">
        <f>'balance_raw_19851974'!$F$51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'balance_raw_19851974'!$B$52</f>
        <v/>
      </c>
      <c r="C75" s="8">
        <f>'balance_raw_19851974'!$C$52</f>
        <v/>
      </c>
      <c r="D75" s="8">
        <f>'balance_raw_19851974'!$D$52</f>
        <v/>
      </c>
      <c r="E75" s="8">
        <f>'balance_raw_19851974'!$E$52</f>
        <v/>
      </c>
      <c r="F75" s="8">
        <f>'balance_raw_19851974'!$F$52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'balance_raw_19851974'!$B$53</f>
        <v/>
      </c>
      <c r="C76" s="5">
        <f>'balance_raw_19851974'!$C$53</f>
        <v/>
      </c>
      <c r="D76" s="5">
        <f>'balance_raw_19851974'!$D$53</f>
        <v/>
      </c>
      <c r="E76" s="5">
        <f>'balance_raw_19851974'!$E$53</f>
        <v/>
      </c>
      <c r="F76" s="5">
        <f>'balance_raw_19851974'!$F$53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'balance_raw_19851974'!$B$54</f>
        <v/>
      </c>
      <c r="C77" s="8">
        <f>'balance_raw_19851974'!$C$54</f>
        <v/>
      </c>
      <c r="D77" s="8">
        <f>'balance_raw_19851974'!$D$54</f>
        <v/>
      </c>
      <c r="E77" s="8">
        <f>'balance_raw_19851974'!$E$54</f>
        <v/>
      </c>
      <c r="F77" s="8">
        <f>'balance_raw_19851974'!$F$54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'balance_raw_19851974'!$B$55</f>
        <v/>
      </c>
      <c r="C78" s="5">
        <f>'balance_raw_19851974'!$C$55</f>
        <v/>
      </c>
      <c r="D78" s="5">
        <f>'balance_raw_19851974'!$D$55</f>
        <v/>
      </c>
      <c r="E78" s="5">
        <f>'balance_raw_19851974'!$E$55</f>
        <v/>
      </c>
      <c r="F78" s="5">
        <f>'balance_raw_19851974'!$F$55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'balance_raw_19851974'!$B$56</f>
        <v/>
      </c>
      <c r="C79" s="8">
        <f>'balance_raw_19851974'!$C$56</f>
        <v/>
      </c>
      <c r="D79" s="8">
        <f>'balance_raw_19851974'!$D$56</f>
        <v/>
      </c>
      <c r="E79" s="8">
        <f>'balance_raw_19851974'!$E$56</f>
        <v/>
      </c>
      <c r="F79" s="8">
        <f>'balance_raw_19851974'!$F$56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'balance_raw_19851974'!$B$57</f>
        <v/>
      </c>
      <c r="C80" s="11">
        <f>'balance_raw_19851974'!$C$57</f>
        <v/>
      </c>
      <c r="D80" s="11">
        <f>'balance_raw_19851974'!$D$57</f>
        <v/>
      </c>
      <c r="E80" s="11">
        <f>'balance_raw_19851974'!$E$57</f>
        <v/>
      </c>
      <c r="F80" s="11">
        <f>'balance_raw_19851974'!$F$57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'balance_raw_19851974'!$B$58</f>
        <v/>
      </c>
      <c r="C81" s="11">
        <f>'balance_raw_19851974'!$C$58</f>
        <v/>
      </c>
      <c r="D81" s="11">
        <f>'balance_raw_19851974'!$D$58</f>
        <v/>
      </c>
      <c r="E81" s="11">
        <f>'balance_raw_19851974'!$E$58</f>
        <v/>
      </c>
      <c r="F81" s="11">
        <f>'balance_raw_19851974'!$F$58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'balance_raw_19851974'!$B$59</f>
        <v/>
      </c>
      <c r="C82" s="11">
        <f>'balance_raw_19851974'!$C$59</f>
        <v/>
      </c>
      <c r="D82" s="11">
        <f>'balance_raw_19851974'!$D$59</f>
        <v/>
      </c>
      <c r="E82" s="11">
        <f>'balance_raw_19851974'!$E$59</f>
        <v/>
      </c>
      <c r="F82" s="11">
        <f>'balance_raw_19851974'!$F$59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'res_raw_19851974'!$B$19</f>
        <v/>
      </c>
      <c r="C85" s="8">
        <f>'res_raw_19851974'!$C$19</f>
        <v/>
      </c>
      <c r="D85" s="8">
        <f>'res_raw_19851974'!$D$19</f>
        <v/>
      </c>
      <c r="E85" s="8">
        <f>'res_raw_19851974'!$E$19</f>
        <v/>
      </c>
      <c r="F85" s="8">
        <f>'res_raw_19851974'!$F$19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'res_raw_19851974'!$B$20</f>
        <v/>
      </c>
      <c r="C86" s="5">
        <f>'res_raw_19851974'!$C$20</f>
        <v/>
      </c>
      <c r="D86" s="5">
        <f>'res_raw_19851974'!$D$20</f>
        <v/>
      </c>
      <c r="E86" s="5">
        <f>'res_raw_19851974'!$E$20</f>
        <v/>
      </c>
      <c r="F86" s="5">
        <f>'res_raw_19851974'!$F$20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Alumeco ApS (CVR 19851974)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1899683</v>
      </c>
      <c r="C2" s="16" t="n">
        <v>3014908</v>
      </c>
      <c r="D2" s="16" t="n">
        <v>2862330</v>
      </c>
      <c r="E2" s="16" t="n">
        <v>3695630</v>
      </c>
      <c r="F2" s="16" t="n">
        <v>2657811</v>
      </c>
    </row>
    <row r="3">
      <c r="A3" s="15" t="inlineStr">
        <is>
          <t>Andre driftsindtægter</t>
        </is>
      </c>
      <c r="B3" s="16" t="n">
        <v>30761</v>
      </c>
      <c r="C3" s="16" t="n">
        <v>31234</v>
      </c>
      <c r="D3" s="16" t="n">
        <v>172586</v>
      </c>
      <c r="E3" s="16" t="n">
        <v>55128</v>
      </c>
      <c r="F3" s="16" t="n">
        <v>36978</v>
      </c>
    </row>
    <row r="4">
      <c r="A4" s="15" t="inlineStr">
        <is>
          <t>Vareforbrug</t>
        </is>
      </c>
      <c r="B4" s="16" t="n">
        <v>1661927</v>
      </c>
      <c r="C4" s="16" t="n">
        <v>3032643</v>
      </c>
      <c r="D4" s="16" t="n">
        <v>-2468971</v>
      </c>
      <c r="E4" s="16" t="n">
        <v>3394791</v>
      </c>
      <c r="F4" s="16" t="n">
        <v>2433828</v>
      </c>
    </row>
    <row r="5">
      <c r="A5" s="15" t="inlineStr">
        <is>
          <t>Andre eksterne omkostninger</t>
        </is>
      </c>
      <c r="B5" s="16" t="n">
        <v>58756</v>
      </c>
      <c r="C5" s="16" t="n">
        <v>63676</v>
      </c>
      <c r="D5" s="16" t="n">
        <v>-78205</v>
      </c>
      <c r="E5" s="16" t="n">
        <v>109498</v>
      </c>
      <c r="F5" s="16" t="n">
        <v>76349</v>
      </c>
    </row>
    <row r="6">
      <c r="A6" s="17" t="inlineStr">
        <is>
          <t>Bruttoresultat</t>
        </is>
      </c>
      <c r="B6" s="16" t="n">
        <v>211938</v>
      </c>
      <c r="C6" s="16" t="n">
        <v>433399</v>
      </c>
      <c r="D6" s="16" t="n">
        <v>260584</v>
      </c>
      <c r="E6" s="16" t="n">
        <v>246469</v>
      </c>
      <c r="F6" s="16" t="n"/>
    </row>
    <row r="7">
      <c r="A7" s="15" t="inlineStr">
        <is>
          <t>Personaleomkostninger</t>
        </is>
      </c>
      <c r="B7" s="16" t="n">
        <v>123554</v>
      </c>
      <c r="C7" s="16" t="n">
        <v>160984</v>
      </c>
      <c r="D7" s="16" t="n">
        <v>-140202</v>
      </c>
      <c r="E7" s="16" t="n">
        <v>218910</v>
      </c>
      <c r="F7" s="16" t="n">
        <v>145604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8537</v>
      </c>
      <c r="C9" s="16" t="n">
        <v>8118</v>
      </c>
      <c r="D9" s="16" t="n">
        <v>-7797</v>
      </c>
      <c r="E9" s="16" t="n">
        <v>10959</v>
      </c>
      <c r="F9" s="16" t="n">
        <v>6425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79847</v>
      </c>
      <c r="C11" s="16" t="n">
        <v>264297</v>
      </c>
      <c r="D11" s="16" t="n">
        <v>112585</v>
      </c>
      <c r="E11" s="16" t="n">
        <v>16600</v>
      </c>
      <c r="F11" s="16" t="n"/>
    </row>
    <row r="12">
      <c r="A12" s="15" t="inlineStr">
        <is>
          <t>Indtægter af kapitalandele, dattervirksomheder</t>
        </is>
      </c>
      <c r="B12" s="16" t="n">
        <v>148126</v>
      </c>
      <c r="C12" s="16" t="n">
        <v>376368</v>
      </c>
      <c r="D12" s="16" t="n">
        <v>105720</v>
      </c>
      <c r="E12" s="16" t="n">
        <v>117610</v>
      </c>
      <c r="F12" s="16" t="n">
        <v>161249</v>
      </c>
    </row>
    <row r="13">
      <c r="A13" s="15" t="inlineStr">
        <is>
          <t>Finansielle indtægter</t>
        </is>
      </c>
      <c r="B13" s="16" t="n">
        <v>3906</v>
      </c>
      <c r="C13" s="16" t="n">
        <v>9178</v>
      </c>
      <c r="D13" s="16" t="n">
        <v>22134</v>
      </c>
      <c r="E13" s="16" t="n">
        <v>35845</v>
      </c>
      <c r="F13" s="16" t="n">
        <v>20340</v>
      </c>
    </row>
    <row r="14">
      <c r="A14" s="15" t="inlineStr">
        <is>
          <t>Finansielle omkostninger</t>
        </is>
      </c>
      <c r="B14" s="16" t="n">
        <v>10084</v>
      </c>
      <c r="C14" s="16" t="n">
        <v>15078</v>
      </c>
      <c r="D14" s="16" t="n">
        <v>0</v>
      </c>
      <c r="E14" s="16" t="n">
        <v>67396</v>
      </c>
      <c r="F14" s="16" t="n">
        <v>29028</v>
      </c>
    </row>
    <row r="15">
      <c r="A15" s="17" t="inlineStr">
        <is>
          <t>Finansielle poster, netto</t>
        </is>
      </c>
      <c r="B15" s="16" t="n">
        <v>-6178</v>
      </c>
      <c r="C15" s="16" t="n">
        <v>-5900</v>
      </c>
      <c r="D15" s="16" t="n">
        <v>-24928</v>
      </c>
      <c r="E15" s="16" t="n">
        <v>-31551</v>
      </c>
      <c r="F15" s="16" t="n">
        <v>-8688</v>
      </c>
    </row>
    <row r="16">
      <c r="A16" s="17" t="inlineStr">
        <is>
          <t>Resultat før skat</t>
        </is>
      </c>
      <c r="B16" s="16" t="n">
        <v>221795</v>
      </c>
      <c r="C16" s="16" t="n">
        <v>634765</v>
      </c>
      <c r="D16" s="16" t="n">
        <v>193377</v>
      </c>
      <c r="E16" s="16" t="n">
        <v>102659</v>
      </c>
      <c r="F16" s="16" t="n">
        <v>185144</v>
      </c>
    </row>
    <row r="17">
      <c r="A17" s="15" t="inlineStr">
        <is>
          <t>Skat af årets resultat</t>
        </is>
      </c>
      <c r="B17" s="16" t="n">
        <v>16884</v>
      </c>
      <c r="C17" s="16" t="n">
        <v>56893</v>
      </c>
      <c r="D17" s="16" t="n">
        <v>11317</v>
      </c>
      <c r="E17" s="16" t="n">
        <v>-3280</v>
      </c>
      <c r="F17" s="16" t="n">
        <v>6060</v>
      </c>
    </row>
    <row r="18">
      <c r="A18" s="17" t="inlineStr">
        <is>
          <t>Årets resultat</t>
        </is>
      </c>
      <c r="B18" s="16" t="n">
        <v>204911</v>
      </c>
      <c r="C18" s="16" t="n">
        <v>577872</v>
      </c>
      <c r="D18" s="16" t="n">
        <v>204694</v>
      </c>
      <c r="E18" s="16" t="n">
        <v>105939</v>
      </c>
      <c r="F18" s="16" t="n">
        <v>179084</v>
      </c>
    </row>
    <row r="19">
      <c r="A19" s="15" t="inlineStr">
        <is>
          <t>Gns. antal medarbejdere</t>
        </is>
      </c>
      <c r="B19" s="16" t="n">
        <v>215</v>
      </c>
      <c r="C19" s="16" t="n">
        <v>235</v>
      </c>
      <c r="D19" s="16" t="n">
        <v>241</v>
      </c>
      <c r="E19" s="16" t="n">
        <v>229</v>
      </c>
      <c r="F19" s="16" t="n">
        <v>237</v>
      </c>
    </row>
    <row r="20">
      <c r="A20" s="15" t="inlineStr">
        <is>
          <t>Investering i materielle anlægsaktiver</t>
        </is>
      </c>
      <c r="B20" s="16" t="n">
        <v>6809</v>
      </c>
      <c r="C20" s="16" t="n">
        <v>5549</v>
      </c>
      <c r="D20" s="16" t="n">
        <v>13809</v>
      </c>
      <c r="E20" s="16" t="n">
        <v>855</v>
      </c>
      <c r="F20" s="16" t="n">
        <v>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Alumeco ApS (CVR 19851974)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4221</v>
      </c>
      <c r="D2" s="16" t="n">
        <v>4866</v>
      </c>
      <c r="E2" s="16" t="n">
        <v>3592</v>
      </c>
      <c r="F2" s="16" t="n">
        <v>2880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>
        <v>0</v>
      </c>
      <c r="E4" s="16" t="n">
        <v>0</v>
      </c>
      <c r="F4" s="16" t="n">
        <v>0</v>
      </c>
    </row>
    <row r="5">
      <c r="A5" s="17" t="inlineStr">
        <is>
          <t>Immaterielle anlægsaktiver</t>
        </is>
      </c>
      <c r="B5" s="16" t="n">
        <v>5297</v>
      </c>
      <c r="C5" s="16" t="n">
        <v>4221</v>
      </c>
      <c r="D5" s="16" t="n">
        <v>4866</v>
      </c>
      <c r="E5" s="16" t="n">
        <v>3592</v>
      </c>
      <c r="F5" s="16" t="n">
        <v>2880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27933</v>
      </c>
      <c r="C8" s="16" t="n">
        <v>26158</v>
      </c>
      <c r="D8" s="16" t="n">
        <v>31526</v>
      </c>
      <c r="E8" s="16" t="n">
        <v>23929</v>
      </c>
      <c r="F8" s="16" t="n">
        <v>23428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>
        <v>1676</v>
      </c>
    </row>
    <row r="11">
      <c r="A11" s="17" t="inlineStr">
        <is>
          <t>Materielle anlægsaktiver</t>
        </is>
      </c>
      <c r="B11" s="16" t="n">
        <v>27933</v>
      </c>
      <c r="C11" s="16" t="n">
        <v>26158</v>
      </c>
      <c r="D11" s="16" t="n">
        <v>31526</v>
      </c>
      <c r="E11" s="16" t="n">
        <v>23929</v>
      </c>
      <c r="F11" s="16" t="n">
        <v>25104</v>
      </c>
    </row>
    <row r="12">
      <c r="A12" s="15" t="inlineStr">
        <is>
          <t>Kapitalandele, dattervirksomheder</t>
        </is>
      </c>
      <c r="B12" s="16" t="n">
        <v>593487</v>
      </c>
      <c r="C12" s="16" t="n">
        <v>948742</v>
      </c>
      <c r="D12" s="16" t="n">
        <v>1031150</v>
      </c>
      <c r="E12" s="16" t="n">
        <v>1090877</v>
      </c>
      <c r="F12" s="16" t="n">
        <v>956968</v>
      </c>
    </row>
    <row r="13">
      <c r="A13" s="15" t="inlineStr">
        <is>
          <t>Deposita</t>
        </is>
      </c>
      <c r="B13" s="16" t="n"/>
      <c r="C13" s="16" t="n"/>
      <c r="D13" s="16" t="n">
        <v>15345</v>
      </c>
      <c r="E13" s="16" t="n">
        <v>14810</v>
      </c>
      <c r="F13" s="16" t="n">
        <v>14824</v>
      </c>
    </row>
    <row r="14">
      <c r="A14" s="17" t="inlineStr">
        <is>
          <t>Finansielle anlægsaktiver</t>
        </is>
      </c>
      <c r="B14" s="16" t="n"/>
      <c r="C14" s="16" t="n">
        <v>948742</v>
      </c>
      <c r="D14" s="16" t="n">
        <v>1046495</v>
      </c>
      <c r="E14" s="16" t="n">
        <v>1105687</v>
      </c>
      <c r="F14" s="16" t="n">
        <v>971792</v>
      </c>
    </row>
    <row r="15">
      <c r="A15" s="17" t="inlineStr">
        <is>
          <t>Anlægsaktiver</t>
        </is>
      </c>
      <c r="B15" s="16" t="n">
        <v>626717</v>
      </c>
      <c r="C15" s="16" t="n">
        <v>979121</v>
      </c>
      <c r="D15" s="16" t="n">
        <v>1082887</v>
      </c>
      <c r="E15" s="16" t="n">
        <v>1133208</v>
      </c>
      <c r="F15" s="16" t="n">
        <v>999776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241095</v>
      </c>
      <c r="C18" s="16" t="n">
        <v>724672</v>
      </c>
      <c r="D18" s="16" t="n">
        <v>497516</v>
      </c>
      <c r="E18" s="16" t="n">
        <v>417601</v>
      </c>
      <c r="F18" s="16" t="n">
        <v>432869</v>
      </c>
    </row>
    <row r="19">
      <c r="A19" s="17" t="inlineStr">
        <is>
          <t>Varebeholdninger</t>
        </is>
      </c>
      <c r="B19" s="16" t="n">
        <v>241095</v>
      </c>
      <c r="C19" s="16" t="n">
        <v>724672</v>
      </c>
      <c r="D19" s="16" t="n">
        <v>497516</v>
      </c>
      <c r="E19" s="16" t="n">
        <v>417601</v>
      </c>
      <c r="F19" s="16" t="n">
        <v>432869</v>
      </c>
    </row>
    <row r="20">
      <c r="A20" s="15" t="inlineStr">
        <is>
          <t>Tilgodehavender fra salg og tjenesteydelser</t>
        </is>
      </c>
      <c r="B20" s="16" t="n">
        <v>242400</v>
      </c>
      <c r="C20" s="16" t="n">
        <v>402667</v>
      </c>
      <c r="D20" s="16" t="n">
        <v>357716</v>
      </c>
      <c r="E20" s="16" t="n">
        <v>279596</v>
      </c>
      <c r="F20" s="16" t="n">
        <v>267265</v>
      </c>
    </row>
    <row r="21">
      <c r="A21" s="15" t="inlineStr">
        <is>
          <t>Tilgodehavender hos tilknyttede virksomheder</t>
        </is>
      </c>
      <c r="B21" s="16" t="n">
        <v>276321</v>
      </c>
      <c r="C21" s="16" t="n">
        <v>825958</v>
      </c>
      <c r="D21" s="16" t="n">
        <v>482237</v>
      </c>
      <c r="E21" s="16" t="n">
        <v>541843</v>
      </c>
      <c r="F21" s="16" t="n">
        <v>436967</v>
      </c>
    </row>
    <row r="22">
      <c r="A22" s="15" t="inlineStr">
        <is>
          <t>Andre tilgodehavender</t>
        </is>
      </c>
      <c r="B22" s="16" t="n">
        <v>9728</v>
      </c>
      <c r="C22" s="16" t="n">
        <v>38508</v>
      </c>
      <c r="D22" s="16" t="n">
        <v>14714</v>
      </c>
      <c r="E22" s="16" t="n">
        <v>2855</v>
      </c>
      <c r="F22" s="16" t="n">
        <v>11555</v>
      </c>
    </row>
    <row r="23">
      <c r="A23" s="15" t="inlineStr">
        <is>
          <t>Periodeafgrænsningsposter (aktiver)</t>
        </is>
      </c>
      <c r="B23" s="16" t="n">
        <v>564</v>
      </c>
      <c r="C23" s="16" t="n">
        <v>3992</v>
      </c>
      <c r="D23" s="16" t="n">
        <v>14622</v>
      </c>
      <c r="E23" s="16" t="n">
        <v>12685</v>
      </c>
      <c r="F23" s="16" t="n">
        <v>5486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>
        <v>10049</v>
      </c>
      <c r="F24" s="16" t="n">
        <v>3834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>
        <v>11852</v>
      </c>
      <c r="E26" s="16" t="n">
        <v>667</v>
      </c>
      <c r="F26" s="16" t="n">
        <v>0</v>
      </c>
    </row>
    <row r="27">
      <c r="A27" s="17" t="inlineStr">
        <is>
          <t>Tilgodehavender</t>
        </is>
      </c>
      <c r="B27" s="16" t="n">
        <v>529013</v>
      </c>
      <c r="C27" s="16" t="n">
        <v>1271125</v>
      </c>
      <c r="D27" s="16" t="n">
        <v>881141</v>
      </c>
      <c r="E27" s="16" t="n">
        <v>847695</v>
      </c>
      <c r="F27" s="16" t="n">
        <v>725107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3465</v>
      </c>
      <c r="C29" s="16" t="n">
        <v>5469</v>
      </c>
      <c r="D29" s="16" t="n">
        <v>704</v>
      </c>
      <c r="E29" s="16" t="n">
        <v>21613</v>
      </c>
      <c r="F29" s="16" t="n">
        <v>160742</v>
      </c>
    </row>
    <row r="30">
      <c r="A30" s="17" t="inlineStr">
        <is>
          <t>Omsætningsaktiver</t>
        </is>
      </c>
      <c r="B30" s="16" t="n">
        <v>773573</v>
      </c>
      <c r="C30" s="16" t="n">
        <v>2001266</v>
      </c>
      <c r="D30" s="16" t="n">
        <v>1382361</v>
      </c>
      <c r="E30" s="16" t="n">
        <v>1286909</v>
      </c>
      <c r="F30" s="16" t="n">
        <v>1318718</v>
      </c>
    </row>
    <row r="31">
      <c r="A31" s="17" t="inlineStr">
        <is>
          <t>Aktiver</t>
        </is>
      </c>
      <c r="B31" s="16" t="n">
        <v>1400290</v>
      </c>
      <c r="C31" s="16" t="n">
        <v>2980387</v>
      </c>
      <c r="D31" s="16" t="n">
        <v>2462248</v>
      </c>
      <c r="E31" s="16" t="n">
        <v>2420117</v>
      </c>
      <c r="F31" s="16" t="n">
        <v>2318494</v>
      </c>
    </row>
    <row r="32">
      <c r="A32" s="15" t="inlineStr">
        <is>
          <t>Selskabskapital</t>
        </is>
      </c>
      <c r="B32" s="16" t="n">
        <v>11000</v>
      </c>
      <c r="C32" s="16" t="n">
        <v>11000</v>
      </c>
      <c r="D32" s="16" t="n">
        <v>11000</v>
      </c>
      <c r="E32" s="16" t="n">
        <v>11000</v>
      </c>
      <c r="F32" s="16" t="n">
        <v>11000</v>
      </c>
    </row>
    <row r="33">
      <c r="A33" s="15" t="inlineStr">
        <is>
          <t>Reserve for nettoopskrivning (indre værdis metode)</t>
        </is>
      </c>
      <c r="B33" s="16" t="n">
        <v>356208</v>
      </c>
      <c r="C33" s="16" t="n">
        <v>642260</v>
      </c>
      <c r="D33" s="16" t="n">
        <v>551577</v>
      </c>
      <c r="E33" s="16" t="n">
        <v>612448</v>
      </c>
      <c r="F33" s="16" t="n">
        <v>435038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-998</v>
      </c>
      <c r="C35" s="16" t="n">
        <v>3552</v>
      </c>
      <c r="D35" s="16" t="n"/>
      <c r="E35" s="16" t="n"/>
      <c r="F35" s="16" t="n">
        <v>1188</v>
      </c>
    </row>
    <row r="36">
      <c r="A36" s="15" t="inlineStr">
        <is>
          <t>Andre reserver</t>
        </is>
      </c>
      <c r="B36" s="16" t="n"/>
      <c r="C36" s="16" t="n"/>
      <c r="D36" s="16" t="n">
        <v>286</v>
      </c>
      <c r="E36" s="16" t="n">
        <v>-161</v>
      </c>
      <c r="F36" s="16" t="n"/>
    </row>
    <row r="37">
      <c r="A37" s="15" t="inlineStr">
        <is>
          <t>Overført resultat</t>
        </is>
      </c>
      <c r="B37" s="16" t="n">
        <v>262801</v>
      </c>
      <c r="C37" s="16" t="n">
        <v>547647</v>
      </c>
      <c r="D37" s="16" t="n">
        <v>727500</v>
      </c>
      <c r="E37" s="16" t="n">
        <v>786320</v>
      </c>
      <c r="F37" s="16" t="n">
        <v>535354</v>
      </c>
    </row>
    <row r="38">
      <c r="A38" s="17" t="inlineStr">
        <is>
          <t>Egenkapital i alt</t>
        </is>
      </c>
      <c r="B38" s="16" t="n">
        <v>673011</v>
      </c>
      <c r="C38" s="16" t="n">
        <v>1226459</v>
      </c>
      <c r="D38" s="16" t="n">
        <v>1374363</v>
      </c>
      <c r="E38" s="16" t="n">
        <v>1409607</v>
      </c>
      <c r="F38" s="16" t="n">
        <v>1482580</v>
      </c>
    </row>
    <row r="39">
      <c r="A39" s="15" t="inlineStr">
        <is>
          <t>Hensættelse til udskudt skat</t>
        </is>
      </c>
      <c r="B39" s="16" t="n">
        <v>1341</v>
      </c>
      <c r="C39" s="16" t="n">
        <v>1045</v>
      </c>
      <c r="D39" s="16" t="n">
        <v>1580</v>
      </c>
      <c r="E39" s="16" t="n">
        <v>0</v>
      </c>
      <c r="F39" s="16" t="n"/>
    </row>
    <row r="40">
      <c r="A40" s="17" t="inlineStr">
        <is>
          <t>Hensatte forpligtelser</t>
        </is>
      </c>
      <c r="B40" s="16" t="n">
        <v>1341</v>
      </c>
      <c r="C40" s="16" t="n">
        <v>1045</v>
      </c>
      <c r="D40" s="16" t="n">
        <v>1580</v>
      </c>
      <c r="E40" s="16" t="n"/>
      <c r="F40" s="16" t="n"/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9818</v>
      </c>
      <c r="C43" s="16" t="n">
        <v>8023</v>
      </c>
      <c r="D43" s="16" t="n">
        <v>6228</v>
      </c>
      <c r="E43" s="16" t="n">
        <v>3435</v>
      </c>
      <c r="F43" s="16" t="n">
        <v>0</v>
      </c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25897</v>
      </c>
      <c r="C45" s="16" t="n">
        <v>65212</v>
      </c>
      <c r="D45" s="16" t="n">
        <v>6228</v>
      </c>
      <c r="E45" s="16" t="n">
        <v>3435</v>
      </c>
      <c r="F45" s="16" t="n">
        <v>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231880</v>
      </c>
      <c r="C48" s="16" t="n">
        <v>1127021</v>
      </c>
      <c r="D48" s="16" t="n">
        <v>572100</v>
      </c>
      <c r="E48" s="16" t="n">
        <v>279935</v>
      </c>
      <c r="F48" s="16" t="n">
        <v>192674</v>
      </c>
    </row>
    <row r="49">
      <c r="A49" s="15" t="inlineStr">
        <is>
          <t>Leasingforpligtelser (kortfristet)</t>
        </is>
      </c>
      <c r="B49" s="16" t="n">
        <v>1773</v>
      </c>
      <c r="C49" s="16" t="n">
        <v>1795</v>
      </c>
      <c r="D49" s="16" t="n">
        <v>1795</v>
      </c>
      <c r="E49" s="16" t="n">
        <v>1852</v>
      </c>
      <c r="F49" s="16" t="n">
        <v>3435</v>
      </c>
    </row>
    <row r="50">
      <c r="A50" s="15" t="inlineStr">
        <is>
          <t>Leverandører af varer og tjenesteydelser</t>
        </is>
      </c>
      <c r="B50" s="16" t="n">
        <v>82612</v>
      </c>
      <c r="C50" s="16" t="n">
        <v>156145</v>
      </c>
      <c r="D50" s="16" t="n">
        <v>91673</v>
      </c>
      <c r="E50" s="16" t="n">
        <v>84720</v>
      </c>
      <c r="F50" s="16" t="n">
        <v>67169</v>
      </c>
    </row>
    <row r="51">
      <c r="A51" s="15" t="inlineStr">
        <is>
          <t>Gæld til tilknyttede virksomheder</t>
        </is>
      </c>
      <c r="B51" s="16" t="n">
        <v>303706</v>
      </c>
      <c r="C51" s="16" t="n">
        <v>302530</v>
      </c>
      <c r="D51" s="16" t="n">
        <v>277786</v>
      </c>
      <c r="E51" s="16" t="n">
        <v>597196</v>
      </c>
      <c r="F51" s="16" t="n">
        <v>510420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2047</v>
      </c>
      <c r="C53" s="16" t="n">
        <v>17204</v>
      </c>
      <c r="D53" s="16" t="n">
        <v>57412</v>
      </c>
      <c r="E53" s="16" t="n">
        <v>0</v>
      </c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78023</v>
      </c>
      <c r="C55" s="16" t="n">
        <v>82976</v>
      </c>
      <c r="D55" s="16" t="n">
        <v>79311</v>
      </c>
      <c r="E55" s="16" t="n">
        <v>43372</v>
      </c>
      <c r="F55" s="16" t="n">
        <v>62216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700041</v>
      </c>
      <c r="C57" s="16" t="n">
        <v>1687671</v>
      </c>
      <c r="D57" s="16" t="n">
        <v>1080077</v>
      </c>
      <c r="E57" s="16" t="n">
        <v>1007075</v>
      </c>
      <c r="F57" s="16" t="n">
        <v>835914</v>
      </c>
    </row>
    <row r="58">
      <c r="A58" s="17" t="inlineStr">
        <is>
          <t>Gældsforpligtelser</t>
        </is>
      </c>
      <c r="B58" s="16" t="n">
        <v>725938</v>
      </c>
      <c r="C58" s="16" t="n">
        <v>1752883</v>
      </c>
      <c r="D58" s="16" t="n">
        <v>1086305</v>
      </c>
      <c r="E58" s="16" t="n">
        <v>1010510</v>
      </c>
      <c r="F58" s="16" t="n">
        <v>835914</v>
      </c>
    </row>
    <row r="59">
      <c r="A59" s="17" t="inlineStr">
        <is>
          <t>Passiver</t>
        </is>
      </c>
      <c r="B59" s="16" t="n">
        <v>1400290</v>
      </c>
      <c r="C59" s="16" t="n">
        <v>2980387</v>
      </c>
      <c r="D59" s="16" t="n">
        <v>2462248</v>
      </c>
      <c r="E59" s="16" t="n">
        <v>2420117</v>
      </c>
      <c r="F59" s="16" t="n">
        <v>2318494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Alumeco ApS (CVR 19851974) — Regnskabs- og nøgletal (CVR: 19851974)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'res_raw_19851974'!$F$2</f>
        <v/>
      </c>
      <c r="C5" s="24">
        <f>'res_raw_19851974'!$E$2</f>
        <v/>
      </c>
      <c r="D5" s="24">
        <f>'res_raw_19851974'!$D$2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'res_raw_19851974'!$F$3</f>
        <v/>
      </c>
      <c r="C6" s="24">
        <f>'res_raw_19851974'!$E$3</f>
        <v/>
      </c>
      <c r="D6" s="24">
        <f>'res_raw_19851974'!$D$3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-'res_raw_19851974'!$F$4</f>
        <v/>
      </c>
      <c r="C7" s="24">
        <f>-'res_raw_19851974'!$E$4</f>
        <v/>
      </c>
      <c r="D7" s="24">
        <f>-'res_raw_19851974'!$D$4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-'res_raw_19851974'!$F$5</f>
        <v/>
      </c>
      <c r="C8" s="24">
        <f>-'res_raw_19851974'!$E$5</f>
        <v/>
      </c>
      <c r="D8" s="24">
        <f>-'res_raw_19851974'!$D$5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-'res_raw_19851974'!$F$7</f>
        <v/>
      </c>
      <c r="C10" s="24">
        <f>-'res_raw_19851974'!$E$7</f>
        <v/>
      </c>
      <c r="D10" s="24">
        <f>-'res_raw_19851974'!$D$7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-'res_raw_19851974'!$F$9</f>
        <v/>
      </c>
      <c r="C11" s="24">
        <f>-'res_raw_19851974'!$E$9</f>
        <v/>
      </c>
      <c r="D11" s="24">
        <f>-'res_raw_19851974'!$D$9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-'res_raw_19851974'!$F$10</f>
        <v/>
      </c>
      <c r="C12" s="24">
        <f>-'res_raw_19851974'!$E$10</f>
        <v/>
      </c>
      <c r="D12" s="24">
        <f>-'res_raw_19851974'!$D$10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N('res_raw_19851974'!$F$12)+N('res_raw_19851974'!$F$13)</f>
        <v/>
      </c>
      <c r="C14" s="24">
        <f>N('res_raw_19851974'!$E$12)+N('res_raw_19851974'!$E$13)</f>
        <v/>
      </c>
      <c r="D14" s="24">
        <f>N('res_raw_19851974'!$D$12)+N('res_raw_19851974'!$D$13)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-'res_raw_19851974'!$F$14</f>
        <v/>
      </c>
      <c r="C15" s="24">
        <f>-'res_raw_19851974'!$E$14</f>
        <v/>
      </c>
      <c r="D15" s="24">
        <f>-'res_raw_19851974'!$D$14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'balance_raw_19851974'!$F$15</f>
        <v/>
      </c>
      <c r="C19" s="24">
        <f>'balance_raw_19851974'!$E$15</f>
        <v/>
      </c>
      <c r="D19" s="24">
        <f>'balance_raw_19851974'!$D$15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'balance_raw_19851974'!$F$30</f>
        <v/>
      </c>
      <c r="C20" s="24">
        <f>'balance_raw_19851974'!$E$30</f>
        <v/>
      </c>
      <c r="D20" s="24">
        <f>'balance_raw_19851974'!$D$30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'balance_raw_19851974'!$F$38</f>
        <v/>
      </c>
      <c r="C23" s="24">
        <f>'balance_raw_19851974'!$E$38</f>
        <v/>
      </c>
      <c r="D23" s="24">
        <f>'balance_raw_19851974'!$D$38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'balance_raw_19851974'!$F$59-'balance_raw_19851974'!$F$38</f>
        <v/>
      </c>
      <c r="C24" s="24">
        <f>'balance_raw_19851974'!$E$59-'balance_raw_19851974'!$E$38</f>
        <v/>
      </c>
      <c r="D24" s="24">
        <f>'balance_raw_19851974'!$D$59-'balance_raw_19851974'!$D$38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'balance_raw_19851974'!$F$19</f>
        <v/>
      </c>
      <c r="C28" s="24">
        <f>'balance_raw_19851974'!$E$19</f>
        <v/>
      </c>
      <c r="D28" s="24">
        <f>'balance_raw_19851974'!$D$19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'balance_raw_19851974'!$F$20</f>
        <v/>
      </c>
      <c r="C29" s="24">
        <f>'balance_raw_19851974'!$E$20</f>
        <v/>
      </c>
      <c r="D29" s="24">
        <f>'balance_raw_19851974'!$D$20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'balance_raw_19851974'!$F$57</f>
        <v/>
      </c>
      <c r="C30" s="24">
        <f>'balance_raw_19851974'!$E$57</f>
        <v/>
      </c>
      <c r="D30" s="24">
        <f>'balance_raw_19851974'!$D$57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IF('balance_raw_19851974'!$F$31="","—",IF(ABS(B21-'balance_raw_19851974'!$F$31)&lt;=1,"✓ OK","❌ "&amp;TEXT(B21-'balance_raw_19851974'!$F$31,"+#,##0;-#,##0")&amp;" t.kr."))</f>
        <v/>
      </c>
      <c r="C61" s="29">
        <f>IF('balance_raw_19851974'!$E$31="","—",IF(ABS(C21-'balance_raw_19851974'!$E$31)&lt;=1,"✓ OK","❌ "&amp;TEXT(C21-'balance_raw_19851974'!$E$31,"+#,##0;-#,##0")&amp;" t.kr."))</f>
        <v/>
      </c>
      <c r="D61" s="29">
        <f>IF('balance_raw_19851974'!$D$31="","—",IF(ABS(D21-'balance_raw_19851974'!$D$31)&lt;=1,"✓ OK","❌ "&amp;TEXT(D21-'balance_raw_19851974'!$D$31,"+#,##0;-#,##0")&amp;"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IF('balance_raw_19851974'!$F$59="","—",IF(ABS(B25-'balance_raw_19851974'!$F$59)&lt;=1,"✓ OK","❌ "&amp;TEXT(B25-'balance_raw_19851974'!$F$59,"+#,##0;-#,##0")&amp;" t.kr."))</f>
        <v/>
      </c>
      <c r="C62" s="29">
        <f>IF('balance_raw_19851974'!$E$59="","—",IF(ABS(C25-'balance_raw_19851974'!$E$59)&lt;=1,"✓ OK","❌ "&amp;TEXT(C25-'balance_raw_19851974'!$E$59,"+#,##0;-#,##0")&amp;" t.kr."))</f>
        <v/>
      </c>
      <c r="D62" s="29">
        <f>IF('balance_raw_19851974'!$D$59="","—",IF(ABS(D25-'balance_raw_19851974'!$D$59)&lt;=1,"✓ OK","❌ "&amp;TEXT(D25-'balance_raw_19851974'!$D$59,"+#,##0;-#,##0")&amp;"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IF('res_raw_19851974'!$F$6="","—",IF(ABS(B9-'res_raw_19851974'!$F$6)&lt;=1,"✓ OK","❌ "&amp;TEXT(B9-'res_raw_19851974'!$F$6,"+#,##0;-#,##0")&amp;" t.kr."))</f>
        <v/>
      </c>
      <c r="C64" s="29">
        <f>IF('res_raw_19851974'!$E$6="","—",IF(ABS(C9-'res_raw_19851974'!$E$6)&lt;=1,"✓ OK","❌ "&amp;TEXT(C9-'res_raw_19851974'!$E$6,"+#,##0;-#,##0")&amp;" t.kr."))</f>
        <v/>
      </c>
      <c r="D64" s="29">
        <f>IF('res_raw_19851974'!$D$6="","—",IF(ABS(D9-'res_raw_19851974'!$D$6)&lt;=1,"✓ OK","❌ "&amp;TEXT(D9-'res_raw_19851974'!$D$6,"+#,##0;-#,##0")&amp;"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IF('res_raw_19851974'!$F$11="","—",IF(ABS(B13-'res_raw_19851974'!$F$11)&lt;=1,"✓ OK","❌ "&amp;TEXT(B13-'res_raw_19851974'!$F$11,"+#,##0;-#,##0")&amp;" t.kr."))</f>
        <v/>
      </c>
      <c r="C65" s="29">
        <f>IF('res_raw_19851974'!$E$11="","—",IF(ABS(C13-'res_raw_19851974'!$E$11)&lt;=1,"✓ OK","❌ "&amp;TEXT(C13-'res_raw_19851974'!$E$11,"+#,##0;-#,##0")&amp;" t.kr."))</f>
        <v/>
      </c>
      <c r="D65" s="29">
        <f>IF('res_raw_19851974'!$D$11="","—",IF(ABS(D13-'res_raw_19851974'!$D$11)&lt;=1,"✓ OK","❌ "&amp;TEXT(D13-'res_raw_19851974'!$D$11,"+#,##0;-#,##0")&amp;"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IF('res_raw_19851974'!$F$16="","—",IF(ABS(B16-'res_raw_19851974'!$F$16)&lt;=1,"✓ OK","❌ "&amp;TEXT(B16-'res_raw_19851974'!$F$16,"+#,##0;-#,##0")&amp;" t.kr."))</f>
        <v/>
      </c>
      <c r="C66" s="29">
        <f>IF('res_raw_19851974'!$E$16="","—",IF(ABS(C16-'res_raw_19851974'!$E$16)&lt;=1,"✓ OK","❌ "&amp;TEXT(C16-'res_raw_19851974'!$E$16,"+#,##0;-#,##0")&amp;" t.kr."))</f>
        <v/>
      </c>
      <c r="D66" s="29">
        <f>IF('res_raw_19851974'!$D$16="","—",IF(ABS(D16-'res_raw_19851974'!$D$16)&lt;=1,"✓ OK","❌ "&amp;TEXT(D16-'res_raw_19851974'!$D$16,"+#,##0;-#,##0")&amp;"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Alumeco ApS (CVR 19851974)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>
        <v>27500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16079</v>
      </c>
      <c r="E4" s="38" t="n">
        <v>57189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fsa:PurchaseOfMinorityShares</t>
        </is>
      </c>
      <c r="C5" s="34" t="inlineStr">
        <is>
          <t>fsa:PurchaseOfMinorityShares</t>
        </is>
      </c>
      <c r="D5" s="35" t="n">
        <v>1859</v>
      </c>
      <c r="E5" s="35" t="n">
        <v>1671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2026-09-10T15:34:54Z</dcterms:created>
  <dcterms:modified xmlns:dcterms="http://purl.org/dc/terms/" xmlns:xsi="http://www.w3.org/2001/XMLSchema-instance" xsi:type="dcterms:W3CDTF">2026-09-10T15:34:55Z</dcterms:modified>
</cp:coreProperties>
</file>