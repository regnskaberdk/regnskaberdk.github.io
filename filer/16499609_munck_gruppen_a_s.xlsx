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6499609" sheetId="1" state="visible" r:id="rId1"/>
    <sheet xmlns:r="http://schemas.openxmlformats.org/officeDocument/2006/relationships" name="res_raw_16499609" sheetId="2" state="visible" r:id="rId2"/>
    <sheet xmlns:r="http://schemas.openxmlformats.org/officeDocument/2006/relationships" name="balance_raw_16499609" sheetId="3" state="visible" r:id="rId3"/>
    <sheet xmlns:r="http://schemas.openxmlformats.org/officeDocument/2006/relationships" name="pengestrom_raw_16499609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Munck Gruppen A/S (CVR 16499609)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'res_raw_16499609'!$B$2</f>
        <v/>
      </c>
      <c r="C4" s="5">
        <f>'res_raw_16499609'!$C$2</f>
        <v/>
      </c>
      <c r="D4" s="5">
        <f>'res_raw_16499609'!$D$2</f>
        <v/>
      </c>
      <c r="E4" s="5">
        <f>'res_raw_16499609'!$E$2</f>
        <v/>
      </c>
      <c r="F4" s="5">
        <f>'res_raw_16499609'!$F$2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'res_raw_16499609'!$B$3</f>
        <v/>
      </c>
      <c r="C5" s="8">
        <f>'res_raw_16499609'!$C$3</f>
        <v/>
      </c>
      <c r="D5" s="8">
        <f>'res_raw_16499609'!$D$3</f>
        <v/>
      </c>
      <c r="E5" s="8">
        <f>'res_raw_16499609'!$E$3</f>
        <v/>
      </c>
      <c r="F5" s="8">
        <f>'res_raw_16499609'!$F$3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'res_raw_16499609'!$B$4</f>
        <v/>
      </c>
      <c r="C6" s="8">
        <f>'res_raw_16499609'!$C$4</f>
        <v/>
      </c>
      <c r="D6" s="8">
        <f>'res_raw_16499609'!$D$4</f>
        <v/>
      </c>
      <c r="E6" s="8">
        <f>'res_raw_16499609'!$E$4</f>
        <v/>
      </c>
      <c r="F6" s="8">
        <f>'res_raw_16499609'!$F$4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'res_raw_16499609'!$B$5</f>
        <v/>
      </c>
      <c r="C7" s="8">
        <f>'res_raw_16499609'!$C$5</f>
        <v/>
      </c>
      <c r="D7" s="8">
        <f>'res_raw_16499609'!$D$5</f>
        <v/>
      </c>
      <c r="E7" s="8">
        <f>'res_raw_16499609'!$E$5</f>
        <v/>
      </c>
      <c r="F7" s="8">
        <f>'res_raw_16499609'!$F$5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'res_raw_16499609'!$B$6</f>
        <v/>
      </c>
      <c r="C8" s="8">
        <f>'res_raw_16499609'!$C$6</f>
        <v/>
      </c>
      <c r="D8" s="8">
        <f>'res_raw_16499609'!$D$6</f>
        <v/>
      </c>
      <c r="E8" s="8">
        <f>'res_raw_16499609'!$E$6</f>
        <v/>
      </c>
      <c r="F8" s="8">
        <f>'res_raw_16499609'!$F$6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'res_raw_16499609'!$B$7</f>
        <v/>
      </c>
      <c r="C9" s="11">
        <f>'res_raw_16499609'!$C$7</f>
        <v/>
      </c>
      <c r="D9" s="11">
        <f>'res_raw_16499609'!$D$7</f>
        <v/>
      </c>
      <c r="E9" s="11">
        <f>'res_raw_16499609'!$E$7</f>
        <v/>
      </c>
      <c r="F9" s="11">
        <f>'res_raw_16499609'!$F$7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'res_raw_16499609'!$B$8</f>
        <v/>
      </c>
      <c r="C10" s="5">
        <f>'res_raw_16499609'!$C$8</f>
        <v/>
      </c>
      <c r="D10" s="5">
        <f>'res_raw_16499609'!$D$8</f>
        <v/>
      </c>
      <c r="E10" s="5">
        <f>'res_raw_16499609'!$E$8</f>
        <v/>
      </c>
      <c r="F10" s="5">
        <f>'res_raw_16499609'!$F$8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IFERROR($B$6-ABS($B$7)-ABS($B$8)+$B$9-ABS($B$10),"")</f>
        <v/>
      </c>
      <c r="C11" s="8">
        <f>IFERROR($C$6-ABS($C$7)-ABS($C$8)+$C$9-ABS($C$10),"")</f>
        <v/>
      </c>
      <c r="D11" s="8">
        <f>IFERROR($D$6-ABS($D$7)-ABS($D$8)+$D$9-ABS($D$10),"")</f>
        <v/>
      </c>
      <c r="E11" s="8">
        <f>IFERROR($E$6-ABS($E$7)-ABS($E$8)+$E$9-ABS($E$10),"")</f>
        <v/>
      </c>
      <c r="F11" s="8">
        <f>IFERROR($F$6-ABS($F$7)-ABS($F$8)+$F$9-ABS($F$10),"")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'res_raw_16499609'!$B$10</f>
        <v/>
      </c>
      <c r="C12" s="5">
        <f>'res_raw_16499609'!$C$10</f>
        <v/>
      </c>
      <c r="D12" s="5">
        <f>'res_raw_16499609'!$D$10</f>
        <v/>
      </c>
      <c r="E12" s="5">
        <f>'res_raw_16499609'!$E$10</f>
        <v/>
      </c>
      <c r="F12" s="5">
        <f>'res_raw_16499609'!$F$10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'res_raw_16499609'!$B$11</f>
        <v/>
      </c>
      <c r="C13" s="11">
        <f>'res_raw_16499609'!$C$11</f>
        <v/>
      </c>
      <c r="D13" s="11">
        <f>'res_raw_16499609'!$D$11</f>
        <v/>
      </c>
      <c r="E13" s="11">
        <f>'res_raw_16499609'!$E$11</f>
        <v/>
      </c>
      <c r="F13" s="11">
        <f>'res_raw_16499609'!$F$11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'res_raw_16499609'!$B$12</f>
        <v/>
      </c>
      <c r="C14" s="5">
        <f>'res_raw_16499609'!$C$12</f>
        <v/>
      </c>
      <c r="D14" s="5">
        <f>'res_raw_16499609'!$D$12</f>
        <v/>
      </c>
      <c r="E14" s="5">
        <f>'res_raw_16499609'!$E$12</f>
        <v/>
      </c>
      <c r="F14" s="5">
        <f>'res_raw_16499609'!$F$12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'res_raw_16499609'!$B$13</f>
        <v/>
      </c>
      <c r="C15" s="8">
        <f>'res_raw_16499609'!$C$13</f>
        <v/>
      </c>
      <c r="D15" s="8">
        <f>'res_raw_16499609'!$D$13</f>
        <v/>
      </c>
      <c r="E15" s="8">
        <f>'res_raw_16499609'!$E$13</f>
        <v/>
      </c>
      <c r="F15" s="8">
        <f>'res_raw_16499609'!$F$13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'res_raw_16499609'!$B$14</f>
        <v/>
      </c>
      <c r="C16" s="8">
        <f>'res_raw_16499609'!$C$14</f>
        <v/>
      </c>
      <c r="D16" s="8">
        <f>'res_raw_16499609'!$D$14</f>
        <v/>
      </c>
      <c r="E16" s="8">
        <f>'res_raw_16499609'!$E$14</f>
        <v/>
      </c>
      <c r="F16" s="8">
        <f>'res_raw_16499609'!$F$14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'res_raw_16499609'!$B$15</f>
        <v/>
      </c>
      <c r="C17" s="11">
        <f>'res_raw_16499609'!$C$15</f>
        <v/>
      </c>
      <c r="D17" s="11">
        <f>'res_raw_16499609'!$D$15</f>
        <v/>
      </c>
      <c r="E17" s="11">
        <f>'res_raw_16499609'!$E$15</f>
        <v/>
      </c>
      <c r="F17" s="11">
        <f>'res_raw_16499609'!$F$15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'res_raw_16499609'!$B$16</f>
        <v/>
      </c>
      <c r="C18" s="8">
        <f>'res_raw_16499609'!$C$16</f>
        <v/>
      </c>
      <c r="D18" s="8">
        <f>'res_raw_16499609'!$D$16</f>
        <v/>
      </c>
      <c r="E18" s="8">
        <f>'res_raw_16499609'!$E$16</f>
        <v/>
      </c>
      <c r="F18" s="8">
        <f>'res_raw_16499609'!$F$16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'balance_raw_16499609'!$B$2</f>
        <v/>
      </c>
      <c r="C21" s="11">
        <f>'balance_raw_16499609'!$C$2</f>
        <v/>
      </c>
      <c r="D21" s="11">
        <f>'balance_raw_16499609'!$D$2</f>
        <v/>
      </c>
      <c r="E21" s="11">
        <f>'balance_raw_16499609'!$E$2</f>
        <v/>
      </c>
      <c r="F21" s="11">
        <f>'balance_raw_16499609'!$F$2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'balance_raw_16499609'!$B$3</f>
        <v/>
      </c>
      <c r="C22" s="5">
        <f>'balance_raw_16499609'!$C$3</f>
        <v/>
      </c>
      <c r="D22" s="5">
        <f>'balance_raw_16499609'!$D$3</f>
        <v/>
      </c>
      <c r="E22" s="5">
        <f>'balance_raw_16499609'!$E$3</f>
        <v/>
      </c>
      <c r="F22" s="5">
        <f>'balance_raw_16499609'!$F$3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'balance_raw_16499609'!$B$4</f>
        <v/>
      </c>
      <c r="C23" s="11">
        <f>'balance_raw_16499609'!$C$4</f>
        <v/>
      </c>
      <c r="D23" s="11">
        <f>'balance_raw_16499609'!$D$4</f>
        <v/>
      </c>
      <c r="E23" s="11">
        <f>'balance_raw_16499609'!$E$4</f>
        <v/>
      </c>
      <c r="F23" s="11">
        <f>'balance_raw_16499609'!$F$4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'balance_raw_16499609'!$B$5</f>
        <v/>
      </c>
      <c r="C24" s="8">
        <f>'balance_raw_16499609'!$C$5</f>
        <v/>
      </c>
      <c r="D24" s="8">
        <f>'balance_raw_16499609'!$D$5</f>
        <v/>
      </c>
      <c r="E24" s="8">
        <f>'balance_raw_16499609'!$E$5</f>
        <v/>
      </c>
      <c r="F24" s="8">
        <f>'balance_raw_16499609'!$F$5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'balance_raw_16499609'!$B$6</f>
        <v/>
      </c>
      <c r="C25" s="11">
        <f>'balance_raw_16499609'!$C$6</f>
        <v/>
      </c>
      <c r="D25" s="11">
        <f>'balance_raw_16499609'!$D$6</f>
        <v/>
      </c>
      <c r="E25" s="11">
        <f>'balance_raw_16499609'!$E$6</f>
        <v/>
      </c>
      <c r="F25" s="11">
        <f>'balance_raw_16499609'!$F$6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'balance_raw_16499609'!$B$7</f>
        <v/>
      </c>
      <c r="C26" s="5">
        <f>'balance_raw_16499609'!$C$7</f>
        <v/>
      </c>
      <c r="D26" s="5">
        <f>'balance_raw_16499609'!$D$7</f>
        <v/>
      </c>
      <c r="E26" s="5">
        <f>'balance_raw_16499609'!$E$7</f>
        <v/>
      </c>
      <c r="F26" s="5">
        <f>'balance_raw_16499609'!$F$7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'balance_raw_16499609'!$B$8</f>
        <v/>
      </c>
      <c r="C27" s="11">
        <f>'balance_raw_16499609'!$C$8</f>
        <v/>
      </c>
      <c r="D27" s="11">
        <f>'balance_raw_16499609'!$D$8</f>
        <v/>
      </c>
      <c r="E27" s="11">
        <f>'balance_raw_16499609'!$E$8</f>
        <v/>
      </c>
      <c r="F27" s="11">
        <f>'balance_raw_16499609'!$F$8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'balance_raw_16499609'!$B$9</f>
        <v/>
      </c>
      <c r="C28" s="5">
        <f>'balance_raw_16499609'!$C$9</f>
        <v/>
      </c>
      <c r="D28" s="5">
        <f>'balance_raw_16499609'!$D$9</f>
        <v/>
      </c>
      <c r="E28" s="5">
        <f>'balance_raw_16499609'!$E$9</f>
        <v/>
      </c>
      <c r="F28" s="5">
        <f>'balance_raw_16499609'!$F$9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'balance_raw_16499609'!$B$10</f>
        <v/>
      </c>
      <c r="C29" s="11">
        <f>'balance_raw_16499609'!$C$10</f>
        <v/>
      </c>
      <c r="D29" s="11">
        <f>'balance_raw_16499609'!$D$10</f>
        <v/>
      </c>
      <c r="E29" s="11">
        <f>'balance_raw_16499609'!$E$10</f>
        <v/>
      </c>
      <c r="F29" s="11">
        <f>'balance_raw_16499609'!$F$10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'balance_raw_16499609'!$B$11</f>
        <v/>
      </c>
      <c r="C30" s="8">
        <f>'balance_raw_16499609'!$C$11</f>
        <v/>
      </c>
      <c r="D30" s="8">
        <f>'balance_raw_16499609'!$D$11</f>
        <v/>
      </c>
      <c r="E30" s="8">
        <f>'balance_raw_16499609'!$E$11</f>
        <v/>
      </c>
      <c r="F30" s="8">
        <f>'balance_raw_16499609'!$F$11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'balance_raw_16499609'!$B$12</f>
        <v/>
      </c>
      <c r="C31" s="11">
        <f>'balance_raw_16499609'!$C$12</f>
        <v/>
      </c>
      <c r="D31" s="11">
        <f>'balance_raw_16499609'!$D$12</f>
        <v/>
      </c>
      <c r="E31" s="11">
        <f>'balance_raw_16499609'!$E$12</f>
        <v/>
      </c>
      <c r="F31" s="11">
        <f>'balance_raw_16499609'!$F$12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'balance_raw_16499609'!$B$13</f>
        <v/>
      </c>
      <c r="C32" s="5">
        <f>'balance_raw_16499609'!$C$13</f>
        <v/>
      </c>
      <c r="D32" s="5">
        <f>'balance_raw_16499609'!$D$13</f>
        <v/>
      </c>
      <c r="E32" s="5">
        <f>'balance_raw_16499609'!$E$13</f>
        <v/>
      </c>
      <c r="F32" s="5">
        <f>'balance_raw_16499609'!$F$13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'balance_raw_16499609'!$B$14</f>
        <v/>
      </c>
      <c r="C33" s="8">
        <f>'balance_raw_16499609'!$C$14</f>
        <v/>
      </c>
      <c r="D33" s="8">
        <f>'balance_raw_16499609'!$D$14</f>
        <v/>
      </c>
      <c r="E33" s="8">
        <f>'balance_raw_16499609'!$E$14</f>
        <v/>
      </c>
      <c r="F33" s="8">
        <f>'balance_raw_16499609'!$F$14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'balance_raw_16499609'!$B$15</f>
        <v/>
      </c>
      <c r="C34" s="8">
        <f>'balance_raw_16499609'!$C$15</f>
        <v/>
      </c>
      <c r="D34" s="8">
        <f>'balance_raw_16499609'!$D$15</f>
        <v/>
      </c>
      <c r="E34" s="8">
        <f>'balance_raw_16499609'!$E$15</f>
        <v/>
      </c>
      <c r="F34" s="8">
        <f>'balance_raw_16499609'!$F$15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'balance_raw_16499609'!$B$16</f>
        <v/>
      </c>
      <c r="C35" s="11">
        <f>'balance_raw_16499609'!$C$16</f>
        <v/>
      </c>
      <c r="D35" s="11">
        <f>'balance_raw_16499609'!$D$16</f>
        <v/>
      </c>
      <c r="E35" s="11">
        <f>'balance_raw_16499609'!$E$16</f>
        <v/>
      </c>
      <c r="F35" s="11">
        <f>'balance_raw_16499609'!$F$16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'balance_raw_16499609'!$B$17</f>
        <v/>
      </c>
      <c r="C36" s="5">
        <f>'balance_raw_16499609'!$C$17</f>
        <v/>
      </c>
      <c r="D36" s="5">
        <f>'balance_raw_16499609'!$D$17</f>
        <v/>
      </c>
      <c r="E36" s="5">
        <f>'balance_raw_16499609'!$E$17</f>
        <v/>
      </c>
      <c r="F36" s="5">
        <f>'balance_raw_16499609'!$F$17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'balance_raw_16499609'!$B$18</f>
        <v/>
      </c>
      <c r="C37" s="11">
        <f>'balance_raw_16499609'!$C$18</f>
        <v/>
      </c>
      <c r="D37" s="11">
        <f>'balance_raw_16499609'!$D$18</f>
        <v/>
      </c>
      <c r="E37" s="11">
        <f>'balance_raw_16499609'!$E$18</f>
        <v/>
      </c>
      <c r="F37" s="11">
        <f>'balance_raw_16499609'!$F$18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'balance_raw_16499609'!$B$19</f>
        <v/>
      </c>
      <c r="C38" s="8">
        <f>'balance_raw_16499609'!$C$19</f>
        <v/>
      </c>
      <c r="D38" s="8">
        <f>'balance_raw_16499609'!$D$19</f>
        <v/>
      </c>
      <c r="E38" s="8">
        <f>'balance_raw_16499609'!$E$19</f>
        <v/>
      </c>
      <c r="F38" s="8">
        <f>'balance_raw_16499609'!$F$19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'balance_raw_16499609'!$B$20</f>
        <v/>
      </c>
      <c r="C39" s="11">
        <f>'balance_raw_16499609'!$C$20</f>
        <v/>
      </c>
      <c r="D39" s="11">
        <f>'balance_raw_16499609'!$D$20</f>
        <v/>
      </c>
      <c r="E39" s="11">
        <f>'balance_raw_16499609'!$E$20</f>
        <v/>
      </c>
      <c r="F39" s="11">
        <f>'balance_raw_16499609'!$F$20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'balance_raw_16499609'!$B$21</f>
        <v/>
      </c>
      <c r="C40" s="5">
        <f>'balance_raw_16499609'!$C$21</f>
        <v/>
      </c>
      <c r="D40" s="5">
        <f>'balance_raw_16499609'!$D$21</f>
        <v/>
      </c>
      <c r="E40" s="5">
        <f>'balance_raw_16499609'!$E$21</f>
        <v/>
      </c>
      <c r="F40" s="5">
        <f>'balance_raw_16499609'!$F$21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'balance_raw_16499609'!$B$22</f>
        <v/>
      </c>
      <c r="C41" s="11">
        <f>'balance_raw_16499609'!$C$22</f>
        <v/>
      </c>
      <c r="D41" s="11">
        <f>'balance_raw_16499609'!$D$22</f>
        <v/>
      </c>
      <c r="E41" s="11">
        <f>'balance_raw_16499609'!$E$22</f>
        <v/>
      </c>
      <c r="F41" s="11">
        <f>'balance_raw_16499609'!$F$22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'balance_raw_16499609'!$B$23</f>
        <v/>
      </c>
      <c r="C42" s="5">
        <f>'balance_raw_16499609'!$C$23</f>
        <v/>
      </c>
      <c r="D42" s="5">
        <f>'balance_raw_16499609'!$D$23</f>
        <v/>
      </c>
      <c r="E42" s="5">
        <f>'balance_raw_16499609'!$E$23</f>
        <v/>
      </c>
      <c r="F42" s="5">
        <f>'balance_raw_16499609'!$F$23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'balance_raw_16499609'!$B$24</f>
        <v/>
      </c>
      <c r="C43" s="11">
        <f>'balance_raw_16499609'!$C$24</f>
        <v/>
      </c>
      <c r="D43" s="11">
        <f>'balance_raw_16499609'!$D$24</f>
        <v/>
      </c>
      <c r="E43" s="11">
        <f>'balance_raw_16499609'!$E$24</f>
        <v/>
      </c>
      <c r="F43" s="11">
        <f>'balance_raw_16499609'!$F$24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'balance_raw_16499609'!$B$25</f>
        <v/>
      </c>
      <c r="C44" s="5">
        <f>'balance_raw_16499609'!$C$25</f>
        <v/>
      </c>
      <c r="D44" s="5">
        <f>'balance_raw_16499609'!$D$25</f>
        <v/>
      </c>
      <c r="E44" s="5">
        <f>'balance_raw_16499609'!$E$25</f>
        <v/>
      </c>
      <c r="F44" s="5">
        <f>'balance_raw_16499609'!$F$25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'balance_raw_16499609'!$B$26</f>
        <v/>
      </c>
      <c r="C45" s="11">
        <f>'balance_raw_16499609'!$C$26</f>
        <v/>
      </c>
      <c r="D45" s="11">
        <f>'balance_raw_16499609'!$D$26</f>
        <v/>
      </c>
      <c r="E45" s="11">
        <f>'balance_raw_16499609'!$E$26</f>
        <v/>
      </c>
      <c r="F45" s="11">
        <f>'balance_raw_16499609'!$F$26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'balance_raw_16499609'!$B$27</f>
        <v/>
      </c>
      <c r="C46" s="8">
        <f>'balance_raw_16499609'!$C$27</f>
        <v/>
      </c>
      <c r="D46" s="8">
        <f>'balance_raw_16499609'!$D$27</f>
        <v/>
      </c>
      <c r="E46" s="8">
        <f>'balance_raw_16499609'!$E$27</f>
        <v/>
      </c>
      <c r="F46" s="8">
        <f>'balance_raw_16499609'!$F$27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'balance_raw_16499609'!$B$28</f>
        <v/>
      </c>
      <c r="C47" s="11">
        <f>'balance_raw_16499609'!$C$28</f>
        <v/>
      </c>
      <c r="D47" s="11">
        <f>'balance_raw_16499609'!$D$28</f>
        <v/>
      </c>
      <c r="E47" s="11">
        <f>'balance_raw_16499609'!$E$28</f>
        <v/>
      </c>
      <c r="F47" s="11">
        <f>'balance_raw_16499609'!$F$28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'balance_raw_16499609'!$B$29</f>
        <v/>
      </c>
      <c r="C48" s="5">
        <f>'balance_raw_16499609'!$C$29</f>
        <v/>
      </c>
      <c r="D48" s="5">
        <f>'balance_raw_16499609'!$D$29</f>
        <v/>
      </c>
      <c r="E48" s="5">
        <f>'balance_raw_16499609'!$E$29</f>
        <v/>
      </c>
      <c r="F48" s="5">
        <f>'balance_raw_16499609'!$F$29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'balance_raw_16499609'!$B$30</f>
        <v/>
      </c>
      <c r="C49" s="8">
        <f>'balance_raw_16499609'!$C$30</f>
        <v/>
      </c>
      <c r="D49" s="8">
        <f>'balance_raw_16499609'!$D$30</f>
        <v/>
      </c>
      <c r="E49" s="8">
        <f>'balance_raw_16499609'!$E$30</f>
        <v/>
      </c>
      <c r="F49" s="8">
        <f>'balance_raw_16499609'!$F$30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'balance_raw_16499609'!$B$31</f>
        <v/>
      </c>
      <c r="C50" s="8">
        <f>'balance_raw_16499609'!$C$31</f>
        <v/>
      </c>
      <c r="D50" s="8">
        <f>'balance_raw_16499609'!$D$31</f>
        <v/>
      </c>
      <c r="E50" s="8">
        <f>'balance_raw_16499609'!$E$31</f>
        <v/>
      </c>
      <c r="F50" s="8">
        <f>'balance_raw_16499609'!$F$31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'balance_raw_16499609'!$B$32</f>
        <v/>
      </c>
      <c r="C53" s="11">
        <f>'balance_raw_16499609'!$C$32</f>
        <v/>
      </c>
      <c r="D53" s="11">
        <f>'balance_raw_16499609'!$D$32</f>
        <v/>
      </c>
      <c r="E53" s="11">
        <f>'balance_raw_16499609'!$E$32</f>
        <v/>
      </c>
      <c r="F53" s="11">
        <f>'balance_raw_16499609'!$F$32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'balance_raw_16499609'!$B$33</f>
        <v/>
      </c>
      <c r="C54" s="5">
        <f>'balance_raw_16499609'!$C$33</f>
        <v/>
      </c>
      <c r="D54" s="5">
        <f>'balance_raw_16499609'!$D$33</f>
        <v/>
      </c>
      <c r="E54" s="5">
        <f>'balance_raw_16499609'!$E$33</f>
        <v/>
      </c>
      <c r="F54" s="5">
        <f>'balance_raw_16499609'!$F$33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'balance_raw_16499609'!$B$34</f>
        <v/>
      </c>
      <c r="C55" s="11">
        <f>'balance_raw_16499609'!$C$34</f>
        <v/>
      </c>
      <c r="D55" s="11">
        <f>'balance_raw_16499609'!$D$34</f>
        <v/>
      </c>
      <c r="E55" s="11">
        <f>'balance_raw_16499609'!$E$34</f>
        <v/>
      </c>
      <c r="F55" s="11">
        <f>'balance_raw_16499609'!$F$34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'balance_raw_16499609'!$B$35</f>
        <v/>
      </c>
      <c r="C56" s="5">
        <f>'balance_raw_16499609'!$C$35</f>
        <v/>
      </c>
      <c r="D56" s="5">
        <f>'balance_raw_16499609'!$D$35</f>
        <v/>
      </c>
      <c r="E56" s="5">
        <f>'balance_raw_16499609'!$E$35</f>
        <v/>
      </c>
      <c r="F56" s="5">
        <f>'balance_raw_16499609'!$F$35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'balance_raw_16499609'!$B$36</f>
        <v/>
      </c>
      <c r="C57" s="11">
        <f>'balance_raw_16499609'!$C$36</f>
        <v/>
      </c>
      <c r="D57" s="11">
        <f>'balance_raw_16499609'!$D$36</f>
        <v/>
      </c>
      <c r="E57" s="11">
        <f>'balance_raw_16499609'!$E$36</f>
        <v/>
      </c>
      <c r="F57" s="11">
        <f>'balance_raw_16499609'!$F$36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'balance_raw_16499609'!$B$37</f>
        <v/>
      </c>
      <c r="C58" s="5">
        <f>'balance_raw_16499609'!$C$37</f>
        <v/>
      </c>
      <c r="D58" s="5">
        <f>'balance_raw_16499609'!$D$37</f>
        <v/>
      </c>
      <c r="E58" s="5">
        <f>'balance_raw_16499609'!$E$37</f>
        <v/>
      </c>
      <c r="F58" s="5">
        <f>'balance_raw_16499609'!$F$37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'balance_raw_16499609'!$B$38</f>
        <v/>
      </c>
      <c r="C59" s="8">
        <f>'balance_raw_16499609'!$C$38</f>
        <v/>
      </c>
      <c r="D59" s="8">
        <f>'balance_raw_16499609'!$D$38</f>
        <v/>
      </c>
      <c r="E59" s="8">
        <f>'balance_raw_16499609'!$E$38</f>
        <v/>
      </c>
      <c r="F59" s="8">
        <f>'balance_raw_16499609'!$F$38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'balance_raw_16499609'!$B$39</f>
        <v/>
      </c>
      <c r="C60" s="5">
        <f>'balance_raw_16499609'!$C$39</f>
        <v/>
      </c>
      <c r="D60" s="5">
        <f>'balance_raw_16499609'!$D$39</f>
        <v/>
      </c>
      <c r="E60" s="5">
        <f>'balance_raw_16499609'!$E$39</f>
        <v/>
      </c>
      <c r="F60" s="5">
        <f>'balance_raw_16499609'!$F$39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'balance_raw_16499609'!$B$40</f>
        <v/>
      </c>
      <c r="C61" s="8">
        <f>'balance_raw_16499609'!$C$40</f>
        <v/>
      </c>
      <c r="D61" s="8">
        <f>'balance_raw_16499609'!$D$40</f>
        <v/>
      </c>
      <c r="E61" s="8">
        <f>'balance_raw_16499609'!$E$40</f>
        <v/>
      </c>
      <c r="F61" s="8">
        <f>'balance_raw_16499609'!$F$40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'balance_raw_16499609'!$B$41</f>
        <v/>
      </c>
      <c r="C62" s="5">
        <f>'balance_raw_16499609'!$C$41</f>
        <v/>
      </c>
      <c r="D62" s="5">
        <f>'balance_raw_16499609'!$D$41</f>
        <v/>
      </c>
      <c r="E62" s="5">
        <f>'balance_raw_16499609'!$E$41</f>
        <v/>
      </c>
      <c r="F62" s="5">
        <f>'balance_raw_16499609'!$F$41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'balance_raw_16499609'!$B$42</f>
        <v/>
      </c>
      <c r="C63" s="11">
        <f>'balance_raw_16499609'!$C$42</f>
        <v/>
      </c>
      <c r="D63" s="11">
        <f>'balance_raw_16499609'!$D$42</f>
        <v/>
      </c>
      <c r="E63" s="11">
        <f>'balance_raw_16499609'!$E$42</f>
        <v/>
      </c>
      <c r="F63" s="11">
        <f>'balance_raw_16499609'!$F$42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'balance_raw_16499609'!$B$43</f>
        <v/>
      </c>
      <c r="C64" s="5">
        <f>'balance_raw_16499609'!$C$43</f>
        <v/>
      </c>
      <c r="D64" s="5">
        <f>'balance_raw_16499609'!$D$43</f>
        <v/>
      </c>
      <c r="E64" s="5">
        <f>'balance_raw_16499609'!$E$43</f>
        <v/>
      </c>
      <c r="F64" s="5">
        <f>'balance_raw_16499609'!$F$43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'balance_raw_16499609'!$B$44</f>
        <v/>
      </c>
      <c r="C65" s="11">
        <f>'balance_raw_16499609'!$C$44</f>
        <v/>
      </c>
      <c r="D65" s="11">
        <f>'balance_raw_16499609'!$D$44</f>
        <v/>
      </c>
      <c r="E65" s="11">
        <f>'balance_raw_16499609'!$E$44</f>
        <v/>
      </c>
      <c r="F65" s="11">
        <f>'balance_raw_16499609'!$F$44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'balance_raw_16499609'!$B$45</f>
        <v/>
      </c>
      <c r="C66" s="8">
        <f>'balance_raw_16499609'!$C$45</f>
        <v/>
      </c>
      <c r="D66" s="8">
        <f>'balance_raw_16499609'!$D$45</f>
        <v/>
      </c>
      <c r="E66" s="8">
        <f>'balance_raw_16499609'!$E$45</f>
        <v/>
      </c>
      <c r="F66" s="8">
        <f>'balance_raw_16499609'!$F$45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'balance_raw_16499609'!$B$46</f>
        <v/>
      </c>
      <c r="C67" s="11">
        <f>'balance_raw_16499609'!$C$46</f>
        <v/>
      </c>
      <c r="D67" s="11">
        <f>'balance_raw_16499609'!$D$46</f>
        <v/>
      </c>
      <c r="E67" s="11">
        <f>'balance_raw_16499609'!$E$46</f>
        <v/>
      </c>
      <c r="F67" s="11">
        <f>'balance_raw_16499609'!$F$46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'balance_raw_16499609'!$B$47</f>
        <v/>
      </c>
      <c r="C68" s="5">
        <f>'balance_raw_16499609'!$C$47</f>
        <v/>
      </c>
      <c r="D68" s="5">
        <f>'balance_raw_16499609'!$D$47</f>
        <v/>
      </c>
      <c r="E68" s="5">
        <f>'balance_raw_16499609'!$E$47</f>
        <v/>
      </c>
      <c r="F68" s="5">
        <f>'balance_raw_16499609'!$F$47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'balance_raw_16499609'!$B$48</f>
        <v/>
      </c>
      <c r="C69" s="11">
        <f>'balance_raw_16499609'!$C$48</f>
        <v/>
      </c>
      <c r="D69" s="11">
        <f>'balance_raw_16499609'!$D$48</f>
        <v/>
      </c>
      <c r="E69" s="11">
        <f>'balance_raw_16499609'!$E$48</f>
        <v/>
      </c>
      <c r="F69" s="11">
        <f>'balance_raw_16499609'!$F$48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'balance_raw_16499609'!$B$49</f>
        <v/>
      </c>
      <c r="C70" s="5">
        <f>'balance_raw_16499609'!$C$49</f>
        <v/>
      </c>
      <c r="D70" s="5">
        <f>'balance_raw_16499609'!$D$49</f>
        <v/>
      </c>
      <c r="E70" s="5">
        <f>'balance_raw_16499609'!$E$49</f>
        <v/>
      </c>
      <c r="F70" s="5">
        <f>'balance_raw_16499609'!$F$49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'balance_raw_16499609'!$B$50</f>
        <v/>
      </c>
      <c r="C71" s="11">
        <f>'balance_raw_16499609'!$C$50</f>
        <v/>
      </c>
      <c r="D71" s="11">
        <f>'balance_raw_16499609'!$D$50</f>
        <v/>
      </c>
      <c r="E71" s="11">
        <f>'balance_raw_16499609'!$E$50</f>
        <v/>
      </c>
      <c r="F71" s="11">
        <f>'balance_raw_16499609'!$F$50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'balance_raw_16499609'!$B$51</f>
        <v/>
      </c>
      <c r="C72" s="5">
        <f>'balance_raw_16499609'!$C$51</f>
        <v/>
      </c>
      <c r="D72" s="5">
        <f>'balance_raw_16499609'!$D$51</f>
        <v/>
      </c>
      <c r="E72" s="5">
        <f>'balance_raw_16499609'!$E$51</f>
        <v/>
      </c>
      <c r="F72" s="5">
        <f>'balance_raw_16499609'!$F$51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'balance_raw_16499609'!$B$52</f>
        <v/>
      </c>
      <c r="C73" s="11">
        <f>'balance_raw_16499609'!$C$52</f>
        <v/>
      </c>
      <c r="D73" s="11">
        <f>'balance_raw_16499609'!$D$52</f>
        <v/>
      </c>
      <c r="E73" s="11">
        <f>'balance_raw_16499609'!$E$52</f>
        <v/>
      </c>
      <c r="F73" s="11">
        <f>'balance_raw_16499609'!$F$52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'balance_raw_16499609'!$B$53</f>
        <v/>
      </c>
      <c r="C74" s="5">
        <f>'balance_raw_16499609'!$C$53</f>
        <v/>
      </c>
      <c r="D74" s="5">
        <f>'balance_raw_16499609'!$D$53</f>
        <v/>
      </c>
      <c r="E74" s="5">
        <f>'balance_raw_16499609'!$E$53</f>
        <v/>
      </c>
      <c r="F74" s="5">
        <f>'balance_raw_16499609'!$F$53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'balance_raw_16499609'!$B$54</f>
        <v/>
      </c>
      <c r="C75" s="11">
        <f>'balance_raw_16499609'!$C$54</f>
        <v/>
      </c>
      <c r="D75" s="11">
        <f>'balance_raw_16499609'!$D$54</f>
        <v/>
      </c>
      <c r="E75" s="11">
        <f>'balance_raw_16499609'!$E$54</f>
        <v/>
      </c>
      <c r="F75" s="11">
        <f>'balance_raw_16499609'!$F$54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'balance_raw_16499609'!$B$55</f>
        <v/>
      </c>
      <c r="C76" s="5">
        <f>'balance_raw_16499609'!$C$55</f>
        <v/>
      </c>
      <c r="D76" s="5">
        <f>'balance_raw_16499609'!$D$55</f>
        <v/>
      </c>
      <c r="E76" s="5">
        <f>'balance_raw_16499609'!$E$55</f>
        <v/>
      </c>
      <c r="F76" s="5">
        <f>'balance_raw_16499609'!$F$55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'balance_raw_16499609'!$B$56</f>
        <v/>
      </c>
      <c r="C77" s="11">
        <f>'balance_raw_16499609'!$C$56</f>
        <v/>
      </c>
      <c r="D77" s="11">
        <f>'balance_raw_16499609'!$D$56</f>
        <v/>
      </c>
      <c r="E77" s="11">
        <f>'balance_raw_16499609'!$E$56</f>
        <v/>
      </c>
      <c r="F77" s="11">
        <f>'balance_raw_16499609'!$F$56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'balance_raw_16499609'!$B$57</f>
        <v/>
      </c>
      <c r="C78" s="8">
        <f>'balance_raw_16499609'!$C$57</f>
        <v/>
      </c>
      <c r="D78" s="8">
        <f>'balance_raw_16499609'!$D$57</f>
        <v/>
      </c>
      <c r="E78" s="8">
        <f>'balance_raw_16499609'!$E$57</f>
        <v/>
      </c>
      <c r="F78" s="8">
        <f>'balance_raw_16499609'!$F$57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'balance_raw_16499609'!$B$58</f>
        <v/>
      </c>
      <c r="C79" s="8">
        <f>'balance_raw_16499609'!$C$58</f>
        <v/>
      </c>
      <c r="D79" s="8">
        <f>'balance_raw_16499609'!$D$58</f>
        <v/>
      </c>
      <c r="E79" s="8">
        <f>'balance_raw_16499609'!$E$58</f>
        <v/>
      </c>
      <c r="F79" s="8">
        <f>'balance_raw_16499609'!$F$58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'balance_raw_16499609'!$B$59</f>
        <v/>
      </c>
      <c r="C80" s="8">
        <f>'balance_raw_16499609'!$C$59</f>
        <v/>
      </c>
      <c r="D80" s="8">
        <f>'balance_raw_16499609'!$D$59</f>
        <v/>
      </c>
      <c r="E80" s="8">
        <f>'balance_raw_16499609'!$E$59</f>
        <v/>
      </c>
      <c r="F80" s="8">
        <f>'balance_raw_16499609'!$F$59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'res_raw_16499609'!$B$17</f>
        <v/>
      </c>
      <c r="C83" s="11">
        <f>'res_raw_16499609'!$C$17</f>
        <v/>
      </c>
      <c r="D83" s="11">
        <f>'res_raw_16499609'!$D$17</f>
        <v/>
      </c>
      <c r="E83" s="11">
        <f>'res_raw_16499609'!$E$17</f>
        <v/>
      </c>
      <c r="F83" s="11">
        <f>'res_raw_16499609'!$F$17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'res_raw_16499609'!$B$18</f>
        <v/>
      </c>
      <c r="C84" s="5">
        <f>'res_raw_16499609'!$C$18</f>
        <v/>
      </c>
      <c r="D84" s="5">
        <f>'res_raw_16499609'!$D$18</f>
        <v/>
      </c>
      <c r="E84" s="5">
        <f>'res_raw_16499609'!$E$18</f>
        <v/>
      </c>
      <c r="F84" s="5">
        <f>'res_raw_16499609'!$F$18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'pengestrom_raw_16499609'!$B$2</f>
        <v/>
      </c>
      <c r="C100" s="17">
        <f>'pengestrom_raw_16499609'!$C$2</f>
        <v/>
      </c>
      <c r="D100" s="17">
        <f>'pengestrom_raw_16499609'!$D$2</f>
        <v/>
      </c>
      <c r="E100" s="17">
        <f>'pengestrom_raw_16499609'!$E$2</f>
        <v/>
      </c>
      <c r="F100" s="17">
        <f>'pengestrom_raw_16499609'!$F$2</f>
        <v/>
      </c>
    </row>
    <row r="101">
      <c r="A101" s="16" t="inlineStr">
        <is>
          <t>Pengestrømme fra investeringsaktivitet</t>
        </is>
      </c>
      <c r="B101" s="17">
        <f>'pengestrom_raw_16499609'!$B$3</f>
        <v/>
      </c>
      <c r="C101" s="17">
        <f>'pengestrom_raw_16499609'!$C$3</f>
        <v/>
      </c>
      <c r="D101" s="17">
        <f>'pengestrom_raw_16499609'!$D$3</f>
        <v/>
      </c>
      <c r="E101" s="17">
        <f>'pengestrom_raw_16499609'!$E$3</f>
        <v/>
      </c>
      <c r="F101" s="17">
        <f>'pengestrom_raw_16499609'!$F$3</f>
        <v/>
      </c>
    </row>
    <row r="102">
      <c r="A102" s="16" t="inlineStr">
        <is>
          <t>Pengestrømme fra finansieringsaktivitet</t>
        </is>
      </c>
      <c r="B102" s="17">
        <f>'pengestrom_raw_16499609'!$B$4</f>
        <v/>
      </c>
      <c r="C102" s="17">
        <f>'pengestrom_raw_16499609'!$C$4</f>
        <v/>
      </c>
      <c r="D102" s="17">
        <f>'pengestrom_raw_16499609'!$D$4</f>
        <v/>
      </c>
      <c r="E102" s="17">
        <f>'pengestrom_raw_16499609'!$E$4</f>
        <v/>
      </c>
      <c r="F102" s="17">
        <f>'pengestrom_raw_16499609'!$F$4</f>
        <v/>
      </c>
    </row>
    <row r="103">
      <c r="A103" s="16" t="inlineStr">
        <is>
          <t>Årets pengestrøm (rapporteret)</t>
        </is>
      </c>
      <c r="B103" s="17">
        <f>'pengestrom_raw_16499609'!$B$5</f>
        <v/>
      </c>
      <c r="C103" s="17">
        <f>'pengestrom_raw_16499609'!$C$5</f>
        <v/>
      </c>
      <c r="D103" s="17">
        <f>'pengestrom_raw_16499609'!$D$5</f>
        <v/>
      </c>
      <c r="E103" s="17">
        <f>'pengestrom_raw_16499609'!$E$5</f>
        <v/>
      </c>
      <c r="F103" s="17">
        <f>'pengestrom_raw_16499609'!$F$5</f>
        <v/>
      </c>
    </row>
    <row r="104">
      <c r="A104" s="16" t="inlineStr">
        <is>
          <t>Krydstjek: drift + inv. + fin. = årets pengestrøm</t>
        </is>
      </c>
      <c r="B104">
        <f>IF(ABS(('pengestrom_raw_16499609'!$B$2+'pengestrom_raw_16499609'!$B$3+'pengestrom_raw_16499609'!$B$4)-'pengestrom_raw_16499609'!$B$5)&lt;=2,"✓","⚠ "&amp;TEXT(('pengestrom_raw_16499609'!$B$2+'pengestrom_raw_16499609'!$B$3+'pengestrom_raw_16499609'!$B$4)-'pengestrom_raw_16499609'!$B$5,"+#,##0;-#,##0"))</f>
        <v/>
      </c>
      <c r="C104">
        <f>IF(ABS(('pengestrom_raw_16499609'!$C$2+'pengestrom_raw_16499609'!$C$3+'pengestrom_raw_16499609'!$C$4)-'pengestrom_raw_16499609'!$C$5)&lt;=2,"✓","⚠ "&amp;TEXT(('pengestrom_raw_16499609'!$C$2+'pengestrom_raw_16499609'!$C$3+'pengestrom_raw_16499609'!$C$4)-'pengestrom_raw_16499609'!$C$5,"+#,##0;-#,##0"))</f>
        <v/>
      </c>
      <c r="D104">
        <f>IF(ABS(('pengestrom_raw_16499609'!$D$2+'pengestrom_raw_16499609'!$D$3+'pengestrom_raw_16499609'!$D$4)-'pengestrom_raw_16499609'!$D$5)&lt;=2,"✓","⚠ "&amp;TEXT(('pengestrom_raw_16499609'!$D$2+'pengestrom_raw_16499609'!$D$3+'pengestrom_raw_16499609'!$D$4)-'pengestrom_raw_16499609'!$D$5,"+#,##0;-#,##0"))</f>
        <v/>
      </c>
      <c r="E104">
        <f>IF(ABS(('pengestrom_raw_16499609'!$E$2+'pengestrom_raw_16499609'!$E$3+'pengestrom_raw_16499609'!$E$4)-'pengestrom_raw_16499609'!$E$5)&lt;=2,"✓","⚠ "&amp;TEXT(('pengestrom_raw_16499609'!$E$2+'pengestrom_raw_16499609'!$E$3+'pengestrom_raw_16499609'!$E$4)-'pengestrom_raw_16499609'!$E$5,"+#,##0;-#,##0"))</f>
        <v/>
      </c>
      <c r="F104">
        <f>IF(ABS(('pengestrom_raw_16499609'!$F$2+'pengestrom_raw_16499609'!$F$3+'pengestrom_raw_16499609'!$F$4)-'pengestrom_raw_16499609'!$F$5)&lt;=2,"✓","⚠ "&amp;TEXT(('pengestrom_raw_16499609'!$F$2+'pengestrom_raw_16499609'!$F$3+'pengestrom_raw_16499609'!$F$4)-'pengestrom_raw_16499609'!$F$5,"+#,##0;-#,##0"))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Munck Gruppen A/S (CVR 16499609)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2449292</v>
      </c>
      <c r="C2" s="17" t="n">
        <v>3089499</v>
      </c>
      <c r="D2" s="17" t="n">
        <v>3261760</v>
      </c>
      <c r="E2" s="17" t="n">
        <v>4178334</v>
      </c>
      <c r="F2" s="17" t="n">
        <v>4868635</v>
      </c>
    </row>
    <row r="3">
      <c r="A3" s="16" t="inlineStr">
        <is>
          <t>Produktionsomkostninger</t>
        </is>
      </c>
      <c r="B3" s="17" t="n">
        <v>2204242</v>
      </c>
      <c r="C3" s="17" t="n">
        <v>2838459</v>
      </c>
      <c r="D3" s="17" t="n">
        <v>2884377</v>
      </c>
      <c r="E3" s="17" t="n">
        <v>3599912</v>
      </c>
      <c r="F3" s="17" t="n">
        <v>4221459</v>
      </c>
    </row>
    <row r="4">
      <c r="A4" s="15" t="inlineStr">
        <is>
          <t>Bruttoresultat</t>
        </is>
      </c>
      <c r="B4" s="17" t="n">
        <v>245050</v>
      </c>
      <c r="C4" s="17" t="n">
        <v>251040</v>
      </c>
      <c r="D4" s="17" t="n">
        <v>377383</v>
      </c>
      <c r="E4" s="17" t="n">
        <v>578422</v>
      </c>
      <c r="F4" s="17" t="n">
        <v>647176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>
        <v>146664</v>
      </c>
      <c r="C6" s="17" t="n">
        <v>115458</v>
      </c>
      <c r="D6" s="17" t="n">
        <v>165289</v>
      </c>
      <c r="E6" s="17" t="n">
        <v>106968</v>
      </c>
      <c r="F6" s="17" t="n">
        <v>122221</v>
      </c>
    </row>
    <row r="7">
      <c r="A7" s="16" t="inlineStr">
        <is>
          <t>Andre driftsindtægter</t>
        </is>
      </c>
      <c r="B7" s="17" t="n">
        <v>36564</v>
      </c>
      <c r="C7" s="17" t="n">
        <v>16337</v>
      </c>
      <c r="D7" s="17" t="n">
        <v>4797</v>
      </c>
      <c r="E7" s="17" t="n">
        <v>12928</v>
      </c>
      <c r="F7" s="17" t="n">
        <v>43237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>
        <v>594</v>
      </c>
      <c r="F8" s="17" t="n">
        <v>750</v>
      </c>
    </row>
    <row r="9">
      <c r="A9" s="15" t="inlineStr">
        <is>
          <t>Resultat af primær drift</t>
        </is>
      </c>
      <c r="B9" s="17" t="n"/>
      <c r="C9" s="17" t="n"/>
      <c r="D9" s="17" t="n"/>
      <c r="E9" s="17" t="n"/>
      <c r="F9" s="17" t="n"/>
    </row>
    <row r="10">
      <c r="A10" s="16" t="inlineStr">
        <is>
          <t>Indtægter af kapitalandele, dattervirksomheder</t>
        </is>
      </c>
      <c r="B10" s="17" t="n">
        <v>-767</v>
      </c>
      <c r="C10" s="17" t="n">
        <v>-1399</v>
      </c>
      <c r="D10" s="17" t="n">
        <v>4255</v>
      </c>
      <c r="E10" s="17" t="n">
        <v>0</v>
      </c>
      <c r="F10" s="17" t="n">
        <v>0</v>
      </c>
    </row>
    <row r="11">
      <c r="A11" s="16" t="inlineStr">
        <is>
          <t>Finansielle indtægter</t>
        </is>
      </c>
      <c r="B11" s="17" t="n">
        <v>10966</v>
      </c>
      <c r="C11" s="17" t="n">
        <v>13017</v>
      </c>
      <c r="D11" s="17" t="n">
        <v>6804</v>
      </c>
      <c r="E11" s="17" t="n">
        <v>16032</v>
      </c>
      <c r="F11" s="17" t="n">
        <v>21906</v>
      </c>
    </row>
    <row r="12">
      <c r="A12" s="16" t="inlineStr">
        <is>
          <t>Finansielle omkostninger</t>
        </is>
      </c>
      <c r="B12" s="17" t="n">
        <v>18760</v>
      </c>
      <c r="C12" s="17" t="n">
        <v>13489</v>
      </c>
      <c r="D12" s="17" t="n">
        <v>6905</v>
      </c>
      <c r="E12" s="17" t="n">
        <v>7333</v>
      </c>
      <c r="F12" s="17" t="n">
        <v>11052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/>
      <c r="C14" s="17" t="n"/>
      <c r="D14" s="17" t="n"/>
      <c r="E14" s="17" t="n">
        <v>490922</v>
      </c>
      <c r="F14" s="17" t="n">
        <v>579416</v>
      </c>
    </row>
    <row r="15">
      <c r="A15" s="16" t="inlineStr">
        <is>
          <t>Skat af årets resultat</t>
        </is>
      </c>
      <c r="B15" s="17" t="n">
        <v>41942</v>
      </c>
      <c r="C15" s="17" t="n">
        <v>34570</v>
      </c>
      <c r="D15" s="17" t="n">
        <v>45446</v>
      </c>
      <c r="E15" s="17" t="n">
        <v>116995</v>
      </c>
      <c r="F15" s="17" t="n">
        <v>125695</v>
      </c>
    </row>
    <row r="16">
      <c r="A16" s="15" t="inlineStr">
        <is>
          <t>Årets resultat</t>
        </is>
      </c>
      <c r="B16" s="17" t="n">
        <v>89964</v>
      </c>
      <c r="C16" s="17" t="n">
        <v>81235</v>
      </c>
      <c r="D16" s="17" t="n">
        <v>146732</v>
      </c>
      <c r="E16" s="17" t="n">
        <v>317875</v>
      </c>
      <c r="F16" s="17" t="n">
        <v>397727</v>
      </c>
    </row>
    <row r="17">
      <c r="A17" s="16" t="inlineStr">
        <is>
          <t>Gns. antal medarbejdere</t>
        </is>
      </c>
      <c r="B17" s="17" t="n">
        <v>1313</v>
      </c>
      <c r="C17" s="17" t="n">
        <v>1435</v>
      </c>
      <c r="D17" s="17" t="n">
        <v>1561</v>
      </c>
      <c r="E17" s="17" t="n">
        <v>1611</v>
      </c>
      <c r="F17" s="17" t="n">
        <v>1608</v>
      </c>
    </row>
    <row r="18">
      <c r="A18" s="16" t="inlineStr">
        <is>
          <t>Investering i materielle anlægsaktiver</t>
        </is>
      </c>
      <c r="B18" s="17" t="n">
        <v>105000</v>
      </c>
      <c r="C18" s="17" t="n">
        <v>102000</v>
      </c>
      <c r="D18" s="17" t="n">
        <v>170000</v>
      </c>
      <c r="E18" s="17" t="n">
        <v>273000</v>
      </c>
      <c r="F18" s="17" t="n">
        <v>175000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Munck Gruppen A/S (CVR 16499609)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>
        <v>3918</v>
      </c>
      <c r="C3" s="17" t="n">
        <v>6209</v>
      </c>
      <c r="D3" s="17" t="n">
        <v>6196</v>
      </c>
      <c r="E3" s="17" t="n">
        <v>3108</v>
      </c>
      <c r="F3" s="17" t="n">
        <v>600</v>
      </c>
    </row>
    <row r="4">
      <c r="A4" s="16" t="inlineStr">
        <is>
          <t>Goodwill</t>
        </is>
      </c>
      <c r="B4" s="17" t="n">
        <v>61</v>
      </c>
      <c r="C4" s="17" t="n">
        <v>57</v>
      </c>
      <c r="D4" s="17" t="n">
        <v>36</v>
      </c>
      <c r="E4" s="17" t="n">
        <v>14</v>
      </c>
      <c r="F4" s="17" t="n">
        <v>1</v>
      </c>
    </row>
    <row r="5">
      <c r="A5" s="15" t="inlineStr">
        <is>
          <t>Immaterielle anlægsaktiver</t>
        </is>
      </c>
      <c r="B5" s="17" t="n">
        <v>3979</v>
      </c>
      <c r="C5" s="17" t="n">
        <v>7266</v>
      </c>
      <c r="D5" s="17" t="n">
        <v>6232</v>
      </c>
      <c r="E5" s="17" t="n">
        <v>3122</v>
      </c>
      <c r="F5" s="17" t="n">
        <v>601</v>
      </c>
    </row>
    <row r="6">
      <c r="A6" s="16" t="inlineStr">
        <is>
          <t>Grunde og bygninger</t>
        </is>
      </c>
      <c r="B6" s="17" t="n">
        <v>151522</v>
      </c>
      <c r="C6" s="17" t="n">
        <v>124633</v>
      </c>
      <c r="D6" s="17" t="n">
        <v>109011</v>
      </c>
      <c r="E6" s="17" t="n">
        <v>124669</v>
      </c>
      <c r="F6" s="17" t="n">
        <v>121260</v>
      </c>
    </row>
    <row r="7">
      <c r="A7" s="16" t="inlineStr">
        <is>
          <t>Produktionsanlæg og maskiner</t>
        </is>
      </c>
      <c r="B7" s="17" t="n">
        <v>38325</v>
      </c>
      <c r="C7" s="17" t="n">
        <v>39441</v>
      </c>
      <c r="D7" s="17" t="n">
        <v>85571</v>
      </c>
      <c r="E7" s="17" t="n">
        <v>111833</v>
      </c>
      <c r="F7" s="17" t="n">
        <v>115044</v>
      </c>
    </row>
    <row r="8">
      <c r="A8" s="16" t="inlineStr">
        <is>
          <t>Driftsmateriel og inventar</t>
        </is>
      </c>
      <c r="B8" s="17" t="n">
        <v>299249</v>
      </c>
      <c r="C8" s="17" t="n">
        <v>295599</v>
      </c>
      <c r="D8" s="17" t="n">
        <v>288185</v>
      </c>
      <c r="E8" s="17" t="n">
        <v>354835</v>
      </c>
      <c r="F8" s="17" t="n">
        <v>326813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4883</v>
      </c>
      <c r="C10" s="17" t="n">
        <v>2718</v>
      </c>
      <c r="D10" s="17" t="n">
        <v>22303</v>
      </c>
      <c r="E10" s="17" t="n">
        <v>38542</v>
      </c>
      <c r="F10" s="17" t="n">
        <v>19491</v>
      </c>
    </row>
    <row r="11">
      <c r="A11" s="15" t="inlineStr">
        <is>
          <t>Materielle anlægsaktiver</t>
        </is>
      </c>
      <c r="B11" s="17" t="n">
        <v>493979</v>
      </c>
      <c r="C11" s="17" t="n">
        <v>462391</v>
      </c>
      <c r="D11" s="17" t="n">
        <v>505070</v>
      </c>
      <c r="E11" s="17" t="n">
        <v>629879</v>
      </c>
      <c r="F11" s="17" t="n">
        <v>582608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759</v>
      </c>
      <c r="C13" s="17" t="n">
        <v>794</v>
      </c>
      <c r="D13" s="17" t="n">
        <v>759</v>
      </c>
      <c r="E13" s="17" t="n">
        <v>805</v>
      </c>
      <c r="F13" s="17" t="n">
        <v>811</v>
      </c>
    </row>
    <row r="14">
      <c r="A14" s="15" t="inlineStr">
        <is>
          <t>Finansielle anlægsaktiver</t>
        </is>
      </c>
      <c r="B14" s="17" t="n">
        <v>94679</v>
      </c>
      <c r="C14" s="17" t="n">
        <v>31435</v>
      </c>
      <c r="D14" s="17" t="n">
        <v>22911</v>
      </c>
      <c r="E14" s="17" t="n">
        <v>12228</v>
      </c>
      <c r="F14" s="17" t="n">
        <v>11382</v>
      </c>
    </row>
    <row r="15">
      <c r="A15" s="15" t="inlineStr">
        <is>
          <t>Anlægsaktiver</t>
        </is>
      </c>
      <c r="B15" s="17" t="n">
        <v>592637</v>
      </c>
      <c r="C15" s="17" t="n">
        <v>501092</v>
      </c>
      <c r="D15" s="17" t="n">
        <v>534213</v>
      </c>
      <c r="E15" s="17" t="n">
        <v>645229</v>
      </c>
      <c r="F15" s="17" t="n">
        <v>594591</v>
      </c>
    </row>
    <row r="16">
      <c r="A16" s="16" t="inlineStr">
        <is>
          <t>Råvarer og hjælpematerialer</t>
        </is>
      </c>
      <c r="B16" s="17" t="n">
        <v>101060</v>
      </c>
      <c r="C16" s="17" t="n">
        <v>114757</v>
      </c>
      <c r="D16" s="17" t="n">
        <v>147046</v>
      </c>
      <c r="E16" s="17" t="n">
        <v>98997</v>
      </c>
      <c r="F16" s="17" t="n">
        <v>80302</v>
      </c>
    </row>
    <row r="17">
      <c r="A17" s="16" t="inlineStr">
        <is>
          <t>Varer under fremstilling</t>
        </is>
      </c>
      <c r="B17" s="17" t="n">
        <v>107357</v>
      </c>
      <c r="C17" s="17" t="n">
        <v>175069</v>
      </c>
      <c r="D17" s="17" t="n">
        <v>162374</v>
      </c>
      <c r="E17" s="17" t="n">
        <v>207350</v>
      </c>
      <c r="F17" s="17" t="n">
        <v>195563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101060</v>
      </c>
      <c r="C19" s="17" t="n">
        <v>114757</v>
      </c>
      <c r="D19" s="17" t="n">
        <v>147046</v>
      </c>
      <c r="E19" s="17" t="n">
        <v>98997</v>
      </c>
      <c r="F19" s="17" t="n">
        <v>80302</v>
      </c>
    </row>
    <row r="20">
      <c r="A20" s="16" t="inlineStr">
        <is>
          <t>Tilgodehavender fra salg og tjenesteydelser</t>
        </is>
      </c>
      <c r="B20" s="17" t="n">
        <v>570579</v>
      </c>
      <c r="C20" s="17" t="n">
        <v>688645</v>
      </c>
      <c r="D20" s="17" t="n">
        <v>733302</v>
      </c>
      <c r="E20" s="17" t="n">
        <v>1028637</v>
      </c>
      <c r="F20" s="17" t="n">
        <v>875455</v>
      </c>
    </row>
    <row r="21">
      <c r="A21" s="16" t="inlineStr">
        <is>
          <t>Tilgodehavender hos tilknyttede virksomheder</t>
        </is>
      </c>
      <c r="B21" s="17" t="n">
        <v>6585</v>
      </c>
      <c r="C21" s="17" t="n">
        <v>1804</v>
      </c>
      <c r="D21" s="17" t="n">
        <v>0</v>
      </c>
      <c r="E21" s="17" t="n">
        <v>0</v>
      </c>
      <c r="F21" s="17" t="n">
        <v>198</v>
      </c>
    </row>
    <row r="22">
      <c r="A22" s="16" t="inlineStr">
        <is>
          <t>Andre tilgodehavender</t>
        </is>
      </c>
      <c r="B22" s="17" t="n">
        <v>233577</v>
      </c>
      <c r="C22" s="17" t="n">
        <v>40894</v>
      </c>
      <c r="D22" s="17" t="n">
        <v>21565</v>
      </c>
      <c r="E22" s="17" t="n">
        <v>21782</v>
      </c>
      <c r="F22" s="17" t="n">
        <v>20664</v>
      </c>
    </row>
    <row r="23">
      <c r="A23" s="16" t="inlineStr">
        <is>
          <t>Periodeafgrænsningsposter (aktiver)</t>
        </is>
      </c>
      <c r="B23" s="17" t="n">
        <v>172</v>
      </c>
      <c r="C23" s="17" t="n">
        <v>4661</v>
      </c>
      <c r="D23" s="17" t="n">
        <v>3093</v>
      </c>
      <c r="E23" s="17" t="n">
        <v>3198</v>
      </c>
      <c r="F23" s="17" t="n">
        <v>8550</v>
      </c>
    </row>
    <row r="24">
      <c r="A24" s="16" t="inlineStr">
        <is>
          <t>Udskudt skatteaktiv</t>
        </is>
      </c>
      <c r="B24" s="17" t="n">
        <v>1934</v>
      </c>
      <c r="C24" s="17" t="n">
        <v>0</v>
      </c>
      <c r="D24" s="17" t="n"/>
      <c r="E24" s="17" t="n">
        <v>496</v>
      </c>
      <c r="F24" s="17" t="n">
        <v>6909</v>
      </c>
    </row>
    <row r="25">
      <c r="A25" s="16" t="inlineStr">
        <is>
          <t>Tilgodehavende skat hos tilknyttede virksomheder</t>
        </is>
      </c>
      <c r="B25" s="17" t="n">
        <v>69</v>
      </c>
      <c r="C25" s="17" t="n">
        <v>7946</v>
      </c>
      <c r="D25" s="17" t="n">
        <v>0</v>
      </c>
      <c r="E25" s="17" t="n">
        <v>0</v>
      </c>
      <c r="F25" s="17" t="n">
        <v>0</v>
      </c>
    </row>
    <row r="26">
      <c r="A26" s="16" t="inlineStr">
        <is>
          <t>Kortfristede skattetilgodehavender</t>
        </is>
      </c>
      <c r="B26" s="17" t="n">
        <v>0</v>
      </c>
      <c r="C26" s="17" t="n"/>
      <c r="D26" s="17" t="n">
        <v>757</v>
      </c>
      <c r="E26" s="17" t="n">
        <v>0</v>
      </c>
      <c r="F26" s="17" t="n">
        <v>518</v>
      </c>
    </row>
    <row r="27">
      <c r="A27" s="15" t="inlineStr">
        <is>
          <t>Tilgodehavender</t>
        </is>
      </c>
      <c r="B27" s="17" t="n">
        <v>951459</v>
      </c>
      <c r="C27" s="17" t="n">
        <v>926024</v>
      </c>
      <c r="D27" s="17" t="n">
        <v>933386</v>
      </c>
      <c r="E27" s="17" t="n">
        <v>1269290</v>
      </c>
      <c r="F27" s="17" t="n">
        <v>1114339</v>
      </c>
    </row>
    <row r="28">
      <c r="A28" s="16" t="inlineStr">
        <is>
          <t>Værdipapirer</t>
        </is>
      </c>
      <c r="B28" s="17" t="n"/>
      <c r="C28" s="17" t="n"/>
      <c r="D28" s="17" t="n"/>
      <c r="E28" s="17" t="n">
        <v>0</v>
      </c>
      <c r="F28" s="17" t="n">
        <v>26641</v>
      </c>
    </row>
    <row r="29">
      <c r="A29" s="16" t="inlineStr">
        <is>
          <t>Likvide beholdninger</t>
        </is>
      </c>
      <c r="B29" s="17" t="n">
        <v>25578</v>
      </c>
      <c r="C29" s="17" t="n">
        <v>80733</v>
      </c>
      <c r="D29" s="17" t="n">
        <v>117562</v>
      </c>
      <c r="E29" s="17" t="n">
        <v>743986</v>
      </c>
      <c r="F29" s="17" t="n">
        <v>793237</v>
      </c>
    </row>
    <row r="30">
      <c r="A30" s="15" t="inlineStr">
        <is>
          <t>Omsætningsaktiver</t>
        </is>
      </c>
      <c r="B30" s="17" t="n">
        <v>1078097</v>
      </c>
      <c r="C30" s="17" t="n">
        <v>1121514</v>
      </c>
      <c r="D30" s="17" t="n">
        <v>1197994</v>
      </c>
      <c r="E30" s="17" t="n">
        <v>2112273</v>
      </c>
      <c r="F30" s="17" t="n">
        <v>2014519</v>
      </c>
    </row>
    <row r="31">
      <c r="A31" s="15" t="inlineStr">
        <is>
          <t>Aktiver</t>
        </is>
      </c>
      <c r="B31" s="17" t="n">
        <v>1670734</v>
      </c>
      <c r="C31" s="17" t="n">
        <v>1622606</v>
      </c>
      <c r="D31" s="17" t="n">
        <v>1732207</v>
      </c>
      <c r="E31" s="17" t="n">
        <v>2757502</v>
      </c>
      <c r="F31" s="17" t="n">
        <v>2609110</v>
      </c>
    </row>
    <row r="32">
      <c r="A32" s="16" t="inlineStr">
        <is>
          <t>Selskabskapital</t>
        </is>
      </c>
      <c r="B32" s="17" t="n">
        <v>518</v>
      </c>
      <c r="C32" s="17" t="n">
        <v>517</v>
      </c>
      <c r="D32" s="17" t="n">
        <v>517</v>
      </c>
      <c r="E32" s="17" t="n">
        <v>517</v>
      </c>
      <c r="F32" s="17" t="n">
        <v>517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529384</v>
      </c>
      <c r="C37" s="17" t="n">
        <v>555670</v>
      </c>
      <c r="D37" s="17" t="n">
        <v>599646</v>
      </c>
      <c r="E37" s="17" t="n">
        <v>723922</v>
      </c>
      <c r="F37" s="17" t="n">
        <v>913632</v>
      </c>
    </row>
    <row r="38">
      <c r="A38" s="15" t="inlineStr">
        <is>
          <t>Egenkapital i alt</t>
        </is>
      </c>
      <c r="B38" s="17" t="n">
        <v>632030</v>
      </c>
      <c r="C38" s="17" t="n">
        <v>685047</v>
      </c>
      <c r="D38" s="17" t="n">
        <v>791750</v>
      </c>
      <c r="E38" s="17" t="n">
        <v>1049944</v>
      </c>
      <c r="F38" s="17" t="n">
        <v>1244156</v>
      </c>
    </row>
    <row r="39">
      <c r="A39" s="16" t="inlineStr">
        <is>
          <t>Hensættelse til udskudt skat</t>
        </is>
      </c>
      <c r="B39" s="17" t="n"/>
      <c r="C39" s="17" t="n">
        <v>39820</v>
      </c>
      <c r="D39" s="17" t="n">
        <v>32943</v>
      </c>
      <c r="E39" s="17" t="n">
        <v>104427</v>
      </c>
      <c r="F39" s="17" t="n">
        <v>43896</v>
      </c>
    </row>
    <row r="40">
      <c r="A40" s="15" t="inlineStr">
        <is>
          <t>Hensatte forpligtelser</t>
        </is>
      </c>
      <c r="B40" s="17" t="n">
        <v>47406</v>
      </c>
      <c r="C40" s="17" t="n">
        <v>152598</v>
      </c>
      <c r="D40" s="17" t="n">
        <v>139946</v>
      </c>
      <c r="E40" s="17" t="n">
        <v>273363</v>
      </c>
      <c r="F40" s="17" t="n">
        <v>279226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76719</v>
      </c>
      <c r="C42" s="17" t="n">
        <v>50139</v>
      </c>
      <c r="D42" s="17" t="n">
        <v>47112</v>
      </c>
      <c r="E42" s="17" t="n">
        <v>39044</v>
      </c>
      <c r="F42" s="17" t="n">
        <v>36378</v>
      </c>
    </row>
    <row r="43">
      <c r="A43" s="16" t="inlineStr">
        <is>
          <t>Leasingforpligtelser (langfristet)</t>
        </is>
      </c>
      <c r="B43" s="17" t="n">
        <v>40215</v>
      </c>
      <c r="C43" s="17" t="n">
        <v>25241</v>
      </c>
      <c r="D43" s="17" t="n">
        <v>0</v>
      </c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116934</v>
      </c>
      <c r="C45" s="17" t="n">
        <v>75380</v>
      </c>
      <c r="D45" s="17" t="n">
        <v>47112</v>
      </c>
      <c r="E45" s="17" t="n">
        <v>39044</v>
      </c>
      <c r="F45" s="17" t="n">
        <v>36378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21056</v>
      </c>
      <c r="C47" s="17" t="n">
        <v>24030</v>
      </c>
      <c r="D47" s="17" t="n">
        <v>27993</v>
      </c>
      <c r="E47" s="17" t="n">
        <v>2619</v>
      </c>
      <c r="F47" s="17" t="n">
        <v>2656</v>
      </c>
    </row>
    <row r="48">
      <c r="A48" s="16" t="inlineStr">
        <is>
          <t>Kreditinstitutter</t>
        </is>
      </c>
      <c r="B48" s="17" t="n">
        <v>24706</v>
      </c>
      <c r="C48" s="17" t="n">
        <v>24</v>
      </c>
      <c r="D48" s="17" t="n">
        <v>0</v>
      </c>
      <c r="E48" s="17" t="n">
        <v>889</v>
      </c>
      <c r="F48" s="17" t="n">
        <v>11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252043</v>
      </c>
      <c r="C50" s="17" t="n">
        <v>248352</v>
      </c>
      <c r="D50" s="17" t="n">
        <v>271032</v>
      </c>
      <c r="E50" s="17" t="n">
        <v>499116</v>
      </c>
      <c r="F50" s="17" t="n">
        <v>546573</v>
      </c>
    </row>
    <row r="51">
      <c r="A51" s="16" t="inlineStr">
        <is>
          <t>Gæld til tilknyttede virksomheder</t>
        </is>
      </c>
      <c r="B51" s="17" t="n">
        <v>0</v>
      </c>
      <c r="C51" s="17" t="n">
        <v>0</v>
      </c>
      <c r="D51" s="17" t="n">
        <v>0</v>
      </c>
      <c r="E51" s="17" t="n">
        <v>3202</v>
      </c>
      <c r="F51" s="17" t="n">
        <v>11124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8582</v>
      </c>
      <c r="C53" s="17" t="n">
        <v>1003</v>
      </c>
      <c r="D53" s="17" t="n">
        <v>174</v>
      </c>
      <c r="E53" s="17" t="n">
        <v>123</v>
      </c>
      <c r="F53" s="17" t="n">
        <v>407</v>
      </c>
    </row>
    <row r="54">
      <c r="A54" s="16" t="inlineStr">
        <is>
          <t>Gæld til tilknyttede virksomheder vedr. selskabsskat</t>
        </is>
      </c>
      <c r="B54" s="17" t="n">
        <v>31634</v>
      </c>
      <c r="C54" s="17" t="n">
        <v>15134</v>
      </c>
      <c r="D54" s="17" t="n">
        <v>50553</v>
      </c>
      <c r="E54" s="17" t="n">
        <v>42005</v>
      </c>
      <c r="F54" s="17" t="n">
        <v>23695</v>
      </c>
    </row>
    <row r="55">
      <c r="A55" s="16" t="inlineStr">
        <is>
          <t>Anden gæld (kortfristet)</t>
        </is>
      </c>
      <c r="B55" s="17" t="n">
        <v>126213</v>
      </c>
      <c r="C55" s="17" t="n">
        <v>109553</v>
      </c>
      <c r="D55" s="17" t="n">
        <v>134529</v>
      </c>
      <c r="E55" s="17" t="n">
        <v>151325</v>
      </c>
      <c r="F55" s="17" t="n">
        <v>151825</v>
      </c>
    </row>
    <row r="56">
      <c r="A56" s="16" t="inlineStr">
        <is>
          <t>Periodeafgrænsningsposter (passiver)</t>
        </is>
      </c>
      <c r="B56" s="17" t="n">
        <v>665</v>
      </c>
      <c r="C56" s="17" t="n">
        <v>1002</v>
      </c>
      <c r="D56" s="17" t="n">
        <v>1247</v>
      </c>
      <c r="E56" s="17" t="n">
        <v>241</v>
      </c>
      <c r="F56" s="17" t="n">
        <v>642</v>
      </c>
    </row>
    <row r="57">
      <c r="A57" s="15" t="inlineStr">
        <is>
          <t>Kortfristede gældsforpligtelser</t>
        </is>
      </c>
      <c r="B57" s="17" t="n">
        <v>874364</v>
      </c>
      <c r="C57" s="17" t="n">
        <v>709581</v>
      </c>
      <c r="D57" s="17" t="n">
        <v>753399</v>
      </c>
      <c r="E57" s="17" t="n">
        <v>1395151</v>
      </c>
      <c r="F57" s="17" t="n">
        <v>1049350</v>
      </c>
    </row>
    <row r="58">
      <c r="A58" s="15" t="inlineStr">
        <is>
          <t>Gældsforpligtelser</t>
        </is>
      </c>
      <c r="B58" s="17" t="n">
        <v>991298</v>
      </c>
      <c r="C58" s="17" t="n">
        <v>784961</v>
      </c>
      <c r="D58" s="17" t="n">
        <v>800511</v>
      </c>
      <c r="E58" s="17" t="n">
        <v>1434195</v>
      </c>
      <c r="F58" s="17" t="n">
        <v>1085728</v>
      </c>
    </row>
    <row r="59">
      <c r="A59" s="15" t="inlineStr">
        <is>
          <t>Passiver</t>
        </is>
      </c>
      <c r="B59" s="17" t="n">
        <v>1670734</v>
      </c>
      <c r="C59" s="17" t="n">
        <v>1622606</v>
      </c>
      <c r="D59" s="17" t="n">
        <v>1732207</v>
      </c>
      <c r="E59" s="17" t="n">
        <v>2757502</v>
      </c>
      <c r="F59" s="17" t="n">
        <v>2609110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Munck Gruppen A/S (CVR 16499609)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31167</v>
      </c>
      <c r="C2" s="17" t="n">
        <v>150246</v>
      </c>
      <c r="D2" s="17" t="n">
        <v>282202</v>
      </c>
      <c r="E2" s="17" t="n">
        <v>1055290</v>
      </c>
      <c r="F2" s="17" t="n">
        <v>602891</v>
      </c>
    </row>
    <row r="3">
      <c r="A3" s="16" t="inlineStr">
        <is>
          <t>Pengestrømme fra investeringsaktivitet</t>
        </is>
      </c>
      <c r="B3" s="17" t="n">
        <v>14986</v>
      </c>
      <c r="C3" s="17" t="n">
        <v>36251</v>
      </c>
      <c r="D3" s="17" t="n">
        <v>-146254</v>
      </c>
      <c r="E3" s="17" t="n">
        <v>-223739</v>
      </c>
      <c r="F3" s="17" t="n">
        <v>-82599</v>
      </c>
    </row>
    <row r="4">
      <c r="A4" s="16" t="inlineStr">
        <is>
          <t>Pengestrømme fra finansieringsaktivitet</t>
        </is>
      </c>
      <c r="B4" s="17" t="n">
        <v>-18308</v>
      </c>
      <c r="C4" s="17" t="n">
        <v>-106299</v>
      </c>
      <c r="D4" s="17" t="n">
        <v>-90482</v>
      </c>
      <c r="E4" s="17" t="n">
        <v>-154687</v>
      </c>
      <c r="F4" s="17" t="n">
        <v>-240940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Munck Gruppen A/S (CVR 16499609) — Regnskabs- og nøgletal (CVR: 16499609)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'res_raw_16499609'!$F$2</f>
        <v/>
      </c>
      <c r="C5" s="24">
        <f>'res_raw_16499609'!$E$2</f>
        <v/>
      </c>
      <c r="D5" s="24">
        <f>'res_raw_16499609'!$D$2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-'res_raw_16499609'!$F$3</f>
        <v/>
      </c>
      <c r="C6" s="24">
        <f>-'res_raw_16499609'!$E$3</f>
        <v/>
      </c>
      <c r="D6" s="24">
        <f>-'res_raw_16499609'!$D$3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-'res_raw_16499609'!$F$5</f>
        <v/>
      </c>
      <c r="C8" s="24">
        <f>-'res_raw_16499609'!$E$5</f>
        <v/>
      </c>
      <c r="D8" s="24">
        <f>-'res_raw_16499609'!$D$5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-'res_raw_16499609'!$F$6</f>
        <v/>
      </c>
      <c r="C9" s="24">
        <f>-'res_raw_16499609'!$E$6</f>
        <v/>
      </c>
      <c r="D9" s="24">
        <f>-'res_raw_16499609'!$D$6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'res_raw_16499609'!$F$7</f>
        <v/>
      </c>
      <c r="C10" s="24">
        <f>'res_raw_16499609'!$E$7</f>
        <v/>
      </c>
      <c r="D10" s="24">
        <f>'res_raw_16499609'!$D$7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-'res_raw_16499609'!$F$8</f>
        <v/>
      </c>
      <c r="C11" s="24">
        <f>-'res_raw_16499609'!$E$8</f>
        <v/>
      </c>
      <c r="D11" s="24">
        <f>-'res_raw_16499609'!$D$8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N('res_raw_16499609'!$F$10)+N('res_raw_16499609'!$F$11)</f>
        <v/>
      </c>
      <c r="C13" s="24">
        <f>N('res_raw_16499609'!$E$10)+N('res_raw_16499609'!$E$11)</f>
        <v/>
      </c>
      <c r="D13" s="24">
        <f>N('res_raw_16499609'!$D$10)+N('res_raw_16499609'!$D$11)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-'res_raw_16499609'!$F$12</f>
        <v/>
      </c>
      <c r="C14" s="24">
        <f>-'res_raw_16499609'!$E$12</f>
        <v/>
      </c>
      <c r="D14" s="24">
        <f>-'res_raw_16499609'!$D$12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'balance_raw_16499609'!$F$15</f>
        <v/>
      </c>
      <c r="C18" s="24">
        <f>'balance_raw_16499609'!$E$15</f>
        <v/>
      </c>
      <c r="D18" s="24">
        <f>'balance_raw_16499609'!$D$15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'balance_raw_16499609'!$F$30</f>
        <v/>
      </c>
      <c r="C19" s="24">
        <f>'balance_raw_16499609'!$E$30</f>
        <v/>
      </c>
      <c r="D19" s="24">
        <f>'balance_raw_16499609'!$D$30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'balance_raw_16499609'!$F$38</f>
        <v/>
      </c>
      <c r="C22" s="24">
        <f>'balance_raw_16499609'!$E$38</f>
        <v/>
      </c>
      <c r="D22" s="24">
        <f>'balance_raw_16499609'!$D$38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'balance_raw_16499609'!$F$59-'balance_raw_16499609'!$F$38</f>
        <v/>
      </c>
      <c r="C23" s="24">
        <f>'balance_raw_16499609'!$E$59-'balance_raw_16499609'!$E$38</f>
        <v/>
      </c>
      <c r="D23" s="24">
        <f>'balance_raw_16499609'!$D$59-'balance_raw_16499609'!$D$38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'balance_raw_16499609'!$F$19</f>
        <v/>
      </c>
      <c r="C27" s="24">
        <f>'balance_raw_16499609'!$E$19</f>
        <v/>
      </c>
      <c r="D27" s="24">
        <f>'balance_raw_16499609'!$D$19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'balance_raw_16499609'!$F$20</f>
        <v/>
      </c>
      <c r="C28" s="24">
        <f>'balance_raw_16499609'!$E$20</f>
        <v/>
      </c>
      <c r="D28" s="24">
        <f>'balance_raw_16499609'!$D$20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'balance_raw_16499609'!$F$57</f>
        <v/>
      </c>
      <c r="C29" s="24">
        <f>'balance_raw_16499609'!$E$57</f>
        <v/>
      </c>
      <c r="D29" s="24">
        <f>'balance_raw_16499609'!$D$57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IF('balance_raw_16499609'!$F$31="","—",IF(ABS(B20-'balance_raw_16499609'!$F$31)&lt;=1,"✓ OK","❌ "&amp;TEXT(B20-'balance_raw_16499609'!$F$31,"+#,##0;-#,##0")&amp;" t.kr."))</f>
        <v/>
      </c>
      <c r="C60" s="29">
        <f>IF('balance_raw_16499609'!$E$31="","—",IF(ABS(C20-'balance_raw_16499609'!$E$31)&lt;=1,"✓ OK","❌ "&amp;TEXT(C20-'balance_raw_16499609'!$E$31,"+#,##0;-#,##0")&amp;" t.kr."))</f>
        <v/>
      </c>
      <c r="D60" s="29">
        <f>IF('balance_raw_16499609'!$D$31="","—",IF(ABS(D20-'balance_raw_16499609'!$D$31)&lt;=1,"✓ OK","❌ "&amp;TEXT(D20-'balance_raw_16499609'!$D$31,"+#,##0;-#,##0")&amp;"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IF('balance_raw_16499609'!$F$59="","—",IF(ABS(B24-'balance_raw_16499609'!$F$59)&lt;=1,"✓ OK","❌ "&amp;TEXT(B24-'balance_raw_16499609'!$F$59,"+#,##0;-#,##0")&amp;" t.kr."))</f>
        <v/>
      </c>
      <c r="C61" s="29">
        <f>IF('balance_raw_16499609'!$E$59="","—",IF(ABS(C24-'balance_raw_16499609'!$E$59)&lt;=1,"✓ OK","❌ "&amp;TEXT(C24-'balance_raw_16499609'!$E$59,"+#,##0;-#,##0")&amp;" t.kr."))</f>
        <v/>
      </c>
      <c r="D61" s="29">
        <f>IF('balance_raw_16499609'!$D$59="","—",IF(ABS(D24-'balance_raw_16499609'!$D$59)&lt;=1,"✓ OK","❌ "&amp;TEXT(D24-'balance_raw_16499609'!$D$59,"+#,##0;-#,##0")&amp;"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IF('res_raw_16499609'!$F$4="","—",IF(ABS(B7-'res_raw_16499609'!$F$4)&lt;=1,"✓ OK","❌ "&amp;TEXT(B7-'res_raw_16499609'!$F$4,"+#,##0;-#,##0")&amp;" t.kr."))</f>
        <v/>
      </c>
      <c r="C63" s="29">
        <f>IF('res_raw_16499609'!$E$4="","—",IF(ABS(C7-'res_raw_16499609'!$E$4)&lt;=1,"✓ OK","❌ "&amp;TEXT(C7-'res_raw_16499609'!$E$4,"+#,##0;-#,##0")&amp;" t.kr."))</f>
        <v/>
      </c>
      <c r="D63" s="29">
        <f>IF('res_raw_16499609'!$D$4="","—",IF(ABS(D7-'res_raw_16499609'!$D$4)&lt;=1,"✓ OK","❌ "&amp;TEXT(D7-'res_raw_16499609'!$D$4,"+#,##0;-#,##0")&amp;"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IF('res_raw_16499609'!$F$9="","—",IF(ABS(B12-'res_raw_16499609'!$F$9)&lt;=1,"✓ OK","❌ "&amp;TEXT(B12-'res_raw_16499609'!$F$9,"+#,##0;-#,##0")&amp;" t.kr."))</f>
        <v/>
      </c>
      <c r="C64" s="29">
        <f>IF('res_raw_16499609'!$E$9="","—",IF(ABS(C12-'res_raw_16499609'!$E$9)&lt;=1,"✓ OK","❌ "&amp;TEXT(C12-'res_raw_16499609'!$E$9,"+#,##0;-#,##0")&amp;" t.kr."))</f>
        <v/>
      </c>
      <c r="D64" s="29">
        <f>IF('res_raw_16499609'!$D$9="","—",IF(ABS(D12-'res_raw_16499609'!$D$9)&lt;=1,"✓ OK","❌ "&amp;TEXT(D12-'res_raw_16499609'!$D$9,"+#,##0;-#,##0")&amp;"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IF('res_raw_16499609'!$F$14="","—",IF(ABS(B15-'res_raw_16499609'!$F$14)&lt;=1,"✓ OK","❌ "&amp;TEXT(B15-'res_raw_16499609'!$F$14,"+#,##0;-#,##0")&amp;" t.kr."))</f>
        <v/>
      </c>
      <c r="C65" s="29">
        <f>IF('res_raw_16499609'!$E$14="","—",IF(ABS(C15-'res_raw_16499609'!$E$14)&lt;=1,"✓ OK","❌ "&amp;TEXT(C15-'res_raw_16499609'!$E$14,"+#,##0;-#,##0")&amp;" t.kr."))</f>
        <v/>
      </c>
      <c r="D65" s="29">
        <f>IF('res_raw_16499609'!$D$14="","—",IF(ABS(D15-'res_raw_16499609'!$D$14)&lt;=1,"✓ OK","❌ "&amp;TEXT(D15-'res_raw_16499609'!$D$14,"+#,##0;-#,##0")&amp;"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2026-09-09T19:23:13Z</dcterms:created>
  <dcterms:modified xmlns:dcterms="http://purl.org/dc/terms/" xmlns:xsi="http://www.w3.org/2001/XMLSchema-instance" xsi:type="dcterms:W3CDTF">2026-09-09T19:23:13Z</dcterms:modified>
</cp:coreProperties>
</file>