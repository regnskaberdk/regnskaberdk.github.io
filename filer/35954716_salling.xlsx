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5954716" sheetId="1" state="visible" r:id="rId1"/>
    <sheet xmlns:r="http://schemas.openxmlformats.org/officeDocument/2006/relationships" name="res_raw_35954716" sheetId="2" state="visible" r:id="rId2"/>
    <sheet xmlns:r="http://schemas.openxmlformats.org/officeDocument/2006/relationships" name="balance_raw_35954716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'res_raw_35954716'!$B$2</f>
        <v/>
      </c>
      <c r="C4" s="5">
        <f>'res_raw_35954716'!$C$2</f>
        <v/>
      </c>
      <c r="D4" s="5">
        <f>'res_raw_35954716'!$D$2</f>
        <v/>
      </c>
      <c r="E4" s="5">
        <f>'res_raw_35954716'!$E$2</f>
        <v/>
      </c>
      <c r="F4" s="5">
        <f>'res_raw_35954716'!$F$2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'res_raw_35954716'!$B$3</f>
        <v/>
      </c>
      <c r="C5" s="8">
        <f>'res_raw_35954716'!$C$3</f>
        <v/>
      </c>
      <c r="D5" s="8">
        <f>'res_raw_35954716'!$D$3</f>
        <v/>
      </c>
      <c r="E5" s="8">
        <f>'res_raw_35954716'!$E$3</f>
        <v/>
      </c>
      <c r="F5" s="8">
        <f>'res_raw_35954716'!$F$3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'res_raw_35954716'!$B$4</f>
        <v/>
      </c>
      <c r="C6" s="5">
        <f>'res_raw_35954716'!$C$4</f>
        <v/>
      </c>
      <c r="D6" s="5">
        <f>'res_raw_35954716'!$D$4</f>
        <v/>
      </c>
      <c r="E6" s="5">
        <f>'res_raw_35954716'!$E$4</f>
        <v/>
      </c>
      <c r="F6" s="5">
        <f>'res_raw_35954716'!$F$4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'res_raw_35954716'!$B$5</f>
        <v/>
      </c>
      <c r="C7" s="8">
        <f>'res_raw_35954716'!$C$5</f>
        <v/>
      </c>
      <c r="D7" s="8">
        <f>'res_raw_35954716'!$D$5</f>
        <v/>
      </c>
      <c r="E7" s="8">
        <f>'res_raw_35954716'!$E$5</f>
        <v/>
      </c>
      <c r="F7" s="8">
        <f>'res_raw_35954716'!$F$5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'res_raw_35954716'!$B$6</f>
        <v/>
      </c>
      <c r="C8" s="11">
        <f>'res_raw_35954716'!$C$6</f>
        <v/>
      </c>
      <c r="D8" s="11">
        <f>'res_raw_35954716'!$D$6</f>
        <v/>
      </c>
      <c r="E8" s="11">
        <f>'res_raw_35954716'!$E$6</f>
        <v/>
      </c>
      <c r="F8" s="11">
        <f>'res_raw_35954716'!$F$6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'res_raw_35954716'!$B$7</f>
        <v/>
      </c>
      <c r="C9" s="8">
        <f>'res_raw_35954716'!$C$7</f>
        <v/>
      </c>
      <c r="D9" s="8">
        <f>'res_raw_35954716'!$D$7</f>
        <v/>
      </c>
      <c r="E9" s="8">
        <f>'res_raw_35954716'!$E$7</f>
        <v/>
      </c>
      <c r="F9" s="8">
        <f>'res_raw_35954716'!$F$7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'res_raw_35954716'!$B$9</f>
        <v/>
      </c>
      <c r="C11" s="8">
        <f>'res_raw_35954716'!$C$9</f>
        <v/>
      </c>
      <c r="D11" s="8">
        <f>'res_raw_35954716'!$D$9</f>
        <v/>
      </c>
      <c r="E11" s="8">
        <f>'res_raw_35954716'!$E$9</f>
        <v/>
      </c>
      <c r="F11" s="8">
        <f>'res_raw_35954716'!$F$9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'res_raw_35954716'!$B$10</f>
        <v/>
      </c>
      <c r="C12" s="5">
        <f>'res_raw_35954716'!$C$10</f>
        <v/>
      </c>
      <c r="D12" s="5">
        <f>'res_raw_35954716'!$D$10</f>
        <v/>
      </c>
      <c r="E12" s="5">
        <f>'res_raw_35954716'!$E$10</f>
        <v/>
      </c>
      <c r="F12" s="5">
        <f>'res_raw_35954716'!$F$10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'res_raw_35954716'!$B$11</f>
        <v/>
      </c>
      <c r="C13" s="11">
        <f>'res_raw_35954716'!$C$11</f>
        <v/>
      </c>
      <c r="D13" s="11">
        <f>'res_raw_35954716'!$D$11</f>
        <v/>
      </c>
      <c r="E13" s="11">
        <f>'res_raw_35954716'!$E$11</f>
        <v/>
      </c>
      <c r="F13" s="11">
        <f>'res_raw_35954716'!$F$11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'res_raw_35954716'!$B$12</f>
        <v/>
      </c>
      <c r="C14" s="5">
        <f>'res_raw_35954716'!$C$12</f>
        <v/>
      </c>
      <c r="D14" s="5">
        <f>'res_raw_35954716'!$D$12</f>
        <v/>
      </c>
      <c r="E14" s="5">
        <f>'res_raw_35954716'!$E$12</f>
        <v/>
      </c>
      <c r="F14" s="5">
        <f>'res_raw_35954716'!$F$12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'res_raw_35954716'!$B$13</f>
        <v/>
      </c>
      <c r="C15" s="8">
        <f>'res_raw_35954716'!$C$13</f>
        <v/>
      </c>
      <c r="D15" s="8">
        <f>'res_raw_35954716'!$D$13</f>
        <v/>
      </c>
      <c r="E15" s="8">
        <f>'res_raw_35954716'!$E$13</f>
        <v/>
      </c>
      <c r="F15" s="8">
        <f>'res_raw_35954716'!$F$13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'res_raw_35954716'!$B$14</f>
        <v/>
      </c>
      <c r="C16" s="5">
        <f>'res_raw_35954716'!$C$14</f>
        <v/>
      </c>
      <c r="D16" s="5">
        <f>'res_raw_35954716'!$D$14</f>
        <v/>
      </c>
      <c r="E16" s="5">
        <f>'res_raw_35954716'!$E$14</f>
        <v/>
      </c>
      <c r="F16" s="5">
        <f>'res_raw_35954716'!$F$14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'res_raw_35954716'!$B$15</f>
        <v/>
      </c>
      <c r="C17" s="11">
        <f>'res_raw_35954716'!$C$15</f>
        <v/>
      </c>
      <c r="D17" s="11">
        <f>'res_raw_35954716'!$D$15</f>
        <v/>
      </c>
      <c r="E17" s="11">
        <f>'res_raw_35954716'!$E$15</f>
        <v/>
      </c>
      <c r="F17" s="11">
        <f>'res_raw_35954716'!$F$15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'res_raw_35954716'!$B$16</f>
        <v/>
      </c>
      <c r="C18" s="11">
        <f>'res_raw_35954716'!$C$16</f>
        <v/>
      </c>
      <c r="D18" s="11">
        <f>'res_raw_35954716'!$D$16</f>
        <v/>
      </c>
      <c r="E18" s="11">
        <f>'res_raw_35954716'!$E$16</f>
        <v/>
      </c>
      <c r="F18" s="11">
        <f>'res_raw_35954716'!$F$16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'res_raw_35954716'!$B$17</f>
        <v/>
      </c>
      <c r="C19" s="8">
        <f>'res_raw_35954716'!$C$17</f>
        <v/>
      </c>
      <c r="D19" s="8">
        <f>'res_raw_35954716'!$D$17</f>
        <v/>
      </c>
      <c r="E19" s="8">
        <f>'res_raw_35954716'!$E$17</f>
        <v/>
      </c>
      <c r="F19" s="8">
        <f>'res_raw_35954716'!$F$17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'res_raw_35954716'!$B$18</f>
        <v/>
      </c>
      <c r="C20" s="11">
        <f>'res_raw_35954716'!$C$18</f>
        <v/>
      </c>
      <c r="D20" s="11">
        <f>'res_raw_35954716'!$D$18</f>
        <v/>
      </c>
      <c r="E20" s="11">
        <f>'res_raw_35954716'!$E$18</f>
        <v/>
      </c>
      <c r="F20" s="11">
        <f>'res_raw_35954716'!$F$18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'balance_raw_35954716'!$B$2</f>
        <v/>
      </c>
      <c r="C23" s="8">
        <f>'balance_raw_35954716'!$C$2</f>
        <v/>
      </c>
      <c r="D23" s="8">
        <f>'balance_raw_35954716'!$D$2</f>
        <v/>
      </c>
      <c r="E23" s="8">
        <f>'balance_raw_35954716'!$E$2</f>
        <v/>
      </c>
      <c r="F23" s="8">
        <f>'balance_raw_35954716'!$F$2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'balance_raw_35954716'!$B$3</f>
        <v/>
      </c>
      <c r="C24" s="5">
        <f>'balance_raw_35954716'!$C$3</f>
        <v/>
      </c>
      <c r="D24" s="5">
        <f>'balance_raw_35954716'!$D$3</f>
        <v/>
      </c>
      <c r="E24" s="5">
        <f>'balance_raw_35954716'!$E$3</f>
        <v/>
      </c>
      <c r="F24" s="5">
        <f>'balance_raw_35954716'!$F$3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'balance_raw_35954716'!$B$4</f>
        <v/>
      </c>
      <c r="C25" s="8">
        <f>'balance_raw_35954716'!$C$4</f>
        <v/>
      </c>
      <c r="D25" s="8">
        <f>'balance_raw_35954716'!$D$4</f>
        <v/>
      </c>
      <c r="E25" s="8">
        <f>'balance_raw_35954716'!$E$4</f>
        <v/>
      </c>
      <c r="F25" s="8">
        <f>'balance_raw_35954716'!$F$4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'balance_raw_35954716'!$B$5</f>
        <v/>
      </c>
      <c r="C26" s="11">
        <f>'balance_raw_35954716'!$C$5</f>
        <v/>
      </c>
      <c r="D26" s="11">
        <f>'balance_raw_35954716'!$D$5</f>
        <v/>
      </c>
      <c r="E26" s="11">
        <f>'balance_raw_35954716'!$E$5</f>
        <v/>
      </c>
      <c r="F26" s="11">
        <f>'balance_raw_35954716'!$F$5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'balance_raw_35954716'!$B$6</f>
        <v/>
      </c>
      <c r="C27" s="8">
        <f>'balance_raw_35954716'!$C$6</f>
        <v/>
      </c>
      <c r="D27" s="8">
        <f>'balance_raw_35954716'!$D$6</f>
        <v/>
      </c>
      <c r="E27" s="8">
        <f>'balance_raw_35954716'!$E$6</f>
        <v/>
      </c>
      <c r="F27" s="8">
        <f>'balance_raw_35954716'!$F$6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'balance_raw_35954716'!$B$7</f>
        <v/>
      </c>
      <c r="C28" s="5">
        <f>'balance_raw_35954716'!$C$7</f>
        <v/>
      </c>
      <c r="D28" s="5">
        <f>'balance_raw_35954716'!$D$7</f>
        <v/>
      </c>
      <c r="E28" s="5">
        <f>'balance_raw_35954716'!$E$7</f>
        <v/>
      </c>
      <c r="F28" s="5">
        <f>'balance_raw_35954716'!$F$7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'balance_raw_35954716'!$B$8</f>
        <v/>
      </c>
      <c r="C29" s="8">
        <f>'balance_raw_35954716'!$C$8</f>
        <v/>
      </c>
      <c r="D29" s="8">
        <f>'balance_raw_35954716'!$D$8</f>
        <v/>
      </c>
      <c r="E29" s="8">
        <f>'balance_raw_35954716'!$E$8</f>
        <v/>
      </c>
      <c r="F29" s="8">
        <f>'balance_raw_35954716'!$F$8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'balance_raw_35954716'!$B$9</f>
        <v/>
      </c>
      <c r="C30" s="5">
        <f>'balance_raw_35954716'!$C$9</f>
        <v/>
      </c>
      <c r="D30" s="5">
        <f>'balance_raw_35954716'!$D$9</f>
        <v/>
      </c>
      <c r="E30" s="5">
        <f>'balance_raw_35954716'!$E$9</f>
        <v/>
      </c>
      <c r="F30" s="5">
        <f>'balance_raw_35954716'!$F$9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'balance_raw_35954716'!$B$10</f>
        <v/>
      </c>
      <c r="C31" s="8">
        <f>'balance_raw_35954716'!$C$10</f>
        <v/>
      </c>
      <c r="D31" s="8">
        <f>'balance_raw_35954716'!$D$10</f>
        <v/>
      </c>
      <c r="E31" s="8">
        <f>'balance_raw_35954716'!$E$10</f>
        <v/>
      </c>
      <c r="F31" s="8">
        <f>'balance_raw_35954716'!$F$10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'balance_raw_35954716'!$B$11</f>
        <v/>
      </c>
      <c r="C32" s="11">
        <f>'balance_raw_35954716'!$C$11</f>
        <v/>
      </c>
      <c r="D32" s="11">
        <f>'balance_raw_35954716'!$D$11</f>
        <v/>
      </c>
      <c r="E32" s="11">
        <f>'balance_raw_35954716'!$E$11</f>
        <v/>
      </c>
      <c r="F32" s="11">
        <f>'balance_raw_35954716'!$F$11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'balance_raw_35954716'!$B$12</f>
        <v/>
      </c>
      <c r="C33" s="11">
        <f>'balance_raw_35954716'!$C$12</f>
        <v/>
      </c>
      <c r="D33" s="11">
        <f>'balance_raw_35954716'!$D$12</f>
        <v/>
      </c>
      <c r="E33" s="11">
        <f>'balance_raw_35954716'!$E$12</f>
        <v/>
      </c>
      <c r="F33" s="11">
        <f>'balance_raw_35954716'!$F$12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'balance_raw_35954716'!$B$13</f>
        <v/>
      </c>
      <c r="C34" s="11">
        <f>'balance_raw_35954716'!$C$13</f>
        <v/>
      </c>
      <c r="D34" s="11">
        <f>'balance_raw_35954716'!$D$13</f>
        <v/>
      </c>
      <c r="E34" s="11">
        <f>'balance_raw_35954716'!$E$13</f>
        <v/>
      </c>
      <c r="F34" s="11">
        <f>'balance_raw_35954716'!$F$13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'balance_raw_35954716'!$B$14</f>
        <v/>
      </c>
      <c r="C35" s="8">
        <f>'balance_raw_35954716'!$C$14</f>
        <v/>
      </c>
      <c r="D35" s="8">
        <f>'balance_raw_35954716'!$D$14</f>
        <v/>
      </c>
      <c r="E35" s="8">
        <f>'balance_raw_35954716'!$E$14</f>
        <v/>
      </c>
      <c r="F35" s="8">
        <f>'balance_raw_35954716'!$F$14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'balance_raw_35954716'!$B$15</f>
        <v/>
      </c>
      <c r="C36" s="5">
        <f>'balance_raw_35954716'!$C$15</f>
        <v/>
      </c>
      <c r="D36" s="5">
        <f>'balance_raw_35954716'!$D$15</f>
        <v/>
      </c>
      <c r="E36" s="5">
        <f>'balance_raw_35954716'!$E$15</f>
        <v/>
      </c>
      <c r="F36" s="5">
        <f>'balance_raw_35954716'!$F$15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'balance_raw_35954716'!$B$16</f>
        <v/>
      </c>
      <c r="C37" s="8">
        <f>'balance_raw_35954716'!$C$16</f>
        <v/>
      </c>
      <c r="D37" s="8">
        <f>'balance_raw_35954716'!$D$16</f>
        <v/>
      </c>
      <c r="E37" s="8">
        <f>'balance_raw_35954716'!$E$16</f>
        <v/>
      </c>
      <c r="F37" s="8">
        <f>'balance_raw_35954716'!$F$16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'balance_raw_35954716'!$B$17</f>
        <v/>
      </c>
      <c r="C38" s="5">
        <f>'balance_raw_35954716'!$C$17</f>
        <v/>
      </c>
      <c r="D38" s="5">
        <f>'balance_raw_35954716'!$D$17</f>
        <v/>
      </c>
      <c r="E38" s="5">
        <f>'balance_raw_35954716'!$E$17</f>
        <v/>
      </c>
      <c r="F38" s="5">
        <f>'balance_raw_35954716'!$F$17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'balance_raw_35954716'!$B$18</f>
        <v/>
      </c>
      <c r="C39" s="8">
        <f>'balance_raw_35954716'!$C$18</f>
        <v/>
      </c>
      <c r="D39" s="8">
        <f>'balance_raw_35954716'!$D$18</f>
        <v/>
      </c>
      <c r="E39" s="8">
        <f>'balance_raw_35954716'!$E$18</f>
        <v/>
      </c>
      <c r="F39" s="8">
        <f>'balance_raw_35954716'!$F$18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'balance_raw_35954716'!$B$19</f>
        <v/>
      </c>
      <c r="C40" s="5">
        <f>'balance_raw_35954716'!$C$19</f>
        <v/>
      </c>
      <c r="D40" s="5">
        <f>'balance_raw_35954716'!$D$19</f>
        <v/>
      </c>
      <c r="E40" s="5">
        <f>'balance_raw_35954716'!$E$19</f>
        <v/>
      </c>
      <c r="F40" s="5">
        <f>'balance_raw_35954716'!$F$19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'balance_raw_35954716'!$B$20</f>
        <v/>
      </c>
      <c r="C41" s="8">
        <f>'balance_raw_35954716'!$C$20</f>
        <v/>
      </c>
      <c r="D41" s="8">
        <f>'balance_raw_35954716'!$D$20</f>
        <v/>
      </c>
      <c r="E41" s="8">
        <f>'balance_raw_35954716'!$E$20</f>
        <v/>
      </c>
      <c r="F41" s="8">
        <f>'balance_raw_35954716'!$F$20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'balance_raw_35954716'!$B$21</f>
        <v/>
      </c>
      <c r="C42" s="11">
        <f>'balance_raw_35954716'!$C$21</f>
        <v/>
      </c>
      <c r="D42" s="11">
        <f>'balance_raw_35954716'!$D$21</f>
        <v/>
      </c>
      <c r="E42" s="11">
        <f>'balance_raw_35954716'!$E$21</f>
        <v/>
      </c>
      <c r="F42" s="11">
        <f>'balance_raw_35954716'!$F$21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'balance_raw_35954716'!$B$22</f>
        <v/>
      </c>
      <c r="C43" s="8">
        <f>'balance_raw_35954716'!$C$22</f>
        <v/>
      </c>
      <c r="D43" s="8">
        <f>'balance_raw_35954716'!$D$22</f>
        <v/>
      </c>
      <c r="E43" s="8">
        <f>'balance_raw_35954716'!$E$22</f>
        <v/>
      </c>
      <c r="F43" s="8">
        <f>'balance_raw_35954716'!$F$22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'balance_raw_35954716'!$B$23</f>
        <v/>
      </c>
      <c r="C44" s="5">
        <f>'balance_raw_35954716'!$C$23</f>
        <v/>
      </c>
      <c r="D44" s="5">
        <f>'balance_raw_35954716'!$D$23</f>
        <v/>
      </c>
      <c r="E44" s="5">
        <f>'balance_raw_35954716'!$E$23</f>
        <v/>
      </c>
      <c r="F44" s="5">
        <f>'balance_raw_35954716'!$F$23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'balance_raw_35954716'!$B$24</f>
        <v/>
      </c>
      <c r="C45" s="11">
        <f>'balance_raw_35954716'!$C$24</f>
        <v/>
      </c>
      <c r="D45" s="11">
        <f>'balance_raw_35954716'!$D$24</f>
        <v/>
      </c>
      <c r="E45" s="11">
        <f>'balance_raw_35954716'!$E$24</f>
        <v/>
      </c>
      <c r="F45" s="11">
        <f>'balance_raw_35954716'!$F$24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'balance_raw_35954716'!$B$25</f>
        <v/>
      </c>
      <c r="C46" s="11">
        <f>'balance_raw_35954716'!$C$25</f>
        <v/>
      </c>
      <c r="D46" s="11">
        <f>'balance_raw_35954716'!$D$25</f>
        <v/>
      </c>
      <c r="E46" s="11">
        <f>'balance_raw_35954716'!$E$25</f>
        <v/>
      </c>
      <c r="F46" s="11">
        <f>'balance_raw_35954716'!$F$25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2020</v>
      </c>
      <c r="C48" s="3" t="n">
        <v>2021</v>
      </c>
      <c r="D48" s="3" t="n">
        <v>2022</v>
      </c>
      <c r="E48" s="3" t="n">
        <v>2023</v>
      </c>
      <c r="F48" s="3" t="n">
        <v>2024</v>
      </c>
      <c r="G48" t="inlineStr"/>
      <c r="H48" s="3" t="n">
        <v>2020</v>
      </c>
      <c r="I48" s="3" t="n">
        <v>2021</v>
      </c>
      <c r="J48" s="3" t="n">
        <v>2022</v>
      </c>
      <c r="K48" s="3" t="n">
        <v>2023</v>
      </c>
      <c r="L48" s="3" t="n">
        <v>2024</v>
      </c>
    </row>
    <row r="49" ht="16" customHeight="1">
      <c r="A49" s="7" t="inlineStr">
        <is>
          <t>Selskabskapital</t>
        </is>
      </c>
      <c r="B49" s="8">
        <f>'balance_raw_35954716'!$B$26</f>
        <v/>
      </c>
      <c r="C49" s="8">
        <f>'balance_raw_35954716'!$C$26</f>
        <v/>
      </c>
      <c r="D49" s="8">
        <f>'balance_raw_35954716'!$D$26</f>
        <v/>
      </c>
      <c r="E49" s="8">
        <f>'balance_raw_35954716'!$E$26</f>
        <v/>
      </c>
      <c r="F49" s="8">
        <f>'balance_raw_35954716'!$F$26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'balance_raw_35954716'!$B$27</f>
        <v/>
      </c>
      <c r="C50" s="5">
        <f>'balance_raw_35954716'!$C$27</f>
        <v/>
      </c>
      <c r="D50" s="5">
        <f>'balance_raw_35954716'!$D$27</f>
        <v/>
      </c>
      <c r="E50" s="5">
        <f>'balance_raw_35954716'!$E$27</f>
        <v/>
      </c>
      <c r="F50" s="5">
        <f>'balance_raw_35954716'!$F$27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'balance_raw_35954716'!$B$28</f>
        <v/>
      </c>
      <c r="C51" s="8">
        <f>'balance_raw_35954716'!$C$28</f>
        <v/>
      </c>
      <c r="D51" s="8">
        <f>'balance_raw_35954716'!$D$28</f>
        <v/>
      </c>
      <c r="E51" s="8">
        <f>'balance_raw_35954716'!$E$28</f>
        <v/>
      </c>
      <c r="F51" s="8">
        <f>'balance_raw_35954716'!$F$28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'balance_raw_35954716'!$B$29</f>
        <v/>
      </c>
      <c r="C52" s="5">
        <f>'balance_raw_35954716'!$C$29</f>
        <v/>
      </c>
      <c r="D52" s="5">
        <f>'balance_raw_35954716'!$D$29</f>
        <v/>
      </c>
      <c r="E52" s="5">
        <f>'balance_raw_35954716'!$E$29</f>
        <v/>
      </c>
      <c r="F52" s="5">
        <f>'balance_raw_35954716'!$F$29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'balance_raw_35954716'!$B$30</f>
        <v/>
      </c>
      <c r="C53" s="8">
        <f>'balance_raw_35954716'!$C$30</f>
        <v/>
      </c>
      <c r="D53" s="8">
        <f>'balance_raw_35954716'!$D$30</f>
        <v/>
      </c>
      <c r="E53" s="8">
        <f>'balance_raw_35954716'!$E$30</f>
        <v/>
      </c>
      <c r="F53" s="8">
        <f>'balance_raw_35954716'!$F$30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'balance_raw_35954716'!$B$31</f>
        <v/>
      </c>
      <c r="C54" s="5">
        <f>'balance_raw_35954716'!$C$31</f>
        <v/>
      </c>
      <c r="D54" s="5">
        <f>'balance_raw_35954716'!$D$31</f>
        <v/>
      </c>
      <c r="E54" s="5">
        <f>'balance_raw_35954716'!$E$31</f>
        <v/>
      </c>
      <c r="F54" s="5">
        <f>'balance_raw_35954716'!$F$31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'balance_raw_35954716'!$B$32</f>
        <v/>
      </c>
      <c r="C55" s="11">
        <f>'balance_raw_35954716'!$C$32</f>
        <v/>
      </c>
      <c r="D55" s="11">
        <f>'balance_raw_35954716'!$D$32</f>
        <v/>
      </c>
      <c r="E55" s="11">
        <f>'balance_raw_35954716'!$E$32</f>
        <v/>
      </c>
      <c r="F55" s="11">
        <f>'balance_raw_35954716'!$F$32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'balance_raw_35954716'!$B$33</f>
        <v/>
      </c>
      <c r="C56" s="5">
        <f>'balance_raw_35954716'!$C$33</f>
        <v/>
      </c>
      <c r="D56" s="5">
        <f>'balance_raw_35954716'!$D$33</f>
        <v/>
      </c>
      <c r="E56" s="5">
        <f>'balance_raw_35954716'!$E$33</f>
        <v/>
      </c>
      <c r="F56" s="5">
        <f>'balance_raw_35954716'!$F$33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Hensatte forpligtelser</t>
        </is>
      </c>
      <c r="B57" s="11">
        <f>'balance_raw_35954716'!$B$34</f>
        <v/>
      </c>
      <c r="C57" s="11">
        <f>'balance_raw_35954716'!$C$34</f>
        <v/>
      </c>
      <c r="D57" s="11">
        <f>'balance_raw_35954716'!$D$34</f>
        <v/>
      </c>
      <c r="E57" s="11">
        <f>'balance_raw_35954716'!$E$34</f>
        <v/>
      </c>
      <c r="F57" s="11">
        <f>'balance_raw_35954716'!$F$34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'balance_raw_35954716'!$B$35</f>
        <v/>
      </c>
      <c r="C58" s="5">
        <f>'balance_raw_35954716'!$C$35</f>
        <v/>
      </c>
      <c r="D58" s="5">
        <f>'balance_raw_35954716'!$D$35</f>
        <v/>
      </c>
      <c r="E58" s="5">
        <f>'balance_raw_35954716'!$E$35</f>
        <v/>
      </c>
      <c r="F58" s="5">
        <f>'balance_raw_35954716'!$F$35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lån</t>
        </is>
      </c>
      <c r="B59" s="8">
        <f>'balance_raw_35954716'!$B$36</f>
        <v/>
      </c>
      <c r="C59" s="8">
        <f>'balance_raw_35954716'!$C$36</f>
        <v/>
      </c>
      <c r="D59" s="8">
        <f>'balance_raw_35954716'!$D$36</f>
        <v/>
      </c>
      <c r="E59" s="8">
        <f>'balance_raw_35954716'!$E$36</f>
        <v/>
      </c>
      <c r="F59" s="8">
        <f>'balance_raw_35954716'!$F$36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'balance_raw_35954716'!$B$37</f>
        <v/>
      </c>
      <c r="C60" s="5">
        <f>'balance_raw_35954716'!$C$37</f>
        <v/>
      </c>
      <c r="D60" s="5">
        <f>'balance_raw_35954716'!$D$37</f>
        <v/>
      </c>
      <c r="E60" s="5">
        <f>'balance_raw_35954716'!$E$37</f>
        <v/>
      </c>
      <c r="F60" s="5">
        <f>'balance_raw_35954716'!$F$37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Anden gæld (langfristet)</t>
        </is>
      </c>
      <c r="B61" s="8">
        <f>'balance_raw_35954716'!$B$38</f>
        <v/>
      </c>
      <c r="C61" s="8">
        <f>'balance_raw_35954716'!$C$38</f>
        <v/>
      </c>
      <c r="D61" s="8">
        <f>'balance_raw_35954716'!$D$38</f>
        <v/>
      </c>
      <c r="E61" s="8">
        <f>'balance_raw_35954716'!$E$38</f>
        <v/>
      </c>
      <c r="F61" s="8">
        <f>'balance_raw_35954716'!$F$38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Langfristede gældsforpligtelser</t>
        </is>
      </c>
      <c r="B62" s="11">
        <f>'balance_raw_35954716'!$B$39</f>
        <v/>
      </c>
      <c r="C62" s="11">
        <f>'balance_raw_35954716'!$C$39</f>
        <v/>
      </c>
      <c r="D62" s="11">
        <f>'balance_raw_35954716'!$D$39</f>
        <v/>
      </c>
      <c r="E62" s="11">
        <f>'balance_raw_35954716'!$E$39</f>
        <v/>
      </c>
      <c r="F62" s="11">
        <f>'balance_raw_35954716'!$F$39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(kortfristet)</t>
        </is>
      </c>
      <c r="B63" s="8">
        <f>'balance_raw_35954716'!$B$40</f>
        <v/>
      </c>
      <c r="C63" s="8">
        <f>'balance_raw_35954716'!$C$40</f>
        <v/>
      </c>
      <c r="D63" s="8">
        <f>'balance_raw_35954716'!$D$40</f>
        <v/>
      </c>
      <c r="E63" s="8">
        <f>'balance_raw_35954716'!$E$40</f>
        <v/>
      </c>
      <c r="F63" s="8">
        <f>'balance_raw_35954716'!$F$40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'balance_raw_35954716'!$B$41</f>
        <v/>
      </c>
      <c r="C64" s="5">
        <f>'balance_raw_35954716'!$C$41</f>
        <v/>
      </c>
      <c r="D64" s="5">
        <f>'balance_raw_35954716'!$D$41</f>
        <v/>
      </c>
      <c r="E64" s="5">
        <f>'balance_raw_35954716'!$E$41</f>
        <v/>
      </c>
      <c r="F64" s="5">
        <f>'balance_raw_35954716'!$F$41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Kreditinstitutter</t>
        </is>
      </c>
      <c r="B65" s="8">
        <f>'balance_raw_35954716'!$B$42</f>
        <v/>
      </c>
      <c r="C65" s="8">
        <f>'balance_raw_35954716'!$C$42</f>
        <v/>
      </c>
      <c r="D65" s="8">
        <f>'balance_raw_35954716'!$D$42</f>
        <v/>
      </c>
      <c r="E65" s="8">
        <f>'balance_raw_35954716'!$E$42</f>
        <v/>
      </c>
      <c r="F65" s="8">
        <f>'balance_raw_35954716'!$F$42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'balance_raw_35954716'!$B$43</f>
        <v/>
      </c>
      <c r="C66" s="5">
        <f>'balance_raw_35954716'!$C$43</f>
        <v/>
      </c>
      <c r="D66" s="5">
        <f>'balance_raw_35954716'!$D$43</f>
        <v/>
      </c>
      <c r="E66" s="5">
        <f>'balance_raw_35954716'!$E$43</f>
        <v/>
      </c>
      <c r="F66" s="5">
        <f>'balance_raw_35954716'!$F$43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Leverandører af varer og tjenesteydelser</t>
        </is>
      </c>
      <c r="B67" s="8">
        <f>'balance_raw_35954716'!$B$44</f>
        <v/>
      </c>
      <c r="C67" s="8">
        <f>'balance_raw_35954716'!$C$44</f>
        <v/>
      </c>
      <c r="D67" s="8">
        <f>'balance_raw_35954716'!$D$44</f>
        <v/>
      </c>
      <c r="E67" s="8">
        <f>'balance_raw_35954716'!$E$44</f>
        <v/>
      </c>
      <c r="F67" s="8">
        <f>'balance_raw_35954716'!$F$44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'balance_raw_35954716'!$B$45</f>
        <v/>
      </c>
      <c r="C68" s="5">
        <f>'balance_raw_35954716'!$C$45</f>
        <v/>
      </c>
      <c r="D68" s="5">
        <f>'balance_raw_35954716'!$D$45</f>
        <v/>
      </c>
      <c r="E68" s="5">
        <f>'balance_raw_35954716'!$E$45</f>
        <v/>
      </c>
      <c r="F68" s="5">
        <f>'balance_raw_35954716'!$F$45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selskabsdeltagere og ledelse</t>
        </is>
      </c>
      <c r="B69" s="8">
        <f>'balance_raw_35954716'!$B$46</f>
        <v/>
      </c>
      <c r="C69" s="8">
        <f>'balance_raw_35954716'!$C$46</f>
        <v/>
      </c>
      <c r="D69" s="8">
        <f>'balance_raw_35954716'!$D$46</f>
        <v/>
      </c>
      <c r="E69" s="8">
        <f>'balance_raw_35954716'!$E$46</f>
        <v/>
      </c>
      <c r="F69" s="8">
        <f>'balance_raw_35954716'!$F$46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Selskabsskat</t>
        </is>
      </c>
      <c r="B70" s="5">
        <f>'balance_raw_35954716'!$B$47</f>
        <v/>
      </c>
      <c r="C70" s="5">
        <f>'balance_raw_35954716'!$C$47</f>
        <v/>
      </c>
      <c r="D70" s="5">
        <f>'balance_raw_35954716'!$D$47</f>
        <v/>
      </c>
      <c r="E70" s="5">
        <f>'balance_raw_35954716'!$E$47</f>
        <v/>
      </c>
      <c r="F70" s="5">
        <f>'balance_raw_35954716'!$F$47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 vedr. selskabsskat</t>
        </is>
      </c>
      <c r="B71" s="8">
        <f>'balance_raw_35954716'!$B$48</f>
        <v/>
      </c>
      <c r="C71" s="8">
        <f>'balance_raw_35954716'!$C$48</f>
        <v/>
      </c>
      <c r="D71" s="8">
        <f>'balance_raw_35954716'!$D$48</f>
        <v/>
      </c>
      <c r="E71" s="8">
        <f>'balance_raw_35954716'!$E$48</f>
        <v/>
      </c>
      <c r="F71" s="8">
        <f>'balance_raw_35954716'!$F$48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'balance_raw_35954716'!$B$49</f>
        <v/>
      </c>
      <c r="C72" s="5">
        <f>'balance_raw_35954716'!$C$49</f>
        <v/>
      </c>
      <c r="D72" s="5">
        <f>'balance_raw_35954716'!$D$49</f>
        <v/>
      </c>
      <c r="E72" s="5">
        <f>'balance_raw_35954716'!$E$49</f>
        <v/>
      </c>
      <c r="F72" s="5">
        <f>'balance_raw_35954716'!$F$49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Periodeafgrænsningsposter (passiver)</t>
        </is>
      </c>
      <c r="B73" s="8">
        <f>'balance_raw_35954716'!$B$50</f>
        <v/>
      </c>
      <c r="C73" s="8">
        <f>'balance_raw_35954716'!$C$50</f>
        <v/>
      </c>
      <c r="D73" s="8">
        <f>'balance_raw_35954716'!$D$50</f>
        <v/>
      </c>
      <c r="E73" s="8">
        <f>'balance_raw_35954716'!$E$50</f>
        <v/>
      </c>
      <c r="F73" s="8">
        <f>'balance_raw_35954716'!$F$50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10" t="inlineStr">
        <is>
          <t>Kortfristede gældsforpligtelser</t>
        </is>
      </c>
      <c r="B74" s="11">
        <f>'balance_raw_35954716'!$B$51</f>
        <v/>
      </c>
      <c r="C74" s="11">
        <f>'balance_raw_35954716'!$C$51</f>
        <v/>
      </c>
      <c r="D74" s="11">
        <f>'balance_raw_35954716'!$D$51</f>
        <v/>
      </c>
      <c r="E74" s="11">
        <f>'balance_raw_35954716'!$E$51</f>
        <v/>
      </c>
      <c r="F74" s="11">
        <f>'balance_raw_35954716'!$F$51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Gældsforpligtelser</t>
        </is>
      </c>
      <c r="B75" s="11">
        <f>'balance_raw_35954716'!$B$52</f>
        <v/>
      </c>
      <c r="C75" s="11">
        <f>'balance_raw_35954716'!$C$52</f>
        <v/>
      </c>
      <c r="D75" s="11">
        <f>'balance_raw_35954716'!$D$52</f>
        <v/>
      </c>
      <c r="E75" s="11">
        <f>'balance_raw_35954716'!$E$52</f>
        <v/>
      </c>
      <c r="F75" s="11">
        <f>'balance_raw_35954716'!$F$52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Passiver</t>
        </is>
      </c>
      <c r="B76" s="11">
        <f>'balance_raw_35954716'!$B$53</f>
        <v/>
      </c>
      <c r="C76" s="11">
        <f>'balance_raw_35954716'!$C$53</f>
        <v/>
      </c>
      <c r="D76" s="11">
        <f>'balance_raw_35954716'!$D$53</f>
        <v/>
      </c>
      <c r="E76" s="11">
        <f>'balance_raw_35954716'!$E$53</f>
        <v/>
      </c>
      <c r="F76" s="11">
        <f>'balance_raw_35954716'!$F$53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8" ht="22" customHeight="1">
      <c r="A78" s="3" t="inlineStr">
        <is>
          <t>NØGLEOPLYSNINGER</t>
        </is>
      </c>
      <c r="B78" s="3" t="n">
        <v>2020</v>
      </c>
      <c r="C78" s="3" t="n">
        <v>2021</v>
      </c>
      <c r="D78" s="3" t="n">
        <v>2022</v>
      </c>
      <c r="E78" s="3" t="n">
        <v>2023</v>
      </c>
      <c r="F78" s="3" t="n">
        <v>2024</v>
      </c>
    </row>
    <row r="79" ht="16" customHeight="1">
      <c r="A79" s="7" t="inlineStr">
        <is>
          <t>Gns. antal medarbejdere</t>
        </is>
      </c>
      <c r="B79" s="8">
        <f>'res_raw_35954716'!$B$19</f>
        <v/>
      </c>
      <c r="C79" s="8">
        <f>'res_raw_35954716'!$C$19</f>
        <v/>
      </c>
      <c r="D79" s="8">
        <f>'res_raw_35954716'!$D$19</f>
        <v/>
      </c>
      <c r="E79" s="8">
        <f>'res_raw_35954716'!$E$19</f>
        <v/>
      </c>
      <c r="F79" s="8">
        <f>'res_raw_35954716'!$F$19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'res_raw_35954716'!$B$20</f>
        <v/>
      </c>
      <c r="C80" s="5">
        <f>'res_raw_35954716'!$C$20</f>
        <v/>
      </c>
      <c r="D80" s="5">
        <f>'res_raw_35954716'!$D$20</f>
        <v/>
      </c>
      <c r="E80" s="5">
        <f>'res_raw_35954716'!$E$20</f>
        <v/>
      </c>
      <c r="F80" s="5">
        <f>'res_raw_35954716'!$F$20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2020</v>
      </c>
      <c r="C82" s="3" t="n">
        <v>2021</v>
      </c>
      <c r="D82" s="3" t="n">
        <v>2022</v>
      </c>
      <c r="E82" s="3" t="n">
        <v>2023</v>
      </c>
      <c r="F82" s="3" t="n">
        <v>2024</v>
      </c>
    </row>
    <row r="83" ht="16" customHeight="1">
      <c r="A83" s="7" t="inlineStr">
        <is>
          <t>Afkastningsgrad, %</t>
        </is>
      </c>
      <c r="B83" s="13">
        <f>IFERROR(($B$13+$B$15+$B$14)/$B$46*100,"")</f>
        <v/>
      </c>
      <c r="C83" s="13">
        <f>IFERROR(($C$13+$C$15+$C$14)/$C$46*100,"")</f>
        <v/>
      </c>
      <c r="D83" s="13">
        <f>IFERROR(($D$13+$D$15+$D$14)/$D$46*100,"")</f>
        <v/>
      </c>
      <c r="E83" s="13">
        <f>IFERROR(($E$13+$E$15+$E$14)/$E$46*100,"")</f>
        <v/>
      </c>
      <c r="F83" s="13">
        <f>IFERROR(($F$13+$F$15+$F$14)/$F$46*100,"")</f>
        <v/>
      </c>
    </row>
    <row r="84" ht="16" customHeight="1">
      <c r="A84" s="4" t="inlineStr">
        <is>
          <t>Overskudsgrad, %</t>
        </is>
      </c>
      <c r="B84" s="14">
        <f>IFERROR(($B$13+$B$15+$B$14)/$B$4*100,"")</f>
        <v/>
      </c>
      <c r="C84" s="14">
        <f>IFERROR(($C$13+$C$15+$C$14)/$C$4*100,"")</f>
        <v/>
      </c>
      <c r="D84" s="14">
        <f>IFERROR(($D$13+$D$15+$D$14)/$D$4*100,"")</f>
        <v/>
      </c>
      <c r="E84" s="14">
        <f>IFERROR(($E$13+$E$15+$E$14)/$E$4*100,"")</f>
        <v/>
      </c>
      <c r="F84" s="14">
        <f>IFERROR(($F$13+$F$15+$F$14)/$F$4*100,"")</f>
        <v/>
      </c>
    </row>
    <row r="85" ht="16" customHeight="1">
      <c r="A85" s="7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IFERROR($B$18/$B$55*100,"")</f>
        <v/>
      </c>
      <c r="C86" s="14">
        <f>IFERROR($C$18/$C$55*100,"")</f>
        <v/>
      </c>
      <c r="D86" s="14">
        <f>IFERROR($D$18/$D$55*100,"")</f>
        <v/>
      </c>
      <c r="E86" s="14">
        <f>IFERROR($E$18/$E$55*100,"")</f>
        <v/>
      </c>
      <c r="F86" s="14">
        <f>IFERROR($F$18/$F$55*100,"")</f>
        <v/>
      </c>
    </row>
    <row r="87" ht="16" customHeight="1">
      <c r="A87" s="7" t="inlineStr">
        <is>
          <t>Gældsrente, %</t>
        </is>
      </c>
      <c r="B87" s="13">
        <f>IFERROR($B$16/($B$76-$B$55)*100,"")</f>
        <v/>
      </c>
      <c r="C87" s="13">
        <f>IFERROR($C$16/($C$76-$C$55)*100,"")</f>
        <v/>
      </c>
      <c r="D87" s="13">
        <f>IFERROR($D$16/($D$76-$D$55)*100,"")</f>
        <v/>
      </c>
      <c r="E87" s="13">
        <f>IFERROR($E$16/($E$76-$E$55)*100,"")</f>
        <v/>
      </c>
      <c r="F87" s="13">
        <f>IFERROR($F$16/($F$76-$F$55)*100,"")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7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7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7" t="inlineStr">
        <is>
          <t>Kapitalbindingsgrad, %</t>
        </is>
      </c>
      <c r="B93" s="13">
        <f>IFERROR($B$33/($B$55+$B$62)*100,"")</f>
        <v/>
      </c>
      <c r="C93" s="13">
        <f>IFERROR($C$33/($C$55+$C$62)*100,"")</f>
        <v/>
      </c>
      <c r="D93" s="13">
        <f>IFERROR($D$33/($D$55+$D$62)*100,"")</f>
        <v/>
      </c>
      <c r="E93" s="13">
        <f>IFERROR($E$33/($E$55+$E$62)*100,"")</f>
        <v/>
      </c>
      <c r="F93" s="13">
        <f>IFERROR($F$33/($F$55+$F$62)*100,"")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>
        <v>443000</v>
      </c>
      <c r="D3" s="16" t="n">
        <v>495000</v>
      </c>
      <c r="E3" s="16" t="n">
        <v>466000</v>
      </c>
      <c r="F3" s="16" t="n">
        <v>560000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17061000</v>
      </c>
      <c r="C6" s="16" t="n">
        <v>18917000</v>
      </c>
      <c r="D6" s="16" t="n">
        <v>18942000</v>
      </c>
      <c r="E6" s="16" t="n">
        <v>19736000</v>
      </c>
      <c r="F6" s="16" t="n">
        <v>20760000</v>
      </c>
    </row>
    <row r="7">
      <c r="A7" s="15" t="inlineStr">
        <is>
          <t>Personaleomkostninger</t>
        </is>
      </c>
      <c r="B7" s="16" t="n">
        <v>7663000</v>
      </c>
      <c r="C7" s="16" t="n">
        <v>8688000</v>
      </c>
      <c r="D7" s="16" t="n">
        <v>8619000</v>
      </c>
      <c r="E7" s="16" t="n">
        <v>9089000</v>
      </c>
      <c r="F7" s="16" t="n">
        <v>9706000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/>
      <c r="D9" s="16" t="n">
        <v>2483000</v>
      </c>
      <c r="E9" s="16" t="n">
        <v>2555000</v>
      </c>
      <c r="F9" s="16" t="n">
        <v>2560000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2818000</v>
      </c>
      <c r="C11" s="16" t="n">
        <v>2952000</v>
      </c>
      <c r="D11" s="16" t="n">
        <v>1940000</v>
      </c>
      <c r="E11" s="16" t="n">
        <v>2421000</v>
      </c>
      <c r="F11" s="16" t="n">
        <v>2693000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38000</v>
      </c>
      <c r="C13" s="16" t="n">
        <v>98000</v>
      </c>
      <c r="D13" s="16" t="n">
        <v>65000</v>
      </c>
      <c r="E13" s="16" t="n">
        <v>227000</v>
      </c>
      <c r="F13" s="16" t="n">
        <v>219000</v>
      </c>
    </row>
    <row r="14">
      <c r="A14" s="15" t="inlineStr">
        <is>
          <t>Finansielle omkostninger</t>
        </is>
      </c>
      <c r="B14" s="16" t="n">
        <v>517000</v>
      </c>
      <c r="C14" s="16" t="n">
        <v>564000</v>
      </c>
      <c r="D14" s="16" t="n">
        <v>645000</v>
      </c>
      <c r="E14" s="16" t="n">
        <v>568000</v>
      </c>
      <c r="F14" s="16" t="n">
        <v>626000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2339000</v>
      </c>
      <c r="C16" s="16" t="n">
        <v>2486000</v>
      </c>
      <c r="D16" s="16" t="n">
        <v>1360000</v>
      </c>
      <c r="E16" s="16" t="n">
        <v>2080000</v>
      </c>
      <c r="F16" s="16" t="n">
        <v>2286000</v>
      </c>
    </row>
    <row r="17">
      <c r="A17" s="15" t="inlineStr">
        <is>
          <t>Skat af årets resultat</t>
        </is>
      </c>
      <c r="B17" s="16" t="n">
        <v>487000</v>
      </c>
      <c r="C17" s="16" t="n">
        <v>544000</v>
      </c>
      <c r="D17" s="16" t="n">
        <v>388000</v>
      </c>
      <c r="E17" s="16" t="n">
        <v>493000</v>
      </c>
      <c r="F17" s="16" t="n">
        <v>577000</v>
      </c>
    </row>
    <row r="18">
      <c r="A18" s="17" t="inlineStr">
        <is>
          <t>Årets resultat</t>
        </is>
      </c>
      <c r="B18" s="16" t="n">
        <v>1852000</v>
      </c>
      <c r="C18" s="16" t="n">
        <v>1942000</v>
      </c>
      <c r="D18" s="16" t="n">
        <v>972000</v>
      </c>
      <c r="E18" s="16" t="n">
        <v>1587000</v>
      </c>
      <c r="F18" s="16" t="n">
        <v>1709000</v>
      </c>
    </row>
    <row r="19">
      <c r="A19" s="15" t="inlineStr">
        <is>
          <t>Gns. antal medarbejdere</t>
        </is>
      </c>
      <c r="B19" s="16" t="n">
        <v>55471</v>
      </c>
      <c r="C19" s="16" t="n">
        <v>32899</v>
      </c>
      <c r="D19" s="16" t="n">
        <v>30344</v>
      </c>
      <c r="E19" s="16" t="n">
        <v>18003</v>
      </c>
      <c r="F19" s="16" t="n">
        <v>18132</v>
      </c>
    </row>
    <row r="20">
      <c r="A20" s="15" t="inlineStr">
        <is>
          <t>Investering i materielle anlægsaktiver</t>
        </is>
      </c>
      <c r="B20" s="16" t="n">
        <v>1910000</v>
      </c>
      <c r="C20" s="16" t="n">
        <v>2080000</v>
      </c>
      <c r="D20" s="16" t="n">
        <v>1884000</v>
      </c>
      <c r="E20" s="16" t="n">
        <v>1897000</v>
      </c>
      <c r="F20" s="16" t="n">
        <v>2094000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155000</v>
      </c>
      <c r="C2" s="16" t="n">
        <v>84000</v>
      </c>
      <c r="D2" s="16" t="n">
        <v>51000</v>
      </c>
      <c r="E2" s="16" t="n">
        <v>74000</v>
      </c>
      <c r="F2" s="16" t="n">
        <v>138000</v>
      </c>
    </row>
    <row r="3">
      <c r="A3" s="15" t="inlineStr">
        <is>
          <t>Patenter, varemærker mv.</t>
        </is>
      </c>
      <c r="B3" s="16" t="n">
        <v>93000</v>
      </c>
      <c r="C3" s="16" t="n">
        <v>84000</v>
      </c>
      <c r="D3" s="16" t="n">
        <v>75000</v>
      </c>
      <c r="E3" s="16" t="n">
        <v>67000</v>
      </c>
      <c r="F3" s="16" t="n">
        <v>58000</v>
      </c>
    </row>
    <row r="4">
      <c r="A4" s="15" t="inlineStr">
        <is>
          <t>Goodwill</t>
        </is>
      </c>
      <c r="B4" s="16" t="n">
        <v>131000</v>
      </c>
      <c r="C4" s="16" t="n">
        <v>57000</v>
      </c>
      <c r="D4" s="16" t="n">
        <v>57000</v>
      </c>
      <c r="E4" s="16" t="n">
        <v>57000</v>
      </c>
      <c r="F4" s="16" t="n">
        <v>57000</v>
      </c>
    </row>
    <row r="5">
      <c r="A5" s="17" t="inlineStr">
        <is>
          <t>Immaterielle anlægsaktiver</t>
        </is>
      </c>
      <c r="B5" s="16" t="n">
        <v>1263000</v>
      </c>
      <c r="C5" s="16" t="n">
        <v>1107000</v>
      </c>
      <c r="D5" s="16" t="n">
        <v>911000</v>
      </c>
      <c r="E5" s="16" t="n">
        <v>736000</v>
      </c>
      <c r="F5" s="16" t="n">
        <v>704000</v>
      </c>
    </row>
    <row r="6">
      <c r="A6" s="15" t="inlineStr">
        <is>
          <t>Grunde og bygninger</t>
        </is>
      </c>
      <c r="B6" s="16" t="n">
        <v>15893000</v>
      </c>
      <c r="C6" s="16" t="n">
        <v>18606000</v>
      </c>
      <c r="D6" s="16" t="n">
        <v>18434000</v>
      </c>
      <c r="E6" s="16" t="n">
        <v>19021000</v>
      </c>
      <c r="F6" s="16" t="n">
        <v>19370000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/>
      <c r="C11" s="16" t="n"/>
      <c r="D11" s="16" t="n"/>
      <c r="E11" s="16" t="n">
        <v>22993000</v>
      </c>
      <c r="F11" s="16" t="n"/>
    </row>
    <row r="12">
      <c r="A12" s="17" t="inlineStr">
        <is>
          <t>Anlægsaktiver</t>
        </is>
      </c>
      <c r="B12" s="16" t="n">
        <v>25672000</v>
      </c>
      <c r="C12" s="16" t="n">
        <v>29635000</v>
      </c>
      <c r="D12" s="16" t="n">
        <v>29063000</v>
      </c>
      <c r="E12" s="16" t="n">
        <v>29815000</v>
      </c>
      <c r="F12" s="16" t="n">
        <v>30390000</v>
      </c>
    </row>
    <row r="13">
      <c r="A13" s="17" t="inlineStr">
        <is>
          <t>Varebeholdninger</t>
        </is>
      </c>
      <c r="B13" s="16" t="n">
        <v>5084000</v>
      </c>
      <c r="C13" s="16" t="n">
        <v>5322000</v>
      </c>
      <c r="D13" s="16" t="n">
        <v>5892000</v>
      </c>
      <c r="E13" s="16" t="n">
        <v>6077000</v>
      </c>
      <c r="F13" s="16" t="n">
        <v>6247000</v>
      </c>
    </row>
    <row r="14">
      <c r="A14" s="15" t="inlineStr">
        <is>
          <t>Tilgodehavender fra salg og tjenesteydelser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Tilgodehavender hos tilknyttede virksomheder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Andre tilgodehavender</t>
        </is>
      </c>
      <c r="B16" s="16" t="n">
        <v>0</v>
      </c>
      <c r="C16" s="16" t="n">
        <v>7000</v>
      </c>
      <c r="D16" s="16" t="n">
        <v>97000</v>
      </c>
      <c r="E16" s="16" t="n">
        <v>70000</v>
      </c>
      <c r="F16" s="16" t="n">
        <v>13000</v>
      </c>
    </row>
    <row r="17">
      <c r="A17" s="15" t="inlineStr">
        <is>
          <t>Periodeafgrænsningsposter (aktiver)</t>
        </is>
      </c>
      <c r="B17" s="16" t="n">
        <v>65000</v>
      </c>
      <c r="C17" s="16" t="n">
        <v>140000</v>
      </c>
      <c r="D17" s="16" t="n">
        <v>143000</v>
      </c>
      <c r="E17" s="16" t="n">
        <v>151000</v>
      </c>
      <c r="F17" s="16" t="n">
        <v>138000</v>
      </c>
    </row>
    <row r="18">
      <c r="A18" s="15" t="inlineStr">
        <is>
          <t>Udskudt skatteaktiv</t>
        </is>
      </c>
      <c r="B18" s="16" t="n">
        <v>75000</v>
      </c>
      <c r="C18" s="16" t="n">
        <v>88000</v>
      </c>
      <c r="D18" s="16" t="n">
        <v>84000</v>
      </c>
      <c r="E18" s="16" t="n">
        <v>94000</v>
      </c>
      <c r="F18" s="16" t="n">
        <v>91000</v>
      </c>
    </row>
    <row r="19">
      <c r="A19" s="15" t="inlineStr">
        <is>
          <t>Tilgodehavende skat hos tilknyttede virksomheder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Kortfristede skattetilgodehavender</t>
        </is>
      </c>
      <c r="B20" s="16" t="n">
        <v>149000</v>
      </c>
      <c r="C20" s="16" t="n">
        <v>10000</v>
      </c>
      <c r="D20" s="16" t="n">
        <v>51000</v>
      </c>
      <c r="E20" s="16" t="n">
        <v>86000</v>
      </c>
      <c r="F20" s="16" t="n">
        <v>89000</v>
      </c>
    </row>
    <row r="21">
      <c r="A21" s="17" t="inlineStr">
        <is>
          <t>Tilgodehavender</t>
        </is>
      </c>
      <c r="B21" s="16" t="n">
        <v>507000</v>
      </c>
      <c r="C21" s="16" t="n">
        <v>599000</v>
      </c>
      <c r="D21" s="16" t="n">
        <v>686000</v>
      </c>
      <c r="E21" s="16" t="n">
        <v>525000</v>
      </c>
      <c r="F21" s="16" t="n">
        <v>640000</v>
      </c>
    </row>
    <row r="22">
      <c r="A22" s="15" t="inlineStr">
        <is>
          <t>Værdipapirer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Likvide beholdninger</t>
        </is>
      </c>
      <c r="B23" s="16" t="n">
        <v>3055000</v>
      </c>
      <c r="C23" s="16" t="n">
        <v>4276000</v>
      </c>
      <c r="D23" s="16" t="n">
        <v>1661000</v>
      </c>
      <c r="E23" s="16" t="n">
        <v>676000</v>
      </c>
      <c r="F23" s="16" t="n">
        <v>676000</v>
      </c>
    </row>
    <row r="24">
      <c r="A24" s="17" t="inlineStr">
        <is>
          <t>Omsætningsaktiver</t>
        </is>
      </c>
      <c r="B24" s="16" t="n">
        <v>11861000</v>
      </c>
      <c r="C24" s="16" t="n">
        <v>11084000</v>
      </c>
      <c r="D24" s="16" t="n">
        <v>8967000</v>
      </c>
      <c r="E24" s="16" t="n">
        <v>9146000</v>
      </c>
      <c r="F24" s="16" t="n">
        <v>10036000</v>
      </c>
    </row>
    <row r="25">
      <c r="A25" s="17" t="inlineStr">
        <is>
          <t>Aktiver</t>
        </is>
      </c>
      <c r="B25" s="16" t="n">
        <v>37533000</v>
      </c>
      <c r="C25" s="16" t="n">
        <v>40719000</v>
      </c>
      <c r="D25" s="16" t="n">
        <v>38030000</v>
      </c>
      <c r="E25" s="16" t="n">
        <v>38961000</v>
      </c>
      <c r="F25" s="16" t="n">
        <v>40426000</v>
      </c>
    </row>
    <row r="26">
      <c r="A26" s="15" t="inlineStr">
        <is>
          <t>Selskabskapital</t>
        </is>
      </c>
      <c r="B26" s="16" t="n">
        <v>524000</v>
      </c>
      <c r="C26" s="16" t="n">
        <v>524000</v>
      </c>
      <c r="D26" s="16" t="n">
        <v>524000</v>
      </c>
      <c r="E26" s="16" t="n">
        <v>524000</v>
      </c>
      <c r="F26" s="16" t="n">
        <v>524000</v>
      </c>
    </row>
    <row r="27">
      <c r="A27" s="15" t="inlineStr">
        <is>
          <t>Reserve for nettoopskrivning (indre værdis metode)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udviklingsomkostninger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Reserve for sikringstransaktioner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Andre reserver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Overført resultat</t>
        </is>
      </c>
      <c r="B31" s="16" t="n">
        <v>7522000</v>
      </c>
      <c r="C31" s="16" t="n">
        <v>9261000</v>
      </c>
      <c r="D31" s="16" t="n">
        <v>10041000</v>
      </c>
      <c r="E31" s="16" t="n">
        <v>11415000</v>
      </c>
      <c r="F31" s="16" t="n">
        <v>12914000</v>
      </c>
    </row>
    <row r="32">
      <c r="A32" s="17" t="inlineStr">
        <is>
          <t>Egenkapital i alt</t>
        </is>
      </c>
      <c r="B32" s="16" t="n">
        <v>7610000</v>
      </c>
      <c r="C32" s="16" t="n">
        <v>9401000</v>
      </c>
      <c r="D32" s="16" t="n">
        <v>10400000</v>
      </c>
      <c r="E32" s="16" t="n">
        <v>12255000</v>
      </c>
      <c r="F32" s="16" t="n">
        <v>13836000</v>
      </c>
    </row>
    <row r="33">
      <c r="A33" s="15" t="inlineStr">
        <is>
          <t>Hensættelse til udskudt skat</t>
        </is>
      </c>
      <c r="B33" s="16" t="n">
        <v>524000</v>
      </c>
      <c r="C33" s="16" t="n">
        <v>589000</v>
      </c>
      <c r="D33" s="16" t="n">
        <v>556000</v>
      </c>
      <c r="E33" s="16" t="n">
        <v>607000</v>
      </c>
      <c r="F33" s="16" t="n">
        <v>666000</v>
      </c>
    </row>
    <row r="34">
      <c r="A34" s="17" t="inlineStr">
        <is>
          <t>Hensatte forpligtelser</t>
        </is>
      </c>
      <c r="B34" s="16" t="n">
        <v>254000</v>
      </c>
      <c r="C34" s="16" t="n">
        <v>243000</v>
      </c>
      <c r="D34" s="16" t="n">
        <v>210000</v>
      </c>
      <c r="E34" s="16" t="n">
        <v>205000</v>
      </c>
      <c r="F34" s="16" t="n">
        <v>196000</v>
      </c>
    </row>
    <row r="35">
      <c r="A35" s="15" t="inlineStr">
        <is>
          <t>Ansvarlig lånekapital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Langfristede lån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Leasingforpligtelser (langfristet)</t>
        </is>
      </c>
      <c r="B37" s="16" t="n">
        <v>4866000</v>
      </c>
      <c r="C37" s="16" t="n">
        <v>5689000</v>
      </c>
      <c r="D37" s="16" t="n">
        <v>5102000</v>
      </c>
      <c r="E37" s="16" t="n">
        <v>5288000</v>
      </c>
      <c r="F37" s="16" t="n">
        <v>5256000</v>
      </c>
    </row>
    <row r="38">
      <c r="A38" s="15" t="inlineStr">
        <is>
          <t>Anden gæld (langfristet)</t>
        </is>
      </c>
      <c r="B38" s="16" t="n">
        <v>311000</v>
      </c>
      <c r="C38" s="16" t="n">
        <v>155000</v>
      </c>
      <c r="D38" s="16" t="n">
        <v>16000</v>
      </c>
      <c r="E38" s="16" t="n">
        <v>77000</v>
      </c>
      <c r="F38" s="16" t="n">
        <v>74000</v>
      </c>
    </row>
    <row r="39">
      <c r="A39" s="17" t="inlineStr">
        <is>
          <t>Langfristede gældsforpligtelser</t>
        </is>
      </c>
      <c r="B39" s="16" t="n">
        <v>14247000</v>
      </c>
      <c r="C39" s="16" t="n">
        <v>14296000</v>
      </c>
      <c r="D39" s="16" t="n">
        <v>13299000</v>
      </c>
      <c r="E39" s="16" t="n">
        <v>13298000</v>
      </c>
      <c r="F39" s="16" t="n">
        <v>13037000</v>
      </c>
    </row>
    <row r="40">
      <c r="A40" s="15" t="inlineStr">
        <is>
          <t>Ansvarlig lånekapital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Kortfristet del af langfristede gældsforpligtelser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Kreditinstitutter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(kortfristet)</t>
        </is>
      </c>
      <c r="B43" s="16" t="n">
        <v>600000</v>
      </c>
      <c r="C43" s="16" t="n">
        <v>701000</v>
      </c>
      <c r="D43" s="16" t="n">
        <v>821000</v>
      </c>
      <c r="E43" s="16" t="n">
        <v>826000</v>
      </c>
      <c r="F43" s="16" t="n">
        <v>905000</v>
      </c>
    </row>
    <row r="44">
      <c r="A44" s="15" t="inlineStr">
        <is>
          <t>Leverandører af varer og tjenesteydelser</t>
        </is>
      </c>
      <c r="B44" s="16" t="n">
        <v>11558000</v>
      </c>
      <c r="C44" s="16" t="n">
        <v>12611000</v>
      </c>
      <c r="D44" s="16" t="n">
        <v>9733000</v>
      </c>
      <c r="E44" s="16" t="n">
        <v>8904000</v>
      </c>
      <c r="F44" s="16" t="n">
        <v>9200000</v>
      </c>
    </row>
    <row r="45">
      <c r="A45" s="15" t="inlineStr">
        <is>
          <t>Gæld til tilknyttede virksomheder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Gæld til selskabsdeltagere og ledelse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Gæld til tilknyttede virksomheder vedr. selskabsskat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Anden gæld (kortfristet)</t>
        </is>
      </c>
      <c r="B49" s="16" t="n">
        <v>2423000</v>
      </c>
      <c r="C49" s="16" t="n">
        <v>2801000</v>
      </c>
      <c r="D49" s="16" t="n">
        <v>2598000</v>
      </c>
      <c r="E49" s="16" t="n">
        <v>2706000</v>
      </c>
      <c r="F49" s="16" t="n">
        <v>2500000</v>
      </c>
    </row>
    <row r="50">
      <c r="A50" s="15" t="inlineStr">
        <is>
          <t>Periodeafgrænsningsposter (passiver)</t>
        </is>
      </c>
      <c r="B50" s="16" t="n"/>
      <c r="C50" s="16" t="n"/>
      <c r="D50" s="16" t="n"/>
      <c r="E50" s="16" t="n"/>
      <c r="F50" s="16" t="n"/>
    </row>
    <row r="51">
      <c r="A51" s="17" t="inlineStr">
        <is>
          <t>Kortfristede gældsforpligtelser</t>
        </is>
      </c>
      <c r="B51" s="16" t="n">
        <v>15676000</v>
      </c>
      <c r="C51" s="16" t="n">
        <v>17022000</v>
      </c>
      <c r="D51" s="16" t="n">
        <v>14331000</v>
      </c>
      <c r="E51" s="16" t="n">
        <v>13408000</v>
      </c>
      <c r="F51" s="16" t="n">
        <v>13553000</v>
      </c>
    </row>
    <row r="52">
      <c r="A52" s="17" t="inlineStr">
        <is>
          <t>Gældsforpligtelser</t>
        </is>
      </c>
      <c r="B52" s="16" t="n">
        <v>29923000</v>
      </c>
      <c r="C52" s="16" t="n">
        <v>31318000</v>
      </c>
      <c r="D52" s="16" t="n">
        <v>27630000</v>
      </c>
      <c r="E52" s="16" t="n">
        <v>26706000</v>
      </c>
      <c r="F52" s="16" t="n">
        <v>26590000</v>
      </c>
    </row>
    <row r="53">
      <c r="A53" s="17" t="inlineStr">
        <is>
          <t>Passiver</t>
        </is>
      </c>
      <c r="B53" s="16" t="n">
        <v>37533000</v>
      </c>
      <c r="C53" s="16" t="n">
        <v>40719000</v>
      </c>
      <c r="D53" s="16" t="n">
        <v>38030000</v>
      </c>
      <c r="E53" s="16" t="n">
        <v>38961000</v>
      </c>
      <c r="F53" s="16" t="n">
        <v>40426000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35954716)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'res_raw_35954716'!$F$2</f>
        <v/>
      </c>
      <c r="C5" s="24">
        <f>'res_raw_35954716'!$E$2</f>
        <v/>
      </c>
      <c r="D5" s="24">
        <f>'res_raw_35954716'!$D$2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'res_raw_35954716'!$F$3</f>
        <v/>
      </c>
      <c r="C6" s="24">
        <f>'res_raw_35954716'!$E$3</f>
        <v/>
      </c>
      <c r="D6" s="24">
        <f>'res_raw_35954716'!$D$3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-'res_raw_35954716'!$F$4</f>
        <v/>
      </c>
      <c r="C7" s="24">
        <f>-'res_raw_35954716'!$E$4</f>
        <v/>
      </c>
      <c r="D7" s="24">
        <f>-'res_raw_35954716'!$D$4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-'res_raw_35954716'!$F$5</f>
        <v/>
      </c>
      <c r="C8" s="24">
        <f>-'res_raw_35954716'!$E$5</f>
        <v/>
      </c>
      <c r="D8" s="24">
        <f>-'res_raw_35954716'!$D$5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-'res_raw_35954716'!$F$7</f>
        <v/>
      </c>
      <c r="C10" s="24">
        <f>-'res_raw_35954716'!$E$7</f>
        <v/>
      </c>
      <c r="D10" s="24">
        <f>-'res_raw_35954716'!$D$7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-'res_raw_35954716'!$F$9</f>
        <v/>
      </c>
      <c r="C11" s="24">
        <f>-'res_raw_35954716'!$E$9</f>
        <v/>
      </c>
      <c r="D11" s="24">
        <f>-'res_raw_35954716'!$D$9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-'res_raw_35954716'!$F$10</f>
        <v/>
      </c>
      <c r="C12" s="24">
        <f>-'res_raw_35954716'!$E$10</f>
        <v/>
      </c>
      <c r="D12" s="24">
        <f>-'res_raw_35954716'!$D$10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N('res_raw_35954716'!$F$12)+N('res_raw_35954716'!$F$13)</f>
        <v/>
      </c>
      <c r="C14" s="24">
        <f>N('res_raw_35954716'!$E$12)+N('res_raw_35954716'!$E$13)</f>
        <v/>
      </c>
      <c r="D14" s="24">
        <f>N('res_raw_35954716'!$D$12)+N('res_raw_35954716'!$D$13)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-'res_raw_35954716'!$F$14</f>
        <v/>
      </c>
      <c r="C15" s="24">
        <f>-'res_raw_35954716'!$E$14</f>
        <v/>
      </c>
      <c r="D15" s="24">
        <f>-'res_raw_35954716'!$D$14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'balance_raw_35954716'!$F$12</f>
        <v/>
      </c>
      <c r="C19" s="24">
        <f>'balance_raw_35954716'!$E$12</f>
        <v/>
      </c>
      <c r="D19" s="24">
        <f>'balance_raw_35954716'!$D$12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'balance_raw_35954716'!$F$24</f>
        <v/>
      </c>
      <c r="C20" s="24">
        <f>'balance_raw_35954716'!$E$24</f>
        <v/>
      </c>
      <c r="D20" s="24">
        <f>'balance_raw_35954716'!$D$24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'balance_raw_35954716'!$F$32</f>
        <v/>
      </c>
      <c r="C23" s="24">
        <f>'balance_raw_35954716'!$E$32</f>
        <v/>
      </c>
      <c r="D23" s="24">
        <f>'balance_raw_35954716'!$D$32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'balance_raw_35954716'!$F$53-'balance_raw_35954716'!$F$32</f>
        <v/>
      </c>
      <c r="C24" s="24">
        <f>'balance_raw_35954716'!$E$53-'balance_raw_35954716'!$E$32</f>
        <v/>
      </c>
      <c r="D24" s="24">
        <f>'balance_raw_35954716'!$D$53-'balance_raw_35954716'!$D$32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'balance_raw_35954716'!$F$13</f>
        <v/>
      </c>
      <c r="C28" s="24">
        <f>'balance_raw_35954716'!$E$13</f>
        <v/>
      </c>
      <c r="D28" s="24">
        <f>'balance_raw_35954716'!$D$13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'balance_raw_35954716'!$F$14</f>
        <v/>
      </c>
      <c r="C29" s="24">
        <f>'balance_raw_35954716'!$E$14</f>
        <v/>
      </c>
      <c r="D29" s="24">
        <f>'balance_raw_35954716'!$D$14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'balance_raw_35954716'!$F$51</f>
        <v/>
      </c>
      <c r="C30" s="24">
        <f>'balance_raw_35954716'!$E$51</f>
        <v/>
      </c>
      <c r="D30" s="24">
        <f>'balance_raw_35954716'!$D$51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IF('balance_raw_35954716'!$F$25="","—",IF(ABS(B21-'balance_raw_35954716'!$F$25)&lt;=1,"✓ OK","❌ "&amp;TEXT(B21-'balance_raw_35954716'!$F$25,"+#,##0;-#,##0")&amp;" t.kr."))</f>
        <v/>
      </c>
      <c r="C61" s="29">
        <f>IF('balance_raw_35954716'!$E$25="","—",IF(ABS(C21-'balance_raw_35954716'!$E$25)&lt;=1,"✓ OK","❌ "&amp;TEXT(C21-'balance_raw_35954716'!$E$25,"+#,##0;-#,##0")&amp;" t.kr."))</f>
        <v/>
      </c>
      <c r="D61" s="29">
        <f>IF('balance_raw_35954716'!$D$25="","—",IF(ABS(D21-'balance_raw_35954716'!$D$25)&lt;=1,"✓ OK","❌ "&amp;TEXT(D21-'balance_raw_35954716'!$D$25,"+#,##0;-#,##0")&amp;"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IF('balance_raw_35954716'!$F$53="","—",IF(ABS(B25-'balance_raw_35954716'!$F$53)&lt;=1,"✓ OK","❌ "&amp;TEXT(B25-'balance_raw_35954716'!$F$53,"+#,##0;-#,##0")&amp;" t.kr."))</f>
        <v/>
      </c>
      <c r="C62" s="29">
        <f>IF('balance_raw_35954716'!$E$53="","—",IF(ABS(C25-'balance_raw_35954716'!$E$53)&lt;=1,"✓ OK","❌ "&amp;TEXT(C25-'balance_raw_35954716'!$E$53,"+#,##0;-#,##0")&amp;" t.kr."))</f>
        <v/>
      </c>
      <c r="D62" s="29">
        <f>IF('balance_raw_35954716'!$D$53="","—",IF(ABS(D25-'balance_raw_35954716'!$D$53)&lt;=1,"✓ OK","❌ "&amp;TEXT(D25-'balance_raw_35954716'!$D$53,"+#,##0;-#,##0")&amp;"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IF('res_raw_35954716'!$F$6="","—",IF(ABS(B9-'res_raw_35954716'!$F$6)&lt;=1,"✓ OK","❌ "&amp;TEXT(B9-'res_raw_35954716'!$F$6,"+#,##0;-#,##0")&amp;" t.kr."))</f>
        <v/>
      </c>
      <c r="C64" s="29">
        <f>IF('res_raw_35954716'!$E$6="","—",IF(ABS(C9-'res_raw_35954716'!$E$6)&lt;=1,"✓ OK","❌ "&amp;TEXT(C9-'res_raw_35954716'!$E$6,"+#,##0;-#,##0")&amp;" t.kr."))</f>
        <v/>
      </c>
      <c r="D64" s="29">
        <f>IF('res_raw_35954716'!$D$6="","—",IF(ABS(D9-'res_raw_35954716'!$D$6)&lt;=1,"✓ OK","❌ "&amp;TEXT(D9-'res_raw_35954716'!$D$6,"+#,##0;-#,##0")&amp;"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IF('res_raw_35954716'!$F$11="","—",IF(ABS(B13-'res_raw_35954716'!$F$11)&lt;=1,"✓ OK","❌ "&amp;TEXT(B13-'res_raw_35954716'!$F$11,"+#,##0;-#,##0")&amp;" t.kr."))</f>
        <v/>
      </c>
      <c r="C65" s="29">
        <f>IF('res_raw_35954716'!$E$11="","—",IF(ABS(C13-'res_raw_35954716'!$E$11)&lt;=1,"✓ OK","❌ "&amp;TEXT(C13-'res_raw_35954716'!$E$11,"+#,##0;-#,##0")&amp;" t.kr."))</f>
        <v/>
      </c>
      <c r="D65" s="29">
        <f>IF('res_raw_35954716'!$D$11="","—",IF(ABS(D13-'res_raw_35954716'!$D$11)&lt;=1,"✓ OK","❌ "&amp;TEXT(D13-'res_raw_35954716'!$D$11,"+#,##0;-#,##0")&amp;"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IF('res_raw_35954716'!$F$16="","—",IF(ABS(B16-'res_raw_35954716'!$F$16)&lt;=1,"✓ OK","❌ "&amp;TEXT(B16-'res_raw_35954716'!$F$16,"+#,##0;-#,##0")&amp;" t.kr."))</f>
        <v/>
      </c>
      <c r="C66" s="29">
        <f>IF('res_raw_35954716'!$E$16="","—",IF(ABS(C16-'res_raw_35954716'!$E$16)&lt;=1,"✓ OK","❌ "&amp;TEXT(C16-'res_raw_35954716'!$E$16,"+#,##0;-#,##0")&amp;" t.kr."))</f>
        <v/>
      </c>
      <c r="D66" s="29">
        <f>IF('res_raw_35954716'!$D$16="","—",IF(ABS(D16-'res_raw_35954716'!$D$16)&lt;=1,"✓ OK","❌ "&amp;TEXT(D16-'res_raw_35954716'!$D$16,"+#,##0;-#,##0")&amp;"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ifrs-full:AdjustmentsForReconcileProfitLoss</t>
        </is>
      </c>
      <c r="C3" s="34" t="inlineStr">
        <is>
          <t>ifrs-full:AdjustmentsForReconcileProfitLoss</t>
        </is>
      </c>
      <c r="D3" s="35" t="n">
        <v>2371000</v>
      </c>
      <c r="E3" s="35" t="n">
        <v>2280000</v>
      </c>
      <c r="F3" s="35" t="n">
        <v>2923000</v>
      </c>
      <c r="G3" s="35" t="n">
        <v>2843000</v>
      </c>
      <c r="H3" s="35" t="n">
        <v>2957000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ifrs-full:CashEquivalents</t>
        </is>
      </c>
      <c r="C4" s="37" t="inlineStr">
        <is>
          <t>ifrs-full:CashEquivalents</t>
        </is>
      </c>
      <c r="D4" s="38" t="n"/>
      <c r="E4" s="38" t="n"/>
      <c r="F4" s="38" t="n"/>
      <c r="G4" s="38" t="n">
        <v>832000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ifrs-full:InvestmentsInJointVentures</t>
        </is>
      </c>
      <c r="C5" s="34" t="inlineStr">
        <is>
          <t>ifrs-full:InvestmentsInJointVentures</t>
        </is>
      </c>
      <c r="D5" s="35" t="n">
        <v>0</v>
      </c>
      <c r="E5" s="35" t="n"/>
      <c r="F5" s="35" t="n"/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2026-09-07T18:22:34Z</dcterms:created>
  <dcterms:modified xmlns:dcterms="http://purl.org/dc/terms/" xmlns:xsi="http://www.w3.org/2001/XMLSchema-instance" xsi:type="dcterms:W3CDTF">2026-09-07T18:22:34Z</dcterms:modified>
</cp:coreProperties>
</file>