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4163600</v>
      </c>
      <c r="C2" s="16" t="n">
        <v>4344200</v>
      </c>
      <c r="D2" s="16" t="n">
        <v>4489600</v>
      </c>
      <c r="E2" s="16" t="n">
        <v>6701000</v>
      </c>
      <c r="F2" s="16" t="n">
        <v>8379000</v>
      </c>
    </row>
    <row r="3">
      <c r="A3" s="15" t="inlineStr">
        <is>
          <t>Produktionsomkostninger</t>
        </is>
      </c>
      <c r="B3" s="16" t="n">
        <v>2322400</v>
      </c>
      <c r="C3" s="16" t="n">
        <v>2378200</v>
      </c>
      <c r="D3" s="16" t="n">
        <v>2475200</v>
      </c>
      <c r="E3" s="16" t="n"/>
      <c r="F3" s="16" t="n"/>
    </row>
    <row r="4">
      <c r="A4" s="17" t="inlineStr">
        <is>
          <t>Bruttoresultat</t>
        </is>
      </c>
      <c r="B4" s="16" t="n">
        <v>1841200</v>
      </c>
      <c r="C4" s="16" t="n">
        <v>1966000</v>
      </c>
      <c r="D4" s="16" t="n">
        <v>2014400</v>
      </c>
      <c r="E4" s="16" t="n"/>
      <c r="F4" s="16" t="n"/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10400</v>
      </c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380400</v>
      </c>
      <c r="C9" s="16" t="n">
        <v>388300</v>
      </c>
      <c r="D9" s="16" t="n">
        <v>423100</v>
      </c>
      <c r="E9" s="16" t="n">
        <v>379000</v>
      </c>
      <c r="F9" s="16" t="n">
        <v>565000</v>
      </c>
    </row>
    <row r="10">
      <c r="A10" s="15" t="inlineStr">
        <is>
          <t>Indtægter af kapitalandele, dattervirksomheder</t>
        </is>
      </c>
      <c r="B10" s="16" t="n">
        <v>700</v>
      </c>
      <c r="C10" s="16" t="n">
        <v>-4600</v>
      </c>
      <c r="D10" s="16" t="n">
        <v>-4900</v>
      </c>
      <c r="E10" s="16" t="n">
        <v>1000</v>
      </c>
      <c r="F10" s="16" t="n">
        <v>1000</v>
      </c>
    </row>
    <row r="11">
      <c r="A11" s="15" t="inlineStr">
        <is>
          <t>Finansielle indtægter</t>
        </is>
      </c>
      <c r="B11" s="16" t="n">
        <v>17500</v>
      </c>
      <c r="C11" s="16" t="n">
        <v>5300</v>
      </c>
      <c r="D11" s="16" t="n">
        <v>500</v>
      </c>
      <c r="E11" s="16" t="n">
        <v>12000</v>
      </c>
      <c r="F11" s="16" t="n">
        <v>1000</v>
      </c>
    </row>
    <row r="12">
      <c r="A12" s="15" t="inlineStr">
        <is>
          <t>Finansielle omkostninger</t>
        </is>
      </c>
      <c r="B12" s="16" t="n">
        <v>45200</v>
      </c>
      <c r="C12" s="16" t="n">
        <v>37900</v>
      </c>
      <c r="D12" s="16" t="n">
        <v>45900</v>
      </c>
      <c r="E12" s="16" t="n">
        <v>144000</v>
      </c>
      <c r="F12" s="16" t="n">
        <v>183000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353400</v>
      </c>
      <c r="C14" s="16" t="n">
        <v>351100</v>
      </c>
      <c r="D14" s="16" t="n">
        <v>372800</v>
      </c>
      <c r="E14" s="16" t="n">
        <v>248000</v>
      </c>
      <c r="F14" s="16" t="n">
        <v>384000</v>
      </c>
    </row>
    <row r="15">
      <c r="A15" s="15" t="inlineStr">
        <is>
          <t>Skat af årets resultat</t>
        </is>
      </c>
      <c r="B15" s="16" t="n">
        <v>84400</v>
      </c>
      <c r="C15" s="16" t="n">
        <v>74600</v>
      </c>
      <c r="D15" s="16" t="n">
        <v>92100</v>
      </c>
      <c r="E15" s="16" t="n">
        <v>79000</v>
      </c>
      <c r="F15" s="16" t="n">
        <v>102000</v>
      </c>
    </row>
    <row r="16">
      <c r="A16" s="17" t="inlineStr">
        <is>
          <t>Årets resultat</t>
        </is>
      </c>
      <c r="B16" s="16" t="n">
        <v>269000</v>
      </c>
      <c r="C16" s="16" t="n">
        <v>276500</v>
      </c>
      <c r="D16" s="16" t="n">
        <v>280700</v>
      </c>
      <c r="E16" s="16" t="n">
        <v>169000</v>
      </c>
      <c r="F16" s="16" t="n">
        <v>282000</v>
      </c>
    </row>
    <row r="17">
      <c r="A17" s="15" t="inlineStr">
        <is>
          <t>Gns. antal medarbejdere</t>
        </is>
      </c>
      <c r="B17" s="16" t="n">
        <v>2152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50500</v>
      </c>
      <c r="C18" s="16" t="n">
        <v>50500</v>
      </c>
      <c r="D18" s="16" t="n">
        <v>92200</v>
      </c>
      <c r="E18" s="16" t="n">
        <v>250000</v>
      </c>
      <c r="F18" s="16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130300</v>
      </c>
      <c r="C2" s="16" t="n">
        <v>186800</v>
      </c>
      <c r="D2" s="16" t="n">
        <v>235800</v>
      </c>
      <c r="E2" s="16" t="n">
        <v>132000</v>
      </c>
      <c r="F2" s="16" t="n">
        <v>86000</v>
      </c>
    </row>
    <row r="3">
      <c r="A3" s="15" t="inlineStr">
        <is>
          <t>Patenter, varemærker mv.</t>
        </is>
      </c>
      <c r="B3" s="16" t="n">
        <v>143600</v>
      </c>
      <c r="C3" s="16" t="n">
        <v>67800</v>
      </c>
      <c r="D3" s="16" t="n">
        <v>58100</v>
      </c>
      <c r="E3" s="16" t="n">
        <v>184000</v>
      </c>
      <c r="F3" s="16" t="n">
        <v>183000</v>
      </c>
    </row>
    <row r="4">
      <c r="A4" s="15" t="inlineStr">
        <is>
          <t>Goodwill</t>
        </is>
      </c>
      <c r="B4" s="16" t="n">
        <v>3930600</v>
      </c>
      <c r="C4" s="16" t="n">
        <v>3993600</v>
      </c>
      <c r="D4" s="16" t="n">
        <v>3999400</v>
      </c>
      <c r="E4" s="16" t="n">
        <v>4096000</v>
      </c>
      <c r="F4" s="16" t="n">
        <v>4102000</v>
      </c>
    </row>
    <row r="5">
      <c r="A5" s="17" t="inlineStr">
        <is>
          <t>Immaterielle anlægsaktiver</t>
        </is>
      </c>
      <c r="B5" s="16" t="n">
        <v>4204500</v>
      </c>
      <c r="C5" s="16" t="n">
        <v>4248200</v>
      </c>
      <c r="D5" s="16" t="n">
        <v>4293300</v>
      </c>
      <c r="E5" s="16" t="n">
        <v>4671000</v>
      </c>
      <c r="F5" s="16" t="n">
        <v>4741000</v>
      </c>
    </row>
    <row r="6">
      <c r="A6" s="15" t="inlineStr">
        <is>
          <t>Grunde og bygninger</t>
        </is>
      </c>
      <c r="B6" s="16" t="n">
        <v>90800</v>
      </c>
      <c r="C6" s="16" t="n">
        <v>86600</v>
      </c>
      <c r="D6" s="16" t="n">
        <v>87500</v>
      </c>
      <c r="E6" s="16" t="n">
        <v>108000</v>
      </c>
      <c r="F6" s="16" t="n">
        <v>107000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51500</v>
      </c>
      <c r="C9" s="16" t="n">
        <v>40300</v>
      </c>
      <c r="D9" s="16" t="n">
        <v>27300</v>
      </c>
      <c r="E9" s="16" t="n">
        <v>208000</v>
      </c>
      <c r="F9" s="16" t="n">
        <v>243000</v>
      </c>
    </row>
    <row r="10">
      <c r="A10" s="15" t="inlineStr">
        <is>
          <t>Forudbetaling og anlægsaktiver under opførelse</t>
        </is>
      </c>
      <c r="B10" s="16" t="n">
        <v>0</v>
      </c>
      <c r="C10" s="16" t="n">
        <v>9600</v>
      </c>
      <c r="D10" s="16" t="n">
        <v>59700</v>
      </c>
      <c r="E10" s="16" t="n">
        <v>169000</v>
      </c>
      <c r="F10" s="16" t="n">
        <v>510000</v>
      </c>
    </row>
    <row r="11">
      <c r="A11" s="17" t="inlineStr">
        <is>
          <t>Materielle anlægsaktiver</t>
        </is>
      </c>
      <c r="B11" s="16" t="n">
        <v>651800</v>
      </c>
      <c r="C11" s="16" t="n">
        <v>500200</v>
      </c>
      <c r="D11" s="16" t="n">
        <v>622300</v>
      </c>
      <c r="E11" s="16" t="n">
        <v>1157000</v>
      </c>
      <c r="F11" s="16" t="n">
        <v>1178000</v>
      </c>
    </row>
    <row r="12">
      <c r="A12" s="15" t="inlineStr">
        <is>
          <t>Kapitalandele, dattervirksomheder</t>
        </is>
      </c>
      <c r="B12" s="16" t="n">
        <v>12400</v>
      </c>
      <c r="C12" s="16" t="n">
        <v>7300</v>
      </c>
      <c r="D12" s="16" t="n">
        <v>1400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700</v>
      </c>
      <c r="E13" s="16" t="n">
        <v>1000</v>
      </c>
      <c r="F13" s="16" t="n">
        <v>1000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5158900</v>
      </c>
      <c r="C15" s="16" t="n">
        <v>5026300</v>
      </c>
      <c r="D15" s="16" t="n">
        <v>5201700</v>
      </c>
      <c r="E15" s="16" t="n">
        <v>6468000</v>
      </c>
      <c r="F15" s="16" t="n">
        <v>6965000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>
        <v>3623000</v>
      </c>
      <c r="F16" s="16" t="n">
        <v>4509000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866700</v>
      </c>
      <c r="C19" s="16" t="n">
        <v>890100</v>
      </c>
      <c r="D19" s="16" t="n">
        <v>911800</v>
      </c>
      <c r="E19" s="16" t="n">
        <v>1864000</v>
      </c>
      <c r="F19" s="16" t="n">
        <v>2269000</v>
      </c>
    </row>
    <row r="20">
      <c r="A20" s="15" t="inlineStr">
        <is>
          <t>Tilgodehavender fra salg og tjenesteydelser</t>
        </is>
      </c>
      <c r="B20" s="16" t="n">
        <v>15200</v>
      </c>
      <c r="C20" s="16" t="n">
        <v>26600</v>
      </c>
      <c r="D20" s="16" t="n">
        <v>43700</v>
      </c>
      <c r="E20" s="16" t="n">
        <v>76000</v>
      </c>
      <c r="F20" s="16" t="n">
        <v>93000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158600</v>
      </c>
      <c r="C22" s="16" t="n">
        <v>154500</v>
      </c>
      <c r="D22" s="16" t="n">
        <v>161400</v>
      </c>
      <c r="E22" s="16" t="n">
        <v>221000</v>
      </c>
      <c r="F22" s="16" t="n">
        <v>235000</v>
      </c>
    </row>
    <row r="23">
      <c r="A23" s="15" t="inlineStr">
        <is>
          <t>Periodeafgrænsningsposter (aktiver)</t>
        </is>
      </c>
      <c r="B23" s="16" t="n"/>
      <c r="C23" s="16" t="n"/>
      <c r="D23" s="16" t="n">
        <v>40800</v>
      </c>
      <c r="E23" s="16" t="n">
        <v>74000</v>
      </c>
      <c r="F23" s="16" t="n">
        <v>130000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17000</v>
      </c>
      <c r="F24" s="16" t="n">
        <v>33000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19400</v>
      </c>
      <c r="C26" s="16" t="n">
        <v>45500</v>
      </c>
      <c r="D26" s="16" t="n">
        <v>20600</v>
      </c>
      <c r="E26" s="16" t="n">
        <v>17000</v>
      </c>
      <c r="F26" s="16" t="n">
        <v>19000</v>
      </c>
    </row>
    <row r="27">
      <c r="A27" s="17" t="inlineStr">
        <is>
          <t>Tilgodehavender</t>
        </is>
      </c>
      <c r="B27" s="16" t="n">
        <v>4600</v>
      </c>
      <c r="C27" s="16" t="n">
        <v>7100</v>
      </c>
      <c r="D27" s="16" t="n">
        <v>24900</v>
      </c>
      <c r="E27" s="16" t="n">
        <v>38000</v>
      </c>
      <c r="F27" s="16" t="n">
        <v>22000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40700</v>
      </c>
      <c r="C29" s="16" t="n">
        <v>28200</v>
      </c>
      <c r="D29" s="16" t="n">
        <v>36700</v>
      </c>
      <c r="E29" s="16" t="n">
        <v>131000</v>
      </c>
      <c r="F29" s="16" t="n">
        <v>76000</v>
      </c>
    </row>
    <row r="30">
      <c r="A30" s="17" t="inlineStr">
        <is>
          <t>Omsætningsaktiver</t>
        </is>
      </c>
      <c r="B30" s="16" t="n">
        <v>984200</v>
      </c>
      <c r="C30" s="16" t="n">
        <v>1029000</v>
      </c>
      <c r="D30" s="16" t="n">
        <v>1078500</v>
      </c>
      <c r="E30" s="16" t="n">
        <v>2200000</v>
      </c>
      <c r="F30" s="16" t="n">
        <v>2609000</v>
      </c>
    </row>
    <row r="31">
      <c r="A31" s="17" t="inlineStr">
        <is>
          <t>Aktiver</t>
        </is>
      </c>
      <c r="B31" s="16" t="n">
        <v>6143100</v>
      </c>
      <c r="C31" s="16" t="n">
        <v>6055300</v>
      </c>
      <c r="D31" s="16" t="n">
        <v>6280200</v>
      </c>
      <c r="E31" s="16" t="n">
        <v>8668000</v>
      </c>
      <c r="F31" s="16" t="n">
        <v>9574000</v>
      </c>
    </row>
    <row r="32">
      <c r="A32" s="15" t="inlineStr">
        <is>
          <t>Selskabskapital</t>
        </is>
      </c>
      <c r="B32" s="16" t="n">
        <v>95700</v>
      </c>
      <c r="C32" s="16" t="n">
        <v>95700</v>
      </c>
      <c r="D32" s="16" t="n">
        <v>95700</v>
      </c>
      <c r="E32" s="16" t="n">
        <v>96000</v>
      </c>
      <c r="F32" s="16" t="n">
        <v>96000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-1300</v>
      </c>
      <c r="C36" s="16" t="n">
        <v>0</v>
      </c>
      <c r="D36" s="16" t="n"/>
      <c r="E36" s="16" t="n">
        <v>0</v>
      </c>
      <c r="F36" s="16" t="n">
        <v>3000</v>
      </c>
    </row>
    <row r="37">
      <c r="A37" s="15" t="inlineStr">
        <is>
          <t>Overført resultat</t>
        </is>
      </c>
      <c r="B37" s="16" t="n">
        <v>2600</v>
      </c>
      <c r="C37" s="16" t="n">
        <v>76000</v>
      </c>
      <c r="D37" s="16" t="n">
        <v>43500</v>
      </c>
      <c r="E37" s="16" t="n">
        <v>43000</v>
      </c>
      <c r="F37" s="16" t="n">
        <v>39000</v>
      </c>
    </row>
    <row r="38">
      <c r="A38" s="17" t="inlineStr">
        <is>
          <t>Egenkapital i alt</t>
        </is>
      </c>
      <c r="B38" s="16" t="n">
        <v>3038900</v>
      </c>
      <c r="C38" s="16" t="n">
        <v>3151800</v>
      </c>
      <c r="D38" s="16" t="n">
        <v>3362600</v>
      </c>
      <c r="E38" s="16" t="n">
        <v>3461000</v>
      </c>
      <c r="F38" s="16" t="n">
        <v>3715000</v>
      </c>
    </row>
    <row r="39">
      <c r="A39" s="15" t="inlineStr">
        <is>
          <t>Hensættelse til udskudt skat</t>
        </is>
      </c>
      <c r="B39" s="16" t="n">
        <v>199200</v>
      </c>
      <c r="C39" s="16" t="n">
        <v>192800</v>
      </c>
      <c r="D39" s="16" t="n">
        <v>198800</v>
      </c>
      <c r="E39" s="16" t="n">
        <v>227000</v>
      </c>
      <c r="F39" s="16" t="n">
        <v>212000</v>
      </c>
    </row>
    <row r="40">
      <c r="A40" s="17" t="inlineStr">
        <is>
          <t>Hensatte forpligtelser</t>
        </is>
      </c>
      <c r="B40" s="16" t="n">
        <v>27700</v>
      </c>
      <c r="C40" s="16" t="n">
        <v>28000</v>
      </c>
      <c r="D40" s="16" t="n">
        <v>28000</v>
      </c>
      <c r="E40" s="16" t="n">
        <v>28000</v>
      </c>
      <c r="F40" s="16" t="n">
        <v>28000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495500</v>
      </c>
      <c r="C43" s="16" t="n">
        <v>343500</v>
      </c>
      <c r="D43" s="16" t="n">
        <v>462600</v>
      </c>
      <c r="E43" s="16" t="n">
        <v>850000</v>
      </c>
      <c r="F43" s="16" t="n">
        <v>870000</v>
      </c>
    </row>
    <row r="44">
      <c r="A44" s="15" t="inlineStr">
        <is>
          <t>Anden gæld (langfristet)</t>
        </is>
      </c>
      <c r="B44" s="16" t="n">
        <v>59200</v>
      </c>
      <c r="C44" s="16" t="n">
        <v>37700</v>
      </c>
      <c r="D44" s="16" t="n">
        <v>13000</v>
      </c>
      <c r="E44" s="16" t="n">
        <v>5000</v>
      </c>
      <c r="F44" s="16" t="n">
        <v>5000</v>
      </c>
    </row>
    <row r="45">
      <c r="A45" s="17" t="inlineStr">
        <is>
          <t>Langfristede gældsforpligtelser</t>
        </is>
      </c>
      <c r="B45" s="16" t="n">
        <v>0</v>
      </c>
      <c r="C45" s="16" t="n">
        <v>996100</v>
      </c>
      <c r="D45" s="16" t="n">
        <v>917700</v>
      </c>
      <c r="E45" s="16" t="n">
        <v>2007000</v>
      </c>
      <c r="F45" s="16" t="n">
        <v>1958000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1098300</v>
      </c>
      <c r="C48" s="16" t="n">
        <v>157900</v>
      </c>
      <c r="D48" s="16" t="n">
        <v>110400</v>
      </c>
      <c r="E48" s="16" t="n">
        <v>55000</v>
      </c>
      <c r="F48" s="16" t="n">
        <v>670000</v>
      </c>
    </row>
    <row r="49">
      <c r="A49" s="15" t="inlineStr">
        <is>
          <t>Leasingforpligtelser (kortfristet)</t>
        </is>
      </c>
      <c r="B49" s="16" t="n">
        <v>174100</v>
      </c>
      <c r="C49" s="16" t="n">
        <v>179500</v>
      </c>
      <c r="D49" s="16" t="n">
        <v>188400</v>
      </c>
      <c r="E49" s="16" t="n">
        <v>360000</v>
      </c>
      <c r="F49" s="16" t="n">
        <v>404000</v>
      </c>
    </row>
    <row r="50">
      <c r="A50" s="15" t="inlineStr">
        <is>
          <t>Leverandører af varer og tjenesteydelser</t>
        </is>
      </c>
      <c r="B50" s="16" t="n">
        <v>692400</v>
      </c>
      <c r="C50" s="16" t="n">
        <v>662900</v>
      </c>
      <c r="D50" s="16" t="n">
        <v>634100</v>
      </c>
      <c r="E50" s="16" t="n">
        <v>1070000</v>
      </c>
      <c r="F50" s="16" t="n">
        <v>1090000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199200</v>
      </c>
      <c r="C55" s="16" t="n">
        <v>150100</v>
      </c>
      <c r="D55" s="16" t="n">
        <v>202700</v>
      </c>
      <c r="E55" s="16" t="n">
        <v>364000</v>
      </c>
      <c r="F55" s="16" t="n">
        <v>384000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2322600</v>
      </c>
      <c r="C57" s="16" t="n">
        <v>1304900</v>
      </c>
      <c r="D57" s="16" t="n">
        <v>1297000</v>
      </c>
      <c r="E57" s="16" t="n">
        <v>2089000</v>
      </c>
      <c r="F57" s="16" t="n">
        <v>2785000</v>
      </c>
    </row>
    <row r="58">
      <c r="A58" s="17" t="inlineStr">
        <is>
          <t>Gældsforpligtelser</t>
        </is>
      </c>
      <c r="B58" s="16" t="n">
        <v>3104200</v>
      </c>
      <c r="C58" s="16" t="n">
        <v>2903000</v>
      </c>
      <c r="D58" s="16" t="n">
        <v>2917100</v>
      </c>
      <c r="E58" s="16" t="n">
        <v>5206000</v>
      </c>
      <c r="F58" s="16" t="n">
        <v>5858000</v>
      </c>
    </row>
    <row r="59">
      <c r="A59" s="17" t="inlineStr">
        <is>
          <t>Passiver</t>
        </is>
      </c>
      <c r="B59" s="16" t="n">
        <v>6143100</v>
      </c>
      <c r="C59" s="16" t="n">
        <v>6055300</v>
      </c>
      <c r="D59" s="16" t="n">
        <v>6280200</v>
      </c>
      <c r="E59" s="16" t="n">
        <v>8668000</v>
      </c>
      <c r="F59" s="16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2026-09-07T18:22:15Z</dcterms:created>
  <dcterms:modified xmlns:dcterms="http://purl.org/dc/terms/" xmlns:xsi="http://www.w3.org/2001/XMLSchema-instance" xsi:type="dcterms:W3CDTF">2026-09-07T18:22:15Z</dcterms:modified>
</cp:coreProperties>
</file>