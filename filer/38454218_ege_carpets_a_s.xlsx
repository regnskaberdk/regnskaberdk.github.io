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8454218" sheetId="1" state="visible" r:id="rId1"/>
    <sheet xmlns:r="http://schemas.openxmlformats.org/officeDocument/2006/relationships" name="res_raw_38454218" sheetId="2" state="visible" r:id="rId2"/>
    <sheet xmlns:r="http://schemas.openxmlformats.org/officeDocument/2006/relationships" name="balance_raw_38454218" sheetId="3" state="visible" r:id="rId3"/>
    <sheet xmlns:r="http://schemas.openxmlformats.org/officeDocument/2006/relationships" name="pengestrom_raw_3845421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Ege Carpets A/S (CVR 38454218) — Regnskabsanalyse – Resultatopgørelse &amp; Balance (t.kr.) · Klasse C-stor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'res_raw_38454218'!$B$2</f>
        <v/>
      </c>
      <c r="C4" s="5">
        <f>'res_raw_38454218'!$C$2</f>
        <v/>
      </c>
      <c r="D4" s="5">
        <f>'res_raw_38454218'!$D$2</f>
        <v/>
      </c>
      <c r="E4" s="5">
        <f>'res_raw_38454218'!$E$2</f>
        <v/>
      </c>
      <c r="F4" s="5">
        <f>'res_raw_38454218'!$F$2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'res_raw_38454218'!$B$3</f>
        <v/>
      </c>
      <c r="C5" s="8">
        <f>'res_raw_38454218'!$C$3</f>
        <v/>
      </c>
      <c r="D5" s="8">
        <f>'res_raw_38454218'!$D$3</f>
        <v/>
      </c>
      <c r="E5" s="8">
        <f>'res_raw_38454218'!$E$3</f>
        <v/>
      </c>
      <c r="F5" s="8">
        <f>'res_raw_38454218'!$F$3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'res_raw_38454218'!$B$4</f>
        <v/>
      </c>
      <c r="C6" s="5">
        <f>'res_raw_38454218'!$C$4</f>
        <v/>
      </c>
      <c r="D6" s="5">
        <f>'res_raw_38454218'!$D$4</f>
        <v/>
      </c>
      <c r="E6" s="5">
        <f>'res_raw_38454218'!$E$4</f>
        <v/>
      </c>
      <c r="F6" s="5">
        <f>'res_raw_38454218'!$F$4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'res_raw_38454218'!$B$5</f>
        <v/>
      </c>
      <c r="C7" s="8">
        <f>'res_raw_38454218'!$C$5</f>
        <v/>
      </c>
      <c r="D7" s="8">
        <f>'res_raw_38454218'!$D$5</f>
        <v/>
      </c>
      <c r="E7" s="8">
        <f>'res_raw_38454218'!$E$5</f>
        <v/>
      </c>
      <c r="F7" s="8">
        <f>'res_raw_38454218'!$F$5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'res_raw_38454218'!$B$6</f>
        <v/>
      </c>
      <c r="C8" s="11">
        <f>'res_raw_38454218'!$C$6</f>
        <v/>
      </c>
      <c r="D8" s="11">
        <f>'res_raw_38454218'!$D$6</f>
        <v/>
      </c>
      <c r="E8" s="11">
        <f>'res_raw_38454218'!$E$6</f>
        <v/>
      </c>
      <c r="F8" s="11">
        <f>'res_raw_38454218'!$F$6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'res_raw_38454218'!$B$7</f>
        <v/>
      </c>
      <c r="C9" s="8">
        <f>'res_raw_38454218'!$C$7</f>
        <v/>
      </c>
      <c r="D9" s="8">
        <f>'res_raw_38454218'!$D$7</f>
        <v/>
      </c>
      <c r="E9" s="8">
        <f>'res_raw_38454218'!$E$7</f>
        <v/>
      </c>
      <c r="F9" s="8">
        <f>'res_raw_38454218'!$F$7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'res_raw_38454218'!$B$9</f>
        <v/>
      </c>
      <c r="C11" s="8">
        <f>'res_raw_38454218'!$C$9</f>
        <v/>
      </c>
      <c r="D11" s="8">
        <f>'res_raw_38454218'!$D$9</f>
        <v/>
      </c>
      <c r="E11" s="8">
        <f>'res_raw_38454218'!$E$9</f>
        <v/>
      </c>
      <c r="F11" s="8">
        <f>'res_raw_38454218'!$F$9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'res_raw_38454218'!$B$10</f>
        <v/>
      </c>
      <c r="C12" s="5">
        <f>'res_raw_38454218'!$C$10</f>
        <v/>
      </c>
      <c r="D12" s="5">
        <f>'res_raw_38454218'!$D$10</f>
        <v/>
      </c>
      <c r="E12" s="5">
        <f>'res_raw_38454218'!$E$10</f>
        <v/>
      </c>
      <c r="F12" s="5">
        <f>'res_raw_38454218'!$F$10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'res_raw_38454218'!$B$11</f>
        <v/>
      </c>
      <c r="C13" s="11">
        <f>'res_raw_38454218'!$C$11</f>
        <v/>
      </c>
      <c r="D13" s="11">
        <f>'res_raw_38454218'!$D$11</f>
        <v/>
      </c>
      <c r="E13" s="11">
        <f>'res_raw_38454218'!$E$11</f>
        <v/>
      </c>
      <c r="F13" s="11">
        <f>'res_raw_38454218'!$F$11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'res_raw_38454218'!$B$12</f>
        <v/>
      </c>
      <c r="C14" s="5">
        <f>'res_raw_38454218'!$C$12</f>
        <v/>
      </c>
      <c r="D14" s="5">
        <f>'res_raw_38454218'!$D$12</f>
        <v/>
      </c>
      <c r="E14" s="5">
        <f>'res_raw_38454218'!$E$12</f>
        <v/>
      </c>
      <c r="F14" s="5">
        <f>'res_raw_38454218'!$F$12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'res_raw_38454218'!$B$13</f>
        <v/>
      </c>
      <c r="C15" s="8">
        <f>'res_raw_38454218'!$C$13</f>
        <v/>
      </c>
      <c r="D15" s="8">
        <f>'res_raw_38454218'!$D$13</f>
        <v/>
      </c>
      <c r="E15" s="8">
        <f>'res_raw_38454218'!$E$13</f>
        <v/>
      </c>
      <c r="F15" s="8">
        <f>'res_raw_38454218'!$F$13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'res_raw_38454218'!$B$14</f>
        <v/>
      </c>
      <c r="C16" s="5">
        <f>'res_raw_38454218'!$C$14</f>
        <v/>
      </c>
      <c r="D16" s="5">
        <f>'res_raw_38454218'!$D$14</f>
        <v/>
      </c>
      <c r="E16" s="5">
        <f>'res_raw_38454218'!$E$14</f>
        <v/>
      </c>
      <c r="F16" s="5">
        <f>'res_raw_38454218'!$F$14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'res_raw_38454218'!$B$15</f>
        <v/>
      </c>
      <c r="C17" s="11">
        <f>'res_raw_38454218'!$C$15</f>
        <v/>
      </c>
      <c r="D17" s="11">
        <f>'res_raw_38454218'!$D$15</f>
        <v/>
      </c>
      <c r="E17" s="11">
        <f>'res_raw_38454218'!$E$15</f>
        <v/>
      </c>
      <c r="F17" s="11">
        <f>'res_raw_38454218'!$F$15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'res_raw_38454218'!$B$16</f>
        <v/>
      </c>
      <c r="C18" s="11">
        <f>'res_raw_38454218'!$C$16</f>
        <v/>
      </c>
      <c r="D18" s="11">
        <f>'res_raw_38454218'!$D$16</f>
        <v/>
      </c>
      <c r="E18" s="11">
        <f>'res_raw_38454218'!$E$16</f>
        <v/>
      </c>
      <c r="F18" s="11">
        <f>'res_raw_38454218'!$F$16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'res_raw_38454218'!$B$17</f>
        <v/>
      </c>
      <c r="C19" s="8">
        <f>'res_raw_38454218'!$C$17</f>
        <v/>
      </c>
      <c r="D19" s="8">
        <f>'res_raw_38454218'!$D$17</f>
        <v/>
      </c>
      <c r="E19" s="8">
        <f>'res_raw_38454218'!$E$17</f>
        <v/>
      </c>
      <c r="F19" s="8">
        <f>'res_raw_38454218'!$F$17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'res_raw_38454218'!$B$18</f>
        <v/>
      </c>
      <c r="C20" s="11">
        <f>'res_raw_38454218'!$C$18</f>
        <v/>
      </c>
      <c r="D20" s="11">
        <f>'res_raw_38454218'!$D$18</f>
        <v/>
      </c>
      <c r="E20" s="11">
        <f>'res_raw_38454218'!$E$18</f>
        <v/>
      </c>
      <c r="F20" s="11">
        <f>'res_raw_38454218'!$F$18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'balance_raw_38454218'!$B$2</f>
        <v/>
      </c>
      <c r="C23" s="8">
        <f>'balance_raw_38454218'!$C$2</f>
        <v/>
      </c>
      <c r="D23" s="8">
        <f>'balance_raw_38454218'!$D$2</f>
        <v/>
      </c>
      <c r="E23" s="8">
        <f>'balance_raw_38454218'!$E$2</f>
        <v/>
      </c>
      <c r="F23" s="8">
        <f>'balance_raw_38454218'!$F$2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'balance_raw_38454218'!$B$3</f>
        <v/>
      </c>
      <c r="C24" s="5">
        <f>'balance_raw_38454218'!$C$3</f>
        <v/>
      </c>
      <c r="D24" s="5">
        <f>'balance_raw_38454218'!$D$3</f>
        <v/>
      </c>
      <c r="E24" s="5">
        <f>'balance_raw_38454218'!$E$3</f>
        <v/>
      </c>
      <c r="F24" s="5">
        <f>'balance_raw_38454218'!$F$3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'balance_raw_38454218'!$B$4</f>
        <v/>
      </c>
      <c r="C25" s="8">
        <f>'balance_raw_38454218'!$C$4</f>
        <v/>
      </c>
      <c r="D25" s="8">
        <f>'balance_raw_38454218'!$D$4</f>
        <v/>
      </c>
      <c r="E25" s="8">
        <f>'balance_raw_38454218'!$E$4</f>
        <v/>
      </c>
      <c r="F25" s="8">
        <f>'balance_raw_38454218'!$F$4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'balance_raw_38454218'!$B$5</f>
        <v/>
      </c>
      <c r="C26" s="11">
        <f>'balance_raw_38454218'!$C$5</f>
        <v/>
      </c>
      <c r="D26" s="11">
        <f>'balance_raw_38454218'!$D$5</f>
        <v/>
      </c>
      <c r="E26" s="11">
        <f>'balance_raw_38454218'!$E$5</f>
        <v/>
      </c>
      <c r="F26" s="11">
        <f>'balance_raw_38454218'!$F$5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'balance_raw_38454218'!$B$6</f>
        <v/>
      </c>
      <c r="C27" s="8">
        <f>'balance_raw_38454218'!$C$6</f>
        <v/>
      </c>
      <c r="D27" s="8">
        <f>'balance_raw_38454218'!$D$6</f>
        <v/>
      </c>
      <c r="E27" s="8">
        <f>'balance_raw_38454218'!$E$6</f>
        <v/>
      </c>
      <c r="F27" s="8">
        <f>'balance_raw_38454218'!$F$6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'balance_raw_38454218'!$B$7</f>
        <v/>
      </c>
      <c r="C28" s="5">
        <f>'balance_raw_38454218'!$C$7</f>
        <v/>
      </c>
      <c r="D28" s="5">
        <f>'balance_raw_38454218'!$D$7</f>
        <v/>
      </c>
      <c r="E28" s="5">
        <f>'balance_raw_38454218'!$E$7</f>
        <v/>
      </c>
      <c r="F28" s="5">
        <f>'balance_raw_38454218'!$F$7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'balance_raw_38454218'!$B$8</f>
        <v/>
      </c>
      <c r="C29" s="8">
        <f>'balance_raw_38454218'!$C$8</f>
        <v/>
      </c>
      <c r="D29" s="8">
        <f>'balance_raw_38454218'!$D$8</f>
        <v/>
      </c>
      <c r="E29" s="8">
        <f>'balance_raw_38454218'!$E$8</f>
        <v/>
      </c>
      <c r="F29" s="8">
        <f>'balance_raw_38454218'!$F$8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'balance_raw_38454218'!$B$9</f>
        <v/>
      </c>
      <c r="C30" s="5">
        <f>'balance_raw_38454218'!$C$9</f>
        <v/>
      </c>
      <c r="D30" s="5">
        <f>'balance_raw_38454218'!$D$9</f>
        <v/>
      </c>
      <c r="E30" s="5">
        <f>'balance_raw_38454218'!$E$9</f>
        <v/>
      </c>
      <c r="F30" s="5">
        <f>'balance_raw_38454218'!$F$9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'balance_raw_38454218'!$B$10</f>
        <v/>
      </c>
      <c r="C31" s="8">
        <f>'balance_raw_38454218'!$C$10</f>
        <v/>
      </c>
      <c r="D31" s="8">
        <f>'balance_raw_38454218'!$D$10</f>
        <v/>
      </c>
      <c r="E31" s="8">
        <f>'balance_raw_38454218'!$E$10</f>
        <v/>
      </c>
      <c r="F31" s="8">
        <f>'balance_raw_38454218'!$F$10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'balance_raw_38454218'!$B$11</f>
        <v/>
      </c>
      <c r="C32" s="11">
        <f>'balance_raw_38454218'!$C$11</f>
        <v/>
      </c>
      <c r="D32" s="11">
        <f>'balance_raw_38454218'!$D$11</f>
        <v/>
      </c>
      <c r="E32" s="11">
        <f>'balance_raw_38454218'!$E$11</f>
        <v/>
      </c>
      <c r="F32" s="11">
        <f>'balance_raw_38454218'!$F$11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'balance_raw_38454218'!$B$12</f>
        <v/>
      </c>
      <c r="C33" s="8">
        <f>'balance_raw_38454218'!$C$12</f>
        <v/>
      </c>
      <c r="D33" s="8">
        <f>'balance_raw_38454218'!$D$12</f>
        <v/>
      </c>
      <c r="E33" s="8">
        <f>'balance_raw_38454218'!$E$12</f>
        <v/>
      </c>
      <c r="F33" s="8">
        <f>'balance_raw_38454218'!$F$12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'balance_raw_38454218'!$B$13</f>
        <v/>
      </c>
      <c r="C34" s="5">
        <f>'balance_raw_38454218'!$C$13</f>
        <v/>
      </c>
      <c r="D34" s="5">
        <f>'balance_raw_38454218'!$D$13</f>
        <v/>
      </c>
      <c r="E34" s="5">
        <f>'balance_raw_38454218'!$E$13</f>
        <v/>
      </c>
      <c r="F34" s="5">
        <f>'balance_raw_38454218'!$F$13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'balance_raw_38454218'!$B$14</f>
        <v/>
      </c>
      <c r="C35" s="11">
        <f>'balance_raw_38454218'!$C$14</f>
        <v/>
      </c>
      <c r="D35" s="11">
        <f>'balance_raw_38454218'!$D$14</f>
        <v/>
      </c>
      <c r="E35" s="11">
        <f>'balance_raw_38454218'!$E$14</f>
        <v/>
      </c>
      <c r="F35" s="11">
        <f>'balance_raw_38454218'!$F$14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'balance_raw_38454218'!$B$15</f>
        <v/>
      </c>
      <c r="C36" s="11">
        <f>'balance_raw_38454218'!$C$15</f>
        <v/>
      </c>
      <c r="D36" s="11">
        <f>'balance_raw_38454218'!$D$15</f>
        <v/>
      </c>
      <c r="E36" s="11">
        <f>'balance_raw_38454218'!$E$15</f>
        <v/>
      </c>
      <c r="F36" s="11">
        <f>'balance_raw_38454218'!$F$15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'balance_raw_38454218'!$B$16</f>
        <v/>
      </c>
      <c r="C37" s="8">
        <f>'balance_raw_38454218'!$C$16</f>
        <v/>
      </c>
      <c r="D37" s="8">
        <f>'balance_raw_38454218'!$D$16</f>
        <v/>
      </c>
      <c r="E37" s="8">
        <f>'balance_raw_38454218'!$E$16</f>
        <v/>
      </c>
      <c r="F37" s="8">
        <f>'balance_raw_38454218'!$F$16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'balance_raw_38454218'!$B$17</f>
        <v/>
      </c>
      <c r="C38" s="5">
        <f>'balance_raw_38454218'!$C$17</f>
        <v/>
      </c>
      <c r="D38" s="5">
        <f>'balance_raw_38454218'!$D$17</f>
        <v/>
      </c>
      <c r="E38" s="5">
        <f>'balance_raw_38454218'!$E$17</f>
        <v/>
      </c>
      <c r="F38" s="5">
        <f>'balance_raw_38454218'!$F$17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'balance_raw_38454218'!$B$18</f>
        <v/>
      </c>
      <c r="C39" s="8">
        <f>'balance_raw_38454218'!$C$18</f>
        <v/>
      </c>
      <c r="D39" s="8">
        <f>'balance_raw_38454218'!$D$18</f>
        <v/>
      </c>
      <c r="E39" s="8">
        <f>'balance_raw_38454218'!$E$18</f>
        <v/>
      </c>
      <c r="F39" s="8">
        <f>'balance_raw_38454218'!$F$18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'balance_raw_38454218'!$B$19</f>
        <v/>
      </c>
      <c r="C40" s="11">
        <f>'balance_raw_38454218'!$C$19</f>
        <v/>
      </c>
      <c r="D40" s="11">
        <f>'balance_raw_38454218'!$D$19</f>
        <v/>
      </c>
      <c r="E40" s="11">
        <f>'balance_raw_38454218'!$E$19</f>
        <v/>
      </c>
      <c r="F40" s="11">
        <f>'balance_raw_38454218'!$F$19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'balance_raw_38454218'!$B$20</f>
        <v/>
      </c>
      <c r="C41" s="8">
        <f>'balance_raw_38454218'!$C$20</f>
        <v/>
      </c>
      <c r="D41" s="8">
        <f>'balance_raw_38454218'!$D$20</f>
        <v/>
      </c>
      <c r="E41" s="8">
        <f>'balance_raw_38454218'!$E$20</f>
        <v/>
      </c>
      <c r="F41" s="8">
        <f>'balance_raw_38454218'!$F$20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'balance_raw_38454218'!$B$21</f>
        <v/>
      </c>
      <c r="C42" s="5">
        <f>'balance_raw_38454218'!$C$21</f>
        <v/>
      </c>
      <c r="D42" s="5">
        <f>'balance_raw_38454218'!$D$21</f>
        <v/>
      </c>
      <c r="E42" s="5">
        <f>'balance_raw_38454218'!$E$21</f>
        <v/>
      </c>
      <c r="F42" s="5">
        <f>'balance_raw_38454218'!$F$21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'balance_raw_38454218'!$B$22</f>
        <v/>
      </c>
      <c r="C43" s="8">
        <f>'balance_raw_38454218'!$C$22</f>
        <v/>
      </c>
      <c r="D43" s="8">
        <f>'balance_raw_38454218'!$D$22</f>
        <v/>
      </c>
      <c r="E43" s="8">
        <f>'balance_raw_38454218'!$E$22</f>
        <v/>
      </c>
      <c r="F43" s="8">
        <f>'balance_raw_38454218'!$F$22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'balance_raw_38454218'!$B$23</f>
        <v/>
      </c>
      <c r="C44" s="5">
        <f>'balance_raw_38454218'!$C$23</f>
        <v/>
      </c>
      <c r="D44" s="5">
        <f>'balance_raw_38454218'!$D$23</f>
        <v/>
      </c>
      <c r="E44" s="5">
        <f>'balance_raw_38454218'!$E$23</f>
        <v/>
      </c>
      <c r="F44" s="5">
        <f>'balance_raw_38454218'!$F$23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'balance_raw_38454218'!$B$24</f>
        <v/>
      </c>
      <c r="C45" s="8">
        <f>'balance_raw_38454218'!$C$24</f>
        <v/>
      </c>
      <c r="D45" s="8">
        <f>'balance_raw_38454218'!$D$24</f>
        <v/>
      </c>
      <c r="E45" s="8">
        <f>'balance_raw_38454218'!$E$24</f>
        <v/>
      </c>
      <c r="F45" s="8">
        <f>'balance_raw_38454218'!$F$24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'balance_raw_38454218'!$B$25</f>
        <v/>
      </c>
      <c r="C46" s="5">
        <f>'balance_raw_38454218'!$C$25</f>
        <v/>
      </c>
      <c r="D46" s="5">
        <f>'balance_raw_38454218'!$D$25</f>
        <v/>
      </c>
      <c r="E46" s="5">
        <f>'balance_raw_38454218'!$E$25</f>
        <v/>
      </c>
      <c r="F46" s="5">
        <f>'balance_raw_38454218'!$F$25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'balance_raw_38454218'!$B$26</f>
        <v/>
      </c>
      <c r="C47" s="8">
        <f>'balance_raw_38454218'!$C$26</f>
        <v/>
      </c>
      <c r="D47" s="8">
        <f>'balance_raw_38454218'!$D$26</f>
        <v/>
      </c>
      <c r="E47" s="8">
        <f>'balance_raw_38454218'!$E$26</f>
        <v/>
      </c>
      <c r="F47" s="8">
        <f>'balance_raw_38454218'!$F$26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'balance_raw_38454218'!$B$27</f>
        <v/>
      </c>
      <c r="C48" s="11">
        <f>'balance_raw_38454218'!$C$27</f>
        <v/>
      </c>
      <c r="D48" s="11">
        <f>'balance_raw_38454218'!$D$27</f>
        <v/>
      </c>
      <c r="E48" s="11">
        <f>'balance_raw_38454218'!$E$27</f>
        <v/>
      </c>
      <c r="F48" s="11">
        <f>'balance_raw_38454218'!$F$27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'balance_raw_38454218'!$B$28</f>
        <v/>
      </c>
      <c r="C49" s="8">
        <f>'balance_raw_38454218'!$C$28</f>
        <v/>
      </c>
      <c r="D49" s="8">
        <f>'balance_raw_38454218'!$D$28</f>
        <v/>
      </c>
      <c r="E49" s="8">
        <f>'balance_raw_38454218'!$E$28</f>
        <v/>
      </c>
      <c r="F49" s="8">
        <f>'balance_raw_38454218'!$F$28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'balance_raw_38454218'!$B$29</f>
        <v/>
      </c>
      <c r="C50" s="5">
        <f>'balance_raw_38454218'!$C$29</f>
        <v/>
      </c>
      <c r="D50" s="5">
        <f>'balance_raw_38454218'!$D$29</f>
        <v/>
      </c>
      <c r="E50" s="5">
        <f>'balance_raw_38454218'!$E$29</f>
        <v/>
      </c>
      <c r="F50" s="5">
        <f>'balance_raw_38454218'!$F$29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'balance_raw_38454218'!$B$30</f>
        <v/>
      </c>
      <c r="C51" s="11">
        <f>'balance_raw_38454218'!$C$30</f>
        <v/>
      </c>
      <c r="D51" s="11">
        <f>'balance_raw_38454218'!$D$30</f>
        <v/>
      </c>
      <c r="E51" s="11">
        <f>'balance_raw_38454218'!$E$30</f>
        <v/>
      </c>
      <c r="F51" s="11">
        <f>'balance_raw_38454218'!$F$30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'balance_raw_38454218'!$B$31</f>
        <v/>
      </c>
      <c r="C52" s="11">
        <f>'balance_raw_38454218'!$C$31</f>
        <v/>
      </c>
      <c r="D52" s="11">
        <f>'balance_raw_38454218'!$D$31</f>
        <v/>
      </c>
      <c r="E52" s="11">
        <f>'balance_raw_38454218'!$E$31</f>
        <v/>
      </c>
      <c r="F52" s="11">
        <f>'balance_raw_38454218'!$F$31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'balance_raw_38454218'!$B$32</f>
        <v/>
      </c>
      <c r="C55" s="8">
        <f>'balance_raw_38454218'!$C$32</f>
        <v/>
      </c>
      <c r="D55" s="8">
        <f>'balance_raw_38454218'!$D$32</f>
        <v/>
      </c>
      <c r="E55" s="8">
        <f>'balance_raw_38454218'!$E$32</f>
        <v/>
      </c>
      <c r="F55" s="8">
        <f>'balance_raw_38454218'!$F$32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'balance_raw_38454218'!$B$33</f>
        <v/>
      </c>
      <c r="C56" s="5">
        <f>'balance_raw_38454218'!$C$33</f>
        <v/>
      </c>
      <c r="D56" s="5">
        <f>'balance_raw_38454218'!$D$33</f>
        <v/>
      </c>
      <c r="E56" s="5">
        <f>'balance_raw_38454218'!$E$33</f>
        <v/>
      </c>
      <c r="F56" s="5">
        <f>'balance_raw_38454218'!$F$33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'balance_raw_38454218'!$B$34</f>
        <v/>
      </c>
      <c r="C57" s="8">
        <f>'balance_raw_38454218'!$C$34</f>
        <v/>
      </c>
      <c r="D57" s="8">
        <f>'balance_raw_38454218'!$D$34</f>
        <v/>
      </c>
      <c r="E57" s="8">
        <f>'balance_raw_38454218'!$E$34</f>
        <v/>
      </c>
      <c r="F57" s="8">
        <f>'balance_raw_38454218'!$F$34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'balance_raw_38454218'!$B$35</f>
        <v/>
      </c>
      <c r="C58" s="5">
        <f>'balance_raw_38454218'!$C$35</f>
        <v/>
      </c>
      <c r="D58" s="5">
        <f>'balance_raw_38454218'!$D$35</f>
        <v/>
      </c>
      <c r="E58" s="5">
        <f>'balance_raw_38454218'!$E$35</f>
        <v/>
      </c>
      <c r="F58" s="5">
        <f>'balance_raw_38454218'!$F$35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'balance_raw_38454218'!$B$36</f>
        <v/>
      </c>
      <c r="C59" s="8">
        <f>'balance_raw_38454218'!$C$36</f>
        <v/>
      </c>
      <c r="D59" s="8">
        <f>'balance_raw_38454218'!$D$36</f>
        <v/>
      </c>
      <c r="E59" s="8">
        <f>'balance_raw_38454218'!$E$36</f>
        <v/>
      </c>
      <c r="F59" s="8">
        <f>'balance_raw_38454218'!$F$36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'balance_raw_38454218'!$B$37</f>
        <v/>
      </c>
      <c r="C60" s="5">
        <f>'balance_raw_38454218'!$C$37</f>
        <v/>
      </c>
      <c r="D60" s="5">
        <f>'balance_raw_38454218'!$D$37</f>
        <v/>
      </c>
      <c r="E60" s="5">
        <f>'balance_raw_38454218'!$E$37</f>
        <v/>
      </c>
      <c r="F60" s="5">
        <f>'balance_raw_38454218'!$F$37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'balance_raw_38454218'!$B$38</f>
        <v/>
      </c>
      <c r="C61" s="11">
        <f>'balance_raw_38454218'!$C$38</f>
        <v/>
      </c>
      <c r="D61" s="11">
        <f>'balance_raw_38454218'!$D$38</f>
        <v/>
      </c>
      <c r="E61" s="11">
        <f>'balance_raw_38454218'!$E$38</f>
        <v/>
      </c>
      <c r="F61" s="11">
        <f>'balance_raw_38454218'!$F$38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'balance_raw_38454218'!$B$39</f>
        <v/>
      </c>
      <c r="C62" s="5">
        <f>'balance_raw_38454218'!$C$39</f>
        <v/>
      </c>
      <c r="D62" s="5">
        <f>'balance_raw_38454218'!$D$39</f>
        <v/>
      </c>
      <c r="E62" s="5">
        <f>'balance_raw_38454218'!$E$39</f>
        <v/>
      </c>
      <c r="F62" s="5">
        <f>'balance_raw_38454218'!$F$39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'balance_raw_38454218'!$B$40</f>
        <v/>
      </c>
      <c r="C63" s="8">
        <f>'balance_raw_38454218'!$C$40</f>
        <v/>
      </c>
      <c r="D63" s="8">
        <f>'balance_raw_38454218'!$D$40</f>
        <v/>
      </c>
      <c r="E63" s="8">
        <f>'balance_raw_38454218'!$E$40</f>
        <v/>
      </c>
      <c r="F63" s="8">
        <f>'balance_raw_38454218'!$F$40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'balance_raw_38454218'!$B$41</f>
        <v/>
      </c>
      <c r="C64" s="5">
        <f>'balance_raw_38454218'!$C$41</f>
        <v/>
      </c>
      <c r="D64" s="5">
        <f>'balance_raw_38454218'!$D$41</f>
        <v/>
      </c>
      <c r="E64" s="5">
        <f>'balance_raw_38454218'!$E$41</f>
        <v/>
      </c>
      <c r="F64" s="5">
        <f>'balance_raw_38454218'!$F$41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'balance_raw_38454218'!$B$42</f>
        <v/>
      </c>
      <c r="C65" s="8">
        <f>'balance_raw_38454218'!$C$42</f>
        <v/>
      </c>
      <c r="D65" s="8">
        <f>'balance_raw_38454218'!$D$42</f>
        <v/>
      </c>
      <c r="E65" s="8">
        <f>'balance_raw_38454218'!$E$42</f>
        <v/>
      </c>
      <c r="F65" s="8">
        <f>'balance_raw_38454218'!$F$42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'balance_raw_38454218'!$B$43</f>
        <v/>
      </c>
      <c r="C66" s="11">
        <f>'balance_raw_38454218'!$C$43</f>
        <v/>
      </c>
      <c r="D66" s="11">
        <f>'balance_raw_38454218'!$D$43</f>
        <v/>
      </c>
      <c r="E66" s="11">
        <f>'balance_raw_38454218'!$E$43</f>
        <v/>
      </c>
      <c r="F66" s="11">
        <f>'balance_raw_38454218'!$F$43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'balance_raw_38454218'!$B$44</f>
        <v/>
      </c>
      <c r="C67" s="8">
        <f>'balance_raw_38454218'!$C$44</f>
        <v/>
      </c>
      <c r="D67" s="8">
        <f>'balance_raw_38454218'!$D$44</f>
        <v/>
      </c>
      <c r="E67" s="8">
        <f>'balance_raw_38454218'!$E$44</f>
        <v/>
      </c>
      <c r="F67" s="8">
        <f>'balance_raw_38454218'!$F$44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'balance_raw_38454218'!$B$45</f>
        <v/>
      </c>
      <c r="C68" s="5">
        <f>'balance_raw_38454218'!$C$45</f>
        <v/>
      </c>
      <c r="D68" s="5">
        <f>'balance_raw_38454218'!$D$45</f>
        <v/>
      </c>
      <c r="E68" s="5">
        <f>'balance_raw_38454218'!$E$45</f>
        <v/>
      </c>
      <c r="F68" s="5">
        <f>'balance_raw_38454218'!$F$45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'balance_raw_38454218'!$B$46</f>
        <v/>
      </c>
      <c r="C69" s="8">
        <f>'balance_raw_38454218'!$C$46</f>
        <v/>
      </c>
      <c r="D69" s="8">
        <f>'balance_raw_38454218'!$D$46</f>
        <v/>
      </c>
      <c r="E69" s="8">
        <f>'balance_raw_38454218'!$E$46</f>
        <v/>
      </c>
      <c r="F69" s="8">
        <f>'balance_raw_38454218'!$F$46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'balance_raw_38454218'!$B$47</f>
        <v/>
      </c>
      <c r="C70" s="5">
        <f>'balance_raw_38454218'!$C$47</f>
        <v/>
      </c>
      <c r="D70" s="5">
        <f>'balance_raw_38454218'!$D$47</f>
        <v/>
      </c>
      <c r="E70" s="5">
        <f>'balance_raw_38454218'!$E$47</f>
        <v/>
      </c>
      <c r="F70" s="5">
        <f>'balance_raw_38454218'!$F$47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'balance_raw_38454218'!$B$48</f>
        <v/>
      </c>
      <c r="C71" s="8">
        <f>'balance_raw_38454218'!$C$48</f>
        <v/>
      </c>
      <c r="D71" s="8">
        <f>'balance_raw_38454218'!$D$48</f>
        <v/>
      </c>
      <c r="E71" s="8">
        <f>'balance_raw_38454218'!$E$48</f>
        <v/>
      </c>
      <c r="F71" s="8">
        <f>'balance_raw_38454218'!$F$48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'balance_raw_38454218'!$B$49</f>
        <v/>
      </c>
      <c r="C72" s="5">
        <f>'balance_raw_38454218'!$C$49</f>
        <v/>
      </c>
      <c r="D72" s="5">
        <f>'balance_raw_38454218'!$D$49</f>
        <v/>
      </c>
      <c r="E72" s="5">
        <f>'balance_raw_38454218'!$E$49</f>
        <v/>
      </c>
      <c r="F72" s="5">
        <f>'balance_raw_38454218'!$F$49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'balance_raw_38454218'!$B$50</f>
        <v/>
      </c>
      <c r="C73" s="8">
        <f>'balance_raw_38454218'!$C$50</f>
        <v/>
      </c>
      <c r="D73" s="8">
        <f>'balance_raw_38454218'!$D$50</f>
        <v/>
      </c>
      <c r="E73" s="8">
        <f>'balance_raw_38454218'!$E$50</f>
        <v/>
      </c>
      <c r="F73" s="8">
        <f>'balance_raw_38454218'!$F$50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'balance_raw_38454218'!$B$51</f>
        <v/>
      </c>
      <c r="C74" s="5">
        <f>'balance_raw_38454218'!$C$51</f>
        <v/>
      </c>
      <c r="D74" s="5">
        <f>'balance_raw_38454218'!$D$51</f>
        <v/>
      </c>
      <c r="E74" s="5">
        <f>'balance_raw_38454218'!$E$51</f>
        <v/>
      </c>
      <c r="F74" s="5">
        <f>'balance_raw_38454218'!$F$51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'balance_raw_38454218'!$B$52</f>
        <v/>
      </c>
      <c r="C75" s="8">
        <f>'balance_raw_38454218'!$C$52</f>
        <v/>
      </c>
      <c r="D75" s="8">
        <f>'balance_raw_38454218'!$D$52</f>
        <v/>
      </c>
      <c r="E75" s="8">
        <f>'balance_raw_38454218'!$E$52</f>
        <v/>
      </c>
      <c r="F75" s="8">
        <f>'balance_raw_38454218'!$F$52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'balance_raw_38454218'!$B$53</f>
        <v/>
      </c>
      <c r="C76" s="5">
        <f>'balance_raw_38454218'!$C$53</f>
        <v/>
      </c>
      <c r="D76" s="5">
        <f>'balance_raw_38454218'!$D$53</f>
        <v/>
      </c>
      <c r="E76" s="5">
        <f>'balance_raw_38454218'!$E$53</f>
        <v/>
      </c>
      <c r="F76" s="5">
        <f>'balance_raw_38454218'!$F$53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'balance_raw_38454218'!$B$54</f>
        <v/>
      </c>
      <c r="C77" s="8">
        <f>'balance_raw_38454218'!$C$54</f>
        <v/>
      </c>
      <c r="D77" s="8">
        <f>'balance_raw_38454218'!$D$54</f>
        <v/>
      </c>
      <c r="E77" s="8">
        <f>'balance_raw_38454218'!$E$54</f>
        <v/>
      </c>
      <c r="F77" s="8">
        <f>'balance_raw_38454218'!$F$54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'balance_raw_38454218'!$B$55</f>
        <v/>
      </c>
      <c r="C78" s="11">
        <f>'balance_raw_38454218'!$C$55</f>
        <v/>
      </c>
      <c r="D78" s="11">
        <f>'balance_raw_38454218'!$D$55</f>
        <v/>
      </c>
      <c r="E78" s="11">
        <f>'balance_raw_38454218'!$E$55</f>
        <v/>
      </c>
      <c r="F78" s="11">
        <f>'balance_raw_38454218'!$F$55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'balance_raw_38454218'!$B$56</f>
        <v/>
      </c>
      <c r="C79" s="11">
        <f>'balance_raw_38454218'!$C$56</f>
        <v/>
      </c>
      <c r="D79" s="11">
        <f>'balance_raw_38454218'!$D$56</f>
        <v/>
      </c>
      <c r="E79" s="11">
        <f>'balance_raw_38454218'!$E$56</f>
        <v/>
      </c>
      <c r="F79" s="11">
        <f>'balance_raw_38454218'!$F$56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'balance_raw_38454218'!$B$57</f>
        <v/>
      </c>
      <c r="C80" s="11">
        <f>'balance_raw_38454218'!$C$57</f>
        <v/>
      </c>
      <c r="D80" s="11">
        <f>'balance_raw_38454218'!$D$57</f>
        <v/>
      </c>
      <c r="E80" s="11">
        <f>'balance_raw_38454218'!$E$57</f>
        <v/>
      </c>
      <c r="F80" s="11">
        <f>'balance_raw_38454218'!$F$57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'res_raw_38454218'!$B$19</f>
        <v/>
      </c>
      <c r="C83" s="8">
        <f>'res_raw_38454218'!$C$19</f>
        <v/>
      </c>
      <c r="D83" s="8">
        <f>'res_raw_38454218'!$D$19</f>
        <v/>
      </c>
      <c r="E83" s="8">
        <f>'res_raw_38454218'!$E$19</f>
        <v/>
      </c>
      <c r="F83" s="8">
        <f>'res_raw_38454218'!$F$19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'res_raw_38454218'!$B$20</f>
        <v/>
      </c>
      <c r="C84" s="5">
        <f>'res_raw_38454218'!$C$20</f>
        <v/>
      </c>
      <c r="D84" s="5">
        <f>'res_raw_38454218'!$D$20</f>
        <v/>
      </c>
      <c r="E84" s="5">
        <f>'res_raw_38454218'!$E$20</f>
        <v/>
      </c>
      <c r="F84" s="5">
        <f>'res_raw_38454218'!$F$20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IFERROR($B$4/$B$52,"")</f>
        <v/>
      </c>
      <c r="C89" s="13">
        <f>IFERROR($C$4/$C$52,"")</f>
        <v/>
      </c>
      <c r="D89" s="13">
        <f>IFERROR($D$4/$D$52,"")</f>
        <v/>
      </c>
      <c r="E89" s="13">
        <f>IFERROR($E$4/$E$52,"")</f>
        <v/>
      </c>
      <c r="F89" s="13">
        <f>IFERROR($F$4/$F$52,"")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'pengestrom_raw_38454218'!$B$2</f>
        <v/>
      </c>
      <c r="C100" s="17">
        <f>'pengestrom_raw_38454218'!$C$2</f>
        <v/>
      </c>
      <c r="D100" s="17">
        <f>'pengestrom_raw_38454218'!$D$2</f>
        <v/>
      </c>
      <c r="E100" s="17">
        <f>'pengestrom_raw_38454218'!$E$2</f>
        <v/>
      </c>
      <c r="F100" s="17">
        <f>'pengestrom_raw_38454218'!$F$2</f>
        <v/>
      </c>
    </row>
    <row r="101">
      <c r="A101" s="16" t="inlineStr">
        <is>
          <t>Pengestrømme fra investeringsaktivitet</t>
        </is>
      </c>
      <c r="B101" s="17">
        <f>'pengestrom_raw_38454218'!$B$3</f>
        <v/>
      </c>
      <c r="C101" s="17">
        <f>'pengestrom_raw_38454218'!$C$3</f>
        <v/>
      </c>
      <c r="D101" s="17">
        <f>'pengestrom_raw_38454218'!$D$3</f>
        <v/>
      </c>
      <c r="E101" s="17">
        <f>'pengestrom_raw_38454218'!$E$3</f>
        <v/>
      </c>
      <c r="F101" s="17">
        <f>'pengestrom_raw_38454218'!$F$3</f>
        <v/>
      </c>
    </row>
    <row r="102">
      <c r="A102" s="16" t="inlineStr">
        <is>
          <t>Pengestrømme fra finansieringsaktivitet</t>
        </is>
      </c>
      <c r="B102" s="17">
        <f>'pengestrom_raw_38454218'!$B$4</f>
        <v/>
      </c>
      <c r="C102" s="17">
        <f>'pengestrom_raw_38454218'!$C$4</f>
        <v/>
      </c>
      <c r="D102" s="17">
        <f>'pengestrom_raw_38454218'!$D$4</f>
        <v/>
      </c>
      <c r="E102" s="17">
        <f>'pengestrom_raw_38454218'!$E$4</f>
        <v/>
      </c>
      <c r="F102" s="17">
        <f>'pengestrom_raw_38454218'!$F$4</f>
        <v/>
      </c>
    </row>
    <row r="103">
      <c r="A103" s="16" t="inlineStr">
        <is>
          <t>Årets pengestrøm (rapporteret)</t>
        </is>
      </c>
      <c r="B103" s="17">
        <f>'pengestrom_raw_38454218'!$B$5</f>
        <v/>
      </c>
      <c r="C103" s="17">
        <f>'pengestrom_raw_38454218'!$C$5</f>
        <v/>
      </c>
      <c r="D103" s="17">
        <f>'pengestrom_raw_38454218'!$D$5</f>
        <v/>
      </c>
      <c r="E103" s="17">
        <f>'pengestrom_raw_38454218'!$E$5</f>
        <v/>
      </c>
      <c r="F103" s="17">
        <f>'pengestrom_raw_38454218'!$F$5</f>
        <v/>
      </c>
    </row>
    <row r="104">
      <c r="A104" s="16" t="inlineStr">
        <is>
          <t>Krydstjek: drift + inv. + fin. = årets pengestrøm</t>
        </is>
      </c>
      <c r="B104">
        <f>IF(ABS(('pengestrom_raw_38454218'!$B$2+'pengestrom_raw_38454218'!$B$3+'pengestrom_raw_38454218'!$B$4)-'pengestrom_raw_38454218'!$B$5)&lt;=2,"✓","⚠ "&amp;TEXT(('pengestrom_raw_38454218'!$B$2+'pengestrom_raw_38454218'!$B$3+'pengestrom_raw_38454218'!$B$4)-'pengestrom_raw_38454218'!$B$5,"+#,##0;-#,##0"))</f>
        <v/>
      </c>
      <c r="C104">
        <f>IF(ABS(('pengestrom_raw_38454218'!$C$2+'pengestrom_raw_38454218'!$C$3+'pengestrom_raw_38454218'!$C$4)-'pengestrom_raw_38454218'!$C$5)&lt;=2,"✓","⚠ "&amp;TEXT(('pengestrom_raw_38454218'!$C$2+'pengestrom_raw_38454218'!$C$3+'pengestrom_raw_38454218'!$C$4)-'pengestrom_raw_38454218'!$C$5,"+#,##0;-#,##0"))</f>
        <v/>
      </c>
      <c r="D104">
        <f>IF(ABS(('pengestrom_raw_38454218'!$D$2+'pengestrom_raw_38454218'!$D$3+'pengestrom_raw_38454218'!$D$4)-'pengestrom_raw_38454218'!$D$5)&lt;=2,"✓","⚠ "&amp;TEXT(('pengestrom_raw_38454218'!$D$2+'pengestrom_raw_38454218'!$D$3+'pengestrom_raw_38454218'!$D$4)-'pengestrom_raw_38454218'!$D$5,"+#,##0;-#,##0"))</f>
        <v/>
      </c>
      <c r="E104">
        <f>IF(ABS(('pengestrom_raw_38454218'!$E$2+'pengestrom_raw_38454218'!$E$3+'pengestrom_raw_38454218'!$E$4)-'pengestrom_raw_38454218'!$E$5)&lt;=2,"✓","⚠ "&amp;TEXT(('pengestrom_raw_38454218'!$E$2+'pengestrom_raw_38454218'!$E$3+'pengestrom_raw_38454218'!$E$4)-'pengestrom_raw_38454218'!$E$5,"+#,##0;-#,##0"))</f>
        <v/>
      </c>
      <c r="F104">
        <f>IF(ABS(('pengestrom_raw_38454218'!$F$2+'pengestrom_raw_38454218'!$F$3+'pengestrom_raw_38454218'!$F$4)-'pengestrom_raw_38454218'!$F$5)&lt;=2,"✓","⚠ "&amp;TEXT(('pengestrom_raw_38454218'!$F$2+'pengestrom_raw_38454218'!$F$3+'pengestrom_raw_38454218'!$F$4)-'pengestrom_raw_38454218'!$F$5,"+#,##0;-#,##0"))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Ege Carpets A/S (CVR 38454218)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914782</v>
      </c>
      <c r="C2" s="17" t="n">
        <v>1085311</v>
      </c>
      <c r="D2" s="17" t="n">
        <v>1163438</v>
      </c>
      <c r="E2" s="17" t="n">
        <v>1206251</v>
      </c>
      <c r="F2" s="17" t="n">
        <v>1117170</v>
      </c>
    </row>
    <row r="3">
      <c r="A3" s="16" t="inlineStr">
        <is>
          <t>Andre driftsindtægter</t>
        </is>
      </c>
      <c r="B3" s="17" t="n">
        <v>28314</v>
      </c>
      <c r="C3" s="17" t="n">
        <v>8092</v>
      </c>
      <c r="D3" s="17" t="n">
        <v>2125</v>
      </c>
      <c r="E3" s="17" t="n">
        <v>6209</v>
      </c>
      <c r="F3" s="17" t="n">
        <v>7382</v>
      </c>
    </row>
    <row r="4">
      <c r="A4" s="16" t="inlineStr">
        <is>
          <t>Vareforbrug</t>
        </is>
      </c>
      <c r="B4" s="17" t="n">
        <v>-19465</v>
      </c>
      <c r="C4" s="17" t="n">
        <v>5485</v>
      </c>
      <c r="D4" s="17" t="n">
        <v>5338</v>
      </c>
      <c r="E4" s="17" t="n">
        <v>9345</v>
      </c>
      <c r="F4" s="17" t="n">
        <v>-27072</v>
      </c>
    </row>
    <row r="5">
      <c r="A5" s="16" t="inlineStr">
        <is>
          <t>Andre eksterne omkostninger</t>
        </is>
      </c>
      <c r="B5" s="17" t="n">
        <v>167793</v>
      </c>
      <c r="C5" s="17" t="n">
        <v>198109</v>
      </c>
      <c r="D5" s="17" t="n">
        <v>227501</v>
      </c>
      <c r="E5" s="17" t="n">
        <v>234577</v>
      </c>
      <c r="F5" s="17" t="n">
        <v>237019</v>
      </c>
    </row>
    <row r="6">
      <c r="A6" s="15" t="inlineStr">
        <is>
          <t>Bruttoresultat</t>
        </is>
      </c>
      <c r="B6" s="17" t="n">
        <v>358098</v>
      </c>
      <c r="C6" s="17" t="n">
        <v>419993</v>
      </c>
      <c r="D6" s="17" t="n">
        <v>427505</v>
      </c>
      <c r="E6" s="17" t="n">
        <v>446207</v>
      </c>
      <c r="F6" s="17" t="n">
        <v>433126</v>
      </c>
    </row>
    <row r="7">
      <c r="A7" s="16" t="inlineStr">
        <is>
          <t>Personaleomkostninger</t>
        </is>
      </c>
      <c r="B7" s="17" t="n">
        <v>311001</v>
      </c>
      <c r="C7" s="17" t="n">
        <v>334555</v>
      </c>
      <c r="D7" s="17" t="n">
        <v>303417</v>
      </c>
      <c r="E7" s="17" t="n">
        <v>317166</v>
      </c>
      <c r="F7" s="17" t="n">
        <v>336217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71169</v>
      </c>
      <c r="C9" s="17" t="n">
        <v>69425</v>
      </c>
      <c r="D9" s="17" t="n">
        <v>65798</v>
      </c>
      <c r="E9" s="17" t="n">
        <v>64117</v>
      </c>
      <c r="F9" s="17" t="n">
        <v>64058</v>
      </c>
    </row>
    <row r="10">
      <c r="A10" s="16" t="inlineStr">
        <is>
          <t>Andre driftsomkostninger</t>
        </is>
      </c>
      <c r="B10" s="17" t="n">
        <v>319</v>
      </c>
      <c r="C10" s="17" t="n">
        <v>4394</v>
      </c>
      <c r="D10" s="17" t="n">
        <v>3406</v>
      </c>
      <c r="E10" s="17" t="n">
        <v>1319</v>
      </c>
      <c r="F10" s="17" t="n">
        <v>3699</v>
      </c>
    </row>
    <row r="11">
      <c r="A11" s="15" t="inlineStr">
        <is>
          <t>Resultat af primær drift</t>
        </is>
      </c>
      <c r="B11" s="17" t="n">
        <v>13970</v>
      </c>
      <c r="C11" s="17" t="n">
        <v>19711</v>
      </c>
      <c r="D11" s="17" t="n">
        <v>57009</v>
      </c>
      <c r="E11" s="17" t="n">
        <v>69814</v>
      </c>
      <c r="F11" s="17" t="n">
        <v>36534</v>
      </c>
    </row>
    <row r="12">
      <c r="A12" s="16" t="inlineStr">
        <is>
          <t>Indtægter af kapitalandele, dattervirksomheder</t>
        </is>
      </c>
      <c r="B12" s="17" t="n">
        <v>34921</v>
      </c>
      <c r="C12" s="17" t="n">
        <v>7689</v>
      </c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501</v>
      </c>
      <c r="C13" s="17" t="n">
        <v>1142</v>
      </c>
      <c r="D13" s="17" t="n">
        <v>184</v>
      </c>
      <c r="E13" s="17" t="n">
        <v>2094</v>
      </c>
      <c r="F13" s="17" t="n">
        <v>1648</v>
      </c>
    </row>
    <row r="14">
      <c r="A14" s="16" t="inlineStr">
        <is>
          <t>Finansielle omkostninger</t>
        </is>
      </c>
      <c r="B14" s="17" t="n">
        <v>7066</v>
      </c>
      <c r="C14" s="17" t="n">
        <v>7309</v>
      </c>
      <c r="D14" s="17" t="n">
        <v>6232</v>
      </c>
      <c r="E14" s="17" t="n">
        <v>8737</v>
      </c>
      <c r="F14" s="17" t="n">
        <v>9703</v>
      </c>
    </row>
    <row r="15">
      <c r="A15" s="15" t="inlineStr">
        <is>
          <t>Finansielle poster, netto</t>
        </is>
      </c>
      <c r="B15" s="17" t="n">
        <v>-7000</v>
      </c>
      <c r="C15" s="17" t="n">
        <v>-7000</v>
      </c>
      <c r="D15" s="17" t="n">
        <v>-7000</v>
      </c>
      <c r="E15" s="17" t="n"/>
      <c r="F15" s="17" t="n"/>
    </row>
    <row r="16">
      <c r="A16" s="15" t="inlineStr">
        <is>
          <t>Resultat før skat</t>
        </is>
      </c>
      <c r="B16" s="17" t="n">
        <v>6684</v>
      </c>
      <c r="C16" s="17" t="n">
        <v>12782</v>
      </c>
      <c r="D16" s="17" t="n">
        <v>50344</v>
      </c>
      <c r="E16" s="17" t="n">
        <v>61886</v>
      </c>
      <c r="F16" s="17" t="n">
        <v>28683</v>
      </c>
    </row>
    <row r="17">
      <c r="A17" s="16" t="inlineStr">
        <is>
          <t>Skat af årets resultat</t>
        </is>
      </c>
      <c r="B17" s="17" t="n">
        <v>6118</v>
      </c>
      <c r="C17" s="17" t="n">
        <v>15200</v>
      </c>
      <c r="D17" s="17" t="n">
        <v>12699</v>
      </c>
      <c r="E17" s="17" t="n">
        <v>18618</v>
      </c>
      <c r="F17" s="17" t="n">
        <v>10284</v>
      </c>
    </row>
    <row r="18">
      <c r="A18" s="15" t="inlineStr">
        <is>
          <t>Årets resultat</t>
        </is>
      </c>
      <c r="B18" s="17" t="n">
        <v>566</v>
      </c>
      <c r="C18" s="17" t="n">
        <v>-2418</v>
      </c>
      <c r="D18" s="17" t="n">
        <v>37645</v>
      </c>
      <c r="E18" s="17" t="n">
        <v>43268</v>
      </c>
      <c r="F18" s="17" t="n">
        <v>18399</v>
      </c>
    </row>
    <row r="19">
      <c r="A19" s="16" t="inlineStr">
        <is>
          <t>Gns. antal medarbejdere</t>
        </is>
      </c>
      <c r="B19" s="17" t="n">
        <v>616</v>
      </c>
      <c r="C19" s="17" t="n">
        <v>587</v>
      </c>
      <c r="D19" s="17" t="n">
        <v>578</v>
      </c>
      <c r="E19" s="17" t="n">
        <v>605</v>
      </c>
      <c r="F19" s="17" t="n">
        <v>555</v>
      </c>
    </row>
    <row r="20">
      <c r="A20" s="16" t="inlineStr">
        <is>
          <t>Investering i materielle anlægsaktiver</t>
        </is>
      </c>
      <c r="B20" s="17" t="n">
        <v>12000</v>
      </c>
      <c r="C20" s="17" t="n">
        <v>20000</v>
      </c>
      <c r="D20" s="17" t="n">
        <v>31000</v>
      </c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Ege Carpets A/S (CVR 38454218)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40291</v>
      </c>
      <c r="C2" s="17" t="n">
        <v>33782</v>
      </c>
      <c r="D2" s="17" t="n">
        <v>29009</v>
      </c>
      <c r="E2" s="17" t="n">
        <v>21264</v>
      </c>
      <c r="F2" s="17" t="n">
        <v>20875</v>
      </c>
    </row>
    <row r="3">
      <c r="A3" s="16" t="inlineStr">
        <is>
          <t>Patenter, varemærker mv.</t>
        </is>
      </c>
      <c r="B3" s="17" t="n">
        <v>1831</v>
      </c>
      <c r="C3" s="17" t="n">
        <v>3646</v>
      </c>
      <c r="D3" s="17" t="n"/>
      <c r="E3" s="17" t="n">
        <v>312</v>
      </c>
      <c r="F3" s="17" t="n">
        <v>0</v>
      </c>
    </row>
    <row r="4">
      <c r="A4" s="16" t="inlineStr">
        <is>
          <t>Goodwill</t>
        </is>
      </c>
      <c r="B4" s="17" t="n">
        <v>69050</v>
      </c>
      <c r="C4" s="17" t="n">
        <v>56069</v>
      </c>
      <c r="D4" s="17" t="n">
        <v>43088</v>
      </c>
      <c r="E4" s="17" t="n">
        <v>30106</v>
      </c>
      <c r="F4" s="17" t="n">
        <v>17125</v>
      </c>
    </row>
    <row r="5">
      <c r="A5" s="15" t="inlineStr">
        <is>
          <t>Immaterielle anlægsaktiver</t>
        </is>
      </c>
      <c r="B5" s="17" t="n">
        <v>112386</v>
      </c>
      <c r="C5" s="17" t="n">
        <v>94355</v>
      </c>
      <c r="D5" s="17" t="n">
        <v>75320</v>
      </c>
      <c r="E5" s="17" t="n">
        <v>52519</v>
      </c>
      <c r="F5" s="17" t="n">
        <v>38938</v>
      </c>
    </row>
    <row r="6">
      <c r="A6" s="16" t="inlineStr">
        <is>
          <t>Grunde og bygninger</t>
        </is>
      </c>
      <c r="B6" s="17" t="n">
        <v>219538</v>
      </c>
      <c r="C6" s="17" t="n">
        <v>208891</v>
      </c>
      <c r="D6" s="17" t="n">
        <v>199143</v>
      </c>
      <c r="E6" s="17" t="n">
        <v>214514</v>
      </c>
      <c r="F6" s="17" t="n">
        <v>236069</v>
      </c>
    </row>
    <row r="7">
      <c r="A7" s="16" t="inlineStr">
        <is>
          <t>Produktionsanlæg og maskiner</t>
        </is>
      </c>
      <c r="B7" s="17" t="n">
        <v>153962</v>
      </c>
      <c r="C7" s="17" t="n">
        <v>123350</v>
      </c>
      <c r="D7" s="17" t="n">
        <v>102604</v>
      </c>
      <c r="E7" s="17" t="n">
        <v>100519</v>
      </c>
      <c r="F7" s="17" t="n">
        <v>92065</v>
      </c>
    </row>
    <row r="8">
      <c r="A8" s="16" t="inlineStr">
        <is>
          <t>Driftsmateriel og inventar</t>
        </is>
      </c>
      <c r="B8" s="17" t="n">
        <v>23965</v>
      </c>
      <c r="C8" s="17" t="n">
        <v>19898</v>
      </c>
      <c r="D8" s="17" t="n">
        <v>16311</v>
      </c>
      <c r="E8" s="17" t="n">
        <v>21007</v>
      </c>
      <c r="F8" s="17" t="n">
        <v>22237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8543</v>
      </c>
      <c r="C10" s="17" t="n">
        <v>20132</v>
      </c>
      <c r="D10" s="17" t="n">
        <v>37548</v>
      </c>
      <c r="E10" s="17" t="n">
        <v>34058</v>
      </c>
      <c r="F10" s="17" t="n">
        <v>5313</v>
      </c>
    </row>
    <row r="11">
      <c r="A11" s="15" t="inlineStr">
        <is>
          <t>Materielle anlægsaktiver</t>
        </is>
      </c>
      <c r="B11" s="17" t="n">
        <v>406008</v>
      </c>
      <c r="C11" s="17" t="n">
        <v>372271</v>
      </c>
      <c r="D11" s="17" t="n">
        <v>355606</v>
      </c>
      <c r="E11" s="17" t="n">
        <v>370099</v>
      </c>
      <c r="F11" s="17" t="n">
        <v>355684</v>
      </c>
    </row>
    <row r="12">
      <c r="A12" s="16" t="inlineStr">
        <is>
          <t>Kapitalandele, dattervirksomheder</t>
        </is>
      </c>
      <c r="B12" s="17" t="n">
        <v>24267</v>
      </c>
      <c r="C12" s="17" t="n">
        <v>23504</v>
      </c>
      <c r="D12" s="17" t="n">
        <v>22887</v>
      </c>
      <c r="E12" s="17" t="n">
        <v>21602</v>
      </c>
      <c r="F12" s="17" t="n">
        <v>21805</v>
      </c>
    </row>
    <row r="13">
      <c r="A13" s="16" t="inlineStr">
        <is>
          <t>Deposita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>
        <v>24267</v>
      </c>
      <c r="C14" s="17" t="n">
        <v>23504</v>
      </c>
      <c r="D14" s="17" t="n">
        <v>22887</v>
      </c>
      <c r="E14" s="17" t="n">
        <v>21602</v>
      </c>
      <c r="F14" s="17" t="n">
        <v>21805</v>
      </c>
    </row>
    <row r="15">
      <c r="A15" s="15" t="inlineStr">
        <is>
          <t>Anlægsaktiver</t>
        </is>
      </c>
      <c r="B15" s="17" t="n">
        <v>542661</v>
      </c>
      <c r="C15" s="17" t="n">
        <v>490130</v>
      </c>
      <c r="D15" s="17" t="n">
        <v>453813</v>
      </c>
      <c r="E15" s="17" t="n">
        <v>444220</v>
      </c>
      <c r="F15" s="17" t="n">
        <v>416427</v>
      </c>
    </row>
    <row r="16">
      <c r="A16" s="16" t="inlineStr">
        <is>
          <t>Råvarer og hjælpematerialer</t>
        </is>
      </c>
      <c r="B16" s="17" t="n">
        <v>108315</v>
      </c>
      <c r="C16" s="17" t="n">
        <v>118521</v>
      </c>
      <c r="D16" s="17" t="n">
        <v>118870</v>
      </c>
      <c r="E16" s="17" t="n">
        <v>110944</v>
      </c>
      <c r="F16" s="17" t="n">
        <v>107894</v>
      </c>
    </row>
    <row r="17">
      <c r="A17" s="16" t="inlineStr">
        <is>
          <t>Varer under fremstilling</t>
        </is>
      </c>
      <c r="B17" s="17" t="n">
        <v>56100</v>
      </c>
      <c r="C17" s="17" t="n">
        <v>57877</v>
      </c>
      <c r="D17" s="17" t="n">
        <v>64788</v>
      </c>
      <c r="E17" s="17" t="n">
        <v>59925</v>
      </c>
      <c r="F17" s="17" t="n">
        <v>56861</v>
      </c>
    </row>
    <row r="18">
      <c r="A18" s="16" t="inlineStr">
        <is>
          <t>Færdigvarer og handelsvarer</t>
        </is>
      </c>
      <c r="B18" s="17" t="n">
        <v>111955</v>
      </c>
      <c r="C18" s="17" t="n">
        <v>115663</v>
      </c>
      <c r="D18" s="17" t="n">
        <v>114090</v>
      </c>
      <c r="E18" s="17" t="n">
        <v>128299</v>
      </c>
      <c r="F18" s="17" t="n">
        <v>158434</v>
      </c>
    </row>
    <row r="19">
      <c r="A19" s="15" t="inlineStr">
        <is>
          <t>Varebeholdninger</t>
        </is>
      </c>
      <c r="B19" s="17" t="n">
        <v>276370</v>
      </c>
      <c r="C19" s="17" t="n">
        <v>292061</v>
      </c>
      <c r="D19" s="17" t="n">
        <v>297748</v>
      </c>
      <c r="E19" s="17" t="n">
        <v>299167</v>
      </c>
      <c r="F19" s="17" t="n">
        <v>323189</v>
      </c>
    </row>
    <row r="20">
      <c r="A20" s="16" t="inlineStr">
        <is>
          <t>Tilgodehavender fra salg og tjenesteydelser</t>
        </is>
      </c>
      <c r="B20" s="17" t="n">
        <v>111880</v>
      </c>
      <c r="C20" s="17" t="n">
        <v>123931</v>
      </c>
      <c r="D20" s="17" t="n">
        <v>144078</v>
      </c>
      <c r="E20" s="17" t="n">
        <v>155320</v>
      </c>
      <c r="F20" s="17" t="n">
        <v>127243</v>
      </c>
    </row>
    <row r="21">
      <c r="A21" s="16" t="inlineStr">
        <is>
          <t>Tilgodehavender hos tilknyttede virksomheder</t>
        </is>
      </c>
      <c r="B21" s="17" t="n">
        <v>39909</v>
      </c>
      <c r="C21" s="17" t="n">
        <v>0</v>
      </c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18777</v>
      </c>
      <c r="C22" s="17" t="n">
        <v>12136</v>
      </c>
      <c r="D22" s="17" t="n">
        <v>8648</v>
      </c>
      <c r="E22" s="17" t="n">
        <v>17386</v>
      </c>
      <c r="F22" s="17" t="n">
        <v>15701</v>
      </c>
    </row>
    <row r="23">
      <c r="A23" s="16" t="inlineStr">
        <is>
          <t>Periodeafgrænsningsposter (aktiver)</t>
        </is>
      </c>
      <c r="B23" s="17" t="n">
        <v>13669</v>
      </c>
      <c r="C23" s="17" t="n">
        <v>21021</v>
      </c>
      <c r="D23" s="17" t="n">
        <v>18014</v>
      </c>
      <c r="E23" s="17" t="n">
        <v>15594</v>
      </c>
      <c r="F23" s="17" t="n">
        <v>18341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144326</v>
      </c>
      <c r="C27" s="17" t="n">
        <v>157088</v>
      </c>
      <c r="D27" s="17" t="n">
        <v>170740</v>
      </c>
      <c r="E27" s="17" t="n">
        <v>188300</v>
      </c>
      <c r="F27" s="17" t="n">
        <v>162212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51026</v>
      </c>
      <c r="C29" s="17" t="n">
        <v>26170</v>
      </c>
      <c r="D29" s="17" t="n">
        <v>37671</v>
      </c>
      <c r="E29" s="17" t="n">
        <v>37005</v>
      </c>
      <c r="F29" s="17" t="n">
        <v>31983</v>
      </c>
    </row>
    <row r="30">
      <c r="A30" s="15" t="inlineStr">
        <is>
          <t>Omsætningsaktiver</t>
        </is>
      </c>
      <c r="B30" s="17" t="n">
        <v>471722</v>
      </c>
      <c r="C30" s="17" t="n">
        <v>475319</v>
      </c>
      <c r="D30" s="17" t="n">
        <v>506159</v>
      </c>
      <c r="E30" s="17" t="n">
        <v>524472</v>
      </c>
      <c r="F30" s="17" t="n">
        <v>517385</v>
      </c>
    </row>
    <row r="31">
      <c r="A31" s="15" t="inlineStr">
        <is>
          <t>Aktiver</t>
        </is>
      </c>
      <c r="B31" s="17" t="n">
        <v>1014383</v>
      </c>
      <c r="C31" s="17" t="n">
        <v>965449</v>
      </c>
      <c r="D31" s="17" t="n">
        <v>959972</v>
      </c>
      <c r="E31" s="17" t="n">
        <v>968693</v>
      </c>
      <c r="F31" s="17" t="n">
        <v>933811</v>
      </c>
    </row>
    <row r="32">
      <c r="A32" s="16" t="inlineStr">
        <is>
          <t>Selskabskapital</t>
        </is>
      </c>
      <c r="B32" s="17" t="n">
        <v>23852</v>
      </c>
      <c r="C32" s="17" t="n">
        <v>23852</v>
      </c>
      <c r="D32" s="17" t="n">
        <v>23852</v>
      </c>
      <c r="E32" s="17" t="n">
        <v>23852</v>
      </c>
      <c r="F32" s="17" t="n">
        <v>23852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36980</v>
      </c>
      <c r="C34" s="17" t="n">
        <v>26391</v>
      </c>
      <c r="D34" s="17" t="n">
        <v>23025</v>
      </c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>
        <v>16585</v>
      </c>
      <c r="F36" s="17" t="n">
        <v>16282</v>
      </c>
    </row>
    <row r="37">
      <c r="A37" s="16" t="inlineStr">
        <is>
          <t>Overført resultat</t>
        </is>
      </c>
      <c r="B37" s="17" t="n">
        <v>408551</v>
      </c>
      <c r="C37" s="17" t="n">
        <v>396860</v>
      </c>
      <c r="D37" s="17" t="n">
        <v>416442</v>
      </c>
      <c r="E37" s="17" t="n">
        <v>435510</v>
      </c>
      <c r="F37" s="17" t="n">
        <v>439989</v>
      </c>
    </row>
    <row r="38">
      <c r="A38" s="15" t="inlineStr">
        <is>
          <t>Egenkapital i alt</t>
        </is>
      </c>
      <c r="B38" s="17" t="n">
        <v>432403</v>
      </c>
      <c r="C38" s="17" t="n">
        <v>430712</v>
      </c>
      <c r="D38" s="17" t="n">
        <v>455294</v>
      </c>
      <c r="E38" s="17" t="n">
        <v>479362</v>
      </c>
      <c r="F38" s="17" t="n">
        <v>478841</v>
      </c>
    </row>
    <row r="39">
      <c r="A39" s="16" t="inlineStr">
        <is>
          <t>Ansvarlig lånekapital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Langfristede lån</t>
        </is>
      </c>
      <c r="B40" s="17" t="n">
        <v>213015</v>
      </c>
      <c r="C40" s="17" t="n">
        <v>194971</v>
      </c>
      <c r="D40" s="17" t="n">
        <v>176128</v>
      </c>
      <c r="E40" s="17" t="n">
        <v>147969</v>
      </c>
      <c r="F40" s="17" t="n">
        <v>134002</v>
      </c>
    </row>
    <row r="41">
      <c r="A41" s="16" t="inlineStr">
        <is>
          <t>Leasingforpligtelser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Anden gæld (langfristet)</t>
        </is>
      </c>
      <c r="B42" s="17" t="n">
        <v>17063</v>
      </c>
      <c r="C42" s="17" t="n">
        <v>16864</v>
      </c>
      <c r="D42" s="17" t="n"/>
      <c r="E42" s="17" t="n"/>
      <c r="F42" s="17" t="n"/>
    </row>
    <row r="43">
      <c r="A43" s="15" t="inlineStr">
        <is>
          <t>Langfristede gældsforpligtelser</t>
        </is>
      </c>
      <c r="B43" s="17" t="n">
        <v>260783</v>
      </c>
      <c r="C43" s="17" t="n">
        <v>242353</v>
      </c>
      <c r="D43" s="17" t="n">
        <v>228065</v>
      </c>
      <c r="E43" s="17" t="n">
        <v>200037</v>
      </c>
      <c r="F43" s="17" t="n">
        <v>186317</v>
      </c>
    </row>
    <row r="44">
      <c r="A44" s="16" t="inlineStr">
        <is>
          <t>Ansvarlig lånekapital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Kortfristet del af langfristede gældsforpligtelser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Kreditinstitutter</t>
        </is>
      </c>
      <c r="B46" s="17" t="n">
        <v>29101</v>
      </c>
      <c r="C46" s="17" t="n">
        <v>66770</v>
      </c>
      <c r="D46" s="17" t="n">
        <v>45255</v>
      </c>
      <c r="E46" s="17" t="n">
        <v>56632</v>
      </c>
      <c r="F46" s="17" t="n">
        <v>81281</v>
      </c>
    </row>
    <row r="47">
      <c r="A47" s="16" t="inlineStr">
        <is>
          <t>Leasingforpligtelser (kortfristet)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Leverandører af varer og tjenesteydelser</t>
        </is>
      </c>
      <c r="B48" s="17" t="n">
        <v>66776</v>
      </c>
      <c r="C48" s="17" t="n">
        <v>98166</v>
      </c>
      <c r="D48" s="17" t="n">
        <v>107158</v>
      </c>
      <c r="E48" s="17" t="n">
        <v>111823</v>
      </c>
      <c r="F48" s="17" t="n">
        <v>96067</v>
      </c>
    </row>
    <row r="49">
      <c r="A49" s="16" t="inlineStr">
        <is>
          <t>Gæld til tilknyttede virksomheder</t>
        </is>
      </c>
      <c r="B49" s="17" t="n">
        <v>163003</v>
      </c>
      <c r="C49" s="17" t="n">
        <v>182575</v>
      </c>
      <c r="D49" s="17" t="n"/>
      <c r="E49" s="17" t="n">
        <v>163513</v>
      </c>
      <c r="F49" s="17" t="n">
        <v>153558</v>
      </c>
    </row>
    <row r="50">
      <c r="A50" s="16" t="inlineStr">
        <is>
          <t>Gæld til selskabsdeltagere og ledelse</t>
        </is>
      </c>
      <c r="B50" s="17" t="n">
        <v>10782</v>
      </c>
      <c r="C50" s="17" t="n">
        <v>6558</v>
      </c>
      <c r="D50" s="17" t="n">
        <v>23623</v>
      </c>
      <c r="E50" s="17" t="n">
        <v>2952</v>
      </c>
      <c r="F50" s="17" t="n">
        <v>0</v>
      </c>
    </row>
    <row r="51">
      <c r="A51" s="16" t="inlineStr">
        <is>
          <t>Selskabsskat</t>
        </is>
      </c>
      <c r="B51" s="17" t="n"/>
      <c r="C51" s="17" t="n"/>
      <c r="D51" s="17" t="n"/>
      <c r="E51" s="17" t="n">
        <v>8587</v>
      </c>
      <c r="F51" s="17" t="n">
        <v>6502</v>
      </c>
    </row>
    <row r="52">
      <c r="A52" s="16" t="inlineStr">
        <is>
          <t>Gæld til tilknyttede virksomheder vedr. selskabsskat</t>
        </is>
      </c>
      <c r="B52" s="17" t="n">
        <v>5070</v>
      </c>
      <c r="C52" s="17" t="n">
        <v>4661</v>
      </c>
      <c r="D52" s="17" t="n">
        <v>634</v>
      </c>
      <c r="E52" s="17" t="n">
        <v>15204</v>
      </c>
      <c r="F52" s="17" t="n">
        <v>11011</v>
      </c>
    </row>
    <row r="53">
      <c r="A53" s="16" t="inlineStr">
        <is>
          <t>Anden gæld (kortfristet)</t>
        </is>
      </c>
      <c r="B53" s="17" t="n">
        <v>195742</v>
      </c>
      <c r="C53" s="17" t="n">
        <v>99053</v>
      </c>
      <c r="D53" s="17" t="n">
        <v>85995</v>
      </c>
      <c r="E53" s="17" t="n">
        <v>92420</v>
      </c>
      <c r="F53" s="17" t="n">
        <v>72513</v>
      </c>
    </row>
    <row r="54">
      <c r="A54" s="16" t="inlineStr">
        <is>
          <t>Periodeafgrænsningsposter (passiver)</t>
        </is>
      </c>
      <c r="B54" s="17" t="n">
        <v>11893</v>
      </c>
      <c r="C54" s="17" t="n">
        <v>14954</v>
      </c>
      <c r="D54" s="17" t="n">
        <v>12641</v>
      </c>
      <c r="E54" s="17" t="n">
        <v>10263</v>
      </c>
      <c r="F54" s="17" t="n">
        <v>7781</v>
      </c>
    </row>
    <row r="55">
      <c r="A55" s="15" t="inlineStr">
        <is>
          <t>Kortfristede gældsforpligtelser</t>
        </is>
      </c>
      <c r="B55" s="17" t="n">
        <v>321197</v>
      </c>
      <c r="C55" s="17" t="n">
        <v>292384</v>
      </c>
      <c r="D55" s="17" t="n">
        <v>276613</v>
      </c>
      <c r="E55" s="17" t="n">
        <v>289294</v>
      </c>
      <c r="F55" s="17" t="n">
        <v>268653</v>
      </c>
    </row>
    <row r="56">
      <c r="A56" s="15" t="inlineStr">
        <is>
          <t>Gældsforpligtelser</t>
        </is>
      </c>
      <c r="B56" s="17" t="n">
        <v>581980</v>
      </c>
      <c r="C56" s="17" t="n">
        <v>534737</v>
      </c>
      <c r="D56" s="17" t="n">
        <v>504678</v>
      </c>
      <c r="E56" s="17" t="n">
        <v>489330</v>
      </c>
      <c r="F56" s="17" t="n">
        <v>454970</v>
      </c>
    </row>
    <row r="57">
      <c r="A57" s="15" t="inlineStr">
        <is>
          <t>Passiver</t>
        </is>
      </c>
      <c r="B57" s="17" t="n">
        <v>1014383</v>
      </c>
      <c r="C57" s="17" t="n">
        <v>965449</v>
      </c>
      <c r="D57" s="17" t="n">
        <v>959972</v>
      </c>
      <c r="E57" s="17" t="n">
        <v>968693</v>
      </c>
      <c r="F57" s="17" t="n">
        <v>933811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Ege Carpets A/S (CVR 38454218)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119269</v>
      </c>
      <c r="C2" s="17" t="n">
        <v>114854</v>
      </c>
      <c r="D2" s="17" t="n">
        <v>89211</v>
      </c>
      <c r="E2" s="17" t="n">
        <v>110318</v>
      </c>
      <c r="F2" s="17" t="n">
        <v>56135</v>
      </c>
    </row>
    <row r="3">
      <c r="A3" s="16" t="inlineStr">
        <is>
          <t>Pengestrømme fra investeringsaktivitet</t>
        </is>
      </c>
      <c r="B3" s="17" t="n">
        <v>-13031</v>
      </c>
      <c r="C3" s="17" t="n">
        <v>-20491</v>
      </c>
      <c r="D3" s="17" t="n">
        <v>-31890</v>
      </c>
      <c r="E3" s="17" t="n">
        <v>-54290</v>
      </c>
      <c r="F3" s="17" t="n">
        <v>-34917</v>
      </c>
    </row>
    <row r="4">
      <c r="A4" s="16" t="inlineStr">
        <is>
          <t>Pengestrømme fra finansieringsaktivitet</t>
        </is>
      </c>
      <c r="B4" s="17" t="n">
        <v>-66991</v>
      </c>
      <c r="C4" s="17" t="n">
        <v>-104088</v>
      </c>
      <c r="D4" s="17" t="n">
        <v>-33293</v>
      </c>
      <c r="E4" s="17" t="n">
        <v>-52453</v>
      </c>
      <c r="F4" s="17" t="n">
        <v>-12270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Ege Carpets A/S (CVR 38454218) — Regnskabs- og nøgletal (CVR: 38454218)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'res_raw_38454218'!$F$2</f>
        <v/>
      </c>
      <c r="C5" s="24">
        <f>'res_raw_38454218'!$E$2</f>
        <v/>
      </c>
      <c r="D5" s="24">
        <f>'res_raw_38454218'!$D$2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'res_raw_38454218'!$F$3</f>
        <v/>
      </c>
      <c r="C6" s="24">
        <f>'res_raw_38454218'!$E$3</f>
        <v/>
      </c>
      <c r="D6" s="24">
        <f>'res_raw_38454218'!$D$3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-'res_raw_38454218'!$F$4</f>
        <v/>
      </c>
      <c r="C7" s="24">
        <f>-'res_raw_38454218'!$E$4</f>
        <v/>
      </c>
      <c r="D7" s="24">
        <f>-'res_raw_38454218'!$D$4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-'res_raw_38454218'!$F$5</f>
        <v/>
      </c>
      <c r="C8" s="24">
        <f>-'res_raw_38454218'!$E$5</f>
        <v/>
      </c>
      <c r="D8" s="24">
        <f>-'res_raw_38454218'!$D$5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-'res_raw_38454218'!$F$7</f>
        <v/>
      </c>
      <c r="C10" s="24">
        <f>-'res_raw_38454218'!$E$7</f>
        <v/>
      </c>
      <c r="D10" s="24">
        <f>-'res_raw_38454218'!$D$7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-'res_raw_38454218'!$F$9</f>
        <v/>
      </c>
      <c r="C11" s="24">
        <f>-'res_raw_38454218'!$E$9</f>
        <v/>
      </c>
      <c r="D11" s="24">
        <f>-'res_raw_38454218'!$D$9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-'res_raw_38454218'!$F$10</f>
        <v/>
      </c>
      <c r="C12" s="24">
        <f>-'res_raw_38454218'!$E$10</f>
        <v/>
      </c>
      <c r="D12" s="24">
        <f>-'res_raw_38454218'!$D$10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N('res_raw_38454218'!$F$12)+N('res_raw_38454218'!$F$13)</f>
        <v/>
      </c>
      <c r="C14" s="24">
        <f>N('res_raw_38454218'!$E$12)+N('res_raw_38454218'!$E$13)</f>
        <v/>
      </c>
      <c r="D14" s="24">
        <f>N('res_raw_38454218'!$D$12)+N('res_raw_38454218'!$D$13)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-'res_raw_38454218'!$F$14</f>
        <v/>
      </c>
      <c r="C15" s="24">
        <f>-'res_raw_38454218'!$E$14</f>
        <v/>
      </c>
      <c r="D15" s="24">
        <f>-'res_raw_38454218'!$D$14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'balance_raw_38454218'!$F$15</f>
        <v/>
      </c>
      <c r="C19" s="24">
        <f>'balance_raw_38454218'!$E$15</f>
        <v/>
      </c>
      <c r="D19" s="24">
        <f>'balance_raw_38454218'!$D$15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'balance_raw_38454218'!$F$30</f>
        <v/>
      </c>
      <c r="C20" s="24">
        <f>'balance_raw_38454218'!$E$30</f>
        <v/>
      </c>
      <c r="D20" s="24">
        <f>'balance_raw_38454218'!$D$30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'balance_raw_38454218'!$F$38</f>
        <v/>
      </c>
      <c r="C23" s="24">
        <f>'balance_raw_38454218'!$E$38</f>
        <v/>
      </c>
      <c r="D23" s="24">
        <f>'balance_raw_38454218'!$D$38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'balance_raw_38454218'!$F$57-'balance_raw_38454218'!$F$38</f>
        <v/>
      </c>
      <c r="C24" s="24">
        <f>'balance_raw_38454218'!$E$57-'balance_raw_38454218'!$E$38</f>
        <v/>
      </c>
      <c r="D24" s="24">
        <f>'balance_raw_38454218'!$D$57-'balance_raw_38454218'!$D$38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'balance_raw_38454218'!$F$19</f>
        <v/>
      </c>
      <c r="C28" s="24">
        <f>'balance_raw_38454218'!$E$19</f>
        <v/>
      </c>
      <c r="D28" s="24">
        <f>'balance_raw_38454218'!$D$19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'balance_raw_38454218'!$F$20</f>
        <v/>
      </c>
      <c r="C29" s="24">
        <f>'balance_raw_38454218'!$E$20</f>
        <v/>
      </c>
      <c r="D29" s="24">
        <f>'balance_raw_38454218'!$D$20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'balance_raw_38454218'!$F$55</f>
        <v/>
      </c>
      <c r="C30" s="24">
        <f>'balance_raw_38454218'!$E$55</f>
        <v/>
      </c>
      <c r="D30" s="24">
        <f>'balance_raw_38454218'!$D$55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IF('balance_raw_38454218'!$F$31="","—",IF(ABS(B21-'balance_raw_38454218'!$F$31)&lt;=1,"✓ OK","❌ "&amp;TEXT(B21-'balance_raw_38454218'!$F$31,"+#,##0;-#,##0")&amp;" t.kr."))</f>
        <v/>
      </c>
      <c r="C61" s="29">
        <f>IF('balance_raw_38454218'!$E$31="","—",IF(ABS(C21-'balance_raw_38454218'!$E$31)&lt;=1,"✓ OK","❌ "&amp;TEXT(C21-'balance_raw_38454218'!$E$31,"+#,##0;-#,##0")&amp;" t.kr."))</f>
        <v/>
      </c>
      <c r="D61" s="29">
        <f>IF('balance_raw_38454218'!$D$31="","—",IF(ABS(D21-'balance_raw_38454218'!$D$31)&lt;=1,"✓ OK","❌ "&amp;TEXT(D21-'balance_raw_38454218'!$D$31,"+#,##0;-#,##0")&amp;"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IF('balance_raw_38454218'!$F$57="","—",IF(ABS(B25-'balance_raw_38454218'!$F$57)&lt;=1,"✓ OK","❌ "&amp;TEXT(B25-'balance_raw_38454218'!$F$57,"+#,##0;-#,##0")&amp;" t.kr."))</f>
        <v/>
      </c>
      <c r="C62" s="29">
        <f>IF('balance_raw_38454218'!$E$57="","—",IF(ABS(C25-'balance_raw_38454218'!$E$57)&lt;=1,"✓ OK","❌ "&amp;TEXT(C25-'balance_raw_38454218'!$E$57,"+#,##0;-#,##0")&amp;" t.kr."))</f>
        <v/>
      </c>
      <c r="D62" s="29">
        <f>IF('balance_raw_38454218'!$D$57="","—",IF(ABS(D25-'balance_raw_38454218'!$D$57)&lt;=1,"✓ OK","❌ "&amp;TEXT(D25-'balance_raw_38454218'!$D$57,"+#,##0;-#,##0")&amp;"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IF('res_raw_38454218'!$F$6="","—",IF(ABS(B9-'res_raw_38454218'!$F$6)&lt;=1,"✓ OK","❌ "&amp;TEXT(B9-'res_raw_38454218'!$F$6,"+#,##0;-#,##0")&amp;" t.kr."))</f>
        <v/>
      </c>
      <c r="C64" s="29">
        <f>IF('res_raw_38454218'!$E$6="","—",IF(ABS(C9-'res_raw_38454218'!$E$6)&lt;=1,"✓ OK","❌ "&amp;TEXT(C9-'res_raw_38454218'!$E$6,"+#,##0;-#,##0")&amp;" t.kr."))</f>
        <v/>
      </c>
      <c r="D64" s="29">
        <f>IF('res_raw_38454218'!$D$6="","—",IF(ABS(D9-'res_raw_38454218'!$D$6)&lt;=1,"✓ OK","❌ "&amp;TEXT(D9-'res_raw_38454218'!$D$6,"+#,##0;-#,##0")&amp;"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IF('res_raw_38454218'!$F$11="","—",IF(ABS(B13-'res_raw_38454218'!$F$11)&lt;=1,"✓ OK","❌ "&amp;TEXT(B13-'res_raw_38454218'!$F$11,"+#,##0;-#,##0")&amp;" t.kr."))</f>
        <v/>
      </c>
      <c r="C65" s="29">
        <f>IF('res_raw_38454218'!$E$11="","—",IF(ABS(C13-'res_raw_38454218'!$E$11)&lt;=1,"✓ OK","❌ "&amp;TEXT(C13-'res_raw_38454218'!$E$11,"+#,##0;-#,##0")&amp;" t.kr."))</f>
        <v/>
      </c>
      <c r="D65" s="29">
        <f>IF('res_raw_38454218'!$D$11="","—",IF(ABS(D13-'res_raw_38454218'!$D$11)&lt;=1,"✓ OK","❌ "&amp;TEXT(D13-'res_raw_38454218'!$D$11,"+#,##0;-#,##0")&amp;"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IF('res_raw_38454218'!$F$16="","—",IF(ABS(B16-'res_raw_38454218'!$F$16)&lt;=1,"✓ OK","❌ "&amp;TEXT(B16-'res_raw_38454218'!$F$16,"+#,##0;-#,##0")&amp;" t.kr."))</f>
        <v/>
      </c>
      <c r="C66" s="29">
        <f>IF('res_raw_38454218'!$E$16="","—",IF(ABS(C16-'res_raw_38454218'!$E$16)&lt;=1,"✓ OK","❌ "&amp;TEXT(C16-'res_raw_38454218'!$E$16,"+#,##0;-#,##0")&amp;" t.kr."))</f>
        <v/>
      </c>
      <c r="D66" s="29">
        <f>IF('res_raw_38454218'!$D$16="","—",IF(ABS(D16-'res_raw_38454218'!$D$16)&lt;=1,"✓ OK","❌ "&amp;TEXT(D16-'res_raw_38454218'!$D$16,"+#,##0;-#,##0")&amp;"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Ege Carpets A/S (CVR 38454218)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fsa:AdjustmentsOfDividendsFromAssociates</t>
        </is>
      </c>
      <c r="C3" s="34" t="inlineStr">
        <is>
          <t>fsa:AdjustmentsOfDividendsFromAssociates</t>
        </is>
      </c>
      <c r="D3" s="35" t="n"/>
      <c r="E3" s="35" t="n"/>
      <c r="F3" s="35" t="n">
        <v>-74198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fsa:AdjustmentsOfDividendsFromGroupEnterprises</t>
        </is>
      </c>
      <c r="C4" s="37" t="inlineStr">
        <is>
          <t>fsa:AdjustmentsOfDividendsFromGroupEnterprises</t>
        </is>
      </c>
      <c r="D4" s="38" t="n"/>
      <c r="E4" s="38" t="n"/>
      <c r="F4" s="38" t="n"/>
      <c r="G4" s="38" t="n">
        <v>-30598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fsa:CostsCashFlow</t>
        </is>
      </c>
      <c r="C5" s="34" t="inlineStr">
        <is>
          <t>fsa:CostsCashFlow</t>
        </is>
      </c>
      <c r="D5" s="35" t="n">
        <v>-926916</v>
      </c>
      <c r="E5" s="35" t="n">
        <v>-1072965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fsa:DecreaseOfCapital</t>
        </is>
      </c>
      <c r="C6" s="37" t="inlineStr">
        <is>
          <t>fsa:DecreaseOfCapital</t>
        </is>
      </c>
      <c r="D6" s="38" t="n">
        <v>2358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fsa:Dividend</t>
        </is>
      </c>
      <c r="C7" s="34" t="inlineStr">
        <is>
          <t>fsa:Dividend</t>
        </is>
      </c>
      <c r="D7" s="35" t="n"/>
      <c r="E7" s="35" t="n"/>
      <c r="F7" s="35" t="n">
        <v>10000</v>
      </c>
      <c r="G7" s="35" t="n">
        <v>15000</v>
      </c>
      <c r="H7" s="35" t="n">
        <v>20000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fsa:EmployeeExpensesTransferredToAssets</t>
        </is>
      </c>
      <c r="C8" s="37" t="inlineStr">
        <is>
          <t>fsa:EmployeeExpensesTransferredToAssets</t>
        </is>
      </c>
      <c r="D8" s="38" t="n">
        <v>-300954</v>
      </c>
      <c r="E8" s="38" t="n">
        <v>-334555</v>
      </c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fsa:LongtermTaxPayables</t>
        </is>
      </c>
      <c r="C9" s="34" t="inlineStr">
        <is>
          <t>fsa:LongtermTaxPayables</t>
        </is>
      </c>
      <c r="D9" s="35" t="n">
        <v>30705</v>
      </c>
      <c r="E9" s="35" t="n">
        <v>30518</v>
      </c>
      <c r="F9" s="35" t="n">
        <v>34878</v>
      </c>
      <c r="G9" s="35" t="n">
        <v>34460</v>
      </c>
      <c r="H9" s="35" t="n">
        <v>34722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fsa:PurchaseOfMinorityShares</t>
        </is>
      </c>
      <c r="C10" s="37" t="inlineStr">
        <is>
          <t>fsa:PurchaseOfMinorityShares</t>
        </is>
      </c>
      <c r="D10" s="38" t="n"/>
      <c r="E10" s="38" t="n"/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fsa:RaisingOfLongtermDebt</t>
        </is>
      </c>
      <c r="C11" s="34" t="inlineStr">
        <is>
          <t>fsa:RaisingOfLongtermDebt</t>
        </is>
      </c>
      <c r="D11" s="35" t="n">
        <v>57691</v>
      </c>
      <c r="E11" s="35" t="n">
        <v>26004</v>
      </c>
      <c r="F11" s="35" t="n">
        <v>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fsa:ShorttermPayablesToAssociates</t>
        </is>
      </c>
      <c r="C12" s="37" t="inlineStr">
        <is>
          <t>fsa:ShorttermPayablesToAssociates</t>
        </is>
      </c>
      <c r="D12" s="38" t="n"/>
      <c r="E12" s="38" t="n"/>
      <c r="F12" s="38" t="n">
        <v>136858</v>
      </c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fsa:ShorttermPayablesToJointVentures</t>
        </is>
      </c>
      <c r="C13" s="34" t="inlineStr">
        <is>
          <t>fsa:ShorttermPayablesToJointVentures</t>
        </is>
      </c>
      <c r="D13" s="35" t="n">
        <v>1833</v>
      </c>
      <c r="E13" s="35" t="n">
        <v>2222</v>
      </c>
      <c r="F13" s="35" t="n">
        <v>1307</v>
      </c>
      <c r="G13" s="35" t="n">
        <v>0</v>
      </c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fsa:ShorttermPayablesToParticipatingInterest</t>
        </is>
      </c>
      <c r="C14" s="37" t="inlineStr">
        <is>
          <t>fsa:ShorttermPayablesToParticipatingInterest</t>
        </is>
      </c>
      <c r="D14" s="38" t="n"/>
      <c r="E14" s="38" t="n"/>
      <c r="F14" s="38" t="n"/>
      <c r="G14" s="38" t="n">
        <v>2952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fsa:ShorttermReceivablesFromOwnersAndManagement</t>
        </is>
      </c>
      <c r="C15" s="34" t="inlineStr">
        <is>
          <t>fsa:ShorttermReceivablesFromOwnersAndManagement</t>
        </is>
      </c>
      <c r="D15" s="35" t="n"/>
      <c r="E15" s="35" t="n"/>
      <c r="F15" s="35" t="n"/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fsa:TrademarksOriginatingFromDevelopmentProjects</t>
        </is>
      </c>
      <c r="C16" s="37" t="inlineStr">
        <is>
          <t>fsa:TrademarksOriginatingFromDevelopmentProjects</t>
        </is>
      </c>
      <c r="D16" s="38" t="n"/>
      <c r="E16" s="38" t="n"/>
      <c r="F16" s="38" t="n">
        <v>2181</v>
      </c>
      <c r="G16" s="38" t="n"/>
      <c r="H16" s="38" t="n"/>
      <c r="I1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2026-09-09T19:22:43Z</dcterms:created>
  <dcterms:modified xmlns:dcterms="http://purl.org/dc/terms/" xmlns:xsi="http://www.w3.org/2001/XMLSchema-instance" xsi:type="dcterms:W3CDTF">2026-09-09T19:22:44Z</dcterms:modified>
</cp:coreProperties>
</file>