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863233" sheetId="1" state="visible" r:id="rId1"/>
    <sheet xmlns:r="http://schemas.openxmlformats.org/officeDocument/2006/relationships" name="res_raw_12863233" sheetId="2" state="visible" r:id="rId2"/>
    <sheet xmlns:r="http://schemas.openxmlformats.org/officeDocument/2006/relationships" name="balance_raw_1286323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'res_raw_12863233'!$B$2</f>
        <v/>
      </c>
      <c r="C4" s="5">
        <f>'res_raw_12863233'!$C$2</f>
        <v/>
      </c>
      <c r="D4" s="5">
        <f>'res_raw_12863233'!$D$2</f>
        <v/>
      </c>
      <c r="E4" s="5">
        <f>'res_raw_12863233'!$E$2</f>
        <v/>
      </c>
      <c r="F4" s="5">
        <f>'res_raw_12863233'!$F$2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'res_raw_12863233'!$B$3</f>
        <v/>
      </c>
      <c r="C5" s="8">
        <f>'res_raw_12863233'!$C$3</f>
        <v/>
      </c>
      <c r="D5" s="8">
        <f>'res_raw_12863233'!$D$3</f>
        <v/>
      </c>
      <c r="E5" s="8">
        <f>'res_raw_12863233'!$E$3</f>
        <v/>
      </c>
      <c r="F5" s="8">
        <f>'res_raw_12863233'!$F$3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'res_raw_12863233'!$B$4</f>
        <v/>
      </c>
      <c r="C6" s="5">
        <f>'res_raw_12863233'!$C$4</f>
        <v/>
      </c>
      <c r="D6" s="5">
        <f>'res_raw_12863233'!$D$4</f>
        <v/>
      </c>
      <c r="E6" s="5">
        <f>'res_raw_12863233'!$E$4</f>
        <v/>
      </c>
      <c r="F6" s="5">
        <f>'res_raw_12863233'!$F$4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'res_raw_12863233'!$B$5</f>
        <v/>
      </c>
      <c r="C7" s="8">
        <f>'res_raw_12863233'!$C$5</f>
        <v/>
      </c>
      <c r="D7" s="8">
        <f>'res_raw_12863233'!$D$5</f>
        <v/>
      </c>
      <c r="E7" s="8">
        <f>'res_raw_12863233'!$E$5</f>
        <v/>
      </c>
      <c r="F7" s="8">
        <f>'res_raw_12863233'!$F$5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'res_raw_12863233'!$B$6</f>
        <v/>
      </c>
      <c r="C8" s="11">
        <f>'res_raw_12863233'!$C$6</f>
        <v/>
      </c>
      <c r="D8" s="11">
        <f>'res_raw_12863233'!$D$6</f>
        <v/>
      </c>
      <c r="E8" s="11">
        <f>'res_raw_12863233'!$E$6</f>
        <v/>
      </c>
      <c r="F8" s="11">
        <f>'res_raw_12863233'!$F$6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'res_raw_12863233'!$B$7</f>
        <v/>
      </c>
      <c r="C9" s="8">
        <f>'res_raw_12863233'!$C$7</f>
        <v/>
      </c>
      <c r="D9" s="8">
        <f>'res_raw_12863233'!$D$7</f>
        <v/>
      </c>
      <c r="E9" s="8">
        <f>'res_raw_12863233'!$E$7</f>
        <v/>
      </c>
      <c r="F9" s="8">
        <f>'res_raw_12863233'!$F$7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'res_raw_12863233'!$B$9</f>
        <v/>
      </c>
      <c r="C11" s="8">
        <f>'res_raw_12863233'!$C$9</f>
        <v/>
      </c>
      <c r="D11" s="8">
        <f>'res_raw_12863233'!$D$9</f>
        <v/>
      </c>
      <c r="E11" s="8">
        <f>'res_raw_12863233'!$E$9</f>
        <v/>
      </c>
      <c r="F11" s="8">
        <f>'res_raw_12863233'!$F$9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'res_raw_12863233'!$B$10</f>
        <v/>
      </c>
      <c r="C12" s="5">
        <f>'res_raw_12863233'!$C$10</f>
        <v/>
      </c>
      <c r="D12" s="5">
        <f>'res_raw_12863233'!$D$10</f>
        <v/>
      </c>
      <c r="E12" s="5">
        <f>'res_raw_12863233'!$E$10</f>
        <v/>
      </c>
      <c r="F12" s="5">
        <f>'res_raw_12863233'!$F$10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'res_raw_12863233'!$B$11</f>
        <v/>
      </c>
      <c r="C13" s="11">
        <f>'res_raw_12863233'!$C$11</f>
        <v/>
      </c>
      <c r="D13" s="11">
        <f>'res_raw_12863233'!$D$11</f>
        <v/>
      </c>
      <c r="E13" s="11">
        <f>'res_raw_12863233'!$E$11</f>
        <v/>
      </c>
      <c r="F13" s="11">
        <f>'res_raw_12863233'!$F$11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'res_raw_12863233'!$B$12</f>
        <v/>
      </c>
      <c r="C14" s="5">
        <f>'res_raw_12863233'!$C$12</f>
        <v/>
      </c>
      <c r="D14" s="5">
        <f>'res_raw_12863233'!$D$12</f>
        <v/>
      </c>
      <c r="E14" s="5">
        <f>'res_raw_12863233'!$E$12</f>
        <v/>
      </c>
      <c r="F14" s="5">
        <f>'res_raw_12863233'!$F$12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'res_raw_12863233'!$B$13</f>
        <v/>
      </c>
      <c r="C15" s="8">
        <f>'res_raw_12863233'!$C$13</f>
        <v/>
      </c>
      <c r="D15" s="8">
        <f>'res_raw_12863233'!$D$13</f>
        <v/>
      </c>
      <c r="E15" s="8">
        <f>'res_raw_12863233'!$E$13</f>
        <v/>
      </c>
      <c r="F15" s="8">
        <f>'res_raw_12863233'!$F$13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'res_raw_12863233'!$B$14</f>
        <v/>
      </c>
      <c r="C16" s="5">
        <f>'res_raw_12863233'!$C$14</f>
        <v/>
      </c>
      <c r="D16" s="5">
        <f>'res_raw_12863233'!$D$14</f>
        <v/>
      </c>
      <c r="E16" s="5">
        <f>'res_raw_12863233'!$E$14</f>
        <v/>
      </c>
      <c r="F16" s="5">
        <f>'res_raw_12863233'!$F$14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'res_raw_12863233'!$B$15</f>
        <v/>
      </c>
      <c r="C17" s="11">
        <f>'res_raw_12863233'!$C$15</f>
        <v/>
      </c>
      <c r="D17" s="11">
        <f>'res_raw_12863233'!$D$15</f>
        <v/>
      </c>
      <c r="E17" s="11">
        <f>'res_raw_12863233'!$E$15</f>
        <v/>
      </c>
      <c r="F17" s="11">
        <f>'res_raw_12863233'!$F$15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'res_raw_12863233'!$B$16</f>
        <v/>
      </c>
      <c r="C18" s="11">
        <f>'res_raw_12863233'!$C$16</f>
        <v/>
      </c>
      <c r="D18" s="11">
        <f>'res_raw_12863233'!$D$16</f>
        <v/>
      </c>
      <c r="E18" s="11">
        <f>'res_raw_12863233'!$E$16</f>
        <v/>
      </c>
      <c r="F18" s="11">
        <f>'res_raw_12863233'!$F$16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'res_raw_12863233'!$B$17</f>
        <v/>
      </c>
      <c r="C19" s="8">
        <f>'res_raw_12863233'!$C$17</f>
        <v/>
      </c>
      <c r="D19" s="8">
        <f>'res_raw_12863233'!$D$17</f>
        <v/>
      </c>
      <c r="E19" s="8">
        <f>'res_raw_12863233'!$E$17</f>
        <v/>
      </c>
      <c r="F19" s="8">
        <f>'res_raw_12863233'!$F$17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'res_raw_12863233'!$B$18</f>
        <v/>
      </c>
      <c r="C20" s="11">
        <f>'res_raw_12863233'!$C$18</f>
        <v/>
      </c>
      <c r="D20" s="11">
        <f>'res_raw_12863233'!$D$18</f>
        <v/>
      </c>
      <c r="E20" s="11">
        <f>'res_raw_12863233'!$E$18</f>
        <v/>
      </c>
      <c r="F20" s="11">
        <f>'res_raw_12863233'!$F$18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'balance_raw_12863233'!$B$2</f>
        <v/>
      </c>
      <c r="C23" s="8">
        <f>'balance_raw_12863233'!$C$2</f>
        <v/>
      </c>
      <c r="D23" s="8">
        <f>'balance_raw_12863233'!$D$2</f>
        <v/>
      </c>
      <c r="E23" s="8">
        <f>'balance_raw_12863233'!$E$2</f>
        <v/>
      </c>
      <c r="F23" s="8">
        <f>'balance_raw_12863233'!$F$2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'balance_raw_12863233'!$B$3</f>
        <v/>
      </c>
      <c r="C24" s="5">
        <f>'balance_raw_12863233'!$C$3</f>
        <v/>
      </c>
      <c r="D24" s="5">
        <f>'balance_raw_12863233'!$D$3</f>
        <v/>
      </c>
      <c r="E24" s="5">
        <f>'balance_raw_12863233'!$E$3</f>
        <v/>
      </c>
      <c r="F24" s="5">
        <f>'balance_raw_12863233'!$F$3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'balance_raw_12863233'!$B$4</f>
        <v/>
      </c>
      <c r="C25" s="8">
        <f>'balance_raw_12863233'!$C$4</f>
        <v/>
      </c>
      <c r="D25" s="8">
        <f>'balance_raw_12863233'!$D$4</f>
        <v/>
      </c>
      <c r="E25" s="8">
        <f>'balance_raw_12863233'!$E$4</f>
        <v/>
      </c>
      <c r="F25" s="8">
        <f>'balance_raw_12863233'!$F$4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'balance_raw_12863233'!$B$5</f>
        <v/>
      </c>
      <c r="C26" s="11">
        <f>'balance_raw_12863233'!$C$5</f>
        <v/>
      </c>
      <c r="D26" s="11">
        <f>'balance_raw_12863233'!$D$5</f>
        <v/>
      </c>
      <c r="E26" s="11">
        <f>'balance_raw_12863233'!$E$5</f>
        <v/>
      </c>
      <c r="F26" s="11">
        <f>'balance_raw_12863233'!$F$5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'balance_raw_12863233'!$B$6</f>
        <v/>
      </c>
      <c r="C27" s="8">
        <f>'balance_raw_12863233'!$C$6</f>
        <v/>
      </c>
      <c r="D27" s="8">
        <f>'balance_raw_12863233'!$D$6</f>
        <v/>
      </c>
      <c r="E27" s="8">
        <f>'balance_raw_12863233'!$E$6</f>
        <v/>
      </c>
      <c r="F27" s="8">
        <f>'balance_raw_12863233'!$F$6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'balance_raw_12863233'!$B$7</f>
        <v/>
      </c>
      <c r="C28" s="5">
        <f>'balance_raw_12863233'!$C$7</f>
        <v/>
      </c>
      <c r="D28" s="5">
        <f>'balance_raw_12863233'!$D$7</f>
        <v/>
      </c>
      <c r="E28" s="5">
        <f>'balance_raw_12863233'!$E$7</f>
        <v/>
      </c>
      <c r="F28" s="5">
        <f>'balance_raw_12863233'!$F$7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'balance_raw_12863233'!$B$8</f>
        <v/>
      </c>
      <c r="C29" s="8">
        <f>'balance_raw_12863233'!$C$8</f>
        <v/>
      </c>
      <c r="D29" s="8">
        <f>'balance_raw_12863233'!$D$8</f>
        <v/>
      </c>
      <c r="E29" s="8">
        <f>'balance_raw_12863233'!$E$8</f>
        <v/>
      </c>
      <c r="F29" s="8">
        <f>'balance_raw_12863233'!$F$8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'balance_raw_12863233'!$B$9</f>
        <v/>
      </c>
      <c r="C30" s="5">
        <f>'balance_raw_12863233'!$C$9</f>
        <v/>
      </c>
      <c r="D30" s="5">
        <f>'balance_raw_12863233'!$D$9</f>
        <v/>
      </c>
      <c r="E30" s="5">
        <f>'balance_raw_12863233'!$E$9</f>
        <v/>
      </c>
      <c r="F30" s="5">
        <f>'balance_raw_12863233'!$F$9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'balance_raw_12863233'!$B$10</f>
        <v/>
      </c>
      <c r="C31" s="8">
        <f>'balance_raw_12863233'!$C$10</f>
        <v/>
      </c>
      <c r="D31" s="8">
        <f>'balance_raw_12863233'!$D$10</f>
        <v/>
      </c>
      <c r="E31" s="8">
        <f>'balance_raw_12863233'!$E$10</f>
        <v/>
      </c>
      <c r="F31" s="8">
        <f>'balance_raw_12863233'!$F$10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'balance_raw_12863233'!$B$11</f>
        <v/>
      </c>
      <c r="C32" s="11">
        <f>'balance_raw_12863233'!$C$11</f>
        <v/>
      </c>
      <c r="D32" s="11">
        <f>'balance_raw_12863233'!$D$11</f>
        <v/>
      </c>
      <c r="E32" s="11">
        <f>'balance_raw_12863233'!$E$11</f>
        <v/>
      </c>
      <c r="F32" s="11">
        <f>'balance_raw_12863233'!$F$11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'balance_raw_12863233'!$B$12</f>
        <v/>
      </c>
      <c r="C33" s="8">
        <f>'balance_raw_12863233'!$C$12</f>
        <v/>
      </c>
      <c r="D33" s="8">
        <f>'balance_raw_12863233'!$D$12</f>
        <v/>
      </c>
      <c r="E33" s="8">
        <f>'balance_raw_12863233'!$E$12</f>
        <v/>
      </c>
      <c r="F33" s="8">
        <f>'balance_raw_12863233'!$F$12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'balance_raw_12863233'!$B$13</f>
        <v/>
      </c>
      <c r="C34" s="5">
        <f>'balance_raw_12863233'!$C$13</f>
        <v/>
      </c>
      <c r="D34" s="5">
        <f>'balance_raw_12863233'!$D$13</f>
        <v/>
      </c>
      <c r="E34" s="5">
        <f>'balance_raw_12863233'!$E$13</f>
        <v/>
      </c>
      <c r="F34" s="5">
        <f>'balance_raw_12863233'!$F$13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'balance_raw_12863233'!$B$14</f>
        <v/>
      </c>
      <c r="C35" s="11">
        <f>'balance_raw_12863233'!$C$14</f>
        <v/>
      </c>
      <c r="D35" s="11">
        <f>'balance_raw_12863233'!$D$14</f>
        <v/>
      </c>
      <c r="E35" s="11">
        <f>'balance_raw_12863233'!$E$14</f>
        <v/>
      </c>
      <c r="F35" s="11">
        <f>'balance_raw_12863233'!$F$14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'balance_raw_12863233'!$B$15</f>
        <v/>
      </c>
      <c r="C36" s="11">
        <f>'balance_raw_12863233'!$C$15</f>
        <v/>
      </c>
      <c r="D36" s="11">
        <f>'balance_raw_12863233'!$D$15</f>
        <v/>
      </c>
      <c r="E36" s="11">
        <f>'balance_raw_12863233'!$E$15</f>
        <v/>
      </c>
      <c r="F36" s="11">
        <f>'balance_raw_12863233'!$F$15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'balance_raw_12863233'!$B$16</f>
        <v/>
      </c>
      <c r="C37" s="8">
        <f>'balance_raw_12863233'!$C$16</f>
        <v/>
      </c>
      <c r="D37" s="8">
        <f>'balance_raw_12863233'!$D$16</f>
        <v/>
      </c>
      <c r="E37" s="8">
        <f>'balance_raw_12863233'!$E$16</f>
        <v/>
      </c>
      <c r="F37" s="8">
        <f>'balance_raw_12863233'!$F$16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'balance_raw_12863233'!$B$17</f>
        <v/>
      </c>
      <c r="C38" s="5">
        <f>'balance_raw_12863233'!$C$17</f>
        <v/>
      </c>
      <c r="D38" s="5">
        <f>'balance_raw_12863233'!$D$17</f>
        <v/>
      </c>
      <c r="E38" s="5">
        <f>'balance_raw_12863233'!$E$17</f>
        <v/>
      </c>
      <c r="F38" s="5">
        <f>'balance_raw_12863233'!$F$17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'balance_raw_12863233'!$B$18</f>
        <v/>
      </c>
      <c r="C39" s="8">
        <f>'balance_raw_12863233'!$C$18</f>
        <v/>
      </c>
      <c r="D39" s="8">
        <f>'balance_raw_12863233'!$D$18</f>
        <v/>
      </c>
      <c r="E39" s="8">
        <f>'balance_raw_12863233'!$E$18</f>
        <v/>
      </c>
      <c r="F39" s="8">
        <f>'balance_raw_12863233'!$F$18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'balance_raw_12863233'!$B$19</f>
        <v/>
      </c>
      <c r="C40" s="11">
        <f>'balance_raw_12863233'!$C$19</f>
        <v/>
      </c>
      <c r="D40" s="11">
        <f>'balance_raw_12863233'!$D$19</f>
        <v/>
      </c>
      <c r="E40" s="11">
        <f>'balance_raw_12863233'!$E$19</f>
        <v/>
      </c>
      <c r="F40" s="11">
        <f>'balance_raw_12863233'!$F$19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'balance_raw_12863233'!$B$20</f>
        <v/>
      </c>
      <c r="C41" s="8">
        <f>'balance_raw_12863233'!$C$20</f>
        <v/>
      </c>
      <c r="D41" s="8">
        <f>'balance_raw_12863233'!$D$20</f>
        <v/>
      </c>
      <c r="E41" s="8">
        <f>'balance_raw_12863233'!$E$20</f>
        <v/>
      </c>
      <c r="F41" s="8">
        <f>'balance_raw_12863233'!$F$20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'balance_raw_12863233'!$B$21</f>
        <v/>
      </c>
      <c r="C42" s="5">
        <f>'balance_raw_12863233'!$C$21</f>
        <v/>
      </c>
      <c r="D42" s="5">
        <f>'balance_raw_12863233'!$D$21</f>
        <v/>
      </c>
      <c r="E42" s="5">
        <f>'balance_raw_12863233'!$E$21</f>
        <v/>
      </c>
      <c r="F42" s="5">
        <f>'balance_raw_12863233'!$F$21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'balance_raw_12863233'!$B$22</f>
        <v/>
      </c>
      <c r="C43" s="8">
        <f>'balance_raw_12863233'!$C$22</f>
        <v/>
      </c>
      <c r="D43" s="8">
        <f>'balance_raw_12863233'!$D$22</f>
        <v/>
      </c>
      <c r="E43" s="8">
        <f>'balance_raw_12863233'!$E$22</f>
        <v/>
      </c>
      <c r="F43" s="8">
        <f>'balance_raw_12863233'!$F$22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'balance_raw_12863233'!$B$23</f>
        <v/>
      </c>
      <c r="C44" s="5">
        <f>'balance_raw_12863233'!$C$23</f>
        <v/>
      </c>
      <c r="D44" s="5">
        <f>'balance_raw_12863233'!$D$23</f>
        <v/>
      </c>
      <c r="E44" s="5">
        <f>'balance_raw_12863233'!$E$23</f>
        <v/>
      </c>
      <c r="F44" s="5">
        <f>'balance_raw_12863233'!$F$23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'balance_raw_12863233'!$B$24</f>
        <v/>
      </c>
      <c r="C45" s="8">
        <f>'balance_raw_12863233'!$C$24</f>
        <v/>
      </c>
      <c r="D45" s="8">
        <f>'balance_raw_12863233'!$D$24</f>
        <v/>
      </c>
      <c r="E45" s="8">
        <f>'balance_raw_12863233'!$E$24</f>
        <v/>
      </c>
      <c r="F45" s="8">
        <f>'balance_raw_12863233'!$F$24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'balance_raw_12863233'!$B$25</f>
        <v/>
      </c>
      <c r="C46" s="5">
        <f>'balance_raw_12863233'!$C$25</f>
        <v/>
      </c>
      <c r="D46" s="5">
        <f>'balance_raw_12863233'!$D$25</f>
        <v/>
      </c>
      <c r="E46" s="5">
        <f>'balance_raw_12863233'!$E$25</f>
        <v/>
      </c>
      <c r="F46" s="5">
        <f>'balance_raw_12863233'!$F$25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'balance_raw_12863233'!$B$26</f>
        <v/>
      </c>
      <c r="C47" s="8">
        <f>'balance_raw_12863233'!$C$26</f>
        <v/>
      </c>
      <c r="D47" s="8">
        <f>'balance_raw_12863233'!$D$26</f>
        <v/>
      </c>
      <c r="E47" s="8">
        <f>'balance_raw_12863233'!$E$26</f>
        <v/>
      </c>
      <c r="F47" s="8">
        <f>'balance_raw_12863233'!$F$26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'balance_raw_12863233'!$B$27</f>
        <v/>
      </c>
      <c r="C48" s="11">
        <f>'balance_raw_12863233'!$C$27</f>
        <v/>
      </c>
      <c r="D48" s="11">
        <f>'balance_raw_12863233'!$D$27</f>
        <v/>
      </c>
      <c r="E48" s="11">
        <f>'balance_raw_12863233'!$E$27</f>
        <v/>
      </c>
      <c r="F48" s="11">
        <f>'balance_raw_12863233'!$F$27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'balance_raw_12863233'!$B$28</f>
        <v/>
      </c>
      <c r="C49" s="8">
        <f>'balance_raw_12863233'!$C$28</f>
        <v/>
      </c>
      <c r="D49" s="8">
        <f>'balance_raw_12863233'!$D$28</f>
        <v/>
      </c>
      <c r="E49" s="8">
        <f>'balance_raw_12863233'!$E$28</f>
        <v/>
      </c>
      <c r="F49" s="8">
        <f>'balance_raw_12863233'!$F$28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'balance_raw_12863233'!$B$29</f>
        <v/>
      </c>
      <c r="C50" s="5">
        <f>'balance_raw_12863233'!$C$29</f>
        <v/>
      </c>
      <c r="D50" s="5">
        <f>'balance_raw_12863233'!$D$29</f>
        <v/>
      </c>
      <c r="E50" s="5">
        <f>'balance_raw_12863233'!$E$29</f>
        <v/>
      </c>
      <c r="F50" s="5">
        <f>'balance_raw_12863233'!$F$29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'balance_raw_12863233'!$B$30</f>
        <v/>
      </c>
      <c r="C51" s="11">
        <f>'balance_raw_12863233'!$C$30</f>
        <v/>
      </c>
      <c r="D51" s="11">
        <f>'balance_raw_12863233'!$D$30</f>
        <v/>
      </c>
      <c r="E51" s="11">
        <f>'balance_raw_12863233'!$E$30</f>
        <v/>
      </c>
      <c r="F51" s="11">
        <f>'balance_raw_12863233'!$F$30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'balance_raw_12863233'!$B$31</f>
        <v/>
      </c>
      <c r="C52" s="11">
        <f>'balance_raw_12863233'!$C$31</f>
        <v/>
      </c>
      <c r="D52" s="11">
        <f>'balance_raw_12863233'!$D$31</f>
        <v/>
      </c>
      <c r="E52" s="11">
        <f>'balance_raw_12863233'!$E$31</f>
        <v/>
      </c>
      <c r="F52" s="11">
        <f>'balance_raw_12863233'!$F$31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'balance_raw_12863233'!$B$32</f>
        <v/>
      </c>
      <c r="C55" s="8">
        <f>'balance_raw_12863233'!$C$32</f>
        <v/>
      </c>
      <c r="D55" s="8">
        <f>'balance_raw_12863233'!$D$32</f>
        <v/>
      </c>
      <c r="E55" s="8">
        <f>'balance_raw_12863233'!$E$32</f>
        <v/>
      </c>
      <c r="F55" s="8">
        <f>'balance_raw_12863233'!$F$32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'balance_raw_12863233'!$B$33</f>
        <v/>
      </c>
      <c r="C56" s="5">
        <f>'balance_raw_12863233'!$C$33</f>
        <v/>
      </c>
      <c r="D56" s="5">
        <f>'balance_raw_12863233'!$D$33</f>
        <v/>
      </c>
      <c r="E56" s="5">
        <f>'balance_raw_12863233'!$E$33</f>
        <v/>
      </c>
      <c r="F56" s="5">
        <f>'balance_raw_12863233'!$F$33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'balance_raw_12863233'!$B$34</f>
        <v/>
      </c>
      <c r="C57" s="8">
        <f>'balance_raw_12863233'!$C$34</f>
        <v/>
      </c>
      <c r="D57" s="8">
        <f>'balance_raw_12863233'!$D$34</f>
        <v/>
      </c>
      <c r="E57" s="8">
        <f>'balance_raw_12863233'!$E$34</f>
        <v/>
      </c>
      <c r="F57" s="8">
        <f>'balance_raw_12863233'!$F$34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'balance_raw_12863233'!$B$35</f>
        <v/>
      </c>
      <c r="C58" s="5">
        <f>'balance_raw_12863233'!$C$35</f>
        <v/>
      </c>
      <c r="D58" s="5">
        <f>'balance_raw_12863233'!$D$35</f>
        <v/>
      </c>
      <c r="E58" s="5">
        <f>'balance_raw_12863233'!$E$35</f>
        <v/>
      </c>
      <c r="F58" s="5">
        <f>'balance_raw_12863233'!$F$35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'balance_raw_12863233'!$B$36</f>
        <v/>
      </c>
      <c r="C59" s="8">
        <f>'balance_raw_12863233'!$C$36</f>
        <v/>
      </c>
      <c r="D59" s="8">
        <f>'balance_raw_12863233'!$D$36</f>
        <v/>
      </c>
      <c r="E59" s="8">
        <f>'balance_raw_12863233'!$E$36</f>
        <v/>
      </c>
      <c r="F59" s="8">
        <f>'balance_raw_12863233'!$F$36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'balance_raw_12863233'!$B$37</f>
        <v/>
      </c>
      <c r="C60" s="5">
        <f>'balance_raw_12863233'!$C$37</f>
        <v/>
      </c>
      <c r="D60" s="5">
        <f>'balance_raw_12863233'!$D$37</f>
        <v/>
      </c>
      <c r="E60" s="5">
        <f>'balance_raw_12863233'!$E$37</f>
        <v/>
      </c>
      <c r="F60" s="5">
        <f>'balance_raw_12863233'!$F$37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'balance_raw_12863233'!$B$38</f>
        <v/>
      </c>
      <c r="C61" s="11">
        <f>'balance_raw_12863233'!$C$38</f>
        <v/>
      </c>
      <c r="D61" s="11">
        <f>'balance_raw_12863233'!$D$38</f>
        <v/>
      </c>
      <c r="E61" s="11">
        <f>'balance_raw_12863233'!$E$38</f>
        <v/>
      </c>
      <c r="F61" s="11">
        <f>'balance_raw_12863233'!$F$38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'balance_raw_12863233'!$B$39</f>
        <v/>
      </c>
      <c r="C62" s="5">
        <f>'balance_raw_12863233'!$C$39</f>
        <v/>
      </c>
      <c r="D62" s="5">
        <f>'balance_raw_12863233'!$D$39</f>
        <v/>
      </c>
      <c r="E62" s="5">
        <f>'balance_raw_12863233'!$E$39</f>
        <v/>
      </c>
      <c r="F62" s="5">
        <f>'balance_raw_12863233'!$F$39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'balance_raw_12863233'!$B$40</f>
        <v/>
      </c>
      <c r="C63" s="11">
        <f>'balance_raw_12863233'!$C$40</f>
        <v/>
      </c>
      <c r="D63" s="11">
        <f>'balance_raw_12863233'!$D$40</f>
        <v/>
      </c>
      <c r="E63" s="11">
        <f>'balance_raw_12863233'!$E$40</f>
        <v/>
      </c>
      <c r="F63" s="11">
        <f>'balance_raw_12863233'!$F$40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'balance_raw_12863233'!$B$41</f>
        <v/>
      </c>
      <c r="C64" s="5">
        <f>'balance_raw_12863233'!$C$41</f>
        <v/>
      </c>
      <c r="D64" s="5">
        <f>'balance_raw_12863233'!$D$41</f>
        <v/>
      </c>
      <c r="E64" s="5">
        <f>'balance_raw_12863233'!$E$41</f>
        <v/>
      </c>
      <c r="F64" s="5">
        <f>'balance_raw_12863233'!$F$41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'balance_raw_12863233'!$B$42</f>
        <v/>
      </c>
      <c r="C65" s="8">
        <f>'balance_raw_12863233'!$C$42</f>
        <v/>
      </c>
      <c r="D65" s="8">
        <f>'balance_raw_12863233'!$D$42</f>
        <v/>
      </c>
      <c r="E65" s="8">
        <f>'balance_raw_12863233'!$E$42</f>
        <v/>
      </c>
      <c r="F65" s="8">
        <f>'balance_raw_12863233'!$F$42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'balance_raw_12863233'!$B$43</f>
        <v/>
      </c>
      <c r="C66" s="5">
        <f>'balance_raw_12863233'!$C$43</f>
        <v/>
      </c>
      <c r="D66" s="5">
        <f>'balance_raw_12863233'!$D$43</f>
        <v/>
      </c>
      <c r="E66" s="5">
        <f>'balance_raw_12863233'!$E$43</f>
        <v/>
      </c>
      <c r="F66" s="5">
        <f>'balance_raw_12863233'!$F$43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'balance_raw_12863233'!$B$44</f>
        <v/>
      </c>
      <c r="C67" s="8">
        <f>'balance_raw_12863233'!$C$44</f>
        <v/>
      </c>
      <c r="D67" s="8">
        <f>'balance_raw_12863233'!$D$44</f>
        <v/>
      </c>
      <c r="E67" s="8">
        <f>'balance_raw_12863233'!$E$44</f>
        <v/>
      </c>
      <c r="F67" s="8">
        <f>'balance_raw_12863233'!$F$44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'balance_raw_12863233'!$B$45</f>
        <v/>
      </c>
      <c r="C68" s="11">
        <f>'balance_raw_12863233'!$C$45</f>
        <v/>
      </c>
      <c r="D68" s="11">
        <f>'balance_raw_12863233'!$D$45</f>
        <v/>
      </c>
      <c r="E68" s="11">
        <f>'balance_raw_12863233'!$E$45</f>
        <v/>
      </c>
      <c r="F68" s="11">
        <f>'balance_raw_12863233'!$F$45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'balance_raw_12863233'!$B$46</f>
        <v/>
      </c>
      <c r="C69" s="8">
        <f>'balance_raw_12863233'!$C$46</f>
        <v/>
      </c>
      <c r="D69" s="8">
        <f>'balance_raw_12863233'!$D$46</f>
        <v/>
      </c>
      <c r="E69" s="8">
        <f>'balance_raw_12863233'!$E$46</f>
        <v/>
      </c>
      <c r="F69" s="8">
        <f>'balance_raw_12863233'!$F$46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'balance_raw_12863233'!$B$47</f>
        <v/>
      </c>
      <c r="C70" s="5">
        <f>'balance_raw_12863233'!$C$47</f>
        <v/>
      </c>
      <c r="D70" s="5">
        <f>'balance_raw_12863233'!$D$47</f>
        <v/>
      </c>
      <c r="E70" s="5">
        <f>'balance_raw_12863233'!$E$47</f>
        <v/>
      </c>
      <c r="F70" s="5">
        <f>'balance_raw_12863233'!$F$47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'balance_raw_12863233'!$B$48</f>
        <v/>
      </c>
      <c r="C71" s="8">
        <f>'balance_raw_12863233'!$C$48</f>
        <v/>
      </c>
      <c r="D71" s="8">
        <f>'balance_raw_12863233'!$D$48</f>
        <v/>
      </c>
      <c r="E71" s="8">
        <f>'balance_raw_12863233'!$E$48</f>
        <v/>
      </c>
      <c r="F71" s="8">
        <f>'balance_raw_12863233'!$F$48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'balance_raw_12863233'!$B$49</f>
        <v/>
      </c>
      <c r="C72" s="5">
        <f>'balance_raw_12863233'!$C$49</f>
        <v/>
      </c>
      <c r="D72" s="5">
        <f>'balance_raw_12863233'!$D$49</f>
        <v/>
      </c>
      <c r="E72" s="5">
        <f>'balance_raw_12863233'!$E$49</f>
        <v/>
      </c>
      <c r="F72" s="5">
        <f>'balance_raw_12863233'!$F$49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'balance_raw_12863233'!$B$50</f>
        <v/>
      </c>
      <c r="C73" s="8">
        <f>'balance_raw_12863233'!$C$50</f>
        <v/>
      </c>
      <c r="D73" s="8">
        <f>'balance_raw_12863233'!$D$50</f>
        <v/>
      </c>
      <c r="E73" s="8">
        <f>'balance_raw_12863233'!$E$50</f>
        <v/>
      </c>
      <c r="F73" s="8">
        <f>'balance_raw_12863233'!$F$50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'balance_raw_12863233'!$B$51</f>
        <v/>
      </c>
      <c r="C74" s="5">
        <f>'balance_raw_12863233'!$C$51</f>
        <v/>
      </c>
      <c r="D74" s="5">
        <f>'balance_raw_12863233'!$D$51</f>
        <v/>
      </c>
      <c r="E74" s="5">
        <f>'balance_raw_12863233'!$E$51</f>
        <v/>
      </c>
      <c r="F74" s="5">
        <f>'balance_raw_12863233'!$F$51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'balance_raw_12863233'!$B$52</f>
        <v/>
      </c>
      <c r="C75" s="8">
        <f>'balance_raw_12863233'!$C$52</f>
        <v/>
      </c>
      <c r="D75" s="8">
        <f>'balance_raw_12863233'!$D$52</f>
        <v/>
      </c>
      <c r="E75" s="8">
        <f>'balance_raw_12863233'!$E$52</f>
        <v/>
      </c>
      <c r="F75" s="8">
        <f>'balance_raw_12863233'!$F$52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'balance_raw_12863233'!$B$53</f>
        <v/>
      </c>
      <c r="C76" s="5">
        <f>'balance_raw_12863233'!$C$53</f>
        <v/>
      </c>
      <c r="D76" s="5">
        <f>'balance_raw_12863233'!$D$53</f>
        <v/>
      </c>
      <c r="E76" s="5">
        <f>'balance_raw_12863233'!$E$53</f>
        <v/>
      </c>
      <c r="F76" s="5">
        <f>'balance_raw_12863233'!$F$53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'balance_raw_12863233'!$B$54</f>
        <v/>
      </c>
      <c r="C77" s="8">
        <f>'balance_raw_12863233'!$C$54</f>
        <v/>
      </c>
      <c r="D77" s="8">
        <f>'balance_raw_12863233'!$D$54</f>
        <v/>
      </c>
      <c r="E77" s="8">
        <f>'balance_raw_12863233'!$E$54</f>
        <v/>
      </c>
      <c r="F77" s="8">
        <f>'balance_raw_12863233'!$F$54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'balance_raw_12863233'!$B$55</f>
        <v/>
      </c>
      <c r="C78" s="5">
        <f>'balance_raw_12863233'!$C$55</f>
        <v/>
      </c>
      <c r="D78" s="5">
        <f>'balance_raw_12863233'!$D$55</f>
        <v/>
      </c>
      <c r="E78" s="5">
        <f>'balance_raw_12863233'!$E$55</f>
        <v/>
      </c>
      <c r="F78" s="5">
        <f>'balance_raw_12863233'!$F$55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'balance_raw_12863233'!$B$56</f>
        <v/>
      </c>
      <c r="C79" s="8">
        <f>'balance_raw_12863233'!$C$56</f>
        <v/>
      </c>
      <c r="D79" s="8">
        <f>'balance_raw_12863233'!$D$56</f>
        <v/>
      </c>
      <c r="E79" s="8">
        <f>'balance_raw_12863233'!$E$56</f>
        <v/>
      </c>
      <c r="F79" s="8">
        <f>'balance_raw_12863233'!$F$56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'balance_raw_12863233'!$B$57</f>
        <v/>
      </c>
      <c r="C80" s="11">
        <f>'balance_raw_12863233'!$C$57</f>
        <v/>
      </c>
      <c r="D80" s="11">
        <f>'balance_raw_12863233'!$D$57</f>
        <v/>
      </c>
      <c r="E80" s="11">
        <f>'balance_raw_12863233'!$E$57</f>
        <v/>
      </c>
      <c r="F80" s="11">
        <f>'balance_raw_12863233'!$F$57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'balance_raw_12863233'!$B$58</f>
        <v/>
      </c>
      <c r="C81" s="11">
        <f>'balance_raw_12863233'!$C$58</f>
        <v/>
      </c>
      <c r="D81" s="11">
        <f>'balance_raw_12863233'!$D$58</f>
        <v/>
      </c>
      <c r="E81" s="11">
        <f>'balance_raw_12863233'!$E$58</f>
        <v/>
      </c>
      <c r="F81" s="11">
        <f>'balance_raw_12863233'!$F$58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'balance_raw_12863233'!$B$59</f>
        <v/>
      </c>
      <c r="C82" s="11">
        <f>'balance_raw_12863233'!$C$59</f>
        <v/>
      </c>
      <c r="D82" s="11">
        <f>'balance_raw_12863233'!$D$59</f>
        <v/>
      </c>
      <c r="E82" s="11">
        <f>'balance_raw_12863233'!$E$59</f>
        <v/>
      </c>
      <c r="F82" s="11">
        <f>'balance_raw_12863233'!$F$59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'res_raw_12863233'!$B$19</f>
        <v/>
      </c>
      <c r="C85" s="8">
        <f>'res_raw_12863233'!$C$19</f>
        <v/>
      </c>
      <c r="D85" s="8">
        <f>'res_raw_12863233'!$D$19</f>
        <v/>
      </c>
      <c r="E85" s="8">
        <f>'res_raw_12863233'!$E$19</f>
        <v/>
      </c>
      <c r="F85" s="8">
        <f>'res_raw_12863233'!$F$19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'res_raw_12863233'!$B$20</f>
        <v/>
      </c>
      <c r="C86" s="5">
        <f>'res_raw_12863233'!$C$20</f>
        <v/>
      </c>
      <c r="D86" s="5">
        <f>'res_raw_12863233'!$D$20</f>
        <v/>
      </c>
      <c r="E86" s="5">
        <f>'res_raw_12863233'!$E$20</f>
        <v/>
      </c>
      <c r="F86" s="5">
        <f>'res_raw_12863233'!$F$20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823464</v>
      </c>
      <c r="C2" s="16" t="n">
        <v>1032932</v>
      </c>
      <c r="D2" s="16" t="n">
        <v>1137333</v>
      </c>
      <c r="E2" s="16" t="n">
        <v>1266482</v>
      </c>
      <c r="F2" s="16" t="n">
        <v>1348808</v>
      </c>
    </row>
    <row r="3">
      <c r="A3" s="15" t="inlineStr">
        <is>
          <t>Andre driftsindtægter</t>
        </is>
      </c>
      <c r="B3" s="16" t="n">
        <v>10382</v>
      </c>
      <c r="C3" s="16" t="n">
        <v>7057</v>
      </c>
      <c r="D3" s="16" t="n">
        <v>8983</v>
      </c>
      <c r="E3" s="16" t="n">
        <v>9389</v>
      </c>
      <c r="F3" s="16" t="n">
        <v>12173</v>
      </c>
    </row>
    <row r="4">
      <c r="A4" s="15" t="inlineStr">
        <is>
          <t>Vareforbrug</t>
        </is>
      </c>
      <c r="B4" s="16" t="n">
        <v>83739</v>
      </c>
      <c r="C4" s="16" t="n">
        <v>5065</v>
      </c>
      <c r="D4" s="16" t="n">
        <v>-59250</v>
      </c>
      <c r="E4" s="16" t="n">
        <v>-76420</v>
      </c>
      <c r="F4" s="16" t="n">
        <v>-112858</v>
      </c>
    </row>
    <row r="5">
      <c r="A5" s="15" t="inlineStr">
        <is>
          <t>Andre eksterne omkostninger</t>
        </is>
      </c>
      <c r="B5" s="16" t="n">
        <v>55449</v>
      </c>
      <c r="C5" s="16" t="n">
        <v>60438</v>
      </c>
      <c r="D5" s="16" t="n">
        <v>78248</v>
      </c>
      <c r="E5" s="16" t="n">
        <v>88568</v>
      </c>
      <c r="F5" s="16" t="n">
        <v>89729</v>
      </c>
    </row>
    <row r="6">
      <c r="A6" s="17" t="inlineStr">
        <is>
          <t>Bruttoresultat</t>
        </is>
      </c>
      <c r="B6" s="16" t="n">
        <v>268902</v>
      </c>
      <c r="C6" s="16" t="n">
        <v>333256</v>
      </c>
      <c r="D6" s="16" t="n">
        <v>368402</v>
      </c>
      <c r="E6" s="16" t="n">
        <v>392214</v>
      </c>
      <c r="F6" s="16" t="n">
        <v>450701</v>
      </c>
    </row>
    <row r="7">
      <c r="A7" s="15" t="inlineStr">
        <is>
          <t>Personaleomkostninger</t>
        </is>
      </c>
      <c r="B7" s="16" t="n">
        <v>201990</v>
      </c>
      <c r="C7" s="16" t="n">
        <v>221176</v>
      </c>
      <c r="D7" s="16" t="n">
        <v>247083</v>
      </c>
      <c r="E7" s="16" t="n">
        <v>270641</v>
      </c>
      <c r="F7" s="16" t="n">
        <v>297134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17834</v>
      </c>
      <c r="C9" s="16" t="n">
        <v>15944</v>
      </c>
      <c r="D9" s="16" t="n">
        <v>16234</v>
      </c>
      <c r="E9" s="16" t="n">
        <v>18311</v>
      </c>
      <c r="F9" s="16" t="n">
        <v>20456</v>
      </c>
    </row>
    <row r="10">
      <c r="A10" s="15" t="inlineStr">
        <is>
          <t>Andre driftsomkostninger</t>
        </is>
      </c>
      <c r="B10" s="16" t="n">
        <v>645</v>
      </c>
      <c r="C10" s="16" t="n">
        <v>5</v>
      </c>
      <c r="D10" s="16" t="n">
        <v>62</v>
      </c>
      <c r="E10" s="16" t="n">
        <v>0</v>
      </c>
      <c r="F10" s="16" t="n">
        <v>1215</v>
      </c>
    </row>
    <row r="11">
      <c r="A11" s="17" t="inlineStr">
        <is>
          <t>Resultat af primær drift</t>
        </is>
      </c>
      <c r="B11" s="16" t="n">
        <v>48433</v>
      </c>
      <c r="C11" s="16" t="n">
        <v>96130</v>
      </c>
      <c r="D11" s="16" t="n">
        <v>105022</v>
      </c>
      <c r="E11" s="16" t="n">
        <v>103261</v>
      </c>
      <c r="F11" s="16" t="n">
        <v>131897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800</v>
      </c>
      <c r="C13" s="16" t="n">
        <v>2354</v>
      </c>
      <c r="D13" s="16" t="n">
        <v>827</v>
      </c>
      <c r="E13" s="16" t="n">
        <v>1411</v>
      </c>
      <c r="F13" s="16" t="n">
        <v>1649</v>
      </c>
    </row>
    <row r="14">
      <c r="A14" s="15" t="inlineStr">
        <is>
          <t>Finansielle omkostninger</t>
        </is>
      </c>
      <c r="B14" s="16" t="n">
        <v>4648</v>
      </c>
      <c r="C14" s="16" t="n">
        <v>2059</v>
      </c>
      <c r="D14" s="16" t="n">
        <v>12337</v>
      </c>
      <c r="E14" s="16" t="n">
        <v>23631</v>
      </c>
      <c r="F14" s="16" t="n">
        <v>17307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44546</v>
      </c>
      <c r="C16" s="16" t="n">
        <v>96385</v>
      </c>
      <c r="D16" s="16" t="n">
        <v>95026</v>
      </c>
      <c r="E16" s="16" t="n">
        <v>81025</v>
      </c>
      <c r="F16" s="16" t="n">
        <v>116239</v>
      </c>
    </row>
    <row r="17">
      <c r="A17" s="15" t="inlineStr">
        <is>
          <t>Skat af årets resultat</t>
        </is>
      </c>
      <c r="B17" s="16" t="n">
        <v>9759</v>
      </c>
      <c r="C17" s="16" t="n">
        <v>21338</v>
      </c>
      <c r="D17" s="16" t="n">
        <v>20127</v>
      </c>
      <c r="E17" s="16" t="n">
        <v>19736</v>
      </c>
      <c r="F17" s="16" t="n">
        <v>25946</v>
      </c>
    </row>
    <row r="18">
      <c r="A18" s="17" t="inlineStr">
        <is>
          <t>Årets resultat</t>
        </is>
      </c>
      <c r="B18" s="16" t="n">
        <v>34788</v>
      </c>
      <c r="C18" s="16" t="n">
        <v>75047</v>
      </c>
      <c r="D18" s="16" t="n">
        <v>74899</v>
      </c>
      <c r="E18" s="16" t="n">
        <v>61289</v>
      </c>
      <c r="F18" s="16" t="n">
        <v>90293</v>
      </c>
    </row>
    <row r="19">
      <c r="A19" s="15" t="inlineStr">
        <is>
          <t>Gns. antal medarbejdere</t>
        </is>
      </c>
      <c r="B19" s="16" t="n">
        <v>453</v>
      </c>
      <c r="C19" s="16" t="n">
        <v>456</v>
      </c>
      <c r="D19" s="16" t="n">
        <v>477</v>
      </c>
      <c r="E19" s="16" t="n">
        <v>513</v>
      </c>
      <c r="F19" s="16" t="n">
        <v>533</v>
      </c>
    </row>
    <row r="20">
      <c r="A20" s="15" t="inlineStr">
        <is>
          <t>Investering i materielle anlægsaktiver</t>
        </is>
      </c>
      <c r="B20" s="16" t="n">
        <v>17253</v>
      </c>
      <c r="C20" s="16" t="n">
        <v>13265</v>
      </c>
      <c r="D20" s="16" t="n">
        <v>32431</v>
      </c>
      <c r="E20" s="16" t="n">
        <v>21829</v>
      </c>
      <c r="F20" s="16" t="n">
        <v>51486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6513</v>
      </c>
      <c r="C2" s="16" t="n">
        <v>5759</v>
      </c>
      <c r="D2" s="16" t="n">
        <v>5007</v>
      </c>
      <c r="E2" s="16" t="n">
        <v>12657</v>
      </c>
      <c r="F2" s="16" t="n">
        <v>12655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6513</v>
      </c>
      <c r="C5" s="16" t="n">
        <v>6100</v>
      </c>
      <c r="D5" s="16" t="n">
        <v>8429</v>
      </c>
      <c r="E5" s="16" t="n">
        <v>12657</v>
      </c>
      <c r="F5" s="16" t="n">
        <v>12655</v>
      </c>
    </row>
    <row r="6">
      <c r="A6" s="15" t="inlineStr">
        <is>
          <t>Grunde og bygninger</t>
        </is>
      </c>
      <c r="B6" s="16" t="n">
        <v>30921</v>
      </c>
      <c r="C6" s="16" t="n">
        <v>45165</v>
      </c>
      <c r="D6" s="16" t="n">
        <v>44881</v>
      </c>
      <c r="E6" s="16" t="n">
        <v>41818</v>
      </c>
      <c r="F6" s="16" t="n">
        <v>53445</v>
      </c>
    </row>
    <row r="7">
      <c r="A7" s="15" t="inlineStr">
        <is>
          <t>Produktionsanlæg og maskiner</t>
        </is>
      </c>
      <c r="B7" s="16" t="n">
        <v>24048</v>
      </c>
      <c r="C7" s="16" t="n">
        <v>19768</v>
      </c>
      <c r="D7" s="16" t="n">
        <v>18458</v>
      </c>
      <c r="E7" s="16" t="n">
        <v>28150</v>
      </c>
      <c r="F7" s="16" t="n">
        <v>37607</v>
      </c>
    </row>
    <row r="8">
      <c r="A8" s="15" t="inlineStr">
        <is>
          <t>Driftsmateriel og inventar</t>
        </is>
      </c>
      <c r="B8" s="16" t="n">
        <v>32392</v>
      </c>
      <c r="C8" s="16" t="n">
        <v>31893</v>
      </c>
      <c r="D8" s="16" t="n">
        <v>29881</v>
      </c>
      <c r="E8" s="16" t="n">
        <v>45238</v>
      </c>
      <c r="F8" s="16" t="n">
        <v>47753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9796</v>
      </c>
      <c r="C10" s="16" t="n">
        <v>0</v>
      </c>
      <c r="D10" s="16" t="n">
        <v>19746</v>
      </c>
      <c r="E10" s="16" t="n">
        <v>565</v>
      </c>
      <c r="F10" s="16" t="n">
        <v>9259</v>
      </c>
    </row>
    <row r="11">
      <c r="A11" s="17" t="inlineStr">
        <is>
          <t>Materielle anlægsaktiver</t>
        </is>
      </c>
      <c r="B11" s="16" t="n">
        <v>97157</v>
      </c>
      <c r="C11" s="16" t="n">
        <v>96825</v>
      </c>
      <c r="D11" s="16" t="n">
        <v>112966</v>
      </c>
      <c r="E11" s="16" t="n">
        <v>115772</v>
      </c>
      <c r="F11" s="16" t="n">
        <v>148064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600</v>
      </c>
      <c r="C13" s="16" t="n">
        <v>600</v>
      </c>
      <c r="D13" s="16" t="n">
        <v>600</v>
      </c>
      <c r="E13" s="16" t="n">
        <v>600</v>
      </c>
      <c r="F13" s="16" t="n">
        <v>626</v>
      </c>
    </row>
    <row r="14">
      <c r="A14" s="17" t="inlineStr">
        <is>
          <t>Finansielle anlægsaktiver</t>
        </is>
      </c>
      <c r="B14" s="16" t="n">
        <v>1350</v>
      </c>
      <c r="C14" s="16" t="n">
        <v>1308</v>
      </c>
      <c r="D14" s="16" t="n">
        <v>2821</v>
      </c>
      <c r="E14" s="16" t="n">
        <v>600</v>
      </c>
      <c r="F14" s="16" t="n">
        <v>626</v>
      </c>
    </row>
    <row r="15">
      <c r="A15" s="17" t="inlineStr">
        <is>
          <t>Anlægsaktiver</t>
        </is>
      </c>
      <c r="B15" s="16" t="n">
        <v>105019</v>
      </c>
      <c r="C15" s="16" t="n">
        <v>104233</v>
      </c>
      <c r="D15" s="16" t="n">
        <v>124215</v>
      </c>
      <c r="E15" s="16" t="n">
        <v>129028</v>
      </c>
      <c r="F15" s="16" t="n">
        <v>161345</v>
      </c>
    </row>
    <row r="16">
      <c r="A16" s="15" t="inlineStr">
        <is>
          <t>Råvarer og hjælpematerialer</t>
        </is>
      </c>
      <c r="B16" s="16" t="n">
        <v>3333</v>
      </c>
      <c r="C16" s="16" t="n">
        <v>8220</v>
      </c>
      <c r="D16" s="16" t="n">
        <v>11912</v>
      </c>
      <c r="E16" s="16" t="n">
        <v>7310</v>
      </c>
      <c r="F16" s="16" t="n">
        <v>4327</v>
      </c>
    </row>
    <row r="17">
      <c r="A17" s="15" t="inlineStr">
        <is>
          <t>Varer under fremstilling</t>
        </is>
      </c>
      <c r="B17" s="16" t="n">
        <v>25722</v>
      </c>
      <c r="C17" s="16" t="n">
        <v>30060</v>
      </c>
      <c r="D17" s="16" t="n">
        <v>37504</v>
      </c>
      <c r="E17" s="16" t="n">
        <v>40905</v>
      </c>
      <c r="F17" s="16" t="n">
        <v>37246</v>
      </c>
    </row>
    <row r="18">
      <c r="A18" s="15" t="inlineStr">
        <is>
          <t>Færdigvarer og handelsvarer</t>
        </is>
      </c>
      <c r="B18" s="16" t="n">
        <v>300220</v>
      </c>
      <c r="C18" s="16" t="n">
        <v>290745</v>
      </c>
      <c r="D18" s="16" t="n">
        <v>342572</v>
      </c>
      <c r="E18" s="16" t="n">
        <v>415669</v>
      </c>
      <c r="F18" s="16" t="n">
        <v>532333</v>
      </c>
    </row>
    <row r="19">
      <c r="A19" s="17" t="inlineStr">
        <is>
          <t>Varebeholdninger</t>
        </is>
      </c>
      <c r="B19" s="16" t="n">
        <v>329502</v>
      </c>
      <c r="C19" s="16" t="n">
        <v>330398</v>
      </c>
      <c r="D19" s="16" t="n">
        <v>394092</v>
      </c>
      <c r="E19" s="16" t="n">
        <v>464769</v>
      </c>
      <c r="F19" s="16" t="n">
        <v>575490</v>
      </c>
    </row>
    <row r="20">
      <c r="A20" s="15" t="inlineStr">
        <is>
          <t>Tilgodehavender fra salg og tjenesteydelser</t>
        </is>
      </c>
      <c r="B20" s="16" t="n">
        <v>82639</v>
      </c>
      <c r="C20" s="16" t="n">
        <v>126455</v>
      </c>
      <c r="D20" s="16" t="n">
        <v>153502</v>
      </c>
      <c r="E20" s="16" t="n">
        <v>163213</v>
      </c>
      <c r="F20" s="16" t="n">
        <v>194822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19248</v>
      </c>
      <c r="D21" s="16" t="n">
        <v>11049</v>
      </c>
      <c r="E21" s="16" t="n">
        <v>21606</v>
      </c>
      <c r="F21" s="16" t="n">
        <v>7855</v>
      </c>
    </row>
    <row r="22">
      <c r="A22" s="15" t="inlineStr">
        <is>
          <t>Andre tilgodehavender</t>
        </is>
      </c>
      <c r="B22" s="16" t="n">
        <v>6226</v>
      </c>
      <c r="C22" s="16" t="n">
        <v>5136</v>
      </c>
      <c r="D22" s="16" t="n">
        <v>6352</v>
      </c>
      <c r="E22" s="16" t="n">
        <v>6114</v>
      </c>
      <c r="F22" s="16" t="n">
        <v>2760</v>
      </c>
    </row>
    <row r="23">
      <c r="A23" s="15" t="inlineStr">
        <is>
          <t>Periodeafgrænsningsposter (aktiver)</t>
        </is>
      </c>
      <c r="B23" s="16" t="n">
        <v>1269</v>
      </c>
      <c r="C23" s="16" t="n">
        <v>3489</v>
      </c>
      <c r="D23" s="16" t="n">
        <v>3696</v>
      </c>
      <c r="E23" s="16" t="n">
        <v>3724</v>
      </c>
      <c r="F23" s="16" t="n">
        <v>3682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0</v>
      </c>
      <c r="C26" s="16" t="n">
        <v>2152</v>
      </c>
      <c r="D26" s="16" t="n">
        <v>0</v>
      </c>
      <c r="E26" s="16" t="n">
        <v>0</v>
      </c>
      <c r="F26" s="16" t="n">
        <v>0</v>
      </c>
    </row>
    <row r="27">
      <c r="A27" s="17" t="inlineStr">
        <is>
          <t>Tilgodehavender</t>
        </is>
      </c>
      <c r="B27" s="16" t="n">
        <v>90134</v>
      </c>
      <c r="C27" s="16" t="n">
        <v>156480</v>
      </c>
      <c r="D27" s="16" t="n">
        <v>175186</v>
      </c>
      <c r="E27" s="16" t="n">
        <v>195038</v>
      </c>
      <c r="F27" s="16" t="n">
        <v>209640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54764</v>
      </c>
      <c r="C29" s="16" t="n">
        <v>51735</v>
      </c>
      <c r="D29" s="16" t="n">
        <v>103237</v>
      </c>
      <c r="E29" s="16" t="n">
        <v>50691</v>
      </c>
      <c r="F29" s="16" t="n">
        <v>66111</v>
      </c>
    </row>
    <row r="30">
      <c r="A30" s="17" t="inlineStr">
        <is>
          <t>Omsætningsaktiver</t>
        </is>
      </c>
      <c r="B30" s="16" t="n">
        <v>474400</v>
      </c>
      <c r="C30" s="16" t="n">
        <v>538613</v>
      </c>
      <c r="D30" s="16" t="n">
        <v>672515</v>
      </c>
      <c r="E30" s="16" t="n">
        <v>710499</v>
      </c>
      <c r="F30" s="16" t="n">
        <v>851242</v>
      </c>
    </row>
    <row r="31">
      <c r="A31" s="17" t="inlineStr">
        <is>
          <t>Aktiver</t>
        </is>
      </c>
      <c r="B31" s="16" t="n">
        <v>579419</v>
      </c>
      <c r="C31" s="16" t="n">
        <v>642846</v>
      </c>
      <c r="D31" s="16" t="n">
        <v>796730</v>
      </c>
      <c r="E31" s="16" t="n">
        <v>839528</v>
      </c>
      <c r="F31" s="16" t="n">
        <v>1012587</v>
      </c>
    </row>
    <row r="32">
      <c r="A32" s="15" t="inlineStr">
        <is>
          <t>Selskabskapital</t>
        </is>
      </c>
      <c r="B32" s="16" t="n">
        <v>10000</v>
      </c>
      <c r="C32" s="16" t="n">
        <v>10000</v>
      </c>
      <c r="D32" s="16" t="n">
        <v>10000</v>
      </c>
      <c r="E32" s="16" t="n">
        <v>10000</v>
      </c>
      <c r="F32" s="16" t="n">
        <v>10000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>
        <v>0</v>
      </c>
      <c r="D35" s="16" t="n">
        <v>570</v>
      </c>
      <c r="E35" s="16" t="n">
        <v>0</v>
      </c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379979</v>
      </c>
      <c r="C37" s="16" t="n">
        <v>305026</v>
      </c>
      <c r="D37" s="16" t="n">
        <v>279925</v>
      </c>
      <c r="E37" s="16" t="n">
        <v>341214</v>
      </c>
      <c r="F37" s="16" t="n">
        <v>431507</v>
      </c>
    </row>
    <row r="38">
      <c r="A38" s="17" t="inlineStr">
        <is>
          <t>Egenkapital i alt</t>
        </is>
      </c>
      <c r="B38" s="16" t="n">
        <v>386414</v>
      </c>
      <c r="C38" s="16" t="n">
        <v>465358</v>
      </c>
      <c r="D38" s="16" t="n">
        <v>386264</v>
      </c>
      <c r="E38" s="16" t="n">
        <v>345335</v>
      </c>
      <c r="F38" s="16" t="n">
        <v>439291</v>
      </c>
    </row>
    <row r="39">
      <c r="A39" s="15" t="inlineStr">
        <is>
          <t>Hensættelse til udskudt skat</t>
        </is>
      </c>
      <c r="B39" s="16" t="n">
        <v>9360</v>
      </c>
      <c r="C39" s="16" t="n">
        <v>11198</v>
      </c>
      <c r="D39" s="16" t="n">
        <v>13474</v>
      </c>
      <c r="E39" s="16" t="n">
        <v>11237</v>
      </c>
      <c r="F39" s="16" t="n">
        <v>1593</v>
      </c>
    </row>
    <row r="40">
      <c r="A40" s="17" t="inlineStr">
        <is>
          <t>Hensatte forpligtelser</t>
        </is>
      </c>
      <c r="B40" s="16" t="n">
        <v>15622</v>
      </c>
      <c r="C40" s="16" t="n">
        <v>17358</v>
      </c>
      <c r="D40" s="16" t="n">
        <v>20501</v>
      </c>
      <c r="E40" s="16" t="n">
        <v>21642</v>
      </c>
      <c r="F40" s="16" t="n">
        <v>12943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35113</v>
      </c>
      <c r="C42" s="16" t="n">
        <v>20723</v>
      </c>
      <c r="D42" s="16" t="n">
        <v>18839</v>
      </c>
      <c r="E42" s="16" t="n">
        <v>16993</v>
      </c>
      <c r="F42" s="16" t="n">
        <v>15119</v>
      </c>
    </row>
    <row r="43">
      <c r="A43" s="15" t="inlineStr">
        <is>
          <t>Leasingforpligtelser (langfristet)</t>
        </is>
      </c>
      <c r="B43" s="16" t="n">
        <v>7629</v>
      </c>
      <c r="C43" s="16" t="n">
        <v>6106</v>
      </c>
      <c r="D43" s="16" t="n">
        <v>9403</v>
      </c>
      <c r="E43" s="16" t="n">
        <v>11161</v>
      </c>
      <c r="F43" s="16" t="n">
        <v>14095</v>
      </c>
    </row>
    <row r="44">
      <c r="A44" s="15" t="inlineStr">
        <is>
          <t>Anden gæld (langfristet)</t>
        </is>
      </c>
      <c r="B44" s="16" t="n">
        <v>17063</v>
      </c>
      <c r="C44" s="16" t="n">
        <v>4238</v>
      </c>
      <c r="D44" s="16" t="n">
        <v>126000</v>
      </c>
      <c r="E44" s="16" t="n">
        <v>202000</v>
      </c>
      <c r="F44" s="16" t="n">
        <v>184116</v>
      </c>
    </row>
    <row r="45">
      <c r="A45" s="17" t="inlineStr">
        <is>
          <t>Langfristede gældsforpligtelser</t>
        </is>
      </c>
      <c r="B45" s="16" t="n">
        <v>63054</v>
      </c>
      <c r="C45" s="16" t="n">
        <v>33837</v>
      </c>
      <c r="D45" s="16" t="n">
        <v>161992</v>
      </c>
      <c r="E45" s="16" t="n">
        <v>237205</v>
      </c>
      <c r="F45" s="16" t="n">
        <v>223937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13178</v>
      </c>
      <c r="C47" s="16" t="n">
        <v>10244</v>
      </c>
      <c r="D47" s="16" t="n">
        <v>24923</v>
      </c>
      <c r="E47" s="16" t="n">
        <v>34239</v>
      </c>
      <c r="F47" s="16" t="n">
        <v>37174</v>
      </c>
    </row>
    <row r="48">
      <c r="A48" s="15" t="inlineStr">
        <is>
          <t>Kreditinstitutter</t>
        </is>
      </c>
      <c r="B48" s="16" t="n">
        <v>17</v>
      </c>
      <c r="C48" s="16" t="n">
        <v>0</v>
      </c>
      <c r="D48" s="16" t="n">
        <v>55289</v>
      </c>
      <c r="E48" s="16" t="n">
        <v>8797</v>
      </c>
      <c r="F48" s="16" t="n">
        <v>60397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48292</v>
      </c>
      <c r="C50" s="16" t="n">
        <v>64258</v>
      </c>
      <c r="D50" s="16" t="n">
        <v>97961</v>
      </c>
      <c r="E50" s="16" t="n">
        <v>103440</v>
      </c>
      <c r="F50" s="16" t="n">
        <v>65150</v>
      </c>
    </row>
    <row r="51">
      <c r="A51" s="15" t="inlineStr">
        <is>
          <t>Gæld til tilknyttede virksomheder</t>
        </is>
      </c>
      <c r="B51" s="16" t="n">
        <v>0</v>
      </c>
      <c r="C51" s="16" t="n">
        <v>228</v>
      </c>
      <c r="D51" s="16" t="n">
        <v>6730</v>
      </c>
      <c r="E51" s="16" t="n">
        <v>30824</v>
      </c>
      <c r="F51" s="16" t="n">
        <v>52653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3469</v>
      </c>
      <c r="C53" s="16" t="n">
        <v>0</v>
      </c>
      <c r="D53" s="16" t="n">
        <v>4845</v>
      </c>
      <c r="E53" s="16" t="n">
        <v>7909</v>
      </c>
      <c r="F53" s="16" t="n">
        <v>29703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46279</v>
      </c>
      <c r="C55" s="16" t="n">
        <v>47604</v>
      </c>
      <c r="D55" s="16" t="n">
        <v>32174</v>
      </c>
      <c r="E55" s="16" t="n">
        <v>42769</v>
      </c>
      <c r="F55" s="16" t="n">
        <v>57636</v>
      </c>
    </row>
    <row r="56">
      <c r="A56" s="15" t="inlineStr">
        <is>
          <t>Periodeafgrænsningsposter (passiver)</t>
        </is>
      </c>
      <c r="B56" s="16" t="n">
        <v>3095</v>
      </c>
      <c r="C56" s="16" t="n">
        <v>3959</v>
      </c>
      <c r="D56" s="16" t="n">
        <v>6053</v>
      </c>
      <c r="E56" s="16" t="n">
        <v>7367</v>
      </c>
      <c r="F56" s="16" t="n">
        <v>7797</v>
      </c>
    </row>
    <row r="57">
      <c r="A57" s="17" t="inlineStr">
        <is>
          <t>Kortfristede gældsforpligtelser</t>
        </is>
      </c>
      <c r="B57" s="16" t="n">
        <v>114329</v>
      </c>
      <c r="C57" s="16" t="n">
        <v>126292</v>
      </c>
      <c r="D57" s="16" t="n">
        <v>227975</v>
      </c>
      <c r="E57" s="16" t="n">
        <v>235345</v>
      </c>
      <c r="F57" s="16" t="n">
        <v>336415</v>
      </c>
    </row>
    <row r="58">
      <c r="A58" s="17" t="inlineStr">
        <is>
          <t>Gældsforpligtelser</t>
        </is>
      </c>
      <c r="B58" s="16" t="n">
        <v>177383</v>
      </c>
      <c r="C58" s="16" t="n">
        <v>160130</v>
      </c>
      <c r="D58" s="16" t="n">
        <v>389966</v>
      </c>
      <c r="E58" s="16" t="n">
        <v>472550</v>
      </c>
      <c r="F58" s="16" t="n">
        <v>560352</v>
      </c>
    </row>
    <row r="59">
      <c r="A59" s="17" t="inlineStr">
        <is>
          <t>Passiver</t>
        </is>
      </c>
      <c r="B59" s="16" t="n">
        <v>579419</v>
      </c>
      <c r="C59" s="16" t="n">
        <v>642846</v>
      </c>
      <c r="D59" s="16" t="n">
        <v>796730</v>
      </c>
      <c r="E59" s="16" t="n">
        <v>839528</v>
      </c>
      <c r="F59" s="16" t="n">
        <v>1012587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12863233)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'res_raw_12863233'!$F$2</f>
        <v/>
      </c>
      <c r="C5" s="24">
        <f>'res_raw_12863233'!$E$2</f>
        <v/>
      </c>
      <c r="D5" s="24">
        <f>'res_raw_12863233'!$D$2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'res_raw_12863233'!$F$3</f>
        <v/>
      </c>
      <c r="C6" s="24">
        <f>'res_raw_12863233'!$E$3</f>
        <v/>
      </c>
      <c r="D6" s="24">
        <f>'res_raw_12863233'!$D$3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-'res_raw_12863233'!$F$4</f>
        <v/>
      </c>
      <c r="C7" s="24">
        <f>-'res_raw_12863233'!$E$4</f>
        <v/>
      </c>
      <c r="D7" s="24">
        <f>-'res_raw_12863233'!$D$4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-'res_raw_12863233'!$F$5</f>
        <v/>
      </c>
      <c r="C8" s="24">
        <f>-'res_raw_12863233'!$E$5</f>
        <v/>
      </c>
      <c r="D8" s="24">
        <f>-'res_raw_12863233'!$D$5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-'res_raw_12863233'!$F$7</f>
        <v/>
      </c>
      <c r="C10" s="24">
        <f>-'res_raw_12863233'!$E$7</f>
        <v/>
      </c>
      <c r="D10" s="24">
        <f>-'res_raw_12863233'!$D$7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-'res_raw_12863233'!$F$9</f>
        <v/>
      </c>
      <c r="C11" s="24">
        <f>-'res_raw_12863233'!$E$9</f>
        <v/>
      </c>
      <c r="D11" s="24">
        <f>-'res_raw_12863233'!$D$9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-'res_raw_12863233'!$F$10</f>
        <v/>
      </c>
      <c r="C12" s="24">
        <f>-'res_raw_12863233'!$E$10</f>
        <v/>
      </c>
      <c r="D12" s="24">
        <f>-'res_raw_12863233'!$D$10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N('res_raw_12863233'!$F$12)+N('res_raw_12863233'!$F$13)</f>
        <v/>
      </c>
      <c r="C14" s="24">
        <f>N('res_raw_12863233'!$E$12)+N('res_raw_12863233'!$E$13)</f>
        <v/>
      </c>
      <c r="D14" s="24">
        <f>N('res_raw_12863233'!$D$12)+N('res_raw_12863233'!$D$13)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-'res_raw_12863233'!$F$14</f>
        <v/>
      </c>
      <c r="C15" s="24">
        <f>-'res_raw_12863233'!$E$14</f>
        <v/>
      </c>
      <c r="D15" s="24">
        <f>-'res_raw_12863233'!$D$14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'balance_raw_12863233'!$F$15</f>
        <v/>
      </c>
      <c r="C19" s="24">
        <f>'balance_raw_12863233'!$E$15</f>
        <v/>
      </c>
      <c r="D19" s="24">
        <f>'balance_raw_12863233'!$D$15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'balance_raw_12863233'!$F$30</f>
        <v/>
      </c>
      <c r="C20" s="24">
        <f>'balance_raw_12863233'!$E$30</f>
        <v/>
      </c>
      <c r="D20" s="24">
        <f>'balance_raw_12863233'!$D$30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'balance_raw_12863233'!$F$38</f>
        <v/>
      </c>
      <c r="C23" s="24">
        <f>'balance_raw_12863233'!$E$38</f>
        <v/>
      </c>
      <c r="D23" s="24">
        <f>'balance_raw_12863233'!$D$38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'balance_raw_12863233'!$F$59-'balance_raw_12863233'!$F$38</f>
        <v/>
      </c>
      <c r="C24" s="24">
        <f>'balance_raw_12863233'!$E$59-'balance_raw_12863233'!$E$38</f>
        <v/>
      </c>
      <c r="D24" s="24">
        <f>'balance_raw_12863233'!$D$59-'balance_raw_12863233'!$D$38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'balance_raw_12863233'!$F$19</f>
        <v/>
      </c>
      <c r="C28" s="24">
        <f>'balance_raw_12863233'!$E$19</f>
        <v/>
      </c>
      <c r="D28" s="24">
        <f>'balance_raw_12863233'!$D$19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'balance_raw_12863233'!$F$20</f>
        <v/>
      </c>
      <c r="C29" s="24">
        <f>'balance_raw_12863233'!$E$20</f>
        <v/>
      </c>
      <c r="D29" s="24">
        <f>'balance_raw_12863233'!$D$20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'balance_raw_12863233'!$F$57</f>
        <v/>
      </c>
      <c r="C30" s="24">
        <f>'balance_raw_12863233'!$E$57</f>
        <v/>
      </c>
      <c r="D30" s="24">
        <f>'balance_raw_12863233'!$D$57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IF('balance_raw_12863233'!$F$31="","—",IF(ABS(B21-'balance_raw_12863233'!$F$31)&lt;=1,"✓ OK","❌ "&amp;TEXT(B21-'balance_raw_12863233'!$F$31,"+#,##0;-#,##0")&amp;" t.kr."))</f>
        <v/>
      </c>
      <c r="C61" s="29">
        <f>IF('balance_raw_12863233'!$E$31="","—",IF(ABS(C21-'balance_raw_12863233'!$E$31)&lt;=1,"✓ OK","❌ "&amp;TEXT(C21-'balance_raw_12863233'!$E$31,"+#,##0;-#,##0")&amp;" t.kr."))</f>
        <v/>
      </c>
      <c r="D61" s="29">
        <f>IF('balance_raw_12863233'!$D$31="","—",IF(ABS(D21-'balance_raw_12863233'!$D$31)&lt;=1,"✓ OK","❌ "&amp;TEXT(D21-'balance_raw_12863233'!$D$31,"+#,##0;-#,##0")&amp;"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IF('balance_raw_12863233'!$F$59="","—",IF(ABS(B25-'balance_raw_12863233'!$F$59)&lt;=1,"✓ OK","❌ "&amp;TEXT(B25-'balance_raw_12863233'!$F$59,"+#,##0;-#,##0")&amp;" t.kr."))</f>
        <v/>
      </c>
      <c r="C62" s="29">
        <f>IF('balance_raw_12863233'!$E$59="","—",IF(ABS(C25-'balance_raw_12863233'!$E$59)&lt;=1,"✓ OK","❌ "&amp;TEXT(C25-'balance_raw_12863233'!$E$59,"+#,##0;-#,##0")&amp;" t.kr."))</f>
        <v/>
      </c>
      <c r="D62" s="29">
        <f>IF('balance_raw_12863233'!$D$59="","—",IF(ABS(D25-'balance_raw_12863233'!$D$59)&lt;=1,"✓ OK","❌ "&amp;TEXT(D25-'balance_raw_12863233'!$D$59,"+#,##0;-#,##0")&amp;"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IF('res_raw_12863233'!$F$6="","—",IF(ABS(B9-'res_raw_12863233'!$F$6)&lt;=1,"✓ OK","❌ "&amp;TEXT(B9-'res_raw_12863233'!$F$6,"+#,##0;-#,##0")&amp;" t.kr."))</f>
        <v/>
      </c>
      <c r="C64" s="29">
        <f>IF('res_raw_12863233'!$E$6="","—",IF(ABS(C9-'res_raw_12863233'!$E$6)&lt;=1,"✓ OK","❌ "&amp;TEXT(C9-'res_raw_12863233'!$E$6,"+#,##0;-#,##0")&amp;" t.kr."))</f>
        <v/>
      </c>
      <c r="D64" s="29">
        <f>IF('res_raw_12863233'!$D$6="","—",IF(ABS(D9-'res_raw_12863233'!$D$6)&lt;=1,"✓ OK","❌ "&amp;TEXT(D9-'res_raw_12863233'!$D$6,"+#,##0;-#,##0")&amp;"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IF('res_raw_12863233'!$F$11="","—",IF(ABS(B13-'res_raw_12863233'!$F$11)&lt;=1,"✓ OK","❌ "&amp;TEXT(B13-'res_raw_12863233'!$F$11,"+#,##0;-#,##0")&amp;" t.kr."))</f>
        <v/>
      </c>
      <c r="C65" s="29">
        <f>IF('res_raw_12863233'!$E$11="","—",IF(ABS(C13-'res_raw_12863233'!$E$11)&lt;=1,"✓ OK","❌ "&amp;TEXT(C13-'res_raw_12863233'!$E$11,"+#,##0;-#,##0")&amp;" t.kr."))</f>
        <v/>
      </c>
      <c r="D65" s="29">
        <f>IF('res_raw_12863233'!$D$11="","—",IF(ABS(D13-'res_raw_12863233'!$D$11)&lt;=1,"✓ OK","❌ "&amp;TEXT(D13-'res_raw_12863233'!$D$11,"+#,##0;-#,##0")&amp;"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IF('res_raw_12863233'!$F$16="","—",IF(ABS(B16-'res_raw_12863233'!$F$16)&lt;=1,"✓ OK","❌ "&amp;TEXT(B16-'res_raw_12863233'!$F$16,"+#,##0;-#,##0")&amp;" t.kr."))</f>
        <v/>
      </c>
      <c r="C66" s="29">
        <f>IF('res_raw_12863233'!$E$16="","—",IF(ABS(C16-'res_raw_12863233'!$E$16)&lt;=1,"✓ OK","❌ "&amp;TEXT(C16-'res_raw_12863233'!$E$16,"+#,##0;-#,##0")&amp;" t.kr."))</f>
        <v/>
      </c>
      <c r="D66" s="29">
        <f>IF('res_raw_12863233'!$D$16="","—",IF(ABS(D16-'res_raw_12863233'!$D$16)&lt;=1,"✓ OK","❌ "&amp;TEXT(D16-'res_raw_12863233'!$D$16,"+#,##0;-#,##0")&amp;"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>
        <v>0</v>
      </c>
      <c r="E3" s="35" t="n">
        <v>0</v>
      </c>
      <c r="F3" s="35" t="n">
        <v>8765</v>
      </c>
      <c r="G3" s="35" t="n">
        <v>8224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fsa:GainsLossesFromCurrentValueAdjustmentsOfFinancialInstrumentsFinanceExpenses</t>
        </is>
      </c>
      <c r="C4" s="37" t="inlineStr">
        <is>
          <t>fsa:GainsLossesFromCurrentValueAdjustmentsOfFinancialInstrumentsFinanceExpenses</t>
        </is>
      </c>
      <c r="D4" s="38" t="n"/>
      <c r="E4" s="38" t="n"/>
      <c r="F4" s="38" t="n">
        <v>0</v>
      </c>
      <c r="G4" s="38" t="n">
        <v>346</v>
      </c>
      <c r="H4" s="38" t="n">
        <v>242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fsa:GainsLossesFromCurrentValueAdjustmentsOfFinancialInstrumentsFinanceIncome</t>
        </is>
      </c>
      <c r="C5" s="34" t="inlineStr">
        <is>
          <t>fsa:GainsLossesFromCurrentValueAdjustmentsOfFinancialInstrumentsFinanceIncome</t>
        </is>
      </c>
      <c r="D5" s="35" t="n"/>
      <c r="E5" s="35" t="n">
        <v>0</v>
      </c>
      <c r="F5" s="35" t="n">
        <v>571</v>
      </c>
      <c r="G5" s="35" t="n">
        <v>0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fsa:LongtermDeferredIncome</t>
        </is>
      </c>
      <c r="C6" s="37" t="inlineStr">
        <is>
          <t>fsa:LongtermDeferredIncome</t>
        </is>
      </c>
      <c r="D6" s="38" t="n">
        <v>2249</v>
      </c>
      <c r="E6" s="38" t="n">
        <v>1771</v>
      </c>
      <c r="F6" s="38" t="n">
        <v>1716</v>
      </c>
      <c r="G6" s="38" t="n">
        <v>1180</v>
      </c>
      <c r="H6" s="38" t="n">
        <v>2242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fsa:LongtermPayablesToAssociates</t>
        </is>
      </c>
      <c r="C7" s="34" t="inlineStr">
        <is>
          <t>fsa:LongtermPayablesToAssociates</t>
        </is>
      </c>
      <c r="D7" s="35" t="n">
        <v>1000</v>
      </c>
      <c r="E7" s="35" t="n">
        <v>1000</v>
      </c>
      <c r="F7" s="35" t="n">
        <v>1000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fsa:RaisingOfLongtermDebt</t>
        </is>
      </c>
      <c r="C8" s="37" t="inlineStr">
        <is>
          <t>fsa:RaisingOfLongtermDebt</t>
        </is>
      </c>
      <c r="D8" s="38" t="n"/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fsa:ReductionOfLeaseCommitments</t>
        </is>
      </c>
      <c r="C9" s="34" t="inlineStr">
        <is>
          <t>fsa:ReductionOfLeaseCommitments</t>
        </is>
      </c>
      <c r="D9" s="35" t="n">
        <v>-603</v>
      </c>
      <c r="E9" s="35" t="n">
        <v>-3864</v>
      </c>
      <c r="F9" s="35" t="n">
        <v>-3691</v>
      </c>
      <c r="G9" s="35" t="n">
        <v>-6571</v>
      </c>
      <c r="H9" s="35" t="n">
        <v>-2895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>
        <v>-3565</v>
      </c>
      <c r="E10" s="38" t="n">
        <v>332</v>
      </c>
      <c r="F10" s="38" t="n">
        <v>-4231</v>
      </c>
      <c r="G10" s="38" t="n">
        <v>-5879</v>
      </c>
      <c r="H10" s="38" t="n">
        <v>-2216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fsa:WorkPerformedByEntityAndCapitalised</t>
        </is>
      </c>
      <c r="C11" s="34" t="inlineStr">
        <is>
          <t>fsa:WorkPerformedByEntityAndCapitalised</t>
        </is>
      </c>
      <c r="D11" s="35" t="n">
        <v>-130</v>
      </c>
      <c r="E11" s="35" t="n">
        <v>-767</v>
      </c>
      <c r="F11" s="35" t="n">
        <v>-3713</v>
      </c>
      <c r="G11" s="35" t="n">
        <v>-5689</v>
      </c>
      <c r="H11" s="35" t="n">
        <v>-1953</v>
      </c>
      <c r="I11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2026-08-28T20:29:38Z</dcterms:created>
  <dcterms:modified xmlns:dcterms="http://purl.org/dc/terms/" xmlns:xsi="http://www.w3.org/2001/XMLSchema-instance" xsi:type="dcterms:W3CDTF">2026-08-28T20:29:38Z</dcterms:modified>
</cp:coreProperties>
</file>