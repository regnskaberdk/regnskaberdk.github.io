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pengestrom_raw_2034278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COMPANY INFORMATION Albatros Travel A/S (CVR 20342781)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'balance_raw_20342781'!$B$2</f>
        <v/>
      </c>
      <c r="C23" s="8">
        <f>'balance_raw_20342781'!$C$2</f>
        <v/>
      </c>
      <c r="D23" s="8">
        <f>'balance_raw_20342781'!$D$2</f>
        <v/>
      </c>
      <c r="E23" s="8">
        <f>'balance_raw_20342781'!$E$2</f>
        <v/>
      </c>
      <c r="F23" s="8">
        <f>'balance_raw_20342781'!$F$2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'balance_raw_20342781'!$B$5</f>
        <v/>
      </c>
      <c r="C26" s="11">
        <f>'balance_raw_20342781'!$C$5</f>
        <v/>
      </c>
      <c r="D26" s="11">
        <f>'balance_raw_20342781'!$D$5</f>
        <v/>
      </c>
      <c r="E26" s="11">
        <f>'balance_raw_20342781'!$E$5</f>
        <v/>
      </c>
      <c r="F26" s="11">
        <f>'balance_raw_20342781'!$F$5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'balance_raw_20342781'!$B$8</f>
        <v/>
      </c>
      <c r="C29" s="8">
        <f>'balance_raw_20342781'!$C$8</f>
        <v/>
      </c>
      <c r="D29" s="8">
        <f>'balance_raw_20342781'!$D$8</f>
        <v/>
      </c>
      <c r="E29" s="8">
        <f>'balance_raw_20342781'!$E$8</f>
        <v/>
      </c>
      <c r="F29" s="8">
        <f>'balance_raw_20342781'!$F$8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'balance_raw_20342781'!$B$12</f>
        <v/>
      </c>
      <c r="C33" s="8">
        <f>'balance_raw_20342781'!$C$12</f>
        <v/>
      </c>
      <c r="D33" s="8">
        <f>'balance_raw_20342781'!$D$12</f>
        <v/>
      </c>
      <c r="E33" s="8">
        <f>'balance_raw_20342781'!$E$12</f>
        <v/>
      </c>
      <c r="F33" s="8">
        <f>'balance_raw_20342781'!$F$12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'balance_raw_20342781'!$B$14</f>
        <v/>
      </c>
      <c r="C35" s="11">
        <f>'balance_raw_20342781'!$C$14</f>
        <v/>
      </c>
      <c r="D35" s="11">
        <f>'balance_raw_20342781'!$D$14</f>
        <v/>
      </c>
      <c r="E35" s="11">
        <f>'balance_raw_20342781'!$E$14</f>
        <v/>
      </c>
      <c r="F35" s="11">
        <f>'balance_raw_20342781'!$F$14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'balance_raw_20342781'!$B$15</f>
        <v/>
      </c>
      <c r="C36" s="11">
        <f>'balance_raw_20342781'!$C$15</f>
        <v/>
      </c>
      <c r="D36" s="11">
        <f>'balance_raw_20342781'!$D$15</f>
        <v/>
      </c>
      <c r="E36" s="11">
        <f>'balance_raw_20342781'!$E$15</f>
        <v/>
      </c>
      <c r="F36" s="11">
        <f>'balance_raw_20342781'!$F$15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'balance_raw_20342781'!$B$16</f>
        <v/>
      </c>
      <c r="C37" s="8">
        <f>'balance_raw_20342781'!$C$16</f>
        <v/>
      </c>
      <c r="D37" s="8">
        <f>'balance_raw_20342781'!$D$16</f>
        <v/>
      </c>
      <c r="E37" s="8">
        <f>'balance_raw_20342781'!$E$16</f>
        <v/>
      </c>
      <c r="F37" s="8">
        <f>'balance_raw_20342781'!$F$16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'balance_raw_20342781'!$B$19</f>
        <v/>
      </c>
      <c r="C40" s="11">
        <f>'balance_raw_20342781'!$C$19</f>
        <v/>
      </c>
      <c r="D40" s="11">
        <f>'balance_raw_20342781'!$D$19</f>
        <v/>
      </c>
      <c r="E40" s="11">
        <f>'balance_raw_20342781'!$E$19</f>
        <v/>
      </c>
      <c r="F40" s="11">
        <f>'balance_raw_20342781'!$F$19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'balance_raw_20342781'!$B$24</f>
        <v/>
      </c>
      <c r="C45" s="8">
        <f>'balance_raw_20342781'!$C$24</f>
        <v/>
      </c>
      <c r="D45" s="8">
        <f>'balance_raw_20342781'!$D$24</f>
        <v/>
      </c>
      <c r="E45" s="8">
        <f>'balance_raw_20342781'!$E$24</f>
        <v/>
      </c>
      <c r="F45" s="8">
        <f>'balance_raw_20342781'!$F$24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'balance_raw_20342781'!$B$28</f>
        <v/>
      </c>
      <c r="C49" s="8">
        <f>'balance_raw_20342781'!$C$28</f>
        <v/>
      </c>
      <c r="D49" s="8">
        <f>'balance_raw_20342781'!$D$28</f>
        <v/>
      </c>
      <c r="E49" s="8">
        <f>'balance_raw_20342781'!$E$28</f>
        <v/>
      </c>
      <c r="F49" s="8">
        <f>'balance_raw_20342781'!$F$28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'balance_raw_20342781'!$B$29</f>
        <v/>
      </c>
      <c r="C50" s="5">
        <f>'balance_raw_20342781'!$C$29</f>
        <v/>
      </c>
      <c r="D50" s="5">
        <f>'balance_raw_20342781'!$D$29</f>
        <v/>
      </c>
      <c r="E50" s="5">
        <f>'balance_raw_20342781'!$E$29</f>
        <v/>
      </c>
      <c r="F50" s="5">
        <f>'balance_raw_20342781'!$F$29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'balance_raw_20342781'!$B$30</f>
        <v/>
      </c>
      <c r="C51" s="11">
        <f>'balance_raw_20342781'!$C$30</f>
        <v/>
      </c>
      <c r="D51" s="11">
        <f>'balance_raw_20342781'!$D$30</f>
        <v/>
      </c>
      <c r="E51" s="11">
        <f>'balance_raw_20342781'!$E$30</f>
        <v/>
      </c>
      <c r="F51" s="11">
        <f>'balance_raw_20342781'!$F$30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'balance_raw_20342781'!$B$31</f>
        <v/>
      </c>
      <c r="C52" s="11">
        <f>'balance_raw_20342781'!$C$31</f>
        <v/>
      </c>
      <c r="D52" s="11">
        <f>'balance_raw_20342781'!$D$31</f>
        <v/>
      </c>
      <c r="E52" s="11">
        <f>'balance_raw_20342781'!$E$31</f>
        <v/>
      </c>
      <c r="F52" s="11">
        <f>'balance_raw_20342781'!$F$31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'balance_raw_20342781'!$B$35</f>
        <v/>
      </c>
      <c r="C58" s="5">
        <f>'balance_raw_20342781'!$C$35</f>
        <v/>
      </c>
      <c r="D58" s="5">
        <f>'balance_raw_20342781'!$D$35</f>
        <v/>
      </c>
      <c r="E58" s="5">
        <f>'balance_raw_20342781'!$E$35</f>
        <v/>
      </c>
      <c r="F58" s="5">
        <f>'balance_raw_20342781'!$F$35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'balance_raw_20342781'!$B$37</f>
        <v/>
      </c>
      <c r="C60" s="5">
        <f>'balance_raw_20342781'!$C$37</f>
        <v/>
      </c>
      <c r="D60" s="5">
        <f>'balance_raw_20342781'!$D$37</f>
        <v/>
      </c>
      <c r="E60" s="5">
        <f>'balance_raw_20342781'!$E$37</f>
        <v/>
      </c>
      <c r="F60" s="5">
        <f>'balance_raw_20342781'!$F$37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'balance_raw_20342781'!$B$38</f>
        <v/>
      </c>
      <c r="C61" s="11">
        <f>'balance_raw_20342781'!$C$38</f>
        <v/>
      </c>
      <c r="D61" s="11">
        <f>'balance_raw_20342781'!$D$38</f>
        <v/>
      </c>
      <c r="E61" s="11">
        <f>'balance_raw_20342781'!$E$38</f>
        <v/>
      </c>
      <c r="F61" s="11">
        <f>'balance_raw_20342781'!$F$38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'balance_raw_20342781'!$B$40</f>
        <v/>
      </c>
      <c r="C63" s="11">
        <f>'balance_raw_20342781'!$C$40</f>
        <v/>
      </c>
      <c r="D63" s="11">
        <f>'balance_raw_20342781'!$D$40</f>
        <v/>
      </c>
      <c r="E63" s="11">
        <f>'balance_raw_20342781'!$E$40</f>
        <v/>
      </c>
      <c r="F63" s="11">
        <f>'balance_raw_20342781'!$F$40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'balance_raw_20342781'!$B$42</f>
        <v/>
      </c>
      <c r="C65" s="8">
        <f>'balance_raw_20342781'!$C$42</f>
        <v/>
      </c>
      <c r="D65" s="8">
        <f>'balance_raw_20342781'!$D$42</f>
        <v/>
      </c>
      <c r="E65" s="8">
        <f>'balance_raw_20342781'!$E$42</f>
        <v/>
      </c>
      <c r="F65" s="8">
        <f>'balance_raw_20342781'!$F$42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'balance_raw_20342781'!$B$45</f>
        <v/>
      </c>
      <c r="C68" s="11">
        <f>'balance_raw_20342781'!$C$45</f>
        <v/>
      </c>
      <c r="D68" s="11">
        <f>'balance_raw_20342781'!$D$45</f>
        <v/>
      </c>
      <c r="E68" s="11">
        <f>'balance_raw_20342781'!$E$45</f>
        <v/>
      </c>
      <c r="F68" s="11">
        <f>'balance_raw_20342781'!$F$45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'balance_raw_20342781'!$B$54</f>
        <v/>
      </c>
      <c r="C77" s="8">
        <f>'balance_raw_20342781'!$C$54</f>
        <v/>
      </c>
      <c r="D77" s="8">
        <f>'balance_raw_20342781'!$D$54</f>
        <v/>
      </c>
      <c r="E77" s="8">
        <f>'balance_raw_20342781'!$E$54</f>
        <v/>
      </c>
      <c r="F77" s="8">
        <f>'balance_raw_20342781'!$F$54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'balance_raw_20342781'!$B$55</f>
        <v/>
      </c>
      <c r="C78" s="5">
        <f>'balance_raw_20342781'!$C$55</f>
        <v/>
      </c>
      <c r="D78" s="5">
        <f>'balance_raw_20342781'!$D$55</f>
        <v/>
      </c>
      <c r="E78" s="5">
        <f>'balance_raw_20342781'!$E$55</f>
        <v/>
      </c>
      <c r="F78" s="5">
        <f>'balance_raw_20342781'!$F$55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'balance_raw_20342781'!$B$56</f>
        <v/>
      </c>
      <c r="C79" s="8">
        <f>'balance_raw_20342781'!$C$56</f>
        <v/>
      </c>
      <c r="D79" s="8">
        <f>'balance_raw_20342781'!$D$56</f>
        <v/>
      </c>
      <c r="E79" s="8">
        <f>'balance_raw_20342781'!$E$56</f>
        <v/>
      </c>
      <c r="F79" s="8">
        <f>'balance_raw_20342781'!$F$56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'balance_raw_20342781'!$B$57</f>
        <v/>
      </c>
      <c r="C80" s="11">
        <f>'balance_raw_20342781'!$C$57</f>
        <v/>
      </c>
      <c r="D80" s="11">
        <f>'balance_raw_20342781'!$D$57</f>
        <v/>
      </c>
      <c r="E80" s="11">
        <f>'balance_raw_20342781'!$E$57</f>
        <v/>
      </c>
      <c r="F80" s="11">
        <f>'balance_raw_20342781'!$F$57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'balance_raw_20342781'!$B$58</f>
        <v/>
      </c>
      <c r="C81" s="11">
        <f>'balance_raw_20342781'!$C$58</f>
        <v/>
      </c>
      <c r="D81" s="11">
        <f>'balance_raw_20342781'!$D$58</f>
        <v/>
      </c>
      <c r="E81" s="11">
        <f>'balance_raw_20342781'!$E$58</f>
        <v/>
      </c>
      <c r="F81" s="11">
        <f>'balance_raw_20342781'!$F$58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'balance_raw_20342781'!$B$59</f>
        <v/>
      </c>
      <c r="C82" s="11">
        <f>'balance_raw_20342781'!$C$59</f>
        <v/>
      </c>
      <c r="D82" s="11">
        <f>'balance_raw_20342781'!$D$59</f>
        <v/>
      </c>
      <c r="E82" s="11">
        <f>'balance_raw_20342781'!$E$59</f>
        <v/>
      </c>
      <c r="F82" s="11">
        <f>'balance_raw_20342781'!$F$59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'res_raw_20342781'!$B$19</f>
        <v/>
      </c>
      <c r="C85" s="8">
        <f>'res_raw_20342781'!$C$19</f>
        <v/>
      </c>
      <c r="D85" s="8">
        <f>'res_raw_20342781'!$D$19</f>
        <v/>
      </c>
      <c r="E85" s="8">
        <f>'res_raw_20342781'!$E$19</f>
        <v/>
      </c>
      <c r="F85" s="8">
        <f>'res_raw_20342781'!$F$19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'res_raw_20342781'!$B$20</f>
        <v/>
      </c>
      <c r="C86" s="5">
        <f>'res_raw_20342781'!$C$20</f>
        <v/>
      </c>
      <c r="D86" s="5">
        <f>'res_raw_20342781'!$D$20</f>
        <v/>
      </c>
      <c r="E86" s="5">
        <f>'res_raw_20342781'!$E$20</f>
        <v/>
      </c>
      <c r="F86" s="5">
        <f>'res_raw_20342781'!$F$20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'pengestrom_raw_20342781'!$B$2</f>
        <v/>
      </c>
      <c r="C102" s="17">
        <f>'pengestrom_raw_20342781'!$C$2</f>
        <v/>
      </c>
      <c r="D102" s="17">
        <f>'pengestrom_raw_20342781'!$D$2</f>
        <v/>
      </c>
      <c r="E102" s="17">
        <f>'pengestrom_raw_20342781'!$E$2</f>
        <v/>
      </c>
      <c r="F102" s="17">
        <f>'pengestrom_raw_20342781'!$F$2</f>
        <v/>
      </c>
    </row>
    <row r="103">
      <c r="A103" s="16" t="inlineStr">
        <is>
          <t>Pengestrømme fra investeringsaktivitet</t>
        </is>
      </c>
      <c r="B103" s="17">
        <f>'pengestrom_raw_20342781'!$B$3</f>
        <v/>
      </c>
      <c r="C103" s="17">
        <f>'pengestrom_raw_20342781'!$C$3</f>
        <v/>
      </c>
      <c r="D103" s="17">
        <f>'pengestrom_raw_20342781'!$D$3</f>
        <v/>
      </c>
      <c r="E103" s="17">
        <f>'pengestrom_raw_20342781'!$E$3</f>
        <v/>
      </c>
      <c r="F103" s="17">
        <f>'pengestrom_raw_20342781'!$F$3</f>
        <v/>
      </c>
    </row>
    <row r="104">
      <c r="A104" s="16" t="inlineStr">
        <is>
          <t>Pengestrømme fra finansieringsaktivitet</t>
        </is>
      </c>
      <c r="B104" s="17">
        <f>'pengestrom_raw_20342781'!$B$4</f>
        <v/>
      </c>
      <c r="C104" s="17">
        <f>'pengestrom_raw_20342781'!$C$4</f>
        <v/>
      </c>
      <c r="D104" s="17">
        <f>'pengestrom_raw_20342781'!$D$4</f>
        <v/>
      </c>
      <c r="E104" s="17">
        <f>'pengestrom_raw_20342781'!$E$4</f>
        <v/>
      </c>
      <c r="F104" s="17">
        <f>'pengestrom_raw_20342781'!$F$4</f>
        <v/>
      </c>
    </row>
    <row r="105">
      <c r="A105" s="16" t="inlineStr">
        <is>
          <t>Årets pengestrøm (rapporteret)</t>
        </is>
      </c>
      <c r="B105" s="17">
        <f>'pengestrom_raw_20342781'!$B$5</f>
        <v/>
      </c>
      <c r="C105" s="17">
        <f>'pengestrom_raw_20342781'!$C$5</f>
        <v/>
      </c>
      <c r="D105" s="17">
        <f>'pengestrom_raw_20342781'!$D$5</f>
        <v/>
      </c>
      <c r="E105" s="17">
        <f>'pengestrom_raw_20342781'!$E$5</f>
        <v/>
      </c>
      <c r="F105" s="17">
        <f>'pengestrom_raw_20342781'!$F$5</f>
        <v/>
      </c>
    </row>
    <row r="106">
      <c r="A106" s="16" t="inlineStr">
        <is>
          <t>Krydstjek: drift + inv. + fin. = årets pengestrøm</t>
        </is>
      </c>
      <c r="B106">
        <f>IF(ABS(('pengestrom_raw_20342781'!$B$2+'pengestrom_raw_20342781'!$B$3+'pengestrom_raw_20342781'!$B$4)-'pengestrom_raw_20342781'!$B$5)&lt;=2,"✓","⚠ "&amp;TEXT(('pengestrom_raw_20342781'!$B$2+'pengestrom_raw_20342781'!$B$3+'pengestrom_raw_20342781'!$B$4)-'pengestrom_raw_20342781'!$B$5,"+#,##0;-#,##0"))</f>
        <v/>
      </c>
      <c r="C106">
        <f>IF(ABS(('pengestrom_raw_20342781'!$C$2+'pengestrom_raw_20342781'!$C$3+'pengestrom_raw_20342781'!$C$4)-'pengestrom_raw_20342781'!$C$5)&lt;=2,"✓","⚠ "&amp;TEXT(('pengestrom_raw_20342781'!$C$2+'pengestrom_raw_20342781'!$C$3+'pengestrom_raw_20342781'!$C$4)-'pengestrom_raw_20342781'!$C$5,"+#,##0;-#,##0"))</f>
        <v/>
      </c>
      <c r="D106">
        <f>IF(ABS(('pengestrom_raw_20342781'!$D$2+'pengestrom_raw_20342781'!$D$3+'pengestrom_raw_20342781'!$D$4)-'pengestrom_raw_20342781'!$D$5)&lt;=2,"✓","⚠ "&amp;TEXT(('pengestrom_raw_20342781'!$D$2+'pengestrom_raw_20342781'!$D$3+'pengestrom_raw_20342781'!$D$4)-'pengestrom_raw_20342781'!$D$5,"+#,##0;-#,##0"))</f>
        <v/>
      </c>
      <c r="E106">
        <f>IF(ABS(('pengestrom_raw_20342781'!$E$2+'pengestrom_raw_20342781'!$E$3+'pengestrom_raw_20342781'!$E$4)-'pengestrom_raw_20342781'!$E$5)&lt;=2,"✓","⚠ "&amp;TEXT(('pengestrom_raw_20342781'!$E$2+'pengestrom_raw_20342781'!$E$3+'pengestrom_raw_20342781'!$E$4)-'pengestrom_raw_20342781'!$E$5,"+#,##0;-#,##0"))</f>
        <v/>
      </c>
      <c r="F106">
        <f>IF(ABS(('pengestrom_raw_20342781'!$F$2+'pengestrom_raw_20342781'!$F$3+'pengestrom_raw_20342781'!$F$4)-'pengestrom_raw_20342781'!$F$5)&lt;=2,"✓","⚠ "&amp;TEXT(('pengestrom_raw_20342781'!$F$2+'pengestrom_raw_20342781'!$F$3+'pengestrom_raw_20342781'!$F$4)-'pengestrom_raw_20342781'!$F$5,"+#,##0;-#,##0"))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148384</v>
      </c>
      <c r="C2" s="17" t="n">
        <v>500231</v>
      </c>
      <c r="D2" s="17" t="n">
        <v>733382</v>
      </c>
      <c r="E2" s="17" t="n">
        <v>764561</v>
      </c>
      <c r="F2" s="17" t="n">
        <v>753144</v>
      </c>
    </row>
    <row r="3">
      <c r="A3" s="16" t="inlineStr">
        <is>
          <t>Andre driftsindtægter</t>
        </is>
      </c>
      <c r="B3" s="17" t="n">
        <v>3776</v>
      </c>
      <c r="C3" s="17" t="n">
        <v>3118</v>
      </c>
      <c r="D3" s="17" t="n">
        <v>125</v>
      </c>
      <c r="E3" s="17" t="n">
        <v>1205</v>
      </c>
      <c r="F3" s="17" t="n">
        <v>0</v>
      </c>
    </row>
    <row r="4">
      <c r="A4" s="16" t="inlineStr">
        <is>
          <t>Vareforbrug</t>
        </is>
      </c>
      <c r="B4" s="17" t="n">
        <v>100089</v>
      </c>
      <c r="C4" s="17" t="n">
        <v>389803</v>
      </c>
      <c r="D4" s="17" t="n">
        <v>585067</v>
      </c>
      <c r="E4" s="17" t="n">
        <v>606632</v>
      </c>
      <c r="F4" s="17" t="n">
        <v>580086</v>
      </c>
    </row>
    <row r="5">
      <c r="A5" s="16" t="inlineStr">
        <is>
          <t>Andre eksterne omkostninger</t>
        </is>
      </c>
      <c r="B5" s="17" t="n">
        <v>29979</v>
      </c>
      <c r="C5" s="17" t="n">
        <v>47483</v>
      </c>
      <c r="D5" s="17" t="n">
        <v>59696</v>
      </c>
      <c r="E5" s="17" t="n">
        <v>64182</v>
      </c>
      <c r="F5" s="17" t="n">
        <v>73085</v>
      </c>
    </row>
    <row r="6">
      <c r="A6" s="15" t="inlineStr">
        <is>
          <t>Bruttoresultat</t>
        </is>
      </c>
      <c r="B6" s="17" t="n">
        <v>48296</v>
      </c>
      <c r="C6" s="17" t="n">
        <v>110429</v>
      </c>
      <c r="D6" s="17" t="n">
        <v>148315</v>
      </c>
      <c r="E6" s="17" t="n">
        <v>157929</v>
      </c>
      <c r="F6" s="17" t="n">
        <v>173058</v>
      </c>
    </row>
    <row r="7">
      <c r="A7" s="16" t="inlineStr">
        <is>
          <t>Personaleomkostninger</t>
        </is>
      </c>
      <c r="B7" s="17" t="n">
        <v>32684</v>
      </c>
      <c r="C7" s="17" t="n">
        <v>43563</v>
      </c>
      <c r="D7" s="17" t="n">
        <v>53902</v>
      </c>
      <c r="E7" s="17" t="n">
        <v>58428</v>
      </c>
      <c r="F7" s="17" t="n">
        <v>65674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2217</v>
      </c>
      <c r="C9" s="17" t="n">
        <v>1913</v>
      </c>
      <c r="D9" s="17" t="n">
        <v>1016</v>
      </c>
      <c r="E9" s="17" t="n">
        <v>2971</v>
      </c>
      <c r="F9" s="17" t="n">
        <v>6882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-10591</v>
      </c>
      <c r="C11" s="17" t="n">
        <v>22500</v>
      </c>
      <c r="D11" s="17" t="n">
        <v>34842</v>
      </c>
      <c r="E11" s="17" t="n">
        <v>36523</v>
      </c>
      <c r="F11" s="17" t="n">
        <v>27417</v>
      </c>
    </row>
    <row r="12">
      <c r="A12" s="16" t="inlineStr">
        <is>
          <t>Indtægter af kapitalandele, dattervirksomheder</t>
        </is>
      </c>
      <c r="B12" s="17" t="n">
        <v>-43</v>
      </c>
      <c r="C12" s="17" t="n">
        <v>-1377</v>
      </c>
      <c r="D12" s="17" t="n">
        <v>-39</v>
      </c>
      <c r="E12" s="17" t="n">
        <v>-19</v>
      </c>
      <c r="F12" s="17" t="n">
        <v>-21</v>
      </c>
    </row>
    <row r="13">
      <c r="A13" s="16" t="inlineStr">
        <is>
          <t>Finansielle indtægter</t>
        </is>
      </c>
      <c r="B13" s="17" t="n">
        <v>7810</v>
      </c>
      <c r="C13" s="17" t="n">
        <v>2519</v>
      </c>
      <c r="D13" s="17" t="n">
        <v>19126</v>
      </c>
      <c r="E13" s="17" t="n">
        <v>20566</v>
      </c>
      <c r="F13" s="17" t="n">
        <v>9921</v>
      </c>
    </row>
    <row r="14">
      <c r="A14" s="16" t="inlineStr">
        <is>
          <t>Finansielle omkostninger</t>
        </is>
      </c>
      <c r="B14" s="17" t="n">
        <v>4406</v>
      </c>
      <c r="C14" s="17" t="n">
        <v>21288</v>
      </c>
      <c r="D14" s="17" t="n">
        <v>5723</v>
      </c>
      <c r="E14" s="17" t="n">
        <v>5589</v>
      </c>
      <c r="F14" s="17" t="n">
        <v>5594</v>
      </c>
    </row>
    <row r="15">
      <c r="A15" s="15" t="inlineStr">
        <is>
          <t>Finansielle poster, netto</t>
        </is>
      </c>
      <c r="B15" s="17" t="n">
        <v>4813</v>
      </c>
      <c r="C15" s="17" t="n">
        <v>-17128</v>
      </c>
      <c r="D15" s="17" t="n">
        <v>16628</v>
      </c>
      <c r="E15" s="17" t="n">
        <v>19080</v>
      </c>
      <c r="F15" s="17" t="n">
        <v>8134</v>
      </c>
    </row>
    <row r="16">
      <c r="A16" s="15" t="inlineStr">
        <is>
          <t>Resultat før skat</t>
        </is>
      </c>
      <c r="B16" s="17" t="n">
        <v>-8037</v>
      </c>
      <c r="C16" s="17" t="n">
        <v>2081</v>
      </c>
      <c r="D16" s="17" t="n">
        <v>50416</v>
      </c>
      <c r="E16" s="17" t="n">
        <v>52613</v>
      </c>
      <c r="F16" s="17" t="n">
        <v>35529</v>
      </c>
    </row>
    <row r="17">
      <c r="A17" s="16" t="inlineStr">
        <is>
          <t>Skat af årets resultat</t>
        </is>
      </c>
      <c r="B17" s="17" t="n">
        <v>-1802</v>
      </c>
      <c r="C17" s="17" t="n">
        <v>724</v>
      </c>
      <c r="D17" s="17" t="n">
        <v>11021</v>
      </c>
      <c r="E17" s="17" t="n">
        <v>11509</v>
      </c>
      <c r="F17" s="17" t="n">
        <v>7982</v>
      </c>
    </row>
    <row r="18">
      <c r="A18" s="15" t="inlineStr">
        <is>
          <t>Årets resultat</t>
        </is>
      </c>
      <c r="B18" s="17" t="n">
        <v>-6236</v>
      </c>
      <c r="C18" s="17" t="n">
        <v>1357</v>
      </c>
      <c r="D18" s="17" t="n">
        <v>39395</v>
      </c>
      <c r="E18" s="17" t="n">
        <v>41104</v>
      </c>
      <c r="F18" s="17" t="n">
        <v>27547</v>
      </c>
    </row>
    <row r="19">
      <c r="A19" s="16" t="inlineStr">
        <is>
          <t>Gns. antal medarbejdere</t>
        </is>
      </c>
      <c r="B19" s="17" t="n">
        <v>75</v>
      </c>
      <c r="C19" s="17" t="n">
        <v>84</v>
      </c>
      <c r="D19" s="17" t="n">
        <v>105</v>
      </c>
      <c r="E19" s="17" t="n">
        <v>112</v>
      </c>
      <c r="F19" s="17" t="n">
        <v>121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19129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3029</v>
      </c>
      <c r="C5" s="17" t="n">
        <v>1641</v>
      </c>
      <c r="D5" s="17" t="n">
        <v>7422</v>
      </c>
      <c r="E5" s="17" t="n">
        <v>17209</v>
      </c>
      <c r="F5" s="17" t="n">
        <v>19129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1329</v>
      </c>
      <c r="C8" s="17" t="n">
        <v>1367</v>
      </c>
      <c r="D8" s="17" t="n">
        <v>1828</v>
      </c>
      <c r="E8" s="17" t="n">
        <v>2006</v>
      </c>
      <c r="F8" s="17" t="n">
        <v>2224</v>
      </c>
    </row>
    <row r="9">
      <c r="A9" s="16" t="inlineStr">
        <is>
          <t>Indretning af lejede lokaler</t>
        </is>
      </c>
      <c r="B9" s="17" t="n">
        <v>282</v>
      </c>
      <c r="C9" s="17" t="n">
        <v>230</v>
      </c>
      <c r="D9" s="17" t="n">
        <v>282</v>
      </c>
      <c r="E9" s="17" t="n">
        <v>629</v>
      </c>
      <c r="F9" s="17" t="n">
        <v>1077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1611</v>
      </c>
      <c r="C11" s="17" t="n">
        <v>1598</v>
      </c>
      <c r="D11" s="17" t="n">
        <v>2110</v>
      </c>
      <c r="E11" s="17" t="n">
        <v>2635</v>
      </c>
      <c r="F11" s="17" t="n">
        <v>3301</v>
      </c>
    </row>
    <row r="12">
      <c r="A12" s="16" t="inlineStr">
        <is>
          <t>Kapitalandele, dattervirksomheder</t>
        </is>
      </c>
      <c r="B12" s="17" t="n">
        <v>1908</v>
      </c>
      <c r="C12" s="17" t="n">
        <v>630</v>
      </c>
      <c r="D12" s="17" t="n">
        <v>557</v>
      </c>
      <c r="E12" s="17" t="n">
        <v>535</v>
      </c>
      <c r="F12" s="17" t="n">
        <v>517</v>
      </c>
    </row>
    <row r="13">
      <c r="A13" s="16" t="inlineStr">
        <is>
          <t>Deposita</t>
        </is>
      </c>
      <c r="B13" s="17" t="n">
        <v>1978</v>
      </c>
      <c r="C13" s="17" t="n">
        <v>2048</v>
      </c>
      <c r="D13" s="17" t="n">
        <v>2251</v>
      </c>
      <c r="E13" s="17" t="n">
        <v>2322</v>
      </c>
      <c r="F13" s="17" t="n">
        <v>2395</v>
      </c>
    </row>
    <row r="14">
      <c r="A14" s="15" t="inlineStr">
        <is>
          <t>Finansielle anlægsaktiver</t>
        </is>
      </c>
      <c r="B14" s="17" t="n">
        <v>3886</v>
      </c>
      <c r="C14" s="17" t="n">
        <v>2678</v>
      </c>
      <c r="D14" s="17" t="n">
        <v>2808</v>
      </c>
      <c r="E14" s="17" t="n">
        <v>2856</v>
      </c>
      <c r="F14" s="17" t="n">
        <v>23400</v>
      </c>
    </row>
    <row r="15">
      <c r="A15" s="15" t="inlineStr">
        <is>
          <t>Anlægsaktiver</t>
        </is>
      </c>
      <c r="B15" s="17" t="n">
        <v>8526</v>
      </c>
      <c r="C15" s="17" t="n">
        <v>5917</v>
      </c>
      <c r="D15" s="17" t="n">
        <v>12340</v>
      </c>
      <c r="E15" s="17" t="n">
        <v>22701</v>
      </c>
      <c r="F15" s="17" t="n">
        <v>45830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1054</v>
      </c>
      <c r="C18" s="17" t="n">
        <v>875</v>
      </c>
      <c r="D18" s="17" t="n">
        <v>773</v>
      </c>
      <c r="E18" s="17" t="n">
        <v>707</v>
      </c>
      <c r="F18" s="17" t="n"/>
    </row>
    <row r="19">
      <c r="A19" s="15" t="inlineStr">
        <is>
          <t>Varebeholdninger</t>
        </is>
      </c>
      <c r="B19" s="17" t="n">
        <v>1054</v>
      </c>
      <c r="C19" s="17" t="n">
        <v>875</v>
      </c>
      <c r="D19" s="17" t="n">
        <v>773</v>
      </c>
      <c r="E19" s="17" t="n">
        <v>707</v>
      </c>
      <c r="F19" s="17" t="n">
        <v>588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7339</v>
      </c>
      <c r="C22" s="17" t="n">
        <v>6520</v>
      </c>
      <c r="D22" s="17" t="n">
        <v>15127</v>
      </c>
      <c r="E22" s="17" t="n">
        <v>10443</v>
      </c>
      <c r="F22" s="17" t="n">
        <v>5018</v>
      </c>
    </row>
    <row r="23">
      <c r="A23" s="16" t="inlineStr">
        <is>
          <t>Periodeafgrænsningsposter (aktiver)</t>
        </is>
      </c>
      <c r="B23" s="17" t="n">
        <v>60291</v>
      </c>
      <c r="C23" s="17" t="n">
        <v>104318</v>
      </c>
      <c r="D23" s="17" t="n">
        <v>109748</v>
      </c>
      <c r="E23" s="17" t="n">
        <v>120618</v>
      </c>
      <c r="F23" s="17" t="n">
        <v>95433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4410</v>
      </c>
      <c r="C26" s="17" t="n">
        <v>3686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170237</v>
      </c>
      <c r="C27" s="17" t="n">
        <v>203893</v>
      </c>
      <c r="D27" s="17" t="n">
        <v>214187</v>
      </c>
      <c r="E27" s="17" t="n">
        <v>223205</v>
      </c>
      <c r="F27" s="17" t="n">
        <v>159472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>
        <v>117088</v>
      </c>
    </row>
    <row r="29">
      <c r="A29" s="16" t="inlineStr">
        <is>
          <t>Likvide beholdninger</t>
        </is>
      </c>
      <c r="B29" s="17" t="n">
        <v>139441</v>
      </c>
      <c r="C29" s="17" t="n">
        <v>163802</v>
      </c>
      <c r="D29" s="17" t="n">
        <v>173499</v>
      </c>
      <c r="E29" s="17" t="n">
        <v>177942</v>
      </c>
      <c r="F29" s="17" t="n">
        <v>78965</v>
      </c>
    </row>
    <row r="30">
      <c r="A30" s="15" t="inlineStr">
        <is>
          <t>Omsætningsaktiver</t>
        </is>
      </c>
      <c r="B30" s="17" t="n">
        <v>310731</v>
      </c>
      <c r="C30" s="17" t="n">
        <v>368570</v>
      </c>
      <c r="D30" s="17" t="n">
        <v>388460</v>
      </c>
      <c r="E30" s="17" t="n">
        <v>401854</v>
      </c>
      <c r="F30" s="17" t="n">
        <v>356113</v>
      </c>
    </row>
    <row r="31">
      <c r="A31" s="15" t="inlineStr">
        <is>
          <t>Aktiver</t>
        </is>
      </c>
      <c r="B31" s="17" t="n">
        <v>319257</v>
      </c>
      <c r="C31" s="17" t="n">
        <v>374487</v>
      </c>
      <c r="D31" s="17" t="n">
        <v>400800</v>
      </c>
      <c r="E31" s="17" t="n">
        <v>424555</v>
      </c>
      <c r="F31" s="17" t="n">
        <v>401943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32948</v>
      </c>
      <c r="C37" s="17" t="n">
        <v>34404</v>
      </c>
      <c r="D37" s="17" t="n">
        <v>61800</v>
      </c>
      <c r="E37" s="17" t="n">
        <v>82903</v>
      </c>
      <c r="F37" s="17" t="n">
        <v>110454</v>
      </c>
    </row>
    <row r="38">
      <c r="A38" s="15" t="inlineStr">
        <is>
          <t>Egenkapital i alt</t>
        </is>
      </c>
      <c r="B38" s="17" t="n">
        <v>34972</v>
      </c>
      <c r="C38" s="17" t="n">
        <v>35061</v>
      </c>
      <c r="D38" s="17" t="n">
        <v>61532</v>
      </c>
      <c r="E38" s="17" t="n">
        <v>109174</v>
      </c>
      <c r="F38" s="17" t="n">
        <v>102344</v>
      </c>
    </row>
    <row r="39">
      <c r="A39" s="16" t="inlineStr">
        <is>
          <t>Hensættelse til udskudt skat</t>
        </is>
      </c>
      <c r="B39" s="17" t="n">
        <v>4392</v>
      </c>
      <c r="C39" s="17" t="n">
        <v>8341</v>
      </c>
      <c r="D39" s="17" t="n">
        <v>12499</v>
      </c>
      <c r="E39" s="17" t="n">
        <v>9407</v>
      </c>
      <c r="F39" s="17" t="n">
        <v>12524</v>
      </c>
    </row>
    <row r="40">
      <c r="A40" s="15" t="inlineStr">
        <is>
          <t>Hensatte forpligtelser</t>
        </is>
      </c>
      <c r="B40" s="17" t="n">
        <v>4392</v>
      </c>
      <c r="C40" s="17" t="n">
        <v>8341</v>
      </c>
      <c r="D40" s="17" t="n">
        <v>12499</v>
      </c>
      <c r="E40" s="17" t="n">
        <v>9407</v>
      </c>
      <c r="F40" s="17" t="n">
        <v>12524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38533</v>
      </c>
      <c r="C42" s="17" t="n">
        <v>26866</v>
      </c>
      <c r="D42" s="17" t="n">
        <v>15199</v>
      </c>
      <c r="E42" s="17" t="n">
        <v>3532</v>
      </c>
      <c r="F42" s="17" t="n">
        <v>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106574</v>
      </c>
      <c r="C45" s="17" t="n">
        <v>82454</v>
      </c>
      <c r="D45" s="17" t="n">
        <v>58468</v>
      </c>
      <c r="E45" s="17" t="n">
        <v>34480</v>
      </c>
      <c r="F45" s="17" t="n">
        <v>18668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31467</v>
      </c>
      <c r="C47" s="17" t="n">
        <v>24167</v>
      </c>
      <c r="D47" s="17" t="n">
        <v>24167</v>
      </c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>
        <v>24167</v>
      </c>
      <c r="F48" s="17" t="n">
        <v>12500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5170</v>
      </c>
      <c r="C50" s="17" t="n">
        <v>16946</v>
      </c>
      <c r="D50" s="17" t="n">
        <v>21410</v>
      </c>
      <c r="E50" s="17" t="n">
        <v>16612</v>
      </c>
      <c r="F50" s="17" t="n">
        <v>15199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/>
      <c r="D53" s="17" t="n">
        <v>6725</v>
      </c>
      <c r="E53" s="17" t="n">
        <v>14456</v>
      </c>
      <c r="F53" s="17" t="n">
        <v>4573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18323</v>
      </c>
      <c r="C55" s="17" t="n">
        <v>17254</v>
      </c>
      <c r="D55" s="17" t="n">
        <v>30127</v>
      </c>
      <c r="E55" s="17" t="n">
        <v>27169</v>
      </c>
      <c r="F55" s="17" t="n">
        <v>40338</v>
      </c>
    </row>
    <row r="56">
      <c r="A56" s="16" t="inlineStr">
        <is>
          <t>Periodeafgrænsningsposter (passiver)</t>
        </is>
      </c>
      <c r="B56" s="17" t="n">
        <v>117471</v>
      </c>
      <c r="C56" s="17" t="n">
        <v>186718</v>
      </c>
      <c r="D56" s="17" t="n">
        <v>181762</v>
      </c>
      <c r="E56" s="17" t="n">
        <v>189090</v>
      </c>
      <c r="F56" s="17" t="n">
        <v>195797</v>
      </c>
    </row>
    <row r="57">
      <c r="A57" s="15" t="inlineStr">
        <is>
          <t>Kortfristede gældsforpligtelser</t>
        </is>
      </c>
      <c r="B57" s="17" t="n">
        <v>173320</v>
      </c>
      <c r="C57" s="17" t="n">
        <v>248630</v>
      </c>
      <c r="D57" s="17" t="n">
        <v>268301</v>
      </c>
      <c r="E57" s="17" t="n">
        <v>271494</v>
      </c>
      <c r="F57" s="17" t="n">
        <v>268406</v>
      </c>
    </row>
    <row r="58">
      <c r="A58" s="15" t="inlineStr">
        <is>
          <t>Gældsforpligtelser</t>
        </is>
      </c>
      <c r="B58" s="17" t="n">
        <v>279894</v>
      </c>
      <c r="C58" s="17" t="n">
        <v>331085</v>
      </c>
      <c r="D58" s="17" t="n">
        <v>326769</v>
      </c>
      <c r="E58" s="17" t="n">
        <v>305974</v>
      </c>
      <c r="F58" s="17" t="n">
        <v>287075</v>
      </c>
    </row>
    <row r="59">
      <c r="A59" s="15" t="inlineStr">
        <is>
          <t>Passiver</t>
        </is>
      </c>
      <c r="B59" s="17" t="n">
        <v>319257</v>
      </c>
      <c r="C59" s="17" t="n">
        <v>374487</v>
      </c>
      <c r="D59" s="17" t="n">
        <v>400800</v>
      </c>
      <c r="E59" s="17" t="n">
        <v>424555</v>
      </c>
      <c r="F59" s="17" t="n">
        <v>401943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52588</v>
      </c>
      <c r="C2" s="17" t="n">
        <v>47686</v>
      </c>
      <c r="D2" s="17" t="n">
        <v>41120</v>
      </c>
      <c r="E2" s="17" t="n">
        <v>53764</v>
      </c>
      <c r="F2" s="17" t="n">
        <v>63443</v>
      </c>
    </row>
    <row r="3">
      <c r="A3" s="16" t="inlineStr">
        <is>
          <t>Pengestrømme fra investeringsaktivitet</t>
        </is>
      </c>
      <c r="B3" s="17" t="n">
        <v>-7764</v>
      </c>
      <c r="C3" s="17" t="n">
        <v>16154</v>
      </c>
      <c r="D3" s="17" t="n">
        <v>-16481</v>
      </c>
      <c r="E3" s="17" t="n">
        <v>-26377</v>
      </c>
      <c r="F3" s="17" t="n">
        <v>-959</v>
      </c>
    </row>
    <row r="4">
      <c r="A4" s="16" t="inlineStr">
        <is>
          <t>Pengestrømme fra finansieringsaktivitet</t>
        </is>
      </c>
      <c r="B4" s="17" t="n">
        <v>-18688</v>
      </c>
      <c r="C4" s="17" t="n">
        <v>-24119</v>
      </c>
      <c r="D4" s="17" t="n">
        <v>-23986</v>
      </c>
      <c r="E4" s="17" t="n">
        <v>-35988</v>
      </c>
      <c r="F4" s="17" t="n">
        <v>-35812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COMPANY INFORMATION Albatros Travel A/S (CVR 20342781) — Regnskabs- og nøgletal (CVR: 20342781)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'balance_raw_20342781'!$F$15</f>
        <v/>
      </c>
      <c r="C19" s="24">
        <f>'balance_raw_20342781'!$E$15</f>
        <v/>
      </c>
      <c r="D19" s="24">
        <f>'balance_raw_20342781'!$D$15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'balance_raw_20342781'!$F$30</f>
        <v/>
      </c>
      <c r="C20" s="24">
        <f>'balance_raw_20342781'!$E$30</f>
        <v/>
      </c>
      <c r="D20" s="24">
        <f>'balance_raw_20342781'!$D$30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'balance_raw_20342781'!$F$38</f>
        <v/>
      </c>
      <c r="C23" s="24">
        <f>'balance_raw_20342781'!$E$38</f>
        <v/>
      </c>
      <c r="D23" s="24">
        <f>'balance_raw_20342781'!$D$38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'balance_raw_20342781'!$F$59-'balance_raw_20342781'!$F$38</f>
        <v/>
      </c>
      <c r="C24" s="24">
        <f>'balance_raw_20342781'!$E$59-'balance_raw_20342781'!$E$38</f>
        <v/>
      </c>
      <c r="D24" s="24">
        <f>'balance_raw_20342781'!$D$59-'balance_raw_20342781'!$D$38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'balance_raw_20342781'!$F$19</f>
        <v/>
      </c>
      <c r="C28" s="24">
        <f>'balance_raw_20342781'!$E$19</f>
        <v/>
      </c>
      <c r="D28" s="24">
        <f>'balance_raw_20342781'!$D$19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'balance_raw_20342781'!$F$20</f>
        <v/>
      </c>
      <c r="C29" s="24">
        <f>'balance_raw_20342781'!$E$20</f>
        <v/>
      </c>
      <c r="D29" s="24">
        <f>'balance_raw_20342781'!$D$20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'balance_raw_20342781'!$F$57</f>
        <v/>
      </c>
      <c r="C30" s="24">
        <f>'balance_raw_20342781'!$E$57</f>
        <v/>
      </c>
      <c r="D30" s="24">
        <f>'balance_raw_20342781'!$D$57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IF('balance_raw_20342781'!$F$31="","—",IF(ABS(B21-'balance_raw_20342781'!$F$31)&lt;=1,"✓ OK","❌ "&amp;TEXT(B21-'balance_raw_20342781'!$F$31,"+#,##0;-#,##0")&amp;" t.kr."))</f>
        <v/>
      </c>
      <c r="C61" s="29">
        <f>IF('balance_raw_20342781'!$E$31="","—",IF(ABS(C21-'balance_raw_20342781'!$E$31)&lt;=1,"✓ OK","❌ "&amp;TEXT(C21-'balance_raw_20342781'!$E$31,"+#,##0;-#,##0")&amp;" t.kr."))</f>
        <v/>
      </c>
      <c r="D61" s="29">
        <f>IF('balance_raw_20342781'!$D$31="","—",IF(ABS(D21-'balance_raw_20342781'!$D$31)&lt;=1,"✓ OK","❌ "&amp;TEXT(D21-'balance_raw_20342781'!$D$31,"+#,##0;-#,##0")&amp;"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IF('balance_raw_20342781'!$F$59="","—",IF(ABS(B25-'balance_raw_20342781'!$F$59)&lt;=1,"✓ OK","❌ "&amp;TEXT(B25-'balance_raw_20342781'!$F$59,"+#,##0;-#,##0")&amp;" t.kr."))</f>
        <v/>
      </c>
      <c r="C62" s="29">
        <f>IF('balance_raw_20342781'!$E$59="","—",IF(ABS(C25-'balance_raw_20342781'!$E$59)&lt;=1,"✓ OK","❌ "&amp;TEXT(C25-'balance_raw_20342781'!$E$59,"+#,##0;-#,##0")&amp;" t.kr."))</f>
        <v/>
      </c>
      <c r="D62" s="29">
        <f>IF('balance_raw_20342781'!$D$59="","—",IF(ABS(D25-'balance_raw_20342781'!$D$59)&lt;=1,"✓ OK","❌ "&amp;TEXT(D25-'balance_raw_20342781'!$D$59,"+#,##0;-#,##0")&amp;"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COMPANY INFORMATION Albatros Travel A/S (CVR 20342781)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/>
      <c r="H3" s="35" t="n">
        <v>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1408</v>
      </c>
      <c r="E4" s="38" t="n">
        <v>1641</v>
      </c>
      <c r="F4" s="38" t="n">
        <v>3225</v>
      </c>
      <c r="G4" s="38" t="n">
        <v>4103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1024</v>
      </c>
      <c r="E5" s="35" t="n">
        <v>-343</v>
      </c>
      <c r="F5" s="35" t="n">
        <v>-13269</v>
      </c>
      <c r="G5" s="35" t="n">
        <v>5270</v>
      </c>
      <c r="H5" s="35" t="n">
        <v>-9110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890</v>
      </c>
      <c r="E6" s="38" t="n">
        <v>3545</v>
      </c>
      <c r="F6" s="38" t="n">
        <v>4110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2026-09-10T15:34:53Z</dcterms:created>
  <dcterms:modified xmlns:dcterms="http://purl.org/dc/terms/" xmlns:xsi="http://www.w3.org/2001/XMLSchema-instance" xsi:type="dcterms:W3CDTF">2026-09-10T15:34:54Z</dcterms:modified>
</cp:coreProperties>
</file>