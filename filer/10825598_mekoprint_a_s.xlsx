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0825598" sheetId="1" state="visible" r:id="rId1"/>
    <sheet xmlns:r="http://schemas.openxmlformats.org/officeDocument/2006/relationships" name="res_raw_10825598" sheetId="2" state="visible" r:id="rId2"/>
    <sheet xmlns:r="http://schemas.openxmlformats.org/officeDocument/2006/relationships" name="balance_raw_10825598" sheetId="3" state="visible" r:id="rId3"/>
    <sheet xmlns:r="http://schemas.openxmlformats.org/officeDocument/2006/relationships" name="pengestrom_raw_10825598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Mekoprint A/S (CVR 10825598) — Regnskabsanalyse – Resultatopgørelse &amp; Balance (t.kr.) · Klasse C-stor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'res_raw_10825598'!$B$2</f>
        <v/>
      </c>
      <c r="C4" s="5">
        <f>'res_raw_10825598'!$C$2</f>
        <v/>
      </c>
      <c r="D4" s="5">
        <f>'res_raw_10825598'!$D$2</f>
        <v/>
      </c>
      <c r="E4" s="5">
        <f>'res_raw_10825598'!$E$2</f>
        <v/>
      </c>
      <c r="F4" s="5">
        <f>'res_raw_10825598'!$F$2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'res_raw_10825598'!$B$3</f>
        <v/>
      </c>
      <c r="C5" s="8">
        <f>'res_raw_10825598'!$C$3</f>
        <v/>
      </c>
      <c r="D5" s="8">
        <f>'res_raw_10825598'!$D$3</f>
        <v/>
      </c>
      <c r="E5" s="8">
        <f>'res_raw_10825598'!$E$3</f>
        <v/>
      </c>
      <c r="F5" s="8">
        <f>'res_raw_10825598'!$F$3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'res_raw_10825598'!$B$4</f>
        <v/>
      </c>
      <c r="C6" s="5">
        <f>'res_raw_10825598'!$C$4</f>
        <v/>
      </c>
      <c r="D6" s="5">
        <f>'res_raw_10825598'!$D$4</f>
        <v/>
      </c>
      <c r="E6" s="5">
        <f>'res_raw_10825598'!$E$4</f>
        <v/>
      </c>
      <c r="F6" s="5">
        <f>'res_raw_10825598'!$F$4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'res_raw_10825598'!$B$5</f>
        <v/>
      </c>
      <c r="C7" s="8">
        <f>'res_raw_10825598'!$C$5</f>
        <v/>
      </c>
      <c r="D7" s="8">
        <f>'res_raw_10825598'!$D$5</f>
        <v/>
      </c>
      <c r="E7" s="8">
        <f>'res_raw_10825598'!$E$5</f>
        <v/>
      </c>
      <c r="F7" s="8">
        <f>'res_raw_10825598'!$F$5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'res_raw_10825598'!$B$6</f>
        <v/>
      </c>
      <c r="C8" s="11">
        <f>'res_raw_10825598'!$C$6</f>
        <v/>
      </c>
      <c r="D8" s="11">
        <f>'res_raw_10825598'!$D$6</f>
        <v/>
      </c>
      <c r="E8" s="11">
        <f>'res_raw_10825598'!$E$6</f>
        <v/>
      </c>
      <c r="F8" s="11">
        <f>'res_raw_10825598'!$F$6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'res_raw_10825598'!$B$7</f>
        <v/>
      </c>
      <c r="C9" s="8">
        <f>'res_raw_10825598'!$C$7</f>
        <v/>
      </c>
      <c r="D9" s="8">
        <f>'res_raw_10825598'!$D$7</f>
        <v/>
      </c>
      <c r="E9" s="8">
        <f>'res_raw_10825598'!$E$7</f>
        <v/>
      </c>
      <c r="F9" s="8">
        <f>'res_raw_10825598'!$F$7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'res_raw_10825598'!$B$9</f>
        <v/>
      </c>
      <c r="C11" s="8">
        <f>'res_raw_10825598'!$C$9</f>
        <v/>
      </c>
      <c r="D11" s="8">
        <f>'res_raw_10825598'!$D$9</f>
        <v/>
      </c>
      <c r="E11" s="8">
        <f>'res_raw_10825598'!$E$9</f>
        <v/>
      </c>
      <c r="F11" s="8">
        <f>'res_raw_10825598'!$F$9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'res_raw_10825598'!$B$10</f>
        <v/>
      </c>
      <c r="C12" s="5">
        <f>'res_raw_10825598'!$C$10</f>
        <v/>
      </c>
      <c r="D12" s="5">
        <f>'res_raw_10825598'!$D$10</f>
        <v/>
      </c>
      <c r="E12" s="5">
        <f>'res_raw_10825598'!$E$10</f>
        <v/>
      </c>
      <c r="F12" s="5">
        <f>'res_raw_10825598'!$F$10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'res_raw_10825598'!$B$11</f>
        <v/>
      </c>
      <c r="C13" s="11">
        <f>'res_raw_10825598'!$C$11</f>
        <v/>
      </c>
      <c r="D13" s="11">
        <f>'res_raw_10825598'!$D$11</f>
        <v/>
      </c>
      <c r="E13" s="11">
        <f>'res_raw_10825598'!$E$11</f>
        <v/>
      </c>
      <c r="F13" s="11">
        <f>'res_raw_10825598'!$F$11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'res_raw_10825598'!$B$12</f>
        <v/>
      </c>
      <c r="C14" s="5">
        <f>'res_raw_10825598'!$C$12</f>
        <v/>
      </c>
      <c r="D14" s="5">
        <f>'res_raw_10825598'!$D$12</f>
        <v/>
      </c>
      <c r="E14" s="5">
        <f>'res_raw_10825598'!$E$12</f>
        <v/>
      </c>
      <c r="F14" s="5">
        <f>'res_raw_10825598'!$F$12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'res_raw_10825598'!$B$13</f>
        <v/>
      </c>
      <c r="C15" s="8">
        <f>'res_raw_10825598'!$C$13</f>
        <v/>
      </c>
      <c r="D15" s="8">
        <f>'res_raw_10825598'!$D$13</f>
        <v/>
      </c>
      <c r="E15" s="8">
        <f>'res_raw_10825598'!$E$13</f>
        <v/>
      </c>
      <c r="F15" s="8">
        <f>'res_raw_10825598'!$F$13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'res_raw_10825598'!$B$14</f>
        <v/>
      </c>
      <c r="C16" s="5">
        <f>'res_raw_10825598'!$C$14</f>
        <v/>
      </c>
      <c r="D16" s="5">
        <f>'res_raw_10825598'!$D$14</f>
        <v/>
      </c>
      <c r="E16" s="5">
        <f>'res_raw_10825598'!$E$14</f>
        <v/>
      </c>
      <c r="F16" s="5">
        <f>'res_raw_10825598'!$F$14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'res_raw_10825598'!$B$15</f>
        <v/>
      </c>
      <c r="C17" s="11">
        <f>'res_raw_10825598'!$C$15</f>
        <v/>
      </c>
      <c r="D17" s="11">
        <f>'res_raw_10825598'!$D$15</f>
        <v/>
      </c>
      <c r="E17" s="11">
        <f>'res_raw_10825598'!$E$15</f>
        <v/>
      </c>
      <c r="F17" s="11">
        <f>'res_raw_10825598'!$F$15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'res_raw_10825598'!$B$16</f>
        <v/>
      </c>
      <c r="C18" s="11">
        <f>'res_raw_10825598'!$C$16</f>
        <v/>
      </c>
      <c r="D18" s="11">
        <f>'res_raw_10825598'!$D$16</f>
        <v/>
      </c>
      <c r="E18" s="11">
        <f>'res_raw_10825598'!$E$16</f>
        <v/>
      </c>
      <c r="F18" s="11">
        <f>'res_raw_10825598'!$F$16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'res_raw_10825598'!$B$17</f>
        <v/>
      </c>
      <c r="C19" s="8">
        <f>'res_raw_10825598'!$C$17</f>
        <v/>
      </c>
      <c r="D19" s="8">
        <f>'res_raw_10825598'!$D$17</f>
        <v/>
      </c>
      <c r="E19" s="8">
        <f>'res_raw_10825598'!$E$17</f>
        <v/>
      </c>
      <c r="F19" s="8">
        <f>'res_raw_10825598'!$F$17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'res_raw_10825598'!$B$18</f>
        <v/>
      </c>
      <c r="C20" s="11">
        <f>'res_raw_10825598'!$C$18</f>
        <v/>
      </c>
      <c r="D20" s="11">
        <f>'res_raw_10825598'!$D$18</f>
        <v/>
      </c>
      <c r="E20" s="11">
        <f>'res_raw_10825598'!$E$18</f>
        <v/>
      </c>
      <c r="F20" s="11">
        <f>'res_raw_10825598'!$F$18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'balance_raw_10825598'!$B$2</f>
        <v/>
      </c>
      <c r="C23" s="8">
        <f>'balance_raw_10825598'!$C$2</f>
        <v/>
      </c>
      <c r="D23" s="8">
        <f>'balance_raw_10825598'!$D$2</f>
        <v/>
      </c>
      <c r="E23" s="8">
        <f>'balance_raw_10825598'!$E$2</f>
        <v/>
      </c>
      <c r="F23" s="8">
        <f>'balance_raw_10825598'!$F$2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'balance_raw_10825598'!$B$3</f>
        <v/>
      </c>
      <c r="C24" s="5">
        <f>'balance_raw_10825598'!$C$3</f>
        <v/>
      </c>
      <c r="D24" s="5">
        <f>'balance_raw_10825598'!$D$3</f>
        <v/>
      </c>
      <c r="E24" s="5">
        <f>'balance_raw_10825598'!$E$3</f>
        <v/>
      </c>
      <c r="F24" s="5">
        <f>'balance_raw_10825598'!$F$3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'balance_raw_10825598'!$B$4</f>
        <v/>
      </c>
      <c r="C25" s="8">
        <f>'balance_raw_10825598'!$C$4</f>
        <v/>
      </c>
      <c r="D25" s="8">
        <f>'balance_raw_10825598'!$D$4</f>
        <v/>
      </c>
      <c r="E25" s="8">
        <f>'balance_raw_10825598'!$E$4</f>
        <v/>
      </c>
      <c r="F25" s="8">
        <f>'balance_raw_10825598'!$F$4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'balance_raw_10825598'!$B$5</f>
        <v/>
      </c>
      <c r="C26" s="11">
        <f>'balance_raw_10825598'!$C$5</f>
        <v/>
      </c>
      <c r="D26" s="11">
        <f>'balance_raw_10825598'!$D$5</f>
        <v/>
      </c>
      <c r="E26" s="11">
        <f>'balance_raw_10825598'!$E$5</f>
        <v/>
      </c>
      <c r="F26" s="11">
        <f>'balance_raw_10825598'!$F$5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'balance_raw_10825598'!$B$6</f>
        <v/>
      </c>
      <c r="C27" s="8">
        <f>'balance_raw_10825598'!$C$6</f>
        <v/>
      </c>
      <c r="D27" s="8">
        <f>'balance_raw_10825598'!$D$6</f>
        <v/>
      </c>
      <c r="E27" s="8">
        <f>'balance_raw_10825598'!$E$6</f>
        <v/>
      </c>
      <c r="F27" s="8">
        <f>'balance_raw_10825598'!$F$6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'balance_raw_10825598'!$B$7</f>
        <v/>
      </c>
      <c r="C28" s="5">
        <f>'balance_raw_10825598'!$C$7</f>
        <v/>
      </c>
      <c r="D28" s="5">
        <f>'balance_raw_10825598'!$D$7</f>
        <v/>
      </c>
      <c r="E28" s="5">
        <f>'balance_raw_10825598'!$E$7</f>
        <v/>
      </c>
      <c r="F28" s="5">
        <f>'balance_raw_10825598'!$F$7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'balance_raw_10825598'!$B$8</f>
        <v/>
      </c>
      <c r="C29" s="8">
        <f>'balance_raw_10825598'!$C$8</f>
        <v/>
      </c>
      <c r="D29" s="8">
        <f>'balance_raw_10825598'!$D$8</f>
        <v/>
      </c>
      <c r="E29" s="8">
        <f>'balance_raw_10825598'!$E$8</f>
        <v/>
      </c>
      <c r="F29" s="8">
        <f>'balance_raw_10825598'!$F$8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'balance_raw_10825598'!$B$9</f>
        <v/>
      </c>
      <c r="C30" s="5">
        <f>'balance_raw_10825598'!$C$9</f>
        <v/>
      </c>
      <c r="D30" s="5">
        <f>'balance_raw_10825598'!$D$9</f>
        <v/>
      </c>
      <c r="E30" s="5">
        <f>'balance_raw_10825598'!$E$9</f>
        <v/>
      </c>
      <c r="F30" s="5">
        <f>'balance_raw_10825598'!$F$9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'balance_raw_10825598'!$B$10</f>
        <v/>
      </c>
      <c r="C31" s="8">
        <f>'balance_raw_10825598'!$C$10</f>
        <v/>
      </c>
      <c r="D31" s="8">
        <f>'balance_raw_10825598'!$D$10</f>
        <v/>
      </c>
      <c r="E31" s="8">
        <f>'balance_raw_10825598'!$E$10</f>
        <v/>
      </c>
      <c r="F31" s="8">
        <f>'balance_raw_10825598'!$F$10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'balance_raw_10825598'!$B$11</f>
        <v/>
      </c>
      <c r="C32" s="11">
        <f>'balance_raw_10825598'!$C$11</f>
        <v/>
      </c>
      <c r="D32" s="11">
        <f>'balance_raw_10825598'!$D$11</f>
        <v/>
      </c>
      <c r="E32" s="11">
        <f>'balance_raw_10825598'!$E$11</f>
        <v/>
      </c>
      <c r="F32" s="11">
        <f>'balance_raw_10825598'!$F$11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'balance_raw_10825598'!$B$12</f>
        <v/>
      </c>
      <c r="C33" s="8">
        <f>'balance_raw_10825598'!$C$12</f>
        <v/>
      </c>
      <c r="D33" s="8">
        <f>'balance_raw_10825598'!$D$12</f>
        <v/>
      </c>
      <c r="E33" s="8">
        <f>'balance_raw_10825598'!$E$12</f>
        <v/>
      </c>
      <c r="F33" s="8">
        <f>'balance_raw_10825598'!$F$12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'balance_raw_10825598'!$B$13</f>
        <v/>
      </c>
      <c r="C34" s="5">
        <f>'balance_raw_10825598'!$C$13</f>
        <v/>
      </c>
      <c r="D34" s="5">
        <f>'balance_raw_10825598'!$D$13</f>
        <v/>
      </c>
      <c r="E34" s="5">
        <f>'balance_raw_10825598'!$E$13</f>
        <v/>
      </c>
      <c r="F34" s="5">
        <f>'balance_raw_10825598'!$F$13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'balance_raw_10825598'!$B$14</f>
        <v/>
      </c>
      <c r="C35" s="11">
        <f>'balance_raw_10825598'!$C$14</f>
        <v/>
      </c>
      <c r="D35" s="11">
        <f>'balance_raw_10825598'!$D$14</f>
        <v/>
      </c>
      <c r="E35" s="11">
        <f>'balance_raw_10825598'!$E$14</f>
        <v/>
      </c>
      <c r="F35" s="11">
        <f>'balance_raw_10825598'!$F$14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'balance_raw_10825598'!$B$15</f>
        <v/>
      </c>
      <c r="C36" s="11">
        <f>'balance_raw_10825598'!$C$15</f>
        <v/>
      </c>
      <c r="D36" s="11">
        <f>'balance_raw_10825598'!$D$15</f>
        <v/>
      </c>
      <c r="E36" s="11">
        <f>'balance_raw_10825598'!$E$15</f>
        <v/>
      </c>
      <c r="F36" s="11">
        <f>'balance_raw_10825598'!$F$15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'balance_raw_10825598'!$B$16</f>
        <v/>
      </c>
      <c r="C37" s="8">
        <f>'balance_raw_10825598'!$C$16</f>
        <v/>
      </c>
      <c r="D37" s="8">
        <f>'balance_raw_10825598'!$D$16</f>
        <v/>
      </c>
      <c r="E37" s="8">
        <f>'balance_raw_10825598'!$E$16</f>
        <v/>
      </c>
      <c r="F37" s="8">
        <f>'balance_raw_10825598'!$F$16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'balance_raw_10825598'!$B$17</f>
        <v/>
      </c>
      <c r="C38" s="5">
        <f>'balance_raw_10825598'!$C$17</f>
        <v/>
      </c>
      <c r="D38" s="5">
        <f>'balance_raw_10825598'!$D$17</f>
        <v/>
      </c>
      <c r="E38" s="5">
        <f>'balance_raw_10825598'!$E$17</f>
        <v/>
      </c>
      <c r="F38" s="5">
        <f>'balance_raw_10825598'!$F$17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'balance_raw_10825598'!$B$18</f>
        <v/>
      </c>
      <c r="C39" s="8">
        <f>'balance_raw_10825598'!$C$18</f>
        <v/>
      </c>
      <c r="D39" s="8">
        <f>'balance_raw_10825598'!$D$18</f>
        <v/>
      </c>
      <c r="E39" s="8">
        <f>'balance_raw_10825598'!$E$18</f>
        <v/>
      </c>
      <c r="F39" s="8">
        <f>'balance_raw_10825598'!$F$18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'balance_raw_10825598'!$B$19</f>
        <v/>
      </c>
      <c r="C40" s="11">
        <f>'balance_raw_10825598'!$C$19</f>
        <v/>
      </c>
      <c r="D40" s="11">
        <f>'balance_raw_10825598'!$D$19</f>
        <v/>
      </c>
      <c r="E40" s="11">
        <f>'balance_raw_10825598'!$E$19</f>
        <v/>
      </c>
      <c r="F40" s="11">
        <f>'balance_raw_10825598'!$F$19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'balance_raw_10825598'!$B$20</f>
        <v/>
      </c>
      <c r="C41" s="8">
        <f>'balance_raw_10825598'!$C$20</f>
        <v/>
      </c>
      <c r="D41" s="8">
        <f>'balance_raw_10825598'!$D$20</f>
        <v/>
      </c>
      <c r="E41" s="8">
        <f>'balance_raw_10825598'!$E$20</f>
        <v/>
      </c>
      <c r="F41" s="8">
        <f>'balance_raw_10825598'!$F$20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'balance_raw_10825598'!$B$21</f>
        <v/>
      </c>
      <c r="C42" s="5">
        <f>'balance_raw_10825598'!$C$21</f>
        <v/>
      </c>
      <c r="D42" s="5">
        <f>'balance_raw_10825598'!$D$21</f>
        <v/>
      </c>
      <c r="E42" s="5">
        <f>'balance_raw_10825598'!$E$21</f>
        <v/>
      </c>
      <c r="F42" s="5">
        <f>'balance_raw_10825598'!$F$21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'balance_raw_10825598'!$B$22</f>
        <v/>
      </c>
      <c r="C43" s="8">
        <f>'balance_raw_10825598'!$C$22</f>
        <v/>
      </c>
      <c r="D43" s="8">
        <f>'balance_raw_10825598'!$D$22</f>
        <v/>
      </c>
      <c r="E43" s="8">
        <f>'balance_raw_10825598'!$E$22</f>
        <v/>
      </c>
      <c r="F43" s="8">
        <f>'balance_raw_10825598'!$F$22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'balance_raw_10825598'!$B$23</f>
        <v/>
      </c>
      <c r="C44" s="5">
        <f>'balance_raw_10825598'!$C$23</f>
        <v/>
      </c>
      <c r="D44" s="5">
        <f>'balance_raw_10825598'!$D$23</f>
        <v/>
      </c>
      <c r="E44" s="5">
        <f>'balance_raw_10825598'!$E$23</f>
        <v/>
      </c>
      <c r="F44" s="5">
        <f>'balance_raw_10825598'!$F$23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'balance_raw_10825598'!$B$24</f>
        <v/>
      </c>
      <c r="C45" s="8">
        <f>'balance_raw_10825598'!$C$24</f>
        <v/>
      </c>
      <c r="D45" s="8">
        <f>'balance_raw_10825598'!$D$24</f>
        <v/>
      </c>
      <c r="E45" s="8">
        <f>'balance_raw_10825598'!$E$24</f>
        <v/>
      </c>
      <c r="F45" s="8">
        <f>'balance_raw_10825598'!$F$24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'balance_raw_10825598'!$B$25</f>
        <v/>
      </c>
      <c r="C46" s="5">
        <f>'balance_raw_10825598'!$C$25</f>
        <v/>
      </c>
      <c r="D46" s="5">
        <f>'balance_raw_10825598'!$D$25</f>
        <v/>
      </c>
      <c r="E46" s="5">
        <f>'balance_raw_10825598'!$E$25</f>
        <v/>
      </c>
      <c r="F46" s="5">
        <f>'balance_raw_10825598'!$F$25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'balance_raw_10825598'!$B$26</f>
        <v/>
      </c>
      <c r="C47" s="8">
        <f>'balance_raw_10825598'!$C$26</f>
        <v/>
      </c>
      <c r="D47" s="8">
        <f>'balance_raw_10825598'!$D$26</f>
        <v/>
      </c>
      <c r="E47" s="8">
        <f>'balance_raw_10825598'!$E$26</f>
        <v/>
      </c>
      <c r="F47" s="8">
        <f>'balance_raw_10825598'!$F$26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'balance_raw_10825598'!$B$27</f>
        <v/>
      </c>
      <c r="C48" s="11">
        <f>'balance_raw_10825598'!$C$27</f>
        <v/>
      </c>
      <c r="D48" s="11">
        <f>'balance_raw_10825598'!$D$27</f>
        <v/>
      </c>
      <c r="E48" s="11">
        <f>'balance_raw_10825598'!$E$27</f>
        <v/>
      </c>
      <c r="F48" s="11">
        <f>'balance_raw_10825598'!$F$27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'balance_raw_10825598'!$B$28</f>
        <v/>
      </c>
      <c r="C49" s="8">
        <f>'balance_raw_10825598'!$C$28</f>
        <v/>
      </c>
      <c r="D49" s="8">
        <f>'balance_raw_10825598'!$D$28</f>
        <v/>
      </c>
      <c r="E49" s="8">
        <f>'balance_raw_10825598'!$E$28</f>
        <v/>
      </c>
      <c r="F49" s="8">
        <f>'balance_raw_10825598'!$F$28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'balance_raw_10825598'!$B$29</f>
        <v/>
      </c>
      <c r="C50" s="5">
        <f>'balance_raw_10825598'!$C$29</f>
        <v/>
      </c>
      <c r="D50" s="5">
        <f>'balance_raw_10825598'!$D$29</f>
        <v/>
      </c>
      <c r="E50" s="5">
        <f>'balance_raw_10825598'!$E$29</f>
        <v/>
      </c>
      <c r="F50" s="5">
        <f>'balance_raw_10825598'!$F$29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'balance_raw_10825598'!$B$30</f>
        <v/>
      </c>
      <c r="C51" s="11">
        <f>'balance_raw_10825598'!$C$30</f>
        <v/>
      </c>
      <c r="D51" s="11">
        <f>'balance_raw_10825598'!$D$30</f>
        <v/>
      </c>
      <c r="E51" s="11">
        <f>'balance_raw_10825598'!$E$30</f>
        <v/>
      </c>
      <c r="F51" s="11">
        <f>'balance_raw_10825598'!$F$30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'balance_raw_10825598'!$B$31</f>
        <v/>
      </c>
      <c r="C52" s="11">
        <f>'balance_raw_10825598'!$C$31</f>
        <v/>
      </c>
      <c r="D52" s="11">
        <f>'balance_raw_10825598'!$D$31</f>
        <v/>
      </c>
      <c r="E52" s="11">
        <f>'balance_raw_10825598'!$E$31</f>
        <v/>
      </c>
      <c r="F52" s="11">
        <f>'balance_raw_10825598'!$F$31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'balance_raw_10825598'!$B$32</f>
        <v/>
      </c>
      <c r="C55" s="8">
        <f>'balance_raw_10825598'!$C$32</f>
        <v/>
      </c>
      <c r="D55" s="8">
        <f>'balance_raw_10825598'!$D$32</f>
        <v/>
      </c>
      <c r="E55" s="8">
        <f>'balance_raw_10825598'!$E$32</f>
        <v/>
      </c>
      <c r="F55" s="8">
        <f>'balance_raw_10825598'!$F$32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'balance_raw_10825598'!$B$33</f>
        <v/>
      </c>
      <c r="C56" s="5">
        <f>'balance_raw_10825598'!$C$33</f>
        <v/>
      </c>
      <c r="D56" s="5">
        <f>'balance_raw_10825598'!$D$33</f>
        <v/>
      </c>
      <c r="E56" s="5">
        <f>'balance_raw_10825598'!$E$33</f>
        <v/>
      </c>
      <c r="F56" s="5">
        <f>'balance_raw_10825598'!$F$33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'balance_raw_10825598'!$B$34</f>
        <v/>
      </c>
      <c r="C57" s="8">
        <f>'balance_raw_10825598'!$C$34</f>
        <v/>
      </c>
      <c r="D57" s="8">
        <f>'balance_raw_10825598'!$D$34</f>
        <v/>
      </c>
      <c r="E57" s="8">
        <f>'balance_raw_10825598'!$E$34</f>
        <v/>
      </c>
      <c r="F57" s="8">
        <f>'balance_raw_10825598'!$F$34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'balance_raw_10825598'!$B$35</f>
        <v/>
      </c>
      <c r="C58" s="5">
        <f>'balance_raw_10825598'!$C$35</f>
        <v/>
      </c>
      <c r="D58" s="5">
        <f>'balance_raw_10825598'!$D$35</f>
        <v/>
      </c>
      <c r="E58" s="5">
        <f>'balance_raw_10825598'!$E$35</f>
        <v/>
      </c>
      <c r="F58" s="5">
        <f>'balance_raw_10825598'!$F$35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'balance_raw_10825598'!$B$36</f>
        <v/>
      </c>
      <c r="C59" s="8">
        <f>'balance_raw_10825598'!$C$36</f>
        <v/>
      </c>
      <c r="D59" s="8">
        <f>'balance_raw_10825598'!$D$36</f>
        <v/>
      </c>
      <c r="E59" s="8">
        <f>'balance_raw_10825598'!$E$36</f>
        <v/>
      </c>
      <c r="F59" s="8">
        <f>'balance_raw_10825598'!$F$36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'balance_raw_10825598'!$B$37</f>
        <v/>
      </c>
      <c r="C60" s="5">
        <f>'balance_raw_10825598'!$C$37</f>
        <v/>
      </c>
      <c r="D60" s="5">
        <f>'balance_raw_10825598'!$D$37</f>
        <v/>
      </c>
      <c r="E60" s="5">
        <f>'balance_raw_10825598'!$E$37</f>
        <v/>
      </c>
      <c r="F60" s="5">
        <f>'balance_raw_10825598'!$F$37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'balance_raw_10825598'!$B$38</f>
        <v/>
      </c>
      <c r="C61" s="11">
        <f>'balance_raw_10825598'!$C$38</f>
        <v/>
      </c>
      <c r="D61" s="11">
        <f>'balance_raw_10825598'!$D$38</f>
        <v/>
      </c>
      <c r="E61" s="11">
        <f>'balance_raw_10825598'!$E$38</f>
        <v/>
      </c>
      <c r="F61" s="11">
        <f>'balance_raw_10825598'!$F$38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'balance_raw_10825598'!$B$39</f>
        <v/>
      </c>
      <c r="C62" s="5">
        <f>'balance_raw_10825598'!$C$39</f>
        <v/>
      </c>
      <c r="D62" s="5">
        <f>'balance_raw_10825598'!$D$39</f>
        <v/>
      </c>
      <c r="E62" s="5">
        <f>'balance_raw_10825598'!$E$39</f>
        <v/>
      </c>
      <c r="F62" s="5">
        <f>'balance_raw_10825598'!$F$39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'balance_raw_10825598'!$B$40</f>
        <v/>
      </c>
      <c r="C63" s="11">
        <f>'balance_raw_10825598'!$C$40</f>
        <v/>
      </c>
      <c r="D63" s="11">
        <f>'balance_raw_10825598'!$D$40</f>
        <v/>
      </c>
      <c r="E63" s="11">
        <f>'balance_raw_10825598'!$E$40</f>
        <v/>
      </c>
      <c r="F63" s="11">
        <f>'balance_raw_10825598'!$F$40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'balance_raw_10825598'!$B$41</f>
        <v/>
      </c>
      <c r="C64" s="5">
        <f>'balance_raw_10825598'!$C$41</f>
        <v/>
      </c>
      <c r="D64" s="5">
        <f>'balance_raw_10825598'!$D$41</f>
        <v/>
      </c>
      <c r="E64" s="5">
        <f>'balance_raw_10825598'!$E$41</f>
        <v/>
      </c>
      <c r="F64" s="5">
        <f>'balance_raw_10825598'!$F$41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'balance_raw_10825598'!$B$42</f>
        <v/>
      </c>
      <c r="C65" s="8">
        <f>'balance_raw_10825598'!$C$42</f>
        <v/>
      </c>
      <c r="D65" s="8">
        <f>'balance_raw_10825598'!$D$42</f>
        <v/>
      </c>
      <c r="E65" s="8">
        <f>'balance_raw_10825598'!$E$42</f>
        <v/>
      </c>
      <c r="F65" s="8">
        <f>'balance_raw_10825598'!$F$42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'balance_raw_10825598'!$B$43</f>
        <v/>
      </c>
      <c r="C66" s="5">
        <f>'balance_raw_10825598'!$C$43</f>
        <v/>
      </c>
      <c r="D66" s="5">
        <f>'balance_raw_10825598'!$D$43</f>
        <v/>
      </c>
      <c r="E66" s="5">
        <f>'balance_raw_10825598'!$E$43</f>
        <v/>
      </c>
      <c r="F66" s="5">
        <f>'balance_raw_10825598'!$F$43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'balance_raw_10825598'!$B$44</f>
        <v/>
      </c>
      <c r="C67" s="8">
        <f>'balance_raw_10825598'!$C$44</f>
        <v/>
      </c>
      <c r="D67" s="8">
        <f>'balance_raw_10825598'!$D$44</f>
        <v/>
      </c>
      <c r="E67" s="8">
        <f>'balance_raw_10825598'!$E$44</f>
        <v/>
      </c>
      <c r="F67" s="8">
        <f>'balance_raw_10825598'!$F$44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'balance_raw_10825598'!$B$45</f>
        <v/>
      </c>
      <c r="C68" s="11">
        <f>'balance_raw_10825598'!$C$45</f>
        <v/>
      </c>
      <c r="D68" s="11">
        <f>'balance_raw_10825598'!$D$45</f>
        <v/>
      </c>
      <c r="E68" s="11">
        <f>'balance_raw_10825598'!$E$45</f>
        <v/>
      </c>
      <c r="F68" s="11">
        <f>'balance_raw_10825598'!$F$45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'balance_raw_10825598'!$B$46</f>
        <v/>
      </c>
      <c r="C69" s="8">
        <f>'balance_raw_10825598'!$C$46</f>
        <v/>
      </c>
      <c r="D69" s="8">
        <f>'balance_raw_10825598'!$D$46</f>
        <v/>
      </c>
      <c r="E69" s="8">
        <f>'balance_raw_10825598'!$E$46</f>
        <v/>
      </c>
      <c r="F69" s="8">
        <f>'balance_raw_10825598'!$F$46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'balance_raw_10825598'!$B$47</f>
        <v/>
      </c>
      <c r="C70" s="5">
        <f>'balance_raw_10825598'!$C$47</f>
        <v/>
      </c>
      <c r="D70" s="5">
        <f>'balance_raw_10825598'!$D$47</f>
        <v/>
      </c>
      <c r="E70" s="5">
        <f>'balance_raw_10825598'!$E$47</f>
        <v/>
      </c>
      <c r="F70" s="5">
        <f>'balance_raw_10825598'!$F$47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'balance_raw_10825598'!$B$48</f>
        <v/>
      </c>
      <c r="C71" s="8">
        <f>'balance_raw_10825598'!$C$48</f>
        <v/>
      </c>
      <c r="D71" s="8">
        <f>'balance_raw_10825598'!$D$48</f>
        <v/>
      </c>
      <c r="E71" s="8">
        <f>'balance_raw_10825598'!$E$48</f>
        <v/>
      </c>
      <c r="F71" s="8">
        <f>'balance_raw_10825598'!$F$48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'balance_raw_10825598'!$B$49</f>
        <v/>
      </c>
      <c r="C72" s="5">
        <f>'balance_raw_10825598'!$C$49</f>
        <v/>
      </c>
      <c r="D72" s="5">
        <f>'balance_raw_10825598'!$D$49</f>
        <v/>
      </c>
      <c r="E72" s="5">
        <f>'balance_raw_10825598'!$E$49</f>
        <v/>
      </c>
      <c r="F72" s="5">
        <f>'balance_raw_10825598'!$F$49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'balance_raw_10825598'!$B$50</f>
        <v/>
      </c>
      <c r="C73" s="8">
        <f>'balance_raw_10825598'!$C$50</f>
        <v/>
      </c>
      <c r="D73" s="8">
        <f>'balance_raw_10825598'!$D$50</f>
        <v/>
      </c>
      <c r="E73" s="8">
        <f>'balance_raw_10825598'!$E$50</f>
        <v/>
      </c>
      <c r="F73" s="8">
        <f>'balance_raw_10825598'!$F$50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'balance_raw_10825598'!$B$51</f>
        <v/>
      </c>
      <c r="C74" s="5">
        <f>'balance_raw_10825598'!$C$51</f>
        <v/>
      </c>
      <c r="D74" s="5">
        <f>'balance_raw_10825598'!$D$51</f>
        <v/>
      </c>
      <c r="E74" s="5">
        <f>'balance_raw_10825598'!$E$51</f>
        <v/>
      </c>
      <c r="F74" s="5">
        <f>'balance_raw_10825598'!$F$51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'balance_raw_10825598'!$B$52</f>
        <v/>
      </c>
      <c r="C75" s="8">
        <f>'balance_raw_10825598'!$C$52</f>
        <v/>
      </c>
      <c r="D75" s="8">
        <f>'balance_raw_10825598'!$D$52</f>
        <v/>
      </c>
      <c r="E75" s="8">
        <f>'balance_raw_10825598'!$E$52</f>
        <v/>
      </c>
      <c r="F75" s="8">
        <f>'balance_raw_10825598'!$F$52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'balance_raw_10825598'!$B$53</f>
        <v/>
      </c>
      <c r="C76" s="5">
        <f>'balance_raw_10825598'!$C$53</f>
        <v/>
      </c>
      <c r="D76" s="5">
        <f>'balance_raw_10825598'!$D$53</f>
        <v/>
      </c>
      <c r="E76" s="5">
        <f>'balance_raw_10825598'!$E$53</f>
        <v/>
      </c>
      <c r="F76" s="5">
        <f>'balance_raw_10825598'!$F$53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'balance_raw_10825598'!$B$54</f>
        <v/>
      </c>
      <c r="C77" s="8">
        <f>'balance_raw_10825598'!$C$54</f>
        <v/>
      </c>
      <c r="D77" s="8">
        <f>'balance_raw_10825598'!$D$54</f>
        <v/>
      </c>
      <c r="E77" s="8">
        <f>'balance_raw_10825598'!$E$54</f>
        <v/>
      </c>
      <c r="F77" s="8">
        <f>'balance_raw_10825598'!$F$54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'balance_raw_10825598'!$B$55</f>
        <v/>
      </c>
      <c r="C78" s="5">
        <f>'balance_raw_10825598'!$C$55</f>
        <v/>
      </c>
      <c r="D78" s="5">
        <f>'balance_raw_10825598'!$D$55</f>
        <v/>
      </c>
      <c r="E78" s="5">
        <f>'balance_raw_10825598'!$E$55</f>
        <v/>
      </c>
      <c r="F78" s="5">
        <f>'balance_raw_10825598'!$F$55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'balance_raw_10825598'!$B$56</f>
        <v/>
      </c>
      <c r="C79" s="8">
        <f>'balance_raw_10825598'!$C$56</f>
        <v/>
      </c>
      <c r="D79" s="8">
        <f>'balance_raw_10825598'!$D$56</f>
        <v/>
      </c>
      <c r="E79" s="8">
        <f>'balance_raw_10825598'!$E$56</f>
        <v/>
      </c>
      <c r="F79" s="8">
        <f>'balance_raw_10825598'!$F$56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'balance_raw_10825598'!$B$57</f>
        <v/>
      </c>
      <c r="C80" s="11">
        <f>'balance_raw_10825598'!$C$57</f>
        <v/>
      </c>
      <c r="D80" s="11">
        <f>'balance_raw_10825598'!$D$57</f>
        <v/>
      </c>
      <c r="E80" s="11">
        <f>'balance_raw_10825598'!$E$57</f>
        <v/>
      </c>
      <c r="F80" s="11">
        <f>'balance_raw_10825598'!$F$57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'balance_raw_10825598'!$B$58</f>
        <v/>
      </c>
      <c r="C81" s="11">
        <f>'balance_raw_10825598'!$C$58</f>
        <v/>
      </c>
      <c r="D81" s="11">
        <f>'balance_raw_10825598'!$D$58</f>
        <v/>
      </c>
      <c r="E81" s="11">
        <f>'balance_raw_10825598'!$E$58</f>
        <v/>
      </c>
      <c r="F81" s="11">
        <f>'balance_raw_10825598'!$F$58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'balance_raw_10825598'!$B$59</f>
        <v/>
      </c>
      <c r="C82" s="11">
        <f>'balance_raw_10825598'!$C$59</f>
        <v/>
      </c>
      <c r="D82" s="11">
        <f>'balance_raw_10825598'!$D$59</f>
        <v/>
      </c>
      <c r="E82" s="11">
        <f>'balance_raw_10825598'!$E$59</f>
        <v/>
      </c>
      <c r="F82" s="11">
        <f>'balance_raw_10825598'!$F$59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'res_raw_10825598'!$B$19</f>
        <v/>
      </c>
      <c r="C85" s="8">
        <f>'res_raw_10825598'!$C$19</f>
        <v/>
      </c>
      <c r="D85" s="8">
        <f>'res_raw_10825598'!$D$19</f>
        <v/>
      </c>
      <c r="E85" s="8">
        <f>'res_raw_10825598'!$E$19</f>
        <v/>
      </c>
      <c r="F85" s="8">
        <f>'res_raw_10825598'!$F$19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'res_raw_10825598'!$B$20</f>
        <v/>
      </c>
      <c r="C86" s="5">
        <f>'res_raw_10825598'!$C$20</f>
        <v/>
      </c>
      <c r="D86" s="5">
        <f>'res_raw_10825598'!$D$20</f>
        <v/>
      </c>
      <c r="E86" s="5">
        <f>'res_raw_10825598'!$E$20</f>
        <v/>
      </c>
      <c r="F86" s="5">
        <f>'res_raw_10825598'!$F$20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'pengestrom_raw_10825598'!$B$2</f>
        <v/>
      </c>
      <c r="C102" s="17">
        <f>'pengestrom_raw_10825598'!$C$2</f>
        <v/>
      </c>
      <c r="D102" s="17">
        <f>'pengestrom_raw_10825598'!$D$2</f>
        <v/>
      </c>
      <c r="E102" s="17">
        <f>'pengestrom_raw_10825598'!$E$2</f>
        <v/>
      </c>
      <c r="F102" s="17">
        <f>'pengestrom_raw_10825598'!$F$2</f>
        <v/>
      </c>
    </row>
    <row r="103">
      <c r="A103" s="16" t="inlineStr">
        <is>
          <t>Pengestrømme fra investeringsaktivitet</t>
        </is>
      </c>
      <c r="B103" s="17">
        <f>'pengestrom_raw_10825598'!$B$3</f>
        <v/>
      </c>
      <c r="C103" s="17">
        <f>'pengestrom_raw_10825598'!$C$3</f>
        <v/>
      </c>
      <c r="D103" s="17">
        <f>'pengestrom_raw_10825598'!$D$3</f>
        <v/>
      </c>
      <c r="E103" s="17">
        <f>'pengestrom_raw_10825598'!$E$3</f>
        <v/>
      </c>
      <c r="F103" s="17">
        <f>'pengestrom_raw_10825598'!$F$3</f>
        <v/>
      </c>
    </row>
    <row r="104">
      <c r="A104" s="16" t="inlineStr">
        <is>
          <t>Pengestrømme fra finansieringsaktivitet</t>
        </is>
      </c>
      <c r="B104" s="17">
        <f>'pengestrom_raw_10825598'!$B$4</f>
        <v/>
      </c>
      <c r="C104" s="17">
        <f>'pengestrom_raw_10825598'!$C$4</f>
        <v/>
      </c>
      <c r="D104" s="17">
        <f>'pengestrom_raw_10825598'!$D$4</f>
        <v/>
      </c>
      <c r="E104" s="17">
        <f>'pengestrom_raw_10825598'!$E$4</f>
        <v/>
      </c>
      <c r="F104" s="17">
        <f>'pengestrom_raw_10825598'!$F$4</f>
        <v/>
      </c>
    </row>
    <row r="105">
      <c r="A105" s="16" t="inlineStr">
        <is>
          <t>Årets pengestrøm (rapporteret)</t>
        </is>
      </c>
      <c r="B105" s="17">
        <f>'pengestrom_raw_10825598'!$B$5</f>
        <v/>
      </c>
      <c r="C105" s="17">
        <f>'pengestrom_raw_10825598'!$C$5</f>
        <v/>
      </c>
      <c r="D105" s="17">
        <f>'pengestrom_raw_10825598'!$D$5</f>
        <v/>
      </c>
      <c r="E105" s="17">
        <f>'pengestrom_raw_10825598'!$E$5</f>
        <v/>
      </c>
      <c r="F105" s="17">
        <f>'pengestrom_raw_10825598'!$F$5</f>
        <v/>
      </c>
    </row>
    <row r="106">
      <c r="A106" s="16" t="inlineStr">
        <is>
          <t>Krydstjek: drift + inv. + fin. = årets pengestrøm</t>
        </is>
      </c>
      <c r="B106">
        <f>IF(ABS(('pengestrom_raw_10825598'!$B$2+'pengestrom_raw_10825598'!$B$3+'pengestrom_raw_10825598'!$B$4)-'pengestrom_raw_10825598'!$B$5)&lt;=2,"✓","⚠ "&amp;TEXT(('pengestrom_raw_10825598'!$B$2+'pengestrom_raw_10825598'!$B$3+'pengestrom_raw_10825598'!$B$4)-'pengestrom_raw_10825598'!$B$5,"+#,##0;-#,##0"))</f>
        <v/>
      </c>
      <c r="C106">
        <f>IF(ABS(('pengestrom_raw_10825598'!$C$2+'pengestrom_raw_10825598'!$C$3+'pengestrom_raw_10825598'!$C$4)-'pengestrom_raw_10825598'!$C$5)&lt;=2,"✓","⚠ "&amp;TEXT(('pengestrom_raw_10825598'!$C$2+'pengestrom_raw_10825598'!$C$3+'pengestrom_raw_10825598'!$C$4)-'pengestrom_raw_10825598'!$C$5,"+#,##0;-#,##0"))</f>
        <v/>
      </c>
      <c r="D106">
        <f>IF(ABS(('pengestrom_raw_10825598'!$D$2+'pengestrom_raw_10825598'!$D$3+'pengestrom_raw_10825598'!$D$4)-'pengestrom_raw_10825598'!$D$5)&lt;=2,"✓","⚠ "&amp;TEXT(('pengestrom_raw_10825598'!$D$2+'pengestrom_raw_10825598'!$D$3+'pengestrom_raw_10825598'!$D$4)-'pengestrom_raw_10825598'!$D$5,"+#,##0;-#,##0"))</f>
        <v/>
      </c>
      <c r="E106">
        <f>IF(ABS(('pengestrom_raw_10825598'!$E$2+'pengestrom_raw_10825598'!$E$3+'pengestrom_raw_10825598'!$E$4)-'pengestrom_raw_10825598'!$E$5)&lt;=2,"✓","⚠ "&amp;TEXT(('pengestrom_raw_10825598'!$E$2+'pengestrom_raw_10825598'!$E$3+'pengestrom_raw_10825598'!$E$4)-'pengestrom_raw_10825598'!$E$5,"+#,##0;-#,##0"))</f>
        <v/>
      </c>
      <c r="F106">
        <f>IF(ABS(('pengestrom_raw_10825598'!$F$2+'pengestrom_raw_10825598'!$F$3+'pengestrom_raw_10825598'!$F$4)-'pengestrom_raw_10825598'!$F$5)&lt;=2,"✓","⚠ "&amp;TEXT(('pengestrom_raw_10825598'!$F$2+'pengestrom_raw_10825598'!$F$3+'pengestrom_raw_10825598'!$F$4)-'pengestrom_raw_10825598'!$F$5,"+#,##0;-#,##0"))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Mekoprint A/S (CVR 10825598)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569534</v>
      </c>
      <c r="C2" s="17" t="n">
        <v>727377</v>
      </c>
      <c r="D2" s="17" t="n">
        <v>760728</v>
      </c>
      <c r="E2" s="17" t="n">
        <v>796910</v>
      </c>
      <c r="F2" s="17" t="n">
        <v>882967</v>
      </c>
    </row>
    <row r="3">
      <c r="A3" s="16" t="inlineStr">
        <is>
          <t>Andre driftsindtægter</t>
        </is>
      </c>
      <c r="B3" s="17" t="n">
        <v>233</v>
      </c>
      <c r="C3" s="17" t="n">
        <v>0</v>
      </c>
      <c r="D3" s="17" t="n">
        <v>2468</v>
      </c>
      <c r="E3" s="17" t="n">
        <v>9016</v>
      </c>
      <c r="F3" s="17" t="n">
        <v>8546</v>
      </c>
    </row>
    <row r="4">
      <c r="A4" s="16" t="inlineStr">
        <is>
          <t>Vareforbrug</t>
        </is>
      </c>
      <c r="B4" s="17" t="n">
        <v>192597</v>
      </c>
      <c r="C4" s="17" t="n">
        <v>279474</v>
      </c>
      <c r="D4" s="17" t="n">
        <v>-8078</v>
      </c>
      <c r="E4" s="17" t="n">
        <v>2397</v>
      </c>
      <c r="F4" s="17" t="n">
        <v>-733</v>
      </c>
    </row>
    <row r="5">
      <c r="A5" s="16" t="inlineStr">
        <is>
          <t>Andre eksterne omkostninger</t>
        </is>
      </c>
      <c r="B5" s="17" t="n">
        <v>107272</v>
      </c>
      <c r="C5" s="17" t="n">
        <v>141201</v>
      </c>
      <c r="D5" s="17" t="n">
        <v>123842</v>
      </c>
      <c r="E5" s="17" t="n">
        <v>127971</v>
      </c>
      <c r="F5" s="17" t="n">
        <v>156659</v>
      </c>
    </row>
    <row r="6">
      <c r="A6" s="15" t="inlineStr">
        <is>
          <t>Bruttoresultat</t>
        </is>
      </c>
      <c r="B6" s="17" t="n">
        <v>269898</v>
      </c>
      <c r="C6" s="17" t="n">
        <v>306702</v>
      </c>
      <c r="D6" s="17" t="n">
        <v>337555</v>
      </c>
      <c r="E6" s="17" t="n">
        <v>350763</v>
      </c>
      <c r="F6" s="17" t="n">
        <v>382326</v>
      </c>
    </row>
    <row r="7">
      <c r="A7" s="16" t="inlineStr">
        <is>
          <t>Personaleomkostninger</t>
        </is>
      </c>
      <c r="B7" s="17" t="n">
        <v>198687</v>
      </c>
      <c r="C7" s="17" t="n">
        <v>228603</v>
      </c>
      <c r="D7" s="17" t="n">
        <v>270086</v>
      </c>
      <c r="E7" s="17" t="n">
        <v>299507</v>
      </c>
      <c r="F7" s="17" t="n">
        <v>328916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21318</v>
      </c>
      <c r="C9" s="17" t="n">
        <v>25776</v>
      </c>
      <c r="D9" s="17" t="n">
        <v>35042</v>
      </c>
      <c r="E9" s="17" t="n">
        <v>39243</v>
      </c>
      <c r="F9" s="17" t="n">
        <v>50597</v>
      </c>
    </row>
    <row r="10">
      <c r="A10" s="16" t="inlineStr">
        <is>
          <t>Andre driftsomkostninger</t>
        </is>
      </c>
      <c r="B10" s="17" t="n">
        <v>18</v>
      </c>
      <c r="C10" s="17" t="n">
        <v>633</v>
      </c>
      <c r="D10" s="17" t="n">
        <v>194</v>
      </c>
      <c r="E10" s="17" t="n">
        <v>809</v>
      </c>
      <c r="F10" s="17" t="n">
        <v>280</v>
      </c>
    </row>
    <row r="11">
      <c r="A11" s="15" t="inlineStr">
        <is>
          <t>Resultat af primær drift</t>
        </is>
      </c>
      <c r="B11" s="17" t="n">
        <v>49875</v>
      </c>
      <c r="C11" s="17" t="n">
        <v>51690</v>
      </c>
      <c r="D11" s="17" t="n">
        <v>32233</v>
      </c>
      <c r="E11" s="17" t="n">
        <v>11204</v>
      </c>
      <c r="F11" s="17" t="n">
        <v>2533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680</v>
      </c>
      <c r="C13" s="17" t="n">
        <v>154</v>
      </c>
      <c r="D13" s="17" t="n">
        <v>71</v>
      </c>
      <c r="E13" s="17" t="n">
        <v>6993</v>
      </c>
      <c r="F13" s="17" t="n">
        <v>5230</v>
      </c>
    </row>
    <row r="14">
      <c r="A14" s="16" t="inlineStr">
        <is>
          <t>Finansielle omkostninger</t>
        </is>
      </c>
      <c r="B14" s="17" t="n">
        <v>3083</v>
      </c>
      <c r="C14" s="17" t="n">
        <v>5659</v>
      </c>
      <c r="D14" s="17" t="n">
        <v>7119</v>
      </c>
      <c r="E14" s="17" t="n">
        <v>14554</v>
      </c>
      <c r="F14" s="17" t="n">
        <v>14608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47472</v>
      </c>
      <c r="C16" s="17" t="n">
        <v>46185</v>
      </c>
      <c r="D16" s="17" t="n">
        <v>25185</v>
      </c>
      <c r="E16" s="17" t="n">
        <v>3643</v>
      </c>
      <c r="F16" s="17" t="n">
        <v>-6845</v>
      </c>
    </row>
    <row r="17">
      <c r="A17" s="16" t="inlineStr">
        <is>
          <t>Skat af årets resultat</t>
        </is>
      </c>
      <c r="B17" s="17" t="n">
        <v>10800</v>
      </c>
      <c r="C17" s="17" t="n">
        <v>9655</v>
      </c>
      <c r="D17" s="17" t="n">
        <v>7072</v>
      </c>
      <c r="E17" s="17" t="n">
        <v>2766</v>
      </c>
      <c r="F17" s="17" t="n">
        <v>599</v>
      </c>
    </row>
    <row r="18">
      <c r="A18" s="15" t="inlineStr">
        <is>
          <t>Årets resultat</t>
        </is>
      </c>
      <c r="B18" s="17" t="n">
        <v>36672</v>
      </c>
      <c r="C18" s="17" t="n">
        <v>36530</v>
      </c>
      <c r="D18" s="17" t="n">
        <v>18113</v>
      </c>
      <c r="E18" s="17" t="n">
        <v>877</v>
      </c>
      <c r="F18" s="17" t="n">
        <v>-7444</v>
      </c>
    </row>
    <row r="19">
      <c r="A19" s="16" t="inlineStr">
        <is>
          <t>Gns. antal medarbejdere</t>
        </is>
      </c>
      <c r="B19" s="17" t="n">
        <v>618</v>
      </c>
      <c r="C19" s="17" t="n">
        <v>665</v>
      </c>
      <c r="D19" s="17" t="n">
        <v>693</v>
      </c>
      <c r="E19" s="17" t="n">
        <v>706</v>
      </c>
      <c r="F19" s="17" t="n">
        <v>789</v>
      </c>
    </row>
    <row r="20">
      <c r="A20" s="16" t="inlineStr">
        <is>
          <t>Investering i materielle anlægsaktiver</t>
        </is>
      </c>
      <c r="B20" s="17" t="n">
        <v>25440</v>
      </c>
      <c r="C20" s="17" t="n">
        <v>48746</v>
      </c>
      <c r="D20" s="17" t="n">
        <v>43901</v>
      </c>
      <c r="E20" s="17" t="n">
        <v>30139</v>
      </c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Mekoprint A/S (CVR 10825598)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0</v>
      </c>
      <c r="C4" s="17" t="n">
        <v>47173</v>
      </c>
      <c r="D4" s="17" t="n">
        <v>68322</v>
      </c>
      <c r="E4" s="17" t="n">
        <v>71237</v>
      </c>
      <c r="F4" s="17" t="n">
        <v>61568</v>
      </c>
    </row>
    <row r="5">
      <c r="A5" s="15" t="inlineStr">
        <is>
          <t>Immaterielle anlægsaktiver</t>
        </is>
      </c>
      <c r="B5" s="17" t="n">
        <v>0</v>
      </c>
      <c r="C5" s="17" t="n">
        <v>47173</v>
      </c>
      <c r="D5" s="17" t="n">
        <v>68322</v>
      </c>
      <c r="E5" s="17" t="n">
        <v>71237</v>
      </c>
      <c r="F5" s="17" t="n">
        <v>61568</v>
      </c>
    </row>
    <row r="6">
      <c r="A6" s="16" t="inlineStr">
        <is>
          <t>Grunde og bygninger</t>
        </is>
      </c>
      <c r="B6" s="17" t="n">
        <v>6101</v>
      </c>
      <c r="C6" s="17" t="n">
        <v>5631</v>
      </c>
      <c r="D6" s="17" t="n">
        <v>5718</v>
      </c>
      <c r="E6" s="17" t="n">
        <v>5967</v>
      </c>
      <c r="F6" s="17" t="n">
        <v>5791</v>
      </c>
    </row>
    <row r="7">
      <c r="A7" s="16" t="inlineStr">
        <is>
          <t>Produktionsanlæg og maskiner</t>
        </is>
      </c>
      <c r="B7" s="17" t="n">
        <v>108014</v>
      </c>
      <c r="C7" s="17" t="n">
        <v>150627</v>
      </c>
      <c r="D7" s="17" t="n">
        <v>171630</v>
      </c>
      <c r="E7" s="17" t="n">
        <v>158092</v>
      </c>
      <c r="F7" s="17" t="n">
        <v>157669</v>
      </c>
    </row>
    <row r="8">
      <c r="A8" s="16" t="inlineStr">
        <is>
          <t>Driftsmateriel og inventar</t>
        </is>
      </c>
      <c r="B8" s="17" t="n">
        <v>13023</v>
      </c>
      <c r="C8" s="17" t="n">
        <v>12141</v>
      </c>
      <c r="D8" s="17" t="n">
        <v>12802</v>
      </c>
      <c r="E8" s="17" t="n">
        <v>22090</v>
      </c>
      <c r="F8" s="17" t="n">
        <v>19696</v>
      </c>
    </row>
    <row r="9">
      <c r="A9" s="16" t="inlineStr">
        <is>
          <t>Indretning af lejede lokaler</t>
        </is>
      </c>
      <c r="B9" s="17" t="n">
        <v>0</v>
      </c>
      <c r="C9" s="17" t="n">
        <v>2057</v>
      </c>
      <c r="D9" s="17" t="n">
        <v>2110</v>
      </c>
      <c r="E9" s="17" t="n">
        <v>1280</v>
      </c>
      <c r="F9" s="17" t="n">
        <v>978</v>
      </c>
    </row>
    <row r="10">
      <c r="A10" s="16" t="inlineStr">
        <is>
          <t>Forudbetaling og anlægsaktiver under opførelse</t>
        </is>
      </c>
      <c r="B10" s="17" t="n">
        <v>4002</v>
      </c>
      <c r="C10" s="17" t="n">
        <v>1749</v>
      </c>
      <c r="D10" s="17" t="n">
        <v>1060</v>
      </c>
      <c r="E10" s="17" t="n">
        <v>1247</v>
      </c>
      <c r="F10" s="17" t="n">
        <v>6820</v>
      </c>
    </row>
    <row r="11">
      <c r="A11" s="15" t="inlineStr">
        <is>
          <t>Materielle anlægsaktiver</t>
        </is>
      </c>
      <c r="B11" s="17" t="n">
        <v>131140</v>
      </c>
      <c r="C11" s="17" t="n">
        <v>172205</v>
      </c>
      <c r="D11" s="17" t="n">
        <v>193320</v>
      </c>
      <c r="E11" s="17" t="n">
        <v>188676</v>
      </c>
      <c r="F11" s="17" t="n">
        <v>190954</v>
      </c>
    </row>
    <row r="12">
      <c r="A12" s="16" t="inlineStr">
        <is>
          <t>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13053</v>
      </c>
      <c r="C13" s="17" t="n">
        <v>13008</v>
      </c>
      <c r="D13" s="17" t="n">
        <v>13760</v>
      </c>
      <c r="E13" s="17" t="n">
        <v>13989</v>
      </c>
      <c r="F13" s="17" t="n">
        <v>14574</v>
      </c>
    </row>
    <row r="14">
      <c r="A14" s="15" t="inlineStr">
        <is>
          <t>Finansielle anlægsaktiver</t>
        </is>
      </c>
      <c r="B14" s="17" t="n">
        <v>13053</v>
      </c>
      <c r="C14" s="17" t="n">
        <v>13008</v>
      </c>
      <c r="D14" s="17" t="n">
        <v>13760</v>
      </c>
      <c r="E14" s="17" t="n">
        <v>13989</v>
      </c>
      <c r="F14" s="17" t="n">
        <v>15616</v>
      </c>
    </row>
    <row r="15">
      <c r="A15" s="15" t="inlineStr">
        <is>
          <t>Anlægsaktiver</t>
        </is>
      </c>
      <c r="B15" s="17" t="n">
        <v>144193</v>
      </c>
      <c r="C15" s="17" t="n">
        <v>232386</v>
      </c>
      <c r="D15" s="17" t="n">
        <v>275402</v>
      </c>
      <c r="E15" s="17" t="n">
        <v>273902</v>
      </c>
      <c r="F15" s="17" t="n">
        <v>268138</v>
      </c>
    </row>
    <row r="16">
      <c r="A16" s="16" t="inlineStr">
        <is>
          <t>Råvarer og hjælpematerialer</t>
        </is>
      </c>
      <c r="B16" s="17" t="n">
        <v>57276</v>
      </c>
      <c r="C16" s="17" t="n">
        <v>79135</v>
      </c>
      <c r="D16" s="17" t="n">
        <v>71980</v>
      </c>
      <c r="E16" s="17" t="n">
        <v>66824</v>
      </c>
      <c r="F16" s="17" t="n">
        <v>84476</v>
      </c>
    </row>
    <row r="17">
      <c r="A17" s="16" t="inlineStr">
        <is>
          <t>Varer under fremstilling</t>
        </is>
      </c>
      <c r="B17" s="17" t="n">
        <v>17626</v>
      </c>
      <c r="C17" s="17" t="n">
        <v>19285</v>
      </c>
      <c r="D17" s="17" t="n">
        <v>16093</v>
      </c>
      <c r="E17" s="17" t="n">
        <v>18448</v>
      </c>
      <c r="F17" s="17" t="n">
        <v>18148</v>
      </c>
    </row>
    <row r="18">
      <c r="A18" s="16" t="inlineStr">
        <is>
          <t>Færdigvarer og handelsvarer</t>
        </is>
      </c>
      <c r="B18" s="17" t="n">
        <v>37457</v>
      </c>
      <c r="C18" s="17" t="n">
        <v>53551</v>
      </c>
      <c r="D18" s="17" t="n">
        <v>64821</v>
      </c>
      <c r="E18" s="17" t="n">
        <v>64563</v>
      </c>
      <c r="F18" s="17" t="n">
        <v>65859</v>
      </c>
    </row>
    <row r="19">
      <c r="A19" s="15" t="inlineStr">
        <is>
          <t>Varebeholdninger</t>
        </is>
      </c>
      <c r="B19" s="17" t="n">
        <v>112359</v>
      </c>
      <c r="C19" s="17" t="n">
        <v>151971</v>
      </c>
      <c r="D19" s="17" t="n">
        <v>152894</v>
      </c>
      <c r="E19" s="17" t="n">
        <v>149835</v>
      </c>
      <c r="F19" s="17" t="n">
        <v>168641</v>
      </c>
    </row>
    <row r="20">
      <c r="A20" s="16" t="inlineStr">
        <is>
          <t>Tilgodehavender fra salg og tjenesteydelser</t>
        </is>
      </c>
      <c r="B20" s="17" t="n">
        <v>103150</v>
      </c>
      <c r="C20" s="17" t="n">
        <v>122481</v>
      </c>
      <c r="D20" s="17" t="n">
        <v>137643</v>
      </c>
      <c r="E20" s="17" t="n">
        <v>108548</v>
      </c>
      <c r="F20" s="17" t="n">
        <v>127327</v>
      </c>
    </row>
    <row r="21">
      <c r="A21" s="16" t="inlineStr">
        <is>
          <t>Tilgodehavender hos tilknyttede virksomheder</t>
        </is>
      </c>
      <c r="B21" s="17" t="n">
        <v>0</v>
      </c>
      <c r="C21" s="17" t="n">
        <v>6201</v>
      </c>
      <c r="D21" s="17" t="n">
        <v>0</v>
      </c>
      <c r="E21" s="17" t="n">
        <v>0</v>
      </c>
      <c r="F21" s="17" t="n">
        <v>2649</v>
      </c>
    </row>
    <row r="22">
      <c r="A22" s="16" t="inlineStr">
        <is>
          <t>Andre tilgodehavender</t>
        </is>
      </c>
      <c r="B22" s="17" t="n">
        <v>5849</v>
      </c>
      <c r="C22" s="17" t="n">
        <v>9130</v>
      </c>
      <c r="D22" s="17" t="n">
        <v>8715</v>
      </c>
      <c r="E22" s="17" t="n">
        <v>8251</v>
      </c>
      <c r="F22" s="17" t="n">
        <v>7354</v>
      </c>
    </row>
    <row r="23">
      <c r="A23" s="16" t="inlineStr">
        <is>
          <t>Periodeafgrænsningsposter (aktiver)</t>
        </is>
      </c>
      <c r="B23" s="17" t="n">
        <v>4072</v>
      </c>
      <c r="C23" s="17" t="n">
        <v>6212</v>
      </c>
      <c r="D23" s="17" t="n">
        <v>5290</v>
      </c>
      <c r="E23" s="17" t="n">
        <v>5110</v>
      </c>
      <c r="F23" s="17" t="n">
        <v>11325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>
        <v>485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>
        <v>0</v>
      </c>
      <c r="E26" s="17" t="n">
        <v>921</v>
      </c>
      <c r="F26" s="17" t="n"/>
    </row>
    <row r="27">
      <c r="A27" s="15" t="inlineStr">
        <is>
          <t>Tilgodehavender</t>
        </is>
      </c>
      <c r="B27" s="17" t="n">
        <v>113071</v>
      </c>
      <c r="C27" s="17" t="n">
        <v>144024</v>
      </c>
      <c r="D27" s="17" t="n">
        <v>151648</v>
      </c>
      <c r="E27" s="17" t="n">
        <v>122830</v>
      </c>
      <c r="F27" s="17" t="n">
        <v>149140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2763</v>
      </c>
      <c r="C29" s="17" t="n">
        <v>4751</v>
      </c>
      <c r="D29" s="17" t="n">
        <v>10991</v>
      </c>
      <c r="E29" s="17" t="n">
        <v>6561</v>
      </c>
      <c r="F29" s="17" t="n">
        <v>11815</v>
      </c>
    </row>
    <row r="30">
      <c r="A30" s="15" t="inlineStr">
        <is>
          <t>Omsætningsaktiver</t>
        </is>
      </c>
      <c r="B30" s="17" t="n">
        <v>228193</v>
      </c>
      <c r="C30" s="17" t="n">
        <v>300746</v>
      </c>
      <c r="D30" s="17" t="n">
        <v>315533</v>
      </c>
      <c r="E30" s="17" t="n">
        <v>279226</v>
      </c>
      <c r="F30" s="17" t="n">
        <v>329596</v>
      </c>
    </row>
    <row r="31">
      <c r="A31" s="15" t="inlineStr">
        <is>
          <t>Aktiver</t>
        </is>
      </c>
      <c r="B31" s="17" t="n">
        <v>372386</v>
      </c>
      <c r="C31" s="17" t="n">
        <v>533132</v>
      </c>
      <c r="D31" s="17" t="n">
        <v>590935</v>
      </c>
      <c r="E31" s="17" t="n">
        <v>553128</v>
      </c>
      <c r="F31" s="17" t="n">
        <v>597734</v>
      </c>
    </row>
    <row r="32">
      <c r="A32" s="16" t="inlineStr">
        <is>
          <t>Selskabskapital</t>
        </is>
      </c>
      <c r="B32" s="17" t="n">
        <v>5000</v>
      </c>
      <c r="C32" s="17" t="n">
        <v>5000</v>
      </c>
      <c r="D32" s="17" t="n">
        <v>5000</v>
      </c>
      <c r="E32" s="17" t="n">
        <v>5000</v>
      </c>
      <c r="F32" s="17" t="n">
        <v>5000</v>
      </c>
    </row>
    <row r="33">
      <c r="A33" s="16" t="inlineStr">
        <is>
          <t>Reserve for nettoopskrivning (indre værdis metode)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128335</v>
      </c>
      <c r="C37" s="17" t="n">
        <v>164539</v>
      </c>
      <c r="D37" s="17" t="n">
        <v>182611</v>
      </c>
      <c r="E37" s="17" t="n">
        <v>184522</v>
      </c>
      <c r="F37" s="17" t="n">
        <v>176437</v>
      </c>
    </row>
    <row r="38">
      <c r="A38" s="15" t="inlineStr">
        <is>
          <t>Egenkapital i alt</t>
        </is>
      </c>
      <c r="B38" s="17" t="n">
        <v>143049</v>
      </c>
      <c r="C38" s="17" t="n">
        <v>179826</v>
      </c>
      <c r="D38" s="17" t="n">
        <v>198753</v>
      </c>
      <c r="E38" s="17" t="n">
        <v>201655</v>
      </c>
      <c r="F38" s="17" t="n">
        <v>194754</v>
      </c>
    </row>
    <row r="39">
      <c r="A39" s="16" t="inlineStr">
        <is>
          <t>Hensættelse til udskudt skat</t>
        </is>
      </c>
      <c r="B39" s="17" t="n">
        <v>9537</v>
      </c>
      <c r="C39" s="17" t="n">
        <v>11091</v>
      </c>
      <c r="D39" s="17" t="n">
        <v>11360</v>
      </c>
      <c r="E39" s="17" t="n">
        <v>12831</v>
      </c>
      <c r="F39" s="17" t="n">
        <v>11148</v>
      </c>
    </row>
    <row r="40">
      <c r="A40" s="15" t="inlineStr">
        <is>
          <t>Hensatte forpligtelser</t>
        </is>
      </c>
      <c r="B40" s="17" t="n">
        <v>9537</v>
      </c>
      <c r="C40" s="17" t="n">
        <v>11091</v>
      </c>
      <c r="D40" s="17" t="n">
        <v>11360</v>
      </c>
      <c r="E40" s="17" t="n">
        <v>12831</v>
      </c>
      <c r="F40" s="17" t="n">
        <v>11148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2328</v>
      </c>
      <c r="C42" s="17" t="n">
        <v>55704</v>
      </c>
      <c r="D42" s="17" t="n">
        <v>34053</v>
      </c>
      <c r="E42" s="17" t="n">
        <v>42288</v>
      </c>
      <c r="F42" s="17" t="n">
        <v>36857</v>
      </c>
    </row>
    <row r="43">
      <c r="A43" s="16" t="inlineStr">
        <is>
          <t>Leasingforpligtelser (langfristet)</t>
        </is>
      </c>
      <c r="B43" s="17" t="n">
        <v>40091</v>
      </c>
      <c r="C43" s="17" t="n">
        <v>50817</v>
      </c>
      <c r="D43" s="17" t="n">
        <v>60744</v>
      </c>
      <c r="E43" s="17" t="n">
        <v>57020</v>
      </c>
      <c r="F43" s="17" t="n">
        <v>50973</v>
      </c>
    </row>
    <row r="44">
      <c r="A44" s="16" t="inlineStr">
        <is>
          <t>Anden gæld (langfristet)</t>
        </is>
      </c>
      <c r="B44" s="17" t="n">
        <v>15190</v>
      </c>
      <c r="C44" s="17" t="n">
        <v>15357</v>
      </c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57609</v>
      </c>
      <c r="C45" s="17" t="n">
        <v>125389</v>
      </c>
      <c r="D45" s="17" t="n">
        <v>137558</v>
      </c>
      <c r="E45" s="17" t="n">
        <v>140648</v>
      </c>
      <c r="F45" s="17" t="n">
        <v>126491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>
        <v>9430</v>
      </c>
      <c r="C47" s="17" t="n">
        <v>22895</v>
      </c>
      <c r="D47" s="17" t="n">
        <v>38380</v>
      </c>
      <c r="E47" s="17" t="n">
        <v>36372</v>
      </c>
      <c r="F47" s="17" t="n">
        <v>39990</v>
      </c>
    </row>
    <row r="48">
      <c r="A48" s="16" t="inlineStr">
        <is>
          <t>Kreditinstitutter</t>
        </is>
      </c>
      <c r="B48" s="17" t="n">
        <v>33584</v>
      </c>
      <c r="C48" s="17" t="n">
        <v>92588</v>
      </c>
      <c r="D48" s="17" t="n">
        <v>80910</v>
      </c>
      <c r="E48" s="17" t="n">
        <v>41218</v>
      </c>
      <c r="F48" s="17" t="n">
        <v>112719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52585</v>
      </c>
      <c r="C50" s="17" t="n">
        <v>60047</v>
      </c>
      <c r="D50" s="17" t="n">
        <v>69233</v>
      </c>
      <c r="E50" s="17" t="n">
        <v>68643</v>
      </c>
      <c r="F50" s="17" t="n">
        <v>77029</v>
      </c>
    </row>
    <row r="51">
      <c r="A51" s="16" t="inlineStr">
        <is>
          <t>Gæld til tilknyttede virksomheder</t>
        </is>
      </c>
      <c r="B51" s="17" t="n">
        <v>17145</v>
      </c>
      <c r="C51" s="17" t="n">
        <v>0</v>
      </c>
      <c r="D51" s="17" t="n">
        <v>2109</v>
      </c>
      <c r="E51" s="17" t="n">
        <v>16181</v>
      </c>
      <c r="F51" s="17" t="n">
        <v>0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7269</v>
      </c>
      <c r="C53" s="17" t="n">
        <v>9273</v>
      </c>
      <c r="D53" s="17" t="n">
        <v>7117</v>
      </c>
      <c r="E53" s="17" t="n">
        <v>0</v>
      </c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42178</v>
      </c>
      <c r="C55" s="17" t="n">
        <v>32023</v>
      </c>
      <c r="D55" s="17" t="n">
        <v>45515</v>
      </c>
      <c r="E55" s="17" t="n">
        <v>35580</v>
      </c>
      <c r="F55" s="17" t="n">
        <v>35603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162191</v>
      </c>
      <c r="C57" s="17" t="n">
        <v>216826</v>
      </c>
      <c r="D57" s="17" t="n">
        <v>243264</v>
      </c>
      <c r="E57" s="17" t="n">
        <v>197994</v>
      </c>
      <c r="F57" s="17" t="n">
        <v>265341</v>
      </c>
    </row>
    <row r="58">
      <c r="A58" s="15" t="inlineStr">
        <is>
          <t>Gældsforpligtelser</t>
        </is>
      </c>
      <c r="B58" s="17" t="n">
        <v>219800</v>
      </c>
      <c r="C58" s="17" t="n">
        <v>342215</v>
      </c>
      <c r="D58" s="17" t="n">
        <v>380822</v>
      </c>
      <c r="E58" s="17" t="n">
        <v>338642</v>
      </c>
      <c r="F58" s="17" t="n">
        <v>391832</v>
      </c>
    </row>
    <row r="59">
      <c r="A59" s="15" t="inlineStr">
        <is>
          <t>Passiver</t>
        </is>
      </c>
      <c r="B59" s="17" t="n">
        <v>372386</v>
      </c>
      <c r="C59" s="17" t="n">
        <v>533132</v>
      </c>
      <c r="D59" s="17" t="n">
        <v>590935</v>
      </c>
      <c r="E59" s="17" t="n">
        <v>553128</v>
      </c>
      <c r="F59" s="17" t="n">
        <v>597734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Mekoprint A/S (CVR 10825598)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7440</v>
      </c>
      <c r="C2" s="17" t="n">
        <v>1153</v>
      </c>
      <c r="D2" s="17" t="n">
        <v>76993</v>
      </c>
      <c r="E2" s="17" t="n">
        <v>58638</v>
      </c>
      <c r="F2" s="17" t="n">
        <v>8234</v>
      </c>
    </row>
    <row r="3">
      <c r="A3" s="16" t="inlineStr">
        <is>
          <t>Pengestrømme fra investeringsaktivitet</t>
        </is>
      </c>
      <c r="B3" s="17" t="n">
        <v>-23555</v>
      </c>
      <c r="C3" s="17" t="n">
        <v>-112511</v>
      </c>
      <c r="D3" s="17" t="n">
        <v>-95223</v>
      </c>
      <c r="E3" s="17" t="n">
        <v>-39999</v>
      </c>
      <c r="F3" s="17" t="n">
        <v>-44068</v>
      </c>
    </row>
    <row r="4">
      <c r="A4" s="16" t="inlineStr">
        <is>
          <t>Pengestrømme fra finansieringsaktivitet</t>
        </is>
      </c>
      <c r="B4" s="17" t="n">
        <v>16401</v>
      </c>
      <c r="C4" s="17" t="n">
        <v>113346</v>
      </c>
      <c r="D4" s="17" t="n">
        <v>24474</v>
      </c>
      <c r="E4" s="17" t="n">
        <v>-23073</v>
      </c>
      <c r="F4" s="17" t="n">
        <v>41088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Mekoprint A/S (CVR 10825598) — Regnskabs- og nøgletal (CVR: 10825598)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'res_raw_10825598'!$F$2</f>
        <v/>
      </c>
      <c r="C5" s="24">
        <f>'res_raw_10825598'!$E$2</f>
        <v/>
      </c>
      <c r="D5" s="24">
        <f>'res_raw_10825598'!$D$2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'res_raw_10825598'!$F$3</f>
        <v/>
      </c>
      <c r="C6" s="24">
        <f>'res_raw_10825598'!$E$3</f>
        <v/>
      </c>
      <c r="D6" s="24">
        <f>'res_raw_10825598'!$D$3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-'res_raw_10825598'!$F$4</f>
        <v/>
      </c>
      <c r="C7" s="24">
        <f>-'res_raw_10825598'!$E$4</f>
        <v/>
      </c>
      <c r="D7" s="24">
        <f>-'res_raw_10825598'!$D$4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-'res_raw_10825598'!$F$5</f>
        <v/>
      </c>
      <c r="C8" s="24">
        <f>-'res_raw_10825598'!$E$5</f>
        <v/>
      </c>
      <c r="D8" s="24">
        <f>-'res_raw_10825598'!$D$5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-'res_raw_10825598'!$F$7</f>
        <v/>
      </c>
      <c r="C10" s="24">
        <f>-'res_raw_10825598'!$E$7</f>
        <v/>
      </c>
      <c r="D10" s="24">
        <f>-'res_raw_10825598'!$D$7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-'res_raw_10825598'!$F$9</f>
        <v/>
      </c>
      <c r="C11" s="24">
        <f>-'res_raw_10825598'!$E$9</f>
        <v/>
      </c>
      <c r="D11" s="24">
        <f>-'res_raw_10825598'!$D$9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-'res_raw_10825598'!$F$10</f>
        <v/>
      </c>
      <c r="C12" s="24">
        <f>-'res_raw_10825598'!$E$10</f>
        <v/>
      </c>
      <c r="D12" s="24">
        <f>-'res_raw_10825598'!$D$10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N('res_raw_10825598'!$F$12)+N('res_raw_10825598'!$F$13)</f>
        <v/>
      </c>
      <c r="C14" s="24">
        <f>N('res_raw_10825598'!$E$12)+N('res_raw_10825598'!$E$13)</f>
        <v/>
      </c>
      <c r="D14" s="24">
        <f>N('res_raw_10825598'!$D$12)+N('res_raw_10825598'!$D$13)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-'res_raw_10825598'!$F$14</f>
        <v/>
      </c>
      <c r="C15" s="24">
        <f>-'res_raw_10825598'!$E$14</f>
        <v/>
      </c>
      <c r="D15" s="24">
        <f>-'res_raw_10825598'!$D$14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'balance_raw_10825598'!$F$15</f>
        <v/>
      </c>
      <c r="C19" s="24">
        <f>'balance_raw_10825598'!$E$15</f>
        <v/>
      </c>
      <c r="D19" s="24">
        <f>'balance_raw_10825598'!$D$15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'balance_raw_10825598'!$F$30</f>
        <v/>
      </c>
      <c r="C20" s="24">
        <f>'balance_raw_10825598'!$E$30</f>
        <v/>
      </c>
      <c r="D20" s="24">
        <f>'balance_raw_10825598'!$D$30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'balance_raw_10825598'!$F$38</f>
        <v/>
      </c>
      <c r="C23" s="24">
        <f>'balance_raw_10825598'!$E$38</f>
        <v/>
      </c>
      <c r="D23" s="24">
        <f>'balance_raw_10825598'!$D$38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'balance_raw_10825598'!$F$59-'balance_raw_10825598'!$F$38</f>
        <v/>
      </c>
      <c r="C24" s="24">
        <f>'balance_raw_10825598'!$E$59-'balance_raw_10825598'!$E$38</f>
        <v/>
      </c>
      <c r="D24" s="24">
        <f>'balance_raw_10825598'!$D$59-'balance_raw_10825598'!$D$38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'balance_raw_10825598'!$F$19</f>
        <v/>
      </c>
      <c r="C28" s="24">
        <f>'balance_raw_10825598'!$E$19</f>
        <v/>
      </c>
      <c r="D28" s="24">
        <f>'balance_raw_10825598'!$D$19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'balance_raw_10825598'!$F$20</f>
        <v/>
      </c>
      <c r="C29" s="24">
        <f>'balance_raw_10825598'!$E$20</f>
        <v/>
      </c>
      <c r="D29" s="24">
        <f>'balance_raw_10825598'!$D$20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'balance_raw_10825598'!$F$57</f>
        <v/>
      </c>
      <c r="C30" s="24">
        <f>'balance_raw_10825598'!$E$57</f>
        <v/>
      </c>
      <c r="D30" s="24">
        <f>'balance_raw_10825598'!$D$57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IF('balance_raw_10825598'!$F$31="","—",IF(ABS(B21-'balance_raw_10825598'!$F$31)&lt;=1,"✓ OK","❌ "&amp;TEXT(B21-'balance_raw_10825598'!$F$31,"+#,##0;-#,##0")&amp;" t.kr."))</f>
        <v/>
      </c>
      <c r="C61" s="29">
        <f>IF('balance_raw_10825598'!$E$31="","—",IF(ABS(C21-'balance_raw_10825598'!$E$31)&lt;=1,"✓ OK","❌ "&amp;TEXT(C21-'balance_raw_10825598'!$E$31,"+#,##0;-#,##0")&amp;" t.kr."))</f>
        <v/>
      </c>
      <c r="D61" s="29">
        <f>IF('balance_raw_10825598'!$D$31="","—",IF(ABS(D21-'balance_raw_10825598'!$D$31)&lt;=1,"✓ OK","❌ "&amp;TEXT(D21-'balance_raw_10825598'!$D$31,"+#,##0;-#,##0")&amp;"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IF('balance_raw_10825598'!$F$59="","—",IF(ABS(B25-'balance_raw_10825598'!$F$59)&lt;=1,"✓ OK","❌ "&amp;TEXT(B25-'balance_raw_10825598'!$F$59,"+#,##0;-#,##0")&amp;" t.kr."))</f>
        <v/>
      </c>
      <c r="C62" s="29">
        <f>IF('balance_raw_10825598'!$E$59="","—",IF(ABS(C25-'balance_raw_10825598'!$E$59)&lt;=1,"✓ OK","❌ "&amp;TEXT(C25-'balance_raw_10825598'!$E$59,"+#,##0;-#,##0")&amp;" t.kr."))</f>
        <v/>
      </c>
      <c r="D62" s="29">
        <f>IF('balance_raw_10825598'!$D$59="","—",IF(ABS(D25-'balance_raw_10825598'!$D$59)&lt;=1,"✓ OK","❌ "&amp;TEXT(D25-'balance_raw_10825598'!$D$59,"+#,##0;-#,##0")&amp;"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IF('res_raw_10825598'!$F$6="","—",IF(ABS(B9-'res_raw_10825598'!$F$6)&lt;=1,"✓ OK","❌ "&amp;TEXT(B9-'res_raw_10825598'!$F$6,"+#,##0;-#,##0")&amp;" t.kr."))</f>
        <v/>
      </c>
      <c r="C64" s="29">
        <f>IF('res_raw_10825598'!$E$6="","—",IF(ABS(C9-'res_raw_10825598'!$E$6)&lt;=1,"✓ OK","❌ "&amp;TEXT(C9-'res_raw_10825598'!$E$6,"+#,##0;-#,##0")&amp;" t.kr."))</f>
        <v/>
      </c>
      <c r="D64" s="29">
        <f>IF('res_raw_10825598'!$D$6="","—",IF(ABS(D9-'res_raw_10825598'!$D$6)&lt;=1,"✓ OK","❌ "&amp;TEXT(D9-'res_raw_10825598'!$D$6,"+#,##0;-#,##0")&amp;"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IF('res_raw_10825598'!$F$11="","—",IF(ABS(B13-'res_raw_10825598'!$F$11)&lt;=1,"✓ OK","❌ "&amp;TEXT(B13-'res_raw_10825598'!$F$11,"+#,##0;-#,##0")&amp;" t.kr."))</f>
        <v/>
      </c>
      <c r="C65" s="29">
        <f>IF('res_raw_10825598'!$E$11="","—",IF(ABS(C13-'res_raw_10825598'!$E$11)&lt;=1,"✓ OK","❌ "&amp;TEXT(C13-'res_raw_10825598'!$E$11,"+#,##0;-#,##0")&amp;" t.kr."))</f>
        <v/>
      </c>
      <c r="D65" s="29">
        <f>IF('res_raw_10825598'!$D$11="","—",IF(ABS(D13-'res_raw_10825598'!$D$11)&lt;=1,"✓ OK","❌ "&amp;TEXT(D13-'res_raw_10825598'!$D$11,"+#,##0;-#,##0")&amp;"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IF('res_raw_10825598'!$F$16="","—",IF(ABS(B16-'res_raw_10825598'!$F$16)&lt;=1,"✓ OK","❌ "&amp;TEXT(B16-'res_raw_10825598'!$F$16,"+#,##0;-#,##0")&amp;" t.kr."))</f>
        <v/>
      </c>
      <c r="C66" s="29">
        <f>IF('res_raw_10825598'!$E$16="","—",IF(ABS(C16-'res_raw_10825598'!$E$16)&lt;=1,"✓ OK","❌ "&amp;TEXT(C16-'res_raw_10825598'!$E$16,"+#,##0;-#,##0")&amp;" t.kr."))</f>
        <v/>
      </c>
      <c r="D66" s="29">
        <f>IF('res_raw_10825598'!$D$16="","—",IF(ABS(D16-'res_raw_10825598'!$D$16)&lt;=1,"✓ OK","❌ "&amp;TEXT(D16-'res_raw_10825598'!$D$16,"+#,##0;-#,##0")&amp;"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Mekoprint A/S (CVR 10825598)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fsa:AcquisitionOfOtherCompany</t>
        </is>
      </c>
      <c r="C3" s="34" t="inlineStr">
        <is>
          <t>fsa:AcquisitionOfOtherCompany</t>
        </is>
      </c>
      <c r="D3" s="35" t="n">
        <v>0</v>
      </c>
      <c r="E3" s="35" t="n">
        <v>-16052</v>
      </c>
      <c r="F3" s="35" t="n">
        <v>-28126</v>
      </c>
      <c r="G3" s="35" t="n">
        <v>-360</v>
      </c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fsa:CashCapitalIncrease</t>
        </is>
      </c>
      <c r="C4" s="37" t="inlineStr">
        <is>
          <t>fsa:CashCapitalIncrease</t>
        </is>
      </c>
      <c r="D4" s="38" t="n">
        <v>0</v>
      </c>
      <c r="E4" s="38" t="n">
        <v>10631</v>
      </c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fsa:Dividend</t>
        </is>
      </c>
      <c r="C5" s="34" t="inlineStr">
        <is>
          <t>fsa:Dividend</t>
        </is>
      </c>
      <c r="D5" s="35" t="n"/>
      <c r="E5" s="35" t="n"/>
      <c r="F5" s="35" t="n"/>
      <c r="G5" s="35" t="n"/>
      <c r="H5" s="35" t="n">
        <v>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fsa:LongtermPayablesToAssociates</t>
        </is>
      </c>
      <c r="C6" s="37" t="inlineStr">
        <is>
          <t>fsa:LongtermPayablesToAssociates</t>
        </is>
      </c>
      <c r="D6" s="38" t="n">
        <v>0</v>
      </c>
      <c r="E6" s="38" t="n">
        <v>3511</v>
      </c>
      <c r="F6" s="38" t="n">
        <v>3715</v>
      </c>
      <c r="G6" s="38" t="n">
        <v>0</v>
      </c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fsa:PurchaseOfMinorityShares</t>
        </is>
      </c>
      <c r="C7" s="34" t="inlineStr">
        <is>
          <t>fsa:PurchaseOfMinorityShares</t>
        </is>
      </c>
      <c r="D7" s="35" t="n"/>
      <c r="E7" s="35" t="n"/>
      <c r="F7" s="35" t="n"/>
      <c r="G7" s="35" t="n"/>
      <c r="H7" s="35" t="n">
        <v>-295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fsa:RaisingOfLongtermDebt</t>
        </is>
      </c>
      <c r="C8" s="37" t="inlineStr">
        <is>
          <t>fsa:RaisingOfLongtermDebt</t>
        </is>
      </c>
      <c r="D8" s="38" t="n"/>
      <c r="E8" s="38" t="n"/>
      <c r="F8" s="38" t="n">
        <v>0</v>
      </c>
      <c r="G8" s="38" t="n">
        <v>5800</v>
      </c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fsa:ReductionOfLeaseCommitments</t>
        </is>
      </c>
      <c r="C9" s="34" t="inlineStr">
        <is>
          <t>fsa:ReductionOfLeaseCommitments</t>
        </is>
      </c>
      <c r="D9" s="35" t="n">
        <v>-5510</v>
      </c>
      <c r="E9" s="35" t="n">
        <v>14191</v>
      </c>
      <c r="F9" s="35" t="n">
        <v>13344</v>
      </c>
      <c r="G9" s="35" t="n">
        <v>-4117</v>
      </c>
      <c r="H9" s="35" t="n">
        <v>3504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fsa:ReserveForCurrentValueAdjustmentsOfCurrencyGains</t>
        </is>
      </c>
      <c r="C10" s="37" t="inlineStr">
        <is>
          <t>fsa:ReserveForCurrentValueAdjustmentsOfCurrencyGains</t>
        </is>
      </c>
      <c r="D10" s="38" t="n">
        <v>-286</v>
      </c>
      <c r="E10" s="38" t="n">
        <v>-672</v>
      </c>
      <c r="F10" s="38" t="n">
        <v>142</v>
      </c>
      <c r="G10" s="38" t="n">
        <v>2167</v>
      </c>
      <c r="H10" s="38" t="n">
        <v>2707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fsa:SaleOfMinorityShares</t>
        </is>
      </c>
      <c r="C11" s="34" t="inlineStr">
        <is>
          <t>fsa:SaleOfMinorityShares</t>
        </is>
      </c>
      <c r="D11" s="35" t="n"/>
      <c r="E11" s="35" t="n"/>
      <c r="F11" s="35" t="n"/>
      <c r="G11" s="35" t="n"/>
      <c r="H11" s="35" t="n">
        <v>295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fsa:TransferredToFromMinorityInterests</t>
        </is>
      </c>
      <c r="C12" s="37" t="inlineStr">
        <is>
          <t>fsa:TransferredToFromMinorityInterests</t>
        </is>
      </c>
      <c r="D12" s="38" t="n"/>
      <c r="E12" s="38" t="n"/>
      <c r="F12" s="38" t="n">
        <v>41</v>
      </c>
      <c r="G12" s="38" t="n">
        <v>-1034</v>
      </c>
      <c r="H12" s="38" t="n">
        <v>644</v>
      </c>
      <c r="I12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2026-09-09T19:23:11Z</dcterms:created>
  <dcterms:modified xmlns:dcterms="http://purl.org/dc/terms/" xmlns:xsi="http://www.w3.org/2001/XMLSchema-instance" xsi:type="dcterms:W3CDTF">2026-09-09T19:23:11Z</dcterms:modified>
</cp:coreProperties>
</file>