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9563518" sheetId="1" state="visible" r:id="rId1"/>
    <sheet xmlns:r="http://schemas.openxmlformats.org/officeDocument/2006/relationships" name="res_raw_89563518" sheetId="2" state="visible" r:id="rId2"/>
    <sheet xmlns:r="http://schemas.openxmlformats.org/officeDocument/2006/relationships" name="balance_raw_8956351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'res_raw_89563518'!$B$2</f>
        <v/>
      </c>
      <c r="C4" s="5">
        <f>'res_raw_89563518'!$C$2</f>
        <v/>
      </c>
      <c r="D4" s="5">
        <f>'res_raw_89563518'!$D$2</f>
        <v/>
      </c>
      <c r="E4" s="5">
        <f>'res_raw_89563518'!$E$2</f>
        <v/>
      </c>
      <c r="F4" s="5">
        <f>'res_raw_89563518'!$F$2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'res_raw_89563518'!$B$3</f>
        <v/>
      </c>
      <c r="C5" s="8">
        <f>'res_raw_89563518'!$C$3</f>
        <v/>
      </c>
      <c r="D5" s="8">
        <f>'res_raw_89563518'!$D$3</f>
        <v/>
      </c>
      <c r="E5" s="8">
        <f>'res_raw_89563518'!$E$3</f>
        <v/>
      </c>
      <c r="F5" s="8">
        <f>'res_raw_89563518'!$F$3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'res_raw_89563518'!$B$4</f>
        <v/>
      </c>
      <c r="C6" s="5">
        <f>'res_raw_89563518'!$C$4</f>
        <v/>
      </c>
      <c r="D6" s="5">
        <f>'res_raw_89563518'!$D$4</f>
        <v/>
      </c>
      <c r="E6" s="5">
        <f>'res_raw_89563518'!$E$4</f>
        <v/>
      </c>
      <c r="F6" s="5">
        <f>'res_raw_89563518'!$F$4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'res_raw_89563518'!$B$5</f>
        <v/>
      </c>
      <c r="C7" s="8">
        <f>'res_raw_89563518'!$C$5</f>
        <v/>
      </c>
      <c r="D7" s="8">
        <f>'res_raw_89563518'!$D$5</f>
        <v/>
      </c>
      <c r="E7" s="8">
        <f>'res_raw_89563518'!$E$5</f>
        <v/>
      </c>
      <c r="F7" s="8">
        <f>'res_raw_89563518'!$F$5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'res_raw_89563518'!$B$6</f>
        <v/>
      </c>
      <c r="C8" s="11">
        <f>'res_raw_89563518'!$C$6</f>
        <v/>
      </c>
      <c r="D8" s="11">
        <f>'res_raw_89563518'!$D$6</f>
        <v/>
      </c>
      <c r="E8" s="11">
        <f>'res_raw_89563518'!$E$6</f>
        <v/>
      </c>
      <c r="F8" s="11">
        <f>'res_raw_89563518'!$F$6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'res_raw_89563518'!$B$7</f>
        <v/>
      </c>
      <c r="C9" s="8">
        <f>'res_raw_89563518'!$C$7</f>
        <v/>
      </c>
      <c r="D9" s="8">
        <f>'res_raw_89563518'!$D$7</f>
        <v/>
      </c>
      <c r="E9" s="8">
        <f>'res_raw_89563518'!$E$7</f>
        <v/>
      </c>
      <c r="F9" s="8">
        <f>'res_raw_89563518'!$F$7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'res_raw_89563518'!$B$9</f>
        <v/>
      </c>
      <c r="C11" s="8">
        <f>'res_raw_89563518'!$C$9</f>
        <v/>
      </c>
      <c r="D11" s="8">
        <f>'res_raw_89563518'!$D$9</f>
        <v/>
      </c>
      <c r="E11" s="8">
        <f>'res_raw_89563518'!$E$9</f>
        <v/>
      </c>
      <c r="F11" s="8">
        <f>'res_raw_89563518'!$F$9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'res_raw_89563518'!$B$10</f>
        <v/>
      </c>
      <c r="C12" s="5">
        <f>'res_raw_89563518'!$C$10</f>
        <v/>
      </c>
      <c r="D12" s="5">
        <f>'res_raw_89563518'!$D$10</f>
        <v/>
      </c>
      <c r="E12" s="5">
        <f>'res_raw_89563518'!$E$10</f>
        <v/>
      </c>
      <c r="F12" s="5">
        <f>'res_raw_89563518'!$F$10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'res_raw_89563518'!$B$11</f>
        <v/>
      </c>
      <c r="C13" s="11">
        <f>'res_raw_89563518'!$C$11</f>
        <v/>
      </c>
      <c r="D13" s="11">
        <f>'res_raw_89563518'!$D$11</f>
        <v/>
      </c>
      <c r="E13" s="11">
        <f>'res_raw_89563518'!$E$11</f>
        <v/>
      </c>
      <c r="F13" s="11">
        <f>'res_raw_89563518'!$F$11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'res_raw_89563518'!$B$12</f>
        <v/>
      </c>
      <c r="C14" s="5">
        <f>'res_raw_89563518'!$C$12</f>
        <v/>
      </c>
      <c r="D14" s="5">
        <f>'res_raw_89563518'!$D$12</f>
        <v/>
      </c>
      <c r="E14" s="5">
        <f>'res_raw_89563518'!$E$12</f>
        <v/>
      </c>
      <c r="F14" s="5">
        <f>'res_raw_89563518'!$F$12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'res_raw_89563518'!$B$13</f>
        <v/>
      </c>
      <c r="C15" s="8">
        <f>'res_raw_89563518'!$C$13</f>
        <v/>
      </c>
      <c r="D15" s="8">
        <f>'res_raw_89563518'!$D$13</f>
        <v/>
      </c>
      <c r="E15" s="8">
        <f>'res_raw_89563518'!$E$13</f>
        <v/>
      </c>
      <c r="F15" s="8">
        <f>'res_raw_89563518'!$F$13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'res_raw_89563518'!$B$14</f>
        <v/>
      </c>
      <c r="C16" s="5">
        <f>'res_raw_89563518'!$C$14</f>
        <v/>
      </c>
      <c r="D16" s="5">
        <f>'res_raw_89563518'!$D$14</f>
        <v/>
      </c>
      <c r="E16" s="5">
        <f>'res_raw_89563518'!$E$14</f>
        <v/>
      </c>
      <c r="F16" s="5">
        <f>'res_raw_89563518'!$F$14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'res_raw_89563518'!$B$15</f>
        <v/>
      </c>
      <c r="C17" s="11">
        <f>'res_raw_89563518'!$C$15</f>
        <v/>
      </c>
      <c r="D17" s="11">
        <f>'res_raw_89563518'!$D$15</f>
        <v/>
      </c>
      <c r="E17" s="11">
        <f>'res_raw_89563518'!$E$15</f>
        <v/>
      </c>
      <c r="F17" s="11">
        <f>'res_raw_89563518'!$F$15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'res_raw_89563518'!$B$16</f>
        <v/>
      </c>
      <c r="C18" s="11">
        <f>'res_raw_89563518'!$C$16</f>
        <v/>
      </c>
      <c r="D18" s="11">
        <f>'res_raw_89563518'!$D$16</f>
        <v/>
      </c>
      <c r="E18" s="11">
        <f>'res_raw_89563518'!$E$16</f>
        <v/>
      </c>
      <c r="F18" s="11">
        <f>'res_raw_89563518'!$F$16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'res_raw_89563518'!$B$17</f>
        <v/>
      </c>
      <c r="C19" s="8">
        <f>'res_raw_89563518'!$C$17</f>
        <v/>
      </c>
      <c r="D19" s="8">
        <f>'res_raw_89563518'!$D$17</f>
        <v/>
      </c>
      <c r="E19" s="8">
        <f>'res_raw_89563518'!$E$17</f>
        <v/>
      </c>
      <c r="F19" s="8">
        <f>'res_raw_89563518'!$F$17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'res_raw_89563518'!$B$18</f>
        <v/>
      </c>
      <c r="C20" s="11">
        <f>'res_raw_89563518'!$C$18</f>
        <v/>
      </c>
      <c r="D20" s="11">
        <f>'res_raw_89563518'!$D$18</f>
        <v/>
      </c>
      <c r="E20" s="11">
        <f>'res_raw_89563518'!$E$18</f>
        <v/>
      </c>
      <c r="F20" s="11">
        <f>'res_raw_89563518'!$F$18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'balance_raw_89563518'!$B$2</f>
        <v/>
      </c>
      <c r="C23" s="8">
        <f>'balance_raw_89563518'!$C$2</f>
        <v/>
      </c>
      <c r="D23" s="8">
        <f>'balance_raw_89563518'!$D$2</f>
        <v/>
      </c>
      <c r="E23" s="8">
        <f>'balance_raw_89563518'!$E$2</f>
        <v/>
      </c>
      <c r="F23" s="8">
        <f>'balance_raw_89563518'!$F$2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'balance_raw_89563518'!$B$3</f>
        <v/>
      </c>
      <c r="C24" s="5">
        <f>'balance_raw_89563518'!$C$3</f>
        <v/>
      </c>
      <c r="D24" s="5">
        <f>'balance_raw_89563518'!$D$3</f>
        <v/>
      </c>
      <c r="E24" s="5">
        <f>'balance_raw_89563518'!$E$3</f>
        <v/>
      </c>
      <c r="F24" s="5">
        <f>'balance_raw_89563518'!$F$3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'balance_raw_89563518'!$B$4</f>
        <v/>
      </c>
      <c r="C25" s="8">
        <f>'balance_raw_89563518'!$C$4</f>
        <v/>
      </c>
      <c r="D25" s="8">
        <f>'balance_raw_89563518'!$D$4</f>
        <v/>
      </c>
      <c r="E25" s="8">
        <f>'balance_raw_89563518'!$E$4</f>
        <v/>
      </c>
      <c r="F25" s="8">
        <f>'balance_raw_89563518'!$F$4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'balance_raw_89563518'!$B$5</f>
        <v/>
      </c>
      <c r="C26" s="11">
        <f>'balance_raw_89563518'!$C$5</f>
        <v/>
      </c>
      <c r="D26" s="11">
        <f>'balance_raw_89563518'!$D$5</f>
        <v/>
      </c>
      <c r="E26" s="11">
        <f>'balance_raw_89563518'!$E$5</f>
        <v/>
      </c>
      <c r="F26" s="11">
        <f>'balance_raw_89563518'!$F$5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'balance_raw_89563518'!$B$6</f>
        <v/>
      </c>
      <c r="C27" s="8">
        <f>'balance_raw_89563518'!$C$6</f>
        <v/>
      </c>
      <c r="D27" s="8">
        <f>'balance_raw_89563518'!$D$6</f>
        <v/>
      </c>
      <c r="E27" s="8">
        <f>'balance_raw_89563518'!$E$6</f>
        <v/>
      </c>
      <c r="F27" s="8">
        <f>'balance_raw_89563518'!$F$6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'balance_raw_89563518'!$B$7</f>
        <v/>
      </c>
      <c r="C28" s="5">
        <f>'balance_raw_89563518'!$C$7</f>
        <v/>
      </c>
      <c r="D28" s="5">
        <f>'balance_raw_89563518'!$D$7</f>
        <v/>
      </c>
      <c r="E28" s="5">
        <f>'balance_raw_89563518'!$E$7</f>
        <v/>
      </c>
      <c r="F28" s="5">
        <f>'balance_raw_89563518'!$F$7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'balance_raw_89563518'!$B$8</f>
        <v/>
      </c>
      <c r="C29" s="8">
        <f>'balance_raw_89563518'!$C$8</f>
        <v/>
      </c>
      <c r="D29" s="8">
        <f>'balance_raw_89563518'!$D$8</f>
        <v/>
      </c>
      <c r="E29" s="8">
        <f>'balance_raw_89563518'!$E$8</f>
        <v/>
      </c>
      <c r="F29" s="8">
        <f>'balance_raw_89563518'!$F$8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'balance_raw_89563518'!$B$9</f>
        <v/>
      </c>
      <c r="C30" s="5">
        <f>'balance_raw_89563518'!$C$9</f>
        <v/>
      </c>
      <c r="D30" s="5">
        <f>'balance_raw_89563518'!$D$9</f>
        <v/>
      </c>
      <c r="E30" s="5">
        <f>'balance_raw_89563518'!$E$9</f>
        <v/>
      </c>
      <c r="F30" s="5">
        <f>'balance_raw_89563518'!$F$9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'balance_raw_89563518'!$B$10</f>
        <v/>
      </c>
      <c r="C31" s="8">
        <f>'balance_raw_89563518'!$C$10</f>
        <v/>
      </c>
      <c r="D31" s="8">
        <f>'balance_raw_89563518'!$D$10</f>
        <v/>
      </c>
      <c r="E31" s="8">
        <f>'balance_raw_89563518'!$E$10</f>
        <v/>
      </c>
      <c r="F31" s="8">
        <f>'balance_raw_89563518'!$F$10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'balance_raw_89563518'!$B$11</f>
        <v/>
      </c>
      <c r="C32" s="11">
        <f>'balance_raw_89563518'!$C$11</f>
        <v/>
      </c>
      <c r="D32" s="11">
        <f>'balance_raw_89563518'!$D$11</f>
        <v/>
      </c>
      <c r="E32" s="11">
        <f>'balance_raw_89563518'!$E$11</f>
        <v/>
      </c>
      <c r="F32" s="11">
        <f>'balance_raw_89563518'!$F$11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'balance_raw_89563518'!$B$12</f>
        <v/>
      </c>
      <c r="C33" s="8">
        <f>'balance_raw_89563518'!$C$12</f>
        <v/>
      </c>
      <c r="D33" s="8">
        <f>'balance_raw_89563518'!$D$12</f>
        <v/>
      </c>
      <c r="E33" s="8">
        <f>'balance_raw_89563518'!$E$12</f>
        <v/>
      </c>
      <c r="F33" s="8">
        <f>'balance_raw_89563518'!$F$12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'balance_raw_89563518'!$B$13</f>
        <v/>
      </c>
      <c r="C34" s="5">
        <f>'balance_raw_89563518'!$C$13</f>
        <v/>
      </c>
      <c r="D34" s="5">
        <f>'balance_raw_89563518'!$D$13</f>
        <v/>
      </c>
      <c r="E34" s="5">
        <f>'balance_raw_89563518'!$E$13</f>
        <v/>
      </c>
      <c r="F34" s="5">
        <f>'balance_raw_89563518'!$F$13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'balance_raw_89563518'!$B$14</f>
        <v/>
      </c>
      <c r="C35" s="11">
        <f>'balance_raw_89563518'!$C$14</f>
        <v/>
      </c>
      <c r="D35" s="11">
        <f>'balance_raw_89563518'!$D$14</f>
        <v/>
      </c>
      <c r="E35" s="11">
        <f>'balance_raw_89563518'!$E$14</f>
        <v/>
      </c>
      <c r="F35" s="11">
        <f>'balance_raw_89563518'!$F$14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'balance_raw_89563518'!$B$15</f>
        <v/>
      </c>
      <c r="C36" s="11">
        <f>'balance_raw_89563518'!$C$15</f>
        <v/>
      </c>
      <c r="D36" s="11">
        <f>'balance_raw_89563518'!$D$15</f>
        <v/>
      </c>
      <c r="E36" s="11">
        <f>'balance_raw_89563518'!$E$15</f>
        <v/>
      </c>
      <c r="F36" s="11">
        <f>'balance_raw_89563518'!$F$15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'balance_raw_89563518'!$B$16</f>
        <v/>
      </c>
      <c r="C37" s="8">
        <f>'balance_raw_89563518'!$C$16</f>
        <v/>
      </c>
      <c r="D37" s="8">
        <f>'balance_raw_89563518'!$D$16</f>
        <v/>
      </c>
      <c r="E37" s="8">
        <f>'balance_raw_89563518'!$E$16</f>
        <v/>
      </c>
      <c r="F37" s="8">
        <f>'balance_raw_89563518'!$F$16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'balance_raw_89563518'!$B$17</f>
        <v/>
      </c>
      <c r="C38" s="5">
        <f>'balance_raw_89563518'!$C$17</f>
        <v/>
      </c>
      <c r="D38" s="5">
        <f>'balance_raw_89563518'!$D$17</f>
        <v/>
      </c>
      <c r="E38" s="5">
        <f>'balance_raw_89563518'!$E$17</f>
        <v/>
      </c>
      <c r="F38" s="5">
        <f>'balance_raw_89563518'!$F$17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'balance_raw_89563518'!$B$18</f>
        <v/>
      </c>
      <c r="C39" s="8">
        <f>'balance_raw_89563518'!$C$18</f>
        <v/>
      </c>
      <c r="D39" s="8">
        <f>'balance_raw_89563518'!$D$18</f>
        <v/>
      </c>
      <c r="E39" s="8">
        <f>'balance_raw_89563518'!$E$18</f>
        <v/>
      </c>
      <c r="F39" s="8">
        <f>'balance_raw_89563518'!$F$18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'balance_raw_89563518'!$B$19</f>
        <v/>
      </c>
      <c r="C40" s="11">
        <f>'balance_raw_89563518'!$C$19</f>
        <v/>
      </c>
      <c r="D40" s="11">
        <f>'balance_raw_89563518'!$D$19</f>
        <v/>
      </c>
      <c r="E40" s="11">
        <f>'balance_raw_89563518'!$E$19</f>
        <v/>
      </c>
      <c r="F40" s="11">
        <f>'balance_raw_89563518'!$F$19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'balance_raw_89563518'!$B$20</f>
        <v/>
      </c>
      <c r="C41" s="8">
        <f>'balance_raw_89563518'!$C$20</f>
        <v/>
      </c>
      <c r="D41" s="8">
        <f>'balance_raw_89563518'!$D$20</f>
        <v/>
      </c>
      <c r="E41" s="8">
        <f>'balance_raw_89563518'!$E$20</f>
        <v/>
      </c>
      <c r="F41" s="8">
        <f>'balance_raw_89563518'!$F$20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'balance_raw_89563518'!$B$21</f>
        <v/>
      </c>
      <c r="C42" s="5">
        <f>'balance_raw_89563518'!$C$21</f>
        <v/>
      </c>
      <c r="D42" s="5">
        <f>'balance_raw_89563518'!$D$21</f>
        <v/>
      </c>
      <c r="E42" s="5">
        <f>'balance_raw_89563518'!$E$21</f>
        <v/>
      </c>
      <c r="F42" s="5">
        <f>'balance_raw_89563518'!$F$21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'balance_raw_89563518'!$B$22</f>
        <v/>
      </c>
      <c r="C43" s="8">
        <f>'balance_raw_89563518'!$C$22</f>
        <v/>
      </c>
      <c r="D43" s="8">
        <f>'balance_raw_89563518'!$D$22</f>
        <v/>
      </c>
      <c r="E43" s="8">
        <f>'balance_raw_89563518'!$E$22</f>
        <v/>
      </c>
      <c r="F43" s="8">
        <f>'balance_raw_89563518'!$F$22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'balance_raw_89563518'!$B$23</f>
        <v/>
      </c>
      <c r="C44" s="5">
        <f>'balance_raw_89563518'!$C$23</f>
        <v/>
      </c>
      <c r="D44" s="5">
        <f>'balance_raw_89563518'!$D$23</f>
        <v/>
      </c>
      <c r="E44" s="5">
        <f>'balance_raw_89563518'!$E$23</f>
        <v/>
      </c>
      <c r="F44" s="5">
        <f>'balance_raw_89563518'!$F$23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'balance_raw_89563518'!$B$24</f>
        <v/>
      </c>
      <c r="C45" s="8">
        <f>'balance_raw_89563518'!$C$24</f>
        <v/>
      </c>
      <c r="D45" s="8">
        <f>'balance_raw_89563518'!$D$24</f>
        <v/>
      </c>
      <c r="E45" s="8">
        <f>'balance_raw_89563518'!$E$24</f>
        <v/>
      </c>
      <c r="F45" s="8">
        <f>'balance_raw_89563518'!$F$24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'balance_raw_89563518'!$B$25</f>
        <v/>
      </c>
      <c r="C46" s="5">
        <f>'balance_raw_89563518'!$C$25</f>
        <v/>
      </c>
      <c r="D46" s="5">
        <f>'balance_raw_89563518'!$D$25</f>
        <v/>
      </c>
      <c r="E46" s="5">
        <f>'balance_raw_89563518'!$E$25</f>
        <v/>
      </c>
      <c r="F46" s="5">
        <f>'balance_raw_89563518'!$F$25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'balance_raw_89563518'!$B$26</f>
        <v/>
      </c>
      <c r="C47" s="8">
        <f>'balance_raw_89563518'!$C$26</f>
        <v/>
      </c>
      <c r="D47" s="8">
        <f>'balance_raw_89563518'!$D$26</f>
        <v/>
      </c>
      <c r="E47" s="8">
        <f>'balance_raw_89563518'!$E$26</f>
        <v/>
      </c>
      <c r="F47" s="8">
        <f>'balance_raw_89563518'!$F$26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'balance_raw_89563518'!$B$27</f>
        <v/>
      </c>
      <c r="C48" s="11">
        <f>'balance_raw_89563518'!$C$27</f>
        <v/>
      </c>
      <c r="D48" s="11">
        <f>'balance_raw_89563518'!$D$27</f>
        <v/>
      </c>
      <c r="E48" s="11">
        <f>'balance_raw_89563518'!$E$27</f>
        <v/>
      </c>
      <c r="F48" s="11">
        <f>'balance_raw_89563518'!$F$27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'balance_raw_89563518'!$B$28</f>
        <v/>
      </c>
      <c r="C49" s="8">
        <f>'balance_raw_89563518'!$C$28</f>
        <v/>
      </c>
      <c r="D49" s="8">
        <f>'balance_raw_89563518'!$D$28</f>
        <v/>
      </c>
      <c r="E49" s="8">
        <f>'balance_raw_89563518'!$E$28</f>
        <v/>
      </c>
      <c r="F49" s="8">
        <f>'balance_raw_89563518'!$F$28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'balance_raw_89563518'!$B$29</f>
        <v/>
      </c>
      <c r="C50" s="5">
        <f>'balance_raw_89563518'!$C$29</f>
        <v/>
      </c>
      <c r="D50" s="5">
        <f>'balance_raw_89563518'!$D$29</f>
        <v/>
      </c>
      <c r="E50" s="5">
        <f>'balance_raw_89563518'!$E$29</f>
        <v/>
      </c>
      <c r="F50" s="5">
        <f>'balance_raw_89563518'!$F$29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'balance_raw_89563518'!$B$30</f>
        <v/>
      </c>
      <c r="C51" s="11">
        <f>'balance_raw_89563518'!$C$30</f>
        <v/>
      </c>
      <c r="D51" s="11">
        <f>'balance_raw_89563518'!$D$30</f>
        <v/>
      </c>
      <c r="E51" s="11">
        <f>'balance_raw_89563518'!$E$30</f>
        <v/>
      </c>
      <c r="F51" s="11">
        <f>'balance_raw_89563518'!$F$30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'balance_raw_89563518'!$B$31</f>
        <v/>
      </c>
      <c r="C52" s="11">
        <f>'balance_raw_89563518'!$C$31</f>
        <v/>
      </c>
      <c r="D52" s="11">
        <f>'balance_raw_89563518'!$D$31</f>
        <v/>
      </c>
      <c r="E52" s="11">
        <f>'balance_raw_89563518'!$E$31</f>
        <v/>
      </c>
      <c r="F52" s="11">
        <f>'balance_raw_89563518'!$F$31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'balance_raw_89563518'!$B$32</f>
        <v/>
      </c>
      <c r="C55" s="8">
        <f>'balance_raw_89563518'!$C$32</f>
        <v/>
      </c>
      <c r="D55" s="8">
        <f>'balance_raw_89563518'!$D$32</f>
        <v/>
      </c>
      <c r="E55" s="8">
        <f>'balance_raw_89563518'!$E$32</f>
        <v/>
      </c>
      <c r="F55" s="8">
        <f>'balance_raw_89563518'!$F$32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'balance_raw_89563518'!$B$33</f>
        <v/>
      </c>
      <c r="C56" s="5">
        <f>'balance_raw_89563518'!$C$33</f>
        <v/>
      </c>
      <c r="D56" s="5">
        <f>'balance_raw_89563518'!$D$33</f>
        <v/>
      </c>
      <c r="E56" s="5">
        <f>'balance_raw_89563518'!$E$33</f>
        <v/>
      </c>
      <c r="F56" s="5">
        <f>'balance_raw_89563518'!$F$33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'balance_raw_89563518'!$B$34</f>
        <v/>
      </c>
      <c r="C57" s="8">
        <f>'balance_raw_89563518'!$C$34</f>
        <v/>
      </c>
      <c r="D57" s="8">
        <f>'balance_raw_89563518'!$D$34</f>
        <v/>
      </c>
      <c r="E57" s="8">
        <f>'balance_raw_89563518'!$E$34</f>
        <v/>
      </c>
      <c r="F57" s="8">
        <f>'balance_raw_89563518'!$F$34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'balance_raw_89563518'!$B$35</f>
        <v/>
      </c>
      <c r="C58" s="5">
        <f>'balance_raw_89563518'!$C$35</f>
        <v/>
      </c>
      <c r="D58" s="5">
        <f>'balance_raw_89563518'!$D$35</f>
        <v/>
      </c>
      <c r="E58" s="5">
        <f>'balance_raw_89563518'!$E$35</f>
        <v/>
      </c>
      <c r="F58" s="5">
        <f>'balance_raw_89563518'!$F$35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'balance_raw_89563518'!$B$36</f>
        <v/>
      </c>
      <c r="C59" s="8">
        <f>'balance_raw_89563518'!$C$36</f>
        <v/>
      </c>
      <c r="D59" s="8">
        <f>'balance_raw_89563518'!$D$36</f>
        <v/>
      </c>
      <c r="E59" s="8">
        <f>'balance_raw_89563518'!$E$36</f>
        <v/>
      </c>
      <c r="F59" s="8">
        <f>'balance_raw_89563518'!$F$36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'balance_raw_89563518'!$B$37</f>
        <v/>
      </c>
      <c r="C60" s="5">
        <f>'balance_raw_89563518'!$C$37</f>
        <v/>
      </c>
      <c r="D60" s="5">
        <f>'balance_raw_89563518'!$D$37</f>
        <v/>
      </c>
      <c r="E60" s="5">
        <f>'balance_raw_89563518'!$E$37</f>
        <v/>
      </c>
      <c r="F60" s="5">
        <f>'balance_raw_89563518'!$F$37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'balance_raw_89563518'!$B$38</f>
        <v/>
      </c>
      <c r="C61" s="11">
        <f>'balance_raw_89563518'!$C$38</f>
        <v/>
      </c>
      <c r="D61" s="11">
        <f>'balance_raw_89563518'!$D$38</f>
        <v/>
      </c>
      <c r="E61" s="11">
        <f>'balance_raw_89563518'!$E$38</f>
        <v/>
      </c>
      <c r="F61" s="11">
        <f>'balance_raw_89563518'!$F$38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'balance_raw_89563518'!$B$39</f>
        <v/>
      </c>
      <c r="C62" s="5">
        <f>'balance_raw_89563518'!$C$39</f>
        <v/>
      </c>
      <c r="D62" s="5">
        <f>'balance_raw_89563518'!$D$39</f>
        <v/>
      </c>
      <c r="E62" s="5">
        <f>'balance_raw_89563518'!$E$39</f>
        <v/>
      </c>
      <c r="F62" s="5">
        <f>'balance_raw_89563518'!$F$39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'balance_raw_89563518'!$B$40</f>
        <v/>
      </c>
      <c r="C63" s="11">
        <f>'balance_raw_89563518'!$C$40</f>
        <v/>
      </c>
      <c r="D63" s="11">
        <f>'balance_raw_89563518'!$D$40</f>
        <v/>
      </c>
      <c r="E63" s="11">
        <f>'balance_raw_89563518'!$E$40</f>
        <v/>
      </c>
      <c r="F63" s="11">
        <f>'balance_raw_89563518'!$F$40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'balance_raw_89563518'!$B$41</f>
        <v/>
      </c>
      <c r="C64" s="5">
        <f>'balance_raw_89563518'!$C$41</f>
        <v/>
      </c>
      <c r="D64" s="5">
        <f>'balance_raw_89563518'!$D$41</f>
        <v/>
      </c>
      <c r="E64" s="5">
        <f>'balance_raw_89563518'!$E$41</f>
        <v/>
      </c>
      <c r="F64" s="5">
        <f>'balance_raw_89563518'!$F$41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'balance_raw_89563518'!$B$42</f>
        <v/>
      </c>
      <c r="C65" s="8">
        <f>'balance_raw_89563518'!$C$42</f>
        <v/>
      </c>
      <c r="D65" s="8">
        <f>'balance_raw_89563518'!$D$42</f>
        <v/>
      </c>
      <c r="E65" s="8">
        <f>'balance_raw_89563518'!$E$42</f>
        <v/>
      </c>
      <c r="F65" s="8">
        <f>'balance_raw_89563518'!$F$42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'balance_raw_89563518'!$B$43</f>
        <v/>
      </c>
      <c r="C66" s="5">
        <f>'balance_raw_89563518'!$C$43</f>
        <v/>
      </c>
      <c r="D66" s="5">
        <f>'balance_raw_89563518'!$D$43</f>
        <v/>
      </c>
      <c r="E66" s="5">
        <f>'balance_raw_89563518'!$E$43</f>
        <v/>
      </c>
      <c r="F66" s="5">
        <f>'balance_raw_89563518'!$F$43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'balance_raw_89563518'!$B$44</f>
        <v/>
      </c>
      <c r="C67" s="8">
        <f>'balance_raw_89563518'!$C$44</f>
        <v/>
      </c>
      <c r="D67" s="8">
        <f>'balance_raw_89563518'!$D$44</f>
        <v/>
      </c>
      <c r="E67" s="8">
        <f>'balance_raw_89563518'!$E$44</f>
        <v/>
      </c>
      <c r="F67" s="8">
        <f>'balance_raw_89563518'!$F$44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'balance_raw_89563518'!$B$45</f>
        <v/>
      </c>
      <c r="C68" s="11">
        <f>'balance_raw_89563518'!$C$45</f>
        <v/>
      </c>
      <c r="D68" s="11">
        <f>'balance_raw_89563518'!$D$45</f>
        <v/>
      </c>
      <c r="E68" s="11">
        <f>'balance_raw_89563518'!$E$45</f>
        <v/>
      </c>
      <c r="F68" s="11">
        <f>'balance_raw_89563518'!$F$45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'balance_raw_89563518'!$B$46</f>
        <v/>
      </c>
      <c r="C69" s="8">
        <f>'balance_raw_89563518'!$C$46</f>
        <v/>
      </c>
      <c r="D69" s="8">
        <f>'balance_raw_89563518'!$D$46</f>
        <v/>
      </c>
      <c r="E69" s="8">
        <f>'balance_raw_89563518'!$E$46</f>
        <v/>
      </c>
      <c r="F69" s="8">
        <f>'balance_raw_89563518'!$F$46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'balance_raw_89563518'!$B$47</f>
        <v/>
      </c>
      <c r="C70" s="5">
        <f>'balance_raw_89563518'!$C$47</f>
        <v/>
      </c>
      <c r="D70" s="5">
        <f>'balance_raw_89563518'!$D$47</f>
        <v/>
      </c>
      <c r="E70" s="5">
        <f>'balance_raw_89563518'!$E$47</f>
        <v/>
      </c>
      <c r="F70" s="5">
        <f>'balance_raw_89563518'!$F$47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'balance_raw_89563518'!$B$48</f>
        <v/>
      </c>
      <c r="C71" s="8">
        <f>'balance_raw_89563518'!$C$48</f>
        <v/>
      </c>
      <c r="D71" s="8">
        <f>'balance_raw_89563518'!$D$48</f>
        <v/>
      </c>
      <c r="E71" s="8">
        <f>'balance_raw_89563518'!$E$48</f>
        <v/>
      </c>
      <c r="F71" s="8">
        <f>'balance_raw_89563518'!$F$48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'balance_raw_89563518'!$B$49</f>
        <v/>
      </c>
      <c r="C72" s="5">
        <f>'balance_raw_89563518'!$C$49</f>
        <v/>
      </c>
      <c r="D72" s="5">
        <f>'balance_raw_89563518'!$D$49</f>
        <v/>
      </c>
      <c r="E72" s="5">
        <f>'balance_raw_89563518'!$E$49</f>
        <v/>
      </c>
      <c r="F72" s="5">
        <f>'balance_raw_89563518'!$F$49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'balance_raw_89563518'!$B$50</f>
        <v/>
      </c>
      <c r="C73" s="8">
        <f>'balance_raw_89563518'!$C$50</f>
        <v/>
      </c>
      <c r="D73" s="8">
        <f>'balance_raw_89563518'!$D$50</f>
        <v/>
      </c>
      <c r="E73" s="8">
        <f>'balance_raw_89563518'!$E$50</f>
        <v/>
      </c>
      <c r="F73" s="8">
        <f>'balance_raw_89563518'!$F$50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'balance_raw_89563518'!$B$51</f>
        <v/>
      </c>
      <c r="C74" s="5">
        <f>'balance_raw_89563518'!$C$51</f>
        <v/>
      </c>
      <c r="D74" s="5">
        <f>'balance_raw_89563518'!$D$51</f>
        <v/>
      </c>
      <c r="E74" s="5">
        <f>'balance_raw_89563518'!$E$51</f>
        <v/>
      </c>
      <c r="F74" s="5">
        <f>'balance_raw_89563518'!$F$51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'balance_raw_89563518'!$B$52</f>
        <v/>
      </c>
      <c r="C75" s="8">
        <f>'balance_raw_89563518'!$C$52</f>
        <v/>
      </c>
      <c r="D75" s="8">
        <f>'balance_raw_89563518'!$D$52</f>
        <v/>
      </c>
      <c r="E75" s="8">
        <f>'balance_raw_89563518'!$E$52</f>
        <v/>
      </c>
      <c r="F75" s="8">
        <f>'balance_raw_89563518'!$F$52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'balance_raw_89563518'!$B$53</f>
        <v/>
      </c>
      <c r="C76" s="5">
        <f>'balance_raw_89563518'!$C$53</f>
        <v/>
      </c>
      <c r="D76" s="5">
        <f>'balance_raw_89563518'!$D$53</f>
        <v/>
      </c>
      <c r="E76" s="5">
        <f>'balance_raw_89563518'!$E$53</f>
        <v/>
      </c>
      <c r="F76" s="5">
        <f>'balance_raw_89563518'!$F$53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'balance_raw_89563518'!$B$54</f>
        <v/>
      </c>
      <c r="C77" s="8">
        <f>'balance_raw_89563518'!$C$54</f>
        <v/>
      </c>
      <c r="D77" s="8">
        <f>'balance_raw_89563518'!$D$54</f>
        <v/>
      </c>
      <c r="E77" s="8">
        <f>'balance_raw_89563518'!$E$54</f>
        <v/>
      </c>
      <c r="F77" s="8">
        <f>'balance_raw_89563518'!$F$54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'balance_raw_89563518'!$B$55</f>
        <v/>
      </c>
      <c r="C78" s="5">
        <f>'balance_raw_89563518'!$C$55</f>
        <v/>
      </c>
      <c r="D78" s="5">
        <f>'balance_raw_89563518'!$D$55</f>
        <v/>
      </c>
      <c r="E78" s="5">
        <f>'balance_raw_89563518'!$E$55</f>
        <v/>
      </c>
      <c r="F78" s="5">
        <f>'balance_raw_89563518'!$F$55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'balance_raw_89563518'!$B$56</f>
        <v/>
      </c>
      <c r="C79" s="8">
        <f>'balance_raw_89563518'!$C$56</f>
        <v/>
      </c>
      <c r="D79" s="8">
        <f>'balance_raw_89563518'!$D$56</f>
        <v/>
      </c>
      <c r="E79" s="8">
        <f>'balance_raw_89563518'!$E$56</f>
        <v/>
      </c>
      <c r="F79" s="8">
        <f>'balance_raw_89563518'!$F$56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'balance_raw_89563518'!$B$57</f>
        <v/>
      </c>
      <c r="C80" s="11">
        <f>'balance_raw_89563518'!$C$57</f>
        <v/>
      </c>
      <c r="D80" s="11">
        <f>'balance_raw_89563518'!$D$57</f>
        <v/>
      </c>
      <c r="E80" s="11">
        <f>'balance_raw_89563518'!$E$57</f>
        <v/>
      </c>
      <c r="F80" s="11">
        <f>'balance_raw_89563518'!$F$57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'balance_raw_89563518'!$B$58</f>
        <v/>
      </c>
      <c r="C81" s="11">
        <f>'balance_raw_89563518'!$C$58</f>
        <v/>
      </c>
      <c r="D81" s="11">
        <f>'balance_raw_89563518'!$D$58</f>
        <v/>
      </c>
      <c r="E81" s="11">
        <f>'balance_raw_89563518'!$E$58</f>
        <v/>
      </c>
      <c r="F81" s="11">
        <f>'balance_raw_89563518'!$F$58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'balance_raw_89563518'!$B$59</f>
        <v/>
      </c>
      <c r="C82" s="11">
        <f>'balance_raw_89563518'!$C$59</f>
        <v/>
      </c>
      <c r="D82" s="11">
        <f>'balance_raw_89563518'!$D$59</f>
        <v/>
      </c>
      <c r="E82" s="11">
        <f>'balance_raw_89563518'!$E$59</f>
        <v/>
      </c>
      <c r="F82" s="11">
        <f>'balance_raw_89563518'!$F$59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'res_raw_89563518'!$B$19</f>
        <v/>
      </c>
      <c r="C85" s="8">
        <f>'res_raw_89563518'!$C$19</f>
        <v/>
      </c>
      <c r="D85" s="8">
        <f>'res_raw_89563518'!$D$19</f>
        <v/>
      </c>
      <c r="E85" s="8">
        <f>'res_raw_89563518'!$E$19</f>
        <v/>
      </c>
      <c r="F85" s="8">
        <f>'res_raw_89563518'!$F$19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'res_raw_89563518'!$B$20</f>
        <v/>
      </c>
      <c r="C86" s="5">
        <f>'res_raw_89563518'!$C$20</f>
        <v/>
      </c>
      <c r="D86" s="5">
        <f>'res_raw_89563518'!$D$20</f>
        <v/>
      </c>
      <c r="E86" s="5">
        <f>'res_raw_89563518'!$E$20</f>
        <v/>
      </c>
      <c r="F86" s="5">
        <f>'res_raw_89563518'!$F$20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396297</v>
      </c>
      <c r="C2" s="16" t="n">
        <v>567121</v>
      </c>
      <c r="D2" s="16" t="n">
        <v>662284</v>
      </c>
      <c r="E2" s="16" t="n">
        <v>707353</v>
      </c>
      <c r="F2" s="16" t="n">
        <v>739008</v>
      </c>
    </row>
    <row r="3">
      <c r="A3" s="15" t="inlineStr">
        <is>
          <t>Andre driftsindtægter</t>
        </is>
      </c>
      <c r="B3" s="16" t="n">
        <v>907</v>
      </c>
      <c r="C3" s="16" t="n">
        <v>19628</v>
      </c>
      <c r="D3" s="16" t="n">
        <v>10098</v>
      </c>
      <c r="E3" s="16" t="n">
        <v>7222</v>
      </c>
      <c r="F3" s="16" t="n">
        <v>7898</v>
      </c>
    </row>
    <row r="4">
      <c r="A4" s="15" t="inlineStr">
        <is>
          <t>Vareforbrug</t>
        </is>
      </c>
      <c r="B4" s="16" t="n">
        <v>197717</v>
      </c>
      <c r="C4" s="16" t="n">
        <v>67554</v>
      </c>
      <c r="D4" s="16" t="n">
        <v>70570</v>
      </c>
      <c r="E4" s="16" t="n">
        <v>67696</v>
      </c>
      <c r="F4" s="16" t="n">
        <v>68017</v>
      </c>
    </row>
    <row r="5">
      <c r="A5" s="15" t="inlineStr">
        <is>
          <t>Andre eksterne omkostninger</t>
        </is>
      </c>
      <c r="B5" s="16" t="n">
        <v>60540</v>
      </c>
      <c r="C5" s="16" t="n">
        <v>425780</v>
      </c>
      <c r="D5" s="16" t="n">
        <v>522994</v>
      </c>
      <c r="E5" s="16" t="n">
        <v>542630</v>
      </c>
      <c r="F5" s="16" t="n">
        <v>561215</v>
      </c>
    </row>
    <row r="6">
      <c r="A6" s="17" t="inlineStr">
        <is>
          <t>Bruttoresultat</t>
        </is>
      </c>
      <c r="B6" s="16" t="n">
        <v>138947</v>
      </c>
      <c r="C6" s="16" t="n">
        <v>141341</v>
      </c>
      <c r="D6" s="16" t="n">
        <v>139290</v>
      </c>
      <c r="E6" s="16" t="n">
        <v>164723</v>
      </c>
      <c r="F6" s="16" t="n">
        <v>177793</v>
      </c>
    </row>
    <row r="7">
      <c r="A7" s="15" t="inlineStr">
        <is>
          <t>Personaleomkostninger</t>
        </is>
      </c>
      <c r="B7" s="16" t="n">
        <v>96497</v>
      </c>
      <c r="C7" s="16" t="n">
        <v>102139</v>
      </c>
      <c r="D7" s="16" t="n"/>
      <c r="E7" s="16" t="n">
        <v>169264</v>
      </c>
      <c r="F7" s="16" t="n">
        <v>176809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19319</v>
      </c>
      <c r="C9" s="16" t="n">
        <v>19624</v>
      </c>
      <c r="D9" s="16" t="n"/>
      <c r="E9" s="16" t="n"/>
      <c r="F9" s="16" t="n"/>
    </row>
    <row r="10">
      <c r="A10" s="15" t="inlineStr">
        <is>
          <t>Andre driftsomkostninger</t>
        </is>
      </c>
      <c r="B10" s="16" t="n"/>
      <c r="C10" s="16" t="n">
        <v>8295</v>
      </c>
      <c r="D10" s="16" t="n">
        <v>2228</v>
      </c>
      <c r="E10" s="16" t="n">
        <v>1619</v>
      </c>
      <c r="F10" s="16" t="n">
        <v>1451</v>
      </c>
    </row>
    <row r="11">
      <c r="A11" s="17" t="inlineStr">
        <is>
          <t>Resultat af primær drift</t>
        </is>
      </c>
      <c r="B11" s="16" t="n">
        <v>23131</v>
      </c>
      <c r="C11" s="16" t="n">
        <v>37219</v>
      </c>
      <c r="D11" s="16" t="n">
        <v>25791</v>
      </c>
      <c r="E11" s="16" t="n">
        <v>48112</v>
      </c>
      <c r="F11" s="16" t="n">
        <v>57068</v>
      </c>
    </row>
    <row r="12">
      <c r="A12" s="15" t="inlineStr">
        <is>
          <t>Indtægter af kapitalandele, dattervirksomheder</t>
        </is>
      </c>
      <c r="B12" s="16" t="n">
        <v>2376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0</v>
      </c>
      <c r="C13" s="16" t="n">
        <v>1014</v>
      </c>
      <c r="D13" s="16" t="n">
        <v>616</v>
      </c>
      <c r="E13" s="16" t="n">
        <v>6352</v>
      </c>
      <c r="F13" s="16" t="n">
        <v>2794</v>
      </c>
    </row>
    <row r="14">
      <c r="A14" s="15" t="inlineStr">
        <is>
          <t>Finansielle omkostninger</t>
        </is>
      </c>
      <c r="B14" s="16" t="n">
        <v>1961</v>
      </c>
      <c r="C14" s="16" t="n">
        <v>6126</v>
      </c>
      <c r="D14" s="16" t="n">
        <v>7608</v>
      </c>
      <c r="E14" s="16" t="n">
        <v>12533</v>
      </c>
      <c r="F14" s="16" t="n">
        <v>12880</v>
      </c>
    </row>
    <row r="15">
      <c r="A15" s="17" t="inlineStr">
        <is>
          <t>Finansielle poster, netto</t>
        </is>
      </c>
      <c r="B15" s="16" t="n">
        <v>0</v>
      </c>
      <c r="C15" s="16" t="n"/>
      <c r="D15" s="16" t="n">
        <v>-7000</v>
      </c>
      <c r="E15" s="16" t="n">
        <v>0</v>
      </c>
      <c r="F15" s="16" t="n">
        <v>0</v>
      </c>
    </row>
    <row r="16">
      <c r="A16" s="17" t="inlineStr">
        <is>
          <t>Resultat før skat</t>
        </is>
      </c>
      <c r="B16" s="16" t="n">
        <v>23546</v>
      </c>
      <c r="C16" s="16" t="n">
        <v>32107</v>
      </c>
      <c r="D16" s="16" t="n">
        <v>18799</v>
      </c>
      <c r="E16" s="16" t="n">
        <v>41931</v>
      </c>
      <c r="F16" s="16" t="n">
        <v>46982</v>
      </c>
    </row>
    <row r="17">
      <c r="A17" s="15" t="inlineStr">
        <is>
          <t>Skat af årets resultat</t>
        </is>
      </c>
      <c r="B17" s="16" t="n">
        <v>4922</v>
      </c>
      <c r="C17" s="16" t="n">
        <v>8504</v>
      </c>
      <c r="D17" s="16" t="n">
        <v>4235</v>
      </c>
      <c r="E17" s="16" t="n">
        <v>9959</v>
      </c>
      <c r="F17" s="16" t="n">
        <v>11495</v>
      </c>
    </row>
    <row r="18">
      <c r="A18" s="17" t="inlineStr">
        <is>
          <t>Årets resultat</t>
        </is>
      </c>
      <c r="B18" s="16" t="n">
        <v>18624</v>
      </c>
      <c r="C18" s="16" t="n">
        <v>23603</v>
      </c>
      <c r="D18" s="16" t="n">
        <v>14564</v>
      </c>
      <c r="E18" s="16" t="n">
        <v>31972</v>
      </c>
      <c r="F18" s="16" t="n">
        <v>35487</v>
      </c>
    </row>
    <row r="19">
      <c r="A19" s="15" t="inlineStr">
        <is>
          <t>Gns. antal medarbejdere</t>
        </is>
      </c>
      <c r="B19" s="16" t="n">
        <v>179</v>
      </c>
      <c r="C19" s="16" t="n">
        <v>477</v>
      </c>
      <c r="D19" s="16" t="n">
        <v>488</v>
      </c>
      <c r="E19" s="16" t="n">
        <v>471</v>
      </c>
      <c r="F19" s="16" t="n">
        <v>435</v>
      </c>
    </row>
    <row r="20">
      <c r="A20" s="15" t="inlineStr">
        <is>
          <t>Investering i materielle anlægsaktiver</t>
        </is>
      </c>
      <c r="B20" s="16" t="n">
        <v>29000</v>
      </c>
      <c r="C20" s="16" t="n">
        <v>19000</v>
      </c>
      <c r="D20" s="16" t="n">
        <v>21000</v>
      </c>
      <c r="E20" s="16" t="n">
        <v>0</v>
      </c>
      <c r="F20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101</v>
      </c>
      <c r="C2" s="16" t="n">
        <v>20322</v>
      </c>
      <c r="D2" s="16" t="n">
        <v>17505</v>
      </c>
      <c r="E2" s="16" t="n">
        <v>14741</v>
      </c>
      <c r="F2" s="16" t="n">
        <v>12293</v>
      </c>
    </row>
    <row r="3">
      <c r="A3" s="15" t="inlineStr">
        <is>
          <t>Patenter, varemærker mv.</t>
        </is>
      </c>
      <c r="B3" s="16" t="n">
        <v>1300</v>
      </c>
      <c r="C3" s="16" t="n">
        <v>1100</v>
      </c>
      <c r="D3" s="16" t="n">
        <v>900</v>
      </c>
      <c r="E3" s="16" t="n">
        <v>700</v>
      </c>
      <c r="F3" s="16" t="n">
        <v>500</v>
      </c>
    </row>
    <row r="4">
      <c r="A4" s="15" t="inlineStr">
        <is>
          <t>Goodwill</t>
        </is>
      </c>
      <c r="B4" s="16" t="n">
        <v>7232</v>
      </c>
      <c r="C4" s="16" t="n">
        <v>21959</v>
      </c>
      <c r="D4" s="16" t="n">
        <v>19129</v>
      </c>
      <c r="E4" s="16" t="n">
        <v>16333</v>
      </c>
      <c r="F4" s="16" t="n">
        <v>13516</v>
      </c>
    </row>
    <row r="5">
      <c r="A5" s="17" t="inlineStr">
        <is>
          <t>Immaterielle anlægsaktiver</t>
        </is>
      </c>
      <c r="B5" s="16" t="n">
        <v>22112</v>
      </c>
      <c r="C5" s="16" t="n">
        <v>43411</v>
      </c>
      <c r="D5" s="16" t="n">
        <v>38045</v>
      </c>
      <c r="E5" s="16" t="n">
        <v>32894</v>
      </c>
      <c r="F5" s="16" t="n">
        <v>29846</v>
      </c>
    </row>
    <row r="6">
      <c r="A6" s="15" t="inlineStr">
        <is>
          <t>Grunde og bygninger</t>
        </is>
      </c>
      <c r="B6" s="16" t="n">
        <v>86159</v>
      </c>
      <c r="C6" s="16" t="n">
        <v>185040</v>
      </c>
      <c r="D6" s="16" t="n">
        <v>177068</v>
      </c>
      <c r="E6" s="16" t="n">
        <v>175249</v>
      </c>
      <c r="F6" s="16" t="n">
        <v>170961</v>
      </c>
    </row>
    <row r="7">
      <c r="A7" s="15" t="inlineStr">
        <is>
          <t>Produktionsanlæg og maskiner</t>
        </is>
      </c>
      <c r="B7" s="16" t="n">
        <v>50300</v>
      </c>
      <c r="C7" s="16" t="n">
        <v>76624</v>
      </c>
      <c r="D7" s="16" t="n">
        <v>86373</v>
      </c>
      <c r="E7" s="16" t="n">
        <v>85024</v>
      </c>
      <c r="F7" s="16" t="n">
        <v>84475</v>
      </c>
    </row>
    <row r="8">
      <c r="A8" s="15" t="inlineStr">
        <is>
          <t>Driftsmateriel og inventar</t>
        </is>
      </c>
      <c r="B8" s="16" t="n">
        <v>1757</v>
      </c>
      <c r="C8" s="16" t="n">
        <v>6512</v>
      </c>
      <c r="D8" s="16" t="n">
        <v>6058</v>
      </c>
      <c r="E8" s="16" t="n">
        <v>5574</v>
      </c>
      <c r="F8" s="16" t="n">
        <v>4960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14437</v>
      </c>
      <c r="C10" s="16" t="n">
        <v>22942</v>
      </c>
      <c r="D10" s="16" t="n">
        <v>14184</v>
      </c>
      <c r="E10" s="16" t="n">
        <v>52495</v>
      </c>
      <c r="F10" s="16" t="n">
        <v>85670</v>
      </c>
    </row>
    <row r="11">
      <c r="A11" s="17" t="inlineStr">
        <is>
          <t>Materielle anlægsaktiver</t>
        </is>
      </c>
      <c r="B11" s="16" t="n">
        <v>152652</v>
      </c>
      <c r="C11" s="16" t="n">
        <v>291118</v>
      </c>
      <c r="D11" s="16" t="n">
        <v>283683</v>
      </c>
      <c r="E11" s="16" t="n">
        <v>318342</v>
      </c>
      <c r="F11" s="16" t="n">
        <v>346066</v>
      </c>
    </row>
    <row r="12">
      <c r="A12" s="15" t="inlineStr">
        <is>
          <t>Kapitalandele, dattervirksomheder</t>
        </is>
      </c>
      <c r="B12" s="16" t="n">
        <v>59349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59349</v>
      </c>
      <c r="C14" s="16" t="n">
        <v>0</v>
      </c>
      <c r="D14" s="16" t="n">
        <v>0</v>
      </c>
      <c r="E14" s="16" t="n">
        <v>0</v>
      </c>
      <c r="F14" s="16" t="n">
        <v>0</v>
      </c>
    </row>
    <row r="15">
      <c r="A15" s="17" t="inlineStr">
        <is>
          <t>Anlægsaktiver</t>
        </is>
      </c>
      <c r="B15" s="16" t="n">
        <v>234113</v>
      </c>
      <c r="C15" s="16" t="n">
        <v>334529</v>
      </c>
      <c r="D15" s="16" t="n">
        <v>321728</v>
      </c>
      <c r="E15" s="16" t="n">
        <v>351236</v>
      </c>
      <c r="F15" s="16" t="n">
        <v>375912</v>
      </c>
    </row>
    <row r="16">
      <c r="A16" s="15" t="inlineStr">
        <is>
          <t>Råvarer og hjælpematerialer</t>
        </is>
      </c>
      <c r="B16" s="16" t="n"/>
      <c r="C16" s="16" t="n">
        <v>54128</v>
      </c>
      <c r="D16" s="16" t="n">
        <v>62536</v>
      </c>
      <c r="E16" s="16" t="n">
        <v>61886</v>
      </c>
      <c r="F16" s="16" t="n">
        <v>68427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>
        <v>33672</v>
      </c>
      <c r="D18" s="16" t="n">
        <v>30015</v>
      </c>
      <c r="E18" s="16" t="n">
        <v>42121</v>
      </c>
      <c r="F18" s="16" t="n">
        <v>44882</v>
      </c>
    </row>
    <row r="19">
      <c r="A19" s="17" t="inlineStr">
        <is>
          <t>Varebeholdninger</t>
        </is>
      </c>
      <c r="B19" s="16" t="n">
        <v>49782</v>
      </c>
      <c r="C19" s="16" t="n">
        <v>87800</v>
      </c>
      <c r="D19" s="16" t="n">
        <v>92551</v>
      </c>
      <c r="E19" s="16" t="n">
        <v>104007</v>
      </c>
      <c r="F19" s="16" t="n">
        <v>113309</v>
      </c>
    </row>
    <row r="20">
      <c r="A20" s="15" t="inlineStr">
        <is>
          <t>Tilgodehavender fra salg og tjenesteydelser</t>
        </is>
      </c>
      <c r="B20" s="16" t="n">
        <v>59630</v>
      </c>
      <c r="C20" s="16" t="n">
        <v>67822</v>
      </c>
      <c r="D20" s="16" t="n">
        <v>114792</v>
      </c>
      <c r="E20" s="16" t="n">
        <v>100532</v>
      </c>
      <c r="F20" s="16" t="n">
        <v>117417</v>
      </c>
    </row>
    <row r="21">
      <c r="A21" s="15" t="inlineStr">
        <is>
          <t>Tilgodehavender hos tilknyttede virksomheder</t>
        </is>
      </c>
      <c r="B21" s="16" t="n">
        <v>990</v>
      </c>
      <c r="C21" s="16" t="n">
        <v>202</v>
      </c>
      <c r="D21" s="16" t="n">
        <v>71</v>
      </c>
      <c r="E21" s="16" t="n">
        <v>264</v>
      </c>
      <c r="F21" s="16" t="n">
        <v>371</v>
      </c>
    </row>
    <row r="22">
      <c r="A22" s="15" t="inlineStr">
        <is>
          <t>Andre tilgodehavender</t>
        </is>
      </c>
      <c r="B22" s="16" t="n">
        <v>1190</v>
      </c>
      <c r="C22" s="16" t="n">
        <v>17212</v>
      </c>
      <c r="D22" s="16" t="n">
        <v>6479</v>
      </c>
      <c r="E22" s="16" t="n">
        <v>5103</v>
      </c>
      <c r="F22" s="16" t="n">
        <v>5068</v>
      </c>
    </row>
    <row r="23">
      <c r="A23" s="15" t="inlineStr">
        <is>
          <t>Periodeafgrænsningsposter (aktiver)</t>
        </is>
      </c>
      <c r="B23" s="16" t="n">
        <v>461</v>
      </c>
      <c r="C23" s="16" t="n">
        <v>2156</v>
      </c>
      <c r="D23" s="16" t="n">
        <v>989</v>
      </c>
      <c r="E23" s="16" t="n">
        <v>3209</v>
      </c>
      <c r="F23" s="16" t="n">
        <v>3687</v>
      </c>
    </row>
    <row r="24">
      <c r="A24" s="15" t="inlineStr">
        <is>
          <t>Udskudt skatteaktiv</t>
        </is>
      </c>
      <c r="B24" s="16" t="n"/>
      <c r="C24" s="16" t="n">
        <v>5912</v>
      </c>
      <c r="D24" s="16" t="n">
        <v>5225</v>
      </c>
      <c r="E24" s="16" t="n">
        <v>4063</v>
      </c>
      <c r="F24" s="16" t="n">
        <v>4579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866</v>
      </c>
      <c r="C26" s="16" t="n">
        <v>1705</v>
      </c>
      <c r="D26" s="16" t="n">
        <v>1170</v>
      </c>
      <c r="E26" s="16" t="n">
        <v>1380</v>
      </c>
      <c r="F26" s="16" t="n">
        <v>261</v>
      </c>
    </row>
    <row r="27">
      <c r="A27" s="17" t="inlineStr">
        <is>
          <t>Tilgodehavender</t>
        </is>
      </c>
      <c r="B27" s="16" t="n">
        <v>63137</v>
      </c>
      <c r="C27" s="16" t="n">
        <v>95009</v>
      </c>
      <c r="D27" s="16" t="n">
        <v>128726</v>
      </c>
      <c r="E27" s="16" t="n">
        <v>114551</v>
      </c>
      <c r="F27" s="16" t="n">
        <v>131383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372</v>
      </c>
      <c r="C29" s="16" t="n">
        <v>12595</v>
      </c>
      <c r="D29" s="16" t="n">
        <v>8022</v>
      </c>
      <c r="E29" s="16" t="n">
        <v>6239</v>
      </c>
      <c r="F29" s="16" t="n">
        <v>6239</v>
      </c>
    </row>
    <row r="30">
      <c r="A30" s="17" t="inlineStr">
        <is>
          <t>Omsætningsaktiver</t>
        </is>
      </c>
      <c r="B30" s="16" t="n">
        <v>113291</v>
      </c>
      <c r="C30" s="16" t="n">
        <v>195404</v>
      </c>
      <c r="D30" s="16" t="n">
        <v>229299</v>
      </c>
      <c r="E30" s="16" t="n">
        <v>224797</v>
      </c>
      <c r="F30" s="16" t="n">
        <v>267218</v>
      </c>
    </row>
    <row r="31">
      <c r="A31" s="17" t="inlineStr">
        <is>
          <t>Aktiver</t>
        </is>
      </c>
      <c r="B31" s="16" t="n">
        <v>347405</v>
      </c>
      <c r="C31" s="16" t="n">
        <v>529933</v>
      </c>
      <c r="D31" s="16" t="n">
        <v>551027</v>
      </c>
      <c r="E31" s="16" t="n">
        <v>576033</v>
      </c>
      <c r="F31" s="16" t="n">
        <v>643130</v>
      </c>
    </row>
    <row r="32">
      <c r="A32" s="15" t="inlineStr">
        <is>
          <t>Selskabskapital</t>
        </is>
      </c>
      <c r="B32" s="16" t="n">
        <v>4000</v>
      </c>
      <c r="C32" s="16" t="n">
        <v>4000</v>
      </c>
      <c r="D32" s="16" t="n">
        <v>4000</v>
      </c>
      <c r="E32" s="16" t="n">
        <v>4000</v>
      </c>
      <c r="F32" s="16" t="n">
        <v>4000</v>
      </c>
    </row>
    <row r="33">
      <c r="A33" s="15" t="inlineStr">
        <is>
          <t>Reserve for nettoopskrivning (indre værdis metode)</t>
        </is>
      </c>
      <c r="B33" s="16" t="n">
        <v>29245</v>
      </c>
      <c r="C33" s="16" t="n">
        <v>0</v>
      </c>
      <c r="D33" s="16" t="n">
        <v>0</v>
      </c>
      <c r="E33" s="16" t="n">
        <v>0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>
        <v>-415</v>
      </c>
      <c r="D36" s="16" t="n">
        <v>328</v>
      </c>
      <c r="E36" s="16" t="n">
        <v>0</v>
      </c>
      <c r="F36" s="16" t="n">
        <v>102</v>
      </c>
    </row>
    <row r="37">
      <c r="A37" s="15" t="inlineStr">
        <is>
          <t>Overført resultat</t>
        </is>
      </c>
      <c r="B37" s="16" t="n">
        <v>130682</v>
      </c>
      <c r="C37" s="16" t="n">
        <v>184747</v>
      </c>
      <c r="D37" s="16" t="n">
        <v>199325</v>
      </c>
      <c r="E37" s="16" t="n">
        <v>231283</v>
      </c>
      <c r="F37" s="16" t="n">
        <v>246762</v>
      </c>
    </row>
    <row r="38">
      <c r="A38" s="17" t="inlineStr">
        <is>
          <t>Egenkapital i alt</t>
        </is>
      </c>
      <c r="B38" s="16" t="n">
        <v>163926</v>
      </c>
      <c r="C38" s="16" t="n">
        <v>189557</v>
      </c>
      <c r="D38" s="16" t="n">
        <v>203290</v>
      </c>
      <c r="E38" s="16" t="n">
        <v>239273</v>
      </c>
      <c r="F38" s="16" t="n">
        <v>241180</v>
      </c>
    </row>
    <row r="39">
      <c r="A39" s="15" t="inlineStr">
        <is>
          <t>Hensættelse til udskudt skat</t>
        </is>
      </c>
      <c r="B39" s="16" t="n">
        <v>7783</v>
      </c>
      <c r="C39" s="16" t="n">
        <v>10447</v>
      </c>
      <c r="D39" s="16" t="n">
        <v>11349</v>
      </c>
      <c r="E39" s="16" t="n">
        <v>10976</v>
      </c>
      <c r="F39" s="16" t="n">
        <v>12169</v>
      </c>
    </row>
    <row r="40">
      <c r="A40" s="17" t="inlineStr">
        <is>
          <t>Hensatte forpligtelser</t>
        </is>
      </c>
      <c r="B40" s="16" t="n">
        <v>7783</v>
      </c>
      <c r="C40" s="16" t="n">
        <v>11355</v>
      </c>
      <c r="D40" s="16" t="n">
        <v>11594</v>
      </c>
      <c r="E40" s="16" t="n">
        <v>11261</v>
      </c>
      <c r="F40" s="16" t="n">
        <v>12634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24175</v>
      </c>
      <c r="C42" s="16" t="n">
        <v>20082</v>
      </c>
      <c r="D42" s="16" t="n">
        <v>16246</v>
      </c>
      <c r="E42" s="16" t="n">
        <v>12357</v>
      </c>
      <c r="F42" s="16" t="n">
        <v>8209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8999</v>
      </c>
      <c r="C44" s="16" t="n">
        <v>8832</v>
      </c>
      <c r="D44" s="16" t="n">
        <v>9001</v>
      </c>
      <c r="E44" s="16" t="n"/>
      <c r="F44" s="16" t="n"/>
    </row>
    <row r="45">
      <c r="A45" s="17" t="inlineStr">
        <is>
          <t>Langfristede gældsforpligtelser</t>
        </is>
      </c>
      <c r="B45" s="16" t="n">
        <v>33174</v>
      </c>
      <c r="C45" s="16" t="n">
        <v>28914</v>
      </c>
      <c r="D45" s="16" t="n">
        <v>25247</v>
      </c>
      <c r="E45" s="16" t="n">
        <v>21369</v>
      </c>
      <c r="F45" s="16" t="n">
        <v>17085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4093</v>
      </c>
      <c r="C47" s="16" t="n">
        <v>4093</v>
      </c>
      <c r="D47" s="16" t="n">
        <v>3865</v>
      </c>
      <c r="E47" s="16" t="n">
        <v>3929</v>
      </c>
      <c r="F47" s="16" t="n">
        <v>4141</v>
      </c>
    </row>
    <row r="48">
      <c r="A48" s="15" t="inlineStr">
        <is>
          <t>Kreditinstitutter</t>
        </is>
      </c>
      <c r="B48" s="16" t="n">
        <v>62228</v>
      </c>
      <c r="C48" s="16" t="n">
        <v>194685</v>
      </c>
      <c r="D48" s="16" t="n">
        <v>191602</v>
      </c>
      <c r="E48" s="16" t="n">
        <v>200580</v>
      </c>
      <c r="F48" s="16" t="n">
        <v>212895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30908</v>
      </c>
      <c r="C50" s="16" t="n">
        <v>48948</v>
      </c>
      <c r="D50" s="16" t="n">
        <v>59646</v>
      </c>
      <c r="E50" s="16" t="n">
        <v>55481</v>
      </c>
      <c r="F50" s="16" t="n">
        <v>73425</v>
      </c>
    </row>
    <row r="51">
      <c r="A51" s="15" t="inlineStr">
        <is>
          <t>Gæld til tilknyttede virksomheder</t>
        </is>
      </c>
      <c r="B51" s="16" t="n">
        <v>2627</v>
      </c>
      <c r="C51" s="16" t="n">
        <v>0</v>
      </c>
      <c r="D51" s="16" t="n">
        <v>15233</v>
      </c>
      <c r="E51" s="16" t="n">
        <v>0</v>
      </c>
      <c r="F51" s="16" t="n">
        <v>224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>
        <v>156</v>
      </c>
      <c r="D53" s="16" t="n">
        <v>0</v>
      </c>
      <c r="E53" s="16" t="n">
        <v>4055</v>
      </c>
      <c r="F53" s="16" t="n">
        <v>5287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41272</v>
      </c>
      <c r="C55" s="16" t="n">
        <v>50369</v>
      </c>
      <c r="D55" s="16" t="n">
        <v>39045</v>
      </c>
      <c r="E55" s="16" t="n">
        <v>39647</v>
      </c>
      <c r="F55" s="16" t="n">
        <v>40944</v>
      </c>
    </row>
    <row r="56">
      <c r="A56" s="15" t="inlineStr">
        <is>
          <t>Periodeafgrænsningsposter (passiver)</t>
        </is>
      </c>
      <c r="B56" s="16" t="n">
        <v>1394</v>
      </c>
      <c r="C56" s="16" t="n">
        <v>1856</v>
      </c>
      <c r="D56" s="16" t="n">
        <v>1505</v>
      </c>
      <c r="E56" s="16" t="n">
        <v>438</v>
      </c>
      <c r="F56" s="16" t="n">
        <v>963</v>
      </c>
    </row>
    <row r="57">
      <c r="A57" s="17" t="inlineStr">
        <is>
          <t>Kortfristede gældsforpligtelser</t>
        </is>
      </c>
      <c r="B57" s="16" t="n">
        <v>142522</v>
      </c>
      <c r="C57" s="16" t="n">
        <v>300107</v>
      </c>
      <c r="D57" s="16" t="n">
        <v>310896</v>
      </c>
      <c r="E57" s="16" t="n">
        <v>304130</v>
      </c>
      <c r="F57" s="16" t="n">
        <v>337879</v>
      </c>
    </row>
    <row r="58">
      <c r="A58" s="17" t="inlineStr">
        <is>
          <t>Gældsforpligtelser</t>
        </is>
      </c>
      <c r="B58" s="16" t="n">
        <v>175696</v>
      </c>
      <c r="C58" s="16" t="n">
        <v>329021</v>
      </c>
      <c r="D58" s="16" t="n">
        <v>336143</v>
      </c>
      <c r="E58" s="16" t="n">
        <v>325499</v>
      </c>
      <c r="F58" s="16" t="n">
        <v>354964</v>
      </c>
    </row>
    <row r="59">
      <c r="A59" s="17" t="inlineStr">
        <is>
          <t>Passiver</t>
        </is>
      </c>
      <c r="B59" s="16" t="n">
        <v>347405</v>
      </c>
      <c r="C59" s="16" t="n">
        <v>529933</v>
      </c>
      <c r="D59" s="16" t="n">
        <v>551027</v>
      </c>
      <c r="E59" s="16" t="n">
        <v>576033</v>
      </c>
      <c r="F59" s="16" t="n">
        <v>643130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89563518)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'res_raw_89563518'!$F$2</f>
        <v/>
      </c>
      <c r="C5" s="24">
        <f>'res_raw_89563518'!$E$2</f>
        <v/>
      </c>
      <c r="D5" s="24">
        <f>'res_raw_89563518'!$D$2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'res_raw_89563518'!$F$3</f>
        <v/>
      </c>
      <c r="C6" s="24">
        <f>'res_raw_89563518'!$E$3</f>
        <v/>
      </c>
      <c r="D6" s="24">
        <f>'res_raw_89563518'!$D$3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-'res_raw_89563518'!$F$4</f>
        <v/>
      </c>
      <c r="C7" s="24">
        <f>-'res_raw_89563518'!$E$4</f>
        <v/>
      </c>
      <c r="D7" s="24">
        <f>-'res_raw_89563518'!$D$4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-'res_raw_89563518'!$F$5</f>
        <v/>
      </c>
      <c r="C8" s="24">
        <f>-'res_raw_89563518'!$E$5</f>
        <v/>
      </c>
      <c r="D8" s="24">
        <f>-'res_raw_89563518'!$D$5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-'res_raw_89563518'!$F$7</f>
        <v/>
      </c>
      <c r="C10" s="24">
        <f>-'res_raw_89563518'!$E$7</f>
        <v/>
      </c>
      <c r="D10" s="24">
        <f>-'res_raw_89563518'!$D$7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-'res_raw_89563518'!$F$9</f>
        <v/>
      </c>
      <c r="C11" s="24">
        <f>-'res_raw_89563518'!$E$9</f>
        <v/>
      </c>
      <c r="D11" s="24">
        <f>-'res_raw_89563518'!$D$9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-'res_raw_89563518'!$F$10</f>
        <v/>
      </c>
      <c r="C12" s="24">
        <f>-'res_raw_89563518'!$E$10</f>
        <v/>
      </c>
      <c r="D12" s="24">
        <f>-'res_raw_89563518'!$D$10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N('res_raw_89563518'!$F$12)+N('res_raw_89563518'!$F$13)</f>
        <v/>
      </c>
      <c r="C14" s="24">
        <f>N('res_raw_89563518'!$E$12)+N('res_raw_89563518'!$E$13)</f>
        <v/>
      </c>
      <c r="D14" s="24">
        <f>N('res_raw_89563518'!$D$12)+N('res_raw_89563518'!$D$13)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-'res_raw_89563518'!$F$14</f>
        <v/>
      </c>
      <c r="C15" s="24">
        <f>-'res_raw_89563518'!$E$14</f>
        <v/>
      </c>
      <c r="D15" s="24">
        <f>-'res_raw_89563518'!$D$14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'balance_raw_89563518'!$F$15</f>
        <v/>
      </c>
      <c r="C19" s="24">
        <f>'balance_raw_89563518'!$E$15</f>
        <v/>
      </c>
      <c r="D19" s="24">
        <f>'balance_raw_89563518'!$D$15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'balance_raw_89563518'!$F$30</f>
        <v/>
      </c>
      <c r="C20" s="24">
        <f>'balance_raw_89563518'!$E$30</f>
        <v/>
      </c>
      <c r="D20" s="24">
        <f>'balance_raw_89563518'!$D$30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'balance_raw_89563518'!$F$38</f>
        <v/>
      </c>
      <c r="C23" s="24">
        <f>'balance_raw_89563518'!$E$38</f>
        <v/>
      </c>
      <c r="D23" s="24">
        <f>'balance_raw_89563518'!$D$38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'balance_raw_89563518'!$F$59-'balance_raw_89563518'!$F$38</f>
        <v/>
      </c>
      <c r="C24" s="24">
        <f>'balance_raw_89563518'!$E$59-'balance_raw_89563518'!$E$38</f>
        <v/>
      </c>
      <c r="D24" s="24">
        <f>'balance_raw_89563518'!$D$59-'balance_raw_89563518'!$D$38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'balance_raw_89563518'!$F$19</f>
        <v/>
      </c>
      <c r="C28" s="24">
        <f>'balance_raw_89563518'!$E$19</f>
        <v/>
      </c>
      <c r="D28" s="24">
        <f>'balance_raw_89563518'!$D$19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'balance_raw_89563518'!$F$20</f>
        <v/>
      </c>
      <c r="C29" s="24">
        <f>'balance_raw_89563518'!$E$20</f>
        <v/>
      </c>
      <c r="D29" s="24">
        <f>'balance_raw_89563518'!$D$20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'balance_raw_89563518'!$F$57</f>
        <v/>
      </c>
      <c r="C30" s="24">
        <f>'balance_raw_89563518'!$E$57</f>
        <v/>
      </c>
      <c r="D30" s="24">
        <f>'balance_raw_89563518'!$D$57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IF('balance_raw_89563518'!$F$31="","—",IF(ABS(B21-'balance_raw_89563518'!$F$31)&lt;=1,"✓ OK","❌ "&amp;TEXT(B21-'balance_raw_89563518'!$F$31,"+#,##0;-#,##0")&amp;" t.kr."))</f>
        <v/>
      </c>
      <c r="C61" s="29">
        <f>IF('balance_raw_89563518'!$E$31="","—",IF(ABS(C21-'balance_raw_89563518'!$E$31)&lt;=1,"✓ OK","❌ "&amp;TEXT(C21-'balance_raw_89563518'!$E$31,"+#,##0;-#,##0")&amp;" t.kr."))</f>
        <v/>
      </c>
      <c r="D61" s="29">
        <f>IF('balance_raw_89563518'!$D$31="","—",IF(ABS(D21-'balance_raw_89563518'!$D$31)&lt;=1,"✓ OK","❌ "&amp;TEXT(D21-'balance_raw_89563518'!$D$31,"+#,##0;-#,##0")&amp;"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IF('balance_raw_89563518'!$F$59="","—",IF(ABS(B25-'balance_raw_89563518'!$F$59)&lt;=1,"✓ OK","❌ "&amp;TEXT(B25-'balance_raw_89563518'!$F$59,"+#,##0;-#,##0")&amp;" t.kr."))</f>
        <v/>
      </c>
      <c r="C62" s="29">
        <f>IF('balance_raw_89563518'!$E$59="","—",IF(ABS(C25-'balance_raw_89563518'!$E$59)&lt;=1,"✓ OK","❌ "&amp;TEXT(C25-'balance_raw_89563518'!$E$59,"+#,##0;-#,##0")&amp;" t.kr."))</f>
        <v/>
      </c>
      <c r="D62" s="29">
        <f>IF('balance_raw_89563518'!$D$59="","—",IF(ABS(D25-'balance_raw_89563518'!$D$59)&lt;=1,"✓ OK","❌ "&amp;TEXT(D25-'balance_raw_89563518'!$D$59,"+#,##0;-#,##0")&amp;"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IF('res_raw_89563518'!$F$6="","—",IF(ABS(B9-'res_raw_89563518'!$F$6)&lt;=1,"✓ OK","❌ "&amp;TEXT(B9-'res_raw_89563518'!$F$6,"+#,##0;-#,##0")&amp;" t.kr."))</f>
        <v/>
      </c>
      <c r="C64" s="29">
        <f>IF('res_raw_89563518'!$E$6="","—",IF(ABS(C9-'res_raw_89563518'!$E$6)&lt;=1,"✓ OK","❌ "&amp;TEXT(C9-'res_raw_89563518'!$E$6,"+#,##0;-#,##0")&amp;" t.kr."))</f>
        <v/>
      </c>
      <c r="D64" s="29">
        <f>IF('res_raw_89563518'!$D$6="","—",IF(ABS(D9-'res_raw_89563518'!$D$6)&lt;=1,"✓ OK","❌ "&amp;TEXT(D9-'res_raw_89563518'!$D$6,"+#,##0;-#,##0")&amp;"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IF('res_raw_89563518'!$F$11="","—",IF(ABS(B13-'res_raw_89563518'!$F$11)&lt;=1,"✓ OK","❌ "&amp;TEXT(B13-'res_raw_89563518'!$F$11,"+#,##0;-#,##0")&amp;" t.kr."))</f>
        <v/>
      </c>
      <c r="C65" s="29">
        <f>IF('res_raw_89563518'!$E$11="","—",IF(ABS(C13-'res_raw_89563518'!$E$11)&lt;=1,"✓ OK","❌ "&amp;TEXT(C13-'res_raw_89563518'!$E$11,"+#,##0;-#,##0")&amp;" t.kr."))</f>
        <v/>
      </c>
      <c r="D65" s="29">
        <f>IF('res_raw_89563518'!$D$11="","—",IF(ABS(D13-'res_raw_89563518'!$D$11)&lt;=1,"✓ OK","❌ "&amp;TEXT(D13-'res_raw_89563518'!$D$11,"+#,##0;-#,##0")&amp;"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IF('res_raw_89563518'!$F$16="","—",IF(ABS(B16-'res_raw_89563518'!$F$16)&lt;=1,"✓ OK","❌ "&amp;TEXT(B16-'res_raw_89563518'!$F$16,"+#,##0;-#,##0")&amp;" t.kr."))</f>
        <v/>
      </c>
      <c r="C66" s="29">
        <f>IF('res_raw_89563518'!$E$16="","—",IF(ABS(C16-'res_raw_89563518'!$E$16)&lt;=1,"✓ OK","❌ "&amp;TEXT(C16-'res_raw_89563518'!$E$16,"+#,##0;-#,##0")&amp;" t.kr."))</f>
        <v/>
      </c>
      <c r="D66" s="29">
        <f>IF('res_raw_89563518'!$D$16="","—",IF(ABS(D16-'res_raw_89563518'!$D$16)&lt;=1,"✓ OK","❌ "&amp;TEXT(D16-'res_raw_89563518'!$D$16,"+#,##0;-#,##0")&amp;"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fsa:CashFlowsStatement</t>
        </is>
      </c>
      <c r="C3" s="34" t="inlineStr">
        <is>
          <t>fsa:CashFlowsStatement</t>
        </is>
      </c>
      <c r="D3" s="35" t="n"/>
      <c r="E3" s="35" t="n"/>
      <c r="F3" s="35" t="n"/>
      <c r="G3" s="35" t="n">
        <v>2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</t>
        </is>
      </c>
      <c r="C4" s="37" t="inlineStr">
        <is>
          <t>fsa:Dividend</t>
        </is>
      </c>
      <c r="D4" s="38" t="n">
        <v>10000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fsa:FeesForAuditorsPerformingOtherAssuranceReports</t>
        </is>
      </c>
      <c r="C5" s="34" t="inlineStr">
        <is>
          <t>fsa:FeesForAuditorsPerformingOtherAssuranceReports</t>
        </is>
      </c>
      <c r="D5" s="35" t="n"/>
      <c r="E5" s="35" t="n">
        <v>46</v>
      </c>
      <c r="F5" s="35" t="n">
        <v>22</v>
      </c>
      <c r="G5" s="35" t="n">
        <v>0</v>
      </c>
      <c r="H5" s="35" t="n">
        <v>20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fsa:ReserveForCurrentValueAdjustmentsOfCurrencyGains</t>
        </is>
      </c>
      <c r="C6" s="37" t="inlineStr">
        <is>
          <t>fsa:ReserveForCurrentValueAdjustmentsOfCurrencyGains</t>
        </is>
      </c>
      <c r="D6" s="38" t="n"/>
      <c r="E6" s="38" t="n">
        <v>-674</v>
      </c>
      <c r="F6" s="38" t="n">
        <v>-2248</v>
      </c>
      <c r="G6" s="38" t="n">
        <v>2091</v>
      </c>
      <c r="H6" s="38" t="n">
        <v>2761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2026-09-07T18:21:07Z</dcterms:created>
  <dcterms:modified xmlns:dcterms="http://purl.org/dc/terms/" xmlns:xsi="http://www.w3.org/2001/XMLSchema-instance" xsi:type="dcterms:W3CDTF">2026-09-07T18:21:07Z</dcterms:modified>
</cp:coreProperties>
</file>