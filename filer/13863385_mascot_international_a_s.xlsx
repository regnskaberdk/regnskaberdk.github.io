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863385" sheetId="1" state="visible" r:id="rId1"/>
    <sheet xmlns:r="http://schemas.openxmlformats.org/officeDocument/2006/relationships" name="res_raw_13863385" sheetId="2" state="visible" r:id="rId2"/>
    <sheet xmlns:r="http://schemas.openxmlformats.org/officeDocument/2006/relationships" name="balance_raw_13863385" sheetId="3" state="visible" r:id="rId3"/>
    <sheet xmlns:r="http://schemas.openxmlformats.org/officeDocument/2006/relationships" name="pengestrom_raw_13863385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Mascot International A/S (CVR 13863385)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'res_raw_13863385'!$B$2</f>
        <v/>
      </c>
      <c r="C4" s="5">
        <f>'res_raw_13863385'!$C$2</f>
        <v/>
      </c>
      <c r="D4" s="5">
        <f>'res_raw_13863385'!$D$2</f>
        <v/>
      </c>
      <c r="E4" s="5">
        <f>'res_raw_13863385'!$E$2</f>
        <v/>
      </c>
      <c r="F4" s="5">
        <f>'res_raw_13863385'!$F$2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'res_raw_13863385'!$B$3</f>
        <v/>
      </c>
      <c r="C5" s="8">
        <f>'res_raw_13863385'!$C$3</f>
        <v/>
      </c>
      <c r="D5" s="8">
        <f>'res_raw_13863385'!$D$3</f>
        <v/>
      </c>
      <c r="E5" s="8">
        <f>'res_raw_13863385'!$E$3</f>
        <v/>
      </c>
      <c r="F5" s="8">
        <f>'res_raw_13863385'!$F$3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'res_raw_13863385'!$B$4</f>
        <v/>
      </c>
      <c r="C6" s="8">
        <f>'res_raw_13863385'!$C$4</f>
        <v/>
      </c>
      <c r="D6" s="8">
        <f>'res_raw_13863385'!$D$4</f>
        <v/>
      </c>
      <c r="E6" s="8">
        <f>'res_raw_13863385'!$E$4</f>
        <v/>
      </c>
      <c r="F6" s="8">
        <f>'res_raw_13863385'!$F$4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'res_raw_13863385'!$B$5</f>
        <v/>
      </c>
      <c r="C7" s="8">
        <f>'res_raw_13863385'!$C$5</f>
        <v/>
      </c>
      <c r="D7" s="8">
        <f>'res_raw_13863385'!$D$5</f>
        <v/>
      </c>
      <c r="E7" s="8">
        <f>'res_raw_13863385'!$E$5</f>
        <v/>
      </c>
      <c r="F7" s="8">
        <f>'res_raw_13863385'!$F$5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'res_raw_13863385'!$B$6</f>
        <v/>
      </c>
      <c r="C8" s="8">
        <f>'res_raw_13863385'!$C$6</f>
        <v/>
      </c>
      <c r="D8" s="8">
        <f>'res_raw_13863385'!$D$6</f>
        <v/>
      </c>
      <c r="E8" s="8">
        <f>'res_raw_13863385'!$E$6</f>
        <v/>
      </c>
      <c r="F8" s="8">
        <f>'res_raw_13863385'!$F$6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'res_raw_13863385'!$B$7</f>
        <v/>
      </c>
      <c r="C9" s="11">
        <f>'res_raw_13863385'!$C$7</f>
        <v/>
      </c>
      <c r="D9" s="11">
        <f>'res_raw_13863385'!$D$7</f>
        <v/>
      </c>
      <c r="E9" s="11">
        <f>'res_raw_13863385'!$E$7</f>
        <v/>
      </c>
      <c r="F9" s="11">
        <f>'res_raw_13863385'!$F$7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'res_raw_13863385'!$B$8</f>
        <v/>
      </c>
      <c r="C10" s="5">
        <f>'res_raw_13863385'!$C$8</f>
        <v/>
      </c>
      <c r="D10" s="5">
        <f>'res_raw_13863385'!$D$8</f>
        <v/>
      </c>
      <c r="E10" s="5">
        <f>'res_raw_13863385'!$E$8</f>
        <v/>
      </c>
      <c r="F10" s="5">
        <f>'res_raw_13863385'!$F$8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'res_raw_13863385'!$B$9</f>
        <v/>
      </c>
      <c r="C11" s="8">
        <f>'res_raw_13863385'!$C$9</f>
        <v/>
      </c>
      <c r="D11" s="8">
        <f>'res_raw_13863385'!$D$9</f>
        <v/>
      </c>
      <c r="E11" s="8">
        <f>'res_raw_13863385'!$E$9</f>
        <v/>
      </c>
      <c r="F11" s="8">
        <f>'res_raw_13863385'!$F$9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'res_raw_13863385'!$B$10</f>
        <v/>
      </c>
      <c r="C12" s="5">
        <f>'res_raw_13863385'!$C$10</f>
        <v/>
      </c>
      <c r="D12" s="5">
        <f>'res_raw_13863385'!$D$10</f>
        <v/>
      </c>
      <c r="E12" s="5">
        <f>'res_raw_13863385'!$E$10</f>
        <v/>
      </c>
      <c r="F12" s="5">
        <f>'res_raw_13863385'!$F$10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'res_raw_13863385'!$B$11</f>
        <v/>
      </c>
      <c r="C13" s="11">
        <f>'res_raw_13863385'!$C$11</f>
        <v/>
      </c>
      <c r="D13" s="11">
        <f>'res_raw_13863385'!$D$11</f>
        <v/>
      </c>
      <c r="E13" s="11">
        <f>'res_raw_13863385'!$E$11</f>
        <v/>
      </c>
      <c r="F13" s="11">
        <f>'res_raw_13863385'!$F$11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'res_raw_13863385'!$B$12</f>
        <v/>
      </c>
      <c r="C14" s="5">
        <f>'res_raw_13863385'!$C$12</f>
        <v/>
      </c>
      <c r="D14" s="5">
        <f>'res_raw_13863385'!$D$12</f>
        <v/>
      </c>
      <c r="E14" s="5">
        <f>'res_raw_13863385'!$E$12</f>
        <v/>
      </c>
      <c r="F14" s="5">
        <f>'res_raw_13863385'!$F$12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'res_raw_13863385'!$B$13</f>
        <v/>
      </c>
      <c r="C15" s="8">
        <f>'res_raw_13863385'!$C$13</f>
        <v/>
      </c>
      <c r="D15" s="8">
        <f>'res_raw_13863385'!$D$13</f>
        <v/>
      </c>
      <c r="E15" s="8">
        <f>'res_raw_13863385'!$E$13</f>
        <v/>
      </c>
      <c r="F15" s="8">
        <f>'res_raw_13863385'!$F$13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'res_raw_13863385'!$B$14</f>
        <v/>
      </c>
      <c r="C16" s="8">
        <f>'res_raw_13863385'!$C$14</f>
        <v/>
      </c>
      <c r="D16" s="8">
        <f>'res_raw_13863385'!$D$14</f>
        <v/>
      </c>
      <c r="E16" s="8">
        <f>'res_raw_13863385'!$E$14</f>
        <v/>
      </c>
      <c r="F16" s="8">
        <f>'res_raw_13863385'!$F$14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'res_raw_13863385'!$B$15</f>
        <v/>
      </c>
      <c r="C17" s="11">
        <f>'res_raw_13863385'!$C$15</f>
        <v/>
      </c>
      <c r="D17" s="11">
        <f>'res_raw_13863385'!$D$15</f>
        <v/>
      </c>
      <c r="E17" s="11">
        <f>'res_raw_13863385'!$E$15</f>
        <v/>
      </c>
      <c r="F17" s="11">
        <f>'res_raw_13863385'!$F$15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'res_raw_13863385'!$B$16</f>
        <v/>
      </c>
      <c r="C18" s="8">
        <f>'res_raw_13863385'!$C$16</f>
        <v/>
      </c>
      <c r="D18" s="8">
        <f>'res_raw_13863385'!$D$16</f>
        <v/>
      </c>
      <c r="E18" s="8">
        <f>'res_raw_13863385'!$E$16</f>
        <v/>
      </c>
      <c r="F18" s="8">
        <f>'res_raw_13863385'!$F$16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'balance_raw_13863385'!$B$2</f>
        <v/>
      </c>
      <c r="C21" s="11">
        <f>'balance_raw_13863385'!$C$2</f>
        <v/>
      </c>
      <c r="D21" s="11">
        <f>'balance_raw_13863385'!$D$2</f>
        <v/>
      </c>
      <c r="E21" s="11">
        <f>'balance_raw_13863385'!$E$2</f>
        <v/>
      </c>
      <c r="F21" s="11">
        <f>'balance_raw_13863385'!$F$2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'balance_raw_13863385'!$B$3</f>
        <v/>
      </c>
      <c r="C22" s="5">
        <f>'balance_raw_13863385'!$C$3</f>
        <v/>
      </c>
      <c r="D22" s="5">
        <f>'balance_raw_13863385'!$D$3</f>
        <v/>
      </c>
      <c r="E22" s="5">
        <f>'balance_raw_13863385'!$E$3</f>
        <v/>
      </c>
      <c r="F22" s="5">
        <f>'balance_raw_13863385'!$F$3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'balance_raw_13863385'!$B$4</f>
        <v/>
      </c>
      <c r="C23" s="11">
        <f>'balance_raw_13863385'!$C$4</f>
        <v/>
      </c>
      <c r="D23" s="11">
        <f>'balance_raw_13863385'!$D$4</f>
        <v/>
      </c>
      <c r="E23" s="11">
        <f>'balance_raw_13863385'!$E$4</f>
        <v/>
      </c>
      <c r="F23" s="11">
        <f>'balance_raw_13863385'!$F$4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'balance_raw_13863385'!$B$5</f>
        <v/>
      </c>
      <c r="C24" s="5">
        <f>'balance_raw_13863385'!$C$5</f>
        <v/>
      </c>
      <c r="D24" s="5">
        <f>'balance_raw_13863385'!$D$5</f>
        <v/>
      </c>
      <c r="E24" s="5">
        <f>'balance_raw_13863385'!$E$5</f>
        <v/>
      </c>
      <c r="F24" s="5">
        <f>'balance_raw_13863385'!$F$5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'balance_raw_13863385'!$B$6</f>
        <v/>
      </c>
      <c r="C25" s="11">
        <f>'balance_raw_13863385'!$C$6</f>
        <v/>
      </c>
      <c r="D25" s="11">
        <f>'balance_raw_13863385'!$D$6</f>
        <v/>
      </c>
      <c r="E25" s="11">
        <f>'balance_raw_13863385'!$E$6</f>
        <v/>
      </c>
      <c r="F25" s="11">
        <f>'balance_raw_13863385'!$F$6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'balance_raw_13863385'!$B$7</f>
        <v/>
      </c>
      <c r="C26" s="8">
        <f>'balance_raw_13863385'!$C$7</f>
        <v/>
      </c>
      <c r="D26" s="8">
        <f>'balance_raw_13863385'!$D$7</f>
        <v/>
      </c>
      <c r="E26" s="8">
        <f>'balance_raw_13863385'!$E$7</f>
        <v/>
      </c>
      <c r="F26" s="8">
        <f>'balance_raw_13863385'!$F$7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'balance_raw_13863385'!$B$8</f>
        <v/>
      </c>
      <c r="C27" s="11">
        <f>'balance_raw_13863385'!$C$8</f>
        <v/>
      </c>
      <c r="D27" s="11">
        <f>'balance_raw_13863385'!$D$8</f>
        <v/>
      </c>
      <c r="E27" s="11">
        <f>'balance_raw_13863385'!$E$8</f>
        <v/>
      </c>
      <c r="F27" s="11">
        <f>'balance_raw_13863385'!$F$8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'balance_raw_13863385'!$B$9</f>
        <v/>
      </c>
      <c r="C28" s="5">
        <f>'balance_raw_13863385'!$C$9</f>
        <v/>
      </c>
      <c r="D28" s="5">
        <f>'balance_raw_13863385'!$D$9</f>
        <v/>
      </c>
      <c r="E28" s="5">
        <f>'balance_raw_13863385'!$E$9</f>
        <v/>
      </c>
      <c r="F28" s="5">
        <f>'balance_raw_13863385'!$F$9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'balance_raw_13863385'!$B$10</f>
        <v/>
      </c>
      <c r="C29" s="8">
        <f>'balance_raw_13863385'!$C$10</f>
        <v/>
      </c>
      <c r="D29" s="8">
        <f>'balance_raw_13863385'!$D$10</f>
        <v/>
      </c>
      <c r="E29" s="8">
        <f>'balance_raw_13863385'!$E$10</f>
        <v/>
      </c>
      <c r="F29" s="8">
        <f>'balance_raw_13863385'!$F$10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'balance_raw_13863385'!$B$11</f>
        <v/>
      </c>
      <c r="C30" s="8">
        <f>'balance_raw_13863385'!$C$11</f>
        <v/>
      </c>
      <c r="D30" s="8">
        <f>'balance_raw_13863385'!$D$11</f>
        <v/>
      </c>
      <c r="E30" s="8">
        <f>'balance_raw_13863385'!$E$11</f>
        <v/>
      </c>
      <c r="F30" s="8">
        <f>'balance_raw_13863385'!$F$11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'balance_raw_13863385'!$B$12</f>
        <v/>
      </c>
      <c r="C31" s="11">
        <f>'balance_raw_13863385'!$C$12</f>
        <v/>
      </c>
      <c r="D31" s="11">
        <f>'balance_raw_13863385'!$D$12</f>
        <v/>
      </c>
      <c r="E31" s="11">
        <f>'balance_raw_13863385'!$E$12</f>
        <v/>
      </c>
      <c r="F31" s="11">
        <f>'balance_raw_13863385'!$F$12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'balance_raw_13863385'!$B$13</f>
        <v/>
      </c>
      <c r="C32" s="5">
        <f>'balance_raw_13863385'!$C$13</f>
        <v/>
      </c>
      <c r="D32" s="5">
        <f>'balance_raw_13863385'!$D$13</f>
        <v/>
      </c>
      <c r="E32" s="5">
        <f>'balance_raw_13863385'!$E$13</f>
        <v/>
      </c>
      <c r="F32" s="5">
        <f>'balance_raw_13863385'!$F$13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'balance_raw_13863385'!$B$14</f>
        <v/>
      </c>
      <c r="C33" s="11">
        <f>'balance_raw_13863385'!$C$14</f>
        <v/>
      </c>
      <c r="D33" s="11">
        <f>'balance_raw_13863385'!$D$14</f>
        <v/>
      </c>
      <c r="E33" s="11">
        <f>'balance_raw_13863385'!$E$14</f>
        <v/>
      </c>
      <c r="F33" s="11">
        <f>'balance_raw_13863385'!$F$14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'balance_raw_13863385'!$B$15</f>
        <v/>
      </c>
      <c r="C34" s="8">
        <f>'balance_raw_13863385'!$C$15</f>
        <v/>
      </c>
      <c r="D34" s="8">
        <f>'balance_raw_13863385'!$D$15</f>
        <v/>
      </c>
      <c r="E34" s="8">
        <f>'balance_raw_13863385'!$E$15</f>
        <v/>
      </c>
      <c r="F34" s="8">
        <f>'balance_raw_13863385'!$F$15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'balance_raw_13863385'!$B$16</f>
        <v/>
      </c>
      <c r="C35" s="11">
        <f>'balance_raw_13863385'!$C$16</f>
        <v/>
      </c>
      <c r="D35" s="11">
        <f>'balance_raw_13863385'!$D$16</f>
        <v/>
      </c>
      <c r="E35" s="11">
        <f>'balance_raw_13863385'!$E$16</f>
        <v/>
      </c>
      <c r="F35" s="11">
        <f>'balance_raw_13863385'!$F$16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'balance_raw_13863385'!$B$17</f>
        <v/>
      </c>
      <c r="C36" s="5">
        <f>'balance_raw_13863385'!$C$17</f>
        <v/>
      </c>
      <c r="D36" s="5">
        <f>'balance_raw_13863385'!$D$17</f>
        <v/>
      </c>
      <c r="E36" s="5">
        <f>'balance_raw_13863385'!$E$17</f>
        <v/>
      </c>
      <c r="F36" s="5">
        <f>'balance_raw_13863385'!$F$17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'balance_raw_13863385'!$B$18</f>
        <v/>
      </c>
      <c r="C37" s="11">
        <f>'balance_raw_13863385'!$C$18</f>
        <v/>
      </c>
      <c r="D37" s="11">
        <f>'balance_raw_13863385'!$D$18</f>
        <v/>
      </c>
      <c r="E37" s="11">
        <f>'balance_raw_13863385'!$E$18</f>
        <v/>
      </c>
      <c r="F37" s="11">
        <f>'balance_raw_13863385'!$F$18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'balance_raw_13863385'!$B$19</f>
        <v/>
      </c>
      <c r="C38" s="5">
        <f>'balance_raw_13863385'!$C$19</f>
        <v/>
      </c>
      <c r="D38" s="5">
        <f>'balance_raw_13863385'!$D$19</f>
        <v/>
      </c>
      <c r="E38" s="5">
        <f>'balance_raw_13863385'!$E$19</f>
        <v/>
      </c>
      <c r="F38" s="5">
        <f>'balance_raw_13863385'!$F$19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'balance_raw_13863385'!$B$20</f>
        <v/>
      </c>
      <c r="C39" s="11">
        <f>'balance_raw_13863385'!$C$20</f>
        <v/>
      </c>
      <c r="D39" s="11">
        <f>'balance_raw_13863385'!$D$20</f>
        <v/>
      </c>
      <c r="E39" s="11">
        <f>'balance_raw_13863385'!$E$20</f>
        <v/>
      </c>
      <c r="F39" s="11">
        <f>'balance_raw_13863385'!$F$20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'balance_raw_13863385'!$B$21</f>
        <v/>
      </c>
      <c r="C40" s="5">
        <f>'balance_raw_13863385'!$C$21</f>
        <v/>
      </c>
      <c r="D40" s="5">
        <f>'balance_raw_13863385'!$D$21</f>
        <v/>
      </c>
      <c r="E40" s="5">
        <f>'balance_raw_13863385'!$E$21</f>
        <v/>
      </c>
      <c r="F40" s="5">
        <f>'balance_raw_13863385'!$F$21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'balance_raw_13863385'!$B$22</f>
        <v/>
      </c>
      <c r="C41" s="11">
        <f>'balance_raw_13863385'!$C$22</f>
        <v/>
      </c>
      <c r="D41" s="11">
        <f>'balance_raw_13863385'!$D$22</f>
        <v/>
      </c>
      <c r="E41" s="11">
        <f>'balance_raw_13863385'!$E$22</f>
        <v/>
      </c>
      <c r="F41" s="11">
        <f>'balance_raw_13863385'!$F$22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'balance_raw_13863385'!$B$23</f>
        <v/>
      </c>
      <c r="C42" s="8">
        <f>'balance_raw_13863385'!$C$23</f>
        <v/>
      </c>
      <c r="D42" s="8">
        <f>'balance_raw_13863385'!$D$23</f>
        <v/>
      </c>
      <c r="E42" s="8">
        <f>'balance_raw_13863385'!$E$23</f>
        <v/>
      </c>
      <c r="F42" s="8">
        <f>'balance_raw_13863385'!$F$23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'balance_raw_13863385'!$B$24</f>
        <v/>
      </c>
      <c r="C43" s="11">
        <f>'balance_raw_13863385'!$C$24</f>
        <v/>
      </c>
      <c r="D43" s="11">
        <f>'balance_raw_13863385'!$D$24</f>
        <v/>
      </c>
      <c r="E43" s="11">
        <f>'balance_raw_13863385'!$E$24</f>
        <v/>
      </c>
      <c r="F43" s="11">
        <f>'balance_raw_13863385'!$F$24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'balance_raw_13863385'!$B$25</f>
        <v/>
      </c>
      <c r="C44" s="5">
        <f>'balance_raw_13863385'!$C$25</f>
        <v/>
      </c>
      <c r="D44" s="5">
        <f>'balance_raw_13863385'!$D$25</f>
        <v/>
      </c>
      <c r="E44" s="5">
        <f>'balance_raw_13863385'!$E$25</f>
        <v/>
      </c>
      <c r="F44" s="5">
        <f>'balance_raw_13863385'!$F$25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'balance_raw_13863385'!$B$26</f>
        <v/>
      </c>
      <c r="C45" s="8">
        <f>'balance_raw_13863385'!$C$26</f>
        <v/>
      </c>
      <c r="D45" s="8">
        <f>'balance_raw_13863385'!$D$26</f>
        <v/>
      </c>
      <c r="E45" s="8">
        <f>'balance_raw_13863385'!$E$26</f>
        <v/>
      </c>
      <c r="F45" s="8">
        <f>'balance_raw_13863385'!$F$26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'balance_raw_13863385'!$B$27</f>
        <v/>
      </c>
      <c r="C46" s="8">
        <f>'balance_raw_13863385'!$C$27</f>
        <v/>
      </c>
      <c r="D46" s="8">
        <f>'balance_raw_13863385'!$D$27</f>
        <v/>
      </c>
      <c r="E46" s="8">
        <f>'balance_raw_13863385'!$E$27</f>
        <v/>
      </c>
      <c r="F46" s="8">
        <f>'balance_raw_13863385'!$F$27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'balance_raw_13863385'!$B$28</f>
        <v/>
      </c>
      <c r="C49" s="11">
        <f>'balance_raw_13863385'!$C$28</f>
        <v/>
      </c>
      <c r="D49" s="11">
        <f>'balance_raw_13863385'!$D$28</f>
        <v/>
      </c>
      <c r="E49" s="11">
        <f>'balance_raw_13863385'!$E$28</f>
        <v/>
      </c>
      <c r="F49" s="11">
        <f>'balance_raw_13863385'!$F$28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'balance_raw_13863385'!$B$29</f>
        <v/>
      </c>
      <c r="C50" s="5">
        <f>'balance_raw_13863385'!$C$29</f>
        <v/>
      </c>
      <c r="D50" s="5">
        <f>'balance_raw_13863385'!$D$29</f>
        <v/>
      </c>
      <c r="E50" s="5">
        <f>'balance_raw_13863385'!$E$29</f>
        <v/>
      </c>
      <c r="F50" s="5">
        <f>'balance_raw_13863385'!$F$29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'balance_raw_13863385'!$B$30</f>
        <v/>
      </c>
      <c r="C51" s="11">
        <f>'balance_raw_13863385'!$C$30</f>
        <v/>
      </c>
      <c r="D51" s="11">
        <f>'balance_raw_13863385'!$D$30</f>
        <v/>
      </c>
      <c r="E51" s="11">
        <f>'balance_raw_13863385'!$E$30</f>
        <v/>
      </c>
      <c r="F51" s="11">
        <f>'balance_raw_13863385'!$F$30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'balance_raw_13863385'!$B$31</f>
        <v/>
      </c>
      <c r="C52" s="5">
        <f>'balance_raw_13863385'!$C$31</f>
        <v/>
      </c>
      <c r="D52" s="5">
        <f>'balance_raw_13863385'!$D$31</f>
        <v/>
      </c>
      <c r="E52" s="5">
        <f>'balance_raw_13863385'!$E$31</f>
        <v/>
      </c>
      <c r="F52" s="5">
        <f>'balance_raw_13863385'!$F$31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'balance_raw_13863385'!$B$32</f>
        <v/>
      </c>
      <c r="C53" s="11">
        <f>'balance_raw_13863385'!$C$32</f>
        <v/>
      </c>
      <c r="D53" s="11">
        <f>'balance_raw_13863385'!$D$32</f>
        <v/>
      </c>
      <c r="E53" s="11">
        <f>'balance_raw_13863385'!$E$32</f>
        <v/>
      </c>
      <c r="F53" s="11">
        <f>'balance_raw_13863385'!$F$32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'balance_raw_13863385'!$B$33</f>
        <v/>
      </c>
      <c r="C54" s="5">
        <f>'balance_raw_13863385'!$C$33</f>
        <v/>
      </c>
      <c r="D54" s="5">
        <f>'balance_raw_13863385'!$D$33</f>
        <v/>
      </c>
      <c r="E54" s="5">
        <f>'balance_raw_13863385'!$E$33</f>
        <v/>
      </c>
      <c r="F54" s="5">
        <f>'balance_raw_13863385'!$F$33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'balance_raw_13863385'!$B$34</f>
        <v/>
      </c>
      <c r="C55" s="8">
        <f>'balance_raw_13863385'!$C$34</f>
        <v/>
      </c>
      <c r="D55" s="8">
        <f>'balance_raw_13863385'!$D$34</f>
        <v/>
      </c>
      <c r="E55" s="8">
        <f>'balance_raw_13863385'!$E$34</f>
        <v/>
      </c>
      <c r="F55" s="8">
        <f>'balance_raw_13863385'!$F$34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'balance_raw_13863385'!$B$35</f>
        <v/>
      </c>
      <c r="C56" s="5">
        <f>'balance_raw_13863385'!$C$35</f>
        <v/>
      </c>
      <c r="D56" s="5">
        <f>'balance_raw_13863385'!$D$35</f>
        <v/>
      </c>
      <c r="E56" s="5">
        <f>'balance_raw_13863385'!$E$35</f>
        <v/>
      </c>
      <c r="F56" s="5">
        <f>'balance_raw_13863385'!$F$35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Hensatte forpligtelser</t>
        </is>
      </c>
      <c r="B57" s="8">
        <f>'balance_raw_13863385'!$B$36</f>
        <v/>
      </c>
      <c r="C57" s="8">
        <f>'balance_raw_13863385'!$C$36</f>
        <v/>
      </c>
      <c r="D57" s="8">
        <f>'balance_raw_13863385'!$D$36</f>
        <v/>
      </c>
      <c r="E57" s="8">
        <f>'balance_raw_13863385'!$E$36</f>
        <v/>
      </c>
      <c r="F57" s="8">
        <f>'balance_raw_13863385'!$F$36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'balance_raw_13863385'!$B$37</f>
        <v/>
      </c>
      <c r="C58" s="5">
        <f>'balance_raw_13863385'!$C$37</f>
        <v/>
      </c>
      <c r="D58" s="5">
        <f>'balance_raw_13863385'!$D$37</f>
        <v/>
      </c>
      <c r="E58" s="5">
        <f>'balance_raw_13863385'!$E$37</f>
        <v/>
      </c>
      <c r="F58" s="5">
        <f>'balance_raw_13863385'!$F$37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lån</t>
        </is>
      </c>
      <c r="B59" s="11">
        <f>'balance_raw_13863385'!$B$38</f>
        <v/>
      </c>
      <c r="C59" s="11">
        <f>'balance_raw_13863385'!$C$38</f>
        <v/>
      </c>
      <c r="D59" s="11">
        <f>'balance_raw_13863385'!$D$38</f>
        <v/>
      </c>
      <c r="E59" s="11">
        <f>'balance_raw_13863385'!$E$38</f>
        <v/>
      </c>
      <c r="F59" s="11">
        <f>'balance_raw_13863385'!$F$38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'balance_raw_13863385'!$B$39</f>
        <v/>
      </c>
      <c r="C60" s="5">
        <f>'balance_raw_13863385'!$C$39</f>
        <v/>
      </c>
      <c r="D60" s="5">
        <f>'balance_raw_13863385'!$D$39</f>
        <v/>
      </c>
      <c r="E60" s="5">
        <f>'balance_raw_13863385'!$E$39</f>
        <v/>
      </c>
      <c r="F60" s="5">
        <f>'balance_raw_13863385'!$F$39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Anden gæld (langfristet)</t>
        </is>
      </c>
      <c r="B61" s="11">
        <f>'balance_raw_13863385'!$B$40</f>
        <v/>
      </c>
      <c r="C61" s="11">
        <f>'balance_raw_13863385'!$C$40</f>
        <v/>
      </c>
      <c r="D61" s="11">
        <f>'balance_raw_13863385'!$D$40</f>
        <v/>
      </c>
      <c r="E61" s="11">
        <f>'balance_raw_13863385'!$E$40</f>
        <v/>
      </c>
      <c r="F61" s="11">
        <f>'balance_raw_13863385'!$F$40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Langfristede gældsforpligtelser</t>
        </is>
      </c>
      <c r="B62" s="8">
        <f>'balance_raw_13863385'!$B$41</f>
        <v/>
      </c>
      <c r="C62" s="8">
        <f>'balance_raw_13863385'!$C$41</f>
        <v/>
      </c>
      <c r="D62" s="8">
        <f>'balance_raw_13863385'!$D$41</f>
        <v/>
      </c>
      <c r="E62" s="8">
        <f>'balance_raw_13863385'!$E$41</f>
        <v/>
      </c>
      <c r="F62" s="8">
        <f>'balance_raw_13863385'!$F$41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(kortfristet)</t>
        </is>
      </c>
      <c r="B63" s="11">
        <f>'balance_raw_13863385'!$B$42</f>
        <v/>
      </c>
      <c r="C63" s="11">
        <f>'balance_raw_13863385'!$C$42</f>
        <v/>
      </c>
      <c r="D63" s="11">
        <f>'balance_raw_13863385'!$D$42</f>
        <v/>
      </c>
      <c r="E63" s="11">
        <f>'balance_raw_13863385'!$E$42</f>
        <v/>
      </c>
      <c r="F63" s="11">
        <f>'balance_raw_13863385'!$F$42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'balance_raw_13863385'!$B$43</f>
        <v/>
      </c>
      <c r="C64" s="5">
        <f>'balance_raw_13863385'!$C$43</f>
        <v/>
      </c>
      <c r="D64" s="5">
        <f>'balance_raw_13863385'!$D$43</f>
        <v/>
      </c>
      <c r="E64" s="5">
        <f>'balance_raw_13863385'!$E$43</f>
        <v/>
      </c>
      <c r="F64" s="5">
        <f>'balance_raw_13863385'!$F$43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Kreditinstitutter</t>
        </is>
      </c>
      <c r="B65" s="11">
        <f>'balance_raw_13863385'!$B$44</f>
        <v/>
      </c>
      <c r="C65" s="11">
        <f>'balance_raw_13863385'!$C$44</f>
        <v/>
      </c>
      <c r="D65" s="11">
        <f>'balance_raw_13863385'!$D$44</f>
        <v/>
      </c>
      <c r="E65" s="11">
        <f>'balance_raw_13863385'!$E$44</f>
        <v/>
      </c>
      <c r="F65" s="11">
        <f>'balance_raw_13863385'!$F$44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'balance_raw_13863385'!$B$45</f>
        <v/>
      </c>
      <c r="C66" s="5">
        <f>'balance_raw_13863385'!$C$45</f>
        <v/>
      </c>
      <c r="D66" s="5">
        <f>'balance_raw_13863385'!$D$45</f>
        <v/>
      </c>
      <c r="E66" s="5">
        <f>'balance_raw_13863385'!$E$45</f>
        <v/>
      </c>
      <c r="F66" s="5">
        <f>'balance_raw_13863385'!$F$45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Leverandører af varer og tjenesteydelser</t>
        </is>
      </c>
      <c r="B67" s="11">
        <f>'balance_raw_13863385'!$B$46</f>
        <v/>
      </c>
      <c r="C67" s="11">
        <f>'balance_raw_13863385'!$C$46</f>
        <v/>
      </c>
      <c r="D67" s="11">
        <f>'balance_raw_13863385'!$D$46</f>
        <v/>
      </c>
      <c r="E67" s="11">
        <f>'balance_raw_13863385'!$E$46</f>
        <v/>
      </c>
      <c r="F67" s="11">
        <f>'balance_raw_13863385'!$F$46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'balance_raw_13863385'!$B$47</f>
        <v/>
      </c>
      <c r="C68" s="5">
        <f>'balance_raw_13863385'!$C$47</f>
        <v/>
      </c>
      <c r="D68" s="5">
        <f>'balance_raw_13863385'!$D$47</f>
        <v/>
      </c>
      <c r="E68" s="5">
        <f>'balance_raw_13863385'!$E$47</f>
        <v/>
      </c>
      <c r="F68" s="5">
        <f>'balance_raw_13863385'!$F$47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selskabsdeltagere og ledelse</t>
        </is>
      </c>
      <c r="B69" s="11">
        <f>'balance_raw_13863385'!$B$48</f>
        <v/>
      </c>
      <c r="C69" s="11">
        <f>'balance_raw_13863385'!$C$48</f>
        <v/>
      </c>
      <c r="D69" s="11">
        <f>'balance_raw_13863385'!$D$48</f>
        <v/>
      </c>
      <c r="E69" s="11">
        <f>'balance_raw_13863385'!$E$48</f>
        <v/>
      </c>
      <c r="F69" s="11">
        <f>'balance_raw_13863385'!$F$48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Selskabsskat</t>
        </is>
      </c>
      <c r="B70" s="5">
        <f>'balance_raw_13863385'!$B$49</f>
        <v/>
      </c>
      <c r="C70" s="5">
        <f>'balance_raw_13863385'!$C$49</f>
        <v/>
      </c>
      <c r="D70" s="5">
        <f>'balance_raw_13863385'!$D$49</f>
        <v/>
      </c>
      <c r="E70" s="5">
        <f>'balance_raw_13863385'!$E$49</f>
        <v/>
      </c>
      <c r="F70" s="5">
        <f>'balance_raw_13863385'!$F$49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 vedr. selskabsskat</t>
        </is>
      </c>
      <c r="B71" s="11">
        <f>'balance_raw_13863385'!$B$50</f>
        <v/>
      </c>
      <c r="C71" s="11">
        <f>'balance_raw_13863385'!$C$50</f>
        <v/>
      </c>
      <c r="D71" s="11">
        <f>'balance_raw_13863385'!$D$50</f>
        <v/>
      </c>
      <c r="E71" s="11">
        <f>'balance_raw_13863385'!$E$50</f>
        <v/>
      </c>
      <c r="F71" s="11">
        <f>'balance_raw_13863385'!$F$50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'balance_raw_13863385'!$B$51</f>
        <v/>
      </c>
      <c r="C72" s="5">
        <f>'balance_raw_13863385'!$C$51</f>
        <v/>
      </c>
      <c r="D72" s="5">
        <f>'balance_raw_13863385'!$D$51</f>
        <v/>
      </c>
      <c r="E72" s="5">
        <f>'balance_raw_13863385'!$E$51</f>
        <v/>
      </c>
      <c r="F72" s="5">
        <f>'balance_raw_13863385'!$F$51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Periodeafgrænsningsposter (passiver)</t>
        </is>
      </c>
      <c r="B73" s="11">
        <f>'balance_raw_13863385'!$B$52</f>
        <v/>
      </c>
      <c r="C73" s="11">
        <f>'balance_raw_13863385'!$C$52</f>
        <v/>
      </c>
      <c r="D73" s="11">
        <f>'balance_raw_13863385'!$D$52</f>
        <v/>
      </c>
      <c r="E73" s="11">
        <f>'balance_raw_13863385'!$E$52</f>
        <v/>
      </c>
      <c r="F73" s="11">
        <f>'balance_raw_13863385'!$F$52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7" t="inlineStr">
        <is>
          <t>Kortfristede gældsforpligtelser</t>
        </is>
      </c>
      <c r="B74" s="8">
        <f>'balance_raw_13863385'!$B$53</f>
        <v/>
      </c>
      <c r="C74" s="8">
        <f>'balance_raw_13863385'!$C$53</f>
        <v/>
      </c>
      <c r="D74" s="8">
        <f>'balance_raw_13863385'!$D$53</f>
        <v/>
      </c>
      <c r="E74" s="8">
        <f>'balance_raw_13863385'!$E$53</f>
        <v/>
      </c>
      <c r="F74" s="8">
        <f>'balance_raw_13863385'!$F$53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Gældsforpligtelser</t>
        </is>
      </c>
      <c r="B75" s="8">
        <f>'balance_raw_13863385'!$B$54</f>
        <v/>
      </c>
      <c r="C75" s="8">
        <f>'balance_raw_13863385'!$C$54</f>
        <v/>
      </c>
      <c r="D75" s="8">
        <f>'balance_raw_13863385'!$D$54</f>
        <v/>
      </c>
      <c r="E75" s="8">
        <f>'balance_raw_13863385'!$E$54</f>
        <v/>
      </c>
      <c r="F75" s="8">
        <f>'balance_raw_13863385'!$F$54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Passiver</t>
        </is>
      </c>
      <c r="B76" s="8">
        <f>'balance_raw_13863385'!$B$55</f>
        <v/>
      </c>
      <c r="C76" s="8">
        <f>'balance_raw_13863385'!$C$55</f>
        <v/>
      </c>
      <c r="D76" s="8">
        <f>'balance_raw_13863385'!$D$55</f>
        <v/>
      </c>
      <c r="E76" s="8">
        <f>'balance_raw_13863385'!$E$55</f>
        <v/>
      </c>
      <c r="F76" s="8">
        <f>'balance_raw_13863385'!$F$55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Gns. antal medarbejdere</t>
        </is>
      </c>
      <c r="B79" s="11">
        <f>'res_raw_13863385'!$B$17</f>
        <v/>
      </c>
      <c r="C79" s="11">
        <f>'res_raw_13863385'!$C$17</f>
        <v/>
      </c>
      <c r="D79" s="11">
        <f>'res_raw_13863385'!$D$17</f>
        <v/>
      </c>
      <c r="E79" s="11">
        <f>'res_raw_13863385'!$E$17</f>
        <v/>
      </c>
      <c r="F79" s="11">
        <f>'res_raw_13863385'!$F$17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'res_raw_13863385'!$B$18</f>
        <v/>
      </c>
      <c r="C80" s="5">
        <f>'res_raw_13863385'!$C$18</f>
        <v/>
      </c>
      <c r="D80" s="5">
        <f>'res_raw_13863385'!$D$18</f>
        <v/>
      </c>
      <c r="E80" s="5">
        <f>'res_raw_13863385'!$E$18</f>
        <v/>
      </c>
      <c r="F80" s="5">
        <f>'res_raw_13863385'!$F$18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Afkastningsgrad, %</t>
        </is>
      </c>
      <c r="B83" s="13">
        <f>IFERROR(($B$11+$B$13+$B$12)/$B$46*100,"")</f>
        <v/>
      </c>
      <c r="C83" s="13">
        <f>IFERROR(($C$11+$C$13+$C$12)/$C$46*100,"")</f>
        <v/>
      </c>
      <c r="D83" s="13">
        <f>IFERROR(($D$11+$D$13+$D$12)/$D$46*100,"")</f>
        <v/>
      </c>
      <c r="E83" s="13">
        <f>IFERROR(($E$11+$E$13+$E$12)/$E$46*100,"")</f>
        <v/>
      </c>
      <c r="F83" s="13">
        <f>IFERROR(($F$11+$F$13+$F$12)/$F$46*100,"")</f>
        <v/>
      </c>
    </row>
    <row r="84" ht="16" customHeight="1">
      <c r="A84" s="4" t="inlineStr">
        <is>
          <t>Overskudsgrad, %</t>
        </is>
      </c>
      <c r="B84" s="14">
        <f>IFERROR(($B$11+$B$13+$B$12)/$B$4*100,"")</f>
        <v/>
      </c>
      <c r="C84" s="14">
        <f>IFERROR(($C$11+$C$13+$C$12)/$C$4*100,"")</f>
        <v/>
      </c>
      <c r="D84" s="14">
        <f>IFERROR(($D$11+$D$13+$D$12)/$D$4*100,"")</f>
        <v/>
      </c>
      <c r="E84" s="14">
        <f>IFERROR(($E$11+$E$13+$E$12)/$E$4*100,"")</f>
        <v/>
      </c>
      <c r="F84" s="14">
        <f>IFERROR(($F$11+$F$13+$F$12)/$F$4*100,"")</f>
        <v/>
      </c>
    </row>
    <row r="85" ht="16" customHeight="1">
      <c r="A85" s="10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IFERROR($B$16/$B$55*100,"")</f>
        <v/>
      </c>
      <c r="C86" s="14">
        <f>IFERROR($C$16/$C$55*100,"")</f>
        <v/>
      </c>
      <c r="D86" s="14">
        <f>IFERROR($D$16/$D$55*100,"")</f>
        <v/>
      </c>
      <c r="E86" s="14">
        <f>IFERROR($E$16/$E$55*100,"")</f>
        <v/>
      </c>
      <c r="F86" s="14">
        <f>IFERROR($F$16/$F$55*100,"")</f>
        <v/>
      </c>
    </row>
    <row r="87" ht="16" customHeight="1">
      <c r="A87" s="10" t="inlineStr">
        <is>
          <t>Gældsrente, %</t>
        </is>
      </c>
      <c r="B87" s="13">
        <f>IFERROR($B$14/($B$76-$B$55)*100,"")</f>
        <v/>
      </c>
      <c r="C87" s="13">
        <f>IFERROR($C$14/($C$76-$C$55)*100,"")</f>
        <v/>
      </c>
      <c r="D87" s="13">
        <f>IFERROR($D$14/($D$76-$D$55)*100,"")</f>
        <v/>
      </c>
      <c r="E87" s="13">
        <f>IFERROR($E$14/($E$76-$E$55)*100,"")</f>
        <v/>
      </c>
      <c r="F87" s="13">
        <f>IFERROR($F$14/($F$76-$F$55)*100,"")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10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10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10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'pengestrom_raw_13863385'!$B$2</f>
        <v/>
      </c>
      <c r="C96" s="17">
        <f>'pengestrom_raw_13863385'!$C$2</f>
        <v/>
      </c>
      <c r="D96" s="17">
        <f>'pengestrom_raw_13863385'!$D$2</f>
        <v/>
      </c>
      <c r="E96" s="17">
        <f>'pengestrom_raw_13863385'!$E$2</f>
        <v/>
      </c>
      <c r="F96" s="17">
        <f>'pengestrom_raw_13863385'!$F$2</f>
        <v/>
      </c>
    </row>
    <row r="97">
      <c r="A97" s="16" t="inlineStr">
        <is>
          <t>Pengestrømme fra investeringsaktivitet</t>
        </is>
      </c>
      <c r="B97" s="17">
        <f>'pengestrom_raw_13863385'!$B$3</f>
        <v/>
      </c>
      <c r="C97" s="17">
        <f>'pengestrom_raw_13863385'!$C$3</f>
        <v/>
      </c>
      <c r="D97" s="17">
        <f>'pengestrom_raw_13863385'!$D$3</f>
        <v/>
      </c>
      <c r="E97" s="17">
        <f>'pengestrom_raw_13863385'!$E$3</f>
        <v/>
      </c>
      <c r="F97" s="17">
        <f>'pengestrom_raw_13863385'!$F$3</f>
        <v/>
      </c>
    </row>
    <row r="98">
      <c r="A98" s="16" t="inlineStr">
        <is>
          <t>Pengestrømme fra finansieringsaktivitet</t>
        </is>
      </c>
      <c r="B98" s="17">
        <f>'pengestrom_raw_13863385'!$B$4</f>
        <v/>
      </c>
      <c r="C98" s="17">
        <f>'pengestrom_raw_13863385'!$C$4</f>
        <v/>
      </c>
      <c r="D98" s="17">
        <f>'pengestrom_raw_13863385'!$D$4</f>
        <v/>
      </c>
      <c r="E98" s="17">
        <f>'pengestrom_raw_13863385'!$E$4</f>
        <v/>
      </c>
      <c r="F98" s="17">
        <f>'pengestrom_raw_13863385'!$F$4</f>
        <v/>
      </c>
    </row>
    <row r="99">
      <c r="A99" s="16" t="inlineStr">
        <is>
          <t>Årets pengestrøm (rapporteret)</t>
        </is>
      </c>
      <c r="B99" s="17">
        <f>'pengestrom_raw_13863385'!$B$5</f>
        <v/>
      </c>
      <c r="C99" s="17">
        <f>'pengestrom_raw_13863385'!$C$5</f>
        <v/>
      </c>
      <c r="D99" s="17">
        <f>'pengestrom_raw_13863385'!$D$5</f>
        <v/>
      </c>
      <c r="E99" s="17">
        <f>'pengestrom_raw_13863385'!$E$5</f>
        <v/>
      </c>
      <c r="F99" s="17">
        <f>'pengestrom_raw_13863385'!$F$5</f>
        <v/>
      </c>
    </row>
    <row r="100">
      <c r="A100" s="16" t="inlineStr">
        <is>
          <t>Krydstjek: drift + inv. + fin. = årets pengestrøm</t>
        </is>
      </c>
      <c r="B100">
        <f>IF(ABS(('pengestrom_raw_13863385'!$B$2+'pengestrom_raw_13863385'!$B$3+'pengestrom_raw_13863385'!$B$4)-'pengestrom_raw_13863385'!$B$5)&lt;=2,"✓","⚠ "&amp;TEXT(('pengestrom_raw_13863385'!$B$2+'pengestrom_raw_13863385'!$B$3+'pengestrom_raw_13863385'!$B$4)-'pengestrom_raw_13863385'!$B$5,"+#,##0;-#,##0"))</f>
        <v/>
      </c>
      <c r="C100">
        <f>IF(ABS(('pengestrom_raw_13863385'!$C$2+'pengestrom_raw_13863385'!$C$3+'pengestrom_raw_13863385'!$C$4)-'pengestrom_raw_13863385'!$C$5)&lt;=2,"✓","⚠ "&amp;TEXT(('pengestrom_raw_13863385'!$C$2+'pengestrom_raw_13863385'!$C$3+'pengestrom_raw_13863385'!$C$4)-'pengestrom_raw_13863385'!$C$5,"+#,##0;-#,##0"))</f>
        <v/>
      </c>
      <c r="D100">
        <f>IF(ABS(('pengestrom_raw_13863385'!$D$2+'pengestrom_raw_13863385'!$D$3+'pengestrom_raw_13863385'!$D$4)-'pengestrom_raw_13863385'!$D$5)&lt;=2,"✓","⚠ "&amp;TEXT(('pengestrom_raw_13863385'!$D$2+'pengestrom_raw_13863385'!$D$3+'pengestrom_raw_13863385'!$D$4)-'pengestrom_raw_13863385'!$D$5,"+#,##0;-#,##0"))</f>
        <v/>
      </c>
      <c r="E100">
        <f>IF(ABS(('pengestrom_raw_13863385'!$E$2+'pengestrom_raw_13863385'!$E$3+'pengestrom_raw_13863385'!$E$4)-'pengestrom_raw_13863385'!$E$5)&lt;=2,"✓","⚠ "&amp;TEXT(('pengestrom_raw_13863385'!$E$2+'pengestrom_raw_13863385'!$E$3+'pengestrom_raw_13863385'!$E$4)-'pengestrom_raw_13863385'!$E$5,"+#,##0;-#,##0"))</f>
        <v/>
      </c>
      <c r="F100">
        <f>IF(ABS(('pengestrom_raw_13863385'!$F$2+'pengestrom_raw_13863385'!$F$3+'pengestrom_raw_13863385'!$F$4)-'pengestrom_raw_13863385'!$F$5)&lt;=2,"✓","⚠ "&amp;TEXT(('pengestrom_raw_13863385'!$F$2+'pengestrom_raw_13863385'!$F$3+'pengestrom_raw_13863385'!$F$4)-'pengestrom_raw_13863385'!$F$5,"+#,##0;-#,##0"))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Mascot International A/S (CVR 13863385)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1334761</v>
      </c>
      <c r="C2" s="17" t="n">
        <v>1656038</v>
      </c>
      <c r="D2" s="17" t="n">
        <v>1811275</v>
      </c>
      <c r="E2" s="17" t="n">
        <v>1982574</v>
      </c>
      <c r="F2" s="17" t="n">
        <v>2112986</v>
      </c>
    </row>
    <row r="3">
      <c r="A3" s="16" t="inlineStr">
        <is>
          <t>Produktionsomkostninger</t>
        </is>
      </c>
      <c r="B3" s="17" t="n">
        <v>681660</v>
      </c>
      <c r="C3" s="17" t="n">
        <v>792537</v>
      </c>
      <c r="D3" s="17" t="n">
        <v>756306</v>
      </c>
      <c r="E3" s="17" t="n">
        <v>799884</v>
      </c>
      <c r="F3" s="17" t="n">
        <v>851623</v>
      </c>
    </row>
    <row r="4">
      <c r="A4" s="15" t="inlineStr">
        <is>
          <t>Bruttoresultat</t>
        </is>
      </c>
      <c r="B4" s="17" t="n">
        <v>653101</v>
      </c>
      <c r="C4" s="17" t="n">
        <v>863501</v>
      </c>
      <c r="D4" s="17" t="n">
        <v>1054969</v>
      </c>
      <c r="E4" s="17" t="n">
        <v>1182690</v>
      </c>
      <c r="F4" s="17" t="n">
        <v>1261363</v>
      </c>
    </row>
    <row r="5">
      <c r="A5" s="16" t="inlineStr">
        <is>
          <t>Salgs- og distributionsomkostninger</t>
        </is>
      </c>
      <c r="B5" s="17" t="n">
        <v>270702</v>
      </c>
      <c r="C5" s="17" t="n">
        <v>309571</v>
      </c>
      <c r="D5" s="17" t="n">
        <v>421647</v>
      </c>
      <c r="E5" s="17" t="n">
        <v>510656</v>
      </c>
      <c r="F5" s="17" t="n">
        <v>488883</v>
      </c>
    </row>
    <row r="6">
      <c r="A6" s="16" t="inlineStr">
        <is>
          <t>Administrationsomkostninger</t>
        </is>
      </c>
      <c r="B6" s="17" t="n">
        <v>126979</v>
      </c>
      <c r="C6" s="17" t="n">
        <v>140368</v>
      </c>
      <c r="D6" s="17" t="n">
        <v>121356</v>
      </c>
      <c r="E6" s="17" t="n">
        <v>123428</v>
      </c>
      <c r="F6" s="17" t="n">
        <v>188951</v>
      </c>
    </row>
    <row r="7">
      <c r="A7" s="16" t="inlineStr">
        <is>
          <t>Andre driftsindtægter</t>
        </is>
      </c>
      <c r="B7" s="17" t="n">
        <v>777</v>
      </c>
      <c r="C7" s="17" t="n">
        <v>820</v>
      </c>
      <c r="D7" s="17" t="n">
        <v>0</v>
      </c>
      <c r="E7" s="17" t="n">
        <v>0</v>
      </c>
      <c r="F7" s="17" t="n">
        <v>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255420</v>
      </c>
      <c r="C9" s="17" t="n">
        <v>413562</v>
      </c>
      <c r="D9" s="17" t="n">
        <v>511966</v>
      </c>
      <c r="E9" s="17" t="n">
        <v>548606</v>
      </c>
      <c r="F9" s="17" t="n">
        <v>583529</v>
      </c>
    </row>
    <row r="10">
      <c r="A10" s="16" t="inlineStr">
        <is>
          <t>Indtægter af kapitalandele, dattervirksomheder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456</v>
      </c>
      <c r="C11" s="17" t="n">
        <v>229</v>
      </c>
      <c r="D11" s="17" t="n">
        <v>20002</v>
      </c>
      <c r="E11" s="17" t="n">
        <v>9435</v>
      </c>
      <c r="F11" s="17" t="n">
        <v>9682</v>
      </c>
    </row>
    <row r="12">
      <c r="A12" s="16" t="inlineStr">
        <is>
          <t>Finansielle omkostninger</t>
        </is>
      </c>
      <c r="B12" s="17" t="n">
        <v>4837</v>
      </c>
      <c r="C12" s="17" t="n">
        <v>7883</v>
      </c>
      <c r="D12" s="17" t="n">
        <v>7616</v>
      </c>
      <c r="E12" s="17" t="n">
        <v>7531</v>
      </c>
      <c r="F12" s="17" t="n">
        <v>21034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251039</v>
      </c>
      <c r="C14" s="17" t="n">
        <v>405908</v>
      </c>
      <c r="D14" s="17" t="n">
        <v>524352</v>
      </c>
      <c r="E14" s="17" t="n">
        <v>550510</v>
      </c>
      <c r="F14" s="17" t="n">
        <v>572177</v>
      </c>
    </row>
    <row r="15">
      <c r="A15" s="16" t="inlineStr">
        <is>
          <t>Skat af årets resultat</t>
        </is>
      </c>
      <c r="B15" s="17" t="n">
        <v>51995</v>
      </c>
      <c r="C15" s="17" t="n">
        <v>80410</v>
      </c>
      <c r="D15" s="17" t="n">
        <v>103625</v>
      </c>
      <c r="E15" s="17" t="n">
        <v>106428</v>
      </c>
      <c r="F15" s="17" t="n">
        <v>109682</v>
      </c>
    </row>
    <row r="16">
      <c r="A16" s="15" t="inlineStr">
        <is>
          <t>Årets resultat</t>
        </is>
      </c>
      <c r="B16" s="17" t="n">
        <v>199044</v>
      </c>
      <c r="C16" s="17" t="n">
        <v>325498</v>
      </c>
      <c r="D16" s="17" t="n">
        <v>420727</v>
      </c>
      <c r="E16" s="17" t="n">
        <v>444082</v>
      </c>
      <c r="F16" s="17" t="n">
        <v>462495</v>
      </c>
    </row>
    <row r="17">
      <c r="A17" s="16" t="inlineStr">
        <is>
          <t>Gns. antal medarbejdere</t>
        </is>
      </c>
      <c r="B17" s="17" t="n">
        <v>2933</v>
      </c>
      <c r="C17" s="17" t="n">
        <v>3815</v>
      </c>
      <c r="D17" s="17" t="n">
        <v>4248</v>
      </c>
      <c r="E17" s="17" t="n">
        <v>3637</v>
      </c>
      <c r="F17" s="17" t="n">
        <v>3849</v>
      </c>
    </row>
    <row r="18">
      <c r="A18" s="16" t="inlineStr">
        <is>
          <t>Investering i materielle anlægsaktiver</t>
        </is>
      </c>
      <c r="B18" s="17" t="n">
        <v>-114006</v>
      </c>
      <c r="C18" s="17" t="n">
        <v>-95125</v>
      </c>
      <c r="D18" s="17" t="n">
        <v>-147862</v>
      </c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Mascot International A/S (CVR 13863385)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84116</v>
      </c>
      <c r="C2" s="17" t="n">
        <v>104003</v>
      </c>
      <c r="D2" s="17" t="n">
        <v>124476</v>
      </c>
      <c r="E2" s="17" t="n">
        <v>144871</v>
      </c>
      <c r="F2" s="17" t="n">
        <v>120581</v>
      </c>
    </row>
    <row r="3">
      <c r="A3" s="16" t="inlineStr">
        <is>
          <t>Produktionsanlæg og maskiner</t>
        </is>
      </c>
      <c r="B3" s="17" t="n">
        <v>99382</v>
      </c>
      <c r="C3" s="17" t="n">
        <v>103633</v>
      </c>
      <c r="D3" s="17" t="n">
        <v>93284</v>
      </c>
      <c r="E3" s="17" t="n">
        <v>79679</v>
      </c>
      <c r="F3" s="17" t="n">
        <v>278955</v>
      </c>
    </row>
    <row r="4">
      <c r="A4" s="16" t="inlineStr">
        <is>
          <t>Driftsmateriel og inventar</t>
        </is>
      </c>
      <c r="B4" s="17" t="n">
        <v>67997</v>
      </c>
      <c r="C4" s="17" t="n">
        <v>65111</v>
      </c>
      <c r="D4" s="17" t="n">
        <v>71403</v>
      </c>
      <c r="E4" s="17" t="n">
        <v>85546</v>
      </c>
      <c r="F4" s="17" t="n">
        <v>89525</v>
      </c>
    </row>
    <row r="5">
      <c r="A5" s="16" t="inlineStr">
        <is>
          <t>Indretning af lejede lokaler</t>
        </is>
      </c>
      <c r="B5" s="17" t="n">
        <v>1232</v>
      </c>
      <c r="C5" s="17" t="n">
        <v>747</v>
      </c>
      <c r="D5" s="17" t="n">
        <v>366</v>
      </c>
      <c r="E5" s="17" t="n">
        <v>3091</v>
      </c>
      <c r="F5" s="17" t="n">
        <v>3158</v>
      </c>
    </row>
    <row r="6">
      <c r="A6" s="16" t="inlineStr">
        <is>
          <t>Forudbetaling og anlægsaktiver under opførelse</t>
        </is>
      </c>
      <c r="B6" s="17" t="n">
        <v>73900</v>
      </c>
      <c r="C6" s="17" t="n">
        <v>39819</v>
      </c>
      <c r="D6" s="17" t="n">
        <v>81771</v>
      </c>
      <c r="E6" s="17" t="n">
        <v>151593</v>
      </c>
      <c r="F6" s="17" t="n">
        <v>46322</v>
      </c>
    </row>
    <row r="7">
      <c r="A7" s="15" t="inlineStr">
        <is>
          <t>Materielle anlægsaktiver</t>
        </is>
      </c>
      <c r="B7" s="17" t="n">
        <v>326627</v>
      </c>
      <c r="C7" s="17" t="n">
        <v>313313</v>
      </c>
      <c r="D7" s="17" t="n">
        <v>371300</v>
      </c>
      <c r="E7" s="17" t="n">
        <v>464780</v>
      </c>
      <c r="F7" s="17" t="n">
        <v>538541</v>
      </c>
    </row>
    <row r="8">
      <c r="A8" s="16" t="inlineStr">
        <is>
          <t>Kapitalandele, dattervirksomheder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</row>
    <row r="9">
      <c r="A9" s="16" t="inlineStr">
        <is>
          <t>Deposita</t>
        </is>
      </c>
      <c r="B9" s="17" t="n">
        <v>79653</v>
      </c>
      <c r="C9" s="17" t="n">
        <v>87745</v>
      </c>
      <c r="D9" s="17" t="n">
        <v>90772</v>
      </c>
      <c r="E9" s="17" t="n">
        <v>128870</v>
      </c>
      <c r="F9" s="17" t="n">
        <v>155468</v>
      </c>
    </row>
    <row r="10">
      <c r="A10" s="15" t="inlineStr">
        <is>
          <t>Finansielle anlægsaktiver</t>
        </is>
      </c>
      <c r="B10" s="17" t="n">
        <v>90183</v>
      </c>
      <c r="C10" s="17" t="n">
        <v>89768</v>
      </c>
      <c r="D10" s="17" t="n">
        <v>103484</v>
      </c>
      <c r="E10" s="17" t="n">
        <v>138821</v>
      </c>
      <c r="F10" s="17" t="n">
        <v>168244</v>
      </c>
    </row>
    <row r="11">
      <c r="A11" s="15" t="inlineStr">
        <is>
          <t>Anlægsaktiver</t>
        </is>
      </c>
      <c r="B11" s="17" t="n">
        <v>416810</v>
      </c>
      <c r="C11" s="17" t="n">
        <v>403081</v>
      </c>
      <c r="D11" s="17" t="n">
        <v>474784</v>
      </c>
      <c r="E11" s="17" t="n">
        <v>603601</v>
      </c>
      <c r="F11" s="17" t="n">
        <v>706785</v>
      </c>
    </row>
    <row r="12">
      <c r="A12" s="16" t="inlineStr">
        <is>
          <t>Råvarer og hjælpematerialer</t>
        </is>
      </c>
      <c r="B12" s="17" t="n">
        <v>258282</v>
      </c>
      <c r="C12" s="17" t="n">
        <v>398324</v>
      </c>
      <c r="D12" s="17" t="n">
        <v>267259</v>
      </c>
      <c r="E12" s="17" t="n">
        <v>249715</v>
      </c>
      <c r="F12" s="17" t="n">
        <v>285876</v>
      </c>
    </row>
    <row r="13">
      <c r="A13" s="16" t="inlineStr">
        <is>
          <t>Varer under fremstilling</t>
        </is>
      </c>
      <c r="B13" s="17" t="n">
        <v>63147</v>
      </c>
      <c r="C13" s="17" t="n">
        <v>80576</v>
      </c>
      <c r="D13" s="17" t="n">
        <v>66228</v>
      </c>
      <c r="E13" s="17" t="n">
        <v>71113</v>
      </c>
      <c r="F13" s="17" t="n">
        <v>69648</v>
      </c>
    </row>
    <row r="14">
      <c r="A14" s="16" t="inlineStr">
        <is>
          <t>Færdigvarer og handelsvarer</t>
        </is>
      </c>
      <c r="B14" s="17" t="n">
        <v>334080</v>
      </c>
      <c r="C14" s="17" t="n">
        <v>576162</v>
      </c>
      <c r="D14" s="17" t="n">
        <v>679602</v>
      </c>
      <c r="E14" s="17" t="n">
        <v>709866</v>
      </c>
      <c r="F14" s="17" t="n">
        <v>772353</v>
      </c>
    </row>
    <row r="15">
      <c r="A15" s="15" t="inlineStr">
        <is>
          <t>Varebeholdninger</t>
        </is>
      </c>
      <c r="B15" s="17" t="n">
        <v>655509</v>
      </c>
      <c r="C15" s="17" t="n">
        <v>1055062</v>
      </c>
      <c r="D15" s="17" t="n">
        <v>1013089</v>
      </c>
      <c r="E15" s="17" t="n">
        <v>1030694</v>
      </c>
      <c r="F15" s="17" t="n">
        <v>1127877</v>
      </c>
    </row>
    <row r="16">
      <c r="A16" s="16" t="inlineStr">
        <is>
          <t>Tilgodehavender fra salg og tjenesteydelser</t>
        </is>
      </c>
      <c r="B16" s="17" t="n">
        <v>223517</v>
      </c>
      <c r="C16" s="17" t="n">
        <v>274480</v>
      </c>
      <c r="D16" s="17" t="n">
        <v>287201</v>
      </c>
      <c r="E16" s="17" t="n">
        <v>326753</v>
      </c>
      <c r="F16" s="17" t="n">
        <v>343944</v>
      </c>
    </row>
    <row r="17">
      <c r="A17" s="16" t="inlineStr">
        <is>
          <t>Tilgodehavender hos tilknyttede virksomheder</t>
        </is>
      </c>
      <c r="B17" s="17" t="n">
        <v>0</v>
      </c>
      <c r="C17" s="17" t="n">
        <v>121</v>
      </c>
      <c r="D17" s="17" t="n">
        <v>112</v>
      </c>
      <c r="E17" s="17" t="n">
        <v>3467</v>
      </c>
      <c r="F17" s="17" t="n">
        <v>5164</v>
      </c>
    </row>
    <row r="18">
      <c r="A18" s="16" t="inlineStr">
        <is>
          <t>Andre tilgodehavender</t>
        </is>
      </c>
      <c r="B18" s="17" t="n">
        <v>32735</v>
      </c>
      <c r="C18" s="17" t="n">
        <v>820</v>
      </c>
      <c r="D18" s="17" t="n">
        <v>1191</v>
      </c>
      <c r="E18" s="17" t="n">
        <v>10074</v>
      </c>
      <c r="F18" s="17" t="n">
        <v>5660</v>
      </c>
    </row>
    <row r="19">
      <c r="A19" s="16" t="inlineStr">
        <is>
          <t>Periodeafgrænsningsposter (aktiver)</t>
        </is>
      </c>
      <c r="B19" s="17" t="n">
        <v>27698</v>
      </c>
      <c r="C19" s="17" t="n">
        <v>33833</v>
      </c>
      <c r="D19" s="17" t="n">
        <v>26567</v>
      </c>
      <c r="E19" s="17" t="n">
        <v>29570</v>
      </c>
      <c r="F19" s="17" t="n">
        <v>30422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>
        <v>3952</v>
      </c>
      <c r="C22" s="17" t="n">
        <v>0</v>
      </c>
      <c r="D22" s="17" t="n">
        <v>0</v>
      </c>
      <c r="E22" s="17" t="n">
        <v>0</v>
      </c>
      <c r="F22" s="17" t="n">
        <v>0</v>
      </c>
    </row>
    <row r="23">
      <c r="A23" s="15" t="inlineStr">
        <is>
          <t>Tilgodehavender</t>
        </is>
      </c>
      <c r="B23" s="17" t="n">
        <v>287902</v>
      </c>
      <c r="C23" s="17" t="n">
        <v>309254</v>
      </c>
      <c r="D23" s="17" t="n">
        <v>315071</v>
      </c>
      <c r="E23" s="17" t="n">
        <v>369864</v>
      </c>
      <c r="F23" s="17" t="n">
        <v>385190</v>
      </c>
    </row>
    <row r="24">
      <c r="A24" s="16" t="inlineStr">
        <is>
          <t>Værdipapirer</t>
        </is>
      </c>
      <c r="B24" s="17" t="n"/>
      <c r="C24" s="17" t="n">
        <v>254</v>
      </c>
      <c r="D24" s="17" t="n">
        <v>231</v>
      </c>
      <c r="E24" s="17" t="n">
        <v>209</v>
      </c>
      <c r="F24" s="17" t="n">
        <v>139</v>
      </c>
    </row>
    <row r="25">
      <c r="A25" s="16" t="inlineStr">
        <is>
          <t>Likvide beholdninger</t>
        </is>
      </c>
      <c r="B25" s="17" t="n">
        <v>32406</v>
      </c>
      <c r="C25" s="17" t="n">
        <v>14334</v>
      </c>
      <c r="D25" s="17" t="n">
        <v>94133</v>
      </c>
      <c r="E25" s="17" t="n">
        <v>205366</v>
      </c>
      <c r="F25" s="17" t="n">
        <v>255427</v>
      </c>
    </row>
    <row r="26">
      <c r="A26" s="15" t="inlineStr">
        <is>
          <t>Omsætningsaktiver</t>
        </is>
      </c>
      <c r="B26" s="17" t="n">
        <v>975817</v>
      </c>
      <c r="C26" s="17" t="n">
        <v>1378650</v>
      </c>
      <c r="D26" s="17" t="n">
        <v>1422293</v>
      </c>
      <c r="E26" s="17" t="n">
        <v>1605924</v>
      </c>
      <c r="F26" s="17" t="n">
        <v>1768494</v>
      </c>
    </row>
    <row r="27">
      <c r="A27" s="15" t="inlineStr">
        <is>
          <t>Aktiver</t>
        </is>
      </c>
      <c r="B27" s="17" t="n">
        <v>1392627</v>
      </c>
      <c r="C27" s="17" t="n">
        <v>1781731</v>
      </c>
      <c r="D27" s="17" t="n">
        <v>1897077</v>
      </c>
      <c r="E27" s="17" t="n">
        <v>2209525</v>
      </c>
      <c r="F27" s="17" t="n">
        <v>2475279</v>
      </c>
    </row>
    <row r="28">
      <c r="A28" s="16" t="inlineStr">
        <is>
          <t>Selskabskapital</t>
        </is>
      </c>
      <c r="B28" s="17" t="n">
        <v>500</v>
      </c>
      <c r="C28" s="17" t="n">
        <v>500</v>
      </c>
      <c r="D28" s="17" t="n">
        <v>500</v>
      </c>
      <c r="E28" s="17" t="n">
        <v>500</v>
      </c>
      <c r="F28" s="17" t="n">
        <v>500</v>
      </c>
    </row>
    <row r="29">
      <c r="A29" s="16" t="inlineStr">
        <is>
          <t>Reserve for nettoopskrivning (indre værdis metode)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>
        <v>-32538</v>
      </c>
      <c r="C32" s="17" t="n">
        <v>-99718</v>
      </c>
      <c r="D32" s="17" t="n">
        <v>-137785</v>
      </c>
      <c r="E32" s="17" t="n">
        <v>-139101</v>
      </c>
      <c r="F32" s="17" t="n">
        <v>-169785</v>
      </c>
    </row>
    <row r="33">
      <c r="A33" s="16" t="inlineStr">
        <is>
          <t>Overført resultat</t>
        </is>
      </c>
      <c r="B33" s="17" t="n">
        <v>1047004</v>
      </c>
      <c r="C33" s="17" t="n">
        <v>1272502</v>
      </c>
      <c r="D33" s="17" t="n">
        <v>1543229</v>
      </c>
      <c r="E33" s="17" t="n">
        <v>1837311</v>
      </c>
      <c r="F33" s="17" t="n">
        <v>2149806</v>
      </c>
    </row>
    <row r="34">
      <c r="A34" s="15" t="inlineStr">
        <is>
          <t>Egenkapital i alt</t>
        </is>
      </c>
      <c r="B34" s="17" t="n">
        <v>1089966</v>
      </c>
      <c r="C34" s="17" t="n">
        <v>1273284</v>
      </c>
      <c r="D34" s="17" t="n">
        <v>1555944</v>
      </c>
      <c r="E34" s="17" t="n">
        <v>1848710</v>
      </c>
      <c r="F34" s="17" t="n">
        <v>2130521</v>
      </c>
    </row>
    <row r="35">
      <c r="A35" s="16" t="inlineStr">
        <is>
          <t>Hensættelse til udskudt skat</t>
        </is>
      </c>
      <c r="B35" s="17" t="n">
        <v>14675</v>
      </c>
      <c r="C35" s="17" t="n">
        <v>14683</v>
      </c>
      <c r="D35" s="17" t="n">
        <v>26888</v>
      </c>
      <c r="E35" s="17" t="n">
        <v>31541</v>
      </c>
      <c r="F35" s="17" t="n">
        <v>47688</v>
      </c>
    </row>
    <row r="36">
      <c r="A36" s="15" t="inlineStr">
        <is>
          <t>Hensatte forpligtelser</t>
        </is>
      </c>
      <c r="B36" s="17" t="n">
        <v>25300</v>
      </c>
      <c r="C36" s="17" t="n">
        <v>24805</v>
      </c>
      <c r="D36" s="17" t="n">
        <v>36576</v>
      </c>
      <c r="E36" s="17" t="n">
        <v>40803</v>
      </c>
      <c r="F36" s="17" t="n">
        <v>56534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Leasingforpligtelser (langfristet)</t>
        </is>
      </c>
      <c r="B39" s="17" t="n">
        <v>42435</v>
      </c>
      <c r="C39" s="17" t="n">
        <v>33740</v>
      </c>
      <c r="D39" s="17" t="n">
        <v>67811</v>
      </c>
      <c r="E39" s="17" t="n">
        <v>18583</v>
      </c>
      <c r="F39" s="17" t="n">
        <v>8787</v>
      </c>
    </row>
    <row r="40">
      <c r="A40" s="16" t="inlineStr">
        <is>
          <t>Anden gæld (langfristet)</t>
        </is>
      </c>
      <c r="B40" s="17" t="n">
        <v>0</v>
      </c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42435</v>
      </c>
      <c r="C41" s="17" t="n">
        <v>33740</v>
      </c>
      <c r="D41" s="17" t="n">
        <v>67811</v>
      </c>
      <c r="E41" s="17" t="n">
        <v>18583</v>
      </c>
      <c r="F41" s="17" t="n">
        <v>8787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9830</v>
      </c>
      <c r="C43" s="17" t="n">
        <v>10680</v>
      </c>
      <c r="D43" s="17" t="n">
        <v>10109</v>
      </c>
      <c r="E43" s="17" t="n">
        <v>9791</v>
      </c>
      <c r="F43" s="17" t="n">
        <v>11266</v>
      </c>
    </row>
    <row r="44">
      <c r="A44" s="16" t="inlineStr">
        <is>
          <t>Kreditinstitutter</t>
        </is>
      </c>
      <c r="B44" s="17" t="n"/>
      <c r="C44" s="17" t="n">
        <v>163605</v>
      </c>
      <c r="D44" s="17" t="n">
        <v>0</v>
      </c>
      <c r="E44" s="17" t="n"/>
      <c r="F44" s="17" t="n"/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85027</v>
      </c>
      <c r="C46" s="17" t="n">
        <v>95186</v>
      </c>
      <c r="D46" s="17" t="n">
        <v>45602</v>
      </c>
      <c r="E46" s="17" t="n">
        <v>91137</v>
      </c>
      <c r="F46" s="17" t="n">
        <v>57104</v>
      </c>
    </row>
    <row r="47">
      <c r="A47" s="16" t="inlineStr">
        <is>
          <t>Gæld til tilknyttede virksomheder</t>
        </is>
      </c>
      <c r="B47" s="17" t="n">
        <v>0</v>
      </c>
      <c r="C47" s="17" t="n">
        <v>0</v>
      </c>
      <c r="D47" s="17" t="n">
        <v>803</v>
      </c>
      <c r="E47" s="17" t="n">
        <v>0</v>
      </c>
      <c r="F47" s="17" t="n">
        <v>0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>
        <v>0</v>
      </c>
      <c r="C49" s="17" t="n">
        <v>19812</v>
      </c>
      <c r="D49" s="17" t="n">
        <v>2065</v>
      </c>
      <c r="E49" s="17" t="n">
        <v>4157</v>
      </c>
      <c r="F49" s="17" t="n">
        <v>672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140069</v>
      </c>
      <c r="C51" s="17" t="n">
        <v>160619</v>
      </c>
      <c r="D51" s="17" t="n">
        <v>178167</v>
      </c>
      <c r="E51" s="17" t="n">
        <v>196344</v>
      </c>
      <c r="F51" s="17" t="n">
        <v>210395</v>
      </c>
    </row>
    <row r="52">
      <c r="A52" s="16" t="inlineStr">
        <is>
          <t>Periodeafgrænsningsposter (passiver)</t>
        </is>
      </c>
      <c r="B52" s="17" t="n"/>
      <c r="C52" s="17" t="n"/>
      <c r="D52" s="17" t="n"/>
      <c r="E52" s="17" t="n"/>
      <c r="F52" s="17" t="n"/>
    </row>
    <row r="53">
      <c r="A53" s="15" t="inlineStr">
        <is>
          <t>Kortfristede gældsforpligtelser</t>
        </is>
      </c>
      <c r="B53" s="17" t="n">
        <v>234926</v>
      </c>
      <c r="C53" s="17" t="n">
        <v>449902</v>
      </c>
      <c r="D53" s="17" t="n">
        <v>236746</v>
      </c>
      <c r="E53" s="17" t="n">
        <v>301429</v>
      </c>
      <c r="F53" s="17" t="n">
        <v>279437</v>
      </c>
    </row>
    <row r="54">
      <c r="A54" s="15" t="inlineStr">
        <is>
          <t>Gældsforpligtelser</t>
        </is>
      </c>
      <c r="B54" s="17" t="n">
        <v>277361</v>
      </c>
      <c r="C54" s="17" t="n">
        <v>483642</v>
      </c>
      <c r="D54" s="17" t="n">
        <v>304557</v>
      </c>
      <c r="E54" s="17" t="n">
        <v>320012</v>
      </c>
      <c r="F54" s="17" t="n">
        <v>288224</v>
      </c>
    </row>
    <row r="55">
      <c r="A55" s="15" t="inlineStr">
        <is>
          <t>Passiver</t>
        </is>
      </c>
      <c r="B55" s="17" t="n">
        <v>1392627</v>
      </c>
      <c r="C55" s="17" t="n">
        <v>1781731</v>
      </c>
      <c r="D55" s="17" t="n">
        <v>1897077</v>
      </c>
      <c r="E55" s="17" t="n">
        <v>2209525</v>
      </c>
      <c r="F55" s="17" t="n">
        <v>2475279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Mascot International A/S (CVR 13863385)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121247</v>
      </c>
      <c r="C2" s="17" t="n">
        <v>-9735</v>
      </c>
      <c r="D2" s="17" t="n">
        <v>464735</v>
      </c>
      <c r="E2" s="17" t="n">
        <v>496432</v>
      </c>
      <c r="F2" s="17" t="n">
        <v>390700</v>
      </c>
    </row>
    <row r="3">
      <c r="A3" s="16" t="inlineStr">
        <is>
          <t>Pengestrømme fra investeringsaktivitet</t>
        </is>
      </c>
      <c r="B3" s="17" t="n">
        <v>-120189</v>
      </c>
      <c r="C3" s="17" t="n">
        <v>-89097</v>
      </c>
      <c r="D3" s="17" t="n">
        <v>-154830</v>
      </c>
      <c r="E3" s="17" t="n">
        <v>-185653</v>
      </c>
      <c r="F3" s="17" t="n">
        <v>-182318</v>
      </c>
    </row>
    <row r="4">
      <c r="A4" s="16" t="inlineStr">
        <is>
          <t>Pengestrømme fra finansieringsaktivitet</t>
        </is>
      </c>
      <c r="B4" s="17" t="n">
        <v>-56751</v>
      </c>
      <c r="C4" s="17" t="n">
        <v>80760</v>
      </c>
      <c r="D4" s="17" t="n">
        <v>-230106</v>
      </c>
      <c r="E4" s="17" t="n">
        <v>-199546</v>
      </c>
      <c r="F4" s="17" t="n">
        <v>-158321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Mascot International A/S (CVR 13863385) — Regnskabs- og nøgletal (CVR: 13863385)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'res_raw_13863385'!$F$2</f>
        <v/>
      </c>
      <c r="C5" s="24">
        <f>'res_raw_13863385'!$E$2</f>
        <v/>
      </c>
      <c r="D5" s="24">
        <f>'res_raw_13863385'!$D$2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-'res_raw_13863385'!$F$3</f>
        <v/>
      </c>
      <c r="C6" s="24">
        <f>-'res_raw_13863385'!$E$3</f>
        <v/>
      </c>
      <c r="D6" s="24">
        <f>-'res_raw_13863385'!$D$3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-'res_raw_13863385'!$F$5</f>
        <v/>
      </c>
      <c r="C8" s="24">
        <f>-'res_raw_13863385'!$E$5</f>
        <v/>
      </c>
      <c r="D8" s="24">
        <f>-'res_raw_13863385'!$D$5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-'res_raw_13863385'!$F$6</f>
        <v/>
      </c>
      <c r="C9" s="24">
        <f>-'res_raw_13863385'!$E$6</f>
        <v/>
      </c>
      <c r="D9" s="24">
        <f>-'res_raw_13863385'!$D$6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'res_raw_13863385'!$F$7</f>
        <v/>
      </c>
      <c r="C10" s="24">
        <f>'res_raw_13863385'!$E$7</f>
        <v/>
      </c>
      <c r="D10" s="24">
        <f>'res_raw_13863385'!$D$7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-'res_raw_13863385'!$F$8</f>
        <v/>
      </c>
      <c r="C11" s="24">
        <f>-'res_raw_13863385'!$E$8</f>
        <v/>
      </c>
      <c r="D11" s="24">
        <f>-'res_raw_13863385'!$D$8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N('res_raw_13863385'!$F$10)+N('res_raw_13863385'!$F$11)</f>
        <v/>
      </c>
      <c r="C13" s="24">
        <f>N('res_raw_13863385'!$E$10)+N('res_raw_13863385'!$E$11)</f>
        <v/>
      </c>
      <c r="D13" s="24">
        <f>N('res_raw_13863385'!$D$10)+N('res_raw_13863385'!$D$11)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-'res_raw_13863385'!$F$12</f>
        <v/>
      </c>
      <c r="C14" s="24">
        <f>-'res_raw_13863385'!$E$12</f>
        <v/>
      </c>
      <c r="D14" s="24">
        <f>-'res_raw_13863385'!$D$12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'balance_raw_13863385'!$F$11</f>
        <v/>
      </c>
      <c r="C18" s="24">
        <f>'balance_raw_13863385'!$E$11</f>
        <v/>
      </c>
      <c r="D18" s="24">
        <f>'balance_raw_13863385'!$D$11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'balance_raw_13863385'!$F$26</f>
        <v/>
      </c>
      <c r="C19" s="24">
        <f>'balance_raw_13863385'!$E$26</f>
        <v/>
      </c>
      <c r="D19" s="24">
        <f>'balance_raw_13863385'!$D$26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'balance_raw_13863385'!$F$34</f>
        <v/>
      </c>
      <c r="C22" s="24">
        <f>'balance_raw_13863385'!$E$34</f>
        <v/>
      </c>
      <c r="D22" s="24">
        <f>'balance_raw_13863385'!$D$34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'balance_raw_13863385'!$F$55-'balance_raw_13863385'!$F$34</f>
        <v/>
      </c>
      <c r="C23" s="24">
        <f>'balance_raw_13863385'!$E$55-'balance_raw_13863385'!$E$34</f>
        <v/>
      </c>
      <c r="D23" s="24">
        <f>'balance_raw_13863385'!$D$55-'balance_raw_13863385'!$D$34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'balance_raw_13863385'!$F$15</f>
        <v/>
      </c>
      <c r="C27" s="24">
        <f>'balance_raw_13863385'!$E$15</f>
        <v/>
      </c>
      <c r="D27" s="24">
        <f>'balance_raw_13863385'!$D$15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'balance_raw_13863385'!$F$16</f>
        <v/>
      </c>
      <c r="C28" s="24">
        <f>'balance_raw_13863385'!$E$16</f>
        <v/>
      </c>
      <c r="D28" s="24">
        <f>'balance_raw_13863385'!$D$16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'balance_raw_13863385'!$F$53</f>
        <v/>
      </c>
      <c r="C29" s="24">
        <f>'balance_raw_13863385'!$E$53</f>
        <v/>
      </c>
      <c r="D29" s="24">
        <f>'balance_raw_13863385'!$D$53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IF('balance_raw_13863385'!$F$27="","—",IF(ABS(B20-'balance_raw_13863385'!$F$27)&lt;=1,"✓ OK","❌ "&amp;TEXT(B20-'balance_raw_13863385'!$F$27,"+#,##0;-#,##0")&amp;" t.kr."))</f>
        <v/>
      </c>
      <c r="C60" s="29">
        <f>IF('balance_raw_13863385'!$E$27="","—",IF(ABS(C20-'balance_raw_13863385'!$E$27)&lt;=1,"✓ OK","❌ "&amp;TEXT(C20-'balance_raw_13863385'!$E$27,"+#,##0;-#,##0")&amp;" t.kr."))</f>
        <v/>
      </c>
      <c r="D60" s="29">
        <f>IF('balance_raw_13863385'!$D$27="","—",IF(ABS(D20-'balance_raw_13863385'!$D$27)&lt;=1,"✓ OK","❌ "&amp;TEXT(D20-'balance_raw_13863385'!$D$27,"+#,##0;-#,##0")&amp;"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IF('balance_raw_13863385'!$F$55="","—",IF(ABS(B24-'balance_raw_13863385'!$F$55)&lt;=1,"✓ OK","❌ "&amp;TEXT(B24-'balance_raw_13863385'!$F$55,"+#,##0;-#,##0")&amp;" t.kr."))</f>
        <v/>
      </c>
      <c r="C61" s="29">
        <f>IF('balance_raw_13863385'!$E$55="","—",IF(ABS(C24-'balance_raw_13863385'!$E$55)&lt;=1,"✓ OK","❌ "&amp;TEXT(C24-'balance_raw_13863385'!$E$55,"+#,##0;-#,##0")&amp;" t.kr."))</f>
        <v/>
      </c>
      <c r="D61" s="29">
        <f>IF('balance_raw_13863385'!$D$55="","—",IF(ABS(D24-'balance_raw_13863385'!$D$55)&lt;=1,"✓ OK","❌ "&amp;TEXT(D24-'balance_raw_13863385'!$D$55,"+#,##0;-#,##0")&amp;"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IF('res_raw_13863385'!$F$4="","—",IF(ABS(B7-'res_raw_13863385'!$F$4)&lt;=1,"✓ OK","❌ "&amp;TEXT(B7-'res_raw_13863385'!$F$4,"+#,##0;-#,##0")&amp;" t.kr."))</f>
        <v/>
      </c>
      <c r="C63" s="29">
        <f>IF('res_raw_13863385'!$E$4="","—",IF(ABS(C7-'res_raw_13863385'!$E$4)&lt;=1,"✓ OK","❌ "&amp;TEXT(C7-'res_raw_13863385'!$E$4,"+#,##0;-#,##0")&amp;" t.kr."))</f>
        <v/>
      </c>
      <c r="D63" s="29">
        <f>IF('res_raw_13863385'!$D$4="","—",IF(ABS(D7-'res_raw_13863385'!$D$4)&lt;=1,"✓ OK","❌ "&amp;TEXT(D7-'res_raw_13863385'!$D$4,"+#,##0;-#,##0")&amp;"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IF('res_raw_13863385'!$F$9="","—",IF(ABS(B12-'res_raw_13863385'!$F$9)&lt;=1,"✓ OK","❌ "&amp;TEXT(B12-'res_raw_13863385'!$F$9,"+#,##0;-#,##0")&amp;" t.kr."))</f>
        <v/>
      </c>
      <c r="C64" s="29">
        <f>IF('res_raw_13863385'!$E$9="","—",IF(ABS(C12-'res_raw_13863385'!$E$9)&lt;=1,"✓ OK","❌ "&amp;TEXT(C12-'res_raw_13863385'!$E$9,"+#,##0;-#,##0")&amp;" t.kr."))</f>
        <v/>
      </c>
      <c r="D64" s="29">
        <f>IF('res_raw_13863385'!$D$9="","—",IF(ABS(D12-'res_raw_13863385'!$D$9)&lt;=1,"✓ OK","❌ "&amp;TEXT(D12-'res_raw_13863385'!$D$9,"+#,##0;-#,##0")&amp;"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IF('res_raw_13863385'!$F$14="","—",IF(ABS(B15-'res_raw_13863385'!$F$14)&lt;=1,"✓ OK","❌ "&amp;TEXT(B15-'res_raw_13863385'!$F$14,"+#,##0;-#,##0")&amp;" t.kr."))</f>
        <v/>
      </c>
      <c r="C65" s="29">
        <f>IF('res_raw_13863385'!$E$14="","—",IF(ABS(C15-'res_raw_13863385'!$E$14)&lt;=1,"✓ OK","❌ "&amp;TEXT(C15-'res_raw_13863385'!$E$14,"+#,##0;-#,##0")&amp;" t.kr."))</f>
        <v/>
      </c>
      <c r="D65" s="29">
        <f>IF('res_raw_13863385'!$D$14="","—",IF(ABS(D15-'res_raw_13863385'!$D$14)&lt;=1,"✓ OK","❌ "&amp;TEXT(D15-'res_raw_13863385'!$D$14,"+#,##0;-#,##0")&amp;"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Mascot International A/S (CVR 13863385)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fsa:ConclusionOfLeaseObligations</t>
        </is>
      </c>
      <c r="C3" s="34" t="inlineStr">
        <is>
          <t>fsa:ConclusionOfLeaseObligations</t>
        </is>
      </c>
      <c r="D3" s="35" t="n">
        <v>3216</v>
      </c>
      <c r="E3" s="35" t="n">
        <v>2602</v>
      </c>
      <c r="F3" s="35" t="n">
        <v>45500</v>
      </c>
      <c r="G3" s="35" t="n">
        <v>18335</v>
      </c>
      <c r="H3" s="35" t="n">
        <v>3593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</t>
        </is>
      </c>
      <c r="C4" s="37" t="inlineStr">
        <is>
          <t>fsa:Dividend</t>
        </is>
      </c>
      <c r="D4" s="38" t="n"/>
      <c r="E4" s="38" t="n">
        <v>0</v>
      </c>
      <c r="F4" s="38" t="n">
        <v>0</v>
      </c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fsa:ReductionOfLeaseCommitments</t>
        </is>
      </c>
      <c r="C5" s="34" t="inlineStr">
        <is>
          <t>fsa:ReductionOfLeaseCommitments</t>
        </is>
      </c>
      <c r="D5" s="35" t="n">
        <v>9967</v>
      </c>
      <c r="E5" s="35" t="n">
        <v>10447</v>
      </c>
      <c r="F5" s="35" t="n">
        <v>12001</v>
      </c>
      <c r="G5" s="35" t="n">
        <v>67881</v>
      </c>
      <c r="H5" s="35" t="n">
        <v>11914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2026-09-10T15:35:41Z</dcterms:created>
  <dcterms:modified xmlns:dcterms="http://purl.org/dc/terms/" xmlns:xsi="http://www.w3.org/2001/XMLSchema-instance" xsi:type="dcterms:W3CDTF">2026-09-10T15:35:42Z</dcterms:modified>
</cp:coreProperties>
</file>