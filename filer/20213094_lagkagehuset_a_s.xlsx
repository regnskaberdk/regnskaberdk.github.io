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0213094" sheetId="1" state="visible" r:id="rId1"/>
    <sheet xmlns:r="http://schemas.openxmlformats.org/officeDocument/2006/relationships" name="res_raw_20213094" sheetId="2" state="visible" r:id="rId2"/>
    <sheet xmlns:r="http://schemas.openxmlformats.org/officeDocument/2006/relationships" name="balance_raw_2021309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Lagkagehuset A/S (CVR 20213094)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'res_raw_20213094'!$B$2</f>
        <v/>
      </c>
      <c r="C4" s="5">
        <f>'res_raw_20213094'!$C$2</f>
        <v/>
      </c>
      <c r="D4" s="5">
        <f>'res_raw_20213094'!$D$2</f>
        <v/>
      </c>
      <c r="E4" s="5">
        <f>'res_raw_20213094'!$E$2</f>
        <v/>
      </c>
      <c r="F4" s="5">
        <f>'res_raw_20213094'!$F$2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'res_raw_20213094'!$B$3</f>
        <v/>
      </c>
      <c r="C5" s="8">
        <f>'res_raw_20213094'!$C$3</f>
        <v/>
      </c>
      <c r="D5" s="8">
        <f>'res_raw_20213094'!$D$3</f>
        <v/>
      </c>
      <c r="E5" s="8">
        <f>'res_raw_20213094'!$E$3</f>
        <v/>
      </c>
      <c r="F5" s="8">
        <f>'res_raw_20213094'!$F$3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'res_raw_20213094'!$B$4</f>
        <v/>
      </c>
      <c r="C6" s="5">
        <f>'res_raw_20213094'!$C$4</f>
        <v/>
      </c>
      <c r="D6" s="5">
        <f>'res_raw_20213094'!$D$4</f>
        <v/>
      </c>
      <c r="E6" s="5">
        <f>'res_raw_20213094'!$E$4</f>
        <v/>
      </c>
      <c r="F6" s="5">
        <f>'res_raw_20213094'!$F$4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'res_raw_20213094'!$B$5</f>
        <v/>
      </c>
      <c r="C7" s="8">
        <f>'res_raw_20213094'!$C$5</f>
        <v/>
      </c>
      <c r="D7" s="8">
        <f>'res_raw_20213094'!$D$5</f>
        <v/>
      </c>
      <c r="E7" s="8">
        <f>'res_raw_20213094'!$E$5</f>
        <v/>
      </c>
      <c r="F7" s="8">
        <f>'res_raw_20213094'!$F$5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'res_raw_20213094'!$B$6</f>
        <v/>
      </c>
      <c r="C8" s="11">
        <f>'res_raw_20213094'!$C$6</f>
        <v/>
      </c>
      <c r="D8" s="11">
        <f>'res_raw_20213094'!$D$6</f>
        <v/>
      </c>
      <c r="E8" s="11">
        <f>'res_raw_20213094'!$E$6</f>
        <v/>
      </c>
      <c r="F8" s="11">
        <f>'res_raw_20213094'!$F$6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'res_raw_20213094'!$B$7</f>
        <v/>
      </c>
      <c r="C9" s="8">
        <f>'res_raw_20213094'!$C$7</f>
        <v/>
      </c>
      <c r="D9" s="8">
        <f>'res_raw_20213094'!$D$7</f>
        <v/>
      </c>
      <c r="E9" s="8">
        <f>'res_raw_20213094'!$E$7</f>
        <v/>
      </c>
      <c r="F9" s="8">
        <f>'res_raw_20213094'!$F$7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'res_raw_20213094'!$B$9</f>
        <v/>
      </c>
      <c r="C11" s="8">
        <f>'res_raw_20213094'!$C$9</f>
        <v/>
      </c>
      <c r="D11" s="8">
        <f>'res_raw_20213094'!$D$9</f>
        <v/>
      </c>
      <c r="E11" s="8">
        <f>'res_raw_20213094'!$E$9</f>
        <v/>
      </c>
      <c r="F11" s="8">
        <f>'res_raw_20213094'!$F$9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'res_raw_20213094'!$B$10</f>
        <v/>
      </c>
      <c r="C12" s="5">
        <f>'res_raw_20213094'!$C$10</f>
        <v/>
      </c>
      <c r="D12" s="5">
        <f>'res_raw_20213094'!$D$10</f>
        <v/>
      </c>
      <c r="E12" s="5">
        <f>'res_raw_20213094'!$E$10</f>
        <v/>
      </c>
      <c r="F12" s="5">
        <f>'res_raw_20213094'!$F$10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'res_raw_20213094'!$B$11</f>
        <v/>
      </c>
      <c r="C13" s="11">
        <f>'res_raw_20213094'!$C$11</f>
        <v/>
      </c>
      <c r="D13" s="11">
        <f>'res_raw_20213094'!$D$11</f>
        <v/>
      </c>
      <c r="E13" s="11">
        <f>'res_raw_20213094'!$E$11</f>
        <v/>
      </c>
      <c r="F13" s="11">
        <f>'res_raw_20213094'!$F$11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'res_raw_20213094'!$B$12</f>
        <v/>
      </c>
      <c r="C14" s="5">
        <f>'res_raw_20213094'!$C$12</f>
        <v/>
      </c>
      <c r="D14" s="5">
        <f>'res_raw_20213094'!$D$12</f>
        <v/>
      </c>
      <c r="E14" s="5">
        <f>'res_raw_20213094'!$E$12</f>
        <v/>
      </c>
      <c r="F14" s="5">
        <f>'res_raw_20213094'!$F$12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'res_raw_20213094'!$B$13</f>
        <v/>
      </c>
      <c r="C15" s="8">
        <f>'res_raw_20213094'!$C$13</f>
        <v/>
      </c>
      <c r="D15" s="8">
        <f>'res_raw_20213094'!$D$13</f>
        <v/>
      </c>
      <c r="E15" s="8">
        <f>'res_raw_20213094'!$E$13</f>
        <v/>
      </c>
      <c r="F15" s="8">
        <f>'res_raw_20213094'!$F$13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'res_raw_20213094'!$B$14</f>
        <v/>
      </c>
      <c r="C16" s="5">
        <f>'res_raw_20213094'!$C$14</f>
        <v/>
      </c>
      <c r="D16" s="5">
        <f>'res_raw_20213094'!$D$14</f>
        <v/>
      </c>
      <c r="E16" s="5">
        <f>'res_raw_20213094'!$E$14</f>
        <v/>
      </c>
      <c r="F16" s="5">
        <f>'res_raw_20213094'!$F$14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'res_raw_20213094'!$B$15</f>
        <v/>
      </c>
      <c r="C17" s="11">
        <f>'res_raw_20213094'!$C$15</f>
        <v/>
      </c>
      <c r="D17" s="11">
        <f>'res_raw_20213094'!$D$15</f>
        <v/>
      </c>
      <c r="E17" s="11">
        <f>'res_raw_20213094'!$E$15</f>
        <v/>
      </c>
      <c r="F17" s="11">
        <f>'res_raw_20213094'!$F$15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'res_raw_20213094'!$B$16</f>
        <v/>
      </c>
      <c r="C18" s="11">
        <f>'res_raw_20213094'!$C$16</f>
        <v/>
      </c>
      <c r="D18" s="11">
        <f>'res_raw_20213094'!$D$16</f>
        <v/>
      </c>
      <c r="E18" s="11">
        <f>'res_raw_20213094'!$E$16</f>
        <v/>
      </c>
      <c r="F18" s="11">
        <f>'res_raw_20213094'!$F$16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'res_raw_20213094'!$B$17</f>
        <v/>
      </c>
      <c r="C19" s="8">
        <f>'res_raw_20213094'!$C$17</f>
        <v/>
      </c>
      <c r="D19" s="8">
        <f>'res_raw_20213094'!$D$17</f>
        <v/>
      </c>
      <c r="E19" s="8">
        <f>'res_raw_20213094'!$E$17</f>
        <v/>
      </c>
      <c r="F19" s="8">
        <f>'res_raw_20213094'!$F$17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'res_raw_20213094'!$B$18</f>
        <v/>
      </c>
      <c r="C20" s="11">
        <f>'res_raw_20213094'!$C$18</f>
        <v/>
      </c>
      <c r="D20" s="11">
        <f>'res_raw_20213094'!$D$18</f>
        <v/>
      </c>
      <c r="E20" s="11">
        <f>'res_raw_20213094'!$E$18</f>
        <v/>
      </c>
      <c r="F20" s="11">
        <f>'res_raw_20213094'!$F$18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'balance_raw_20213094'!$B$2</f>
        <v/>
      </c>
      <c r="C23" s="8">
        <f>'balance_raw_20213094'!$C$2</f>
        <v/>
      </c>
      <c r="D23" s="8">
        <f>'balance_raw_20213094'!$D$2</f>
        <v/>
      </c>
      <c r="E23" s="8">
        <f>'balance_raw_20213094'!$E$2</f>
        <v/>
      </c>
      <c r="F23" s="8">
        <f>'balance_raw_20213094'!$F$2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'balance_raw_20213094'!$B$3</f>
        <v/>
      </c>
      <c r="C24" s="5">
        <f>'balance_raw_20213094'!$C$3</f>
        <v/>
      </c>
      <c r="D24" s="5">
        <f>'balance_raw_20213094'!$D$3</f>
        <v/>
      </c>
      <c r="E24" s="5">
        <f>'balance_raw_20213094'!$E$3</f>
        <v/>
      </c>
      <c r="F24" s="5">
        <f>'balance_raw_20213094'!$F$3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'balance_raw_20213094'!$B$4</f>
        <v/>
      </c>
      <c r="C25" s="8">
        <f>'balance_raw_20213094'!$C$4</f>
        <v/>
      </c>
      <c r="D25" s="8">
        <f>'balance_raw_20213094'!$D$4</f>
        <v/>
      </c>
      <c r="E25" s="8">
        <f>'balance_raw_20213094'!$E$4</f>
        <v/>
      </c>
      <c r="F25" s="8">
        <f>'balance_raw_20213094'!$F$4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'balance_raw_20213094'!$B$5</f>
        <v/>
      </c>
      <c r="C26" s="11">
        <f>'balance_raw_20213094'!$C$5</f>
        <v/>
      </c>
      <c r="D26" s="11">
        <f>'balance_raw_20213094'!$D$5</f>
        <v/>
      </c>
      <c r="E26" s="11">
        <f>'balance_raw_20213094'!$E$5</f>
        <v/>
      </c>
      <c r="F26" s="11">
        <f>'balance_raw_20213094'!$F$5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'balance_raw_20213094'!$B$6</f>
        <v/>
      </c>
      <c r="C27" s="8">
        <f>'balance_raw_20213094'!$C$6</f>
        <v/>
      </c>
      <c r="D27" s="8">
        <f>'balance_raw_20213094'!$D$6</f>
        <v/>
      </c>
      <c r="E27" s="8">
        <f>'balance_raw_20213094'!$E$6</f>
        <v/>
      </c>
      <c r="F27" s="8">
        <f>'balance_raw_20213094'!$F$6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'balance_raw_20213094'!$B$7</f>
        <v/>
      </c>
      <c r="C28" s="5">
        <f>'balance_raw_20213094'!$C$7</f>
        <v/>
      </c>
      <c r="D28" s="5">
        <f>'balance_raw_20213094'!$D$7</f>
        <v/>
      </c>
      <c r="E28" s="5">
        <f>'balance_raw_20213094'!$E$7</f>
        <v/>
      </c>
      <c r="F28" s="5">
        <f>'balance_raw_20213094'!$F$7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'balance_raw_20213094'!$B$8</f>
        <v/>
      </c>
      <c r="C29" s="8">
        <f>'balance_raw_20213094'!$C$8</f>
        <v/>
      </c>
      <c r="D29" s="8">
        <f>'balance_raw_20213094'!$D$8</f>
        <v/>
      </c>
      <c r="E29" s="8">
        <f>'balance_raw_20213094'!$E$8</f>
        <v/>
      </c>
      <c r="F29" s="8">
        <f>'balance_raw_20213094'!$F$8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'balance_raw_20213094'!$B$9</f>
        <v/>
      </c>
      <c r="C30" s="5">
        <f>'balance_raw_20213094'!$C$9</f>
        <v/>
      </c>
      <c r="D30" s="5">
        <f>'balance_raw_20213094'!$D$9</f>
        <v/>
      </c>
      <c r="E30" s="5">
        <f>'balance_raw_20213094'!$E$9</f>
        <v/>
      </c>
      <c r="F30" s="5">
        <f>'balance_raw_20213094'!$F$9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'balance_raw_20213094'!$B$10</f>
        <v/>
      </c>
      <c r="C31" s="8">
        <f>'balance_raw_20213094'!$C$10</f>
        <v/>
      </c>
      <c r="D31" s="8">
        <f>'balance_raw_20213094'!$D$10</f>
        <v/>
      </c>
      <c r="E31" s="8">
        <f>'balance_raw_20213094'!$E$10</f>
        <v/>
      </c>
      <c r="F31" s="8">
        <f>'balance_raw_20213094'!$F$10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'balance_raw_20213094'!$B$11</f>
        <v/>
      </c>
      <c r="C32" s="11">
        <f>'balance_raw_20213094'!$C$11</f>
        <v/>
      </c>
      <c r="D32" s="11">
        <f>'balance_raw_20213094'!$D$11</f>
        <v/>
      </c>
      <c r="E32" s="11">
        <f>'balance_raw_20213094'!$E$11</f>
        <v/>
      </c>
      <c r="F32" s="11">
        <f>'balance_raw_20213094'!$F$11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'balance_raw_20213094'!$B$12</f>
        <v/>
      </c>
      <c r="C33" s="8">
        <f>'balance_raw_20213094'!$C$12</f>
        <v/>
      </c>
      <c r="D33" s="8">
        <f>'balance_raw_20213094'!$D$12</f>
        <v/>
      </c>
      <c r="E33" s="8">
        <f>'balance_raw_20213094'!$E$12</f>
        <v/>
      </c>
      <c r="F33" s="8">
        <f>'balance_raw_20213094'!$F$12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'balance_raw_20213094'!$B$13</f>
        <v/>
      </c>
      <c r="C34" s="5">
        <f>'balance_raw_20213094'!$C$13</f>
        <v/>
      </c>
      <c r="D34" s="5">
        <f>'balance_raw_20213094'!$D$13</f>
        <v/>
      </c>
      <c r="E34" s="5">
        <f>'balance_raw_20213094'!$E$13</f>
        <v/>
      </c>
      <c r="F34" s="5">
        <f>'balance_raw_20213094'!$F$13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'balance_raw_20213094'!$B$14</f>
        <v/>
      </c>
      <c r="C35" s="11">
        <f>'balance_raw_20213094'!$C$14</f>
        <v/>
      </c>
      <c r="D35" s="11">
        <f>'balance_raw_20213094'!$D$14</f>
        <v/>
      </c>
      <c r="E35" s="11">
        <f>'balance_raw_20213094'!$E$14</f>
        <v/>
      </c>
      <c r="F35" s="11">
        <f>'balance_raw_20213094'!$F$14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'balance_raw_20213094'!$B$15</f>
        <v/>
      </c>
      <c r="C36" s="11">
        <f>'balance_raw_20213094'!$C$15</f>
        <v/>
      </c>
      <c r="D36" s="11">
        <f>'balance_raw_20213094'!$D$15</f>
        <v/>
      </c>
      <c r="E36" s="11">
        <f>'balance_raw_20213094'!$E$15</f>
        <v/>
      </c>
      <c r="F36" s="11">
        <f>'balance_raw_20213094'!$F$15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'balance_raw_20213094'!$B$16</f>
        <v/>
      </c>
      <c r="C37" s="8">
        <f>'balance_raw_20213094'!$C$16</f>
        <v/>
      </c>
      <c r="D37" s="8">
        <f>'balance_raw_20213094'!$D$16</f>
        <v/>
      </c>
      <c r="E37" s="8">
        <f>'balance_raw_20213094'!$E$16</f>
        <v/>
      </c>
      <c r="F37" s="8">
        <f>'balance_raw_20213094'!$F$16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'balance_raw_20213094'!$B$17</f>
        <v/>
      </c>
      <c r="C38" s="5">
        <f>'balance_raw_20213094'!$C$17</f>
        <v/>
      </c>
      <c r="D38" s="5">
        <f>'balance_raw_20213094'!$D$17</f>
        <v/>
      </c>
      <c r="E38" s="5">
        <f>'balance_raw_20213094'!$E$17</f>
        <v/>
      </c>
      <c r="F38" s="5">
        <f>'balance_raw_20213094'!$F$17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'balance_raw_20213094'!$B$18</f>
        <v/>
      </c>
      <c r="C39" s="8">
        <f>'balance_raw_20213094'!$C$18</f>
        <v/>
      </c>
      <c r="D39" s="8">
        <f>'balance_raw_20213094'!$D$18</f>
        <v/>
      </c>
      <c r="E39" s="8">
        <f>'balance_raw_20213094'!$E$18</f>
        <v/>
      </c>
      <c r="F39" s="8">
        <f>'balance_raw_20213094'!$F$18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'balance_raw_20213094'!$B$19</f>
        <v/>
      </c>
      <c r="C40" s="11">
        <f>'balance_raw_20213094'!$C$19</f>
        <v/>
      </c>
      <c r="D40" s="11">
        <f>'balance_raw_20213094'!$D$19</f>
        <v/>
      </c>
      <c r="E40" s="11">
        <f>'balance_raw_20213094'!$E$19</f>
        <v/>
      </c>
      <c r="F40" s="11">
        <f>'balance_raw_20213094'!$F$19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'balance_raw_20213094'!$B$20</f>
        <v/>
      </c>
      <c r="C41" s="8">
        <f>'balance_raw_20213094'!$C$20</f>
        <v/>
      </c>
      <c r="D41" s="8">
        <f>'balance_raw_20213094'!$D$20</f>
        <v/>
      </c>
      <c r="E41" s="8">
        <f>'balance_raw_20213094'!$E$20</f>
        <v/>
      </c>
      <c r="F41" s="8">
        <f>'balance_raw_20213094'!$F$20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'balance_raw_20213094'!$B$21</f>
        <v/>
      </c>
      <c r="C42" s="5">
        <f>'balance_raw_20213094'!$C$21</f>
        <v/>
      </c>
      <c r="D42" s="5">
        <f>'balance_raw_20213094'!$D$21</f>
        <v/>
      </c>
      <c r="E42" s="5">
        <f>'balance_raw_20213094'!$E$21</f>
        <v/>
      </c>
      <c r="F42" s="5">
        <f>'balance_raw_20213094'!$F$21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'balance_raw_20213094'!$B$22</f>
        <v/>
      </c>
      <c r="C43" s="8">
        <f>'balance_raw_20213094'!$C$22</f>
        <v/>
      </c>
      <c r="D43" s="8">
        <f>'balance_raw_20213094'!$D$22</f>
        <v/>
      </c>
      <c r="E43" s="8">
        <f>'balance_raw_20213094'!$E$22</f>
        <v/>
      </c>
      <c r="F43" s="8">
        <f>'balance_raw_20213094'!$F$22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'balance_raw_20213094'!$B$23</f>
        <v/>
      </c>
      <c r="C44" s="5">
        <f>'balance_raw_20213094'!$C$23</f>
        <v/>
      </c>
      <c r="D44" s="5">
        <f>'balance_raw_20213094'!$D$23</f>
        <v/>
      </c>
      <c r="E44" s="5">
        <f>'balance_raw_20213094'!$E$23</f>
        <v/>
      </c>
      <c r="F44" s="5">
        <f>'balance_raw_20213094'!$F$23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'balance_raw_20213094'!$B$24</f>
        <v/>
      </c>
      <c r="C45" s="8">
        <f>'balance_raw_20213094'!$C$24</f>
        <v/>
      </c>
      <c r="D45" s="8">
        <f>'balance_raw_20213094'!$D$24</f>
        <v/>
      </c>
      <c r="E45" s="8">
        <f>'balance_raw_20213094'!$E$24</f>
        <v/>
      </c>
      <c r="F45" s="8">
        <f>'balance_raw_20213094'!$F$24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'balance_raw_20213094'!$B$25</f>
        <v/>
      </c>
      <c r="C46" s="5">
        <f>'balance_raw_20213094'!$C$25</f>
        <v/>
      </c>
      <c r="D46" s="5">
        <f>'balance_raw_20213094'!$D$25</f>
        <v/>
      </c>
      <c r="E46" s="5">
        <f>'balance_raw_20213094'!$E$25</f>
        <v/>
      </c>
      <c r="F46" s="5">
        <f>'balance_raw_20213094'!$F$25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'balance_raw_20213094'!$B$26</f>
        <v/>
      </c>
      <c r="C47" s="8">
        <f>'balance_raw_20213094'!$C$26</f>
        <v/>
      </c>
      <c r="D47" s="8">
        <f>'balance_raw_20213094'!$D$26</f>
        <v/>
      </c>
      <c r="E47" s="8">
        <f>'balance_raw_20213094'!$E$26</f>
        <v/>
      </c>
      <c r="F47" s="8">
        <f>'balance_raw_20213094'!$F$26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'balance_raw_20213094'!$B$27</f>
        <v/>
      </c>
      <c r="C48" s="11">
        <f>'balance_raw_20213094'!$C$27</f>
        <v/>
      </c>
      <c r="D48" s="11">
        <f>'balance_raw_20213094'!$D$27</f>
        <v/>
      </c>
      <c r="E48" s="11">
        <f>'balance_raw_20213094'!$E$27</f>
        <v/>
      </c>
      <c r="F48" s="11">
        <f>'balance_raw_20213094'!$F$27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'balance_raw_20213094'!$B$28</f>
        <v/>
      </c>
      <c r="C49" s="8">
        <f>'balance_raw_20213094'!$C$28</f>
        <v/>
      </c>
      <c r="D49" s="8">
        <f>'balance_raw_20213094'!$D$28</f>
        <v/>
      </c>
      <c r="E49" s="8">
        <f>'balance_raw_20213094'!$E$28</f>
        <v/>
      </c>
      <c r="F49" s="8">
        <f>'balance_raw_20213094'!$F$28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'balance_raw_20213094'!$B$29</f>
        <v/>
      </c>
      <c r="C50" s="5">
        <f>'balance_raw_20213094'!$C$29</f>
        <v/>
      </c>
      <c r="D50" s="5">
        <f>'balance_raw_20213094'!$D$29</f>
        <v/>
      </c>
      <c r="E50" s="5">
        <f>'balance_raw_20213094'!$E$29</f>
        <v/>
      </c>
      <c r="F50" s="5">
        <f>'balance_raw_20213094'!$F$29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'balance_raw_20213094'!$B$30</f>
        <v/>
      </c>
      <c r="C51" s="11">
        <f>'balance_raw_20213094'!$C$30</f>
        <v/>
      </c>
      <c r="D51" s="11">
        <f>'balance_raw_20213094'!$D$30</f>
        <v/>
      </c>
      <c r="E51" s="11">
        <f>'balance_raw_20213094'!$E$30</f>
        <v/>
      </c>
      <c r="F51" s="11">
        <f>'balance_raw_20213094'!$F$30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'balance_raw_20213094'!$B$31</f>
        <v/>
      </c>
      <c r="C52" s="11">
        <f>'balance_raw_20213094'!$C$31</f>
        <v/>
      </c>
      <c r="D52" s="11">
        <f>'balance_raw_20213094'!$D$31</f>
        <v/>
      </c>
      <c r="E52" s="11">
        <f>'balance_raw_20213094'!$E$31</f>
        <v/>
      </c>
      <c r="F52" s="11">
        <f>'balance_raw_20213094'!$F$31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'balance_raw_20213094'!$B$32</f>
        <v/>
      </c>
      <c r="C55" s="8">
        <f>'balance_raw_20213094'!$C$32</f>
        <v/>
      </c>
      <c r="D55" s="8">
        <f>'balance_raw_20213094'!$D$32</f>
        <v/>
      </c>
      <c r="E55" s="8">
        <f>'balance_raw_20213094'!$E$32</f>
        <v/>
      </c>
      <c r="F55" s="8">
        <f>'balance_raw_20213094'!$F$32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'balance_raw_20213094'!$B$33</f>
        <v/>
      </c>
      <c r="C56" s="5">
        <f>'balance_raw_20213094'!$C$33</f>
        <v/>
      </c>
      <c r="D56" s="5">
        <f>'balance_raw_20213094'!$D$33</f>
        <v/>
      </c>
      <c r="E56" s="5">
        <f>'balance_raw_20213094'!$E$33</f>
        <v/>
      </c>
      <c r="F56" s="5">
        <f>'balance_raw_20213094'!$F$33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'balance_raw_20213094'!$B$34</f>
        <v/>
      </c>
      <c r="C57" s="8">
        <f>'balance_raw_20213094'!$C$34</f>
        <v/>
      </c>
      <c r="D57" s="8">
        <f>'balance_raw_20213094'!$D$34</f>
        <v/>
      </c>
      <c r="E57" s="8">
        <f>'balance_raw_20213094'!$E$34</f>
        <v/>
      </c>
      <c r="F57" s="8">
        <f>'balance_raw_20213094'!$F$34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'balance_raw_20213094'!$B$35</f>
        <v/>
      </c>
      <c r="C58" s="5">
        <f>'balance_raw_20213094'!$C$35</f>
        <v/>
      </c>
      <c r="D58" s="5">
        <f>'balance_raw_20213094'!$D$35</f>
        <v/>
      </c>
      <c r="E58" s="5">
        <f>'balance_raw_20213094'!$E$35</f>
        <v/>
      </c>
      <c r="F58" s="5">
        <f>'balance_raw_20213094'!$F$35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'balance_raw_20213094'!$B$36</f>
        <v/>
      </c>
      <c r="C59" s="8">
        <f>'balance_raw_20213094'!$C$36</f>
        <v/>
      </c>
      <c r="D59" s="8">
        <f>'balance_raw_20213094'!$D$36</f>
        <v/>
      </c>
      <c r="E59" s="8">
        <f>'balance_raw_20213094'!$E$36</f>
        <v/>
      </c>
      <c r="F59" s="8">
        <f>'balance_raw_20213094'!$F$36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'balance_raw_20213094'!$B$37</f>
        <v/>
      </c>
      <c r="C60" s="5">
        <f>'balance_raw_20213094'!$C$37</f>
        <v/>
      </c>
      <c r="D60" s="5">
        <f>'balance_raw_20213094'!$D$37</f>
        <v/>
      </c>
      <c r="E60" s="5">
        <f>'balance_raw_20213094'!$E$37</f>
        <v/>
      </c>
      <c r="F60" s="5">
        <f>'balance_raw_20213094'!$F$37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'balance_raw_20213094'!$B$38</f>
        <v/>
      </c>
      <c r="C61" s="11">
        <f>'balance_raw_20213094'!$C$38</f>
        <v/>
      </c>
      <c r="D61" s="11">
        <f>'balance_raw_20213094'!$D$38</f>
        <v/>
      </c>
      <c r="E61" s="11">
        <f>'balance_raw_20213094'!$E$38</f>
        <v/>
      </c>
      <c r="F61" s="11">
        <f>'balance_raw_20213094'!$F$38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'balance_raw_20213094'!$B$39</f>
        <v/>
      </c>
      <c r="C62" s="11">
        <f>'balance_raw_20213094'!$C$39</f>
        <v/>
      </c>
      <c r="D62" s="11">
        <f>'balance_raw_20213094'!$D$39</f>
        <v/>
      </c>
      <c r="E62" s="11">
        <f>'balance_raw_20213094'!$E$39</f>
        <v/>
      </c>
      <c r="F62" s="11">
        <f>'balance_raw_20213094'!$F$39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'balance_raw_20213094'!$B$40</f>
        <v/>
      </c>
      <c r="C63" s="8">
        <f>'balance_raw_20213094'!$C$40</f>
        <v/>
      </c>
      <c r="D63" s="8">
        <f>'balance_raw_20213094'!$D$40</f>
        <v/>
      </c>
      <c r="E63" s="8">
        <f>'balance_raw_20213094'!$E$40</f>
        <v/>
      </c>
      <c r="F63" s="8">
        <f>'balance_raw_20213094'!$F$40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'balance_raw_20213094'!$B$41</f>
        <v/>
      </c>
      <c r="C64" s="5">
        <f>'balance_raw_20213094'!$C$41</f>
        <v/>
      </c>
      <c r="D64" s="5">
        <f>'balance_raw_20213094'!$D$41</f>
        <v/>
      </c>
      <c r="E64" s="5">
        <f>'balance_raw_20213094'!$E$41</f>
        <v/>
      </c>
      <c r="F64" s="5">
        <f>'balance_raw_20213094'!$F$41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'balance_raw_20213094'!$B$42</f>
        <v/>
      </c>
      <c r="C65" s="8">
        <f>'balance_raw_20213094'!$C$42</f>
        <v/>
      </c>
      <c r="D65" s="8">
        <f>'balance_raw_20213094'!$D$42</f>
        <v/>
      </c>
      <c r="E65" s="8">
        <f>'balance_raw_20213094'!$E$42</f>
        <v/>
      </c>
      <c r="F65" s="8">
        <f>'balance_raw_20213094'!$F$42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'balance_raw_20213094'!$B$43</f>
        <v/>
      </c>
      <c r="C66" s="5">
        <f>'balance_raw_20213094'!$C$43</f>
        <v/>
      </c>
      <c r="D66" s="5">
        <f>'balance_raw_20213094'!$D$43</f>
        <v/>
      </c>
      <c r="E66" s="5">
        <f>'balance_raw_20213094'!$E$43</f>
        <v/>
      </c>
      <c r="F66" s="5">
        <f>'balance_raw_20213094'!$F$43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'balance_raw_20213094'!$B$44</f>
        <v/>
      </c>
      <c r="C67" s="11">
        <f>'balance_raw_20213094'!$C$44</f>
        <v/>
      </c>
      <c r="D67" s="11">
        <f>'balance_raw_20213094'!$D$44</f>
        <v/>
      </c>
      <c r="E67" s="11">
        <f>'balance_raw_20213094'!$E$44</f>
        <v/>
      </c>
      <c r="F67" s="11">
        <f>'balance_raw_20213094'!$F$44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'balance_raw_20213094'!$B$45</f>
        <v/>
      </c>
      <c r="C68" s="5">
        <f>'balance_raw_20213094'!$C$45</f>
        <v/>
      </c>
      <c r="D68" s="5">
        <f>'balance_raw_20213094'!$D$45</f>
        <v/>
      </c>
      <c r="E68" s="5">
        <f>'balance_raw_20213094'!$E$45</f>
        <v/>
      </c>
      <c r="F68" s="5">
        <f>'balance_raw_20213094'!$F$45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'balance_raw_20213094'!$B$46</f>
        <v/>
      </c>
      <c r="C69" s="8">
        <f>'balance_raw_20213094'!$C$46</f>
        <v/>
      </c>
      <c r="D69" s="8">
        <f>'balance_raw_20213094'!$D$46</f>
        <v/>
      </c>
      <c r="E69" s="8">
        <f>'balance_raw_20213094'!$E$46</f>
        <v/>
      </c>
      <c r="F69" s="8">
        <f>'balance_raw_20213094'!$F$46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'balance_raw_20213094'!$B$47</f>
        <v/>
      </c>
      <c r="C70" s="5">
        <f>'balance_raw_20213094'!$C$47</f>
        <v/>
      </c>
      <c r="D70" s="5">
        <f>'balance_raw_20213094'!$D$47</f>
        <v/>
      </c>
      <c r="E70" s="5">
        <f>'balance_raw_20213094'!$E$47</f>
        <v/>
      </c>
      <c r="F70" s="5">
        <f>'balance_raw_20213094'!$F$47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'balance_raw_20213094'!$B$48</f>
        <v/>
      </c>
      <c r="C71" s="8">
        <f>'balance_raw_20213094'!$C$48</f>
        <v/>
      </c>
      <c r="D71" s="8">
        <f>'balance_raw_20213094'!$D$48</f>
        <v/>
      </c>
      <c r="E71" s="8">
        <f>'balance_raw_20213094'!$E$48</f>
        <v/>
      </c>
      <c r="F71" s="8">
        <f>'balance_raw_20213094'!$F$48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'balance_raw_20213094'!$B$49</f>
        <v/>
      </c>
      <c r="C72" s="5">
        <f>'balance_raw_20213094'!$C$49</f>
        <v/>
      </c>
      <c r="D72" s="5">
        <f>'balance_raw_20213094'!$D$49</f>
        <v/>
      </c>
      <c r="E72" s="5">
        <f>'balance_raw_20213094'!$E$49</f>
        <v/>
      </c>
      <c r="F72" s="5">
        <f>'balance_raw_20213094'!$F$49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'balance_raw_20213094'!$B$50</f>
        <v/>
      </c>
      <c r="C73" s="8">
        <f>'balance_raw_20213094'!$C$50</f>
        <v/>
      </c>
      <c r="D73" s="8">
        <f>'balance_raw_20213094'!$D$50</f>
        <v/>
      </c>
      <c r="E73" s="8">
        <f>'balance_raw_20213094'!$E$50</f>
        <v/>
      </c>
      <c r="F73" s="8">
        <f>'balance_raw_20213094'!$F$50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'balance_raw_20213094'!$B$51</f>
        <v/>
      </c>
      <c r="C74" s="5">
        <f>'balance_raw_20213094'!$C$51</f>
        <v/>
      </c>
      <c r="D74" s="5">
        <f>'balance_raw_20213094'!$D$51</f>
        <v/>
      </c>
      <c r="E74" s="5">
        <f>'balance_raw_20213094'!$E$51</f>
        <v/>
      </c>
      <c r="F74" s="5">
        <f>'balance_raw_20213094'!$F$51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'balance_raw_20213094'!$B$52</f>
        <v/>
      </c>
      <c r="C75" s="8">
        <f>'balance_raw_20213094'!$C$52</f>
        <v/>
      </c>
      <c r="D75" s="8">
        <f>'balance_raw_20213094'!$D$52</f>
        <v/>
      </c>
      <c r="E75" s="8">
        <f>'balance_raw_20213094'!$E$52</f>
        <v/>
      </c>
      <c r="F75" s="8">
        <f>'balance_raw_20213094'!$F$52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'balance_raw_20213094'!$B$53</f>
        <v/>
      </c>
      <c r="C76" s="5">
        <f>'balance_raw_20213094'!$C$53</f>
        <v/>
      </c>
      <c r="D76" s="5">
        <f>'balance_raw_20213094'!$D$53</f>
        <v/>
      </c>
      <c r="E76" s="5">
        <f>'balance_raw_20213094'!$E$53</f>
        <v/>
      </c>
      <c r="F76" s="5">
        <f>'balance_raw_20213094'!$F$53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'balance_raw_20213094'!$B$54</f>
        <v/>
      </c>
      <c r="C77" s="8">
        <f>'balance_raw_20213094'!$C$54</f>
        <v/>
      </c>
      <c r="D77" s="8">
        <f>'balance_raw_20213094'!$D$54</f>
        <v/>
      </c>
      <c r="E77" s="8">
        <f>'balance_raw_20213094'!$E$54</f>
        <v/>
      </c>
      <c r="F77" s="8">
        <f>'balance_raw_20213094'!$F$54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'balance_raw_20213094'!$B$55</f>
        <v/>
      </c>
      <c r="C78" s="5">
        <f>'balance_raw_20213094'!$C$55</f>
        <v/>
      </c>
      <c r="D78" s="5">
        <f>'balance_raw_20213094'!$D$55</f>
        <v/>
      </c>
      <c r="E78" s="5">
        <f>'balance_raw_20213094'!$E$55</f>
        <v/>
      </c>
      <c r="F78" s="5">
        <f>'balance_raw_20213094'!$F$55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'balance_raw_20213094'!$B$56</f>
        <v/>
      </c>
      <c r="C79" s="11">
        <f>'balance_raw_20213094'!$C$56</f>
        <v/>
      </c>
      <c r="D79" s="11">
        <f>'balance_raw_20213094'!$D$56</f>
        <v/>
      </c>
      <c r="E79" s="11">
        <f>'balance_raw_20213094'!$E$56</f>
        <v/>
      </c>
      <c r="F79" s="11">
        <f>'balance_raw_20213094'!$F$56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'balance_raw_20213094'!$B$57</f>
        <v/>
      </c>
      <c r="C80" s="11">
        <f>'balance_raw_20213094'!$C$57</f>
        <v/>
      </c>
      <c r="D80" s="11">
        <f>'balance_raw_20213094'!$D$57</f>
        <v/>
      </c>
      <c r="E80" s="11">
        <f>'balance_raw_20213094'!$E$57</f>
        <v/>
      </c>
      <c r="F80" s="11">
        <f>'balance_raw_20213094'!$F$57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'balance_raw_20213094'!$B$58</f>
        <v/>
      </c>
      <c r="C81" s="11">
        <f>'balance_raw_20213094'!$C$58</f>
        <v/>
      </c>
      <c r="D81" s="11">
        <f>'balance_raw_20213094'!$D$58</f>
        <v/>
      </c>
      <c r="E81" s="11">
        <f>'balance_raw_20213094'!$E$58</f>
        <v/>
      </c>
      <c r="F81" s="11">
        <f>'balance_raw_20213094'!$F$58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'res_raw_20213094'!$B$19</f>
        <v/>
      </c>
      <c r="C84" s="5">
        <f>'res_raw_20213094'!$C$19</f>
        <v/>
      </c>
      <c r="D84" s="5">
        <f>'res_raw_20213094'!$D$19</f>
        <v/>
      </c>
      <c r="E84" s="5">
        <f>'res_raw_20213094'!$E$19</f>
        <v/>
      </c>
      <c r="F84" s="5">
        <f>'res_raw_20213094'!$F$19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'res_raw_20213094'!$B$20</f>
        <v/>
      </c>
      <c r="C85" s="8">
        <f>'res_raw_20213094'!$C$20</f>
        <v/>
      </c>
      <c r="D85" s="8">
        <f>'res_raw_20213094'!$D$20</f>
        <v/>
      </c>
      <c r="E85" s="8">
        <f>'res_raw_20213094'!$E$20</f>
        <v/>
      </c>
      <c r="F85" s="8">
        <f>'res_raw_20213094'!$F$20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  <row r="100">
      <c r="A10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Lagkagehuset A/S (CVR 20213094)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905220</v>
      </c>
      <c r="C2" s="16" t="n">
        <v>1011785</v>
      </c>
      <c r="D2" s="16" t="n">
        <v>1068558</v>
      </c>
      <c r="E2" s="16" t="n">
        <v>1122500</v>
      </c>
      <c r="F2" s="16" t="n">
        <v>1229709</v>
      </c>
    </row>
    <row r="3">
      <c r="A3" s="15" t="inlineStr">
        <is>
          <t>Andre driftsindtægter</t>
        </is>
      </c>
      <c r="B3" s="16" t="n">
        <v>479</v>
      </c>
      <c r="C3" s="16" t="n">
        <v>0</v>
      </c>
      <c r="D3" s="16" t="n">
        <v>5</v>
      </c>
      <c r="E3" s="16" t="n">
        <v>692</v>
      </c>
      <c r="F3" s="16" t="n">
        <v>1251</v>
      </c>
    </row>
    <row r="4">
      <c r="A4" s="15" t="inlineStr">
        <is>
          <t>Vareforbrug</t>
        </is>
      </c>
      <c r="B4" s="16" t="n">
        <v>230582</v>
      </c>
      <c r="C4" s="16" t="n">
        <v>286918</v>
      </c>
      <c r="D4" s="16" t="n">
        <v>305211</v>
      </c>
      <c r="E4" s="16" t="n">
        <v>297030</v>
      </c>
      <c r="F4" s="16" t="n">
        <v>323718</v>
      </c>
    </row>
    <row r="5">
      <c r="A5" s="15" t="inlineStr">
        <is>
          <t>Andre eksterne omkostninger</t>
        </is>
      </c>
      <c r="B5" s="16" t="n">
        <v>265646</v>
      </c>
      <c r="C5" s="16" t="n">
        <v>316166</v>
      </c>
      <c r="D5" s="16" t="n">
        <v>315990</v>
      </c>
      <c r="E5" s="16" t="n">
        <v>325447</v>
      </c>
      <c r="F5" s="16" t="n">
        <v>342282</v>
      </c>
    </row>
    <row r="6">
      <c r="A6" s="17" t="inlineStr">
        <is>
          <t>Bruttoresultat</t>
        </is>
      </c>
      <c r="B6" s="16" t="n">
        <v>409471</v>
      </c>
      <c r="C6" s="16" t="n">
        <v>408701</v>
      </c>
      <c r="D6" s="16" t="n">
        <v>447362</v>
      </c>
      <c r="E6" s="16" t="n">
        <v>500715</v>
      </c>
      <c r="F6" s="16" t="n">
        <v>564960</v>
      </c>
    </row>
    <row r="7">
      <c r="A7" s="15" t="inlineStr">
        <is>
          <t>Personaleomkostninger</t>
        </is>
      </c>
      <c r="B7" s="16" t="n">
        <v>382891</v>
      </c>
      <c r="C7" s="16" t="n">
        <v>411274</v>
      </c>
      <c r="D7" s="16" t="n">
        <v>414647</v>
      </c>
      <c r="E7" s="16" t="n">
        <v>440567</v>
      </c>
      <c r="F7" s="16" t="n">
        <v>481947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72658</v>
      </c>
      <c r="C9" s="16" t="n">
        <v>73238</v>
      </c>
      <c r="D9" s="16" t="n">
        <v>74466</v>
      </c>
      <c r="E9" s="16" t="n">
        <v>67934</v>
      </c>
      <c r="F9" s="16" t="n">
        <v>65318</v>
      </c>
    </row>
    <row r="10">
      <c r="A10" s="15" t="inlineStr">
        <is>
          <t>Andre driftsomkostninger</t>
        </is>
      </c>
      <c r="B10" s="16" t="n">
        <v>26510</v>
      </c>
      <c r="C10" s="16" t="n">
        <v>65952</v>
      </c>
      <c r="D10" s="16" t="n">
        <v>87173</v>
      </c>
      <c r="E10" s="16" t="n">
        <v>73485</v>
      </c>
      <c r="F10" s="16" t="n">
        <v>42143</v>
      </c>
    </row>
    <row r="11">
      <c r="A11" s="17" t="inlineStr">
        <is>
          <t>Resultat af primær drift</t>
        </is>
      </c>
      <c r="B11" s="16" t="n">
        <v>-72588</v>
      </c>
      <c r="C11" s="16" t="n">
        <v>-141763</v>
      </c>
      <c r="D11" s="16" t="n">
        <v>-128924</v>
      </c>
      <c r="E11" s="16" t="n">
        <v>-81271</v>
      </c>
      <c r="F11" s="16" t="n">
        <v>-24448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12</v>
      </c>
      <c r="C13" s="16" t="n">
        <v>1005</v>
      </c>
      <c r="D13" s="16" t="n">
        <v>53</v>
      </c>
      <c r="E13" s="16" t="n">
        <v>153</v>
      </c>
      <c r="F13" s="16" t="n">
        <v>17398</v>
      </c>
    </row>
    <row r="14">
      <c r="A14" s="15" t="inlineStr">
        <is>
          <t>Finansielle omkostninger</t>
        </is>
      </c>
      <c r="B14" s="16" t="n">
        <v>11689</v>
      </c>
      <c r="C14" s="16" t="n">
        <v>7239</v>
      </c>
      <c r="D14" s="16" t="n">
        <v>13434</v>
      </c>
      <c r="E14" s="16" t="n">
        <v>26934</v>
      </c>
      <c r="F14" s="16" t="n">
        <v>23804</v>
      </c>
    </row>
    <row r="15">
      <c r="A15" s="17" t="inlineStr">
        <is>
          <t>Finansielle poster, netto</t>
        </is>
      </c>
      <c r="B15" s="16" t="n">
        <v>-11677</v>
      </c>
      <c r="C15" s="16" t="n">
        <v>-6234</v>
      </c>
      <c r="D15" s="16" t="n">
        <v>-13381</v>
      </c>
      <c r="E15" s="16" t="n">
        <v>-26781</v>
      </c>
      <c r="F15" s="16" t="n">
        <v>-6406</v>
      </c>
    </row>
    <row r="16">
      <c r="A16" s="17" t="inlineStr">
        <is>
          <t>Resultat før skat</t>
        </is>
      </c>
      <c r="B16" s="16" t="n">
        <v>-84265</v>
      </c>
      <c r="C16" s="16" t="n">
        <v>-147997</v>
      </c>
      <c r="D16" s="16" t="n">
        <v>-142305</v>
      </c>
      <c r="E16" s="16" t="n">
        <v>-108052</v>
      </c>
      <c r="F16" s="16" t="n">
        <v>-30854</v>
      </c>
    </row>
    <row r="17">
      <c r="A17" s="15" t="inlineStr">
        <is>
          <t>Skat af årets resultat</t>
        </is>
      </c>
      <c r="B17" s="16" t="n">
        <v>-1900</v>
      </c>
      <c r="C17" s="16" t="n">
        <v>-3123</v>
      </c>
      <c r="D17" s="16" t="n">
        <v>-5708</v>
      </c>
      <c r="E17" s="16" t="n">
        <v>-6167</v>
      </c>
      <c r="F17" s="16" t="n">
        <v>0</v>
      </c>
    </row>
    <row r="18">
      <c r="A18" s="17" t="inlineStr">
        <is>
          <t>Årets resultat</t>
        </is>
      </c>
      <c r="B18" s="16" t="n">
        <v>-82365</v>
      </c>
      <c r="C18" s="16" t="n">
        <v>-144874</v>
      </c>
      <c r="D18" s="16" t="n">
        <v>-136597</v>
      </c>
      <c r="E18" s="16" t="n">
        <v>-101885</v>
      </c>
      <c r="F18" s="16" t="n">
        <v>-30854</v>
      </c>
    </row>
    <row r="19">
      <c r="A19" s="15" t="inlineStr">
        <is>
          <t>Gns. antal medarbejdere</t>
        </is>
      </c>
      <c r="B19" s="16" t="n">
        <v>892</v>
      </c>
      <c r="C19" s="16" t="n">
        <v>932</v>
      </c>
      <c r="D19" s="16" t="n">
        <v>911</v>
      </c>
      <c r="E19" s="16" t="n">
        <v>917</v>
      </c>
      <c r="F19" s="16" t="n">
        <v>966</v>
      </c>
    </row>
    <row r="20">
      <c r="A20" s="15" t="inlineStr">
        <is>
          <t>Investering i materielle anlægsaktiver</t>
        </is>
      </c>
      <c r="B20" s="16" t="n">
        <v>34324</v>
      </c>
      <c r="C20" s="16" t="n">
        <v>49345</v>
      </c>
      <c r="D20" s="16" t="n">
        <v>27910</v>
      </c>
      <c r="E20" s="16" t="n">
        <v>15460</v>
      </c>
      <c r="F20" s="16" t="n">
        <v>51571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Lagkagehuset A/S (CVR 20213094)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28342</v>
      </c>
      <c r="C2" s="16" t="n">
        <v>41463</v>
      </c>
      <c r="D2" s="16" t="n">
        <v>43594</v>
      </c>
      <c r="E2" s="16" t="n">
        <v>37828</v>
      </c>
      <c r="F2" s="16" t="n">
        <v>37618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36061</v>
      </c>
      <c r="C4" s="16" t="n">
        <v>29085</v>
      </c>
      <c r="D4" s="16" t="n">
        <v>22352</v>
      </c>
      <c r="E4" s="16" t="n">
        <v>16562</v>
      </c>
      <c r="F4" s="16" t="n">
        <v>11517</v>
      </c>
    </row>
    <row r="5">
      <c r="A5" s="17" t="inlineStr">
        <is>
          <t>Immaterielle anlægsaktiver</t>
        </is>
      </c>
      <c r="B5" s="16" t="n">
        <v>64994</v>
      </c>
      <c r="C5" s="16" t="n">
        <v>70997</v>
      </c>
      <c r="D5" s="16" t="n">
        <v>66253</v>
      </c>
      <c r="E5" s="16" t="n">
        <v>54531</v>
      </c>
      <c r="F5" s="16" t="n">
        <v>49210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108420</v>
      </c>
      <c r="C7" s="16" t="n">
        <v>109953</v>
      </c>
      <c r="D7" s="16" t="n">
        <v>106784</v>
      </c>
      <c r="E7" s="16" t="n">
        <v>99944</v>
      </c>
      <c r="F7" s="16" t="n">
        <v>93874</v>
      </c>
    </row>
    <row r="8">
      <c r="A8" s="15" t="inlineStr">
        <is>
          <t>Driftsmateriel og inventar</t>
        </is>
      </c>
      <c r="B8" s="16" t="n">
        <v>29029</v>
      </c>
      <c r="C8" s="16" t="n">
        <v>26652</v>
      </c>
      <c r="D8" s="16" t="n">
        <v>20655</v>
      </c>
      <c r="E8" s="16" t="n">
        <v>14356</v>
      </c>
      <c r="F8" s="16" t="n">
        <v>13292</v>
      </c>
    </row>
    <row r="9">
      <c r="A9" s="15" t="inlineStr">
        <is>
          <t>Indretning af lejede lokaler</t>
        </is>
      </c>
      <c r="B9" s="16" t="n">
        <v>161726</v>
      </c>
      <c r="C9" s="16" t="n">
        <v>151060</v>
      </c>
      <c r="D9" s="16" t="n">
        <v>130610</v>
      </c>
      <c r="E9" s="16" t="n">
        <v>106424</v>
      </c>
      <c r="F9" s="16" t="n">
        <v>87433</v>
      </c>
    </row>
    <row r="10">
      <c r="A10" s="15" t="inlineStr">
        <is>
          <t>Forudbetaling og anlægsaktiver under opførelse</t>
        </is>
      </c>
      <c r="B10" s="16" t="n">
        <v>528</v>
      </c>
      <c r="C10" s="16" t="n">
        <v>552</v>
      </c>
      <c r="D10" s="16" t="n">
        <v>646</v>
      </c>
      <c r="E10" s="16" t="n">
        <v>1380</v>
      </c>
      <c r="F10" s="16" t="n">
        <v>9003</v>
      </c>
    </row>
    <row r="11">
      <c r="A11" s="17" t="inlineStr">
        <is>
          <t>Materielle anlægsaktiver</t>
        </is>
      </c>
      <c r="B11" s="16" t="n">
        <v>299703</v>
      </c>
      <c r="C11" s="16" t="n">
        <v>288217</v>
      </c>
      <c r="D11" s="16" t="n">
        <v>258695</v>
      </c>
      <c r="E11" s="16" t="n">
        <v>222104</v>
      </c>
      <c r="F11" s="16" t="n">
        <v>203602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7121</v>
      </c>
      <c r="C13" s="16" t="n">
        <v>7330</v>
      </c>
      <c r="D13" s="16" t="n">
        <v>7987</v>
      </c>
      <c r="E13" s="16" t="n">
        <v>7716</v>
      </c>
      <c r="F13" s="16" t="n">
        <v>7115</v>
      </c>
    </row>
    <row r="14">
      <c r="A14" s="17" t="inlineStr">
        <is>
          <t>Finansielle anlægsaktiver</t>
        </is>
      </c>
      <c r="B14" s="16" t="n">
        <v>7121</v>
      </c>
      <c r="C14" s="16" t="n">
        <v>7330</v>
      </c>
      <c r="D14" s="16" t="n">
        <v>7987</v>
      </c>
      <c r="E14" s="16" t="n">
        <v>7716</v>
      </c>
      <c r="F14" s="16" t="n">
        <v>7115</v>
      </c>
    </row>
    <row r="15">
      <c r="A15" s="17" t="inlineStr">
        <is>
          <t>Anlægsaktiver</t>
        </is>
      </c>
      <c r="B15" s="16" t="n">
        <v>371818</v>
      </c>
      <c r="C15" s="16" t="n">
        <v>366544</v>
      </c>
      <c r="D15" s="16" t="n">
        <v>332935</v>
      </c>
      <c r="E15" s="16" t="n">
        <v>284351</v>
      </c>
      <c r="F15" s="16" t="n">
        <v>259927</v>
      </c>
    </row>
    <row r="16">
      <c r="A16" s="15" t="inlineStr">
        <is>
          <t>Råvarer og hjælpematerialer</t>
        </is>
      </c>
      <c r="B16" s="16" t="n">
        <v>14690</v>
      </c>
      <c r="C16" s="16" t="n">
        <v>19638</v>
      </c>
      <c r="D16" s="16" t="n">
        <v>21033</v>
      </c>
      <c r="E16" s="16" t="n">
        <v>20527</v>
      </c>
      <c r="F16" s="16" t="n">
        <v>22131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305</v>
      </c>
      <c r="C18" s="16" t="n">
        <v>1303</v>
      </c>
      <c r="D18" s="16" t="n">
        <v>1371</v>
      </c>
      <c r="E18" s="16" t="n">
        <v>1338</v>
      </c>
      <c r="F18" s="16" t="n">
        <v>1192</v>
      </c>
    </row>
    <row r="19">
      <c r="A19" s="17" t="inlineStr">
        <is>
          <t>Varebeholdninger</t>
        </is>
      </c>
      <c r="B19" s="16" t="n">
        <v>14995</v>
      </c>
      <c r="C19" s="16" t="n">
        <v>20941</v>
      </c>
      <c r="D19" s="16" t="n">
        <v>22404</v>
      </c>
      <c r="E19" s="16" t="n">
        <v>21865</v>
      </c>
      <c r="F19" s="16" t="n">
        <v>23323</v>
      </c>
    </row>
    <row r="20">
      <c r="A20" s="15" t="inlineStr">
        <is>
          <t>Tilgodehavender fra salg og tjenesteydelser</t>
        </is>
      </c>
      <c r="B20" s="16" t="n">
        <v>5090</v>
      </c>
      <c r="C20" s="16" t="n">
        <v>6692</v>
      </c>
      <c r="D20" s="16" t="n">
        <v>6649</v>
      </c>
      <c r="E20" s="16" t="n">
        <v>9469</v>
      </c>
      <c r="F20" s="16" t="n">
        <v>13250</v>
      </c>
    </row>
    <row r="21">
      <c r="A21" s="15" t="inlineStr">
        <is>
          <t>Tilgodehavender hos tilknyttede virksomheder</t>
        </is>
      </c>
      <c r="B21" s="16" t="n"/>
      <c r="C21" s="16" t="n"/>
      <c r="D21" s="16" t="n">
        <v>3233</v>
      </c>
      <c r="E21" s="16" t="n">
        <v>13567</v>
      </c>
      <c r="F21" s="16" t="n">
        <v>26079</v>
      </c>
    </row>
    <row r="22">
      <c r="A22" s="15" t="inlineStr">
        <is>
          <t>Andre tilgodehavender</t>
        </is>
      </c>
      <c r="B22" s="16" t="n">
        <v>10608</v>
      </c>
      <c r="C22" s="16" t="n">
        <v>11616</v>
      </c>
      <c r="D22" s="16" t="n">
        <v>8388</v>
      </c>
      <c r="E22" s="16" t="n">
        <v>6672</v>
      </c>
      <c r="F22" s="16" t="n">
        <v>23143</v>
      </c>
    </row>
    <row r="23">
      <c r="A23" s="15" t="inlineStr">
        <is>
          <t>Periodeafgrænsningsposter (aktiver)</t>
        </is>
      </c>
      <c r="B23" s="16" t="n">
        <v>7482</v>
      </c>
      <c r="C23" s="16" t="n">
        <v>9645</v>
      </c>
      <c r="D23" s="16" t="n">
        <v>8966</v>
      </c>
      <c r="E23" s="16" t="n">
        <v>13405</v>
      </c>
      <c r="F23" s="16" t="n">
        <v>11076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1900</v>
      </c>
      <c r="C26" s="16" t="n">
        <v>3123</v>
      </c>
      <c r="D26" s="16" t="n">
        <v>5708</v>
      </c>
      <c r="E26" s="16" t="n">
        <v>6167</v>
      </c>
      <c r="F26" s="16" t="n">
        <v>0</v>
      </c>
    </row>
    <row r="27">
      <c r="A27" s="17" t="inlineStr">
        <is>
          <t>Tilgodehavender</t>
        </is>
      </c>
      <c r="B27" s="16" t="n">
        <v>25080</v>
      </c>
      <c r="C27" s="16" t="n">
        <v>31076</v>
      </c>
      <c r="D27" s="16" t="n">
        <v>32944</v>
      </c>
      <c r="E27" s="16" t="n">
        <v>49280</v>
      </c>
      <c r="F27" s="16" t="n">
        <v>73548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134487</v>
      </c>
      <c r="C29" s="16" t="n">
        <v>207218</v>
      </c>
      <c r="D29" s="16" t="n">
        <v>239200</v>
      </c>
      <c r="E29" s="16" t="n">
        <v>234571</v>
      </c>
      <c r="F29" s="16" t="n">
        <v>236146</v>
      </c>
    </row>
    <row r="30">
      <c r="A30" s="17" t="inlineStr">
        <is>
          <t>Omsætningsaktiver</t>
        </is>
      </c>
      <c r="B30" s="16" t="n">
        <v>174562</v>
      </c>
      <c r="C30" s="16" t="n">
        <v>259235</v>
      </c>
      <c r="D30" s="16" t="n">
        <v>294548</v>
      </c>
      <c r="E30" s="16" t="n">
        <v>305716</v>
      </c>
      <c r="F30" s="16" t="n">
        <v>333017</v>
      </c>
    </row>
    <row r="31">
      <c r="A31" s="17" t="inlineStr">
        <is>
          <t>Aktiver</t>
        </is>
      </c>
      <c r="B31" s="16" t="n">
        <v>546380</v>
      </c>
      <c r="C31" s="16" t="n">
        <v>625779</v>
      </c>
      <c r="D31" s="16" t="n">
        <v>627483</v>
      </c>
      <c r="E31" s="16" t="n">
        <v>590067</v>
      </c>
      <c r="F31" s="16" t="n">
        <v>592944</v>
      </c>
    </row>
    <row r="32">
      <c r="A32" s="15" t="inlineStr">
        <is>
          <t>Selskabskapital</t>
        </is>
      </c>
      <c r="B32" s="16" t="n">
        <v>1041</v>
      </c>
      <c r="C32" s="16" t="n">
        <v>1079</v>
      </c>
      <c r="D32" s="16" t="n">
        <v>1079</v>
      </c>
      <c r="E32" s="16" t="n">
        <v>1079</v>
      </c>
      <c r="F32" s="16" t="n">
        <v>1079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22106</v>
      </c>
      <c r="C34" s="16" t="n">
        <v>32340</v>
      </c>
      <c r="D34" s="16" t="n">
        <v>34001</v>
      </c>
      <c r="E34" s="16" t="n">
        <v>29760</v>
      </c>
      <c r="F34" s="16" t="n">
        <v>29341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213253</v>
      </c>
      <c r="C37" s="16" t="n">
        <v>258105</v>
      </c>
      <c r="D37" s="16" t="n">
        <v>169847</v>
      </c>
      <c r="E37" s="16" t="n">
        <v>72203</v>
      </c>
      <c r="F37" s="16" t="n">
        <v>166768</v>
      </c>
    </row>
    <row r="38">
      <c r="A38" s="17" t="inlineStr">
        <is>
          <t>Egenkapital i alt</t>
        </is>
      </c>
      <c r="B38" s="16" t="n">
        <v>236400</v>
      </c>
      <c r="C38" s="16" t="n">
        <v>291524</v>
      </c>
      <c r="D38" s="16" t="n">
        <v>204927</v>
      </c>
      <c r="E38" s="16" t="n">
        <v>103042</v>
      </c>
      <c r="F38" s="16" t="n">
        <v>197188</v>
      </c>
    </row>
    <row r="39">
      <c r="A39" s="17" t="inlineStr">
        <is>
          <t>Hensatte forpligtelser</t>
        </is>
      </c>
      <c r="B39" s="16" t="n">
        <v>24374</v>
      </c>
      <c r="C39" s="16" t="n">
        <v>13756</v>
      </c>
      <c r="D39" s="16" t="n">
        <v>13756</v>
      </c>
      <c r="E39" s="16" t="n">
        <v>13151</v>
      </c>
      <c r="F39" s="16" t="n">
        <v>13349</v>
      </c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(langfristet)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Anden gæld (langfristet)</t>
        </is>
      </c>
      <c r="B43" s="16" t="n">
        <v>67459</v>
      </c>
      <c r="C43" s="16" t="n">
        <v>55260</v>
      </c>
      <c r="D43" s="16" t="n"/>
      <c r="E43" s="16" t="n"/>
      <c r="F43" s="16" t="n"/>
    </row>
    <row r="44">
      <c r="A44" s="17" t="inlineStr">
        <is>
          <t>Langfristede gældsforpligtelser</t>
        </is>
      </c>
      <c r="B44" s="16" t="n">
        <v>67459</v>
      </c>
      <c r="C44" s="16" t="n">
        <v>55260</v>
      </c>
      <c r="D44" s="16" t="n">
        <v>51877</v>
      </c>
      <c r="E44" s="16" t="n">
        <v>49963</v>
      </c>
      <c r="F44" s="16" t="n">
        <v>48796</v>
      </c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>
        <v>2615</v>
      </c>
      <c r="C46" s="16" t="n">
        <v>5024</v>
      </c>
      <c r="D46" s="16" t="n">
        <v>2959</v>
      </c>
      <c r="E46" s="16" t="n">
        <v>2812</v>
      </c>
      <c r="F46" s="16" t="n">
        <v>2580</v>
      </c>
    </row>
    <row r="47">
      <c r="A47" s="15" t="inlineStr">
        <is>
          <t>Kreditinstitutter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Leasingforpligtelser (kortfristet)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119104</v>
      </c>
      <c r="C49" s="16" t="n">
        <v>126363</v>
      </c>
      <c r="D49" s="16" t="n">
        <v>139195</v>
      </c>
      <c r="E49" s="16" t="n">
        <v>123671</v>
      </c>
      <c r="F49" s="16" t="n">
        <v>135236</v>
      </c>
    </row>
    <row r="50">
      <c r="A50" s="15" t="inlineStr">
        <is>
          <t>Gæld til tilknyttede virksomheder</t>
        </is>
      </c>
      <c r="B50" s="16" t="n">
        <v>27028</v>
      </c>
      <c r="C50" s="16" t="n">
        <v>64902</v>
      </c>
      <c r="D50" s="16" t="n">
        <v>140876</v>
      </c>
      <c r="E50" s="16" t="n">
        <v>234579</v>
      </c>
      <c r="F50" s="16" t="n">
        <v>121157</v>
      </c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Gæld til tilknyttede virksomheder vedr. 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Anden gæld (kortfristet)</t>
        </is>
      </c>
      <c r="B54" s="16" t="n">
        <v>59036</v>
      </c>
      <c r="C54" s="16" t="n">
        <v>60083</v>
      </c>
      <c r="D54" s="16" t="n">
        <v>65879</v>
      </c>
      <c r="E54" s="16" t="n">
        <v>55869</v>
      </c>
      <c r="F54" s="16" t="n">
        <v>66130</v>
      </c>
    </row>
    <row r="55">
      <c r="A55" s="15" t="inlineStr">
        <is>
          <t>Periodeafgrænsningsposter (passiver)</t>
        </is>
      </c>
      <c r="B55" s="16" t="n">
        <v>10364</v>
      </c>
      <c r="C55" s="16" t="n">
        <v>8867</v>
      </c>
      <c r="D55" s="16" t="n">
        <v>8014</v>
      </c>
      <c r="E55" s="16" t="n">
        <v>6980</v>
      </c>
      <c r="F55" s="16" t="n">
        <v>8508</v>
      </c>
    </row>
    <row r="56">
      <c r="A56" s="17" t="inlineStr">
        <is>
          <t>Kortfristede gældsforpligtelser</t>
        </is>
      </c>
      <c r="B56" s="16" t="n">
        <v>218147</v>
      </c>
      <c r="C56" s="16" t="n">
        <v>265239</v>
      </c>
      <c r="D56" s="16" t="n">
        <v>356923</v>
      </c>
      <c r="E56" s="16" t="n">
        <v>423911</v>
      </c>
      <c r="F56" s="16" t="n">
        <v>333611</v>
      </c>
    </row>
    <row r="57">
      <c r="A57" s="17" t="inlineStr">
        <is>
          <t>Gældsforpligtelser</t>
        </is>
      </c>
      <c r="B57" s="16" t="n">
        <v>285606</v>
      </c>
      <c r="C57" s="16" t="n">
        <v>320499</v>
      </c>
      <c r="D57" s="16" t="n">
        <v>408800</v>
      </c>
      <c r="E57" s="16" t="n">
        <v>473874</v>
      </c>
      <c r="F57" s="16" t="n">
        <v>382407</v>
      </c>
    </row>
    <row r="58">
      <c r="A58" s="17" t="inlineStr">
        <is>
          <t>Passiver</t>
        </is>
      </c>
      <c r="B58" s="16" t="n">
        <v>546380</v>
      </c>
      <c r="C58" s="16" t="n">
        <v>625779</v>
      </c>
      <c r="D58" s="16" t="n">
        <v>627483</v>
      </c>
      <c r="E58" s="16" t="n">
        <v>590067</v>
      </c>
      <c r="F58" s="16" t="n">
        <v>592944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Lagkagehuset A/S (CVR 20213094) — Regnskabs- og nøgletal (CVR: 20213094)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'res_raw_20213094'!$F$2</f>
        <v/>
      </c>
      <c r="C5" s="24">
        <f>'res_raw_20213094'!$E$2</f>
        <v/>
      </c>
      <c r="D5" s="24">
        <f>'res_raw_20213094'!$D$2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'res_raw_20213094'!$F$3</f>
        <v/>
      </c>
      <c r="C6" s="24">
        <f>'res_raw_20213094'!$E$3</f>
        <v/>
      </c>
      <c r="D6" s="24">
        <f>'res_raw_20213094'!$D$3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-'res_raw_20213094'!$F$4</f>
        <v/>
      </c>
      <c r="C7" s="24">
        <f>-'res_raw_20213094'!$E$4</f>
        <v/>
      </c>
      <c r="D7" s="24">
        <f>-'res_raw_20213094'!$D$4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-'res_raw_20213094'!$F$5</f>
        <v/>
      </c>
      <c r="C8" s="24">
        <f>-'res_raw_20213094'!$E$5</f>
        <v/>
      </c>
      <c r="D8" s="24">
        <f>-'res_raw_20213094'!$D$5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-'res_raw_20213094'!$F$7</f>
        <v/>
      </c>
      <c r="C10" s="24">
        <f>-'res_raw_20213094'!$E$7</f>
        <v/>
      </c>
      <c r="D10" s="24">
        <f>-'res_raw_20213094'!$D$7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-'res_raw_20213094'!$F$9</f>
        <v/>
      </c>
      <c r="C11" s="24">
        <f>-'res_raw_20213094'!$E$9</f>
        <v/>
      </c>
      <c r="D11" s="24">
        <f>-'res_raw_20213094'!$D$9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-'res_raw_20213094'!$F$10</f>
        <v/>
      </c>
      <c r="C12" s="24">
        <f>-'res_raw_20213094'!$E$10</f>
        <v/>
      </c>
      <c r="D12" s="24">
        <f>-'res_raw_20213094'!$D$10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N('res_raw_20213094'!$F$12)+N('res_raw_20213094'!$F$13)</f>
        <v/>
      </c>
      <c r="C14" s="24">
        <f>N('res_raw_20213094'!$E$12)+N('res_raw_20213094'!$E$13)</f>
        <v/>
      </c>
      <c r="D14" s="24">
        <f>N('res_raw_20213094'!$D$12)+N('res_raw_20213094'!$D$13)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-'res_raw_20213094'!$F$14</f>
        <v/>
      </c>
      <c r="C15" s="24">
        <f>-'res_raw_20213094'!$E$14</f>
        <v/>
      </c>
      <c r="D15" s="24">
        <f>-'res_raw_20213094'!$D$14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'balance_raw_20213094'!$F$15</f>
        <v/>
      </c>
      <c r="C19" s="24">
        <f>'balance_raw_20213094'!$E$15</f>
        <v/>
      </c>
      <c r="D19" s="24">
        <f>'balance_raw_20213094'!$D$15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'balance_raw_20213094'!$F$30</f>
        <v/>
      </c>
      <c r="C20" s="24">
        <f>'balance_raw_20213094'!$E$30</f>
        <v/>
      </c>
      <c r="D20" s="24">
        <f>'balance_raw_20213094'!$D$30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'balance_raw_20213094'!$F$38</f>
        <v/>
      </c>
      <c r="C23" s="24">
        <f>'balance_raw_20213094'!$E$38</f>
        <v/>
      </c>
      <c r="D23" s="24">
        <f>'balance_raw_20213094'!$D$38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'balance_raw_20213094'!$F$58-'balance_raw_20213094'!$F$38</f>
        <v/>
      </c>
      <c r="C24" s="24">
        <f>'balance_raw_20213094'!$E$58-'balance_raw_20213094'!$E$38</f>
        <v/>
      </c>
      <c r="D24" s="24">
        <f>'balance_raw_20213094'!$D$58-'balance_raw_20213094'!$D$38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'balance_raw_20213094'!$F$19</f>
        <v/>
      </c>
      <c r="C28" s="24">
        <f>'balance_raw_20213094'!$E$19</f>
        <v/>
      </c>
      <c r="D28" s="24">
        <f>'balance_raw_20213094'!$D$19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'balance_raw_20213094'!$F$20</f>
        <v/>
      </c>
      <c r="C29" s="24">
        <f>'balance_raw_20213094'!$E$20</f>
        <v/>
      </c>
      <c r="D29" s="24">
        <f>'balance_raw_20213094'!$D$20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'balance_raw_20213094'!$F$56</f>
        <v/>
      </c>
      <c r="C30" s="24">
        <f>'balance_raw_20213094'!$E$56</f>
        <v/>
      </c>
      <c r="D30" s="24">
        <f>'balance_raw_20213094'!$D$56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IF('balance_raw_20213094'!$F$31="","—",IF(ABS(B21-'balance_raw_20213094'!$F$31)&lt;=1,"✓ OK","❌ "&amp;TEXT(B21-'balance_raw_20213094'!$F$31,"+#,##0;-#,##0")&amp;" t.kr."))</f>
        <v/>
      </c>
      <c r="C61" s="29">
        <f>IF('balance_raw_20213094'!$E$31="","—",IF(ABS(C21-'balance_raw_20213094'!$E$31)&lt;=1,"✓ OK","❌ "&amp;TEXT(C21-'balance_raw_20213094'!$E$31,"+#,##0;-#,##0")&amp;" t.kr."))</f>
        <v/>
      </c>
      <c r="D61" s="29">
        <f>IF('balance_raw_20213094'!$D$31="","—",IF(ABS(D21-'balance_raw_20213094'!$D$31)&lt;=1,"✓ OK","❌ "&amp;TEXT(D21-'balance_raw_20213094'!$D$31,"+#,##0;-#,##0")&amp;"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IF('balance_raw_20213094'!$F$58="","—",IF(ABS(B25-'balance_raw_20213094'!$F$58)&lt;=1,"✓ OK","❌ "&amp;TEXT(B25-'balance_raw_20213094'!$F$58,"+#,##0;-#,##0")&amp;" t.kr."))</f>
        <v/>
      </c>
      <c r="C62" s="29">
        <f>IF('balance_raw_20213094'!$E$58="","—",IF(ABS(C25-'balance_raw_20213094'!$E$58)&lt;=1,"✓ OK","❌ "&amp;TEXT(C25-'balance_raw_20213094'!$E$58,"+#,##0;-#,##0")&amp;" t.kr."))</f>
        <v/>
      </c>
      <c r="D62" s="29">
        <f>IF('balance_raw_20213094'!$D$58="","—",IF(ABS(D25-'balance_raw_20213094'!$D$58)&lt;=1,"✓ OK","❌ "&amp;TEXT(D25-'balance_raw_20213094'!$D$58,"+#,##0;-#,##0")&amp;"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IF('res_raw_20213094'!$F$6="","—",IF(ABS(B9-'res_raw_20213094'!$F$6)&lt;=1,"✓ OK","❌ "&amp;TEXT(B9-'res_raw_20213094'!$F$6,"+#,##0;-#,##0")&amp;" t.kr."))</f>
        <v/>
      </c>
      <c r="C64" s="29">
        <f>IF('res_raw_20213094'!$E$6="","—",IF(ABS(C9-'res_raw_20213094'!$E$6)&lt;=1,"✓ OK","❌ "&amp;TEXT(C9-'res_raw_20213094'!$E$6,"+#,##0;-#,##0")&amp;" t.kr."))</f>
        <v/>
      </c>
      <c r="D64" s="29">
        <f>IF('res_raw_20213094'!$D$6="","—",IF(ABS(D9-'res_raw_20213094'!$D$6)&lt;=1,"✓ OK","❌ "&amp;TEXT(D9-'res_raw_20213094'!$D$6,"+#,##0;-#,##0")&amp;"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IF('res_raw_20213094'!$F$11="","—",IF(ABS(B13-'res_raw_20213094'!$F$11)&lt;=1,"✓ OK","❌ "&amp;TEXT(B13-'res_raw_20213094'!$F$11,"+#,##0;-#,##0")&amp;" t.kr."))</f>
        <v/>
      </c>
      <c r="C65" s="29">
        <f>IF('res_raw_20213094'!$E$11="","—",IF(ABS(C13-'res_raw_20213094'!$E$11)&lt;=1,"✓ OK","❌ "&amp;TEXT(C13-'res_raw_20213094'!$E$11,"+#,##0;-#,##0")&amp;" t.kr."))</f>
        <v/>
      </c>
      <c r="D65" s="29">
        <f>IF('res_raw_20213094'!$D$11="","—",IF(ABS(D13-'res_raw_20213094'!$D$11)&lt;=1,"✓ OK","❌ "&amp;TEXT(D13-'res_raw_20213094'!$D$11,"+#,##0;-#,##0")&amp;"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IF('res_raw_20213094'!$F$16="","—",IF(ABS(B16-'res_raw_20213094'!$F$16)&lt;=1,"✓ OK","❌ "&amp;TEXT(B16-'res_raw_20213094'!$F$16,"+#,##0;-#,##0")&amp;" t.kr."))</f>
        <v/>
      </c>
      <c r="C66" s="29">
        <f>IF('res_raw_20213094'!$E$16="","—",IF(ABS(C16-'res_raw_20213094'!$E$16)&lt;=1,"✓ OK","❌ "&amp;TEXT(C16-'res_raw_20213094'!$E$16,"+#,##0;-#,##0")&amp;" t.kr."))</f>
        <v/>
      </c>
      <c r="D66" s="29">
        <f>IF('res_raw_20213094'!$D$16="","—",IF(ABS(D16-'res_raw_20213094'!$D$16)&lt;=1,"✓ OK","❌ "&amp;TEXT(D16-'res_raw_20213094'!$D$16,"+#,##0;-#,##0")&amp;"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Lagkagehuset A/S (CVR 20213094)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fsa:EmployeeExpensesTransferredToAssets</t>
        </is>
      </c>
      <c r="C3" s="34" t="inlineStr">
        <is>
          <t>fsa:EmployeeExpensesTransferredToAssets</t>
        </is>
      </c>
      <c r="D3" s="35" t="n">
        <v>1457</v>
      </c>
      <c r="E3" s="35" t="n">
        <v>4625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fsa:SharePremium</t>
        </is>
      </c>
      <c r="C4" s="37" t="inlineStr">
        <is>
          <t>fsa:SharePremium</t>
        </is>
      </c>
      <c r="D4" s="38" t="n"/>
      <c r="E4" s="38" t="n">
        <v>0</v>
      </c>
      <c r="F4" s="38" t="n">
        <v>0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fsa:TransferredToFromOtherStatutoryReserves</t>
        </is>
      </c>
      <c r="C5" s="34" t="inlineStr">
        <is>
          <t>fsa:TransferredToFromOtherStatutoryReserves</t>
        </is>
      </c>
      <c r="D5" s="35" t="n"/>
      <c r="E5" s="35" t="n"/>
      <c r="F5" s="35" t="n">
        <v>1661</v>
      </c>
      <c r="G5" s="35" t="n">
        <v>-4241</v>
      </c>
      <c r="H5" s="35" t="n">
        <v>-419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2026-09-11T07:37:06Z</dcterms:created>
  <dcterms:modified xmlns:dcterms="http://purl.org/dc/terms/" xmlns:xsi="http://www.w3.org/2001/XMLSchema-instance" xsi:type="dcterms:W3CDTF">2026-09-11T07:37:07Z</dcterms:modified>
</cp:coreProperties>
</file>