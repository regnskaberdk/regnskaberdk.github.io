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864100" sheetId="1" state="visible" r:id="rId1"/>
    <sheet xmlns:r="http://schemas.openxmlformats.org/officeDocument/2006/relationships" name="res_raw_26864100" sheetId="2" state="visible" r:id="rId2"/>
    <sheet xmlns:r="http://schemas.openxmlformats.org/officeDocument/2006/relationships" name="balance_raw_26864100" sheetId="3" state="visible" r:id="rId3"/>
    <sheet xmlns:r="http://schemas.openxmlformats.org/officeDocument/2006/relationships" name="pengestrom_raw_26864100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XL-BYG a.m.b.a. (CVR 26864100)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'res_raw_26864100'!$B$2</f>
        <v/>
      </c>
      <c r="C4" s="5">
        <f>'res_raw_26864100'!$C$2</f>
        <v/>
      </c>
      <c r="D4" s="5">
        <f>'res_raw_26864100'!$D$2</f>
        <v/>
      </c>
      <c r="E4" s="5">
        <f>'res_raw_26864100'!$E$2</f>
        <v/>
      </c>
      <c r="F4" s="5">
        <f>'res_raw_26864100'!$F$2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'res_raw_26864100'!$B$3</f>
        <v/>
      </c>
      <c r="C5" s="8">
        <f>'res_raw_26864100'!$C$3</f>
        <v/>
      </c>
      <c r="D5" s="8">
        <f>'res_raw_26864100'!$D$3</f>
        <v/>
      </c>
      <c r="E5" s="8">
        <f>'res_raw_26864100'!$E$3</f>
        <v/>
      </c>
      <c r="F5" s="8">
        <f>'res_raw_26864100'!$F$3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'res_raw_26864100'!$B$4</f>
        <v/>
      </c>
      <c r="C6" s="5">
        <f>'res_raw_26864100'!$C$4</f>
        <v/>
      </c>
      <c r="D6" s="5">
        <f>'res_raw_26864100'!$D$4</f>
        <v/>
      </c>
      <c r="E6" s="5">
        <f>'res_raw_26864100'!$E$4</f>
        <v/>
      </c>
      <c r="F6" s="5">
        <f>'res_raw_26864100'!$F$4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'res_raw_26864100'!$B$5</f>
        <v/>
      </c>
      <c r="C7" s="8">
        <f>'res_raw_26864100'!$C$5</f>
        <v/>
      </c>
      <c r="D7" s="8">
        <f>'res_raw_26864100'!$D$5</f>
        <v/>
      </c>
      <c r="E7" s="8">
        <f>'res_raw_26864100'!$E$5</f>
        <v/>
      </c>
      <c r="F7" s="8">
        <f>'res_raw_26864100'!$F$5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'res_raw_26864100'!$B$6</f>
        <v/>
      </c>
      <c r="C8" s="11">
        <f>'res_raw_26864100'!$C$6</f>
        <v/>
      </c>
      <c r="D8" s="11">
        <f>'res_raw_26864100'!$D$6</f>
        <v/>
      </c>
      <c r="E8" s="11">
        <f>'res_raw_26864100'!$E$6</f>
        <v/>
      </c>
      <c r="F8" s="11">
        <f>'res_raw_26864100'!$F$6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'res_raw_26864100'!$B$7</f>
        <v/>
      </c>
      <c r="C9" s="8">
        <f>'res_raw_26864100'!$C$7</f>
        <v/>
      </c>
      <c r="D9" s="8">
        <f>'res_raw_26864100'!$D$7</f>
        <v/>
      </c>
      <c r="E9" s="8">
        <f>'res_raw_26864100'!$E$7</f>
        <v/>
      </c>
      <c r="F9" s="8">
        <f>'res_raw_26864100'!$F$7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'res_raw_26864100'!$B$9</f>
        <v/>
      </c>
      <c r="C11" s="8">
        <f>'res_raw_26864100'!$C$9</f>
        <v/>
      </c>
      <c r="D11" s="8">
        <f>'res_raw_26864100'!$D$9</f>
        <v/>
      </c>
      <c r="E11" s="8">
        <f>'res_raw_26864100'!$E$9</f>
        <v/>
      </c>
      <c r="F11" s="8">
        <f>'res_raw_26864100'!$F$9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'res_raw_26864100'!$B$10</f>
        <v/>
      </c>
      <c r="C12" s="5">
        <f>'res_raw_26864100'!$C$10</f>
        <v/>
      </c>
      <c r="D12" s="5">
        <f>'res_raw_26864100'!$D$10</f>
        <v/>
      </c>
      <c r="E12" s="5">
        <f>'res_raw_26864100'!$E$10</f>
        <v/>
      </c>
      <c r="F12" s="5">
        <f>'res_raw_26864100'!$F$10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'res_raw_26864100'!$B$11</f>
        <v/>
      </c>
      <c r="C13" s="11">
        <f>'res_raw_26864100'!$C$11</f>
        <v/>
      </c>
      <c r="D13" s="11">
        <f>'res_raw_26864100'!$D$11</f>
        <v/>
      </c>
      <c r="E13" s="11">
        <f>'res_raw_26864100'!$E$11</f>
        <v/>
      </c>
      <c r="F13" s="11">
        <f>'res_raw_26864100'!$F$11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'res_raw_26864100'!$B$12</f>
        <v/>
      </c>
      <c r="C14" s="5">
        <f>'res_raw_26864100'!$C$12</f>
        <v/>
      </c>
      <c r="D14" s="5">
        <f>'res_raw_26864100'!$D$12</f>
        <v/>
      </c>
      <c r="E14" s="5">
        <f>'res_raw_26864100'!$E$12</f>
        <v/>
      </c>
      <c r="F14" s="5">
        <f>'res_raw_26864100'!$F$12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'res_raw_26864100'!$B$13</f>
        <v/>
      </c>
      <c r="C15" s="8">
        <f>'res_raw_26864100'!$C$13</f>
        <v/>
      </c>
      <c r="D15" s="8">
        <f>'res_raw_26864100'!$D$13</f>
        <v/>
      </c>
      <c r="E15" s="8">
        <f>'res_raw_26864100'!$E$13</f>
        <v/>
      </c>
      <c r="F15" s="8">
        <f>'res_raw_26864100'!$F$13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'res_raw_26864100'!$B$14</f>
        <v/>
      </c>
      <c r="C16" s="5">
        <f>'res_raw_26864100'!$C$14</f>
        <v/>
      </c>
      <c r="D16" s="5">
        <f>'res_raw_26864100'!$D$14</f>
        <v/>
      </c>
      <c r="E16" s="5">
        <f>'res_raw_26864100'!$E$14</f>
        <v/>
      </c>
      <c r="F16" s="5">
        <f>'res_raw_26864100'!$F$14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'res_raw_26864100'!$B$15</f>
        <v/>
      </c>
      <c r="C17" s="11">
        <f>'res_raw_26864100'!$C$15</f>
        <v/>
      </c>
      <c r="D17" s="11">
        <f>'res_raw_26864100'!$D$15</f>
        <v/>
      </c>
      <c r="E17" s="11">
        <f>'res_raw_26864100'!$E$15</f>
        <v/>
      </c>
      <c r="F17" s="11">
        <f>'res_raw_26864100'!$F$15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'res_raw_26864100'!$B$16</f>
        <v/>
      </c>
      <c r="C18" s="11">
        <f>'res_raw_26864100'!$C$16</f>
        <v/>
      </c>
      <c r="D18" s="11">
        <f>'res_raw_26864100'!$D$16</f>
        <v/>
      </c>
      <c r="E18" s="11">
        <f>'res_raw_26864100'!$E$16</f>
        <v/>
      </c>
      <c r="F18" s="11">
        <f>'res_raw_26864100'!$F$16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'res_raw_26864100'!$B$17</f>
        <v/>
      </c>
      <c r="C19" s="8">
        <f>'res_raw_26864100'!$C$17</f>
        <v/>
      </c>
      <c r="D19" s="8">
        <f>'res_raw_26864100'!$D$17</f>
        <v/>
      </c>
      <c r="E19" s="8">
        <f>'res_raw_26864100'!$E$17</f>
        <v/>
      </c>
      <c r="F19" s="8">
        <f>'res_raw_26864100'!$F$17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'res_raw_26864100'!$B$18</f>
        <v/>
      </c>
      <c r="C20" s="11">
        <f>'res_raw_26864100'!$C$18</f>
        <v/>
      </c>
      <c r="D20" s="11">
        <f>'res_raw_26864100'!$D$18</f>
        <v/>
      </c>
      <c r="E20" s="11">
        <f>'res_raw_26864100'!$E$18</f>
        <v/>
      </c>
      <c r="F20" s="11">
        <f>'res_raw_26864100'!$F$18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'balance_raw_26864100'!$B$2</f>
        <v/>
      </c>
      <c r="C23" s="8">
        <f>'balance_raw_26864100'!$C$2</f>
        <v/>
      </c>
      <c r="D23" s="8">
        <f>'balance_raw_26864100'!$D$2</f>
        <v/>
      </c>
      <c r="E23" s="8">
        <f>'balance_raw_26864100'!$E$2</f>
        <v/>
      </c>
      <c r="F23" s="8">
        <f>'balance_raw_26864100'!$F$2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'balance_raw_26864100'!$B$3</f>
        <v/>
      </c>
      <c r="C24" s="5">
        <f>'balance_raw_26864100'!$C$3</f>
        <v/>
      </c>
      <c r="D24" s="5">
        <f>'balance_raw_26864100'!$D$3</f>
        <v/>
      </c>
      <c r="E24" s="5">
        <f>'balance_raw_26864100'!$E$3</f>
        <v/>
      </c>
      <c r="F24" s="5">
        <f>'balance_raw_26864100'!$F$3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'balance_raw_26864100'!$B$4</f>
        <v/>
      </c>
      <c r="C25" s="8">
        <f>'balance_raw_26864100'!$C$4</f>
        <v/>
      </c>
      <c r="D25" s="8">
        <f>'balance_raw_26864100'!$D$4</f>
        <v/>
      </c>
      <c r="E25" s="8">
        <f>'balance_raw_26864100'!$E$4</f>
        <v/>
      </c>
      <c r="F25" s="8">
        <f>'balance_raw_26864100'!$F$4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'balance_raw_26864100'!$B$5</f>
        <v/>
      </c>
      <c r="C26" s="11">
        <f>'balance_raw_26864100'!$C$5</f>
        <v/>
      </c>
      <c r="D26" s="11">
        <f>'balance_raw_26864100'!$D$5</f>
        <v/>
      </c>
      <c r="E26" s="11">
        <f>'balance_raw_26864100'!$E$5</f>
        <v/>
      </c>
      <c r="F26" s="11">
        <f>'balance_raw_26864100'!$F$5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'balance_raw_26864100'!$B$6</f>
        <v/>
      </c>
      <c r="C27" s="8">
        <f>'balance_raw_26864100'!$C$6</f>
        <v/>
      </c>
      <c r="D27" s="8">
        <f>'balance_raw_26864100'!$D$6</f>
        <v/>
      </c>
      <c r="E27" s="8">
        <f>'balance_raw_26864100'!$E$6</f>
        <v/>
      </c>
      <c r="F27" s="8">
        <f>'balance_raw_26864100'!$F$6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'balance_raw_26864100'!$B$7</f>
        <v/>
      </c>
      <c r="C28" s="5">
        <f>'balance_raw_26864100'!$C$7</f>
        <v/>
      </c>
      <c r="D28" s="5">
        <f>'balance_raw_26864100'!$D$7</f>
        <v/>
      </c>
      <c r="E28" s="5">
        <f>'balance_raw_26864100'!$E$7</f>
        <v/>
      </c>
      <c r="F28" s="5">
        <f>'balance_raw_26864100'!$F$7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'balance_raw_26864100'!$B$8</f>
        <v/>
      </c>
      <c r="C29" s="8">
        <f>'balance_raw_26864100'!$C$8</f>
        <v/>
      </c>
      <c r="D29" s="8">
        <f>'balance_raw_26864100'!$D$8</f>
        <v/>
      </c>
      <c r="E29" s="8">
        <f>'balance_raw_26864100'!$E$8</f>
        <v/>
      </c>
      <c r="F29" s="8">
        <f>'balance_raw_26864100'!$F$8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'balance_raw_26864100'!$B$9</f>
        <v/>
      </c>
      <c r="C30" s="5">
        <f>'balance_raw_26864100'!$C$9</f>
        <v/>
      </c>
      <c r="D30" s="5">
        <f>'balance_raw_26864100'!$D$9</f>
        <v/>
      </c>
      <c r="E30" s="5">
        <f>'balance_raw_26864100'!$E$9</f>
        <v/>
      </c>
      <c r="F30" s="5">
        <f>'balance_raw_26864100'!$F$9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'balance_raw_26864100'!$B$10</f>
        <v/>
      </c>
      <c r="C31" s="8">
        <f>'balance_raw_26864100'!$C$10</f>
        <v/>
      </c>
      <c r="D31" s="8">
        <f>'balance_raw_26864100'!$D$10</f>
        <v/>
      </c>
      <c r="E31" s="8">
        <f>'balance_raw_26864100'!$E$10</f>
        <v/>
      </c>
      <c r="F31" s="8">
        <f>'balance_raw_26864100'!$F$10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'balance_raw_26864100'!$B$11</f>
        <v/>
      </c>
      <c r="C32" s="11">
        <f>'balance_raw_26864100'!$C$11</f>
        <v/>
      </c>
      <c r="D32" s="11">
        <f>'balance_raw_26864100'!$D$11</f>
        <v/>
      </c>
      <c r="E32" s="11">
        <f>'balance_raw_26864100'!$E$11</f>
        <v/>
      </c>
      <c r="F32" s="11">
        <f>'balance_raw_26864100'!$F$11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'balance_raw_26864100'!$B$12</f>
        <v/>
      </c>
      <c r="C33" s="8">
        <f>'balance_raw_26864100'!$C$12</f>
        <v/>
      </c>
      <c r="D33" s="8">
        <f>'balance_raw_26864100'!$D$12</f>
        <v/>
      </c>
      <c r="E33" s="8">
        <f>'balance_raw_26864100'!$E$12</f>
        <v/>
      </c>
      <c r="F33" s="8">
        <f>'balance_raw_26864100'!$F$12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'balance_raw_26864100'!$B$13</f>
        <v/>
      </c>
      <c r="C34" s="5">
        <f>'balance_raw_26864100'!$C$13</f>
        <v/>
      </c>
      <c r="D34" s="5">
        <f>'balance_raw_26864100'!$D$13</f>
        <v/>
      </c>
      <c r="E34" s="5">
        <f>'balance_raw_26864100'!$E$13</f>
        <v/>
      </c>
      <c r="F34" s="5">
        <f>'balance_raw_26864100'!$F$13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'balance_raw_26864100'!$B$14</f>
        <v/>
      </c>
      <c r="C35" s="11">
        <f>'balance_raw_26864100'!$C$14</f>
        <v/>
      </c>
      <c r="D35" s="11">
        <f>'balance_raw_26864100'!$D$14</f>
        <v/>
      </c>
      <c r="E35" s="11">
        <f>'balance_raw_26864100'!$E$14</f>
        <v/>
      </c>
      <c r="F35" s="11">
        <f>'balance_raw_26864100'!$F$14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'balance_raw_26864100'!$B$15</f>
        <v/>
      </c>
      <c r="C36" s="11">
        <f>'balance_raw_26864100'!$C$15</f>
        <v/>
      </c>
      <c r="D36" s="11">
        <f>'balance_raw_26864100'!$D$15</f>
        <v/>
      </c>
      <c r="E36" s="11">
        <f>'balance_raw_26864100'!$E$15</f>
        <v/>
      </c>
      <c r="F36" s="11">
        <f>'balance_raw_26864100'!$F$15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'balance_raw_26864100'!$B$16</f>
        <v/>
      </c>
      <c r="C37" s="8">
        <f>'balance_raw_26864100'!$C$16</f>
        <v/>
      </c>
      <c r="D37" s="8">
        <f>'balance_raw_26864100'!$D$16</f>
        <v/>
      </c>
      <c r="E37" s="8">
        <f>'balance_raw_26864100'!$E$16</f>
        <v/>
      </c>
      <c r="F37" s="8">
        <f>'balance_raw_26864100'!$F$16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'balance_raw_26864100'!$B$17</f>
        <v/>
      </c>
      <c r="C38" s="5">
        <f>'balance_raw_26864100'!$C$17</f>
        <v/>
      </c>
      <c r="D38" s="5">
        <f>'balance_raw_26864100'!$D$17</f>
        <v/>
      </c>
      <c r="E38" s="5">
        <f>'balance_raw_26864100'!$E$17</f>
        <v/>
      </c>
      <c r="F38" s="5">
        <f>'balance_raw_26864100'!$F$17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'balance_raw_26864100'!$B$18</f>
        <v/>
      </c>
      <c r="C39" s="8">
        <f>'balance_raw_26864100'!$C$18</f>
        <v/>
      </c>
      <c r="D39" s="8">
        <f>'balance_raw_26864100'!$D$18</f>
        <v/>
      </c>
      <c r="E39" s="8">
        <f>'balance_raw_26864100'!$E$18</f>
        <v/>
      </c>
      <c r="F39" s="8">
        <f>'balance_raw_26864100'!$F$18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'balance_raw_26864100'!$B$19</f>
        <v/>
      </c>
      <c r="C40" s="11">
        <f>'balance_raw_26864100'!$C$19</f>
        <v/>
      </c>
      <c r="D40" s="11">
        <f>'balance_raw_26864100'!$D$19</f>
        <v/>
      </c>
      <c r="E40" s="11">
        <f>'balance_raw_26864100'!$E$19</f>
        <v/>
      </c>
      <c r="F40" s="11">
        <f>'balance_raw_26864100'!$F$19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'balance_raw_26864100'!$B$20</f>
        <v/>
      </c>
      <c r="C41" s="8">
        <f>'balance_raw_26864100'!$C$20</f>
        <v/>
      </c>
      <c r="D41" s="8">
        <f>'balance_raw_26864100'!$D$20</f>
        <v/>
      </c>
      <c r="E41" s="8">
        <f>'balance_raw_26864100'!$E$20</f>
        <v/>
      </c>
      <c r="F41" s="8">
        <f>'balance_raw_26864100'!$F$20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'balance_raw_26864100'!$B$21</f>
        <v/>
      </c>
      <c r="C42" s="5">
        <f>'balance_raw_26864100'!$C$21</f>
        <v/>
      </c>
      <c r="D42" s="5">
        <f>'balance_raw_26864100'!$D$21</f>
        <v/>
      </c>
      <c r="E42" s="5">
        <f>'balance_raw_26864100'!$E$21</f>
        <v/>
      </c>
      <c r="F42" s="5">
        <f>'balance_raw_26864100'!$F$21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'balance_raw_26864100'!$B$22</f>
        <v/>
      </c>
      <c r="C43" s="8">
        <f>'balance_raw_26864100'!$C$22</f>
        <v/>
      </c>
      <c r="D43" s="8">
        <f>'balance_raw_26864100'!$D$22</f>
        <v/>
      </c>
      <c r="E43" s="8">
        <f>'balance_raw_26864100'!$E$22</f>
        <v/>
      </c>
      <c r="F43" s="8">
        <f>'balance_raw_26864100'!$F$22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'balance_raw_26864100'!$B$23</f>
        <v/>
      </c>
      <c r="C44" s="5">
        <f>'balance_raw_26864100'!$C$23</f>
        <v/>
      </c>
      <c r="D44" s="5">
        <f>'balance_raw_26864100'!$D$23</f>
        <v/>
      </c>
      <c r="E44" s="5">
        <f>'balance_raw_26864100'!$E$23</f>
        <v/>
      </c>
      <c r="F44" s="5">
        <f>'balance_raw_26864100'!$F$23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'balance_raw_26864100'!$B$24</f>
        <v/>
      </c>
      <c r="C45" s="8">
        <f>'balance_raw_26864100'!$C$24</f>
        <v/>
      </c>
      <c r="D45" s="8">
        <f>'balance_raw_26864100'!$D$24</f>
        <v/>
      </c>
      <c r="E45" s="8">
        <f>'balance_raw_26864100'!$E$24</f>
        <v/>
      </c>
      <c r="F45" s="8">
        <f>'balance_raw_26864100'!$F$24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'balance_raw_26864100'!$B$25</f>
        <v/>
      </c>
      <c r="C46" s="5">
        <f>'balance_raw_26864100'!$C$25</f>
        <v/>
      </c>
      <c r="D46" s="5">
        <f>'balance_raw_26864100'!$D$25</f>
        <v/>
      </c>
      <c r="E46" s="5">
        <f>'balance_raw_26864100'!$E$25</f>
        <v/>
      </c>
      <c r="F46" s="5">
        <f>'balance_raw_26864100'!$F$25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'balance_raw_26864100'!$B$26</f>
        <v/>
      </c>
      <c r="C47" s="8">
        <f>'balance_raw_26864100'!$C$26</f>
        <v/>
      </c>
      <c r="D47" s="8">
        <f>'balance_raw_26864100'!$D$26</f>
        <v/>
      </c>
      <c r="E47" s="8">
        <f>'balance_raw_26864100'!$E$26</f>
        <v/>
      </c>
      <c r="F47" s="8">
        <f>'balance_raw_26864100'!$F$26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'balance_raw_26864100'!$B$27</f>
        <v/>
      </c>
      <c r="C48" s="11">
        <f>'balance_raw_26864100'!$C$27</f>
        <v/>
      </c>
      <c r="D48" s="11">
        <f>'balance_raw_26864100'!$D$27</f>
        <v/>
      </c>
      <c r="E48" s="11">
        <f>'balance_raw_26864100'!$E$27</f>
        <v/>
      </c>
      <c r="F48" s="11">
        <f>'balance_raw_26864100'!$F$27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'balance_raw_26864100'!$B$28</f>
        <v/>
      </c>
      <c r="C49" s="8">
        <f>'balance_raw_26864100'!$C$28</f>
        <v/>
      </c>
      <c r="D49" s="8">
        <f>'balance_raw_26864100'!$D$28</f>
        <v/>
      </c>
      <c r="E49" s="8">
        <f>'balance_raw_26864100'!$E$28</f>
        <v/>
      </c>
      <c r="F49" s="8">
        <f>'balance_raw_26864100'!$F$28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'balance_raw_26864100'!$B$29</f>
        <v/>
      </c>
      <c r="C50" s="5">
        <f>'balance_raw_26864100'!$C$29</f>
        <v/>
      </c>
      <c r="D50" s="5">
        <f>'balance_raw_26864100'!$D$29</f>
        <v/>
      </c>
      <c r="E50" s="5">
        <f>'balance_raw_26864100'!$E$29</f>
        <v/>
      </c>
      <c r="F50" s="5">
        <f>'balance_raw_26864100'!$F$29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'balance_raw_26864100'!$B$30</f>
        <v/>
      </c>
      <c r="C51" s="11">
        <f>'balance_raw_26864100'!$C$30</f>
        <v/>
      </c>
      <c r="D51" s="11">
        <f>'balance_raw_26864100'!$D$30</f>
        <v/>
      </c>
      <c r="E51" s="11">
        <f>'balance_raw_26864100'!$E$30</f>
        <v/>
      </c>
      <c r="F51" s="11">
        <f>'balance_raw_26864100'!$F$30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'balance_raw_26864100'!$B$31</f>
        <v/>
      </c>
      <c r="C52" s="11">
        <f>'balance_raw_26864100'!$C$31</f>
        <v/>
      </c>
      <c r="D52" s="11">
        <f>'balance_raw_26864100'!$D$31</f>
        <v/>
      </c>
      <c r="E52" s="11">
        <f>'balance_raw_26864100'!$E$31</f>
        <v/>
      </c>
      <c r="F52" s="11">
        <f>'balance_raw_26864100'!$F$31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'balance_raw_26864100'!$B$32</f>
        <v/>
      </c>
      <c r="C55" s="8">
        <f>'balance_raw_26864100'!$C$32</f>
        <v/>
      </c>
      <c r="D55" s="8">
        <f>'balance_raw_26864100'!$D$32</f>
        <v/>
      </c>
      <c r="E55" s="8">
        <f>'balance_raw_26864100'!$E$32</f>
        <v/>
      </c>
      <c r="F55" s="8">
        <f>'balance_raw_26864100'!$F$32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'balance_raw_26864100'!$B$33</f>
        <v/>
      </c>
      <c r="C56" s="5">
        <f>'balance_raw_26864100'!$C$33</f>
        <v/>
      </c>
      <c r="D56" s="5">
        <f>'balance_raw_26864100'!$D$33</f>
        <v/>
      </c>
      <c r="E56" s="5">
        <f>'balance_raw_26864100'!$E$33</f>
        <v/>
      </c>
      <c r="F56" s="5">
        <f>'balance_raw_26864100'!$F$33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'balance_raw_26864100'!$B$34</f>
        <v/>
      </c>
      <c r="C57" s="8">
        <f>'balance_raw_26864100'!$C$34</f>
        <v/>
      </c>
      <c r="D57" s="8">
        <f>'balance_raw_26864100'!$D$34</f>
        <v/>
      </c>
      <c r="E57" s="8">
        <f>'balance_raw_26864100'!$E$34</f>
        <v/>
      </c>
      <c r="F57" s="8">
        <f>'balance_raw_26864100'!$F$34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'balance_raw_26864100'!$B$35</f>
        <v/>
      </c>
      <c r="C58" s="5">
        <f>'balance_raw_26864100'!$C$35</f>
        <v/>
      </c>
      <c r="D58" s="5">
        <f>'balance_raw_26864100'!$D$35</f>
        <v/>
      </c>
      <c r="E58" s="5">
        <f>'balance_raw_26864100'!$E$35</f>
        <v/>
      </c>
      <c r="F58" s="5">
        <f>'balance_raw_26864100'!$F$35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'balance_raw_26864100'!$B$36</f>
        <v/>
      </c>
      <c r="C59" s="8">
        <f>'balance_raw_26864100'!$C$36</f>
        <v/>
      </c>
      <c r="D59" s="8">
        <f>'balance_raw_26864100'!$D$36</f>
        <v/>
      </c>
      <c r="E59" s="8">
        <f>'balance_raw_26864100'!$E$36</f>
        <v/>
      </c>
      <c r="F59" s="8">
        <f>'balance_raw_26864100'!$F$36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'balance_raw_26864100'!$B$37</f>
        <v/>
      </c>
      <c r="C60" s="5">
        <f>'balance_raw_26864100'!$C$37</f>
        <v/>
      </c>
      <c r="D60" s="5">
        <f>'balance_raw_26864100'!$D$37</f>
        <v/>
      </c>
      <c r="E60" s="5">
        <f>'balance_raw_26864100'!$E$37</f>
        <v/>
      </c>
      <c r="F60" s="5">
        <f>'balance_raw_26864100'!$F$37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'balance_raw_26864100'!$B$38</f>
        <v/>
      </c>
      <c r="C61" s="11">
        <f>'balance_raw_26864100'!$C$38</f>
        <v/>
      </c>
      <c r="D61" s="11">
        <f>'balance_raw_26864100'!$D$38</f>
        <v/>
      </c>
      <c r="E61" s="11">
        <f>'balance_raw_26864100'!$E$38</f>
        <v/>
      </c>
      <c r="F61" s="11">
        <f>'balance_raw_26864100'!$F$38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'balance_raw_26864100'!$B$39</f>
        <v/>
      </c>
      <c r="C62" s="11">
        <f>'balance_raw_26864100'!$C$39</f>
        <v/>
      </c>
      <c r="D62" s="11">
        <f>'balance_raw_26864100'!$D$39</f>
        <v/>
      </c>
      <c r="E62" s="11">
        <f>'balance_raw_26864100'!$E$39</f>
        <v/>
      </c>
      <c r="F62" s="11">
        <f>'balance_raw_26864100'!$F$39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'balance_raw_26864100'!$B$40</f>
        <v/>
      </c>
      <c r="C63" s="8">
        <f>'balance_raw_26864100'!$C$40</f>
        <v/>
      </c>
      <c r="D63" s="8">
        <f>'balance_raw_26864100'!$D$40</f>
        <v/>
      </c>
      <c r="E63" s="8">
        <f>'balance_raw_26864100'!$E$40</f>
        <v/>
      </c>
      <c r="F63" s="8">
        <f>'balance_raw_26864100'!$F$40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'balance_raw_26864100'!$B$41</f>
        <v/>
      </c>
      <c r="C64" s="5">
        <f>'balance_raw_26864100'!$C$41</f>
        <v/>
      </c>
      <c r="D64" s="5">
        <f>'balance_raw_26864100'!$D$41</f>
        <v/>
      </c>
      <c r="E64" s="5">
        <f>'balance_raw_26864100'!$E$41</f>
        <v/>
      </c>
      <c r="F64" s="5">
        <f>'balance_raw_26864100'!$F$41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'balance_raw_26864100'!$B$42</f>
        <v/>
      </c>
      <c r="C65" s="8">
        <f>'balance_raw_26864100'!$C$42</f>
        <v/>
      </c>
      <c r="D65" s="8">
        <f>'balance_raw_26864100'!$D$42</f>
        <v/>
      </c>
      <c r="E65" s="8">
        <f>'balance_raw_26864100'!$E$42</f>
        <v/>
      </c>
      <c r="F65" s="8">
        <f>'balance_raw_26864100'!$F$42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'balance_raw_26864100'!$B$43</f>
        <v/>
      </c>
      <c r="C66" s="5">
        <f>'balance_raw_26864100'!$C$43</f>
        <v/>
      </c>
      <c r="D66" s="5">
        <f>'balance_raw_26864100'!$D$43</f>
        <v/>
      </c>
      <c r="E66" s="5">
        <f>'balance_raw_26864100'!$E$43</f>
        <v/>
      </c>
      <c r="F66" s="5">
        <f>'balance_raw_26864100'!$F$43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'balance_raw_26864100'!$B$44</f>
        <v/>
      </c>
      <c r="C67" s="8">
        <f>'balance_raw_26864100'!$C$44</f>
        <v/>
      </c>
      <c r="D67" s="8">
        <f>'balance_raw_26864100'!$D$44</f>
        <v/>
      </c>
      <c r="E67" s="8">
        <f>'balance_raw_26864100'!$E$44</f>
        <v/>
      </c>
      <c r="F67" s="8">
        <f>'balance_raw_26864100'!$F$44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'balance_raw_26864100'!$B$45</f>
        <v/>
      </c>
      <c r="C68" s="5">
        <f>'balance_raw_26864100'!$C$45</f>
        <v/>
      </c>
      <c r="D68" s="5">
        <f>'balance_raw_26864100'!$D$45</f>
        <v/>
      </c>
      <c r="E68" s="5">
        <f>'balance_raw_26864100'!$E$45</f>
        <v/>
      </c>
      <c r="F68" s="5">
        <f>'balance_raw_26864100'!$F$45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'balance_raw_26864100'!$B$46</f>
        <v/>
      </c>
      <c r="C69" s="8">
        <f>'balance_raw_26864100'!$C$46</f>
        <v/>
      </c>
      <c r="D69" s="8">
        <f>'balance_raw_26864100'!$D$46</f>
        <v/>
      </c>
      <c r="E69" s="8">
        <f>'balance_raw_26864100'!$E$46</f>
        <v/>
      </c>
      <c r="F69" s="8">
        <f>'balance_raw_26864100'!$F$46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'balance_raw_26864100'!$B$47</f>
        <v/>
      </c>
      <c r="C70" s="5">
        <f>'balance_raw_26864100'!$C$47</f>
        <v/>
      </c>
      <c r="D70" s="5">
        <f>'balance_raw_26864100'!$D$47</f>
        <v/>
      </c>
      <c r="E70" s="5">
        <f>'balance_raw_26864100'!$E$47</f>
        <v/>
      </c>
      <c r="F70" s="5">
        <f>'balance_raw_26864100'!$F$47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'balance_raw_26864100'!$B$48</f>
        <v/>
      </c>
      <c r="C71" s="8">
        <f>'balance_raw_26864100'!$C$48</f>
        <v/>
      </c>
      <c r="D71" s="8">
        <f>'balance_raw_26864100'!$D$48</f>
        <v/>
      </c>
      <c r="E71" s="8">
        <f>'balance_raw_26864100'!$E$48</f>
        <v/>
      </c>
      <c r="F71" s="8">
        <f>'balance_raw_26864100'!$F$48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'balance_raw_26864100'!$B$49</f>
        <v/>
      </c>
      <c r="C72" s="5">
        <f>'balance_raw_26864100'!$C$49</f>
        <v/>
      </c>
      <c r="D72" s="5">
        <f>'balance_raw_26864100'!$D$49</f>
        <v/>
      </c>
      <c r="E72" s="5">
        <f>'balance_raw_26864100'!$E$49</f>
        <v/>
      </c>
      <c r="F72" s="5">
        <f>'balance_raw_26864100'!$F$49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'balance_raw_26864100'!$B$50</f>
        <v/>
      </c>
      <c r="C73" s="8">
        <f>'balance_raw_26864100'!$C$50</f>
        <v/>
      </c>
      <c r="D73" s="8">
        <f>'balance_raw_26864100'!$D$50</f>
        <v/>
      </c>
      <c r="E73" s="8">
        <f>'balance_raw_26864100'!$E$50</f>
        <v/>
      </c>
      <c r="F73" s="8">
        <f>'balance_raw_26864100'!$F$50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'balance_raw_26864100'!$B$51</f>
        <v/>
      </c>
      <c r="C74" s="11">
        <f>'balance_raw_26864100'!$C$51</f>
        <v/>
      </c>
      <c r="D74" s="11">
        <f>'balance_raw_26864100'!$D$51</f>
        <v/>
      </c>
      <c r="E74" s="11">
        <f>'balance_raw_26864100'!$E$51</f>
        <v/>
      </c>
      <c r="F74" s="11">
        <f>'balance_raw_26864100'!$F$51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'balance_raw_26864100'!$B$52</f>
        <v/>
      </c>
      <c r="C75" s="11">
        <f>'balance_raw_26864100'!$C$52</f>
        <v/>
      </c>
      <c r="D75" s="11">
        <f>'balance_raw_26864100'!$D$52</f>
        <v/>
      </c>
      <c r="E75" s="11">
        <f>'balance_raw_26864100'!$E$52</f>
        <v/>
      </c>
      <c r="F75" s="11">
        <f>'balance_raw_26864100'!$F$52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'balance_raw_26864100'!$B$53</f>
        <v/>
      </c>
      <c r="C76" s="11">
        <f>'balance_raw_26864100'!$C$53</f>
        <v/>
      </c>
      <c r="D76" s="11">
        <f>'balance_raw_26864100'!$D$53</f>
        <v/>
      </c>
      <c r="E76" s="11">
        <f>'balance_raw_26864100'!$E$53</f>
        <v/>
      </c>
      <c r="F76" s="11">
        <f>'balance_raw_26864100'!$F$53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Gns. antal medarbejdere</t>
        </is>
      </c>
      <c r="B79" s="8">
        <f>'res_raw_26864100'!$B$19</f>
        <v/>
      </c>
      <c r="C79" s="8">
        <f>'res_raw_26864100'!$C$19</f>
        <v/>
      </c>
      <c r="D79" s="8">
        <f>'res_raw_26864100'!$D$19</f>
        <v/>
      </c>
      <c r="E79" s="8">
        <f>'res_raw_26864100'!$E$19</f>
        <v/>
      </c>
      <c r="F79" s="8">
        <f>'res_raw_26864100'!$F$19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'res_raw_26864100'!$B$20</f>
        <v/>
      </c>
      <c r="C80" s="5">
        <f>'res_raw_26864100'!$C$20</f>
        <v/>
      </c>
      <c r="D80" s="5">
        <f>'res_raw_26864100'!$D$20</f>
        <v/>
      </c>
      <c r="E80" s="5">
        <f>'res_raw_26864100'!$E$20</f>
        <v/>
      </c>
      <c r="F80" s="5">
        <f>'res_raw_26864100'!$F$20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Afkastningsgrad, %</t>
        </is>
      </c>
      <c r="B83" s="13">
        <f>IFERROR(($B$13+$B$15+$B$14)/$B$52*100,"")</f>
        <v/>
      </c>
      <c r="C83" s="13">
        <f>IFERROR(($C$13+$C$15+$C$14)/$C$52*100,"")</f>
        <v/>
      </c>
      <c r="D83" s="13">
        <f>IFERROR(($D$13+$D$15+$D$14)/$D$52*100,"")</f>
        <v/>
      </c>
      <c r="E83" s="13">
        <f>IFERROR(($E$13+$E$15+$E$14)/$E$52*100,"")</f>
        <v/>
      </c>
      <c r="F83" s="13">
        <f>IFERROR(($F$13+$F$15+$F$14)/$F$52*100,"")</f>
        <v/>
      </c>
    </row>
    <row r="84" ht="16" customHeight="1">
      <c r="A84" s="4" t="inlineStr">
        <is>
          <t>Overskudsgrad, %</t>
        </is>
      </c>
      <c r="B84" s="14">
        <f>IFERROR(($B$13+$B$15+$B$14)/$B$4*100,"")</f>
        <v/>
      </c>
      <c r="C84" s="14">
        <f>IFERROR(($C$13+$C$15+$C$14)/$C$4*100,"")</f>
        <v/>
      </c>
      <c r="D84" s="14">
        <f>IFERROR(($D$13+$D$15+$D$14)/$D$4*100,"")</f>
        <v/>
      </c>
      <c r="E84" s="14">
        <f>IFERROR(($E$13+$E$15+$E$14)/$E$4*100,"")</f>
        <v/>
      </c>
      <c r="F84" s="14">
        <f>IFERROR(($F$13+$F$15+$F$14)/$F$4*100,"")</f>
        <v/>
      </c>
    </row>
    <row r="85" ht="16" customHeight="1">
      <c r="A85" s="7" t="inlineStr">
        <is>
          <t>Aktivernes omsætningshastighed, gange</t>
        </is>
      </c>
      <c r="B85" s="13">
        <f>IFERROR($B$4/$B$52,"")</f>
        <v/>
      </c>
      <c r="C85" s="13">
        <f>IFERROR($C$4/$C$52,"")</f>
        <v/>
      </c>
      <c r="D85" s="13">
        <f>IFERROR($D$4/$D$52,"")</f>
        <v/>
      </c>
      <c r="E85" s="13">
        <f>IFERROR($E$4/$E$52,"")</f>
        <v/>
      </c>
      <c r="F85" s="13">
        <f>IFERROR($F$4/$F$52,"")</f>
        <v/>
      </c>
    </row>
    <row r="86" ht="16" customHeight="1">
      <c r="A86" s="4" t="inlineStr">
        <is>
          <t>Egenkapitalens forrentning, %</t>
        </is>
      </c>
      <c r="B86" s="14">
        <f>IFERROR($B$18/$B$61*100,"")</f>
        <v/>
      </c>
      <c r="C86" s="14">
        <f>IFERROR($C$18/$C$61*100,"")</f>
        <v/>
      </c>
      <c r="D86" s="14">
        <f>IFERROR($D$18/$D$61*100,"")</f>
        <v/>
      </c>
      <c r="E86" s="14">
        <f>IFERROR($E$18/$E$61*100,"")</f>
        <v/>
      </c>
      <c r="F86" s="14">
        <f>IFERROR($F$18/$F$61*100,"")</f>
        <v/>
      </c>
    </row>
    <row r="87" ht="16" customHeight="1">
      <c r="A87" s="7" t="inlineStr">
        <is>
          <t>Gældsrente, %</t>
        </is>
      </c>
      <c r="B87" s="13">
        <f>IFERROR($B$16/($B$76-$B$61)*100,"")</f>
        <v/>
      </c>
      <c r="C87" s="13">
        <f>IFERROR($C$16/($C$76-$C$61)*100,"")</f>
        <v/>
      </c>
      <c r="D87" s="13">
        <f>IFERROR($D$16/($D$76-$D$61)*100,"")</f>
        <v/>
      </c>
      <c r="E87" s="13">
        <f>IFERROR($E$16/($E$76-$E$61)*100,"")</f>
        <v/>
      </c>
      <c r="F87" s="13">
        <f>IFERROR($F$16/($F$76-$F$61)*100,"")</f>
        <v/>
      </c>
    </row>
    <row r="88" ht="16" customHeight="1">
      <c r="A88" s="4" t="inlineStr">
        <is>
          <t>Soliditetsgrad, %</t>
        </is>
      </c>
      <c r="B88" s="14">
        <f>IFERROR($B$61/$B$52*100,"")</f>
        <v/>
      </c>
      <c r="C88" s="14">
        <f>IFERROR($C$61/$C$52*100,"")</f>
        <v/>
      </c>
      <c r="D88" s="14">
        <f>IFERROR($D$61/$D$52*100,"")</f>
        <v/>
      </c>
      <c r="E88" s="14">
        <f>IFERROR($E$61/$E$52*100,"")</f>
        <v/>
      </c>
      <c r="F88" s="14">
        <f>IFERROR($F$61/$F$52*100,"")</f>
        <v/>
      </c>
    </row>
    <row r="89" ht="16" customHeight="1">
      <c r="A89" s="7" t="inlineStr">
        <is>
          <t>Gearing</t>
        </is>
      </c>
      <c r="B89" s="13">
        <f>IFERROR(($B$76-$B$61)/$B$61,"")</f>
        <v/>
      </c>
      <c r="C89" s="13">
        <f>IFERROR(($C$76-$C$61)/$C$61,"")</f>
        <v/>
      </c>
      <c r="D89" s="13">
        <f>IFERROR(($D$76-$D$61)/$D$61,"")</f>
        <v/>
      </c>
      <c r="E89" s="13">
        <f>IFERROR(($E$76-$E$61)/$E$61,"")</f>
        <v/>
      </c>
      <c r="F89" s="13">
        <f>IFERROR(($F$76-$F$61)/$F$61,"")</f>
        <v/>
      </c>
    </row>
    <row r="90" ht="16" customHeight="1">
      <c r="A90" s="4" t="inlineStr">
        <is>
          <t>Likviditetsgrad, %</t>
        </is>
      </c>
      <c r="B90" s="14">
        <f>IFERROR($B$51/$B$74*100,"")</f>
        <v/>
      </c>
      <c r="C90" s="14">
        <f>IFERROR($C$51/$C$74*100,"")</f>
        <v/>
      </c>
      <c r="D90" s="14">
        <f>IFERROR($D$51/$D$74*100,"")</f>
        <v/>
      </c>
      <c r="E90" s="14">
        <f>IFERROR($E$51/$E$74*100,"")</f>
        <v/>
      </c>
      <c r="F90" s="14">
        <f>IFERROR($F$51/$F$74*100,"")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IFERROR(($B$76-$B$61)/$B$52*100,"")</f>
        <v/>
      </c>
      <c r="C92" s="14">
        <f>IFERROR(($C$76-$C$61)/$C$52*100,"")</f>
        <v/>
      </c>
      <c r="D92" s="14">
        <f>IFERROR(($D$76-$D$61)/$D$52*100,"")</f>
        <v/>
      </c>
      <c r="E92" s="14">
        <f>IFERROR(($E$76-$E$61)/$E$52*100,"")</f>
        <v/>
      </c>
      <c r="F92" s="14">
        <f>IFERROR(($F$76-$F$61)/$F$52*100,"")</f>
        <v/>
      </c>
    </row>
    <row r="93" ht="16" customHeight="1">
      <c r="A93" s="7" t="inlineStr">
        <is>
          <t>Kapitalbindingsgrad, %</t>
        </is>
      </c>
      <c r="B93" s="13">
        <f>IFERROR($B$36/($B$61+0)*100,"")</f>
        <v/>
      </c>
      <c r="C93" s="13">
        <f>IFERROR($C$36/($C$61+0)*100,"")</f>
        <v/>
      </c>
      <c r="D93" s="13">
        <f>IFERROR($D$36/($D$61+0)*100,"")</f>
        <v/>
      </c>
      <c r="E93" s="13">
        <f>IFERROR($E$36/($E$61+0)*100,"")</f>
        <v/>
      </c>
      <c r="F93" s="13">
        <f>IFERROR($F$36/($F$61+0)*100,"")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'pengestrom_raw_26864100'!$B$2</f>
        <v/>
      </c>
      <c r="C96" s="17">
        <f>'pengestrom_raw_26864100'!$C$2</f>
        <v/>
      </c>
      <c r="D96" s="17">
        <f>'pengestrom_raw_26864100'!$D$2</f>
        <v/>
      </c>
      <c r="E96" s="17">
        <f>'pengestrom_raw_26864100'!$E$2</f>
        <v/>
      </c>
      <c r="F96" s="17">
        <f>'pengestrom_raw_26864100'!$F$2</f>
        <v/>
      </c>
    </row>
    <row r="97">
      <c r="A97" s="16" t="inlineStr">
        <is>
          <t>Pengestrømme fra investeringsaktivitet</t>
        </is>
      </c>
      <c r="B97" s="17">
        <f>'pengestrom_raw_26864100'!$B$3</f>
        <v/>
      </c>
      <c r="C97" s="17">
        <f>'pengestrom_raw_26864100'!$C$3</f>
        <v/>
      </c>
      <c r="D97" s="17">
        <f>'pengestrom_raw_26864100'!$D$3</f>
        <v/>
      </c>
      <c r="E97" s="17">
        <f>'pengestrom_raw_26864100'!$E$3</f>
        <v/>
      </c>
      <c r="F97" s="17">
        <f>'pengestrom_raw_26864100'!$F$3</f>
        <v/>
      </c>
    </row>
    <row r="98">
      <c r="A98" s="16" t="inlineStr">
        <is>
          <t>Pengestrømme fra finansieringsaktivitet</t>
        </is>
      </c>
      <c r="B98" s="17">
        <f>'pengestrom_raw_26864100'!$B$4</f>
        <v/>
      </c>
      <c r="C98" s="17">
        <f>'pengestrom_raw_26864100'!$C$4</f>
        <v/>
      </c>
      <c r="D98" s="17">
        <f>'pengestrom_raw_26864100'!$D$4</f>
        <v/>
      </c>
      <c r="E98" s="17">
        <f>'pengestrom_raw_26864100'!$E$4</f>
        <v/>
      </c>
      <c r="F98" s="17">
        <f>'pengestrom_raw_26864100'!$F$4</f>
        <v/>
      </c>
    </row>
    <row r="99">
      <c r="A99" s="16" t="inlineStr">
        <is>
          <t>Årets pengestrøm (rapporteret)</t>
        </is>
      </c>
      <c r="B99" s="17">
        <f>'pengestrom_raw_26864100'!$B$5</f>
        <v/>
      </c>
      <c r="C99" s="17">
        <f>'pengestrom_raw_26864100'!$C$5</f>
        <v/>
      </c>
      <c r="D99" s="17">
        <f>'pengestrom_raw_26864100'!$D$5</f>
        <v/>
      </c>
      <c r="E99" s="17">
        <f>'pengestrom_raw_26864100'!$E$5</f>
        <v/>
      </c>
      <c r="F99" s="17">
        <f>'pengestrom_raw_26864100'!$F$5</f>
        <v/>
      </c>
    </row>
    <row r="100">
      <c r="A100" s="16" t="inlineStr">
        <is>
          <t>Krydstjek: drift + inv. + fin. = årets pengestrøm</t>
        </is>
      </c>
      <c r="B100">
        <f>IF(ABS(('pengestrom_raw_26864100'!$B$2+'pengestrom_raw_26864100'!$B$3+'pengestrom_raw_26864100'!$B$4)-'pengestrom_raw_26864100'!$B$5)&lt;=2,"✓","⚠ "&amp;TEXT(('pengestrom_raw_26864100'!$B$2+'pengestrom_raw_26864100'!$B$3+'pengestrom_raw_26864100'!$B$4)-'pengestrom_raw_26864100'!$B$5,"+#,##0;-#,##0"))</f>
        <v/>
      </c>
      <c r="C100">
        <f>IF(ABS(('pengestrom_raw_26864100'!$C$2+'pengestrom_raw_26864100'!$C$3+'pengestrom_raw_26864100'!$C$4)-'pengestrom_raw_26864100'!$C$5)&lt;=2,"✓","⚠ "&amp;TEXT(('pengestrom_raw_26864100'!$C$2+'pengestrom_raw_26864100'!$C$3+'pengestrom_raw_26864100'!$C$4)-'pengestrom_raw_26864100'!$C$5,"+#,##0;-#,##0"))</f>
        <v/>
      </c>
      <c r="D100">
        <f>IF(ABS(('pengestrom_raw_26864100'!$D$2+'pengestrom_raw_26864100'!$D$3+'pengestrom_raw_26864100'!$D$4)-'pengestrom_raw_26864100'!$D$5)&lt;=2,"✓","⚠ "&amp;TEXT(('pengestrom_raw_26864100'!$D$2+'pengestrom_raw_26864100'!$D$3+'pengestrom_raw_26864100'!$D$4)-'pengestrom_raw_26864100'!$D$5,"+#,##0;-#,##0"))</f>
        <v/>
      </c>
      <c r="E100">
        <f>IF(ABS(('pengestrom_raw_26864100'!$E$2+'pengestrom_raw_26864100'!$E$3+'pengestrom_raw_26864100'!$E$4)-'pengestrom_raw_26864100'!$E$5)&lt;=2,"✓","⚠ "&amp;TEXT(('pengestrom_raw_26864100'!$E$2+'pengestrom_raw_26864100'!$E$3+'pengestrom_raw_26864100'!$E$4)-'pengestrom_raw_26864100'!$E$5,"+#,##0;-#,##0"))</f>
        <v/>
      </c>
      <c r="F100">
        <f>IF(ABS(('pengestrom_raw_26864100'!$F$2+'pengestrom_raw_26864100'!$F$3+'pengestrom_raw_26864100'!$F$4)-'pengestrom_raw_26864100'!$F$5)&lt;=2,"✓","⚠ "&amp;TEXT(('pengestrom_raw_26864100'!$F$2+'pengestrom_raw_26864100'!$F$3+'pengestrom_raw_26864100'!$F$4)-'pengestrom_raw_26864100'!$F$5,"+#,##0;-#,##0"))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XL-BYG a.m.b.a. (CVR 26864100)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6566702</v>
      </c>
      <c r="C2" s="17" t="n">
        <v>6386452</v>
      </c>
      <c r="D2" s="17" t="n">
        <v>5453341</v>
      </c>
      <c r="E2" s="17" t="n">
        <v>4816829</v>
      </c>
      <c r="F2" s="17" t="n">
        <v>3808643</v>
      </c>
    </row>
    <row r="3">
      <c r="A3" s="16" t="inlineStr">
        <is>
          <t>Andre driftsindtægter</t>
        </is>
      </c>
      <c r="B3" s="17" t="n">
        <v>40132</v>
      </c>
      <c r="C3" s="17" t="n">
        <v>44261</v>
      </c>
      <c r="D3" s="17" t="n">
        <v>43178</v>
      </c>
      <c r="E3" s="17" t="n">
        <v>39836</v>
      </c>
      <c r="F3" s="17" t="n">
        <v>39574</v>
      </c>
    </row>
    <row r="4">
      <c r="A4" s="16" t="inlineStr">
        <is>
          <t>Vareforbrug</t>
        </is>
      </c>
      <c r="B4" s="17" t="n">
        <v>6541195</v>
      </c>
      <c r="C4" s="17" t="n">
        <v>6363438</v>
      </c>
      <c r="D4" s="17" t="n">
        <v>5434228</v>
      </c>
      <c r="E4" s="17" t="n">
        <v>4783001</v>
      </c>
      <c r="F4" s="17" t="n">
        <v>3783246</v>
      </c>
    </row>
    <row r="5">
      <c r="A5" s="16" t="inlineStr">
        <is>
          <t>Andre eksterne omkostninger</t>
        </is>
      </c>
      <c r="B5" s="17" t="n">
        <v>15131</v>
      </c>
      <c r="C5" s="17" t="n">
        <v>17347</v>
      </c>
      <c r="D5" s="17" t="n">
        <v>15837</v>
      </c>
      <c r="E5" s="17" t="n">
        <v>15141</v>
      </c>
      <c r="F5" s="17" t="n">
        <v>15653</v>
      </c>
    </row>
    <row r="6">
      <c r="A6" s="15" t="inlineStr">
        <is>
          <t>Bruttoresultat</t>
        </is>
      </c>
      <c r="B6" s="17" t="n">
        <v>50508</v>
      </c>
      <c r="C6" s="17" t="n">
        <v>49928</v>
      </c>
      <c r="D6" s="17" t="n">
        <v>46454</v>
      </c>
      <c r="E6" s="17" t="n">
        <v>58523</v>
      </c>
      <c r="F6" s="17" t="n">
        <v>49318</v>
      </c>
    </row>
    <row r="7">
      <c r="A7" s="16" t="inlineStr">
        <is>
          <t>Personaleomkostninger</t>
        </is>
      </c>
      <c r="B7" s="17" t="n">
        <v>40546</v>
      </c>
      <c r="C7" s="17" t="n">
        <v>41309</v>
      </c>
      <c r="D7" s="17" t="n">
        <v>41390</v>
      </c>
      <c r="E7" s="17" t="n">
        <v>41252</v>
      </c>
      <c r="F7" s="17" t="n">
        <v>40771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7356</v>
      </c>
      <c r="C9" s="17" t="n">
        <v>6077</v>
      </c>
      <c r="D9" s="17" t="n">
        <v>4912</v>
      </c>
      <c r="E9" s="17" t="n">
        <v>7110</v>
      </c>
      <c r="F9" s="17" t="n">
        <v>7549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2606</v>
      </c>
      <c r="C11" s="17" t="n">
        <v>2542</v>
      </c>
      <c r="D11" s="17" t="n">
        <v>152</v>
      </c>
      <c r="E11" s="17" t="n">
        <v>10161</v>
      </c>
      <c r="F11" s="17" t="n">
        <v>998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73</v>
      </c>
      <c r="C13" s="17" t="n">
        <v>65</v>
      </c>
      <c r="D13" s="17" t="n">
        <v>1170</v>
      </c>
      <c r="E13" s="17" t="n">
        <v>2432</v>
      </c>
      <c r="F13" s="17" t="n">
        <v>1244</v>
      </c>
    </row>
    <row r="14">
      <c r="A14" s="16" t="inlineStr">
        <is>
          <t>Finansielle omkostninger</t>
        </is>
      </c>
      <c r="B14" s="17" t="n">
        <v>1595</v>
      </c>
      <c r="C14" s="17" t="n">
        <v>693</v>
      </c>
      <c r="D14" s="17" t="n">
        <v>159</v>
      </c>
      <c r="E14" s="17" t="n">
        <v>152</v>
      </c>
      <c r="F14" s="17" t="n">
        <v>48</v>
      </c>
    </row>
    <row r="15">
      <c r="A15" s="15" t="inlineStr">
        <is>
          <t>Finansielle poster, netto</t>
        </is>
      </c>
      <c r="B15" s="17" t="n">
        <v>-1522</v>
      </c>
      <c r="C15" s="17" t="n">
        <v>-628</v>
      </c>
      <c r="D15" s="17" t="n">
        <v>1011</v>
      </c>
      <c r="E15" s="17" t="n">
        <v>2280</v>
      </c>
      <c r="F15" s="17" t="n">
        <v>1196</v>
      </c>
    </row>
    <row r="16">
      <c r="A16" s="15" t="inlineStr">
        <is>
          <t>Resultat før skat</t>
        </is>
      </c>
      <c r="B16" s="17" t="n">
        <v>1084</v>
      </c>
      <c r="C16" s="17" t="n">
        <v>1914</v>
      </c>
      <c r="D16" s="17" t="n">
        <v>1163</v>
      </c>
      <c r="E16" s="17" t="n">
        <v>12441</v>
      </c>
      <c r="F16" s="17" t="n">
        <v>2194</v>
      </c>
    </row>
    <row r="17">
      <c r="A17" s="16" t="inlineStr">
        <is>
          <t>Skat af årets resultat</t>
        </is>
      </c>
      <c r="B17" s="17" t="n">
        <v>388</v>
      </c>
      <c r="C17" s="17" t="n">
        <v>151</v>
      </c>
      <c r="D17" s="17" t="n">
        <v>118</v>
      </c>
      <c r="E17" s="17" t="n">
        <v>202</v>
      </c>
      <c r="F17" s="17" t="n">
        <v>268</v>
      </c>
    </row>
    <row r="18">
      <c r="A18" s="15" t="inlineStr">
        <is>
          <t>Årets resultat</t>
        </is>
      </c>
      <c r="B18" s="17" t="n">
        <v>696</v>
      </c>
      <c r="C18" s="17" t="n">
        <v>1763</v>
      </c>
      <c r="D18" s="17" t="n">
        <v>1045</v>
      </c>
      <c r="E18" s="17" t="n">
        <v>12239</v>
      </c>
      <c r="F18" s="17" t="n">
        <v>1926</v>
      </c>
    </row>
    <row r="19">
      <c r="A19" s="16" t="inlineStr">
        <is>
          <t>Gns. antal medarbejdere</t>
        </is>
      </c>
      <c r="B19" s="17" t="n">
        <v>70</v>
      </c>
      <c r="C19" s="17" t="n">
        <v>68</v>
      </c>
      <c r="D19" s="17" t="n">
        <v>64</v>
      </c>
      <c r="E19" s="17" t="n">
        <v>62</v>
      </c>
      <c r="F19" s="17" t="n">
        <v>60</v>
      </c>
    </row>
    <row r="20">
      <c r="A20" s="16" t="inlineStr">
        <is>
          <t>Investering i materielle anlægsaktiver</t>
        </is>
      </c>
      <c r="B20" s="17" t="n">
        <v>840</v>
      </c>
      <c r="C20" s="17" t="n">
        <v>252</v>
      </c>
      <c r="D20" s="17" t="n">
        <v>71</v>
      </c>
      <c r="E20" s="17" t="n">
        <v>0</v>
      </c>
      <c r="F20" s="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XL-BYG a.m.b.a. (CVR 26864100)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7365</v>
      </c>
      <c r="C2" s="17" t="n">
        <v>4713</v>
      </c>
      <c r="D2" s="17" t="n">
        <v>8452</v>
      </c>
      <c r="E2" s="17" t="n">
        <v>16723</v>
      </c>
      <c r="F2" s="17" t="n">
        <v>8326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7365</v>
      </c>
      <c r="C5" s="17" t="n">
        <v>4713</v>
      </c>
      <c r="D5" s="17" t="n">
        <v>8452</v>
      </c>
      <c r="E5" s="17" t="n">
        <v>16723</v>
      </c>
      <c r="F5" s="17" t="n">
        <v>8326</v>
      </c>
    </row>
    <row r="6">
      <c r="A6" s="16" t="inlineStr">
        <is>
          <t>Grunde og bygninger</t>
        </is>
      </c>
      <c r="B6" s="17" t="n">
        <v>3650</v>
      </c>
      <c r="C6" s="17" t="n">
        <v>3424</v>
      </c>
      <c r="D6" s="17" t="n">
        <v>3124</v>
      </c>
      <c r="E6" s="17" t="n">
        <v>2824</v>
      </c>
      <c r="F6" s="17" t="n">
        <v>2524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678</v>
      </c>
      <c r="C8" s="17" t="n">
        <v>503</v>
      </c>
      <c r="D8" s="17" t="n">
        <v>237</v>
      </c>
      <c r="E8" s="17" t="n">
        <v>68</v>
      </c>
      <c r="F8" s="17" t="n">
        <v>25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4328</v>
      </c>
      <c r="C11" s="17" t="n">
        <v>3927</v>
      </c>
      <c r="D11" s="17" t="n">
        <v>3361</v>
      </c>
      <c r="E11" s="17" t="n">
        <v>2892</v>
      </c>
      <c r="F11" s="17" t="n">
        <v>2549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332</v>
      </c>
      <c r="C13" s="17" t="n">
        <v>342</v>
      </c>
      <c r="D13" s="17" t="n">
        <v>128</v>
      </c>
      <c r="E13" s="17" t="n">
        <v>128</v>
      </c>
      <c r="F13" s="17" t="n">
        <v>128</v>
      </c>
    </row>
    <row r="14">
      <c r="A14" s="15" t="inlineStr">
        <is>
          <t>Finansielle anlægsaktiver</t>
        </is>
      </c>
      <c r="B14" s="17" t="n">
        <v>5723</v>
      </c>
      <c r="C14" s="17" t="n">
        <v>3511</v>
      </c>
      <c r="D14" s="17" t="n">
        <v>3764</v>
      </c>
      <c r="E14" s="17" t="n">
        <v>681</v>
      </c>
      <c r="F14" s="17" t="n">
        <v>980</v>
      </c>
    </row>
    <row r="15">
      <c r="A15" s="15" t="inlineStr">
        <is>
          <t>Anlægsaktiver</t>
        </is>
      </c>
      <c r="B15" s="17" t="n">
        <v>17416</v>
      </c>
      <c r="C15" s="17" t="n">
        <v>12151</v>
      </c>
      <c r="D15" s="17" t="n">
        <v>15577</v>
      </c>
      <c r="E15" s="17" t="n">
        <v>20296</v>
      </c>
      <c r="F15" s="17" t="n">
        <v>11855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>
        <v>31370</v>
      </c>
      <c r="E18" s="17" t="n">
        <v>17762</v>
      </c>
      <c r="F18" s="17" t="n">
        <v>9789</v>
      </c>
    </row>
    <row r="19">
      <c r="A19" s="15" t="inlineStr">
        <is>
          <t>Varebeholdninger</t>
        </is>
      </c>
      <c r="B19" s="17" t="n">
        <v>60771</v>
      </c>
      <c r="C19" s="17" t="n">
        <v>53234</v>
      </c>
      <c r="D19" s="17" t="n">
        <v>31370</v>
      </c>
      <c r="E19" s="17" t="n">
        <v>17762</v>
      </c>
      <c r="F19" s="17" t="n">
        <v>9789</v>
      </c>
    </row>
    <row r="20">
      <c r="A20" s="16" t="inlineStr">
        <is>
          <t>Tilgodehavender fra salg og tjenesteydelser</t>
        </is>
      </c>
      <c r="B20" s="17" t="n">
        <v>949366</v>
      </c>
      <c r="C20" s="17" t="n">
        <v>888345</v>
      </c>
      <c r="D20" s="17" t="n">
        <v>854293</v>
      </c>
      <c r="E20" s="17" t="n">
        <v>879762</v>
      </c>
      <c r="F20" s="17" t="n">
        <v>558050</v>
      </c>
    </row>
    <row r="21">
      <c r="A21" s="16" t="inlineStr">
        <is>
          <t>Tilgodehavender hos tilknyttede virksomheder</t>
        </is>
      </c>
      <c r="B21" s="17" t="n"/>
      <c r="C21" s="17" t="n">
        <v>0</v>
      </c>
      <c r="D21" s="17" t="n">
        <v>0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171274</v>
      </c>
      <c r="C22" s="17" t="n">
        <v>135772</v>
      </c>
      <c r="D22" s="17" t="n">
        <v>126462</v>
      </c>
      <c r="E22" s="17" t="n">
        <v>148101</v>
      </c>
      <c r="F22" s="17" t="n">
        <v>36199</v>
      </c>
    </row>
    <row r="23">
      <c r="A23" s="16" t="inlineStr">
        <is>
          <t>Periodeafgrænsningsposter (aktiver)</t>
        </is>
      </c>
      <c r="B23" s="17" t="n">
        <v>2048</v>
      </c>
      <c r="C23" s="17" t="n">
        <v>3184</v>
      </c>
      <c r="D23" s="17" t="n">
        <v>6791</v>
      </c>
      <c r="E23" s="17" t="n">
        <v>3654</v>
      </c>
      <c r="F23" s="17" t="n">
        <v>2791</v>
      </c>
    </row>
    <row r="24">
      <c r="A24" s="16" t="inlineStr">
        <is>
          <t>Udskudt skatteaktiv</t>
        </is>
      </c>
      <c r="B24" s="17" t="n"/>
      <c r="C24" s="17" t="n">
        <v>83</v>
      </c>
      <c r="D24" s="17" t="n">
        <v>189</v>
      </c>
      <c r="E24" s="17" t="n">
        <v>219</v>
      </c>
      <c r="F24" s="17" t="n">
        <v>139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37</v>
      </c>
      <c r="C26" s="17" t="n"/>
      <c r="D26" s="17" t="n"/>
      <c r="E26" s="17" t="n">
        <v>36</v>
      </c>
      <c r="F26" s="17" t="n">
        <v>58</v>
      </c>
    </row>
    <row r="27">
      <c r="A27" s="15" t="inlineStr">
        <is>
          <t>Tilgodehavender</t>
        </is>
      </c>
      <c r="B27" s="17" t="n">
        <v>1122725</v>
      </c>
      <c r="C27" s="17" t="n">
        <v>1027384</v>
      </c>
      <c r="D27" s="17" t="n">
        <v>987735</v>
      </c>
      <c r="E27" s="17" t="n">
        <v>1031772</v>
      </c>
      <c r="F27" s="17" t="n">
        <v>597237</v>
      </c>
    </row>
    <row r="28">
      <c r="A28" s="16" t="inlineStr">
        <is>
          <t>Værdipapirer</t>
        </is>
      </c>
      <c r="B28" s="17" t="n"/>
      <c r="C28" s="17" t="n"/>
      <c r="D28" s="17" t="n">
        <v>29812</v>
      </c>
      <c r="E28" s="17" t="n">
        <v>30749</v>
      </c>
      <c r="F28" s="17" t="n">
        <v>30209</v>
      </c>
    </row>
    <row r="29">
      <c r="A29" s="16" t="inlineStr">
        <is>
          <t>Likvide beholdninger</t>
        </is>
      </c>
      <c r="B29" s="17" t="n">
        <v>20535</v>
      </c>
      <c r="C29" s="17" t="n">
        <v>38045</v>
      </c>
      <c r="D29" s="17" t="n">
        <v>21909</v>
      </c>
      <c r="E29" s="17" t="n">
        <v>34250</v>
      </c>
      <c r="F29" s="17" t="n">
        <v>98111</v>
      </c>
    </row>
    <row r="30">
      <c r="A30" s="15" t="inlineStr">
        <is>
          <t>Omsætningsaktiver</t>
        </is>
      </c>
      <c r="B30" s="17" t="n">
        <v>1204031</v>
      </c>
      <c r="C30" s="17" t="n">
        <v>1118663</v>
      </c>
      <c r="D30" s="17" t="n">
        <v>1070826</v>
      </c>
      <c r="E30" s="17" t="n">
        <v>1114533</v>
      </c>
      <c r="F30" s="17" t="n">
        <v>735346</v>
      </c>
    </row>
    <row r="31">
      <c r="A31" s="15" t="inlineStr">
        <is>
          <t>Aktiver</t>
        </is>
      </c>
      <c r="B31" s="17" t="n">
        <v>1221447</v>
      </c>
      <c r="C31" s="17" t="n">
        <v>1130814</v>
      </c>
      <c r="D31" s="17" t="n">
        <v>1086403</v>
      </c>
      <c r="E31" s="17" t="n">
        <v>1134829</v>
      </c>
      <c r="F31" s="17" t="n">
        <v>747201</v>
      </c>
    </row>
    <row r="32">
      <c r="A32" s="16" t="inlineStr">
        <is>
          <t>Selskabskapital</t>
        </is>
      </c>
      <c r="B32" s="17" t="n">
        <v>850</v>
      </c>
      <c r="C32" s="17" t="n">
        <v>825</v>
      </c>
      <c r="D32" s="17" t="n">
        <v>750</v>
      </c>
      <c r="E32" s="17" t="n">
        <v>675</v>
      </c>
      <c r="F32" s="17" t="n">
        <v>625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3747</v>
      </c>
      <c r="C35" s="17" t="n">
        <v>-1599</v>
      </c>
      <c r="D35" s="17" t="n">
        <v>-415</v>
      </c>
      <c r="E35" s="17" t="n">
        <v>1384</v>
      </c>
      <c r="F35" s="17" t="n">
        <v>167</v>
      </c>
    </row>
    <row r="36">
      <c r="A36" s="16" t="inlineStr">
        <is>
          <t>Andre reserver</t>
        </is>
      </c>
      <c r="B36" s="17" t="n">
        <v>225479</v>
      </c>
      <c r="C36" s="17" t="n">
        <v>212547</v>
      </c>
      <c r="D36" s="17" t="n">
        <v>210406</v>
      </c>
      <c r="E36" s="17" t="n"/>
      <c r="F36" s="17" t="n"/>
    </row>
    <row r="37">
      <c r="A37" s="16" t="inlineStr">
        <is>
          <t>Overført resultat</t>
        </is>
      </c>
      <c r="B37" s="17" t="n">
        <v>6467</v>
      </c>
      <c r="C37" s="17" t="n">
        <v>8230</v>
      </c>
      <c r="D37" s="17" t="n">
        <v>9275</v>
      </c>
      <c r="E37" s="17" t="n">
        <v>10385</v>
      </c>
      <c r="F37" s="17" t="n">
        <v>12311</v>
      </c>
    </row>
    <row r="38">
      <c r="A38" s="15" t="inlineStr">
        <is>
          <t>Egenkapital i alt</t>
        </is>
      </c>
      <c r="B38" s="17" t="n">
        <v>254628</v>
      </c>
      <c r="C38" s="17" t="n">
        <v>239252</v>
      </c>
      <c r="D38" s="17" t="n">
        <v>238516</v>
      </c>
      <c r="E38" s="17" t="n">
        <v>250579</v>
      </c>
      <c r="F38" s="17" t="n">
        <v>24348</v>
      </c>
    </row>
    <row r="39">
      <c r="A39" s="15" t="inlineStr">
        <is>
          <t>Hensatte forpligtelser</t>
        </is>
      </c>
      <c r="B39" s="17" t="n">
        <v>1050</v>
      </c>
      <c r="C39" s="17" t="n">
        <v>820</v>
      </c>
      <c r="D39" s="17" t="n">
        <v>648</v>
      </c>
      <c r="E39" s="17" t="n">
        <v>585</v>
      </c>
      <c r="F39" s="17" t="n">
        <v>511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>
        <v>194461</v>
      </c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Leverandører af varer og tjenesteydelser</t>
        </is>
      </c>
      <c r="B44" s="17" t="n">
        <v>926408</v>
      </c>
      <c r="C44" s="17" t="n">
        <v>845438</v>
      </c>
      <c r="D44" s="17" t="n">
        <v>810904</v>
      </c>
      <c r="E44" s="17" t="n">
        <v>845237</v>
      </c>
      <c r="F44" s="17" t="n">
        <v>473415</v>
      </c>
    </row>
    <row r="45">
      <c r="A45" s="16" t="inlineStr">
        <is>
          <t>Gæld til tilknyttede virksomheder</t>
        </is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>
        <v>74</v>
      </c>
      <c r="C47" s="17" t="n">
        <v>136</v>
      </c>
      <c r="D47" s="17" t="n">
        <v>72</v>
      </c>
      <c r="E47" s="17" t="n">
        <v>130</v>
      </c>
      <c r="F47" s="17" t="n">
        <v>87</v>
      </c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38487</v>
      </c>
      <c r="C49" s="17" t="n">
        <v>44579</v>
      </c>
      <c r="D49" s="17" t="n">
        <v>35743</v>
      </c>
      <c r="E49" s="17" t="n">
        <v>37744</v>
      </c>
      <c r="F49" s="17" t="n">
        <v>53840</v>
      </c>
    </row>
    <row r="50">
      <c r="A50" s="16" t="inlineStr">
        <is>
          <t>Periodeafgrænsningsposter (passiver)</t>
        </is>
      </c>
      <c r="B50" s="17" t="n">
        <v>800</v>
      </c>
      <c r="C50" s="17" t="n">
        <v>589</v>
      </c>
      <c r="D50" s="17" t="n">
        <v>520</v>
      </c>
      <c r="E50" s="17" t="n">
        <v>554</v>
      </c>
      <c r="F50" s="17" t="n">
        <v>5390</v>
      </c>
    </row>
    <row r="51">
      <c r="A51" s="15" t="inlineStr">
        <is>
          <t>Kortfristede gældsforpligtelser</t>
        </is>
      </c>
      <c r="B51" s="17" t="n">
        <v>965769</v>
      </c>
      <c r="C51" s="17" t="n">
        <v>890742</v>
      </c>
      <c r="D51" s="17" t="n">
        <v>847239</v>
      </c>
      <c r="E51" s="17" t="n">
        <v>883665</v>
      </c>
      <c r="F51" s="17" t="n">
        <v>722342</v>
      </c>
    </row>
    <row r="52">
      <c r="A52" s="15" t="inlineStr">
        <is>
          <t>Gældsforpligtelser</t>
        </is>
      </c>
      <c r="B52" s="17" t="n">
        <v>965769</v>
      </c>
      <c r="C52" s="17" t="n">
        <v>890742</v>
      </c>
      <c r="D52" s="17" t="n">
        <v>847239</v>
      </c>
      <c r="E52" s="17" t="n">
        <v>883665</v>
      </c>
      <c r="F52" s="17" t="n">
        <v>722342</v>
      </c>
    </row>
    <row r="53">
      <c r="A53" s="15" t="inlineStr">
        <is>
          <t>Passiver</t>
        </is>
      </c>
      <c r="B53" s="17" t="n">
        <v>1221447</v>
      </c>
      <c r="C53" s="17" t="n">
        <v>1130814</v>
      </c>
      <c r="D53" s="17" t="n">
        <v>1086403</v>
      </c>
      <c r="E53" s="17" t="n">
        <v>1134829</v>
      </c>
      <c r="F53" s="17" t="n">
        <v>747201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XL-BYG a.m.b.a. (CVR 26864100)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-134820</v>
      </c>
      <c r="C2" s="17" t="n">
        <v>18240</v>
      </c>
      <c r="D2" s="17" t="n">
        <v>21683</v>
      </c>
      <c r="E2" s="17" t="n">
        <v>26014</v>
      </c>
      <c r="F2" s="17" t="n">
        <v>67678</v>
      </c>
    </row>
    <row r="3">
      <c r="A3" s="16" t="inlineStr">
        <is>
          <t>Pengestrømme fra investeringsaktivitet</t>
        </is>
      </c>
      <c r="B3" s="17" t="n">
        <v>-4572</v>
      </c>
      <c r="C3" s="17" t="n">
        <v>-1735</v>
      </c>
      <c r="D3" s="17" t="n">
        <v>-36708</v>
      </c>
      <c r="E3" s="17" t="n">
        <v>-11489</v>
      </c>
      <c r="F3" s="17" t="n">
        <v>1588</v>
      </c>
    </row>
    <row r="4">
      <c r="A4" s="16" t="inlineStr">
        <is>
          <t>Pengestrømme fra finansieringsaktivitet</t>
        </is>
      </c>
      <c r="B4" s="17" t="n">
        <v>-2132</v>
      </c>
      <c r="C4" s="17" t="n">
        <v>1139</v>
      </c>
      <c r="D4" s="17" t="n">
        <v>-824</v>
      </c>
      <c r="E4" s="17" t="n">
        <v>-1975</v>
      </c>
      <c r="F4" s="17" t="n">
        <v>-5405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XL-BYG a.m.b.a. (CVR 26864100) — Regnskabs- og nøgletal (CVR: 26864100)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'res_raw_26864100'!$F$2</f>
        <v/>
      </c>
      <c r="C5" s="24">
        <f>'res_raw_26864100'!$E$2</f>
        <v/>
      </c>
      <c r="D5" s="24">
        <f>'res_raw_26864100'!$D$2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'res_raw_26864100'!$F$3</f>
        <v/>
      </c>
      <c r="C6" s="24">
        <f>'res_raw_26864100'!$E$3</f>
        <v/>
      </c>
      <c r="D6" s="24">
        <f>'res_raw_26864100'!$D$3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-'res_raw_26864100'!$F$4</f>
        <v/>
      </c>
      <c r="C7" s="24">
        <f>-'res_raw_26864100'!$E$4</f>
        <v/>
      </c>
      <c r="D7" s="24">
        <f>-'res_raw_26864100'!$D$4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-'res_raw_26864100'!$F$5</f>
        <v/>
      </c>
      <c r="C8" s="24">
        <f>-'res_raw_26864100'!$E$5</f>
        <v/>
      </c>
      <c r="D8" s="24">
        <f>-'res_raw_26864100'!$D$5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-'res_raw_26864100'!$F$7</f>
        <v/>
      </c>
      <c r="C10" s="24">
        <f>-'res_raw_26864100'!$E$7</f>
        <v/>
      </c>
      <c r="D10" s="24">
        <f>-'res_raw_26864100'!$D$7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-'res_raw_26864100'!$F$9</f>
        <v/>
      </c>
      <c r="C11" s="24">
        <f>-'res_raw_26864100'!$E$9</f>
        <v/>
      </c>
      <c r="D11" s="24">
        <f>-'res_raw_26864100'!$D$9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-'res_raw_26864100'!$F$10</f>
        <v/>
      </c>
      <c r="C12" s="24">
        <f>-'res_raw_26864100'!$E$10</f>
        <v/>
      </c>
      <c r="D12" s="24">
        <f>-'res_raw_26864100'!$D$10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N('res_raw_26864100'!$F$12)+N('res_raw_26864100'!$F$13)</f>
        <v/>
      </c>
      <c r="C14" s="24">
        <f>N('res_raw_26864100'!$E$12)+N('res_raw_26864100'!$E$13)</f>
        <v/>
      </c>
      <c r="D14" s="24">
        <f>N('res_raw_26864100'!$D$12)+N('res_raw_26864100'!$D$13)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-'res_raw_26864100'!$F$14</f>
        <v/>
      </c>
      <c r="C15" s="24">
        <f>-'res_raw_26864100'!$E$14</f>
        <v/>
      </c>
      <c r="D15" s="24">
        <f>-'res_raw_26864100'!$D$14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'balance_raw_26864100'!$F$15</f>
        <v/>
      </c>
      <c r="C19" s="24">
        <f>'balance_raw_26864100'!$E$15</f>
        <v/>
      </c>
      <c r="D19" s="24">
        <f>'balance_raw_26864100'!$D$15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'balance_raw_26864100'!$F$30</f>
        <v/>
      </c>
      <c r="C20" s="24">
        <f>'balance_raw_26864100'!$E$30</f>
        <v/>
      </c>
      <c r="D20" s="24">
        <f>'balance_raw_26864100'!$D$30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'balance_raw_26864100'!$F$38</f>
        <v/>
      </c>
      <c r="C23" s="24">
        <f>'balance_raw_26864100'!$E$38</f>
        <v/>
      </c>
      <c r="D23" s="24">
        <f>'balance_raw_26864100'!$D$38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'balance_raw_26864100'!$F$53-'balance_raw_26864100'!$F$38</f>
        <v/>
      </c>
      <c r="C24" s="24">
        <f>'balance_raw_26864100'!$E$53-'balance_raw_26864100'!$E$38</f>
        <v/>
      </c>
      <c r="D24" s="24">
        <f>'balance_raw_26864100'!$D$53-'balance_raw_26864100'!$D$38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'balance_raw_26864100'!$F$19</f>
        <v/>
      </c>
      <c r="C28" s="24">
        <f>'balance_raw_26864100'!$E$19</f>
        <v/>
      </c>
      <c r="D28" s="24">
        <f>'balance_raw_26864100'!$D$19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'balance_raw_26864100'!$F$20</f>
        <v/>
      </c>
      <c r="C29" s="24">
        <f>'balance_raw_26864100'!$E$20</f>
        <v/>
      </c>
      <c r="D29" s="24">
        <f>'balance_raw_26864100'!$D$20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'balance_raw_26864100'!$F$51</f>
        <v/>
      </c>
      <c r="C30" s="24">
        <f>'balance_raw_26864100'!$E$51</f>
        <v/>
      </c>
      <c r="D30" s="24">
        <f>'balance_raw_26864100'!$D$51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IF('balance_raw_26864100'!$F$31="","—",IF(ABS(B21-'balance_raw_26864100'!$F$31)&lt;=1,"✓ OK","❌ "&amp;TEXT(B21-'balance_raw_26864100'!$F$31,"+#,##0;-#,##0")&amp;" t.kr."))</f>
        <v/>
      </c>
      <c r="C61" s="29">
        <f>IF('balance_raw_26864100'!$E$31="","—",IF(ABS(C21-'balance_raw_26864100'!$E$31)&lt;=1,"✓ OK","❌ "&amp;TEXT(C21-'balance_raw_26864100'!$E$31,"+#,##0;-#,##0")&amp;" t.kr."))</f>
        <v/>
      </c>
      <c r="D61" s="29">
        <f>IF('balance_raw_26864100'!$D$31="","—",IF(ABS(D21-'balance_raw_26864100'!$D$31)&lt;=1,"✓ OK","❌ "&amp;TEXT(D21-'balance_raw_26864100'!$D$31,"+#,##0;-#,##0")&amp;"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IF('balance_raw_26864100'!$F$53="","—",IF(ABS(B25-'balance_raw_26864100'!$F$53)&lt;=1,"✓ OK","❌ "&amp;TEXT(B25-'balance_raw_26864100'!$F$53,"+#,##0;-#,##0")&amp;" t.kr."))</f>
        <v/>
      </c>
      <c r="C62" s="29">
        <f>IF('balance_raw_26864100'!$E$53="","—",IF(ABS(C25-'balance_raw_26864100'!$E$53)&lt;=1,"✓ OK","❌ "&amp;TEXT(C25-'balance_raw_26864100'!$E$53,"+#,##0;-#,##0")&amp;" t.kr."))</f>
        <v/>
      </c>
      <c r="D62" s="29">
        <f>IF('balance_raw_26864100'!$D$53="","—",IF(ABS(D25-'balance_raw_26864100'!$D$53)&lt;=1,"✓ OK","❌ "&amp;TEXT(D25-'balance_raw_26864100'!$D$53,"+#,##0;-#,##0")&amp;"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IF('res_raw_26864100'!$F$6="","—",IF(ABS(B9-'res_raw_26864100'!$F$6)&lt;=1,"✓ OK","❌ "&amp;TEXT(B9-'res_raw_26864100'!$F$6,"+#,##0;-#,##0")&amp;" t.kr."))</f>
        <v/>
      </c>
      <c r="C64" s="29">
        <f>IF('res_raw_26864100'!$E$6="","—",IF(ABS(C9-'res_raw_26864100'!$E$6)&lt;=1,"✓ OK","❌ "&amp;TEXT(C9-'res_raw_26864100'!$E$6,"+#,##0;-#,##0")&amp;" t.kr."))</f>
        <v/>
      </c>
      <c r="D64" s="29">
        <f>IF('res_raw_26864100'!$D$6="","—",IF(ABS(D9-'res_raw_26864100'!$D$6)&lt;=1,"✓ OK","❌ "&amp;TEXT(D9-'res_raw_26864100'!$D$6,"+#,##0;-#,##0")&amp;"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IF('res_raw_26864100'!$F$11="","—",IF(ABS(B13-'res_raw_26864100'!$F$11)&lt;=1,"✓ OK","❌ "&amp;TEXT(B13-'res_raw_26864100'!$F$11,"+#,##0;-#,##0")&amp;" t.kr."))</f>
        <v/>
      </c>
      <c r="C65" s="29">
        <f>IF('res_raw_26864100'!$E$11="","—",IF(ABS(C13-'res_raw_26864100'!$E$11)&lt;=1,"✓ OK","❌ "&amp;TEXT(C13-'res_raw_26864100'!$E$11,"+#,##0;-#,##0")&amp;" t.kr."))</f>
        <v/>
      </c>
      <c r="D65" s="29">
        <f>IF('res_raw_26864100'!$D$11="","—",IF(ABS(D13-'res_raw_26864100'!$D$11)&lt;=1,"✓ OK","❌ "&amp;TEXT(D13-'res_raw_26864100'!$D$11,"+#,##0;-#,##0")&amp;"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IF('res_raw_26864100'!$F$16="","—",IF(ABS(B16-'res_raw_26864100'!$F$16)&lt;=1,"✓ OK","❌ "&amp;TEXT(B16-'res_raw_26864100'!$F$16,"+#,##0;-#,##0")&amp;" t.kr."))</f>
        <v/>
      </c>
      <c r="C66" s="29">
        <f>IF('res_raw_26864100'!$E$16="","—",IF(ABS(C16-'res_raw_26864100'!$E$16)&lt;=1,"✓ OK","❌ "&amp;TEXT(C16-'res_raw_26864100'!$E$16,"+#,##0;-#,##0")&amp;" t.kr."))</f>
        <v/>
      </c>
      <c r="D66" s="29">
        <f>IF('res_raw_26864100'!$D$16="","—",IF(ABS(D16-'res_raw_26864100'!$D$16)&lt;=1,"✓ OK","❌ "&amp;TEXT(D16-'res_raw_26864100'!$D$16,"+#,##0;-#,##0")&amp;"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XL-BYG a.m.b.a. (CVR 26864100)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fsa:ProceedsFromSalesOfFinancialInstrumentsClassifiedAsInvestingActivities</t>
        </is>
      </c>
      <c r="C3" s="34" t="inlineStr">
        <is>
          <t>fsa:ProceedsFromSalesOfFinancialInstrumentsClassifiedAsInvestingActivities</t>
        </is>
      </c>
      <c r="D3" s="35" t="n"/>
      <c r="E3" s="35" t="n"/>
      <c r="F3" s="35" t="n"/>
      <c r="G3" s="35" t="n"/>
      <c r="H3" s="35" t="n">
        <v>30749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fsa:ProvisionsForInvestmentsInGroupEnterprises</t>
        </is>
      </c>
      <c r="C4" s="37" t="inlineStr">
        <is>
          <t>fsa:ProvisionsForInvestmentsInGroupEnterprises</t>
        </is>
      </c>
      <c r="D4" s="38" t="n"/>
      <c r="E4" s="38" t="n"/>
      <c r="F4" s="38" t="n"/>
      <c r="G4" s="38" t="n"/>
      <c r="H4" s="38" t="n">
        <v>0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2026-09-10T15:36:20Z</dcterms:created>
  <dcterms:modified xmlns:dcterms="http://purl.org/dc/terms/" xmlns:xsi="http://www.w3.org/2001/XMLSchema-instance" xsi:type="dcterms:W3CDTF">2026-09-10T15:36:20Z</dcterms:modified>
</cp:coreProperties>
</file>