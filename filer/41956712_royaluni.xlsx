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Kapitalandele, dattervirksomheder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Deposita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Finansielle anlægsaktiver</t>
        </is>
      </c>
      <c r="B28" s="8">
        <f>'balance_raw'!$B$9</f>
        <v/>
      </c>
      <c r="C28" s="8">
        <f>'balance_raw'!$C$9</f>
        <v/>
      </c>
      <c r="D28" s="8">
        <f>'balance_raw'!$D$9</f>
        <v/>
      </c>
      <c r="E28" s="8">
        <f>'balance_raw'!$E$9</f>
        <v/>
      </c>
      <c r="F28" s="8">
        <f>'balance_raw'!$F$9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7" t="inlineStr">
        <is>
          <t>Anlægsaktiver</t>
        </is>
      </c>
      <c r="B29" s="8">
        <f>'balance_raw'!$B$10</f>
        <v/>
      </c>
      <c r="C29" s="8">
        <f>'balance_raw'!$C$10</f>
        <v/>
      </c>
      <c r="D29" s="8">
        <f>'balance_raw'!$D$10</f>
        <v/>
      </c>
      <c r="E29" s="8">
        <f>'balance_raw'!$E$10</f>
        <v/>
      </c>
      <c r="F29" s="8">
        <f>'balance_raw'!$F$10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Varebeholdninger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Tilgodehavender fra salg og tjenesteydelser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Tilgodehavender hos tilknyttede virksomheder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Andre tilgodehavender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Periodeafgrænsningsposter (aktiver)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Udskudt skatteaktiv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 skat hos tilknyttede virksomheder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Kortfristede skattetilgodehavender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Tilgodehavender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Værdipapirer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Likvide beholdninger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Omsætningsaktiver</t>
        </is>
      </c>
      <c r="B41" s="8">
        <f>'balance_raw'!$B$22</f>
        <v/>
      </c>
      <c r="C41" s="8">
        <f>'balance_raw'!$C$22</f>
        <v/>
      </c>
      <c r="D41" s="8">
        <f>'balance_raw'!$D$22</f>
        <v/>
      </c>
      <c r="E41" s="8">
        <f>'balance_raw'!$E$22</f>
        <v/>
      </c>
      <c r="F41" s="8">
        <f>'balance_raw'!$F$22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7" t="inlineStr">
        <is>
          <t>Aktiver</t>
        </is>
      </c>
      <c r="B42" s="8">
        <f>'balance_raw'!$B$23</f>
        <v/>
      </c>
      <c r="C42" s="8">
        <f>'balance_raw'!$C$23</f>
        <v/>
      </c>
      <c r="D42" s="8">
        <f>'balance_raw'!$D$23</f>
        <v/>
      </c>
      <c r="E42" s="8">
        <f>'balance_raw'!$E$23</f>
        <v/>
      </c>
      <c r="F42" s="8">
        <f>'balance_raw'!$F$23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4" ht="22" customHeight="1">
      <c r="A44" s="3" t="inlineStr">
        <is>
          <t>PASSIVER t.kr.</t>
        </is>
      </c>
      <c r="B44" s="3" t="n">
        <v>2021</v>
      </c>
      <c r="C44" s="3" t="n">
        <v>2022</v>
      </c>
      <c r="D44" s="3" t="n">
        <v>2023</v>
      </c>
      <c r="E44" s="3" t="n">
        <v>2024</v>
      </c>
      <c r="F44" s="3" t="n">
        <v>2025</v>
      </c>
      <c r="G44" t="inlineStr"/>
      <c r="H44" s="3" t="n">
        <v>2021</v>
      </c>
      <c r="I44" s="3" t="n">
        <v>2022</v>
      </c>
      <c r="J44" s="3" t="n">
        <v>2023</v>
      </c>
      <c r="K44" s="3" t="n">
        <v>2024</v>
      </c>
      <c r="L44" s="3" t="n">
        <v>2025</v>
      </c>
    </row>
    <row r="45" ht="16" customHeight="1">
      <c r="A45" s="10" t="inlineStr">
        <is>
          <t>Selskabskapital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Reserve for nettoopskrivning (indre værdis metode)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udviklingsomkostninger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sikringstransaktioner</t>
        </is>
      </c>
      <c r="B48" s="5">
        <f>'balance_raw'!$B$27</f>
        <v/>
      </c>
      <c r="C48" s="5">
        <f>'balance_raw'!$C$27</f>
        <v/>
      </c>
      <c r="D48" s="5">
        <f>'balance_raw'!$D$27</f>
        <v/>
      </c>
      <c r="E48" s="5">
        <f>'balance_raw'!$E$27</f>
        <v/>
      </c>
      <c r="F48" s="5">
        <f>'balance_raw'!$F$27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Andre reserver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Overført resultat</t>
        </is>
      </c>
      <c r="B50" s="5">
        <f>'balance_raw'!$B$29</f>
        <v/>
      </c>
      <c r="C50" s="5">
        <f>'balance_raw'!$C$29</f>
        <v/>
      </c>
      <c r="D50" s="5">
        <f>'balance_raw'!$D$29</f>
        <v/>
      </c>
      <c r="E50" s="5">
        <f>'balance_raw'!$E$29</f>
        <v/>
      </c>
      <c r="F50" s="5">
        <f>'balance_raw'!$F$29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Egenkapital i alt</t>
        </is>
      </c>
      <c r="B51" s="8">
        <f>'balance_raw'!$B$30</f>
        <v/>
      </c>
      <c r="C51" s="8">
        <f>'balance_raw'!$C$30</f>
        <v/>
      </c>
      <c r="D51" s="8">
        <f>'balance_raw'!$D$30</f>
        <v/>
      </c>
      <c r="E51" s="8">
        <f>'balance_raw'!$E$30</f>
        <v/>
      </c>
      <c r="F51" s="8">
        <f>'balance_raw'!$F$30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Hensættelse til udskudt skat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Hensatte forpligtelser</t>
        </is>
      </c>
      <c r="B53" s="8">
        <f>'balance_raw'!$B$32</f>
        <v/>
      </c>
      <c r="C53" s="8">
        <f>'balance_raw'!$C$32</f>
        <v/>
      </c>
      <c r="D53" s="8">
        <f>'balance_raw'!$D$32</f>
        <v/>
      </c>
      <c r="E53" s="8">
        <f>'balance_raw'!$E$32</f>
        <v/>
      </c>
      <c r="F53" s="8">
        <f>'balance_raw'!$F$32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Ansvarlig lånekapital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Langfristede lån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Leasingforpligtelser (langfristet)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Anden gæld (langfristet)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Langfristede gældsforpligtelser</t>
        </is>
      </c>
      <c r="B58" s="8">
        <f>'balance_raw'!$B$37</f>
        <v/>
      </c>
      <c r="C58" s="8">
        <f>'balance_raw'!$C$37</f>
        <v/>
      </c>
      <c r="D58" s="8">
        <f>'balance_raw'!$D$37</f>
        <v/>
      </c>
      <c r="E58" s="8">
        <f>'balance_raw'!$E$37</f>
        <v/>
      </c>
      <c r="F58" s="8">
        <f>'balance_raw'!$F$37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10" t="inlineStr">
        <is>
          <t>Ansvarlig lånekapital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Kortfristet del af langfristede gældsforpligtelser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Kreditinstitutter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Leasingforpligtelser (kortfristet)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Leverandører af varer og tjenesteydelser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selskabsdeltagere og ledelse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Selskabsskat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 vedr. selskabsskat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Anden gæld (kortfristet)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Periodeafgrænsningsposter (passiver)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Kortfristede gældsforpligtelser</t>
        </is>
      </c>
      <c r="B70" s="8">
        <f>'balance_raw'!$B$49</f>
        <v/>
      </c>
      <c r="C70" s="8">
        <f>'balance_raw'!$C$49</f>
        <v/>
      </c>
      <c r="D70" s="8">
        <f>'balance_raw'!$D$49</f>
        <v/>
      </c>
      <c r="E70" s="8">
        <f>'balance_raw'!$E$49</f>
        <v/>
      </c>
      <c r="F70" s="8">
        <f>'balance_raw'!$F$49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7" t="inlineStr">
        <is>
          <t>Gældsforpligtelser</t>
        </is>
      </c>
      <c r="B71" s="8">
        <f>'balance_raw'!$B$50</f>
        <v/>
      </c>
      <c r="C71" s="8">
        <f>'balance_raw'!$C$50</f>
        <v/>
      </c>
      <c r="D71" s="8">
        <f>'balance_raw'!$D$50</f>
        <v/>
      </c>
      <c r="E71" s="8">
        <f>'balance_raw'!$E$50</f>
        <v/>
      </c>
      <c r="F71" s="8">
        <f>'balance_raw'!$F$50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Passiver</t>
        </is>
      </c>
      <c r="B72" s="8">
        <f>'balance_raw'!$B$51</f>
        <v/>
      </c>
      <c r="C72" s="8">
        <f>'balance_raw'!$C$51</f>
        <v/>
      </c>
      <c r="D72" s="8">
        <f>'balance_raw'!$D$51</f>
        <v/>
      </c>
      <c r="E72" s="8">
        <f>'balance_raw'!$E$51</f>
        <v/>
      </c>
      <c r="F72" s="8">
        <f>'balance_raw'!$F$51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4" ht="22" customHeight="1">
      <c r="A74" s="3" t="inlineStr">
        <is>
          <t>NØGLEOPLYSNINGER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10" t="inlineStr">
        <is>
          <t>Gns. antal medarbejdere</t>
        </is>
      </c>
      <c r="B75" s="11">
        <f>'res_raw'!$B$17</f>
        <v/>
      </c>
      <c r="C75" s="11">
        <f>'res_raw'!$C$17</f>
        <v/>
      </c>
      <c r="D75" s="11">
        <f>'res_raw'!$D$17</f>
        <v/>
      </c>
      <c r="E75" s="11">
        <f>'res_raw'!$E$17</f>
        <v/>
      </c>
      <c r="F75" s="11">
        <f>'res_raw'!$F$17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Investering i materielle anlægsaktiver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8" ht="22" customHeight="1">
      <c r="A78" s="3" t="inlineStr">
        <is>
          <t>NØGLETAL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Afkastningsgrad, %</t>
        </is>
      </c>
      <c r="B79" s="13">
        <f>IFERROR(($B$11+$B$13+$B$12)/$B$42*100,"")</f>
        <v/>
      </c>
      <c r="C79" s="13">
        <f>IFERROR(($C$11+$C$13+$C$12)/$C$42*100,"")</f>
        <v/>
      </c>
      <c r="D79" s="13">
        <f>IFERROR(($D$11+$D$13+$D$12)/$D$42*100,"")</f>
        <v/>
      </c>
      <c r="E79" s="13">
        <f>IFERROR(($E$11+$E$13+$E$12)/$E$42*100,"")</f>
        <v/>
      </c>
      <c r="F79" s="13">
        <f>IFERROR(($F$11+$F$13+$F$12)/$F$42*100,"")</f>
        <v/>
      </c>
    </row>
    <row r="80" ht="16" customHeight="1">
      <c r="A80" s="4" t="inlineStr">
        <is>
          <t>Overskudsgrad, %</t>
        </is>
      </c>
      <c r="B80" s="14">
        <f>IFERROR(($B$11+$B$13+$B$12)/$B$4*100,"")</f>
        <v/>
      </c>
      <c r="C80" s="14">
        <f>IFERROR(($C$11+$C$13+$C$12)/$C$4*100,"")</f>
        <v/>
      </c>
      <c r="D80" s="14">
        <f>IFERROR(($D$11+$D$13+$D$12)/$D$4*100,"")</f>
        <v/>
      </c>
      <c r="E80" s="14">
        <f>IFERROR(($E$11+$E$13+$E$12)/$E$4*100,"")</f>
        <v/>
      </c>
      <c r="F80" s="14">
        <f>IFERROR(($F$11+$F$13+$F$12)/$F$4*100,"")</f>
        <v/>
      </c>
    </row>
    <row r="81" ht="16" customHeight="1">
      <c r="A81" s="10" t="inlineStr">
        <is>
          <t>Aktivernes omsætningshastighed, gange</t>
        </is>
      </c>
      <c r="B81" s="13">
        <f>IFERROR($B$4/$B$42,"")</f>
        <v/>
      </c>
      <c r="C81" s="13">
        <f>IFERROR($C$4/$C$42,"")</f>
        <v/>
      </c>
      <c r="D81" s="13">
        <f>IFERROR($D$4/$D$42,"")</f>
        <v/>
      </c>
      <c r="E81" s="13">
        <f>IFERROR($E$4/$E$42,"")</f>
        <v/>
      </c>
      <c r="F81" s="13">
        <f>IFERROR($F$4/$F$42,"")</f>
        <v/>
      </c>
    </row>
    <row r="82" ht="16" customHeight="1">
      <c r="A82" s="4" t="inlineStr">
        <is>
          <t>Egenkapitalens forrentning, %</t>
        </is>
      </c>
      <c r="B82" s="14">
        <f>IFERROR($B$16/$B$51*100,"")</f>
        <v/>
      </c>
      <c r="C82" s="14">
        <f>IFERROR($C$16/$C$51*100,"")</f>
        <v/>
      </c>
      <c r="D82" s="14">
        <f>IFERROR($D$16/$D$51*100,"")</f>
        <v/>
      </c>
      <c r="E82" s="14">
        <f>IFERROR($E$16/$E$51*100,"")</f>
        <v/>
      </c>
      <c r="F82" s="14">
        <f>IFERROR($F$16/$F$51*100,"")</f>
        <v/>
      </c>
    </row>
    <row r="83" ht="16" customHeight="1">
      <c r="A83" s="10" t="inlineStr">
        <is>
          <t>Gældsrente, %</t>
        </is>
      </c>
      <c r="B83" s="13">
        <f>IFERROR($B$14/($B$72-$B$51)*100,"")</f>
        <v/>
      </c>
      <c r="C83" s="13">
        <f>IFERROR($C$14/($C$72-$C$51)*100,"")</f>
        <v/>
      </c>
      <c r="D83" s="13">
        <f>IFERROR($D$14/($D$72-$D$51)*100,"")</f>
        <v/>
      </c>
      <c r="E83" s="13">
        <f>IFERROR($E$14/($E$72-$E$51)*100,"")</f>
        <v/>
      </c>
      <c r="F83" s="13">
        <f>IFERROR($F$14/($F$72-$F$51)*100,"")</f>
        <v/>
      </c>
    </row>
    <row r="84" ht="16" customHeight="1">
      <c r="A84" s="4" t="inlineStr">
        <is>
          <t>Soliditetsgrad, %</t>
        </is>
      </c>
      <c r="B84" s="14">
        <f>IFERROR($B$51/$B$42*100,"")</f>
        <v/>
      </c>
      <c r="C84" s="14">
        <f>IFERROR($C$51/$C$42*100,"")</f>
        <v/>
      </c>
      <c r="D84" s="14">
        <f>IFERROR($D$51/$D$42*100,"")</f>
        <v/>
      </c>
      <c r="E84" s="14">
        <f>IFERROR($E$51/$E$42*100,"")</f>
        <v/>
      </c>
      <c r="F84" s="14">
        <f>IFERROR($F$51/$F$42*100,"")</f>
        <v/>
      </c>
    </row>
    <row r="85" ht="16" customHeight="1">
      <c r="A85" s="10" t="inlineStr">
        <is>
          <t>Gearing</t>
        </is>
      </c>
      <c r="B85" s="13">
        <f>IFERROR(($B$72-$B$51)/$B$51,"")</f>
        <v/>
      </c>
      <c r="C85" s="13">
        <f>IFERROR(($C$72-$C$51)/$C$51,"")</f>
        <v/>
      </c>
      <c r="D85" s="13">
        <f>IFERROR(($D$72-$D$51)/$D$51,"")</f>
        <v/>
      </c>
      <c r="E85" s="13">
        <f>IFERROR(($E$72-$E$51)/$E$51,"")</f>
        <v/>
      </c>
      <c r="F85" s="13">
        <f>IFERROR(($F$72-$F$51)/$F$51,"")</f>
        <v/>
      </c>
    </row>
    <row r="86" ht="16" customHeight="1">
      <c r="A86" s="4" t="inlineStr">
        <is>
          <t>Likviditetsgrad, %</t>
        </is>
      </c>
      <c r="B86" s="14">
        <f>IFERROR($B$41/$B$70*100,"")</f>
        <v/>
      </c>
      <c r="C86" s="14">
        <f>IFERROR($C$41/$C$70*100,"")</f>
        <v/>
      </c>
      <c r="D86" s="14">
        <f>IFERROR($D$41/$D$70*100,"")</f>
        <v/>
      </c>
      <c r="E86" s="14">
        <f>IFERROR($E$41/$E$70*100,"")</f>
        <v/>
      </c>
      <c r="F86" s="14">
        <f>IFERROR($F$41/$F$70*100,"")</f>
        <v/>
      </c>
    </row>
    <row r="87" ht="16" customHeight="1">
      <c r="A87" s="10" t="inlineStr">
        <is>
          <t>Rentemarginal, %</t>
        </is>
      </c>
      <c r="B87" s="13">
        <f>IFERROR(B79-B83,"")</f>
        <v/>
      </c>
      <c r="C87" s="13">
        <f>IFERROR(C79-C83,"")</f>
        <v/>
      </c>
      <c r="D87" s="13">
        <f>IFERROR(D79-D83,"")</f>
        <v/>
      </c>
      <c r="E87" s="13">
        <f>IFERROR(E79-E83,"")</f>
        <v/>
      </c>
      <c r="F87" s="13">
        <f>IFERROR(F79-F83,"")</f>
        <v/>
      </c>
    </row>
    <row r="88" ht="16" customHeight="1">
      <c r="A88" s="4" t="inlineStr">
        <is>
          <t>Gældsandel, %</t>
        </is>
      </c>
      <c r="B88" s="14">
        <f>IFERROR(($B$72-$B$51)/$B$42*100,"")</f>
        <v/>
      </c>
      <c r="C88" s="14">
        <f>IFERROR(($C$72-$C$51)/$C$42*100,"")</f>
        <v/>
      </c>
      <c r="D88" s="14">
        <f>IFERROR(($D$72-$D$51)/$D$42*100,"")</f>
        <v/>
      </c>
      <c r="E88" s="14">
        <f>IFERROR(($E$72-$E$51)/$E$42*100,"")</f>
        <v/>
      </c>
      <c r="F88" s="14">
        <f>IFERROR(($F$72-$F$51)/$F$42*100,"")</f>
        <v/>
      </c>
    </row>
    <row r="89" ht="16" customHeight="1">
      <c r="A89" s="10" t="inlineStr">
        <is>
          <t>Kapitalbindingsgrad, %</t>
        </is>
      </c>
      <c r="B89" s="13">
        <f>IFERROR($B$29/($B$51+$B$58)*100,"")</f>
        <v/>
      </c>
      <c r="C89" s="13">
        <f>IFERROR($C$29/($C$51+$C$58)*100,"")</f>
        <v/>
      </c>
      <c r="D89" s="13">
        <f>IFERROR($D$29/($D$51+$D$58)*100,"")</f>
        <v/>
      </c>
      <c r="E89" s="13">
        <f>IFERROR($E$29/($E$51+$E$58)*100,"")</f>
        <v/>
      </c>
      <c r="F89" s="13">
        <f>IFERROR($F$29/($F$51+$F$58)*100,"")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8746000</v>
      </c>
      <c r="C2" s="16" t="n">
        <v>11487000</v>
      </c>
      <c r="D2" s="16" t="n">
        <v>12927000</v>
      </c>
      <c r="E2" s="16" t="n">
        <v>15036000</v>
      </c>
      <c r="F2" s="16" t="n">
        <v>15723000</v>
      </c>
    </row>
    <row r="3">
      <c r="A3" s="15" t="inlineStr">
        <is>
          <t>Produktionsomkostninger</t>
        </is>
      </c>
      <c r="B3" s="16" t="n">
        <v>4490000</v>
      </c>
      <c r="C3" s="16" t="n">
        <v>6618000</v>
      </c>
      <c r="D3" s="16" t="n">
        <v>7533000</v>
      </c>
      <c r="E3" s="16" t="n">
        <v>8648000</v>
      </c>
      <c r="F3" s="16" t="n">
        <v>8957000</v>
      </c>
    </row>
    <row r="4">
      <c r="A4" s="17" t="inlineStr">
        <is>
          <t>Bruttoresultat</t>
        </is>
      </c>
      <c r="B4" s="16" t="n">
        <v>4256000</v>
      </c>
      <c r="C4" s="16" t="n">
        <v>4869000</v>
      </c>
      <c r="D4" s="16" t="n">
        <v>5394000</v>
      </c>
      <c r="E4" s="16" t="n">
        <v>6388000</v>
      </c>
      <c r="F4" s="16" t="n">
        <v>6766000</v>
      </c>
    </row>
    <row r="5">
      <c r="A5" s="15" t="inlineStr">
        <is>
          <t>Salgs- og distributionsomkostninger</t>
        </is>
      </c>
      <c r="B5" s="16" t="n">
        <v>2189000</v>
      </c>
      <c r="C5" s="16" t="n">
        <v>2926000</v>
      </c>
      <c r="D5" s="16" t="n">
        <v>3158000</v>
      </c>
      <c r="E5" s="16" t="n">
        <v>3626000</v>
      </c>
      <c r="F5" s="16" t="n">
        <v>3638000</v>
      </c>
    </row>
    <row r="6">
      <c r="A6" s="15" t="inlineStr">
        <is>
          <t>Administrationsomkostninger</t>
        </is>
      </c>
      <c r="B6" s="16" t="n">
        <v>415000</v>
      </c>
      <c r="C6" s="16" t="n">
        <v>427000</v>
      </c>
      <c r="D6" s="16" t="n">
        <v>628000</v>
      </c>
      <c r="E6" s="16" t="n">
        <v>794000</v>
      </c>
      <c r="F6" s="16" t="n">
        <v>926000</v>
      </c>
    </row>
    <row r="7">
      <c r="A7" s="15" t="inlineStr">
        <is>
          <t>Andre driftsindtægter</t>
        </is>
      </c>
      <c r="B7" s="16" t="n"/>
      <c r="C7" s="16" t="n"/>
      <c r="D7" s="16" t="n">
        <v>30000</v>
      </c>
      <c r="E7" s="16" t="n">
        <v>0</v>
      </c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1652000</v>
      </c>
      <c r="C9" s="16" t="n">
        <v>1516000</v>
      </c>
      <c r="D9" s="16" t="n">
        <v>1638000</v>
      </c>
      <c r="E9" s="16" t="n">
        <v>1968000</v>
      </c>
      <c r="F9" s="16" t="n">
        <v>2202000</v>
      </c>
    </row>
    <row r="10">
      <c r="A10" s="15" t="inlineStr">
        <is>
          <t>Indtægter af kapitalandele, dattervirksomheder</t>
        </is>
      </c>
      <c r="B10" s="16" t="n">
        <v>37000</v>
      </c>
      <c r="C10" s="16" t="n">
        <v>2000</v>
      </c>
      <c r="D10" s="16" t="n">
        <v>18000</v>
      </c>
      <c r="E10" s="16" t="n">
        <v>-6000</v>
      </c>
      <c r="F10" s="16" t="n">
        <v>18000</v>
      </c>
    </row>
    <row r="11">
      <c r="A11" s="15" t="inlineStr">
        <is>
          <t>Finansielle indtægter</t>
        </is>
      </c>
      <c r="B11" s="16" t="n">
        <v>7000</v>
      </c>
      <c r="C11" s="16" t="n">
        <v>10000</v>
      </c>
      <c r="D11" s="16" t="n">
        <v>10000</v>
      </c>
      <c r="E11" s="16" t="n">
        <v>229000</v>
      </c>
      <c r="F11" s="16" t="n">
        <v>26000</v>
      </c>
    </row>
    <row r="12">
      <c r="A12" s="15" t="inlineStr">
        <is>
          <t>Finansielle omkostninger</t>
        </is>
      </c>
      <c r="B12" s="16" t="n">
        <v>49000</v>
      </c>
      <c r="C12" s="16" t="n">
        <v>103000</v>
      </c>
      <c r="D12" s="16" t="n">
        <v>260000</v>
      </c>
      <c r="E12" s="16" t="n">
        <v>326000</v>
      </c>
      <c r="F12" s="16" t="n">
        <v>280000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1647000</v>
      </c>
      <c r="C14" s="16" t="n">
        <v>1785000</v>
      </c>
      <c r="D14" s="16" t="n">
        <v>1406000</v>
      </c>
      <c r="E14" s="16" t="n">
        <v>1865000</v>
      </c>
      <c r="F14" s="16" t="n">
        <v>1966000</v>
      </c>
    </row>
    <row r="15">
      <c r="A15" s="15" t="inlineStr">
        <is>
          <t>Skat af årets resultat</t>
        </is>
      </c>
      <c r="B15" s="16" t="n">
        <v>349000</v>
      </c>
      <c r="C15" s="16" t="n">
        <v>294000</v>
      </c>
      <c r="D15" s="16" t="n">
        <v>311000</v>
      </c>
      <c r="E15" s="16" t="n">
        <v>401000</v>
      </c>
      <c r="F15" s="16" t="n">
        <v>406000</v>
      </c>
    </row>
    <row r="16">
      <c r="A16" s="17" t="inlineStr">
        <is>
          <t>Årets resultat</t>
        </is>
      </c>
      <c r="B16" s="16" t="n">
        <v>1298000</v>
      </c>
      <c r="C16" s="16" t="n">
        <v>1491000</v>
      </c>
      <c r="D16" s="16" t="n">
        <v>1095000</v>
      </c>
      <c r="E16" s="16" t="n">
        <v>1464000</v>
      </c>
      <c r="F16" s="16" t="n">
        <v>1560000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426000</v>
      </c>
      <c r="C18" s="16" t="n">
        <v>475000</v>
      </c>
      <c r="D18" s="16" t="n">
        <v>602000</v>
      </c>
      <c r="E18" s="16" t="n">
        <v>761000</v>
      </c>
      <c r="F18" s="16" t="n">
        <v>797000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/>
      <c r="F4" s="16" t="n">
        <v>5161000</v>
      </c>
    </row>
    <row r="5">
      <c r="A5" s="17" t="inlineStr">
        <is>
          <t>Immaterielle anlægsaktiver</t>
        </is>
      </c>
      <c r="B5" s="16" t="n">
        <v>5861000</v>
      </c>
      <c r="C5" s="16" t="n">
        <v>7558000</v>
      </c>
      <c r="D5" s="16" t="n">
        <v>9469000</v>
      </c>
      <c r="E5" s="16" t="n">
        <v>9513000</v>
      </c>
      <c r="F5" s="16" t="n">
        <v>4485000</v>
      </c>
    </row>
    <row r="6">
      <c r="A6" s="17" t="inlineStr">
        <is>
          <t>Materielle anlægsaktiver</t>
        </is>
      </c>
      <c r="B6" s="16" t="n">
        <v>2734000</v>
      </c>
      <c r="C6" s="16" t="n">
        <v>3680000</v>
      </c>
      <c r="D6" s="16" t="n">
        <v>4662000</v>
      </c>
      <c r="E6" s="16" t="n">
        <v>4749000</v>
      </c>
      <c r="F6" s="16" t="n">
        <v>5120000</v>
      </c>
    </row>
    <row r="7">
      <c r="A7" s="15" t="inlineStr">
        <is>
          <t>Kapitalandele, dattervirksomheder</t>
        </is>
      </c>
      <c r="B7" s="16" t="n">
        <v>153000</v>
      </c>
      <c r="C7" s="16" t="n">
        <v>99000</v>
      </c>
      <c r="D7" s="16" t="n">
        <v>34000</v>
      </c>
      <c r="E7" s="16" t="n">
        <v>17000</v>
      </c>
      <c r="F7" s="16" t="n"/>
    </row>
    <row r="8">
      <c r="A8" s="15" t="inlineStr">
        <is>
          <t>Deposita</t>
        </is>
      </c>
      <c r="B8" s="16" t="n">
        <v>23000</v>
      </c>
      <c r="C8" s="16" t="n">
        <v>79000</v>
      </c>
      <c r="D8" s="16" t="n">
        <v>89000</v>
      </c>
      <c r="E8" s="16" t="n">
        <v>73000</v>
      </c>
      <c r="F8" s="16" t="n">
        <v>65000</v>
      </c>
    </row>
    <row r="9">
      <c r="A9" s="17" t="inlineStr">
        <is>
          <t>Finansielle anlægsaktiver</t>
        </is>
      </c>
      <c r="B9" s="16" t="n"/>
      <c r="C9" s="16" t="n"/>
      <c r="D9" s="16" t="n"/>
      <c r="E9" s="16" t="n"/>
      <c r="F9" s="16" t="n"/>
    </row>
    <row r="10">
      <c r="A10" s="17" t="inlineStr">
        <is>
          <t>Anlægsaktiver</t>
        </is>
      </c>
      <c r="B10" s="16" t="n">
        <v>8771000</v>
      </c>
      <c r="C10" s="16" t="n">
        <v>11416000</v>
      </c>
      <c r="D10" s="16" t="n">
        <v>14254000</v>
      </c>
      <c r="E10" s="16" t="n">
        <v>14352000</v>
      </c>
      <c r="F10" s="16" t="n">
        <v>14831000</v>
      </c>
    </row>
    <row r="11">
      <c r="A11" s="17" t="inlineStr">
        <is>
          <t>Varebeholdninger</t>
        </is>
      </c>
      <c r="B11" s="16" t="n">
        <v>780000</v>
      </c>
      <c r="C11" s="16" t="n">
        <v>1213000</v>
      </c>
      <c r="D11" s="16" t="n">
        <v>1401000</v>
      </c>
      <c r="E11" s="16" t="n">
        <v>1340000</v>
      </c>
      <c r="F11" s="16" t="n">
        <v>1286000</v>
      </c>
    </row>
    <row r="12">
      <c r="A12" s="15" t="inlineStr">
        <is>
          <t>Tilgodehavender fra salg og tjenesteydelser</t>
        </is>
      </c>
      <c r="B12" s="16" t="n">
        <v>1188000</v>
      </c>
      <c r="C12" s="16" t="n">
        <v>1500000</v>
      </c>
      <c r="D12" s="16" t="n">
        <v>1901000</v>
      </c>
      <c r="E12" s="16" t="n">
        <v>1944000</v>
      </c>
      <c r="F12" s="16" t="n">
        <v>1918000</v>
      </c>
    </row>
    <row r="13">
      <c r="A13" s="15" t="inlineStr">
        <is>
          <t>Tilgodehavender hos tilknyttede virksomheder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Andre tilgodehavender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Periodeafgrænsningsposter (aktiver)</t>
        </is>
      </c>
      <c r="B15" s="16" t="n">
        <v>89000</v>
      </c>
      <c r="C15" s="16" t="n">
        <v>131000</v>
      </c>
      <c r="D15" s="16" t="n">
        <v>165000</v>
      </c>
      <c r="E15" s="16" t="n">
        <v>147000</v>
      </c>
      <c r="F15" s="16" t="n">
        <v>152000</v>
      </c>
    </row>
    <row r="16">
      <c r="A16" s="15" t="inlineStr">
        <is>
          <t>Udskudt skatteaktiv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Tilgodehavender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>
        <v>86000</v>
      </c>
      <c r="C21" s="16" t="n">
        <v>214000</v>
      </c>
      <c r="D21" s="16" t="n">
        <v>57000</v>
      </c>
      <c r="E21" s="16" t="n">
        <v>103000</v>
      </c>
      <c r="F21" s="16" t="n">
        <v>82000</v>
      </c>
    </row>
    <row r="22">
      <c r="A22" s="17" t="inlineStr">
        <is>
          <t>Omsætningsaktiver</t>
        </is>
      </c>
      <c r="B22" s="16" t="n">
        <v>2143000</v>
      </c>
      <c r="C22" s="16" t="n">
        <v>3058000</v>
      </c>
      <c r="D22" s="16" t="n">
        <v>3524000</v>
      </c>
      <c r="E22" s="16" t="n">
        <v>3534000</v>
      </c>
      <c r="F22" s="16" t="n">
        <v>3438000</v>
      </c>
    </row>
    <row r="23">
      <c r="A23" s="17" t="inlineStr">
        <is>
          <t>Aktiver</t>
        </is>
      </c>
      <c r="B23" s="16" t="n">
        <v>10914000</v>
      </c>
      <c r="C23" s="16" t="n">
        <v>14474000</v>
      </c>
      <c r="D23" s="16" t="n">
        <v>17778000</v>
      </c>
      <c r="E23" s="16" t="n">
        <v>17886000</v>
      </c>
      <c r="F23" s="16" t="n">
        <v>18269000</v>
      </c>
    </row>
    <row r="24">
      <c r="A24" s="15" t="inlineStr">
        <is>
          <t>Selskabskapital</t>
        </is>
      </c>
      <c r="B24" s="16" t="n">
        <v>98000</v>
      </c>
      <c r="C24" s="16" t="n">
        <v>100000</v>
      </c>
      <c r="D24" s="16" t="n">
        <v>100000</v>
      </c>
      <c r="E24" s="16" t="n">
        <v>100000</v>
      </c>
      <c r="F24" s="16" t="n">
        <v>100000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>
        <v>719000</v>
      </c>
      <c r="C28" s="16" t="n">
        <v>1567000</v>
      </c>
      <c r="D28" s="16" t="n">
        <v>1519000</v>
      </c>
      <c r="E28" s="16" t="n">
        <v>1407000</v>
      </c>
      <c r="F28" s="16" t="n">
        <v>1416000</v>
      </c>
    </row>
    <row r="29">
      <c r="A29" s="15" t="inlineStr">
        <is>
          <t>Overført resultat</t>
        </is>
      </c>
      <c r="B29" s="16" t="n">
        <v>1805000</v>
      </c>
      <c r="C29" s="16" t="n">
        <v>2763000</v>
      </c>
      <c r="D29" s="16" t="n">
        <v>4129000</v>
      </c>
      <c r="E29" s="16" t="n">
        <v>4148000</v>
      </c>
      <c r="F29" s="16" t="n">
        <v>4394000</v>
      </c>
    </row>
    <row r="30">
      <c r="A30" s="17" t="inlineStr">
        <is>
          <t>Egenkapital i alt</t>
        </is>
      </c>
      <c r="B30" s="16" t="n">
        <v>3330000</v>
      </c>
      <c r="C30" s="16" t="n">
        <v>5158000</v>
      </c>
      <c r="D30" s="16" t="n">
        <v>5748000</v>
      </c>
      <c r="E30" s="16" t="n">
        <v>6408000</v>
      </c>
      <c r="F30" s="16" t="n">
        <v>6713000</v>
      </c>
    </row>
    <row r="31">
      <c r="A31" s="15" t="inlineStr">
        <is>
          <t>Hensættelse til udskudt skat</t>
        </is>
      </c>
      <c r="B31" s="16" t="n">
        <v>747000</v>
      </c>
      <c r="C31" s="16" t="n">
        <v>1011000</v>
      </c>
      <c r="D31" s="16" t="n">
        <v>1281000</v>
      </c>
      <c r="E31" s="16" t="n">
        <v>1271000</v>
      </c>
      <c r="F31" s="16" t="n">
        <v>1277000</v>
      </c>
    </row>
    <row r="32">
      <c r="A32" s="17" t="inlineStr">
        <is>
          <t>Hensatte forpligtelser</t>
        </is>
      </c>
      <c r="B32" s="16" t="n">
        <v>11000</v>
      </c>
      <c r="C32" s="16" t="n">
        <v>11000</v>
      </c>
      <c r="D32" s="16" t="n">
        <v>11000</v>
      </c>
      <c r="E32" s="16" t="n">
        <v>11000</v>
      </c>
      <c r="F32" s="16" t="n">
        <v>1277000</v>
      </c>
    </row>
    <row r="33">
      <c r="A33" s="15" t="inlineStr">
        <is>
          <t>Ansvarlig lånekapital (langfristet)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Langfristede lån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Anden gæld (langfristet)</t>
        </is>
      </c>
      <c r="B36" s="16" t="n">
        <v>1003000</v>
      </c>
      <c r="C36" s="16" t="n">
        <v>1009000</v>
      </c>
      <c r="D36" s="16" t="n">
        <v>998000</v>
      </c>
      <c r="E36" s="16" t="n">
        <v>986000</v>
      </c>
      <c r="F36" s="16" t="n">
        <v>1009000</v>
      </c>
    </row>
    <row r="37">
      <c r="A37" s="17" t="inlineStr">
        <is>
          <t>Langfristede gældsforpligtelser</t>
        </is>
      </c>
      <c r="B37" s="16" t="n">
        <v>3771000</v>
      </c>
      <c r="C37" s="16" t="n">
        <v>4706000</v>
      </c>
      <c r="D37" s="16" t="n">
        <v>6786000</v>
      </c>
      <c r="E37" s="16" t="n">
        <v>5968000</v>
      </c>
      <c r="F37" s="16" t="n">
        <v>6710000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>
        <v>14000</v>
      </c>
      <c r="C40" s="16" t="n">
        <v>2000</v>
      </c>
      <c r="D40" s="16" t="n">
        <v>11000</v>
      </c>
      <c r="E40" s="16" t="n">
        <v>19000</v>
      </c>
      <c r="F40" s="16" t="n"/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1721000</v>
      </c>
      <c r="C42" s="16" t="n">
        <v>1934000</v>
      </c>
      <c r="D42" s="16" t="n">
        <v>2425000</v>
      </c>
      <c r="E42" s="16" t="n">
        <v>2532000</v>
      </c>
      <c r="F42" s="16" t="n">
        <v>2482000</v>
      </c>
    </row>
    <row r="43">
      <c r="A43" s="15" t="inlineStr">
        <is>
          <t>Gæld til tilknyttede virksomheder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Gæld til selskabsdeltagere og ledelse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Selskabsskat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Gæld til tilknyttede virksomheder vedr. 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Anden gæld (kortfristet)</t>
        </is>
      </c>
      <c r="B47" s="16" t="n">
        <v>1427000</v>
      </c>
      <c r="C47" s="16" t="n">
        <v>1669000</v>
      </c>
      <c r="D47" s="16" t="n">
        <v>1785000</v>
      </c>
      <c r="E47" s="16" t="n">
        <v>1806000</v>
      </c>
      <c r="F47" s="16" t="n">
        <v>1950000</v>
      </c>
    </row>
    <row r="48">
      <c r="A48" s="15" t="inlineStr">
        <is>
          <t>Periodeafgrænsningsposter (passiver)</t>
        </is>
      </c>
      <c r="B48" s="16" t="n"/>
      <c r="C48" s="16" t="n"/>
      <c r="D48" s="16" t="n"/>
      <c r="E48" s="16" t="n"/>
      <c r="F48" s="16" t="n"/>
    </row>
    <row r="49">
      <c r="A49" s="17" t="inlineStr">
        <is>
          <t>Kortfristede gældsforpligtelser</t>
        </is>
      </c>
      <c r="B49" s="16" t="n">
        <v>3801000</v>
      </c>
      <c r="C49" s="16" t="n">
        <v>4610000</v>
      </c>
      <c r="D49" s="16" t="n">
        <v>5244000</v>
      </c>
      <c r="E49" s="16" t="n">
        <v>5510000</v>
      </c>
      <c r="F49" s="16" t="n">
        <v>4846000</v>
      </c>
    </row>
    <row r="50">
      <c r="A50" s="17" t="inlineStr">
        <is>
          <t>Gældsforpligtelser</t>
        </is>
      </c>
      <c r="B50" s="16" t="n">
        <v>7572000</v>
      </c>
      <c r="C50" s="16" t="n">
        <v>9316000</v>
      </c>
      <c r="D50" s="16" t="n">
        <v>12030000</v>
      </c>
      <c r="E50" s="16" t="n">
        <v>11478000</v>
      </c>
      <c r="F50" s="16" t="n">
        <v>11556000</v>
      </c>
    </row>
    <row r="51">
      <c r="A51" s="17" t="inlineStr">
        <is>
          <t>Passiver</t>
        </is>
      </c>
      <c r="B51" s="16" t="n">
        <v>10914000</v>
      </c>
      <c r="C51" s="16" t="n">
        <v>14474000</v>
      </c>
      <c r="D51" s="16" t="n">
        <v>17778000</v>
      </c>
      <c r="E51" s="16" t="n">
        <v>17886000</v>
      </c>
      <c r="F51" s="16" t="n">
        <v>18269000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'balance_raw'!$F$10</f>
        <v/>
      </c>
      <c r="C18" s="24">
        <f>'balance_raw'!$E$10</f>
        <v/>
      </c>
      <c r="D18" s="24">
        <f>'balance_raw'!$D$10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'balance_raw'!$F$22</f>
        <v/>
      </c>
      <c r="C19" s="24">
        <f>'balance_raw'!$E$22</f>
        <v/>
      </c>
      <c r="D19" s="24">
        <f>'balance_raw'!$D$22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'balance_raw'!$F$30</f>
        <v/>
      </c>
      <c r="C22" s="24">
        <f>'balance_raw'!$E$30</f>
        <v/>
      </c>
      <c r="D22" s="24">
        <f>'balance_raw'!$D$30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'balance_raw'!$F$51-'balance_raw'!$F$30</f>
        <v/>
      </c>
      <c r="C23" s="24">
        <f>'balance_raw'!$E$51-'balance_raw'!$E$30</f>
        <v/>
      </c>
      <c r="D23" s="24">
        <f>'balance_raw'!$D$51-'balance_raw'!$D$30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'balance_raw'!$F$11</f>
        <v/>
      </c>
      <c r="C27" s="24">
        <f>'balance_raw'!$E$11</f>
        <v/>
      </c>
      <c r="D27" s="24">
        <f>'balance_raw'!$D$11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'balance_raw'!$F$12</f>
        <v/>
      </c>
      <c r="C28" s="24">
        <f>'balance_raw'!$E$12</f>
        <v/>
      </c>
      <c r="D28" s="24">
        <f>'balance_raw'!$D$12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'balance_raw'!$F$49</f>
        <v/>
      </c>
      <c r="C29" s="24">
        <f>'balance_raw'!$E$49</f>
        <v/>
      </c>
      <c r="D29" s="24">
        <f>'balance_raw'!$D$49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IF('balance_raw'!$F$23="","—",IF(ABS(B20-'balance_raw'!$F$23)&lt;=1,"✓ OK","❌ "&amp;TEXT(B20-'balance_raw'!$F$23,"+#,##0;-#,##0")&amp;" t.kr."))</f>
        <v/>
      </c>
      <c r="C60" s="29">
        <f>IF('balance_raw'!$E$23="","—",IF(ABS(C20-'balance_raw'!$E$23)&lt;=1,"✓ OK","❌ "&amp;TEXT(C20-'balance_raw'!$E$23,"+#,##0;-#,##0")&amp;" t.kr."))</f>
        <v/>
      </c>
      <c r="D60" s="29">
        <f>IF('balance_raw'!$D$23="","—",IF(ABS(D20-'balance_raw'!$D$23)&lt;=1,"✓ OK","❌ "&amp;TEXT(D20-'balance_raw'!$D$23,"+#,##0;-#,##0")&amp;"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IF('balance_raw'!$F$51="","—",IF(ABS(B24-'balance_raw'!$F$51)&lt;=1,"✓ OK","❌ "&amp;TEXT(B24-'balance_raw'!$F$51,"+#,##0;-#,##0")&amp;" t.kr."))</f>
        <v/>
      </c>
      <c r="C61" s="29">
        <f>IF('balance_raw'!$E$51="","—",IF(ABS(C24-'balance_raw'!$E$51)&lt;=1,"✓ OK","❌ "&amp;TEXT(C24-'balance_raw'!$E$51,"+#,##0;-#,##0")&amp;" t.kr."))</f>
        <v/>
      </c>
      <c r="D61" s="29">
        <f>IF('balance_raw'!$D$51="","—",IF(ABS(D24-'balance_raw'!$D$51)&lt;=1,"✓ OK","❌ "&amp;TEXT(D24-'balance_raw'!$D$51,"+#,##0;-#,##0")&amp;"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2026-09-07T19:38:24Z</dcterms:created>
  <dcterms:modified xmlns:dcterms="http://purl.org/dc/terms/" xmlns:xsi="http://www.w3.org/2001/XMLSchema-instance" xsi:type="dcterms:W3CDTF">2026-09-07T19:38:25Z</dcterms:modified>
</cp:coreProperties>
</file>