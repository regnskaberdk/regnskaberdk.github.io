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pera (CVR None)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'balance_raw'!$B$2</f>
        <v/>
      </c>
      <c r="C21" s="11">
        <f>'balance_raw'!$C$2</f>
        <v/>
      </c>
      <c r="D21" s="11">
        <f>'balance_raw'!$D$2</f>
        <v/>
      </c>
      <c r="E21" s="11">
        <f>'balance_raw'!$E$2</f>
        <v/>
      </c>
      <c r="F21" s="11">
        <f>'balance_raw'!$F$2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'balance_raw'!$B$3</f>
        <v/>
      </c>
      <c r="C22" s="5">
        <f>'balance_raw'!$C$3</f>
        <v/>
      </c>
      <c r="D22" s="5">
        <f>'balance_raw'!$D$3</f>
        <v/>
      </c>
      <c r="E22" s="5">
        <f>'balance_raw'!$E$3</f>
        <v/>
      </c>
      <c r="F22" s="5">
        <f>'balance_raw'!$F$3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'balance_raw'!$B$5</f>
        <v/>
      </c>
      <c r="C24" s="8">
        <f>'balance_raw'!$C$5</f>
        <v/>
      </c>
      <c r="D24" s="8">
        <f>'balance_raw'!$D$5</f>
        <v/>
      </c>
      <c r="E24" s="8">
        <f>'balance_raw'!$E$5</f>
        <v/>
      </c>
      <c r="F24" s="8">
        <f>'balance_raw'!$F$5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'balance_raw'!$B$6</f>
        <v/>
      </c>
      <c r="C25" s="11">
        <f>'balance_raw'!$C$6</f>
        <v/>
      </c>
      <c r="D25" s="11">
        <f>'balance_raw'!$D$6</f>
        <v/>
      </c>
      <c r="E25" s="11">
        <f>'balance_raw'!$E$6</f>
        <v/>
      </c>
      <c r="F25" s="11">
        <f>'balance_raw'!$F$6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'balance_raw'!$B$7</f>
        <v/>
      </c>
      <c r="C26" s="5">
        <f>'balance_raw'!$C$7</f>
        <v/>
      </c>
      <c r="D26" s="5">
        <f>'balance_raw'!$D$7</f>
        <v/>
      </c>
      <c r="E26" s="5">
        <f>'balance_raw'!$E$7</f>
        <v/>
      </c>
      <c r="F26" s="5">
        <f>'balance_raw'!$F$7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'balance_raw'!$B$8</f>
        <v/>
      </c>
      <c r="C27" s="11">
        <f>'balance_raw'!$C$8</f>
        <v/>
      </c>
      <c r="D27" s="11">
        <f>'balance_raw'!$D$8</f>
        <v/>
      </c>
      <c r="E27" s="11">
        <f>'balance_raw'!$E$8</f>
        <v/>
      </c>
      <c r="F27" s="11">
        <f>'balance_raw'!$F$8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'balance_raw'!$B$9</f>
        <v/>
      </c>
      <c r="C28" s="5">
        <f>'balance_raw'!$C$9</f>
        <v/>
      </c>
      <c r="D28" s="5">
        <f>'balance_raw'!$D$9</f>
        <v/>
      </c>
      <c r="E28" s="5">
        <f>'balance_raw'!$E$9</f>
        <v/>
      </c>
      <c r="F28" s="5">
        <f>'balance_raw'!$F$9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'balance_raw'!$B$10</f>
        <v/>
      </c>
      <c r="C29" s="11">
        <f>'balance_raw'!$C$10</f>
        <v/>
      </c>
      <c r="D29" s="11">
        <f>'balance_raw'!$D$10</f>
        <v/>
      </c>
      <c r="E29" s="11">
        <f>'balance_raw'!$E$10</f>
        <v/>
      </c>
      <c r="F29" s="11">
        <f>'balance_raw'!$F$10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'balance_raw'!$B$11</f>
        <v/>
      </c>
      <c r="C30" s="8">
        <f>'balance_raw'!$C$11</f>
        <v/>
      </c>
      <c r="D30" s="8">
        <f>'balance_raw'!$D$11</f>
        <v/>
      </c>
      <c r="E30" s="8">
        <f>'balance_raw'!$E$11</f>
        <v/>
      </c>
      <c r="F30" s="8">
        <f>'balance_raw'!$F$11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'balance_raw'!$B$14</f>
        <v/>
      </c>
      <c r="C33" s="8">
        <f>'balance_raw'!$C$14</f>
        <v/>
      </c>
      <c r="D33" s="8">
        <f>'balance_raw'!$D$14</f>
        <v/>
      </c>
      <c r="E33" s="8">
        <f>'balance_raw'!$E$14</f>
        <v/>
      </c>
      <c r="F33" s="8">
        <f>'balance_raw'!$F$14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'balance_raw'!$B$15</f>
        <v/>
      </c>
      <c r="C34" s="8">
        <f>'balance_raw'!$C$15</f>
        <v/>
      </c>
      <c r="D34" s="8">
        <f>'balance_raw'!$D$15</f>
        <v/>
      </c>
      <c r="E34" s="8">
        <f>'balance_raw'!$E$15</f>
        <v/>
      </c>
      <c r="F34" s="8">
        <f>'balance_raw'!$F$15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Råvarer og hjælpematerialer</t>
        </is>
      </c>
      <c r="B35" s="11">
        <f>'balance_raw'!$B$16</f>
        <v/>
      </c>
      <c r="C35" s="11">
        <f>'balance_raw'!$C$16</f>
        <v/>
      </c>
      <c r="D35" s="11">
        <f>'balance_raw'!$D$16</f>
        <v/>
      </c>
      <c r="E35" s="11">
        <f>'balance_raw'!$E$16</f>
        <v/>
      </c>
      <c r="F35" s="11">
        <f>'balance_raw'!$F$16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Varer under fremstilling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Færdigvarer og handelsvarer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Varebeholdninger</t>
        </is>
      </c>
      <c r="B38" s="8">
        <f>'balance_raw'!$B$19</f>
        <v/>
      </c>
      <c r="C38" s="8">
        <f>'balance_raw'!$C$19</f>
        <v/>
      </c>
      <c r="D38" s="8">
        <f>'balance_raw'!$D$19</f>
        <v/>
      </c>
      <c r="E38" s="8">
        <f>'balance_raw'!$E$19</f>
        <v/>
      </c>
      <c r="F38" s="8">
        <f>'balance_raw'!$F$19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Tilgodehavender fra salg og tjenesteydelser</t>
        </is>
      </c>
      <c r="B39" s="11">
        <f>'balance_raw'!$B$20</f>
        <v/>
      </c>
      <c r="C39" s="11">
        <f>'balance_raw'!$C$20</f>
        <v/>
      </c>
      <c r="D39" s="11">
        <f>'balance_raw'!$D$20</f>
        <v/>
      </c>
      <c r="E39" s="11">
        <f>'balance_raw'!$E$20</f>
        <v/>
      </c>
      <c r="F39" s="11">
        <f>'balance_raw'!$F$20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'balance_raw'!$B$21</f>
        <v/>
      </c>
      <c r="C40" s="5">
        <f>'balance_raw'!$C$21</f>
        <v/>
      </c>
      <c r="D40" s="5">
        <f>'balance_raw'!$D$21</f>
        <v/>
      </c>
      <c r="E40" s="5">
        <f>'balance_raw'!$E$21</f>
        <v/>
      </c>
      <c r="F40" s="5">
        <f>'balance_raw'!$F$21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Andre tilgodehavender</t>
        </is>
      </c>
      <c r="B41" s="11">
        <f>'balance_raw'!$B$22</f>
        <v/>
      </c>
      <c r="C41" s="11">
        <f>'balance_raw'!$C$22</f>
        <v/>
      </c>
      <c r="D41" s="11">
        <f>'balance_raw'!$D$22</f>
        <v/>
      </c>
      <c r="E41" s="11">
        <f>'balance_raw'!$E$22</f>
        <v/>
      </c>
      <c r="F41" s="11">
        <f>'balance_raw'!$F$22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'balance_raw'!$B$23</f>
        <v/>
      </c>
      <c r="C42" s="5">
        <f>'balance_raw'!$C$23</f>
        <v/>
      </c>
      <c r="D42" s="5">
        <f>'balance_raw'!$D$23</f>
        <v/>
      </c>
      <c r="E42" s="5">
        <f>'balance_raw'!$E$23</f>
        <v/>
      </c>
      <c r="F42" s="5">
        <f>'balance_raw'!$F$23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Udskudt skatteaktiv</t>
        </is>
      </c>
      <c r="B43" s="11">
        <f>'balance_raw'!$B$24</f>
        <v/>
      </c>
      <c r="C43" s="11">
        <f>'balance_raw'!$C$24</f>
        <v/>
      </c>
      <c r="D43" s="11">
        <f>'balance_raw'!$D$24</f>
        <v/>
      </c>
      <c r="E43" s="11">
        <f>'balance_raw'!$E$24</f>
        <v/>
      </c>
      <c r="F43" s="11">
        <f>'balance_raw'!$F$24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'balance_raw'!$B$25</f>
        <v/>
      </c>
      <c r="C44" s="5">
        <f>'balance_raw'!$C$25</f>
        <v/>
      </c>
      <c r="D44" s="5">
        <f>'balance_raw'!$D$25</f>
        <v/>
      </c>
      <c r="E44" s="5">
        <f>'balance_raw'!$E$25</f>
        <v/>
      </c>
      <c r="F44" s="5">
        <f>'balance_raw'!$F$25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Kortfristede skattetilgodehavender</t>
        </is>
      </c>
      <c r="B45" s="11">
        <f>'balance_raw'!$B$26</f>
        <v/>
      </c>
      <c r="C45" s="11">
        <f>'balance_raw'!$C$26</f>
        <v/>
      </c>
      <c r="D45" s="11">
        <f>'balance_raw'!$D$26</f>
        <v/>
      </c>
      <c r="E45" s="11">
        <f>'balance_raw'!$E$26</f>
        <v/>
      </c>
      <c r="F45" s="11">
        <f>'balance_raw'!$F$26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Tilgodehavender</t>
        </is>
      </c>
      <c r="B46" s="8">
        <f>'balance_raw'!$B$27</f>
        <v/>
      </c>
      <c r="C46" s="8">
        <f>'balance_raw'!$C$27</f>
        <v/>
      </c>
      <c r="D46" s="8">
        <f>'balance_raw'!$D$27</f>
        <v/>
      </c>
      <c r="E46" s="8">
        <f>'balance_raw'!$E$27</f>
        <v/>
      </c>
      <c r="F46" s="8">
        <f>'balance_raw'!$F$27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10" t="inlineStr">
        <is>
          <t>Værdipapirer</t>
        </is>
      </c>
      <c r="B47" s="11">
        <f>'balance_raw'!$B$28</f>
        <v/>
      </c>
      <c r="C47" s="11">
        <f>'balance_raw'!$C$28</f>
        <v/>
      </c>
      <c r="D47" s="11">
        <f>'balance_raw'!$D$28</f>
        <v/>
      </c>
      <c r="E47" s="11">
        <f>'balance_raw'!$E$28</f>
        <v/>
      </c>
      <c r="F47" s="11">
        <f>'balance_raw'!$F$28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'balance_raw'!$B$29</f>
        <v/>
      </c>
      <c r="C48" s="5">
        <f>'balance_raw'!$C$29</f>
        <v/>
      </c>
      <c r="D48" s="5">
        <f>'balance_raw'!$D$29</f>
        <v/>
      </c>
      <c r="E48" s="5">
        <f>'balance_raw'!$E$29</f>
        <v/>
      </c>
      <c r="F48" s="5">
        <f>'balance_raw'!$F$29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Omsætningsaktiver</t>
        </is>
      </c>
      <c r="B49" s="8">
        <f>'balance_raw'!$B$30</f>
        <v/>
      </c>
      <c r="C49" s="8">
        <f>'balance_raw'!$C$30</f>
        <v/>
      </c>
      <c r="D49" s="8">
        <f>'balance_raw'!$D$30</f>
        <v/>
      </c>
      <c r="E49" s="8">
        <f>'balance_raw'!$E$30</f>
        <v/>
      </c>
      <c r="F49" s="8">
        <f>'balance_raw'!$F$30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7" t="inlineStr">
        <is>
          <t>Aktiver</t>
        </is>
      </c>
      <c r="B50" s="8">
        <f>'balance_raw'!$B$31</f>
        <v/>
      </c>
      <c r="C50" s="8">
        <f>'balance_raw'!$C$31</f>
        <v/>
      </c>
      <c r="D50" s="8">
        <f>'balance_raw'!$D$31</f>
        <v/>
      </c>
      <c r="E50" s="8">
        <f>'balance_raw'!$E$31</f>
        <v/>
      </c>
      <c r="F50" s="8">
        <f>'balance_raw'!$F$31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2" ht="22" customHeight="1">
      <c r="A52" s="3" t="inlineStr">
        <is>
          <t>PASSIVER t.kr.</t>
        </is>
      </c>
      <c r="B52" s="3" t="n">
        <v>2021</v>
      </c>
      <c r="C52" s="3" t="n">
        <v>2022</v>
      </c>
      <c r="D52" s="3" t="n">
        <v>2023</v>
      </c>
      <c r="E52" s="3" t="n">
        <v>2024</v>
      </c>
      <c r="F52" s="3" t="n">
        <v>2025</v>
      </c>
      <c r="G52" t="inlineStr"/>
      <c r="H52" s="3" t="n">
        <v>2021</v>
      </c>
      <c r="I52" s="3" t="n">
        <v>2022</v>
      </c>
      <c r="J52" s="3" t="n">
        <v>2023</v>
      </c>
      <c r="K52" s="3" t="n">
        <v>2024</v>
      </c>
      <c r="L52" s="3" t="n">
        <v>2025</v>
      </c>
    </row>
    <row r="53" ht="16" customHeight="1">
      <c r="A53" s="10" t="inlineStr">
        <is>
          <t>Selskabskapital</t>
        </is>
      </c>
      <c r="B53" s="11">
        <f>'balance_raw'!$B$32</f>
        <v/>
      </c>
      <c r="C53" s="11">
        <f>'balance_raw'!$C$32</f>
        <v/>
      </c>
      <c r="D53" s="11">
        <f>'balance_raw'!$D$32</f>
        <v/>
      </c>
      <c r="E53" s="11">
        <f>'balance_raw'!$E$32</f>
        <v/>
      </c>
      <c r="F53" s="11">
        <f>'balance_raw'!$F$32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udviklingsomkostninger</t>
        </is>
      </c>
      <c r="B55" s="11">
        <f>'balance_raw'!$B$34</f>
        <v/>
      </c>
      <c r="C55" s="11">
        <f>'balance_raw'!$C$34</f>
        <v/>
      </c>
      <c r="D55" s="11">
        <f>'balance_raw'!$D$34</f>
        <v/>
      </c>
      <c r="E55" s="11">
        <f>'balance_raw'!$E$34</f>
        <v/>
      </c>
      <c r="F55" s="11">
        <f>'balance_raw'!$F$34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Andre reserver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'balance_raw'!$B$37</f>
        <v/>
      </c>
      <c r="C58" s="5">
        <f>'balance_raw'!$C$37</f>
        <v/>
      </c>
      <c r="D58" s="5">
        <f>'balance_raw'!$D$37</f>
        <v/>
      </c>
      <c r="E58" s="5">
        <f>'balance_raw'!$E$37</f>
        <v/>
      </c>
      <c r="F58" s="5">
        <f>'balance_raw'!$F$37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Egenkapital i alt</t>
        </is>
      </c>
      <c r="B59" s="8">
        <f>'balance_raw'!$B$38</f>
        <v/>
      </c>
      <c r="C59" s="8">
        <f>'balance_raw'!$C$38</f>
        <v/>
      </c>
      <c r="D59" s="8">
        <f>'balance_raw'!$D$38</f>
        <v/>
      </c>
      <c r="E59" s="8">
        <f>'balance_raw'!$E$38</f>
        <v/>
      </c>
      <c r="F59" s="8">
        <f>'balance_raw'!$F$38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Hensættelse til udskudt skat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Hensatte forpligtelser</t>
        </is>
      </c>
      <c r="B61" s="8">
        <f>'balance_raw'!$B$40</f>
        <v/>
      </c>
      <c r="C61" s="8">
        <f>'balance_raw'!$C$40</f>
        <v/>
      </c>
      <c r="D61" s="8">
        <f>'balance_raw'!$D$40</f>
        <v/>
      </c>
      <c r="E61" s="8">
        <f>'balance_raw'!$E$40</f>
        <v/>
      </c>
      <c r="F61" s="8">
        <f>'balance_raw'!$F$40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lån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(langfristet)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Langfristede gældsforpligtelser</t>
        </is>
      </c>
      <c r="B66" s="8">
        <f>'balance_raw'!$B$45</f>
        <v/>
      </c>
      <c r="C66" s="8">
        <f>'balance_raw'!$C$45</f>
        <v/>
      </c>
      <c r="D66" s="8">
        <f>'balance_raw'!$D$45</f>
        <v/>
      </c>
      <c r="E66" s="8">
        <f>'balance_raw'!$E$45</f>
        <v/>
      </c>
      <c r="F66" s="8">
        <f>'balance_raw'!$F$45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10" t="inlineStr">
        <is>
          <t>Ansvarlig lånekapital (kortfristet)</t>
        </is>
      </c>
      <c r="B67" s="11">
        <f>'balance_raw'!$B$46</f>
        <v/>
      </c>
      <c r="C67" s="11">
        <f>'balance_raw'!$C$46</f>
        <v/>
      </c>
      <c r="D67" s="11">
        <f>'balance_raw'!$D$46</f>
        <v/>
      </c>
      <c r="E67" s="11">
        <f>'balance_raw'!$E$46</f>
        <v/>
      </c>
      <c r="F67" s="11">
        <f>'balance_raw'!$F$46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'balance_raw'!$B$47</f>
        <v/>
      </c>
      <c r="C68" s="5">
        <f>'balance_raw'!$C$47</f>
        <v/>
      </c>
      <c r="D68" s="5">
        <f>'balance_raw'!$D$47</f>
        <v/>
      </c>
      <c r="E68" s="5">
        <f>'balance_raw'!$E$47</f>
        <v/>
      </c>
      <c r="F68" s="5">
        <f>'balance_raw'!$F$47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Kreditinstitutter</t>
        </is>
      </c>
      <c r="B69" s="11">
        <f>'balance_raw'!$B$48</f>
        <v/>
      </c>
      <c r="C69" s="11">
        <f>'balance_raw'!$C$48</f>
        <v/>
      </c>
      <c r="D69" s="11">
        <f>'balance_raw'!$D$48</f>
        <v/>
      </c>
      <c r="E69" s="11">
        <f>'balance_raw'!$E$48</f>
        <v/>
      </c>
      <c r="F69" s="11">
        <f>'balance_raw'!$F$48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'balance_raw'!$B$49</f>
        <v/>
      </c>
      <c r="C70" s="5">
        <f>'balance_raw'!$C$49</f>
        <v/>
      </c>
      <c r="D70" s="5">
        <f>'balance_raw'!$D$49</f>
        <v/>
      </c>
      <c r="E70" s="5">
        <f>'balance_raw'!$E$49</f>
        <v/>
      </c>
      <c r="F70" s="5">
        <f>'balance_raw'!$F$49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Leverandører af varer og tjenesteydelser</t>
        </is>
      </c>
      <c r="B71" s="11">
        <f>'balance_raw'!$B$50</f>
        <v/>
      </c>
      <c r="C71" s="11">
        <f>'balance_raw'!$C$50</f>
        <v/>
      </c>
      <c r="D71" s="11">
        <f>'balance_raw'!$D$50</f>
        <v/>
      </c>
      <c r="E71" s="11">
        <f>'balance_raw'!$E$50</f>
        <v/>
      </c>
      <c r="F71" s="11">
        <f>'balance_raw'!$F$50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'balance_raw'!$B$51</f>
        <v/>
      </c>
      <c r="C72" s="5">
        <f>'balance_raw'!$C$51</f>
        <v/>
      </c>
      <c r="D72" s="5">
        <f>'balance_raw'!$D$51</f>
        <v/>
      </c>
      <c r="E72" s="5">
        <f>'balance_raw'!$E$51</f>
        <v/>
      </c>
      <c r="F72" s="5">
        <f>'balance_raw'!$F$51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selskabsdeltagere og ledelse</t>
        </is>
      </c>
      <c r="B73" s="11">
        <f>'balance_raw'!$B$52</f>
        <v/>
      </c>
      <c r="C73" s="11">
        <f>'balance_raw'!$C$52</f>
        <v/>
      </c>
      <c r="D73" s="11">
        <f>'balance_raw'!$D$52</f>
        <v/>
      </c>
      <c r="E73" s="11">
        <f>'balance_raw'!$E$52</f>
        <v/>
      </c>
      <c r="F73" s="11">
        <f>'balance_raw'!$F$52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Selskabsskat</t>
        </is>
      </c>
      <c r="B74" s="5">
        <f>'balance_raw'!$B$53</f>
        <v/>
      </c>
      <c r="C74" s="5">
        <f>'balance_raw'!$C$53</f>
        <v/>
      </c>
      <c r="D74" s="5">
        <f>'balance_raw'!$D$53</f>
        <v/>
      </c>
      <c r="E74" s="5">
        <f>'balance_raw'!$E$53</f>
        <v/>
      </c>
      <c r="F74" s="5">
        <f>'balance_raw'!$F$53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Gæld til tilknyttede virksomheder vedr. selskabsskat</t>
        </is>
      </c>
      <c r="B75" s="11">
        <f>'balance_raw'!$B$54</f>
        <v/>
      </c>
      <c r="C75" s="11">
        <f>'balance_raw'!$C$54</f>
        <v/>
      </c>
      <c r="D75" s="11">
        <f>'balance_raw'!$D$54</f>
        <v/>
      </c>
      <c r="E75" s="11">
        <f>'balance_raw'!$E$54</f>
        <v/>
      </c>
      <c r="F75" s="11">
        <f>'balance_raw'!$F$54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'balance_raw'!$B$55</f>
        <v/>
      </c>
      <c r="C76" s="5">
        <f>'balance_raw'!$C$55</f>
        <v/>
      </c>
      <c r="D76" s="5">
        <f>'balance_raw'!$D$55</f>
        <v/>
      </c>
      <c r="E76" s="5">
        <f>'balance_raw'!$E$55</f>
        <v/>
      </c>
      <c r="F76" s="5">
        <f>'balance_raw'!$F$55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Periodeafgrænsningsposter (passiver)</t>
        </is>
      </c>
      <c r="B77" s="11">
        <f>'balance_raw'!$B$56</f>
        <v/>
      </c>
      <c r="C77" s="11">
        <f>'balance_raw'!$C$56</f>
        <v/>
      </c>
      <c r="D77" s="11">
        <f>'balance_raw'!$D$56</f>
        <v/>
      </c>
      <c r="E77" s="11">
        <f>'balance_raw'!$E$56</f>
        <v/>
      </c>
      <c r="F77" s="11">
        <f>'balance_raw'!$F$56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7" t="inlineStr">
        <is>
          <t>Kortfristede gældsforpligtelser</t>
        </is>
      </c>
      <c r="B78" s="8">
        <f>'balance_raw'!$B$57</f>
        <v/>
      </c>
      <c r="C78" s="8">
        <f>'balance_raw'!$C$57</f>
        <v/>
      </c>
      <c r="D78" s="8">
        <f>'balance_raw'!$D$57</f>
        <v/>
      </c>
      <c r="E78" s="8">
        <f>'balance_raw'!$E$57</f>
        <v/>
      </c>
      <c r="F78" s="8">
        <f>'balance_raw'!$F$57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79" ht="16" customHeight="1">
      <c r="A79" s="7" t="inlineStr">
        <is>
          <t>Gældsforpligtelser</t>
        </is>
      </c>
      <c r="B79" s="8">
        <f>'balance_raw'!$B$58</f>
        <v/>
      </c>
      <c r="C79" s="8">
        <f>'balance_raw'!$C$58</f>
        <v/>
      </c>
      <c r="D79" s="8">
        <f>'balance_raw'!$D$58</f>
        <v/>
      </c>
      <c r="E79" s="8">
        <f>'balance_raw'!$E$58</f>
        <v/>
      </c>
      <c r="F79" s="8">
        <f>'balance_raw'!$F$58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Passiver</t>
        </is>
      </c>
      <c r="B80" s="8">
        <f>'balance_raw'!$B$59</f>
        <v/>
      </c>
      <c r="C80" s="8">
        <f>'balance_raw'!$C$59</f>
        <v/>
      </c>
      <c r="D80" s="8">
        <f>'balance_raw'!$D$59</f>
        <v/>
      </c>
      <c r="E80" s="8">
        <f>'balance_raw'!$E$59</f>
        <v/>
      </c>
      <c r="F80" s="8">
        <f>'balance_raw'!$F$59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10" t="inlineStr">
        <is>
          <t>Gns. antal medarbejdere</t>
        </is>
      </c>
      <c r="B83" s="11">
        <f>'res_raw'!$B$17</f>
        <v/>
      </c>
      <c r="C83" s="11">
        <f>'res_raw'!$C$17</f>
        <v/>
      </c>
      <c r="D83" s="11">
        <f>'res_raw'!$D$17</f>
        <v/>
      </c>
      <c r="E83" s="11">
        <f>'res_raw'!$E$17</f>
        <v/>
      </c>
      <c r="F83" s="11">
        <f>'res_raw'!$F$17</f>
        <v/>
      </c>
      <c r="G83" t="inlineStr"/>
      <c r="H83" s="12">
        <f>IFERROR(B83/$B$83*100,"")</f>
        <v/>
      </c>
      <c r="I83" s="12">
        <f>IFERROR(C83/$B$83*100,"")</f>
        <v/>
      </c>
      <c r="J83" s="12">
        <f>IFERROR(D83/$B$83*100,"")</f>
        <v/>
      </c>
      <c r="K83" s="12">
        <f>IFERROR(E83/$B$83*100,"")</f>
        <v/>
      </c>
      <c r="L83" s="12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'res_raw'!$B$18</f>
        <v/>
      </c>
      <c r="C84" s="5">
        <f>'res_raw'!$C$18</f>
        <v/>
      </c>
      <c r="D84" s="5">
        <f>'res_raw'!$D$18</f>
        <v/>
      </c>
      <c r="E84" s="5">
        <f>'res_raw'!$E$18</f>
        <v/>
      </c>
      <c r="F84" s="5">
        <f>'res_raw'!$F$18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10" t="inlineStr">
        <is>
          <t>Afkastningsgrad, %</t>
        </is>
      </c>
      <c r="B87" s="13">
        <f>IFERROR(($B$11+$B$13+$B$12)/$B$50*100,"")</f>
        <v/>
      </c>
      <c r="C87" s="13">
        <f>IFERROR(($C$11+$C$13+$C$12)/$C$50*100,"")</f>
        <v/>
      </c>
      <c r="D87" s="13">
        <f>IFERROR(($D$11+$D$13+$D$12)/$D$50*100,"")</f>
        <v/>
      </c>
      <c r="E87" s="13">
        <f>IFERROR(($E$11+$E$13+$E$12)/$E$50*100,"")</f>
        <v/>
      </c>
      <c r="F87" s="13">
        <f>IFERROR(($F$11+$F$13+$F$12)/$F$50*100,"")</f>
        <v/>
      </c>
    </row>
    <row r="88" ht="16" customHeight="1">
      <c r="A88" s="4" t="inlineStr">
        <is>
          <t>Overskudsgrad, %</t>
        </is>
      </c>
      <c r="B88" s="14">
        <f>IFERROR(($B$11+$B$13+$B$12)/$B$4*100,"")</f>
        <v/>
      </c>
      <c r="C88" s="14">
        <f>IFERROR(($C$11+$C$13+$C$12)/$C$4*100,"")</f>
        <v/>
      </c>
      <c r="D88" s="14">
        <f>IFERROR(($D$11+$D$13+$D$12)/$D$4*100,"")</f>
        <v/>
      </c>
      <c r="E88" s="14">
        <f>IFERROR(($E$11+$E$13+$E$12)/$E$4*100,"")</f>
        <v/>
      </c>
      <c r="F88" s="14">
        <f>IFERROR(($F$11+$F$13+$F$12)/$F$4*100,"")</f>
        <v/>
      </c>
    </row>
    <row r="89" ht="16" customHeight="1">
      <c r="A89" s="10" t="inlineStr">
        <is>
          <t>Aktivernes omsætningshastighed, gange</t>
        </is>
      </c>
      <c r="B89" s="13">
        <f>IFERROR($B$4/$B$50,"")</f>
        <v/>
      </c>
      <c r="C89" s="13">
        <f>IFERROR($C$4/$C$50,"")</f>
        <v/>
      </c>
      <c r="D89" s="13">
        <f>IFERROR($D$4/$D$50,"")</f>
        <v/>
      </c>
      <c r="E89" s="13">
        <f>IFERROR($E$4/$E$50,"")</f>
        <v/>
      </c>
      <c r="F89" s="13">
        <f>IFERROR($F$4/$F$50,"")</f>
        <v/>
      </c>
    </row>
    <row r="90" ht="16" customHeight="1">
      <c r="A90" s="4" t="inlineStr">
        <is>
          <t>Egenkapitalens forrentning, %</t>
        </is>
      </c>
      <c r="B90" s="14">
        <f>IFERROR($B$16/$B$59*100,"")</f>
        <v/>
      </c>
      <c r="C90" s="14">
        <f>IFERROR($C$16/$C$59*100,"")</f>
        <v/>
      </c>
      <c r="D90" s="14">
        <f>IFERROR($D$16/$D$59*100,"")</f>
        <v/>
      </c>
      <c r="E90" s="14">
        <f>IFERROR($E$16/$E$59*100,"")</f>
        <v/>
      </c>
      <c r="F90" s="14">
        <f>IFERROR($F$16/$F$59*100,"")</f>
        <v/>
      </c>
    </row>
    <row r="91" ht="16" customHeight="1">
      <c r="A91" s="10" t="inlineStr">
        <is>
          <t>Gældsrente, %</t>
        </is>
      </c>
      <c r="B91" s="13">
        <f>IFERROR($B$14/($B$80-$B$59)*100,"")</f>
        <v/>
      </c>
      <c r="C91" s="13">
        <f>IFERROR($C$14/($C$80-$C$59)*100,"")</f>
        <v/>
      </c>
      <c r="D91" s="13">
        <f>IFERROR($D$14/($D$80-$D$59)*100,"")</f>
        <v/>
      </c>
      <c r="E91" s="13">
        <f>IFERROR($E$14/($E$80-$E$59)*100,"")</f>
        <v/>
      </c>
      <c r="F91" s="13">
        <f>IFERROR($F$14/($F$80-$F$59)*100,"")</f>
        <v/>
      </c>
    </row>
    <row r="92" ht="16" customHeight="1">
      <c r="A92" s="4" t="inlineStr">
        <is>
          <t>Soliditetsgrad, %</t>
        </is>
      </c>
      <c r="B92" s="14">
        <f>IFERROR($B$59/$B$50*100,"")</f>
        <v/>
      </c>
      <c r="C92" s="14">
        <f>IFERROR($C$59/$C$50*100,"")</f>
        <v/>
      </c>
      <c r="D92" s="14">
        <f>IFERROR($D$59/$D$50*100,"")</f>
        <v/>
      </c>
      <c r="E92" s="14">
        <f>IFERROR($E$59/$E$50*100,"")</f>
        <v/>
      </c>
      <c r="F92" s="14">
        <f>IFERROR($F$59/$F$50*100,"")</f>
        <v/>
      </c>
    </row>
    <row r="93" ht="16" customHeight="1">
      <c r="A93" s="10" t="inlineStr">
        <is>
          <t>Gearing</t>
        </is>
      </c>
      <c r="B93" s="13">
        <f>IFERROR(($B$80-$B$59)/$B$59,"")</f>
        <v/>
      </c>
      <c r="C93" s="13">
        <f>IFERROR(($C$80-$C$59)/$C$59,"")</f>
        <v/>
      </c>
      <c r="D93" s="13">
        <f>IFERROR(($D$80-$D$59)/$D$59,"")</f>
        <v/>
      </c>
      <c r="E93" s="13">
        <f>IFERROR(($E$80-$E$59)/$E$59,"")</f>
        <v/>
      </c>
      <c r="F93" s="13">
        <f>IFERROR(($F$80-$F$59)/$F$59,"")</f>
        <v/>
      </c>
    </row>
    <row r="94" ht="16" customHeight="1">
      <c r="A94" s="4" t="inlineStr">
        <is>
          <t>Likviditetsgrad, %</t>
        </is>
      </c>
      <c r="B94" s="14">
        <f>IFERROR($B$49/$B$78*100,"")</f>
        <v/>
      </c>
      <c r="C94" s="14">
        <f>IFERROR($C$49/$C$78*100,"")</f>
        <v/>
      </c>
      <c r="D94" s="14">
        <f>IFERROR($D$49/$D$78*100,"")</f>
        <v/>
      </c>
      <c r="E94" s="14">
        <f>IFERROR($E$49/$E$78*100,"")</f>
        <v/>
      </c>
      <c r="F94" s="14">
        <f>IFERROR($F$49/$F$78*100,"")</f>
        <v/>
      </c>
    </row>
    <row r="95" ht="16" customHeight="1">
      <c r="A95" s="10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IFERROR(($B$80-$B$59)/$B$50*100,"")</f>
        <v/>
      </c>
      <c r="C96" s="14">
        <f>IFERROR(($C$80-$C$59)/$C$50*100,"")</f>
        <v/>
      </c>
      <c r="D96" s="14">
        <f>IFERROR(($D$80-$D$59)/$D$50*100,"")</f>
        <v/>
      </c>
      <c r="E96" s="14">
        <f>IFERROR(($E$80-$E$59)/$E$50*100,"")</f>
        <v/>
      </c>
      <c r="F96" s="14">
        <f>IFERROR(($F$80-$F$59)/$F$50*100,"")</f>
        <v/>
      </c>
    </row>
    <row r="97" ht="16" customHeight="1">
      <c r="A97" s="10" t="inlineStr">
        <is>
          <t>Kapitalbindingsgrad, %</t>
        </is>
      </c>
      <c r="B97" s="13">
        <f>IFERROR($B$34/($B$59+$B$66)*100,"")</f>
        <v/>
      </c>
      <c r="C97" s="13">
        <f>IFERROR($C$34/($C$59+$C$66)*100,"")</f>
        <v/>
      </c>
      <c r="D97" s="13">
        <f>IFERROR($D$34/($D$59+$D$66)*100,"")</f>
        <v/>
      </c>
      <c r="E97" s="13">
        <f>IFERROR($E$34/($E$59+$E$66)*100,"")</f>
        <v/>
      </c>
      <c r="F97" s="13">
        <f>IFERROR($F$34/($F$59+$F$66)*100,"")</f>
        <v/>
      </c>
    </row>
    <row r="99">
      <c r="A99" s="15" t="inlineStr">
        <is>
          <t>PENGESTRØMSOPGØRELSE t.kr.</t>
        </is>
      </c>
    </row>
    <row r="100">
      <c r="A100" s="16" t="inlineStr">
        <is>
          <t>Pengestrømme fra driftsaktivitet</t>
        </is>
      </c>
      <c r="B100" s="17">
        <f>'pengestrom_raw'!$B$2</f>
        <v/>
      </c>
      <c r="C100" s="17">
        <f>'pengestrom_raw'!$C$2</f>
        <v/>
      </c>
      <c r="D100" s="17">
        <f>'pengestrom_raw'!$D$2</f>
        <v/>
      </c>
      <c r="E100" s="17">
        <f>'pengestrom_raw'!$E$2</f>
        <v/>
      </c>
      <c r="F100" s="17">
        <f>'pengestrom_raw'!$F$2</f>
        <v/>
      </c>
    </row>
    <row r="101">
      <c r="A101" s="16" t="inlineStr">
        <is>
          <t>Pengestrømme fra investeringsaktivitet</t>
        </is>
      </c>
      <c r="B101" s="17">
        <f>'pengestrom_raw'!$B$3</f>
        <v/>
      </c>
      <c r="C101" s="17">
        <f>'pengestrom_raw'!$C$3</f>
        <v/>
      </c>
      <c r="D101" s="17">
        <f>'pengestrom_raw'!$D$3</f>
        <v/>
      </c>
      <c r="E101" s="17">
        <f>'pengestrom_raw'!$E$3</f>
        <v/>
      </c>
      <c r="F101" s="17">
        <f>'pengestrom_raw'!$F$3</f>
        <v/>
      </c>
    </row>
    <row r="102">
      <c r="A102" s="16" t="inlineStr">
        <is>
          <t>Pengestrømme fra finansieringsaktivitet</t>
        </is>
      </c>
      <c r="B102" s="17">
        <f>'pengestrom_raw'!$B$4</f>
        <v/>
      </c>
      <c r="C102" s="17">
        <f>'pengestrom_raw'!$C$4</f>
        <v/>
      </c>
      <c r="D102" s="17">
        <f>'pengestrom_raw'!$D$4</f>
        <v/>
      </c>
      <c r="E102" s="17">
        <f>'pengestrom_raw'!$E$4</f>
        <v/>
      </c>
      <c r="F102" s="17">
        <f>'pengestrom_raw'!$F$4</f>
        <v/>
      </c>
    </row>
    <row r="103">
      <c r="A103" s="16" t="inlineStr">
        <is>
          <t>Årets pengestrøm (rapporteret)</t>
        </is>
      </c>
      <c r="B103" s="17">
        <f>'pengestrom_raw'!$B$5</f>
        <v/>
      </c>
      <c r="C103" s="17">
        <f>'pengestrom_raw'!$C$5</f>
        <v/>
      </c>
      <c r="D103" s="17">
        <f>'pengestrom_raw'!$D$5</f>
        <v/>
      </c>
      <c r="E103" s="17">
        <f>'pengestrom_raw'!$E$5</f>
        <v/>
      </c>
      <c r="F103" s="17">
        <f>'pengestrom_raw'!$F$5</f>
        <v/>
      </c>
    </row>
    <row r="104">
      <c r="A104" s="16" t="inlineStr">
        <is>
          <t>Krydstjek: drift + inv. + fin. = årets pengestrøm</t>
        </is>
      </c>
      <c r="B104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104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104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104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104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pera (CVR None)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14630000</v>
      </c>
      <c r="C2" s="17" t="n">
        <v>18118000</v>
      </c>
      <c r="D2" s="17" t="n">
        <v>20244000</v>
      </c>
      <c r="E2" s="17" t="n">
        <v>21719000</v>
      </c>
      <c r="F2" s="17" t="n">
        <v>22620000</v>
      </c>
    </row>
    <row r="3">
      <c r="A3" s="16" t="inlineStr">
        <is>
          <t>Produktionsomkostninger</t>
        </is>
      </c>
      <c r="B3" s="17" t="n">
        <v>12968000</v>
      </c>
      <c r="C3" s="17" t="n">
        <v>16175000</v>
      </c>
      <c r="D3" s="17" t="n">
        <v>17714000</v>
      </c>
      <c r="E3" s="17" t="n">
        <v>19095000</v>
      </c>
      <c r="F3" s="17" t="n">
        <v>19857000</v>
      </c>
    </row>
    <row r="4">
      <c r="A4" s="15" t="inlineStr">
        <is>
          <t>Bruttoresultat</t>
        </is>
      </c>
      <c r="B4" s="17" t="n">
        <v>1662000</v>
      </c>
      <c r="C4" s="17" t="n">
        <v>1943000</v>
      </c>
      <c r="D4" s="17" t="n">
        <v>2530000</v>
      </c>
      <c r="E4" s="17" t="n">
        <v>2624000</v>
      </c>
      <c r="F4" s="17" t="n">
        <v>2763000</v>
      </c>
    </row>
    <row r="5">
      <c r="A5" s="16" t="inlineStr">
        <is>
          <t>Salgs- og distributionsomkostninger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Administrationsomkostninger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Andre driftsindtægter</t>
        </is>
      </c>
      <c r="B7" s="17" t="n"/>
      <c r="C7" s="17" t="n"/>
      <c r="D7" s="17" t="n"/>
      <c r="E7" s="17" t="n"/>
      <c r="F7" s="17" t="n"/>
    </row>
    <row r="8">
      <c r="A8" s="16" t="inlineStr">
        <is>
          <t>Andre driftsomkostninger</t>
        </is>
      </c>
      <c r="B8" s="17" t="n"/>
      <c r="C8" s="17" t="n"/>
      <c r="D8" s="17" t="n"/>
      <c r="E8" s="17" t="n"/>
      <c r="F8" s="17" t="n"/>
    </row>
    <row r="9">
      <c r="A9" s="15" t="inlineStr">
        <is>
          <t>Resultat af primær drift</t>
        </is>
      </c>
      <c r="B9" s="17" t="n">
        <v>644000</v>
      </c>
      <c r="C9" s="17" t="n">
        <v>727000</v>
      </c>
      <c r="D9" s="17" t="n">
        <v>1078000</v>
      </c>
      <c r="E9" s="17" t="n">
        <v>1101000</v>
      </c>
      <c r="F9" s="17" t="n">
        <v>1177000</v>
      </c>
    </row>
    <row r="10">
      <c r="A10" s="16" t="inlineStr">
        <is>
          <t>Indtægter af kapitalandele, dattervirksomheder</t>
        </is>
      </c>
      <c r="B10" s="17" t="n">
        <v>11000</v>
      </c>
      <c r="C10" s="17" t="n">
        <v>15000</v>
      </c>
      <c r="D10" s="17" t="n">
        <v>9000</v>
      </c>
      <c r="E10" s="17" t="n">
        <v>9000</v>
      </c>
      <c r="F10" s="17" t="n">
        <v>0</v>
      </c>
    </row>
    <row r="11">
      <c r="A11" s="16" t="inlineStr">
        <is>
          <t>Finansielle indtægter</t>
        </is>
      </c>
      <c r="B11" s="17" t="n">
        <v>12000</v>
      </c>
      <c r="C11" s="17" t="n">
        <v>23000</v>
      </c>
      <c r="D11" s="17" t="n">
        <v>35000</v>
      </c>
      <c r="E11" s="17" t="n">
        <v>93000</v>
      </c>
      <c r="F11" s="17" t="n">
        <v>86000</v>
      </c>
    </row>
    <row r="12">
      <c r="A12" s="16" t="inlineStr">
        <is>
          <t>Finansielle omkostninger</t>
        </is>
      </c>
      <c r="B12" s="17" t="n">
        <v>43000</v>
      </c>
      <c r="C12" s="17" t="n">
        <v>67000</v>
      </c>
      <c r="D12" s="17" t="n">
        <v>71000</v>
      </c>
      <c r="E12" s="17" t="n">
        <v>106000</v>
      </c>
      <c r="F12" s="17" t="n">
        <v>71000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613000</v>
      </c>
      <c r="C14" s="17" t="n">
        <v>683000</v>
      </c>
      <c r="D14" s="17" t="n">
        <v>1042000</v>
      </c>
      <c r="E14" s="17" t="n">
        <v>1088000</v>
      </c>
      <c r="F14" s="17" t="n">
        <v>1192000</v>
      </c>
    </row>
    <row r="15">
      <c r="A15" s="16" t="inlineStr">
        <is>
          <t>Skat af årets resultat</t>
        </is>
      </c>
      <c r="B15" s="17" t="n">
        <v>143000</v>
      </c>
      <c r="C15" s="17" t="n">
        <v>166000</v>
      </c>
      <c r="D15" s="17" t="n">
        <v>244000</v>
      </c>
      <c r="E15" s="17" t="n">
        <v>262000</v>
      </c>
      <c r="F15" s="17" t="n">
        <v>296000</v>
      </c>
    </row>
    <row r="16">
      <c r="A16" s="15" t="inlineStr">
        <is>
          <t>Årets resultat</t>
        </is>
      </c>
      <c r="B16" s="17" t="n">
        <v>470000</v>
      </c>
      <c r="C16" s="17" t="n">
        <v>517000</v>
      </c>
      <c r="D16" s="17" t="n">
        <v>798000</v>
      </c>
      <c r="E16" s="17" t="n">
        <v>826000</v>
      </c>
      <c r="F16" s="17" t="n">
        <v>896000</v>
      </c>
    </row>
    <row r="17">
      <c r="A17" s="16" t="inlineStr">
        <is>
          <t>Gns. antal medarbejdere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Investering i materielle anlægsaktiver</t>
        </is>
      </c>
      <c r="B18" s="17" t="n">
        <v>738000</v>
      </c>
      <c r="C18" s="17" t="n">
        <v>870000</v>
      </c>
      <c r="D18" s="17" t="n">
        <v>892000</v>
      </c>
      <c r="E18" s="17" t="n">
        <v>817000</v>
      </c>
      <c r="F18" s="17" t="n">
        <v>849000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pera (CVR None)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23000</v>
      </c>
      <c r="C2" s="17" t="n">
        <v>42000</v>
      </c>
      <c r="D2" s="17" t="n">
        <v>62000</v>
      </c>
      <c r="E2" s="17" t="n">
        <v>87000</v>
      </c>
      <c r="F2" s="17" t="n">
        <v>327000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225000</v>
      </c>
      <c r="C4" s="17" t="n">
        <v>421000</v>
      </c>
      <c r="D4" s="17" t="n">
        <v>405000</v>
      </c>
      <c r="E4" s="17" t="n">
        <v>417000</v>
      </c>
      <c r="F4" s="17" t="n">
        <v>451000</v>
      </c>
    </row>
    <row r="5">
      <c r="A5" s="15" t="inlineStr">
        <is>
          <t>Immaterielle anlægsaktiver</t>
        </is>
      </c>
      <c r="B5" s="17" t="n">
        <v>133000</v>
      </c>
      <c r="C5" s="17" t="n">
        <v>235000</v>
      </c>
      <c r="D5" s="17" t="n">
        <v>202000</v>
      </c>
      <c r="E5" s="17" t="n">
        <v>172000</v>
      </c>
      <c r="F5" s="17" t="n">
        <v>785000</v>
      </c>
    </row>
    <row r="6">
      <c r="A6" s="16" t="inlineStr">
        <is>
          <t>Grunde og bygninger</t>
        </is>
      </c>
      <c r="B6" s="17" t="n">
        <v>848000</v>
      </c>
      <c r="C6" s="17" t="n">
        <v>1009000</v>
      </c>
      <c r="D6" s="17" t="n">
        <v>1243000</v>
      </c>
      <c r="E6" s="17" t="n">
        <v>1261000</v>
      </c>
      <c r="F6" s="17" t="n">
        <v>1328000</v>
      </c>
    </row>
    <row r="7">
      <c r="A7" s="16" t="inlineStr">
        <is>
          <t>Produktionsanlæg og maskiner</t>
        </is>
      </c>
      <c r="B7" s="17" t="n">
        <v>1438000</v>
      </c>
      <c r="C7" s="17" t="n">
        <v>1650000</v>
      </c>
      <c r="D7" s="17" t="n">
        <v>1699000</v>
      </c>
      <c r="E7" s="17" t="n">
        <v>2009000</v>
      </c>
      <c r="F7" s="17" t="n">
        <v>2146000</v>
      </c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147000</v>
      </c>
      <c r="C10" s="17" t="n">
        <v>241000</v>
      </c>
      <c r="D10" s="17" t="n">
        <v>303000</v>
      </c>
      <c r="E10" s="17" t="n">
        <v>200000</v>
      </c>
      <c r="F10" s="17" t="n">
        <v>239000</v>
      </c>
    </row>
    <row r="11">
      <c r="A11" s="15" t="inlineStr">
        <is>
          <t>Materielle anlægsaktiver</t>
        </is>
      </c>
      <c r="B11" s="17" t="n">
        <v>146000</v>
      </c>
      <c r="C11" s="17" t="n">
        <v>153000</v>
      </c>
      <c r="D11" s="17" t="n">
        <v>158000</v>
      </c>
      <c r="E11" s="17" t="n">
        <v>176000</v>
      </c>
      <c r="F11" s="17" t="n">
        <v>244000</v>
      </c>
    </row>
    <row r="12">
      <c r="A12" s="16" t="inlineStr">
        <is>
          <t>Kapitalandele, dattervirksomheder</t>
        </is>
      </c>
      <c r="B12" s="17" t="n">
        <v>2000</v>
      </c>
      <c r="C12" s="17" t="n">
        <v>1000</v>
      </c>
      <c r="D12" s="17" t="n">
        <v>1000</v>
      </c>
      <c r="E12" s="17" t="n">
        <v>1000</v>
      </c>
      <c r="F12" s="17" t="n">
        <v>1000</v>
      </c>
    </row>
    <row r="13">
      <c r="A13" s="16" t="inlineStr">
        <is>
          <t>Deposita</t>
        </is>
      </c>
      <c r="B13" s="17" t="n">
        <v>51000</v>
      </c>
      <c r="C13" s="17" t="n">
        <v>40000</v>
      </c>
      <c r="D13" s="17" t="n">
        <v>45000</v>
      </c>
      <c r="E13" s="17" t="n">
        <v>37000</v>
      </c>
      <c r="F13" s="17" t="n">
        <v>48000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3418000</v>
      </c>
      <c r="C15" s="17" t="n">
        <v>4364000</v>
      </c>
      <c r="D15" s="17" t="n">
        <v>4753000</v>
      </c>
      <c r="E15" s="17" t="n">
        <v>5133000</v>
      </c>
      <c r="F15" s="17" t="n">
        <v>5652000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>
        <v>1299000</v>
      </c>
      <c r="C17" s="17" t="n">
        <v>2189000</v>
      </c>
      <c r="D17" s="17" t="n">
        <v>2191000</v>
      </c>
      <c r="E17" s="17" t="n">
        <v>2696000</v>
      </c>
      <c r="F17" s="17" t="n">
        <v>3055000</v>
      </c>
    </row>
    <row r="18">
      <c r="A18" s="16" t="inlineStr">
        <is>
          <t>Færdigvarer og handelsvarer</t>
        </is>
      </c>
      <c r="B18" s="17" t="n"/>
      <c r="C18" s="17" t="n"/>
      <c r="D18" s="17" t="n"/>
      <c r="E18" s="17" t="n"/>
      <c r="F18" s="17" t="n"/>
    </row>
    <row r="19">
      <c r="A19" s="15" t="inlineStr">
        <is>
          <t>Varebeholdninger</t>
        </is>
      </c>
      <c r="B19" s="17" t="n">
        <v>411000</v>
      </c>
      <c r="C19" s="17" t="n">
        <v>483000</v>
      </c>
      <c r="D19" s="17" t="n">
        <v>517000</v>
      </c>
      <c r="E19" s="17" t="n">
        <v>514000</v>
      </c>
      <c r="F19" s="17" t="n">
        <v>516000</v>
      </c>
    </row>
    <row r="20">
      <c r="A20" s="16" t="inlineStr">
        <is>
          <t>Tilgodehavender fra salg og tjenesteydelser</t>
        </is>
      </c>
      <c r="B20" s="17" t="n">
        <v>2542000</v>
      </c>
      <c r="C20" s="17" t="n">
        <v>3426000</v>
      </c>
      <c r="D20" s="17" t="n">
        <v>4406000</v>
      </c>
      <c r="E20" s="17" t="n">
        <v>4495000</v>
      </c>
      <c r="F20" s="17" t="n">
        <v>4466000</v>
      </c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Periodeafgrænsningsposter (aktiver)</t>
        </is>
      </c>
      <c r="B23" s="17" t="n">
        <v>44000</v>
      </c>
      <c r="C23" s="17" t="n">
        <v>65000</v>
      </c>
      <c r="D23" s="17" t="n">
        <v>151000</v>
      </c>
      <c r="E23" s="17" t="n">
        <v>97000</v>
      </c>
      <c r="F23" s="17" t="n">
        <v>76000</v>
      </c>
    </row>
    <row r="24">
      <c r="A24" s="16" t="inlineStr">
        <is>
          <t>Udskudt skatteaktiv</t>
        </is>
      </c>
      <c r="B24" s="17" t="n">
        <v>17000</v>
      </c>
      <c r="C24" s="17" t="n">
        <v>7000</v>
      </c>
      <c r="D24" s="17" t="n">
        <v>12000</v>
      </c>
      <c r="E24" s="17" t="n">
        <v>1000</v>
      </c>
      <c r="F24" s="17" t="n">
        <v>9000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3000</v>
      </c>
      <c r="C26" s="17" t="n">
        <v>37000</v>
      </c>
      <c r="D26" s="17" t="n">
        <v>45000</v>
      </c>
      <c r="E26" s="17" t="n">
        <v>39000</v>
      </c>
      <c r="F26" s="17" t="n">
        <v>29000</v>
      </c>
    </row>
    <row r="27">
      <c r="A27" s="15" t="inlineStr">
        <is>
          <t>Tilgodehavender</t>
        </is>
      </c>
      <c r="B27" s="17" t="n">
        <v>131000</v>
      </c>
      <c r="C27" s="17" t="n">
        <v>285000</v>
      </c>
      <c r="D27" s="17" t="n">
        <v>255000</v>
      </c>
      <c r="E27" s="17" t="n">
        <v>226000</v>
      </c>
      <c r="F27" s="17" t="n">
        <v>283000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445000</v>
      </c>
      <c r="C29" s="17" t="n">
        <v>316000</v>
      </c>
      <c r="D29" s="17" t="n">
        <v>579000</v>
      </c>
      <c r="E29" s="17" t="n">
        <v>387000</v>
      </c>
      <c r="F29" s="17" t="n">
        <v>1238000</v>
      </c>
    </row>
    <row r="30">
      <c r="A30" s="15" t="inlineStr">
        <is>
          <t>Omsætningsaktiver</t>
        </is>
      </c>
      <c r="B30" s="17" t="n">
        <v>5500000</v>
      </c>
      <c r="C30" s="17" t="n">
        <v>7379000</v>
      </c>
      <c r="D30" s="17" t="n">
        <v>8629000</v>
      </c>
      <c r="E30" s="17" t="n">
        <v>8933000</v>
      </c>
      <c r="F30" s="17" t="n">
        <v>10128000</v>
      </c>
    </row>
    <row r="31">
      <c r="A31" s="15" t="inlineStr">
        <is>
          <t>Aktiver</t>
        </is>
      </c>
      <c r="B31" s="17" t="n">
        <v>8918000</v>
      </c>
      <c r="C31" s="17" t="n">
        <v>11743000</v>
      </c>
      <c r="D31" s="17" t="n">
        <v>13382000</v>
      </c>
      <c r="E31" s="17" t="n">
        <v>14066000</v>
      </c>
      <c r="F31" s="17" t="n">
        <v>15780000</v>
      </c>
    </row>
    <row r="32">
      <c r="A32" s="16" t="inlineStr">
        <is>
          <t>Selskabskapital</t>
        </is>
      </c>
      <c r="B32" s="17" t="n">
        <v>41000</v>
      </c>
      <c r="C32" s="17" t="n">
        <v>41000</v>
      </c>
      <c r="D32" s="17" t="n">
        <v>41000</v>
      </c>
      <c r="E32" s="17" t="n">
        <v>39000</v>
      </c>
      <c r="F32" s="17" t="n">
        <v>39000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>
        <v>-5000</v>
      </c>
      <c r="C36" s="17" t="n">
        <v>29000</v>
      </c>
      <c r="D36" s="17" t="n">
        <v>35000</v>
      </c>
      <c r="E36" s="17" t="n">
        <v>19000</v>
      </c>
      <c r="F36" s="17" t="n">
        <v>25000</v>
      </c>
    </row>
    <row r="37">
      <c r="A37" s="16" t="inlineStr">
        <is>
          <t>Overført resultat</t>
        </is>
      </c>
      <c r="B37" s="17" t="n">
        <v>3581000</v>
      </c>
      <c r="C37" s="17" t="n">
        <v>3740000</v>
      </c>
      <c r="D37" s="17" t="n">
        <v>4241000</v>
      </c>
      <c r="E37" s="17" t="n">
        <v>4805000</v>
      </c>
      <c r="F37" s="17" t="n">
        <v>5321000</v>
      </c>
    </row>
    <row r="38">
      <c r="A38" s="15" t="inlineStr">
        <is>
          <t>Egenkapital i alt</t>
        </is>
      </c>
      <c r="B38" s="17" t="n">
        <v>3657000</v>
      </c>
      <c r="C38" s="17" t="n">
        <v>3825000</v>
      </c>
      <c r="D38" s="17" t="n">
        <v>4372000</v>
      </c>
      <c r="E38" s="17" t="n">
        <v>4947000</v>
      </c>
      <c r="F38" s="17" t="n">
        <v>5506000</v>
      </c>
    </row>
    <row r="39">
      <c r="A39" s="16" t="inlineStr">
        <is>
          <t>Hensættelse til udskudt skat</t>
        </is>
      </c>
      <c r="B39" s="17" t="n">
        <v>261000</v>
      </c>
      <c r="C39" s="17" t="n">
        <v>395000</v>
      </c>
      <c r="D39" s="17" t="n">
        <v>541000</v>
      </c>
      <c r="E39" s="17" t="n">
        <v>486000</v>
      </c>
      <c r="F39" s="17" t="n">
        <v>631000</v>
      </c>
    </row>
    <row r="40">
      <c r="A40" s="15" t="inlineStr">
        <is>
          <t>Hensatte forpligtelser</t>
        </is>
      </c>
      <c r="B40" s="17" t="n">
        <v>151000</v>
      </c>
      <c r="C40" s="17" t="n">
        <v>152000</v>
      </c>
      <c r="D40" s="17" t="n">
        <v>207000</v>
      </c>
      <c r="E40" s="17" t="n">
        <v>307000</v>
      </c>
      <c r="F40" s="17" t="n">
        <v>277000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>
        <v>263000</v>
      </c>
      <c r="C43" s="17" t="n">
        <v>397000</v>
      </c>
      <c r="D43" s="17" t="n">
        <v>449000</v>
      </c>
      <c r="E43" s="17" t="n">
        <v>557000</v>
      </c>
      <c r="F43" s="17" t="n">
        <v>625000</v>
      </c>
    </row>
    <row r="44">
      <c r="A44" s="16" t="inlineStr">
        <is>
          <t>Anden gæld (langfristet)</t>
        </is>
      </c>
      <c r="B44" s="17" t="n">
        <v>91000</v>
      </c>
      <c r="C44" s="17" t="n">
        <v>114000</v>
      </c>
      <c r="D44" s="17" t="n">
        <v>85000</v>
      </c>
      <c r="E44" s="17" t="n">
        <v>79000</v>
      </c>
      <c r="F44" s="17" t="n">
        <v>72000</v>
      </c>
    </row>
    <row r="45">
      <c r="A45" s="15" t="inlineStr">
        <is>
          <t>Langfristede gældsforpligtelser</t>
        </is>
      </c>
      <c r="B45" s="17" t="n">
        <v>813000</v>
      </c>
      <c r="C45" s="17" t="n">
        <v>1142000</v>
      </c>
      <c r="D45" s="17" t="n">
        <v>3003000</v>
      </c>
      <c r="E45" s="17" t="n">
        <v>2364000</v>
      </c>
      <c r="F45" s="17" t="n">
        <v>2278000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9000</v>
      </c>
      <c r="C48" s="17" t="n">
        <v>13000</v>
      </c>
      <c r="D48" s="17" t="n">
        <v>6000</v>
      </c>
      <c r="E48" s="17" t="n">
        <v>6000</v>
      </c>
      <c r="F48" s="17" t="n"/>
    </row>
    <row r="49">
      <c r="A49" s="16" t="inlineStr">
        <is>
          <t>Leasingforpligtelser (kortfristet)</t>
        </is>
      </c>
      <c r="B49" s="17" t="n">
        <v>138000</v>
      </c>
      <c r="C49" s="17" t="n">
        <v>173000</v>
      </c>
      <c r="D49" s="17" t="n">
        <v>183000</v>
      </c>
      <c r="E49" s="17" t="n">
        <v>230000</v>
      </c>
      <c r="F49" s="17" t="n">
        <v>247000</v>
      </c>
    </row>
    <row r="50">
      <c r="A50" s="16" t="inlineStr">
        <is>
          <t>Leverandører af varer og tjenesteydelser</t>
        </is>
      </c>
      <c r="B50" s="17" t="n">
        <v>1833000</v>
      </c>
      <c r="C50" s="17" t="n">
        <v>2466000</v>
      </c>
      <c r="D50" s="17" t="n">
        <v>2718000</v>
      </c>
      <c r="E50" s="17" t="n">
        <v>2940000</v>
      </c>
      <c r="F50" s="17" t="n">
        <v>3366000</v>
      </c>
    </row>
    <row r="51">
      <c r="A51" s="16" t="inlineStr">
        <is>
          <t>Gæld til tilknyttede virksomheder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964000</v>
      </c>
      <c r="C55" s="17" t="n">
        <v>1158000</v>
      </c>
      <c r="D55" s="17" t="n">
        <v>1183000</v>
      </c>
      <c r="E55" s="17" t="n">
        <v>1200000</v>
      </c>
      <c r="F55" s="17" t="n">
        <v>1249000</v>
      </c>
    </row>
    <row r="56">
      <c r="A56" s="16" t="inlineStr">
        <is>
          <t>Periodeafgrænsningsposter (passiver)</t>
        </is>
      </c>
      <c r="B56" s="17" t="n">
        <v>1160000</v>
      </c>
      <c r="C56" s="17" t="n">
        <v>1433000</v>
      </c>
      <c r="D56" s="17" t="n">
        <v>1580000</v>
      </c>
      <c r="E56" s="17" t="n">
        <v>1845000</v>
      </c>
      <c r="F56" s="17" t="n">
        <v>2665000</v>
      </c>
    </row>
    <row r="57">
      <c r="A57" s="15" t="inlineStr">
        <is>
          <t>Kortfristede gældsforpligtelser</t>
        </is>
      </c>
      <c r="B57" s="17" t="n">
        <v>4441000</v>
      </c>
      <c r="C57" s="17" t="n">
        <v>6746000</v>
      </c>
      <c r="D57" s="17" t="n">
        <v>5975000</v>
      </c>
      <c r="E57" s="17" t="n">
        <v>6704000</v>
      </c>
      <c r="F57" s="17" t="n">
        <v>7944000</v>
      </c>
    </row>
    <row r="58">
      <c r="A58" s="15" t="inlineStr">
        <is>
          <t>Gældsforpligtelser</t>
        </is>
      </c>
      <c r="B58" s="17" t="n">
        <v>5254000</v>
      </c>
      <c r="C58" s="17" t="n">
        <v>7888000</v>
      </c>
      <c r="D58" s="17" t="n">
        <v>8978000</v>
      </c>
      <c r="E58" s="17" t="n">
        <v>9068000</v>
      </c>
      <c r="F58" s="17" t="n">
        <v>10222000</v>
      </c>
    </row>
    <row r="59">
      <c r="A59" s="15" t="inlineStr">
        <is>
          <t>Passiver</t>
        </is>
      </c>
      <c r="B59" s="17" t="n">
        <v>8918000</v>
      </c>
      <c r="C59" s="17" t="n">
        <v>11743000</v>
      </c>
      <c r="D59" s="17" t="n">
        <v>13382000</v>
      </c>
      <c r="E59" s="17" t="n">
        <v>14066000</v>
      </c>
      <c r="F59" s="17" t="n">
        <v>15780000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pera (CVR None)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471000</v>
      </c>
      <c r="C2" s="17" t="n">
        <v>516000</v>
      </c>
      <c r="D2" s="17" t="n">
        <v>1102000</v>
      </c>
      <c r="E2" s="17" t="n">
        <v>1981000</v>
      </c>
      <c r="F2" s="17" t="n">
        <v>2788000</v>
      </c>
    </row>
    <row r="3">
      <c r="A3" s="16" t="inlineStr">
        <is>
          <t>Pengestrømme fra investeringsaktivitet</t>
        </is>
      </c>
      <c r="B3" s="17" t="n">
        <v>-676000</v>
      </c>
      <c r="C3" s="17" t="n">
        <v>-1158000</v>
      </c>
      <c r="D3" s="17" t="n">
        <v>-824000</v>
      </c>
      <c r="E3" s="17" t="n">
        <v>-794000</v>
      </c>
      <c r="F3" s="17" t="n">
        <v>-1014000</v>
      </c>
    </row>
    <row r="4">
      <c r="A4" s="16" t="inlineStr">
        <is>
          <t>Pengestrømme fra finansieringsaktivitet</t>
        </is>
      </c>
      <c r="B4" s="17" t="n">
        <v>-432000</v>
      </c>
      <c r="C4" s="17" t="n">
        <v>525000</v>
      </c>
      <c r="D4" s="17" t="n">
        <v>-7000</v>
      </c>
      <c r="E4" s="17" t="n">
        <v>-1376000</v>
      </c>
      <c r="F4" s="17" t="n">
        <v>-931000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pera (CVR None)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'balance_raw'!$F$15</f>
        <v/>
      </c>
      <c r="C18" s="24">
        <f>'balance_raw'!$E$15</f>
        <v/>
      </c>
      <c r="D18" s="24">
        <f>'balance_raw'!$D$15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'balance_raw'!$F$30</f>
        <v/>
      </c>
      <c r="C19" s="24">
        <f>'balance_raw'!$E$30</f>
        <v/>
      </c>
      <c r="D19" s="24">
        <f>'balance_raw'!$D$30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'balance_raw'!$F$38</f>
        <v/>
      </c>
      <c r="C22" s="24">
        <f>'balance_raw'!$E$38</f>
        <v/>
      </c>
      <c r="D22" s="24">
        <f>'balance_raw'!$D$38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'balance_raw'!$F$59-'balance_raw'!$F$38</f>
        <v/>
      </c>
      <c r="C23" s="24">
        <f>'balance_raw'!$E$59-'balance_raw'!$E$38</f>
        <v/>
      </c>
      <c r="D23" s="24">
        <f>'balance_raw'!$D$59-'balance_raw'!$D$38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'balance_raw'!$F$19</f>
        <v/>
      </c>
      <c r="C27" s="24">
        <f>'balance_raw'!$E$19</f>
        <v/>
      </c>
      <c r="D27" s="24">
        <f>'balance_raw'!$D$19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'balance_raw'!$F$20</f>
        <v/>
      </c>
      <c r="C28" s="24">
        <f>'balance_raw'!$E$20</f>
        <v/>
      </c>
      <c r="D28" s="24">
        <f>'balance_raw'!$D$20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'balance_raw'!$F$57</f>
        <v/>
      </c>
      <c r="C29" s="24">
        <f>'balance_raw'!$E$57</f>
        <v/>
      </c>
      <c r="D29" s="24">
        <f>'balance_raw'!$D$57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IF('balance_raw'!$F$31="","—",IF(ABS(B20-'balance_raw'!$F$31)&lt;=1,"✓ OK","❌ "&amp;TEXT(B20-'balance_raw'!$F$31,"+#,##0;-#,##0")&amp;" t.kr."))</f>
        <v/>
      </c>
      <c r="C60" s="29">
        <f>IF('balance_raw'!$E$31="","—",IF(ABS(C20-'balance_raw'!$E$31)&lt;=1,"✓ OK","❌ "&amp;TEXT(C20-'balance_raw'!$E$31,"+#,##0;-#,##0")&amp;" t.kr."))</f>
        <v/>
      </c>
      <c r="D60" s="29">
        <f>IF('balance_raw'!$D$31="","—",IF(ABS(D20-'balance_raw'!$D$31)&lt;=1,"✓ OK","❌ "&amp;TEXT(D20-'balance_raw'!$D$31,"+#,##0;-#,##0")&amp;"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IF('balance_raw'!$F$59="","—",IF(ABS(B24-'balance_raw'!$F$59)&lt;=1,"✓ OK","❌ "&amp;TEXT(B24-'balance_raw'!$F$59,"+#,##0;-#,##0")&amp;" t.kr."))</f>
        <v/>
      </c>
      <c r="C61" s="29">
        <f>IF('balance_raw'!$E$59="","—",IF(ABS(C24-'balance_raw'!$E$59)&lt;=1,"✓ OK","❌ "&amp;TEXT(C24-'balance_raw'!$E$59,"+#,##0;-#,##0")&amp;" t.kr."))</f>
        <v/>
      </c>
      <c r="D61" s="29">
        <f>IF('balance_raw'!$D$59="","—",IF(ABS(D24-'balance_raw'!$D$59)&lt;=1,"✓ OK","❌ "&amp;TEXT(D24-'balance_raw'!$D$59,"+#,##0;-#,##0")&amp;"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pera (CVR None)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ifrs-full:CurrentInvestments</t>
        </is>
      </c>
      <c r="C3" s="34" t="inlineStr">
        <is>
          <t>ifrs-full:CurrentInvestments</t>
        </is>
      </c>
      <c r="D3" s="35" t="n">
        <v>603000</v>
      </c>
      <c r="E3" s="35" t="n">
        <v>499000</v>
      </c>
      <c r="F3" s="35" t="n">
        <v>485000</v>
      </c>
      <c r="G3" s="35" t="n">
        <v>479000</v>
      </c>
      <c r="H3" s="35" t="n">
        <v>465000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ifrs-full:DividendsReceivedFromInvestmentsAccountedForUsingEquityMethodClassifiedAsInvestingActivities</t>
        </is>
      </c>
      <c r="C4" s="37" t="inlineStr">
        <is>
          <t>ifrs-full:DividendsReceivedFromInvestmentsAccountedForUsingEquityMethodClassifiedAsInvestingActivities</t>
        </is>
      </c>
      <c r="D4" s="38" t="n"/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ifrs-full:DividendsRecognisedAsDistributionsToNoncontrollingInterests</t>
        </is>
      </c>
      <c r="C5" s="34" t="inlineStr">
        <is>
          <t>ifrs-full:DividendsRecognisedAsDistributionsToNoncontrollingInterests</t>
        </is>
      </c>
      <c r="D5" s="35" t="n">
        <v>0</v>
      </c>
      <c r="E5" s="35" t="n">
        <v>1000</v>
      </c>
      <c r="F5" s="35" t="n">
        <v>4000</v>
      </c>
      <c r="G5" s="35" t="n">
        <v>1000</v>
      </c>
      <c r="H5" s="35" t="n">
        <v>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ifrs-full:ImpairmentLossRecognisedInProfitOrLossGoodwill</t>
        </is>
      </c>
      <c r="C6" s="37" t="inlineStr">
        <is>
          <t>ifrs-full:ImpairmentLossRecognisedInProfitOrLossGoodwill</t>
        </is>
      </c>
      <c r="D6" s="38" t="n"/>
      <c r="E6" s="38" t="n"/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ifrs-full:PaymentsFromChangesInOwnershipInterestsInSubsidiaries</t>
        </is>
      </c>
      <c r="C7" s="34" t="inlineStr">
        <is>
          <t>ifrs-full:PaymentsFromChangesInOwnershipInterestsInSubsidiaries</t>
        </is>
      </c>
      <c r="D7" s="35" t="n"/>
      <c r="E7" s="35" t="n"/>
      <c r="F7" s="35" t="n"/>
      <c r="G7" s="35" t="n"/>
      <c r="H7" s="35" t="n">
        <v>34000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ifrs-full:ReserveOfExchangeDifferencesOnTranslation</t>
        </is>
      </c>
      <c r="C8" s="37" t="inlineStr">
        <is>
          <t>ifrs-full:ReserveOfExchangeDifferencesOnTranslation</t>
        </is>
      </c>
      <c r="D8" s="38" t="n">
        <v>-123000</v>
      </c>
      <c r="E8" s="38" t="n">
        <v>-148000</v>
      </c>
      <c r="F8" s="38" t="n">
        <v>-149000</v>
      </c>
      <c r="G8" s="38" t="n">
        <v>-131000</v>
      </c>
      <c r="H8" s="38" t="n">
        <v>-114000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ifrs-full:TradeAndOtherCurrentReceivablesDueFromRelatedParties</t>
        </is>
      </c>
      <c r="C9" s="34" t="inlineStr">
        <is>
          <t>ifrs-full:TradeAndOtherCurrentReceivablesDueFromRelatedParties</t>
        </is>
      </c>
      <c r="D9" s="35" t="n">
        <v>22000</v>
      </c>
      <c r="E9" s="35" t="n">
        <v>5000</v>
      </c>
      <c r="F9" s="35" t="n">
        <v>0</v>
      </c>
      <c r="G9" s="35" t="n"/>
      <c r="H9" s="35" t="n"/>
      <c r="I9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2026-09-11T07:37:38Z</dcterms:created>
  <dcterms:modified xmlns:dcterms="http://purl.org/dc/terms/" xmlns:xsi="http://www.w3.org/2001/XMLSchema-instance" xsi:type="dcterms:W3CDTF">2026-09-11T07:37:39Z</dcterms:modified>
</cp:coreProperties>
</file>