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" sheetId="1" state="visible" r:id="rId1"/>
    <sheet xmlns:r="http://schemas.openxmlformats.org/officeDocument/2006/relationships" name="res_raw" sheetId="2" state="visible" r:id="rId2"/>
    <sheet xmlns:r="http://schemas.openxmlformats.org/officeDocument/2006/relationships" name="balance_raw" sheetId="3" state="visible" r:id="rId3"/>
    <sheet xmlns:r="http://schemas.openxmlformats.org/officeDocument/2006/relationships" name="Simpel_funktion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(valuta pr. år - se kolonneoverskrifter)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valuta pr. år - se kolonneoverskrifter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'res_raw'!$B$2</f>
        <v/>
      </c>
      <c r="C4" s="5">
        <f>'res_raw'!$C$2</f>
        <v/>
      </c>
      <c r="D4" s="5">
        <f>'res_raw'!$D$2</f>
        <v/>
      </c>
      <c r="E4" s="5">
        <f>'res_raw'!$E$2</f>
        <v/>
      </c>
      <c r="F4" s="5">
        <f>'res_raw'!$F$2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'res_raw'!$B$3</f>
        <v/>
      </c>
      <c r="C5" s="8">
        <f>'res_raw'!$C$3</f>
        <v/>
      </c>
      <c r="D5" s="8">
        <f>'res_raw'!$D$3</f>
        <v/>
      </c>
      <c r="E5" s="8">
        <f>'res_raw'!$E$3</f>
        <v/>
      </c>
      <c r="F5" s="8">
        <f>'res_raw'!$F$3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'res_raw'!$B$4</f>
        <v/>
      </c>
      <c r="C6" s="8">
        <f>'res_raw'!$C$4</f>
        <v/>
      </c>
      <c r="D6" s="8">
        <f>'res_raw'!$D$4</f>
        <v/>
      </c>
      <c r="E6" s="8">
        <f>'res_raw'!$E$4</f>
        <v/>
      </c>
      <c r="F6" s="8">
        <f>'res_raw'!$F$4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7" t="inlineStr">
        <is>
          <t>Salgs- og distributionsomkostninger</t>
        </is>
      </c>
      <c r="B7" s="8">
        <f>'res_raw'!$B$5</f>
        <v/>
      </c>
      <c r="C7" s="8">
        <f>'res_raw'!$C$5</f>
        <v/>
      </c>
      <c r="D7" s="8">
        <f>'res_raw'!$D$5</f>
        <v/>
      </c>
      <c r="E7" s="8">
        <f>'res_raw'!$E$5</f>
        <v/>
      </c>
      <c r="F7" s="8">
        <f>'res_raw'!$F$5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7" t="inlineStr">
        <is>
          <t>Administrationsomkostninger</t>
        </is>
      </c>
      <c r="B8" s="8">
        <f>'res_raw'!$B$6</f>
        <v/>
      </c>
      <c r="C8" s="8">
        <f>'res_raw'!$C$6</f>
        <v/>
      </c>
      <c r="D8" s="8">
        <f>'res_raw'!$D$6</f>
        <v/>
      </c>
      <c r="E8" s="8">
        <f>'res_raw'!$E$6</f>
        <v/>
      </c>
      <c r="F8" s="8">
        <f>'res_raw'!$F$6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10" t="inlineStr">
        <is>
          <t>Andre driftsindtægter</t>
        </is>
      </c>
      <c r="B9" s="11">
        <f>'res_raw'!$B$7</f>
        <v/>
      </c>
      <c r="C9" s="11">
        <f>'res_raw'!$C$7</f>
        <v/>
      </c>
      <c r="D9" s="11">
        <f>'res_raw'!$D$7</f>
        <v/>
      </c>
      <c r="E9" s="11">
        <f>'res_raw'!$E$7</f>
        <v/>
      </c>
      <c r="F9" s="11">
        <f>'res_raw'!$F$7</f>
        <v/>
      </c>
      <c r="G9" t="inlineStr"/>
      <c r="H9" s="12">
        <f>IFERROR(B9/$B$9*100,"")</f>
        <v/>
      </c>
      <c r="I9" s="12">
        <f>IFERROR(C9/$B$9*100,"")</f>
        <v/>
      </c>
      <c r="J9" s="12">
        <f>IFERROR(D9/$B$9*100,"")</f>
        <v/>
      </c>
      <c r="K9" s="12">
        <f>IFERROR(E9/$B$9*100,"")</f>
        <v/>
      </c>
      <c r="L9" s="12">
        <f>IFERROR(F9/$B$9*100,"")</f>
        <v/>
      </c>
    </row>
    <row r="10" ht="16" customHeight="1">
      <c r="A10" s="4" t="inlineStr">
        <is>
          <t>Andre driftsomkostninger</t>
        </is>
      </c>
      <c r="B10" s="5">
        <f>'res_raw'!$B$8</f>
        <v/>
      </c>
      <c r="C10" s="5">
        <f>'res_raw'!$C$8</f>
        <v/>
      </c>
      <c r="D10" s="5">
        <f>'res_raw'!$D$8</f>
        <v/>
      </c>
      <c r="E10" s="5">
        <f>'res_raw'!$E$8</f>
        <v/>
      </c>
      <c r="F10" s="5">
        <f>'res_raw'!$F$8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7" t="inlineStr">
        <is>
          <t>Resultat af primær drift</t>
        </is>
      </c>
      <c r="B11" s="8">
        <f>'res_raw'!$B$9</f>
        <v/>
      </c>
      <c r="C11" s="8">
        <f>'res_raw'!$C$9</f>
        <v/>
      </c>
      <c r="D11" s="8">
        <f>'res_raw'!$D$9</f>
        <v/>
      </c>
      <c r="E11" s="8">
        <f>'res_raw'!$E$9</f>
        <v/>
      </c>
      <c r="F11" s="8">
        <f>'res_raw'!$F$9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Indtægter af kapitalandele, dattervirksomheder</t>
        </is>
      </c>
      <c r="B12" s="5">
        <f>'res_raw'!$B$10</f>
        <v/>
      </c>
      <c r="C12" s="5">
        <f>'res_raw'!$C$10</f>
        <v/>
      </c>
      <c r="D12" s="5">
        <f>'res_raw'!$D$10</f>
        <v/>
      </c>
      <c r="E12" s="5">
        <f>'res_raw'!$E$10</f>
        <v/>
      </c>
      <c r="F12" s="5">
        <f>'res_raw'!$F$10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Finansielle indtægter</t>
        </is>
      </c>
      <c r="B13" s="11">
        <f>'res_raw'!$B$11</f>
        <v/>
      </c>
      <c r="C13" s="11">
        <f>'res_raw'!$C$11</f>
        <v/>
      </c>
      <c r="D13" s="11">
        <f>'res_raw'!$D$11</f>
        <v/>
      </c>
      <c r="E13" s="11">
        <f>'res_raw'!$E$11</f>
        <v/>
      </c>
      <c r="F13" s="11">
        <f>'res_raw'!$F$11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omkostninger</t>
        </is>
      </c>
      <c r="B14" s="5">
        <f>'res_raw'!$B$12</f>
        <v/>
      </c>
      <c r="C14" s="5">
        <f>'res_raw'!$C$12</f>
        <v/>
      </c>
      <c r="D14" s="5">
        <f>'res_raw'!$D$12</f>
        <v/>
      </c>
      <c r="E14" s="5">
        <f>'res_raw'!$E$12</f>
        <v/>
      </c>
      <c r="F14" s="5">
        <f>'res_raw'!$F$12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poster, netto</t>
        </is>
      </c>
      <c r="B15" s="8">
        <f>'res_raw'!$B$13</f>
        <v/>
      </c>
      <c r="C15" s="8">
        <f>'res_raw'!$C$13</f>
        <v/>
      </c>
      <c r="D15" s="8">
        <f>'res_raw'!$D$13</f>
        <v/>
      </c>
      <c r="E15" s="8">
        <f>'res_raw'!$E$13</f>
        <v/>
      </c>
      <c r="F15" s="8">
        <f>'res_raw'!$F$13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7" t="inlineStr">
        <is>
          <t>Resultat før skat</t>
        </is>
      </c>
      <c r="B16" s="8">
        <f>'res_raw'!$B$14</f>
        <v/>
      </c>
      <c r="C16" s="8">
        <f>'res_raw'!$C$14</f>
        <v/>
      </c>
      <c r="D16" s="8">
        <f>'res_raw'!$D$14</f>
        <v/>
      </c>
      <c r="E16" s="8">
        <f>'res_raw'!$E$14</f>
        <v/>
      </c>
      <c r="F16" s="8">
        <f>'res_raw'!$F$14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10" t="inlineStr">
        <is>
          <t>Skat af årets resultat</t>
        </is>
      </c>
      <c r="B17" s="11">
        <f>'res_raw'!$B$15</f>
        <v/>
      </c>
      <c r="C17" s="11">
        <f>'res_raw'!$C$15</f>
        <v/>
      </c>
      <c r="D17" s="11">
        <f>'res_raw'!$D$15</f>
        <v/>
      </c>
      <c r="E17" s="11">
        <f>'res_raw'!$E$15</f>
        <v/>
      </c>
      <c r="F17" s="11">
        <f>'res_raw'!$F$15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Årets resultat</t>
        </is>
      </c>
      <c r="B18" s="8">
        <f>'res_raw'!$B$16</f>
        <v/>
      </c>
      <c r="C18" s="8">
        <f>'res_raw'!$C$16</f>
        <v/>
      </c>
      <c r="D18" s="8">
        <f>'res_raw'!$D$16</f>
        <v/>
      </c>
      <c r="E18" s="8">
        <f>'res_raw'!$E$16</f>
        <v/>
      </c>
      <c r="F18" s="8">
        <f>'res_raw'!$F$16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20" ht="22" customHeight="1">
      <c r="A20" s="3" t="inlineStr">
        <is>
          <t>AKTIVER valuta pr. år - se kolonneoverskrifter</t>
        </is>
      </c>
      <c r="B20" s="3" t="n">
        <v>2021</v>
      </c>
      <c r="C20" s="3" t="n">
        <v>2022</v>
      </c>
      <c r="D20" s="3" t="n">
        <v>2023</v>
      </c>
      <c r="E20" s="3" t="n">
        <v>2024</v>
      </c>
      <c r="F20" s="3" t="n">
        <v>2025</v>
      </c>
      <c r="G20" t="inlineStr"/>
      <c r="H20" s="3" t="n">
        <v>2021</v>
      </c>
      <c r="I20" s="3" t="n">
        <v>2022</v>
      </c>
      <c r="J20" s="3" t="n">
        <v>2023</v>
      </c>
      <c r="K20" s="3" t="n">
        <v>2024</v>
      </c>
      <c r="L20" s="3" t="n">
        <v>2025</v>
      </c>
    </row>
    <row r="21" ht="16" customHeight="1">
      <c r="A21" s="10" t="inlineStr">
        <is>
          <t>Udviklingsprojekter</t>
        </is>
      </c>
      <c r="B21" s="11">
        <f>'balance_raw'!$B$2</f>
        <v/>
      </c>
      <c r="C21" s="11">
        <f>'balance_raw'!$C$2</f>
        <v/>
      </c>
      <c r="D21" s="11">
        <f>'balance_raw'!$D$2</f>
        <v/>
      </c>
      <c r="E21" s="11">
        <f>'balance_raw'!$E$2</f>
        <v/>
      </c>
      <c r="F21" s="11">
        <f>'balance_raw'!$F$2</f>
        <v/>
      </c>
      <c r="G21" t="inlineStr"/>
      <c r="H21" s="12">
        <f>IFERROR(B21/$B$21*100,"")</f>
        <v/>
      </c>
      <c r="I21" s="12">
        <f>IFERROR(C21/$B$21*100,"")</f>
        <v/>
      </c>
      <c r="J21" s="12">
        <f>IFERROR(D21/$B$21*100,"")</f>
        <v/>
      </c>
      <c r="K21" s="12">
        <f>IFERROR(E21/$B$21*100,"")</f>
        <v/>
      </c>
      <c r="L21" s="12">
        <f>IFERROR(F21/$B$21*100,"")</f>
        <v/>
      </c>
    </row>
    <row r="22" ht="16" customHeight="1">
      <c r="A22" s="4" t="inlineStr">
        <is>
          <t>Patenter, varemærker mv.</t>
        </is>
      </c>
      <c r="B22" s="5">
        <f>'balance_raw'!$B$3</f>
        <v/>
      </c>
      <c r="C22" s="5">
        <f>'balance_raw'!$C$3</f>
        <v/>
      </c>
      <c r="D22" s="5">
        <f>'balance_raw'!$D$3</f>
        <v/>
      </c>
      <c r="E22" s="5">
        <f>'balance_raw'!$E$3</f>
        <v/>
      </c>
      <c r="F22" s="5">
        <f>'balance_raw'!$F$3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Goodwill</t>
        </is>
      </c>
      <c r="B23" s="11">
        <f>'balance_raw'!$B$4</f>
        <v/>
      </c>
      <c r="C23" s="11">
        <f>'balance_raw'!$C$4</f>
        <v/>
      </c>
      <c r="D23" s="11">
        <f>'balance_raw'!$D$4</f>
        <v/>
      </c>
      <c r="E23" s="11">
        <f>'balance_raw'!$E$4</f>
        <v/>
      </c>
      <c r="F23" s="11">
        <f>'balance_raw'!$F$4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7" t="inlineStr">
        <is>
          <t>Immaterielle anlægsaktiver</t>
        </is>
      </c>
      <c r="B24" s="8">
        <f>'balance_raw'!$B$5</f>
        <v/>
      </c>
      <c r="C24" s="8">
        <f>'balance_raw'!$C$5</f>
        <v/>
      </c>
      <c r="D24" s="8">
        <f>'balance_raw'!$D$5</f>
        <v/>
      </c>
      <c r="E24" s="8">
        <f>'balance_raw'!$E$5</f>
        <v/>
      </c>
      <c r="F24" s="8">
        <f>'balance_raw'!$F$5</f>
        <v/>
      </c>
      <c r="G24" t="inlineStr"/>
      <c r="H24" s="9">
        <f>IFERROR(B24/$B$24*100,"")</f>
        <v/>
      </c>
      <c r="I24" s="9">
        <f>IFERROR(C24/$B$24*100,"")</f>
        <v/>
      </c>
      <c r="J24" s="9">
        <f>IFERROR(D24/$B$24*100,"")</f>
        <v/>
      </c>
      <c r="K24" s="9">
        <f>IFERROR(E24/$B$24*100,"")</f>
        <v/>
      </c>
      <c r="L24" s="9">
        <f>IFERROR(F24/$B$24*100,"")</f>
        <v/>
      </c>
    </row>
    <row r="25" ht="16" customHeight="1">
      <c r="A25" s="7" t="inlineStr">
        <is>
          <t>Materielle anlægsaktiver</t>
        </is>
      </c>
      <c r="B25" s="8">
        <f>'balance_raw'!$B$6</f>
        <v/>
      </c>
      <c r="C25" s="8">
        <f>'balance_raw'!$C$6</f>
        <v/>
      </c>
      <c r="D25" s="8">
        <f>'balance_raw'!$D$6</f>
        <v/>
      </c>
      <c r="E25" s="8">
        <f>'balance_raw'!$E$6</f>
        <v/>
      </c>
      <c r="F25" s="8">
        <f>'balance_raw'!$F$6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Kapitalandele, dattervirksomheder</t>
        </is>
      </c>
      <c r="B26" s="5">
        <f>'balance_raw'!$B$7</f>
        <v/>
      </c>
      <c r="C26" s="5">
        <f>'balance_raw'!$C$7</f>
        <v/>
      </c>
      <c r="D26" s="5">
        <f>'balance_raw'!$D$7</f>
        <v/>
      </c>
      <c r="E26" s="5">
        <f>'balance_raw'!$E$7</f>
        <v/>
      </c>
      <c r="F26" s="5">
        <f>'balance_raw'!$F$7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Deposita</t>
        </is>
      </c>
      <c r="B27" s="11">
        <f>'balance_raw'!$B$8</f>
        <v/>
      </c>
      <c r="C27" s="11">
        <f>'balance_raw'!$C$8</f>
        <v/>
      </c>
      <c r="D27" s="11">
        <f>'balance_raw'!$D$8</f>
        <v/>
      </c>
      <c r="E27" s="11">
        <f>'balance_raw'!$E$8</f>
        <v/>
      </c>
      <c r="F27" s="11">
        <f>'balance_raw'!$F$8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7" t="inlineStr">
        <is>
          <t>Finansielle anlægsaktiver</t>
        </is>
      </c>
      <c r="B28" s="8">
        <f>'balance_raw'!$B$9</f>
        <v/>
      </c>
      <c r="C28" s="8">
        <f>'balance_raw'!$C$9</f>
        <v/>
      </c>
      <c r="D28" s="8">
        <f>'balance_raw'!$D$9</f>
        <v/>
      </c>
      <c r="E28" s="8">
        <f>'balance_raw'!$E$9</f>
        <v/>
      </c>
      <c r="F28" s="8">
        <f>'balance_raw'!$F$9</f>
        <v/>
      </c>
      <c r="G28" t="inlineStr"/>
      <c r="H28" s="9">
        <f>IFERROR(B28/$B$28*100,"")</f>
        <v/>
      </c>
      <c r="I28" s="9">
        <f>IFERROR(C28/$B$28*100,"")</f>
        <v/>
      </c>
      <c r="J28" s="9">
        <f>IFERROR(D28/$B$28*100,"")</f>
        <v/>
      </c>
      <c r="K28" s="9">
        <f>IFERROR(E28/$B$28*100,"")</f>
        <v/>
      </c>
      <c r="L28" s="9">
        <f>IFERROR(F28/$B$28*100,"")</f>
        <v/>
      </c>
    </row>
    <row r="29" ht="16" customHeight="1">
      <c r="A29" s="7" t="inlineStr">
        <is>
          <t>Anlægsaktiver</t>
        </is>
      </c>
      <c r="B29" s="8">
        <f>'balance_raw'!$B$10</f>
        <v/>
      </c>
      <c r="C29" s="8">
        <f>'balance_raw'!$C$10</f>
        <v/>
      </c>
      <c r="D29" s="8">
        <f>'balance_raw'!$D$10</f>
        <v/>
      </c>
      <c r="E29" s="8">
        <f>'balance_raw'!$E$10</f>
        <v/>
      </c>
      <c r="F29" s="8">
        <f>'balance_raw'!$F$10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7" t="inlineStr">
        <is>
          <t>Varebeholdninger</t>
        </is>
      </c>
      <c r="B30" s="8">
        <f>'balance_raw'!$B$11</f>
        <v/>
      </c>
      <c r="C30" s="8">
        <f>'balance_raw'!$C$11</f>
        <v/>
      </c>
      <c r="D30" s="8">
        <f>'balance_raw'!$D$11</f>
        <v/>
      </c>
      <c r="E30" s="8">
        <f>'balance_raw'!$E$11</f>
        <v/>
      </c>
      <c r="F30" s="8">
        <f>'balance_raw'!$F$11</f>
        <v/>
      </c>
      <c r="G30" t="inlineStr"/>
      <c r="H30" s="9">
        <f>IFERROR(B30/$B$30*100,"")</f>
        <v/>
      </c>
      <c r="I30" s="9">
        <f>IFERROR(C30/$B$30*100,"")</f>
        <v/>
      </c>
      <c r="J30" s="9">
        <f>IFERROR(D30/$B$30*100,"")</f>
        <v/>
      </c>
      <c r="K30" s="9">
        <f>IFERROR(E30/$B$30*100,"")</f>
        <v/>
      </c>
      <c r="L30" s="9">
        <f>IFERROR(F30/$B$30*100,"")</f>
        <v/>
      </c>
    </row>
    <row r="31" ht="16" customHeight="1">
      <c r="A31" s="10" t="inlineStr">
        <is>
          <t>Tilgodehavender fra salg og tjenesteydelser</t>
        </is>
      </c>
      <c r="B31" s="11">
        <f>'balance_raw'!$B$12</f>
        <v/>
      </c>
      <c r="C31" s="11">
        <f>'balance_raw'!$C$12</f>
        <v/>
      </c>
      <c r="D31" s="11">
        <f>'balance_raw'!$D$12</f>
        <v/>
      </c>
      <c r="E31" s="11">
        <f>'balance_raw'!$E$12</f>
        <v/>
      </c>
      <c r="F31" s="11">
        <f>'balance_raw'!$F$12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4" t="inlineStr">
        <is>
          <t>Tilgodehavender hos tilknyttede virksomheder</t>
        </is>
      </c>
      <c r="B32" s="5">
        <f>'balance_raw'!$B$13</f>
        <v/>
      </c>
      <c r="C32" s="5">
        <f>'balance_raw'!$C$13</f>
        <v/>
      </c>
      <c r="D32" s="5">
        <f>'balance_raw'!$D$13</f>
        <v/>
      </c>
      <c r="E32" s="5">
        <f>'balance_raw'!$E$13</f>
        <v/>
      </c>
      <c r="F32" s="5">
        <f>'balance_raw'!$F$13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10" t="inlineStr">
        <is>
          <t>Andre tilgodehavender</t>
        </is>
      </c>
      <c r="B33" s="11">
        <f>'balance_raw'!$B$14</f>
        <v/>
      </c>
      <c r="C33" s="11">
        <f>'balance_raw'!$C$14</f>
        <v/>
      </c>
      <c r="D33" s="11">
        <f>'balance_raw'!$D$14</f>
        <v/>
      </c>
      <c r="E33" s="11">
        <f>'balance_raw'!$E$14</f>
        <v/>
      </c>
      <c r="F33" s="11">
        <f>'balance_raw'!$F$14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Periodeafgrænsningsposter (aktiver)</t>
        </is>
      </c>
      <c r="B34" s="5">
        <f>'balance_raw'!$B$15</f>
        <v/>
      </c>
      <c r="C34" s="5">
        <f>'balance_raw'!$C$15</f>
        <v/>
      </c>
      <c r="D34" s="5">
        <f>'balance_raw'!$D$15</f>
        <v/>
      </c>
      <c r="E34" s="5">
        <f>'balance_raw'!$E$15</f>
        <v/>
      </c>
      <c r="F34" s="5">
        <f>'balance_raw'!$F$15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Udskudt skatteaktiv</t>
        </is>
      </c>
      <c r="B35" s="11">
        <f>'balance_raw'!$B$16</f>
        <v/>
      </c>
      <c r="C35" s="11">
        <f>'balance_raw'!$C$16</f>
        <v/>
      </c>
      <c r="D35" s="11">
        <f>'balance_raw'!$D$16</f>
        <v/>
      </c>
      <c r="E35" s="11">
        <f>'balance_raw'!$E$16</f>
        <v/>
      </c>
      <c r="F35" s="11">
        <f>'balance_raw'!$F$16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4" t="inlineStr">
        <is>
          <t>Tilgodehavende skat hos tilknyttede virksomheder</t>
        </is>
      </c>
      <c r="B36" s="5">
        <f>'balance_raw'!$B$17</f>
        <v/>
      </c>
      <c r="C36" s="5">
        <f>'balance_raw'!$C$17</f>
        <v/>
      </c>
      <c r="D36" s="5">
        <f>'balance_raw'!$D$17</f>
        <v/>
      </c>
      <c r="E36" s="5">
        <f>'balance_raw'!$E$17</f>
        <v/>
      </c>
      <c r="F36" s="5">
        <f>'balance_raw'!$F$17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Kortfristede skattetilgodehavender</t>
        </is>
      </c>
      <c r="B37" s="11">
        <f>'balance_raw'!$B$18</f>
        <v/>
      </c>
      <c r="C37" s="11">
        <f>'balance_raw'!$C$18</f>
        <v/>
      </c>
      <c r="D37" s="11">
        <f>'balance_raw'!$D$18</f>
        <v/>
      </c>
      <c r="E37" s="11">
        <f>'balance_raw'!$E$18</f>
        <v/>
      </c>
      <c r="F37" s="11">
        <f>'balance_raw'!$F$18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7" t="inlineStr">
        <is>
          <t>Tilgodehavender</t>
        </is>
      </c>
      <c r="B38" s="8">
        <f>'balance_raw'!$B$19</f>
        <v/>
      </c>
      <c r="C38" s="8">
        <f>'balance_raw'!$C$19</f>
        <v/>
      </c>
      <c r="D38" s="8">
        <f>'balance_raw'!$D$19</f>
        <v/>
      </c>
      <c r="E38" s="8">
        <f>'balance_raw'!$E$19</f>
        <v/>
      </c>
      <c r="F38" s="8">
        <f>'balance_raw'!$F$19</f>
        <v/>
      </c>
      <c r="G38" t="inlineStr"/>
      <c r="H38" s="9">
        <f>IFERROR(B38/$B$38*100,"")</f>
        <v/>
      </c>
      <c r="I38" s="9">
        <f>IFERROR(C38/$B$38*100,"")</f>
        <v/>
      </c>
      <c r="J38" s="9">
        <f>IFERROR(D38/$B$38*100,"")</f>
        <v/>
      </c>
      <c r="K38" s="9">
        <f>IFERROR(E38/$B$38*100,"")</f>
        <v/>
      </c>
      <c r="L38" s="9">
        <f>IFERROR(F38/$B$38*100,"")</f>
        <v/>
      </c>
    </row>
    <row r="39" ht="16" customHeight="1">
      <c r="A39" s="10" t="inlineStr">
        <is>
          <t>Værdipapirer</t>
        </is>
      </c>
      <c r="B39" s="11">
        <f>'balance_raw'!$B$20</f>
        <v/>
      </c>
      <c r="C39" s="11">
        <f>'balance_raw'!$C$20</f>
        <v/>
      </c>
      <c r="D39" s="11">
        <f>'balance_raw'!$D$20</f>
        <v/>
      </c>
      <c r="E39" s="11">
        <f>'balance_raw'!$E$20</f>
        <v/>
      </c>
      <c r="F39" s="11">
        <f>'balance_raw'!$F$20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Likvide beholdninger</t>
        </is>
      </c>
      <c r="B40" s="5">
        <f>'balance_raw'!$B$21</f>
        <v/>
      </c>
      <c r="C40" s="5">
        <f>'balance_raw'!$C$21</f>
        <v/>
      </c>
      <c r="D40" s="5">
        <f>'balance_raw'!$D$21</f>
        <v/>
      </c>
      <c r="E40" s="5">
        <f>'balance_raw'!$E$21</f>
        <v/>
      </c>
      <c r="F40" s="5">
        <f>'balance_raw'!$F$21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Omsætningsaktiver</t>
        </is>
      </c>
      <c r="B41" s="8">
        <f>'balance_raw'!$B$22</f>
        <v/>
      </c>
      <c r="C41" s="8">
        <f>'balance_raw'!$C$22</f>
        <v/>
      </c>
      <c r="D41" s="8">
        <f>'balance_raw'!$D$22</f>
        <v/>
      </c>
      <c r="E41" s="8">
        <f>'balance_raw'!$E$22</f>
        <v/>
      </c>
      <c r="F41" s="8">
        <f>'balance_raw'!$F$22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7" t="inlineStr">
        <is>
          <t>Aktiver</t>
        </is>
      </c>
      <c r="B42" s="8">
        <f>'balance_raw'!$B$23</f>
        <v/>
      </c>
      <c r="C42" s="8">
        <f>'balance_raw'!$C$23</f>
        <v/>
      </c>
      <c r="D42" s="8">
        <f>'balance_raw'!$D$23</f>
        <v/>
      </c>
      <c r="E42" s="8">
        <f>'balance_raw'!$E$23</f>
        <v/>
      </c>
      <c r="F42" s="8">
        <f>'balance_raw'!$F$23</f>
        <v/>
      </c>
      <c r="G42" t="inlineStr"/>
      <c r="H42" s="9">
        <f>IFERROR(B42/$B$42*100,"")</f>
        <v/>
      </c>
      <c r="I42" s="9">
        <f>IFERROR(C42/$B$42*100,"")</f>
        <v/>
      </c>
      <c r="J42" s="9">
        <f>IFERROR(D42/$B$42*100,"")</f>
        <v/>
      </c>
      <c r="K42" s="9">
        <f>IFERROR(E42/$B$42*100,"")</f>
        <v/>
      </c>
      <c r="L42" s="9">
        <f>IFERROR(F42/$B$42*100,"")</f>
        <v/>
      </c>
    </row>
    <row r="44" ht="22" customHeight="1">
      <c r="A44" s="3" t="inlineStr">
        <is>
          <t>PASSIVER valuta pr. år - se kolonneoverskrifter</t>
        </is>
      </c>
      <c r="B44" s="3" t="n">
        <v>2021</v>
      </c>
      <c r="C44" s="3" t="n">
        <v>2022</v>
      </c>
      <c r="D44" s="3" t="n">
        <v>2023</v>
      </c>
      <c r="E44" s="3" t="n">
        <v>2024</v>
      </c>
      <c r="F44" s="3" t="n">
        <v>2025</v>
      </c>
      <c r="G44" t="inlineStr"/>
      <c r="H44" s="3" t="n">
        <v>2021</v>
      </c>
      <c r="I44" s="3" t="n">
        <v>2022</v>
      </c>
      <c r="J44" s="3" t="n">
        <v>2023</v>
      </c>
      <c r="K44" s="3" t="n">
        <v>2024</v>
      </c>
      <c r="L44" s="3" t="n">
        <v>2025</v>
      </c>
    </row>
    <row r="45" ht="16" customHeight="1">
      <c r="A45" s="10" t="inlineStr">
        <is>
          <t>Selskabskapital</t>
        </is>
      </c>
      <c r="B45" s="11">
        <f>'balance_raw'!$B$24</f>
        <v/>
      </c>
      <c r="C45" s="11">
        <f>'balance_raw'!$C$24</f>
        <v/>
      </c>
      <c r="D45" s="11">
        <f>'balance_raw'!$D$24</f>
        <v/>
      </c>
      <c r="E45" s="11">
        <f>'balance_raw'!$E$24</f>
        <v/>
      </c>
      <c r="F45" s="11">
        <f>'balance_raw'!$F$24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4" t="inlineStr">
        <is>
          <t>Reserve for nettoopskrivning (indre værdis metode)</t>
        </is>
      </c>
      <c r="B46" s="5">
        <f>'balance_raw'!$B$25</f>
        <v/>
      </c>
      <c r="C46" s="5">
        <f>'balance_raw'!$C$25</f>
        <v/>
      </c>
      <c r="D46" s="5">
        <f>'balance_raw'!$D$25</f>
        <v/>
      </c>
      <c r="E46" s="5">
        <f>'balance_raw'!$E$25</f>
        <v/>
      </c>
      <c r="F46" s="5">
        <f>'balance_raw'!$F$25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Reserve for udviklingsomkostninger</t>
        </is>
      </c>
      <c r="B47" s="11">
        <f>'balance_raw'!$B$26</f>
        <v/>
      </c>
      <c r="C47" s="11">
        <f>'balance_raw'!$C$26</f>
        <v/>
      </c>
      <c r="D47" s="11">
        <f>'balance_raw'!$D$26</f>
        <v/>
      </c>
      <c r="E47" s="11">
        <f>'balance_raw'!$E$26</f>
        <v/>
      </c>
      <c r="F47" s="11">
        <f>'balance_raw'!$F$26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4" t="inlineStr">
        <is>
          <t>Reserve for sikringstransaktioner</t>
        </is>
      </c>
      <c r="B48" s="5">
        <f>'balance_raw'!$B$27</f>
        <v/>
      </c>
      <c r="C48" s="5">
        <f>'balance_raw'!$C$27</f>
        <v/>
      </c>
      <c r="D48" s="5">
        <f>'balance_raw'!$D$27</f>
        <v/>
      </c>
      <c r="E48" s="5">
        <f>'balance_raw'!$E$27</f>
        <v/>
      </c>
      <c r="F48" s="5">
        <f>'balance_raw'!$F$27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10" t="inlineStr">
        <is>
          <t>Andre reserver</t>
        </is>
      </c>
      <c r="B49" s="11">
        <f>'balance_raw'!$B$28</f>
        <v/>
      </c>
      <c r="C49" s="11">
        <f>'balance_raw'!$C$28</f>
        <v/>
      </c>
      <c r="D49" s="11">
        <f>'balance_raw'!$D$28</f>
        <v/>
      </c>
      <c r="E49" s="11">
        <f>'balance_raw'!$E$28</f>
        <v/>
      </c>
      <c r="F49" s="11">
        <f>'balance_raw'!$F$28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4" t="inlineStr">
        <is>
          <t>Overført resultat</t>
        </is>
      </c>
      <c r="B50" s="5">
        <f>'balance_raw'!$B$29</f>
        <v/>
      </c>
      <c r="C50" s="5">
        <f>'balance_raw'!$C$29</f>
        <v/>
      </c>
      <c r="D50" s="5">
        <f>'balance_raw'!$D$29</f>
        <v/>
      </c>
      <c r="E50" s="5">
        <f>'balance_raw'!$E$29</f>
        <v/>
      </c>
      <c r="F50" s="5">
        <f>'balance_raw'!$F$29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7" t="inlineStr">
        <is>
          <t>Egenkapital i alt</t>
        </is>
      </c>
      <c r="B51" s="8">
        <f>'balance_raw'!$B$30</f>
        <v/>
      </c>
      <c r="C51" s="8">
        <f>'balance_raw'!$C$30</f>
        <v/>
      </c>
      <c r="D51" s="8">
        <f>'balance_raw'!$D$30</f>
        <v/>
      </c>
      <c r="E51" s="8">
        <f>'balance_raw'!$E$30</f>
        <v/>
      </c>
      <c r="F51" s="8">
        <f>'balance_raw'!$F$30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Hensættelse til udskudt skat</t>
        </is>
      </c>
      <c r="B52" s="5">
        <f>'balance_raw'!$B$31</f>
        <v/>
      </c>
      <c r="C52" s="5">
        <f>'balance_raw'!$C$31</f>
        <v/>
      </c>
      <c r="D52" s="5">
        <f>'balance_raw'!$D$31</f>
        <v/>
      </c>
      <c r="E52" s="5">
        <f>'balance_raw'!$E$31</f>
        <v/>
      </c>
      <c r="F52" s="5">
        <f>'balance_raw'!$F$31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Hensatte forpligtelser</t>
        </is>
      </c>
      <c r="B53" s="8">
        <f>'balance_raw'!$B$32</f>
        <v/>
      </c>
      <c r="C53" s="8">
        <f>'balance_raw'!$C$32</f>
        <v/>
      </c>
      <c r="D53" s="8">
        <f>'balance_raw'!$D$32</f>
        <v/>
      </c>
      <c r="E53" s="8">
        <f>'balance_raw'!$E$32</f>
        <v/>
      </c>
      <c r="F53" s="8">
        <f>'balance_raw'!$F$32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Ansvarlig lånekapital (langfristet)</t>
        </is>
      </c>
      <c r="B54" s="5">
        <f>'balance_raw'!$B$33</f>
        <v/>
      </c>
      <c r="C54" s="5">
        <f>'balance_raw'!$C$33</f>
        <v/>
      </c>
      <c r="D54" s="5">
        <f>'balance_raw'!$D$33</f>
        <v/>
      </c>
      <c r="E54" s="5">
        <f>'balance_raw'!$E$33</f>
        <v/>
      </c>
      <c r="F54" s="5">
        <f>'balance_raw'!$F$33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Langfristede lån</t>
        </is>
      </c>
      <c r="B55" s="11">
        <f>'balance_raw'!$B$34</f>
        <v/>
      </c>
      <c r="C55" s="11">
        <f>'balance_raw'!$C$34</f>
        <v/>
      </c>
      <c r="D55" s="11">
        <f>'balance_raw'!$D$34</f>
        <v/>
      </c>
      <c r="E55" s="11">
        <f>'balance_raw'!$E$34</f>
        <v/>
      </c>
      <c r="F55" s="11">
        <f>'balance_raw'!$F$34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4" t="inlineStr">
        <is>
          <t>Leasingforpligtelser (langfristet)</t>
        </is>
      </c>
      <c r="B56" s="5">
        <f>'balance_raw'!$B$35</f>
        <v/>
      </c>
      <c r="C56" s="5">
        <f>'balance_raw'!$C$35</f>
        <v/>
      </c>
      <c r="D56" s="5">
        <f>'balance_raw'!$D$35</f>
        <v/>
      </c>
      <c r="E56" s="5">
        <f>'balance_raw'!$E$35</f>
        <v/>
      </c>
      <c r="F56" s="5">
        <f>'balance_raw'!$F$35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Anden gæld (langfristet)</t>
        </is>
      </c>
      <c r="B57" s="11">
        <f>'balance_raw'!$B$36</f>
        <v/>
      </c>
      <c r="C57" s="11">
        <f>'balance_raw'!$C$36</f>
        <v/>
      </c>
      <c r="D57" s="11">
        <f>'balance_raw'!$D$36</f>
        <v/>
      </c>
      <c r="E57" s="11">
        <f>'balance_raw'!$E$36</f>
        <v/>
      </c>
      <c r="F57" s="11">
        <f>'balance_raw'!$F$36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7" t="inlineStr">
        <is>
          <t>Langfristede gældsforpligtelser</t>
        </is>
      </c>
      <c r="B58" s="8">
        <f>'balance_raw'!$B$37</f>
        <v/>
      </c>
      <c r="C58" s="8">
        <f>'balance_raw'!$C$37</f>
        <v/>
      </c>
      <c r="D58" s="8">
        <f>'balance_raw'!$D$37</f>
        <v/>
      </c>
      <c r="E58" s="8">
        <f>'balance_raw'!$E$37</f>
        <v/>
      </c>
      <c r="F58" s="8">
        <f>'balance_raw'!$F$37</f>
        <v/>
      </c>
      <c r="G58" t="inlineStr"/>
      <c r="H58" s="9">
        <f>IFERROR(B58/$B$58*100,"")</f>
        <v/>
      </c>
      <c r="I58" s="9">
        <f>IFERROR(C58/$B$58*100,"")</f>
        <v/>
      </c>
      <c r="J58" s="9">
        <f>IFERROR(D58/$B$58*100,"")</f>
        <v/>
      </c>
      <c r="K58" s="9">
        <f>IFERROR(E58/$B$58*100,"")</f>
        <v/>
      </c>
      <c r="L58" s="9">
        <f>IFERROR(F58/$B$58*100,"")</f>
        <v/>
      </c>
    </row>
    <row r="59" ht="16" customHeight="1">
      <c r="A59" s="10" t="inlineStr">
        <is>
          <t>Ansvarlig lånekapital (kortfristet)</t>
        </is>
      </c>
      <c r="B59" s="11">
        <f>'balance_raw'!$B$38</f>
        <v/>
      </c>
      <c r="C59" s="11">
        <f>'balance_raw'!$C$38</f>
        <v/>
      </c>
      <c r="D59" s="11">
        <f>'balance_raw'!$D$38</f>
        <v/>
      </c>
      <c r="E59" s="11">
        <f>'balance_raw'!$E$38</f>
        <v/>
      </c>
      <c r="F59" s="11">
        <f>'balance_raw'!$F$38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Kortfristet del af langfristede gældsforpligtelser</t>
        </is>
      </c>
      <c r="B60" s="5">
        <f>'balance_raw'!$B$39</f>
        <v/>
      </c>
      <c r="C60" s="5">
        <f>'balance_raw'!$C$39</f>
        <v/>
      </c>
      <c r="D60" s="5">
        <f>'balance_raw'!$D$39</f>
        <v/>
      </c>
      <c r="E60" s="5">
        <f>'balance_raw'!$E$39</f>
        <v/>
      </c>
      <c r="F60" s="5">
        <f>'balance_raw'!$F$39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Kreditinstitutter</t>
        </is>
      </c>
      <c r="B61" s="11">
        <f>'balance_raw'!$B$40</f>
        <v/>
      </c>
      <c r="C61" s="11">
        <f>'balance_raw'!$C$40</f>
        <v/>
      </c>
      <c r="D61" s="11">
        <f>'balance_raw'!$D$40</f>
        <v/>
      </c>
      <c r="E61" s="11">
        <f>'balance_raw'!$E$40</f>
        <v/>
      </c>
      <c r="F61" s="11">
        <f>'balance_raw'!$F$40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Leasingforpligtelser (kortfristet)</t>
        </is>
      </c>
      <c r="B62" s="5">
        <f>'balance_raw'!$B$41</f>
        <v/>
      </c>
      <c r="C62" s="5">
        <f>'balance_raw'!$C$41</f>
        <v/>
      </c>
      <c r="D62" s="5">
        <f>'balance_raw'!$D$41</f>
        <v/>
      </c>
      <c r="E62" s="5">
        <f>'balance_raw'!$E$41</f>
        <v/>
      </c>
      <c r="F62" s="5">
        <f>'balance_raw'!$F$41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Leverandører af varer og tjenesteydelser</t>
        </is>
      </c>
      <c r="B63" s="11">
        <f>'balance_raw'!$B$42</f>
        <v/>
      </c>
      <c r="C63" s="11">
        <f>'balance_raw'!$C$42</f>
        <v/>
      </c>
      <c r="D63" s="11">
        <f>'balance_raw'!$D$42</f>
        <v/>
      </c>
      <c r="E63" s="11">
        <f>'balance_raw'!$E$42</f>
        <v/>
      </c>
      <c r="F63" s="11">
        <f>'balance_raw'!$F$42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Gæld til tilknyttede virksomheder</t>
        </is>
      </c>
      <c r="B64" s="5">
        <f>'balance_raw'!$B$43</f>
        <v/>
      </c>
      <c r="C64" s="5">
        <f>'balance_raw'!$C$43</f>
        <v/>
      </c>
      <c r="D64" s="5">
        <f>'balance_raw'!$D$43</f>
        <v/>
      </c>
      <c r="E64" s="5">
        <f>'balance_raw'!$E$43</f>
        <v/>
      </c>
      <c r="F64" s="5">
        <f>'balance_raw'!$F$43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Gæld til selskabsdeltagere og ledelse</t>
        </is>
      </c>
      <c r="B65" s="11">
        <f>'balance_raw'!$B$44</f>
        <v/>
      </c>
      <c r="C65" s="11">
        <f>'balance_raw'!$C$44</f>
        <v/>
      </c>
      <c r="D65" s="11">
        <f>'balance_raw'!$D$44</f>
        <v/>
      </c>
      <c r="E65" s="11">
        <f>'balance_raw'!$E$44</f>
        <v/>
      </c>
      <c r="F65" s="11">
        <f>'balance_raw'!$F$44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Selskabsskat</t>
        </is>
      </c>
      <c r="B66" s="5">
        <f>'balance_raw'!$B$45</f>
        <v/>
      </c>
      <c r="C66" s="5">
        <f>'balance_raw'!$C$45</f>
        <v/>
      </c>
      <c r="D66" s="5">
        <f>'balance_raw'!$D$45</f>
        <v/>
      </c>
      <c r="E66" s="5">
        <f>'balance_raw'!$E$45</f>
        <v/>
      </c>
      <c r="F66" s="5">
        <f>'balance_raw'!$F$45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Gæld til tilknyttede virksomheder vedr. selskabsskat</t>
        </is>
      </c>
      <c r="B67" s="11">
        <f>'balance_raw'!$B$46</f>
        <v/>
      </c>
      <c r="C67" s="11">
        <f>'balance_raw'!$C$46</f>
        <v/>
      </c>
      <c r="D67" s="11">
        <f>'balance_raw'!$D$46</f>
        <v/>
      </c>
      <c r="E67" s="11">
        <f>'balance_raw'!$E$46</f>
        <v/>
      </c>
      <c r="F67" s="11">
        <f>'balance_raw'!$F$46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Anden gæld (kortfristet)</t>
        </is>
      </c>
      <c r="B68" s="5">
        <f>'balance_raw'!$B$47</f>
        <v/>
      </c>
      <c r="C68" s="5">
        <f>'balance_raw'!$C$47</f>
        <v/>
      </c>
      <c r="D68" s="5">
        <f>'balance_raw'!$D$47</f>
        <v/>
      </c>
      <c r="E68" s="5">
        <f>'balance_raw'!$E$47</f>
        <v/>
      </c>
      <c r="F68" s="5">
        <f>'balance_raw'!$F$47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Periodeafgrænsningsposter (passiver)</t>
        </is>
      </c>
      <c r="B69" s="11">
        <f>'balance_raw'!$B$48</f>
        <v/>
      </c>
      <c r="C69" s="11">
        <f>'balance_raw'!$C$48</f>
        <v/>
      </c>
      <c r="D69" s="11">
        <f>'balance_raw'!$D$48</f>
        <v/>
      </c>
      <c r="E69" s="11">
        <f>'balance_raw'!$E$48</f>
        <v/>
      </c>
      <c r="F69" s="11">
        <f>'balance_raw'!$F$48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7" t="inlineStr">
        <is>
          <t>Kortfristede gældsforpligtelser</t>
        </is>
      </c>
      <c r="B70" s="8">
        <f>'balance_raw'!$B$49</f>
        <v/>
      </c>
      <c r="C70" s="8">
        <f>'balance_raw'!$C$49</f>
        <v/>
      </c>
      <c r="D70" s="8">
        <f>'balance_raw'!$D$49</f>
        <v/>
      </c>
      <c r="E70" s="8">
        <f>'balance_raw'!$E$49</f>
        <v/>
      </c>
      <c r="F70" s="8">
        <f>'balance_raw'!$F$49</f>
        <v/>
      </c>
      <c r="G70" t="inlineStr"/>
      <c r="H70" s="9">
        <f>IFERROR(B70/$B$70*100,"")</f>
        <v/>
      </c>
      <c r="I70" s="9">
        <f>IFERROR(C70/$B$70*100,"")</f>
        <v/>
      </c>
      <c r="J70" s="9">
        <f>IFERROR(D70/$B$70*100,"")</f>
        <v/>
      </c>
      <c r="K70" s="9">
        <f>IFERROR(E70/$B$70*100,"")</f>
        <v/>
      </c>
      <c r="L70" s="9">
        <f>IFERROR(F70/$B$70*100,"")</f>
        <v/>
      </c>
    </row>
    <row r="71" ht="16" customHeight="1">
      <c r="A71" s="7" t="inlineStr">
        <is>
          <t>Gældsforpligtelser</t>
        </is>
      </c>
      <c r="B71" s="8">
        <f>'balance_raw'!$B$50</f>
        <v/>
      </c>
      <c r="C71" s="8">
        <f>'balance_raw'!$C$50</f>
        <v/>
      </c>
      <c r="D71" s="8">
        <f>'balance_raw'!$D$50</f>
        <v/>
      </c>
      <c r="E71" s="8">
        <f>'balance_raw'!$E$50</f>
        <v/>
      </c>
      <c r="F71" s="8">
        <f>'balance_raw'!$F$50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7" t="inlineStr">
        <is>
          <t>Passiver</t>
        </is>
      </c>
      <c r="B72" s="8">
        <f>'balance_raw'!$B$51</f>
        <v/>
      </c>
      <c r="C72" s="8">
        <f>'balance_raw'!$C$51</f>
        <v/>
      </c>
      <c r="D72" s="8">
        <f>'balance_raw'!$D$51</f>
        <v/>
      </c>
      <c r="E72" s="8">
        <f>'balance_raw'!$E$51</f>
        <v/>
      </c>
      <c r="F72" s="8">
        <f>'balance_raw'!$F$51</f>
        <v/>
      </c>
      <c r="G72" t="inlineStr"/>
      <c r="H72" s="9">
        <f>IFERROR(B72/$B$72*100,"")</f>
        <v/>
      </c>
      <c r="I72" s="9">
        <f>IFERROR(C72/$B$72*100,"")</f>
        <v/>
      </c>
      <c r="J72" s="9">
        <f>IFERROR(D72/$B$72*100,"")</f>
        <v/>
      </c>
      <c r="K72" s="9">
        <f>IFERROR(E72/$B$72*100,"")</f>
        <v/>
      </c>
      <c r="L72" s="9">
        <f>IFERROR(F72/$B$72*100,"")</f>
        <v/>
      </c>
    </row>
    <row r="74" ht="22" customHeight="1">
      <c r="A74" s="3" t="inlineStr">
        <is>
          <t>NØGLEOPLYSNINGER</t>
        </is>
      </c>
      <c r="B74" s="3" t="n">
        <v>2021</v>
      </c>
      <c r="C74" s="3" t="n">
        <v>2022</v>
      </c>
      <c r="D74" s="3" t="n">
        <v>2023</v>
      </c>
      <c r="E74" s="3" t="n">
        <v>2024</v>
      </c>
      <c r="F74" s="3" t="n">
        <v>2025</v>
      </c>
    </row>
    <row r="75" ht="16" customHeight="1">
      <c r="A75" s="10" t="inlineStr">
        <is>
          <t>Gns. antal medarbejdere</t>
        </is>
      </c>
      <c r="B75" s="11">
        <f>'res_raw'!$B$17</f>
        <v/>
      </c>
      <c r="C75" s="11">
        <f>'res_raw'!$C$17</f>
        <v/>
      </c>
      <c r="D75" s="11">
        <f>'res_raw'!$D$17</f>
        <v/>
      </c>
      <c r="E75" s="11">
        <f>'res_raw'!$E$17</f>
        <v/>
      </c>
      <c r="F75" s="11">
        <f>'res_raw'!$F$17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4" t="inlineStr">
        <is>
          <t>Investering i materielle anlægsaktiver</t>
        </is>
      </c>
      <c r="B76" s="5">
        <f>'res_raw'!$B$18</f>
        <v/>
      </c>
      <c r="C76" s="5">
        <f>'res_raw'!$C$18</f>
        <v/>
      </c>
      <c r="D76" s="5">
        <f>'res_raw'!$D$18</f>
        <v/>
      </c>
      <c r="E76" s="5">
        <f>'res_raw'!$E$18</f>
        <v/>
      </c>
      <c r="F76" s="5">
        <f>'res_raw'!$F$18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8" ht="22" customHeight="1">
      <c r="A78" s="3" t="inlineStr">
        <is>
          <t>NØGLETAL</t>
        </is>
      </c>
      <c r="B78" s="3" t="n">
        <v>2021</v>
      </c>
      <c r="C78" s="3" t="n">
        <v>2022</v>
      </c>
      <c r="D78" s="3" t="n">
        <v>2023</v>
      </c>
      <c r="E78" s="3" t="n">
        <v>2024</v>
      </c>
      <c r="F78" s="3" t="n">
        <v>2025</v>
      </c>
    </row>
    <row r="79" ht="16" customHeight="1">
      <c r="A79" s="10" t="inlineStr">
        <is>
          <t>Afkastningsgrad, %</t>
        </is>
      </c>
      <c r="B79" s="13">
        <f>IFERROR(($B$11+$B$13+$B$12)/$B$42*100,"")</f>
        <v/>
      </c>
      <c r="C79" s="13">
        <f>IFERROR(($C$11+$C$13+$C$12)/$C$42*100,"")</f>
        <v/>
      </c>
      <c r="D79" s="13">
        <f>IFERROR(($D$11+$D$13+$D$12)/$D$42*100,"")</f>
        <v/>
      </c>
      <c r="E79" s="13">
        <f>IFERROR(($E$11+$E$13+$E$12)/$E$42*100,"")</f>
        <v/>
      </c>
      <c r="F79" s="13">
        <f>IFERROR(($F$11+$F$13+$F$12)/$F$42*100,"")</f>
        <v/>
      </c>
    </row>
    <row r="80" ht="16" customHeight="1">
      <c r="A80" s="4" t="inlineStr">
        <is>
          <t>Overskudsgrad, %</t>
        </is>
      </c>
      <c r="B80" s="14">
        <f>IFERROR(($B$11+$B$13+$B$12)/$B$4*100,"")</f>
        <v/>
      </c>
      <c r="C80" s="14">
        <f>IFERROR(($C$11+$C$13+$C$12)/$C$4*100,"")</f>
        <v/>
      </c>
      <c r="D80" s="14">
        <f>IFERROR(($D$11+$D$13+$D$12)/$D$4*100,"")</f>
        <v/>
      </c>
      <c r="E80" s="14">
        <f>IFERROR(($E$11+$E$13+$E$12)/$E$4*100,"")</f>
        <v/>
      </c>
      <c r="F80" s="14">
        <f>IFERROR(($F$11+$F$13+$F$12)/$F$4*100,"")</f>
        <v/>
      </c>
    </row>
    <row r="81" ht="16" customHeight="1">
      <c r="A81" s="10" t="inlineStr">
        <is>
          <t>Aktivernes omsætningshastighed, gange</t>
        </is>
      </c>
      <c r="B81" s="13">
        <f>IFERROR($B$4/$B$42,"")</f>
        <v/>
      </c>
      <c r="C81" s="13">
        <f>IFERROR($C$4/$C$42,"")</f>
        <v/>
      </c>
      <c r="D81" s="13">
        <f>IFERROR($D$4/$D$42,"")</f>
        <v/>
      </c>
      <c r="E81" s="13">
        <f>IFERROR($E$4/$E$42,"")</f>
        <v/>
      </c>
      <c r="F81" s="13">
        <f>IFERROR($F$4/$F$42,"")</f>
        <v/>
      </c>
    </row>
    <row r="82" ht="16" customHeight="1">
      <c r="A82" s="4" t="inlineStr">
        <is>
          <t>Egenkapitalens forrentning, %</t>
        </is>
      </c>
      <c r="B82" s="14">
        <f>IFERROR($B$16/$B$51*100,"")</f>
        <v/>
      </c>
      <c r="C82" s="14">
        <f>IFERROR($C$16/$C$51*100,"")</f>
        <v/>
      </c>
      <c r="D82" s="14">
        <f>IFERROR($D$16/$D$51*100,"")</f>
        <v/>
      </c>
      <c r="E82" s="14">
        <f>IFERROR($E$16/$E$51*100,"")</f>
        <v/>
      </c>
      <c r="F82" s="14">
        <f>IFERROR($F$16/$F$51*100,"")</f>
        <v/>
      </c>
    </row>
    <row r="83" ht="16" customHeight="1">
      <c r="A83" s="10" t="inlineStr">
        <is>
          <t>Gældsrente, %</t>
        </is>
      </c>
      <c r="B83" s="13">
        <f>IFERROR($B$14/($B$72-$B$51)*100,"")</f>
        <v/>
      </c>
      <c r="C83" s="13">
        <f>IFERROR($C$14/($C$72-$C$51)*100,"")</f>
        <v/>
      </c>
      <c r="D83" s="13">
        <f>IFERROR($D$14/($D$72-$D$51)*100,"")</f>
        <v/>
      </c>
      <c r="E83" s="13">
        <f>IFERROR($E$14/($E$72-$E$51)*100,"")</f>
        <v/>
      </c>
      <c r="F83" s="13">
        <f>IFERROR($F$14/($F$72-$F$51)*100,"")</f>
        <v/>
      </c>
    </row>
    <row r="84" ht="16" customHeight="1">
      <c r="A84" s="4" t="inlineStr">
        <is>
          <t>Soliditetsgrad, %</t>
        </is>
      </c>
      <c r="B84" s="14">
        <f>IFERROR($B$51/$B$42*100,"")</f>
        <v/>
      </c>
      <c r="C84" s="14">
        <f>IFERROR($C$51/$C$42*100,"")</f>
        <v/>
      </c>
      <c r="D84" s="14">
        <f>IFERROR($D$51/$D$42*100,"")</f>
        <v/>
      </c>
      <c r="E84" s="14">
        <f>IFERROR($E$51/$E$42*100,"")</f>
        <v/>
      </c>
      <c r="F84" s="14">
        <f>IFERROR($F$51/$F$42*100,"")</f>
        <v/>
      </c>
    </row>
    <row r="85" ht="16" customHeight="1">
      <c r="A85" s="10" t="inlineStr">
        <is>
          <t>Gearing</t>
        </is>
      </c>
      <c r="B85" s="13">
        <f>IFERROR(($B$72-$B$51)/$B$51,"")</f>
        <v/>
      </c>
      <c r="C85" s="13">
        <f>IFERROR(($C$72-$C$51)/$C$51,"")</f>
        <v/>
      </c>
      <c r="D85" s="13">
        <f>IFERROR(($D$72-$D$51)/$D$51,"")</f>
        <v/>
      </c>
      <c r="E85" s="13">
        <f>IFERROR(($E$72-$E$51)/$E$51,"")</f>
        <v/>
      </c>
      <c r="F85" s="13">
        <f>IFERROR(($F$72-$F$51)/$F$51,"")</f>
        <v/>
      </c>
    </row>
    <row r="86" ht="16" customHeight="1">
      <c r="A86" s="4" t="inlineStr">
        <is>
          <t>Likviditetsgrad, %</t>
        </is>
      </c>
      <c r="B86" s="14">
        <f>IFERROR($B$41/$B$70*100,"")</f>
        <v/>
      </c>
      <c r="C86" s="14">
        <f>IFERROR($C$41/$C$70*100,"")</f>
        <v/>
      </c>
      <c r="D86" s="14">
        <f>IFERROR($D$41/$D$70*100,"")</f>
        <v/>
      </c>
      <c r="E86" s="14">
        <f>IFERROR($E$41/$E$70*100,"")</f>
        <v/>
      </c>
      <c r="F86" s="14">
        <f>IFERROR($F$41/$F$70*100,"")</f>
        <v/>
      </c>
    </row>
    <row r="87" ht="16" customHeight="1">
      <c r="A87" s="10" t="inlineStr">
        <is>
          <t>Rentemarginal, %</t>
        </is>
      </c>
      <c r="B87" s="13">
        <f>IFERROR(B79-B83,"")</f>
        <v/>
      </c>
      <c r="C87" s="13">
        <f>IFERROR(C79-C83,"")</f>
        <v/>
      </c>
      <c r="D87" s="13">
        <f>IFERROR(D79-D83,"")</f>
        <v/>
      </c>
      <c r="E87" s="13">
        <f>IFERROR(E79-E83,"")</f>
        <v/>
      </c>
      <c r="F87" s="13">
        <f>IFERROR(F79-F83,"")</f>
        <v/>
      </c>
    </row>
    <row r="88" ht="16" customHeight="1">
      <c r="A88" s="4" t="inlineStr">
        <is>
          <t>Gældsandel, %</t>
        </is>
      </c>
      <c r="B88" s="14">
        <f>IFERROR(($B$72-$B$51)/$B$42*100,"")</f>
        <v/>
      </c>
      <c r="C88" s="14">
        <f>IFERROR(($C$72-$C$51)/$C$42*100,"")</f>
        <v/>
      </c>
      <c r="D88" s="14">
        <f>IFERROR(($D$72-$D$51)/$D$42*100,"")</f>
        <v/>
      </c>
      <c r="E88" s="14">
        <f>IFERROR(($E$72-$E$51)/$E$42*100,"")</f>
        <v/>
      </c>
      <c r="F88" s="14">
        <f>IFERROR(($F$72-$F$51)/$F$42*100,"")</f>
        <v/>
      </c>
    </row>
    <row r="89" ht="16" customHeight="1">
      <c r="A89" s="10" t="inlineStr">
        <is>
          <t>Kapitalbindingsgrad, %</t>
        </is>
      </c>
      <c r="B89" s="13">
        <f>IFERROR($B$29/($B$51+$B$58)*100,"")</f>
        <v/>
      </c>
      <c r="C89" s="13">
        <f>IFERROR($C$29/($C$51+$C$58)*100,"")</f>
        <v/>
      </c>
      <c r="D89" s="13">
        <f>IFERROR($D$29/($D$51+$D$58)*100,"")</f>
        <v/>
      </c>
      <c r="E89" s="13">
        <f>IFERROR($E$29/($E$51+$E$58)*100,"")</f>
        <v/>
      </c>
      <c r="F89" s="13">
        <f>IFERROR($F$29/($F$51+$F$58)*100,"")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(valuta pr. år - se kolonneoverskrifter)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54551000</v>
      </c>
      <c r="C2" s="16" t="n">
        <v>74875000</v>
      </c>
      <c r="D2" s="16" t="n">
        <v>62443000</v>
      </c>
      <c r="E2" s="16" t="n">
        <v>56081000</v>
      </c>
      <c r="F2" s="16" t="n">
        <v>57123000</v>
      </c>
    </row>
    <row r="3">
      <c r="A3" s="15" t="inlineStr">
        <is>
          <t>Produktionsomkostninger</t>
        </is>
      </c>
      <c r="B3" s="16" t="n">
        <v>49051000</v>
      </c>
      <c r="C3" s="16" t="n">
        <v>68421000</v>
      </c>
      <c r="D3" s="16" t="n">
        <v>56139000</v>
      </c>
      <c r="E3" s="16" t="n">
        <v>50273000</v>
      </c>
      <c r="F3" s="16" t="n">
        <v>51347000</v>
      </c>
    </row>
    <row r="4">
      <c r="A4" s="17" t="inlineStr">
        <is>
          <t>Bruttoresultat</t>
        </is>
      </c>
      <c r="B4" s="16" t="n">
        <v>5500000</v>
      </c>
      <c r="C4" s="16" t="n">
        <v>6454000</v>
      </c>
      <c r="D4" s="16" t="n">
        <v>6304000</v>
      </c>
      <c r="E4" s="16" t="n">
        <v>5808000</v>
      </c>
      <c r="F4" s="16" t="n">
        <v>5776000</v>
      </c>
    </row>
    <row r="5">
      <c r="A5" s="15" t="inlineStr">
        <is>
          <t>Salgs- og distributionsomkostninger</t>
        </is>
      </c>
      <c r="B5" s="16" t="n">
        <v>3563000</v>
      </c>
      <c r="C5" s="16" t="n">
        <v>3939000</v>
      </c>
      <c r="D5" s="16" t="n">
        <v>3754000</v>
      </c>
      <c r="E5" s="16" t="n">
        <v>3861000</v>
      </c>
      <c r="F5" s="16" t="n">
        <v>3895000</v>
      </c>
    </row>
    <row r="6">
      <c r="A6" s="15" t="inlineStr">
        <is>
          <t>Administrationsomkostninger</t>
        </is>
      </c>
      <c r="B6" s="16" t="n">
        <v>1019000</v>
      </c>
      <c r="C6" s="16" t="n">
        <v>1234000</v>
      </c>
      <c r="D6" s="16" t="n">
        <v>1349000</v>
      </c>
      <c r="E6" s="16" t="n">
        <v>1353000</v>
      </c>
      <c r="F6" s="16" t="n">
        <v>1457000</v>
      </c>
    </row>
    <row r="7">
      <c r="A7" s="15" t="inlineStr">
        <is>
          <t>Andre driftsindtægter</t>
        </is>
      </c>
      <c r="B7" s="16" t="n">
        <v>210000</v>
      </c>
      <c r="C7" s="16" t="n">
        <v>270000</v>
      </c>
      <c r="D7" s="16" t="n">
        <v>188000</v>
      </c>
      <c r="E7" s="16" t="n">
        <v>386000</v>
      </c>
      <c r="F7" s="16" t="n">
        <v>302000</v>
      </c>
    </row>
    <row r="8">
      <c r="A8" s="15" t="inlineStr">
        <is>
          <t>Andre driftsomkostninger</t>
        </is>
      </c>
      <c r="B8" s="16" t="n">
        <v>33000</v>
      </c>
      <c r="C8" s="16" t="n">
        <v>55000</v>
      </c>
      <c r="D8" s="16" t="n">
        <v>33000</v>
      </c>
      <c r="E8" s="16" t="n">
        <v>18000</v>
      </c>
      <c r="F8" s="16" t="n">
        <v>22000</v>
      </c>
    </row>
    <row r="9">
      <c r="A9" s="17" t="inlineStr">
        <is>
          <t>Resultat af primær drift</t>
        </is>
      </c>
      <c r="B9" s="16" t="n">
        <v>1194000</v>
      </c>
      <c r="C9" s="16" t="n">
        <v>1612000</v>
      </c>
      <c r="D9" s="16" t="n">
        <v>1602000</v>
      </c>
      <c r="E9" s="16" t="n">
        <v>846000</v>
      </c>
      <c r="F9" s="16" t="n">
        <v>445000</v>
      </c>
    </row>
    <row r="10">
      <c r="A10" s="15" t="inlineStr">
        <is>
          <t>Indtægter af kapitalandele, dattervirksomheder</t>
        </is>
      </c>
      <c r="B10" s="16" t="n"/>
      <c r="C10" s="16" t="n"/>
      <c r="D10" s="16" t="n"/>
      <c r="E10" s="16" t="n">
        <v>181000</v>
      </c>
      <c r="F10" s="16" t="n">
        <v>262000</v>
      </c>
    </row>
    <row r="11">
      <c r="A11" s="15" t="inlineStr">
        <is>
          <t>Finansielle indtægter</t>
        </is>
      </c>
      <c r="B11" s="16" t="n">
        <v>14000</v>
      </c>
      <c r="C11" s="16" t="n">
        <v>21000</v>
      </c>
      <c r="D11" s="16" t="n">
        <v>44000</v>
      </c>
      <c r="E11" s="16" t="n">
        <v>32000</v>
      </c>
      <c r="F11" s="16" t="n">
        <v>22000</v>
      </c>
    </row>
    <row r="12">
      <c r="A12" s="15" t="inlineStr">
        <is>
          <t>Finansielle omkostninger</t>
        </is>
      </c>
      <c r="B12" s="16" t="n">
        <v>306000</v>
      </c>
      <c r="C12" s="16" t="n">
        <v>329000</v>
      </c>
      <c r="D12" s="16" t="n">
        <v>627000</v>
      </c>
      <c r="E12" s="16" t="n">
        <v>931000</v>
      </c>
      <c r="F12" s="16" t="n">
        <v>659000</v>
      </c>
    </row>
    <row r="13">
      <c r="A13" s="17" t="inlineStr">
        <is>
          <t>Finansielle poster, netto</t>
        </is>
      </c>
      <c r="B13" s="16" t="n"/>
      <c r="C13" s="16" t="n"/>
      <c r="D13" s="16" t="n"/>
      <c r="E13" s="16" t="n"/>
      <c r="F13" s="16" t="n"/>
    </row>
    <row r="14">
      <c r="A14" s="17" t="inlineStr">
        <is>
          <t>Resultat før skat</t>
        </is>
      </c>
      <c r="B14" s="16" t="n">
        <v>902000</v>
      </c>
      <c r="C14" s="16" t="n">
        <v>1304000</v>
      </c>
      <c r="D14" s="16" t="n">
        <v>1019000</v>
      </c>
      <c r="E14" s="16" t="n">
        <v>-53000</v>
      </c>
      <c r="F14" s="16" t="n">
        <v>-192000</v>
      </c>
    </row>
    <row r="15">
      <c r="A15" s="15" t="inlineStr">
        <is>
          <t>Skat af årets resultat</t>
        </is>
      </c>
      <c r="B15" s="16" t="n">
        <v>169000</v>
      </c>
      <c r="C15" s="16" t="n">
        <v>230000</v>
      </c>
      <c r="D15" s="16" t="n">
        <v>259000</v>
      </c>
      <c r="E15" s="16" t="n">
        <v>132000</v>
      </c>
      <c r="F15" s="16" t="n">
        <v>160000</v>
      </c>
    </row>
    <row r="16">
      <c r="A16" s="17" t="inlineStr">
        <is>
          <t>Årets resultat</t>
        </is>
      </c>
      <c r="B16" s="16" t="n">
        <v>733000</v>
      </c>
      <c r="C16" s="16" t="n">
        <v>1074000</v>
      </c>
      <c r="D16" s="16" t="n">
        <v>760000</v>
      </c>
      <c r="E16" s="16" t="n">
        <v>-185000</v>
      </c>
      <c r="F16" s="16" t="n">
        <v>-352000</v>
      </c>
    </row>
    <row r="17">
      <c r="A17" s="15" t="inlineStr">
        <is>
          <t>Gns. antal medarbejdere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Investering i materielle anlægsaktiver</t>
        </is>
      </c>
      <c r="B18" s="16" t="n"/>
      <c r="C18" s="16" t="n"/>
      <c r="D18" s="16" t="n"/>
      <c r="E18" s="16" t="n"/>
      <c r="F18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(valuta pr. år - se kolonneoverskrifter)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/>
      <c r="C2" s="16" t="n"/>
      <c r="D2" s="16" t="n"/>
      <c r="E2" s="16" t="n"/>
      <c r="F2" s="16" t="n"/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/>
      <c r="C4" s="16" t="n"/>
      <c r="D4" s="16" t="n"/>
      <c r="E4" s="16" t="n">
        <v>2998000</v>
      </c>
      <c r="F4" s="16" t="n">
        <v>3046000</v>
      </c>
    </row>
    <row r="5">
      <c r="A5" s="17" t="inlineStr">
        <is>
          <t>Immaterielle anlægsaktiver</t>
        </is>
      </c>
      <c r="B5" s="16" t="n">
        <v>3381000</v>
      </c>
      <c r="C5" s="16" t="n">
        <v>3485000</v>
      </c>
      <c r="D5" s="16" t="n">
        <v>3572000</v>
      </c>
      <c r="E5" s="16" t="n">
        <v>652000</v>
      </c>
      <c r="F5" s="16" t="n">
        <v>503000</v>
      </c>
    </row>
    <row r="6">
      <c r="A6" s="17" t="inlineStr">
        <is>
          <t>Materielle anlægsaktiver</t>
        </is>
      </c>
      <c r="B6" s="16" t="n">
        <v>9059000</v>
      </c>
      <c r="C6" s="16" t="n">
        <v>8747000</v>
      </c>
      <c r="D6" s="16" t="n">
        <v>8990000</v>
      </c>
      <c r="E6" s="16" t="n">
        <v>8704000</v>
      </c>
      <c r="F6" s="16" t="n">
        <v>8495000</v>
      </c>
    </row>
    <row r="7">
      <c r="A7" s="15" t="inlineStr">
        <is>
          <t>Kapitalandele, dattervirksomheder</t>
        </is>
      </c>
      <c r="B7" s="16" t="n">
        <v>2238000</v>
      </c>
      <c r="C7" s="16" t="n">
        <v>2484000</v>
      </c>
      <c r="D7" s="16" t="n">
        <v>2687000</v>
      </c>
      <c r="E7" s="16" t="n">
        <v>2628000</v>
      </c>
      <c r="F7" s="16" t="n">
        <v>2913000</v>
      </c>
    </row>
    <row r="8">
      <c r="A8" s="15" t="inlineStr">
        <is>
          <t>Deposita</t>
        </is>
      </c>
      <c r="B8" s="16" t="n">
        <v>239000</v>
      </c>
      <c r="C8" s="16" t="n">
        <v>342000</v>
      </c>
      <c r="D8" s="16" t="n">
        <v>729000</v>
      </c>
      <c r="E8" s="16" t="n">
        <v>650000</v>
      </c>
      <c r="F8" s="16" t="n">
        <v>573000</v>
      </c>
    </row>
    <row r="9">
      <c r="A9" s="17" t="inlineStr">
        <is>
          <t>Finansielle anlægsaktiver</t>
        </is>
      </c>
      <c r="B9" s="16" t="n"/>
      <c r="C9" s="16" t="n"/>
      <c r="D9" s="16" t="n"/>
      <c r="E9" s="16" t="n"/>
      <c r="F9" s="16" t="n"/>
    </row>
    <row r="10">
      <c r="A10" s="17" t="inlineStr">
        <is>
          <t>Anlægsaktiver</t>
        </is>
      </c>
      <c r="B10" s="16" t="n">
        <v>15321000</v>
      </c>
      <c r="C10" s="16" t="n">
        <v>15629000</v>
      </c>
      <c r="D10" s="16" t="n">
        <v>16538000</v>
      </c>
      <c r="E10" s="16" t="n">
        <v>16106000</v>
      </c>
      <c r="F10" s="16" t="n">
        <v>15915000</v>
      </c>
    </row>
    <row r="11">
      <c r="A11" s="17" t="inlineStr">
        <is>
          <t>Varebeholdninger</t>
        </is>
      </c>
      <c r="B11" s="16" t="n">
        <v>5578000</v>
      </c>
      <c r="C11" s="16" t="n">
        <v>5996000</v>
      </c>
      <c r="D11" s="16" t="n">
        <v>5623000</v>
      </c>
      <c r="E11" s="16" t="n">
        <v>5792000</v>
      </c>
      <c r="F11" s="16" t="n">
        <v>5679000</v>
      </c>
    </row>
    <row r="12">
      <c r="A12" s="15" t="inlineStr">
        <is>
          <t>Tilgodehavender fra salg og tjenesteydelser</t>
        </is>
      </c>
      <c r="B12" s="16" t="n">
        <v>2724000</v>
      </c>
      <c r="C12" s="16" t="n">
        <v>3144000</v>
      </c>
      <c r="D12" s="16" t="n">
        <v>2576000</v>
      </c>
      <c r="E12" s="16" t="n">
        <v>2562000</v>
      </c>
      <c r="F12" s="16" t="n">
        <v>2176000</v>
      </c>
    </row>
    <row r="13">
      <c r="A13" s="15" t="inlineStr">
        <is>
          <t>Tilgodehavender hos tilknyttede virksomheder</t>
        </is>
      </c>
      <c r="B13" s="16" t="n"/>
      <c r="C13" s="16" t="n"/>
      <c r="D13" s="16" t="n"/>
      <c r="E13" s="16" t="n"/>
      <c r="F13" s="16" t="n"/>
    </row>
    <row r="14">
      <c r="A14" s="15" t="inlineStr">
        <is>
          <t>Andre tilgodehavender</t>
        </is>
      </c>
      <c r="B14" s="16" t="n">
        <v>3677000</v>
      </c>
      <c r="C14" s="16" t="n">
        <v>3436000</v>
      </c>
      <c r="D14" s="16" t="n">
        <v>2506000</v>
      </c>
      <c r="E14" s="16" t="n">
        <v>666000</v>
      </c>
      <c r="F14" s="16" t="n">
        <v>634000</v>
      </c>
    </row>
    <row r="15">
      <c r="A15" s="15" t="inlineStr">
        <is>
          <t>Periodeafgrænsningsposter (aktiver)</t>
        </is>
      </c>
      <c r="B15" s="16" t="n"/>
      <c r="C15" s="16" t="n">
        <v>358000</v>
      </c>
      <c r="D15" s="16" t="n">
        <v>197000</v>
      </c>
      <c r="E15" s="16" t="n">
        <v>193000</v>
      </c>
      <c r="F15" s="16" t="n">
        <v>165000</v>
      </c>
    </row>
    <row r="16">
      <c r="A16" s="15" t="inlineStr">
        <is>
          <t>Udskudt skatteaktiv</t>
        </is>
      </c>
      <c r="B16" s="16" t="n">
        <v>238000</v>
      </c>
      <c r="C16" s="16" t="n">
        <v>419000</v>
      </c>
      <c r="D16" s="16" t="n">
        <v>427000</v>
      </c>
      <c r="E16" s="16" t="n">
        <v>369000</v>
      </c>
      <c r="F16" s="16" t="n">
        <v>354000</v>
      </c>
    </row>
    <row r="17">
      <c r="A17" s="15" t="inlineStr">
        <is>
          <t>Tilgodehavende skat hos tilknyttede virksomheder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Kortfristede skattetilgodehavender</t>
        </is>
      </c>
      <c r="B18" s="16" t="n">
        <v>43000</v>
      </c>
      <c r="C18" s="16" t="n">
        <v>63000</v>
      </c>
      <c r="D18" s="16" t="n">
        <v>113000</v>
      </c>
      <c r="E18" s="16" t="n">
        <v>114000</v>
      </c>
      <c r="F18" s="16" t="n">
        <v>207000</v>
      </c>
    </row>
    <row r="19">
      <c r="A19" s="17" t="inlineStr">
        <is>
          <t>Tilgodehavender</t>
        </is>
      </c>
      <c r="B19" s="16" t="n">
        <v>800000</v>
      </c>
      <c r="C19" s="16" t="n">
        <v>876000</v>
      </c>
      <c r="D19" s="16" t="n">
        <v>732000</v>
      </c>
      <c r="E19" s="16" t="n">
        <v>752000</v>
      </c>
      <c r="F19" s="16" t="n">
        <v>581000</v>
      </c>
    </row>
    <row r="20">
      <c r="A20" s="15" t="inlineStr">
        <is>
          <t>Værdipapirer</t>
        </is>
      </c>
      <c r="B20" s="16" t="n"/>
      <c r="C20" s="16" t="n"/>
      <c r="D20" s="16" t="n"/>
      <c r="E20" s="16" t="n"/>
      <c r="F20" s="16" t="n"/>
    </row>
    <row r="21">
      <c r="A21" s="15" t="inlineStr">
        <is>
          <t>Likvide beholdninger</t>
        </is>
      </c>
      <c r="B21" s="16" t="n">
        <v>404000</v>
      </c>
      <c r="C21" s="16" t="n">
        <v>382000</v>
      </c>
      <c r="D21" s="16" t="n">
        <v>280000</v>
      </c>
      <c r="E21" s="16" t="n">
        <v>307000</v>
      </c>
      <c r="F21" s="16" t="n">
        <v>474000</v>
      </c>
    </row>
    <row r="22">
      <c r="A22" s="17" t="inlineStr">
        <is>
          <t>Omsætningsaktiver</t>
        </is>
      </c>
      <c r="B22" s="16" t="n">
        <v>11741000</v>
      </c>
      <c r="C22" s="16" t="n">
        <v>12100000</v>
      </c>
      <c r="D22" s="16" t="n">
        <v>10059000</v>
      </c>
      <c r="E22" s="16" t="n">
        <v>10308000</v>
      </c>
      <c r="F22" s="16" t="n">
        <v>9719000</v>
      </c>
    </row>
    <row r="23">
      <c r="A23" s="17" t="inlineStr">
        <is>
          <t>Aktiver</t>
        </is>
      </c>
      <c r="B23" s="16" t="n">
        <v>27062000</v>
      </c>
      <c r="C23" s="16" t="n">
        <v>27729000</v>
      </c>
      <c r="D23" s="16" t="n">
        <v>26597000</v>
      </c>
      <c r="E23" s="16" t="n">
        <v>26414000</v>
      </c>
      <c r="F23" s="16" t="n">
        <v>25634000</v>
      </c>
    </row>
    <row r="24">
      <c r="A24" s="15" t="inlineStr">
        <is>
          <t>Selskabskapital</t>
        </is>
      </c>
      <c r="B24" s="16" t="n">
        <v>1353000</v>
      </c>
      <c r="C24" s="16" t="n">
        <v>1472000</v>
      </c>
      <c r="D24" s="16" t="n">
        <v>1590000</v>
      </c>
      <c r="E24" s="16" t="n">
        <v>1663000</v>
      </c>
      <c r="F24" s="16" t="n">
        <v>1607000</v>
      </c>
    </row>
    <row r="25">
      <c r="A25" s="15" t="inlineStr">
        <is>
          <t>Reserve for nettoopskrivning (indre værdis metode)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Reserve for udviklingsomkostninger</t>
        </is>
      </c>
      <c r="B26" s="16" t="n"/>
      <c r="C26" s="16" t="n"/>
      <c r="D26" s="16" t="n"/>
      <c r="E26" s="16" t="n"/>
      <c r="F26" s="16" t="n"/>
    </row>
    <row r="27">
      <c r="A27" s="15" t="inlineStr">
        <is>
          <t>Reserve for sikringstransaktioner</t>
        </is>
      </c>
      <c r="B27" s="16" t="n"/>
      <c r="C27" s="16" t="n"/>
      <c r="D27" s="16" t="n"/>
      <c r="E27" s="16" t="n"/>
      <c r="F27" s="16" t="n"/>
    </row>
    <row r="28">
      <c r="A28" s="15" t="inlineStr">
        <is>
          <t>Andre reserver</t>
        </is>
      </c>
      <c r="B28" s="16" t="n">
        <v>2311000</v>
      </c>
      <c r="C28" s="16" t="n">
        <v>1039000</v>
      </c>
      <c r="D28" s="16" t="n">
        <v>1155000</v>
      </c>
      <c r="E28" s="16" t="n">
        <v>1300000</v>
      </c>
      <c r="F28" s="16" t="n">
        <v>1123000</v>
      </c>
    </row>
    <row r="29">
      <c r="A29" s="15" t="inlineStr">
        <is>
          <t>Overført resultat</t>
        </is>
      </c>
      <c r="B29" s="16" t="n">
        <v>698000</v>
      </c>
      <c r="C29" s="16" t="n">
        <v>2714000</v>
      </c>
      <c r="D29" s="16" t="n">
        <v>2916000</v>
      </c>
      <c r="E29" s="16" t="n">
        <v>2563000</v>
      </c>
      <c r="F29" s="16" t="n">
        <v>2129000</v>
      </c>
    </row>
    <row r="30">
      <c r="A30" s="17" t="inlineStr">
        <is>
          <t>Egenkapital i alt</t>
        </is>
      </c>
      <c r="B30" s="16" t="n">
        <v>7339000</v>
      </c>
      <c r="C30" s="16" t="n">
        <v>8248000</v>
      </c>
      <c r="D30" s="16" t="n">
        <v>8575000</v>
      </c>
      <c r="E30" s="16" t="n">
        <v>8206000</v>
      </c>
      <c r="F30" s="16" t="n">
        <v>7560000</v>
      </c>
    </row>
    <row r="31">
      <c r="A31" s="15" t="inlineStr">
        <is>
          <t>Hensættelse til udskudt skat</t>
        </is>
      </c>
      <c r="B31" s="16" t="n">
        <v>472000</v>
      </c>
      <c r="C31" s="16" t="n">
        <v>485000</v>
      </c>
      <c r="D31" s="16" t="n">
        <v>503000</v>
      </c>
      <c r="E31" s="16" t="n">
        <v>453000</v>
      </c>
      <c r="F31" s="16" t="n">
        <v>460000</v>
      </c>
    </row>
    <row r="32">
      <c r="A32" s="17" t="inlineStr">
        <is>
          <t>Hensatte forpligtelser</t>
        </is>
      </c>
      <c r="B32" s="16" t="n">
        <v>210000</v>
      </c>
      <c r="C32" s="16" t="n">
        <v>156000</v>
      </c>
      <c r="D32" s="16" t="n">
        <v>141000</v>
      </c>
      <c r="E32" s="16" t="n">
        <v>140000</v>
      </c>
      <c r="F32" s="16" t="n">
        <v>132000</v>
      </c>
    </row>
    <row r="33">
      <c r="A33" s="15" t="inlineStr">
        <is>
          <t>Ansvarlig lånekapital (langfristet)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Langfristede lån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Leasingforpligtelser (langfristet)</t>
        </is>
      </c>
      <c r="B35" s="16" t="n">
        <v>1456000</v>
      </c>
      <c r="C35" s="16" t="n">
        <v>1410000</v>
      </c>
      <c r="D35" s="16" t="n">
        <v>1257000</v>
      </c>
      <c r="E35" s="16" t="n">
        <v>1137000</v>
      </c>
      <c r="F35" s="16" t="n">
        <v>1068000</v>
      </c>
    </row>
    <row r="36">
      <c r="A36" s="15" t="inlineStr">
        <is>
          <t>Anden gæld (langfristet)</t>
        </is>
      </c>
      <c r="B36" s="16" t="n">
        <v>271000</v>
      </c>
      <c r="C36" s="16" t="n">
        <v>233000</v>
      </c>
      <c r="D36" s="16" t="n">
        <v>198000</v>
      </c>
      <c r="E36" s="16" t="n">
        <v>5070000</v>
      </c>
      <c r="F36" s="16" t="n">
        <v>4821000</v>
      </c>
    </row>
    <row r="37">
      <c r="A37" s="17" t="inlineStr">
        <is>
          <t>Langfristede gældsforpligtelser</t>
        </is>
      </c>
      <c r="B37" s="16" t="n">
        <v>4748000</v>
      </c>
      <c r="C37" s="16" t="n">
        <v>4621000</v>
      </c>
      <c r="D37" s="16" t="n">
        <v>7265000</v>
      </c>
      <c r="E37" s="16" t="n">
        <v>6862000</v>
      </c>
      <c r="F37" s="16" t="n">
        <v>6571000</v>
      </c>
    </row>
    <row r="38">
      <c r="A38" s="15" t="inlineStr">
        <is>
          <t>Ansvarlig lånekapital (kortfristet)</t>
        </is>
      </c>
      <c r="B38" s="16" t="n"/>
      <c r="C38" s="16" t="n"/>
      <c r="D38" s="16" t="n"/>
      <c r="E38" s="16" t="n"/>
      <c r="F38" s="16" t="n"/>
    </row>
    <row r="39">
      <c r="A39" s="15" t="inlineStr">
        <is>
          <t>Kortfristet del af langfristede gældsforpligtelser</t>
        </is>
      </c>
      <c r="B39" s="16" t="n"/>
      <c r="C39" s="16" t="n"/>
      <c r="D39" s="16" t="n"/>
      <c r="E39" s="16" t="n"/>
      <c r="F39" s="16" t="n"/>
    </row>
    <row r="40">
      <c r="A40" s="15" t="inlineStr">
        <is>
          <t>Kreditinstitutter</t>
        </is>
      </c>
      <c r="B40" s="16" t="n"/>
      <c r="C40" s="16" t="n"/>
      <c r="D40" s="16" t="n"/>
      <c r="E40" s="16" t="n"/>
      <c r="F40" s="16" t="n"/>
    </row>
    <row r="41">
      <c r="A41" s="15" t="inlineStr">
        <is>
          <t>Leasingforpligtelser (kortfristet)</t>
        </is>
      </c>
      <c r="B41" s="16" t="n">
        <v>195000</v>
      </c>
      <c r="C41" s="16" t="n">
        <v>208000</v>
      </c>
      <c r="D41" s="16" t="n">
        <v>212000</v>
      </c>
      <c r="E41" s="16" t="n">
        <v>191000</v>
      </c>
      <c r="F41" s="16" t="n">
        <v>172000</v>
      </c>
    </row>
    <row r="42">
      <c r="A42" s="15" t="inlineStr">
        <is>
          <t>Leverandører af varer og tjenesteydelser</t>
        </is>
      </c>
      <c r="B42" s="16" t="n">
        <v>3990000</v>
      </c>
      <c r="C42" s="16" t="n">
        <v>4245000</v>
      </c>
      <c r="D42" s="16" t="n">
        <v>2973000</v>
      </c>
      <c r="E42" s="16" t="n">
        <v>2871000</v>
      </c>
      <c r="F42" s="16" t="n">
        <v>3502000</v>
      </c>
    </row>
    <row r="43">
      <c r="A43" s="15" t="inlineStr">
        <is>
          <t>Gæld til tilknyttede virksomheder</t>
        </is>
      </c>
      <c r="B43" s="16" t="n"/>
      <c r="C43" s="16" t="n"/>
      <c r="D43" s="16" t="n"/>
      <c r="E43" s="16" t="n"/>
      <c r="F43" s="16" t="n"/>
    </row>
    <row r="44">
      <c r="A44" s="15" t="inlineStr">
        <is>
          <t>Gæld til selskabsdeltagere og ledelse</t>
        </is>
      </c>
      <c r="B44" s="16" t="n"/>
      <c r="C44" s="16" t="n"/>
      <c r="D44" s="16" t="n"/>
      <c r="E44" s="16" t="n"/>
      <c r="F44" s="16" t="n"/>
    </row>
    <row r="45">
      <c r="A45" s="15" t="inlineStr">
        <is>
          <t>Selskabsskat</t>
        </is>
      </c>
      <c r="B45" s="16" t="n"/>
      <c r="C45" s="16" t="n"/>
      <c r="D45" s="16" t="n"/>
      <c r="E45" s="16" t="n"/>
      <c r="F45" s="16" t="n"/>
    </row>
    <row r="46">
      <c r="A46" s="15" t="inlineStr">
        <is>
          <t>Gæld til tilknyttede virksomheder vedr. selskabsskat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Anden gæld (kortfristet)</t>
        </is>
      </c>
      <c r="B47" s="16" t="n">
        <v>1765000</v>
      </c>
      <c r="C47" s="16" t="n">
        <v>2114000</v>
      </c>
      <c r="D47" s="16" t="n">
        <v>1883000</v>
      </c>
      <c r="E47" s="16" t="n">
        <v>5397000</v>
      </c>
      <c r="F47" s="16" t="n">
        <v>5280000</v>
      </c>
    </row>
    <row r="48">
      <c r="A48" s="15" t="inlineStr">
        <is>
          <t>Periodeafgrænsningsposter (passiver)</t>
        </is>
      </c>
      <c r="B48" s="16" t="n"/>
      <c r="C48" s="16" t="n"/>
      <c r="D48" s="16" t="n"/>
      <c r="E48" s="16" t="n"/>
      <c r="F48" s="16" t="n"/>
    </row>
    <row r="49">
      <c r="A49" s="17" t="inlineStr">
        <is>
          <t>Kortfristede gældsforpligtelser</t>
        </is>
      </c>
      <c r="B49" s="16" t="n">
        <v>14975000</v>
      </c>
      <c r="C49" s="16" t="n">
        <v>14860000</v>
      </c>
      <c r="D49" s="16" t="n">
        <v>10757000</v>
      </c>
      <c r="E49" s="16" t="n">
        <v>11346000</v>
      </c>
      <c r="F49" s="16" t="n">
        <v>11503000</v>
      </c>
    </row>
    <row r="50">
      <c r="A50" s="17" t="inlineStr">
        <is>
          <t>Gældsforpligtelser</t>
        </is>
      </c>
      <c r="B50" s="16" t="n">
        <v>19723000</v>
      </c>
      <c r="C50" s="16" t="n">
        <v>19481000</v>
      </c>
      <c r="D50" s="16" t="n">
        <v>18022000</v>
      </c>
      <c r="E50" s="16" t="n">
        <v>18208000</v>
      </c>
      <c r="F50" s="16" t="n">
        <v>18074000</v>
      </c>
    </row>
    <row r="51">
      <c r="A51" s="17" t="inlineStr">
        <is>
          <t>Passiver</t>
        </is>
      </c>
      <c r="B51" s="16" t="n">
        <v>27062000</v>
      </c>
      <c r="C51" s="16" t="n">
        <v>27729000</v>
      </c>
      <c r="D51" s="16" t="n">
        <v>26597000</v>
      </c>
      <c r="E51" s="16" t="n">
        <v>26414000</v>
      </c>
      <c r="F51" s="16" t="n">
        <v>25634000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'res_raw'!$F$2</f>
        <v/>
      </c>
      <c r="C5" s="24">
        <f>'res_raw'!$E$2</f>
        <v/>
      </c>
      <c r="D5" s="24">
        <f>'res_raw'!$D$2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-'res_raw'!$F$3</f>
        <v/>
      </c>
      <c r="C6" s="24">
        <f>-'res_raw'!$E$3</f>
        <v/>
      </c>
      <c r="D6" s="24">
        <f>-'res_raw'!$D$3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SUM(B5:B6)</f>
        <v/>
      </c>
      <c r="C7" s="27">
        <f>SUM(C5:C6)</f>
        <v/>
      </c>
      <c r="D7" s="27">
        <f>SUM(D5:D6)</f>
        <v/>
      </c>
      <c r="F7" s="28" t="inlineStr">
        <is>
          <t>Beregnet: Nettoomsætning − Produktionsomkostninger. Matcher fsa:GrossResult.</t>
        </is>
      </c>
    </row>
    <row r="8">
      <c r="A8" s="23" t="inlineStr">
        <is>
          <t>Salgs- og distributionsomk.</t>
        </is>
      </c>
      <c r="B8" s="24">
        <f>-'res_raw'!$F$5</f>
        <v/>
      </c>
      <c r="C8" s="24">
        <f>-'res_raw'!$E$5</f>
        <v/>
      </c>
      <c r="D8" s="24">
        <f>-'res_raw'!$D$5</f>
        <v/>
      </c>
      <c r="F8" s="25" t="inlineStr">
        <is>
          <t>fsa:DistributionCosts (vises negativt). Marketing, salg, distribution.</t>
        </is>
      </c>
    </row>
    <row r="9">
      <c r="A9" s="23" t="inlineStr">
        <is>
          <t>Administrationsomkostninger mv.</t>
        </is>
      </c>
      <c r="B9" s="24">
        <f>-'res_raw'!$F$6</f>
        <v/>
      </c>
      <c r="C9" s="24">
        <f>-'res_raw'!$E$6</f>
        <v/>
      </c>
      <c r="D9" s="24">
        <f>-'res_raw'!$D$6</f>
        <v/>
      </c>
      <c r="F9" s="25" t="inlineStr">
        <is>
          <t>fsa:AdministrativeExpenses (vises negativt). Generel administration.</t>
        </is>
      </c>
    </row>
    <row r="10">
      <c r="A10" s="23" t="inlineStr">
        <is>
          <t>Andre driftsindtægter</t>
        </is>
      </c>
      <c r="B10" s="24">
        <f>'res_raw'!$F$7</f>
        <v/>
      </c>
      <c r="C10" s="24">
        <f>'res_raw'!$E$7</f>
        <v/>
      </c>
      <c r="D10" s="24">
        <f>'res_raw'!$D$7</f>
        <v/>
      </c>
      <c r="F10" s="25" t="inlineStr">
        <is>
          <t>fsa:OtherOperatingIncome. Sekundære driftsindtægter (huslejeindtægter, off. tilskud, avancer mv.).</t>
        </is>
      </c>
    </row>
    <row r="11">
      <c r="A11" s="23" t="inlineStr">
        <is>
          <t>Andre driftsomkostninger</t>
        </is>
      </c>
      <c r="B11" s="24">
        <f>-'res_raw'!$F$8</f>
        <v/>
      </c>
      <c r="C11" s="24">
        <f>-'res_raw'!$E$8</f>
        <v/>
      </c>
      <c r="D11" s="24">
        <f>-'res_raw'!$D$8</f>
        <v/>
      </c>
      <c r="F11" s="25" t="inlineStr">
        <is>
          <t>fsa:OtherOperatingExpenses (vises negativt). Sekundære driftsomkostninger.</t>
        </is>
      </c>
    </row>
    <row r="12">
      <c r="A12" s="26" t="inlineStr">
        <is>
          <t>Resultat af primær drift</t>
        </is>
      </c>
      <c r="B12" s="27">
        <f>SUM(B7:B11)</f>
        <v/>
      </c>
      <c r="C12" s="27">
        <f>SUM(C7:C11)</f>
        <v/>
      </c>
      <c r="D12" s="27">
        <f>SUM(D7:D11)</f>
        <v/>
      </c>
      <c r="F12" s="28" t="inlineStr">
        <is>
          <t>Beregnet: Bruttoresultat − Salgs/dist. − Administration + Andre driftsindt. − Andre driftsomk. EBIT.</t>
        </is>
      </c>
    </row>
    <row r="13">
      <c r="A13" s="23" t="inlineStr">
        <is>
          <t>Finansielle indtægter mv.</t>
        </is>
      </c>
      <c r="B13" s="24">
        <f>N('res_raw'!$F$10)+N('res_raw'!$F$11)</f>
        <v/>
      </c>
      <c r="C13" s="24">
        <f>N('res_raw'!$E$10)+N('res_raw'!$E$11)</f>
        <v/>
      </c>
      <c r="D13" s="24">
        <f>N('res_raw'!$D$10)+N('res_raw'!$D$11)</f>
        <v/>
      </c>
      <c r="F13" s="25" t="inlineStr">
        <is>
          <t>fsa:IncomeFromSubsidiaries + fsa:OtherFinanceIncome.</t>
        </is>
      </c>
    </row>
    <row r="14">
      <c r="A14" s="23" t="inlineStr">
        <is>
          <t>Finansielle omkostninger mv.</t>
        </is>
      </c>
      <c r="B14" s="24">
        <f>-'res_raw'!$F$12</f>
        <v/>
      </c>
      <c r="C14" s="24">
        <f>-'res_raw'!$E$12</f>
        <v/>
      </c>
      <c r="D14" s="24">
        <f>-'res_raw'!$D$12</f>
        <v/>
      </c>
      <c r="F14" s="25" t="inlineStr">
        <is>
          <t>fsa:OtherFinanceExpenses (vises negativt). Renteomkostninger, kurstab.</t>
        </is>
      </c>
    </row>
    <row r="15">
      <c r="A15" s="26" t="inlineStr">
        <is>
          <t>Resultat før skat</t>
        </is>
      </c>
      <c r="B15" s="27">
        <f>SUM(B12:B14)</f>
        <v/>
      </c>
      <c r="C15" s="27">
        <f>SUM(C12:C14)</f>
        <v/>
      </c>
      <c r="D15" s="27">
        <f>SUM(D12:D14)</f>
        <v/>
      </c>
      <c r="F15" s="28" t="inlineStr">
        <is>
          <t>Beregnet: EBIT + Fin. indtægter + Fin. omk. EBT.</t>
        </is>
      </c>
    </row>
    <row r="16">
      <c r="A16" s="29" t="n"/>
      <c r="B16" s="29" t="n"/>
      <c r="C16" s="29" t="n"/>
      <c r="D16" s="29" t="n"/>
      <c r="F16" s="29" t="n"/>
    </row>
    <row r="17">
      <c r="A17" s="22" t="inlineStr">
        <is>
          <t>Uddrag af balance</t>
        </is>
      </c>
      <c r="B17" s="22" t="n"/>
      <c r="C17" s="22" t="n"/>
      <c r="D17" s="22" t="n"/>
      <c r="F17" s="22" t="n"/>
    </row>
    <row r="18">
      <c r="A18" s="23" t="inlineStr">
        <is>
          <t>Anlægsaktiver</t>
        </is>
      </c>
      <c r="B18" s="24">
        <f>'balance_raw'!$F$10</f>
        <v/>
      </c>
      <c r="C18" s="24">
        <f>'balance_raw'!$E$10</f>
        <v/>
      </c>
      <c r="D18" s="24">
        <f>'balance_raw'!$D$10</f>
        <v/>
      </c>
      <c r="F18" s="25" t="inlineStr">
        <is>
          <t>fsa:NoncurrentAssets. Materielle, immaterielle og finansielle anlægsaktiver.</t>
        </is>
      </c>
    </row>
    <row r="19">
      <c r="A19" s="23" t="inlineStr">
        <is>
          <t>Omsætningsaktiver</t>
        </is>
      </c>
      <c r="B19" s="24">
        <f>'balance_raw'!$F$22</f>
        <v/>
      </c>
      <c r="C19" s="24">
        <f>'balance_raw'!$E$22</f>
        <v/>
      </c>
      <c r="D19" s="24">
        <f>'balance_raw'!$D$22</f>
        <v/>
      </c>
      <c r="F19" s="25" t="inlineStr">
        <is>
          <t>fsa:CurrentAssets. Varebeholdninger, tilgodehavender, likvider.</t>
        </is>
      </c>
    </row>
    <row r="20">
      <c r="A20" s="26" t="inlineStr">
        <is>
          <t>Aktiver i alt</t>
        </is>
      </c>
      <c r="B20" s="27">
        <f>SUM(B18:B19)</f>
        <v/>
      </c>
      <c r="C20" s="27">
        <f>SUM(C18:C19)</f>
        <v/>
      </c>
      <c r="D20" s="27">
        <f>SUM(D18:D19)</f>
        <v/>
      </c>
      <c r="F20" s="28" t="inlineStr">
        <is>
          <t>Beregnet: Anlægsaktiver + Omsætningsaktiver. Bør matche fsa:Assets.</t>
        </is>
      </c>
    </row>
    <row r="21">
      <c r="A21" s="29" t="n"/>
      <c r="B21" s="29" t="n"/>
      <c r="C21" s="29" t="n"/>
      <c r="D21" s="29" t="n"/>
      <c r="F21" s="29" t="n"/>
    </row>
    <row r="22">
      <c r="A22" s="23" t="inlineStr">
        <is>
          <t>Egenkapital</t>
        </is>
      </c>
      <c r="B22" s="24">
        <f>'balance_raw'!$F$30</f>
        <v/>
      </c>
      <c r="C22" s="24">
        <f>'balance_raw'!$E$30</f>
        <v/>
      </c>
      <c r="D22" s="24">
        <f>'balance_raw'!$D$30</f>
        <v/>
      </c>
      <c r="F22" s="25" t="inlineStr">
        <is>
          <t>fsa:Equity. Selskabskapital, overført resultat, reserver.</t>
        </is>
      </c>
    </row>
    <row r="23">
      <c r="A23" s="23" t="inlineStr">
        <is>
          <t>Forpligtelser</t>
        </is>
      </c>
      <c r="B23" s="24">
        <f>'balance_raw'!$F$51-'balance_raw'!$F$30</f>
        <v/>
      </c>
      <c r="C23" s="24">
        <f>'balance_raw'!$E$51-'balance_raw'!$E$30</f>
        <v/>
      </c>
      <c r="D23" s="24">
        <f>'balance_raw'!$D$51-'balance_raw'!$D$30</f>
        <v/>
      </c>
      <c r="F23" s="25" t="inlineStr">
        <is>
          <t>Beregnet: Passiver (fsa:LiabilitiesAndEquity) − Egenkapital. Hensættelser + kort- og langfristet gæld.</t>
        </is>
      </c>
    </row>
    <row r="24">
      <c r="A24" s="26" t="inlineStr">
        <is>
          <t>Passiver i alt</t>
        </is>
      </c>
      <c r="B24" s="27">
        <f>SUM(B22:B23)</f>
        <v/>
      </c>
      <c r="C24" s="27">
        <f>SUM(C22:C23)</f>
        <v/>
      </c>
      <c r="D24" s="27">
        <f>SUM(D22:D23)</f>
        <v/>
      </c>
      <c r="F24" s="28" t="inlineStr">
        <is>
          <t>Beregnet: Egenkapital + Forpligtelser. Bør matche Aktiver i alt.</t>
        </is>
      </c>
    </row>
    <row r="25">
      <c r="A25" s="29" t="n"/>
      <c r="B25" s="29" t="n"/>
      <c r="C25" s="29" t="n"/>
      <c r="D25" s="29" t="n"/>
      <c r="F25" s="29" t="n"/>
    </row>
    <row r="26">
      <c r="A26" s="22" t="inlineStr">
        <is>
          <t>Udvalgte balanceposter</t>
        </is>
      </c>
      <c r="B26" s="22" t="n"/>
      <c r="C26" s="22" t="n"/>
      <c r="D26" s="22" t="n"/>
      <c r="F26" s="22" t="n"/>
    </row>
    <row r="27">
      <c r="A27" s="23" t="inlineStr">
        <is>
          <t>Varebeholdninger</t>
        </is>
      </c>
      <c r="B27" s="24">
        <f>'balance_raw'!$F$11</f>
        <v/>
      </c>
      <c r="C27" s="24">
        <f>'balance_raw'!$E$11</f>
        <v/>
      </c>
      <c r="D27" s="24">
        <f>'balance_raw'!$D$11</f>
        <v/>
      </c>
      <c r="F27" s="25" t="inlineStr">
        <is>
          <t>fsa:Inventories (eller fsa:ManufacturedGoodsAndGoodsForResale hvis total mangler).</t>
        </is>
      </c>
    </row>
    <row r="28">
      <c r="A28" s="23" t="inlineStr">
        <is>
          <t>Tilgodehavender fra salg</t>
        </is>
      </c>
      <c r="B28" s="24">
        <f>'balance_raw'!$F$12</f>
        <v/>
      </c>
      <c r="C28" s="24">
        <f>'balance_raw'!$E$12</f>
        <v/>
      </c>
      <c r="D28" s="24">
        <f>'balance_raw'!$D$12</f>
        <v/>
      </c>
      <c r="F28" s="25" t="inlineStr">
        <is>
          <t>fsa:ShorttermTradeReceivables. Kortfristede tilgodehavender fra kunder.</t>
        </is>
      </c>
    </row>
    <row r="29">
      <c r="A29" s="23" t="inlineStr">
        <is>
          <t>Kortfristede gældsforpligtelser</t>
        </is>
      </c>
      <c r="B29" s="24">
        <f>'balance_raw'!$F$49</f>
        <v/>
      </c>
      <c r="C29" s="24">
        <f>'balance_raw'!$E$49</f>
        <v/>
      </c>
      <c r="D29" s="24">
        <f>'balance_raw'!$D$49</f>
        <v/>
      </c>
      <c r="F29" s="25" t="inlineStr">
        <is>
          <t>fsa:ShorttermLiabilitiesOtherThanProvisions. Gæld der forfalder inden for 1 år.</t>
        </is>
      </c>
    </row>
    <row r="30">
      <c r="A30" s="29" t="n"/>
      <c r="B30" s="29" t="n"/>
      <c r="C30" s="29" t="n"/>
      <c r="D30" s="29" t="n"/>
      <c r="F30" s="29" t="n"/>
    </row>
    <row r="31">
      <c r="A31" s="22" t="inlineStr">
        <is>
          <t>Rentabilitet</t>
        </is>
      </c>
      <c r="B31" s="22" t="n"/>
      <c r="C31" s="22" t="n"/>
      <c r="D31" s="22" t="n"/>
      <c r="F31" s="22" t="n"/>
    </row>
    <row r="32">
      <c r="A32" s="23" t="inlineStr">
        <is>
          <t>Afkastningsgrad, %</t>
        </is>
      </c>
      <c r="B32" s="30">
        <f>IFERROR((B12+B13)/B20*100,"")</f>
        <v/>
      </c>
      <c r="C32" s="30">
        <f>IFERROR((C12+C13)/C20*100,"")</f>
        <v/>
      </c>
      <c r="D32" s="30">
        <f>IFERROR((D12+D13)/D20*100,"")</f>
        <v/>
      </c>
      <c r="F32" s="29" t="n"/>
    </row>
    <row r="33">
      <c r="A33" s="23" t="inlineStr">
        <is>
          <t>Overskudsgrad, %</t>
        </is>
      </c>
      <c r="B33" s="30">
        <f>IFERROR((B12+B13)/B5*100,"")</f>
        <v/>
      </c>
      <c r="C33" s="30">
        <f>IFERROR((C12+C13)/C5*100,"")</f>
        <v/>
      </c>
      <c r="D33" s="30">
        <f>IFERROR((D12+D13)/D5*100,"")</f>
        <v/>
      </c>
      <c r="F33" s="29" t="n"/>
    </row>
    <row r="34">
      <c r="A34" s="23" t="inlineStr">
        <is>
          <t>Aktivernes omsætningshastighed, gange</t>
        </is>
      </c>
      <c r="B34" s="30">
        <f>IFERROR(B5/B20,"")</f>
        <v/>
      </c>
      <c r="C34" s="30">
        <f>IFERROR(C5/C20,"")</f>
        <v/>
      </c>
      <c r="D34" s="30">
        <f>IFERROR(D5/D20,"")</f>
        <v/>
      </c>
      <c r="F34" s="29" t="n"/>
    </row>
    <row r="35">
      <c r="A35" s="23" t="inlineStr">
        <is>
          <t>Gældsrente, %</t>
        </is>
      </c>
      <c r="B35" s="30">
        <f>IFERROR(-B14*100/B23,"")</f>
        <v/>
      </c>
      <c r="C35" s="30">
        <f>IFERROR(-C14*100/C23,"")</f>
        <v/>
      </c>
      <c r="D35" s="30">
        <f>IFERROR(-D14*100/D23,"")</f>
        <v/>
      </c>
      <c r="F35" s="29" t="n"/>
    </row>
    <row r="36">
      <c r="A36" s="23" t="inlineStr">
        <is>
          <t>Egenkapitalens forrentning, %</t>
        </is>
      </c>
      <c r="B36" s="30">
        <f>IFERROR(B15/B22*100,"")</f>
        <v/>
      </c>
      <c r="C36" s="30">
        <f>IFERROR(C15/C22*100,"")</f>
        <v/>
      </c>
      <c r="D36" s="30">
        <f>IFERROR(D15/D22*100,"")</f>
        <v/>
      </c>
      <c r="F36" s="29" t="n"/>
    </row>
    <row r="37">
      <c r="A37" s="23" t="inlineStr">
        <is>
          <t>Gearing, gange</t>
        </is>
      </c>
      <c r="B37" s="30">
        <f>IFERROR(B23/B22,"")</f>
        <v/>
      </c>
      <c r="C37" s="30">
        <f>IFERROR(C23/C22,"")</f>
        <v/>
      </c>
      <c r="D37" s="30">
        <f>IFERROR(D23/D22,"")</f>
        <v/>
      </c>
      <c r="F37" s="29" t="n"/>
    </row>
    <row r="38">
      <c r="A38" s="29" t="n"/>
      <c r="B38" s="29" t="n"/>
      <c r="C38" s="29" t="n"/>
      <c r="D38" s="29" t="n"/>
      <c r="F38" s="29" t="n"/>
    </row>
    <row r="39">
      <c r="A39" s="22" t="inlineStr">
        <is>
          <t>Indekstal for indtjeningsevne (2023=100)</t>
        </is>
      </c>
      <c r="B39" s="22" t="n"/>
      <c r="C39" s="22" t="n"/>
      <c r="D39" s="22" t="n"/>
      <c r="F39" s="22" t="n"/>
    </row>
    <row r="40">
      <c r="A40" s="23" t="inlineStr">
        <is>
          <t>Nettoomsætning</t>
        </is>
      </c>
      <c r="B40" s="31">
        <f>IFERROR(B5/$D5*100,"")</f>
        <v/>
      </c>
      <c r="C40" s="31">
        <f>IFERROR(C5/$D5*100,"")</f>
        <v/>
      </c>
      <c r="D40" s="31">
        <f>IFERROR(D5/$D5*100,"")</f>
        <v/>
      </c>
      <c r="F40" s="29" t="n"/>
    </row>
    <row r="41">
      <c r="A41" s="23" t="inlineStr">
        <is>
          <t>Produktionsomkostninger</t>
        </is>
      </c>
      <c r="B41" s="31">
        <f>IFERROR(B6/$D6*100,"")</f>
        <v/>
      </c>
      <c r="C41" s="31">
        <f>IFERROR(C6/$D6*100,"")</f>
        <v/>
      </c>
      <c r="D41" s="31">
        <f>IFERROR(D6/$D6*100,"")</f>
        <v/>
      </c>
      <c r="F41" s="29" t="n"/>
    </row>
    <row r="42">
      <c r="A42" s="23" t="inlineStr">
        <is>
          <t>Salgs- og distributionsomk.</t>
        </is>
      </c>
      <c r="B42" s="31">
        <f>IFERROR(B8/$D8*100,"")</f>
        <v/>
      </c>
      <c r="C42" s="31">
        <f>IFERROR(C8/$D8*100,"")</f>
        <v/>
      </c>
      <c r="D42" s="31">
        <f>IFERROR(D8/$D8*100,"")</f>
        <v/>
      </c>
      <c r="F42" s="29" t="n"/>
    </row>
    <row r="43">
      <c r="A43" s="23" t="inlineStr">
        <is>
          <t>Administrationsomk.</t>
        </is>
      </c>
      <c r="B43" s="31">
        <f>IFERROR(B9/$D9*100,"")</f>
        <v/>
      </c>
      <c r="C43" s="31">
        <f>IFERROR(C9/$D9*100,"")</f>
        <v/>
      </c>
      <c r="D43" s="31">
        <f>IFERROR(D9/$D9*100,"")</f>
        <v/>
      </c>
      <c r="F43" s="29" t="n"/>
    </row>
    <row r="44">
      <c r="A44" s="23" t="inlineStr">
        <is>
          <t>Andre driftsomkostninger</t>
        </is>
      </c>
      <c r="B44" s="31">
        <f>IFERROR(B11/$D11*100,"")</f>
        <v/>
      </c>
      <c r="C44" s="31">
        <f>IFERROR(C11/$D11*100,"")</f>
        <v/>
      </c>
      <c r="D44" s="31">
        <f>IFERROR(D11/$D11*100,"")</f>
        <v/>
      </c>
      <c r="F44" s="29" t="n"/>
    </row>
    <row r="45">
      <c r="A45" s="29" t="n"/>
      <c r="B45" s="29" t="n"/>
      <c r="C45" s="29" t="n"/>
      <c r="D45" s="29" t="n"/>
      <c r="F45" s="29" t="n"/>
    </row>
    <row r="46">
      <c r="A46" s="22" t="inlineStr">
        <is>
          <t>Indekstal for kapitaltilpasningsevne (2023=100)</t>
        </is>
      </c>
      <c r="B46" s="22" t="n"/>
      <c r="C46" s="22" t="n"/>
      <c r="D46" s="22" t="n"/>
      <c r="F46" s="22" t="n"/>
    </row>
    <row r="47">
      <c r="A47" s="23" t="inlineStr">
        <is>
          <t>Nettoomsætning</t>
        </is>
      </c>
      <c r="B47" s="31">
        <f>IFERROR(B5*100/$D5,"")</f>
        <v/>
      </c>
      <c r="C47" s="31">
        <f>IFERROR(C5*100/$D5,"")</f>
        <v/>
      </c>
      <c r="D47" s="31">
        <f>IFERROR(D5*100/$D5,"")</f>
        <v/>
      </c>
      <c r="F47" s="29" t="n"/>
    </row>
    <row r="48">
      <c r="A48" s="23" t="inlineStr">
        <is>
          <t>Anlægsaktiver</t>
        </is>
      </c>
      <c r="B48" s="31">
        <f>IFERROR(B18*100/$D18,"")</f>
        <v/>
      </c>
      <c r="C48" s="31">
        <f>IFERROR(C18*100/$D18,"")</f>
        <v/>
      </c>
      <c r="D48" s="31">
        <f>IFERROR(D18*100/$D18,"")</f>
        <v/>
      </c>
      <c r="F48" s="29" t="n"/>
    </row>
    <row r="49">
      <c r="A49" s="23" t="inlineStr">
        <is>
          <t>Varebeholdninger</t>
        </is>
      </c>
      <c r="B49" s="31">
        <f>IFERROR(B27*100/$D27,"")</f>
        <v/>
      </c>
      <c r="C49" s="31">
        <f>IFERROR(C27*100/$D27,"")</f>
        <v/>
      </c>
      <c r="D49" s="31">
        <f>IFERROR(D27*100/$D27,"")</f>
        <v/>
      </c>
      <c r="F49" s="29" t="n"/>
    </row>
    <row r="50">
      <c r="A50" s="23" t="inlineStr">
        <is>
          <t>Tilgodehavender fra salg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9" t="n"/>
      <c r="B51" s="29" t="n"/>
      <c r="C51" s="29" t="n"/>
      <c r="D51" s="29" t="n"/>
      <c r="F51" s="29" t="n"/>
    </row>
    <row r="52">
      <c r="A52" s="22" t="inlineStr">
        <is>
          <t>Soliditet og likviditet</t>
        </is>
      </c>
      <c r="B52" s="22" t="n"/>
      <c r="C52" s="22" t="n"/>
      <c r="D52" s="22" t="n"/>
      <c r="F52" s="22" t="n"/>
    </row>
    <row r="53">
      <c r="A53" s="23" t="inlineStr">
        <is>
          <t>Soliditetsgrad, %</t>
        </is>
      </c>
      <c r="B53" s="30">
        <f>IFERROR(B22*100/B20,"")</f>
        <v/>
      </c>
      <c r="C53" s="30">
        <f>IFERROR(C22*100/C20,"")</f>
        <v/>
      </c>
      <c r="D53" s="30">
        <f>IFERROR(D22*100/D20,"")</f>
        <v/>
      </c>
      <c r="F53" s="29" t="n"/>
    </row>
    <row r="54">
      <c r="A54" s="23" t="inlineStr">
        <is>
          <t>Gældsandel, %</t>
        </is>
      </c>
      <c r="B54" s="30">
        <f>IFERROR(B23*100/B20,"")</f>
        <v/>
      </c>
      <c r="C54" s="30">
        <f>IFERROR(C23*100/C20,"")</f>
        <v/>
      </c>
      <c r="D54" s="30">
        <f>IFERROR(D23*100/D20,"")</f>
        <v/>
      </c>
      <c r="F54" s="29" t="n"/>
    </row>
    <row r="55">
      <c r="A55" s="23" t="inlineStr">
        <is>
          <t>Likviditetsgrad, %</t>
        </is>
      </c>
      <c r="B55" s="30">
        <f>IFERROR(B19*100/B29,"")</f>
        <v/>
      </c>
      <c r="C55" s="30">
        <f>IFERROR(C19*100/C29,"")</f>
        <v/>
      </c>
      <c r="D55" s="30">
        <f>IFERROR(D19*100/D29,"")</f>
        <v/>
      </c>
      <c r="F55" s="29" t="n"/>
    </row>
    <row r="56">
      <c r="A56" s="29" t="n"/>
      <c r="B56" s="29" t="n"/>
      <c r="C56" s="29" t="n"/>
      <c r="D56" s="29" t="n"/>
      <c r="F56" s="29" t="n"/>
    </row>
    <row r="57">
      <c r="A57" s="32" t="inlineStr">
        <is>
          <t>Kilde: Bearbejdet uddrag af årsrapporter for 2023-2025. Alle dataceller er live formler der peger på res_raw / balance_raw.</t>
        </is>
      </c>
      <c r="B57" s="29" t="n"/>
      <c r="C57" s="29" t="n"/>
      <c r="D57" s="29" t="n"/>
      <c r="F57" s="29" t="n"/>
    </row>
    <row r="58">
      <c r="A58" s="29" t="n"/>
      <c r="B58" s="29" t="n"/>
      <c r="C58" s="29" t="n"/>
      <c r="D58" s="29" t="n"/>
      <c r="F58" s="29" t="n"/>
    </row>
    <row r="59">
      <c r="A59" s="22" t="inlineStr">
        <is>
          <t>Krydstjek mod rådata (tolerance: 1 t.kr.)</t>
        </is>
      </c>
      <c r="B59" s="22" t="n"/>
      <c r="C59" s="22" t="n"/>
      <c r="D59" s="22" t="n"/>
      <c r="F59" s="22" t="n"/>
    </row>
    <row r="60">
      <c r="A60" s="23" t="inlineStr">
        <is>
          <t>Aktiver i alt = fsa:Assets</t>
        </is>
      </c>
      <c r="B60" s="29">
        <f>IF('balance_raw'!$F$23="","—",IF(ABS(B20-'balance_raw'!$F$23)&lt;=1,"✓ OK","❌ "&amp;TEXT(B20-'balance_raw'!$F$23,"+#,##0;-#,##0")&amp;" valuta pr. år - se kolonneoverskrifter"))</f>
        <v/>
      </c>
      <c r="C60" s="29">
        <f>IF('balance_raw'!$E$23="","—",IF(ABS(C20-'balance_raw'!$E$23)&lt;=1,"✓ OK","❌ "&amp;TEXT(C20-'balance_raw'!$E$23,"+#,##0;-#,##0")&amp;" valuta pr. år - se kolonneoverskrifter"))</f>
        <v/>
      </c>
      <c r="D60" s="29">
        <f>IF('balance_raw'!$D$23="","—",IF(ABS(D20-'balance_raw'!$D$23)&lt;=1,"✓ OK","❌ "&amp;TEXT(D20-'balance_raw'!$D$23,"+#,##0;-#,##0")&amp;" valuta pr. år - se kolonneoverskrifter"))</f>
        <v/>
      </c>
      <c r="F60" s="25" t="inlineStr">
        <is>
          <t>Verificerer at sum(Anlæg+Omsætning) matcher Assets-totalen.</t>
        </is>
      </c>
    </row>
    <row r="61">
      <c r="A61" s="23" t="inlineStr">
        <is>
          <t>Passiver i alt = fsa:LiabilitiesAndEquity</t>
        </is>
      </c>
      <c r="B61" s="29">
        <f>IF('balance_raw'!$F$51="","—",IF(ABS(B24-'balance_raw'!$F$51)&lt;=1,"✓ OK","❌ "&amp;TEXT(B24-'balance_raw'!$F$51,"+#,##0;-#,##0")&amp;" valuta pr. år - se kolonneoverskrifter"))</f>
        <v/>
      </c>
      <c r="C61" s="29">
        <f>IF('balance_raw'!$E$51="","—",IF(ABS(C24-'balance_raw'!$E$51)&lt;=1,"✓ OK","❌ "&amp;TEXT(C24-'balance_raw'!$E$51,"+#,##0;-#,##0")&amp;" valuta pr. år - se kolonneoverskrifter"))</f>
        <v/>
      </c>
      <c r="D61" s="29">
        <f>IF('balance_raw'!$D$51="","—",IF(ABS(D24-'balance_raw'!$D$51)&lt;=1,"✓ OK","❌ "&amp;TEXT(D24-'balance_raw'!$D$51,"+#,##0;-#,##0")&amp;" valuta pr. år - se kolonneoverskrifter"))</f>
        <v/>
      </c>
      <c r="F61" s="25" t="inlineStr">
        <is>
          <t>Verificerer at sum(EK+Forpligtelser) matcher Passiver-totalen.</t>
        </is>
      </c>
    </row>
    <row r="62">
      <c r="A62" s="23" t="inlineStr">
        <is>
          <t>Aktiver i alt = Passiver i alt</t>
        </is>
      </c>
      <c r="B62" s="29">
        <f>IF(ABS(B20-B24)&lt;=1,"✓ OK","❌ "&amp;TEXT(B20-B24,"+#,##0;-#,##0")&amp;" valuta pr. år - se kolonneoverskrifter")</f>
        <v/>
      </c>
      <c r="C62" s="29">
        <f>IF(ABS(C20-C24)&lt;=1,"✓ OK","❌ "&amp;TEXT(C20-C24,"+#,##0;-#,##0")&amp;" valuta pr. år - se kolonneoverskrifter")</f>
        <v/>
      </c>
      <c r="D62" s="29">
        <f>IF(ABS(D20-D24)&lt;=1,"✓ OK","❌ "&amp;TEXT(D20-D24,"+#,##0;-#,##0")&amp;" valuta pr. år - se kolonneoverskrifter")</f>
        <v/>
      </c>
      <c r="F62" s="25" t="inlineStr">
        <is>
          <t>Balance-identitet på arket selv. Skal altid være 0 differance.</t>
        </is>
      </c>
    </row>
    <row r="63">
      <c r="A63" s="23" t="inlineStr">
        <is>
          <t>Bruttoresultat (beregnet) = fsa:GrossResult</t>
        </is>
      </c>
      <c r="B63" s="29">
        <f>IF('res_raw'!$F$4="","—",IF(ABS(B7-'res_raw'!$F$4)&lt;=1,"✓ OK","❌ "&amp;TEXT(B7-'res_raw'!$F$4,"+#,##0;-#,##0")&amp;" valuta pr. år - se kolonneoverskrifter"))</f>
        <v/>
      </c>
      <c r="C63" s="29">
        <f>IF('res_raw'!$E$4="","—",IF(ABS(C7-'res_raw'!$E$4)&lt;=1,"✓ OK","❌ "&amp;TEXT(C7-'res_raw'!$E$4,"+#,##0;-#,##0")&amp;" valuta pr. år - se kolonneoverskrifter"))</f>
        <v/>
      </c>
      <c r="D63" s="29">
        <f>IF('res_raw'!$D$4="","—",IF(ABS(D7-'res_raw'!$D$4)&lt;=1,"✓ OK","❌ "&amp;TEXT(D7-'res_raw'!$D$4,"+#,##0;-#,##0")&amp;" valuta pr. år - se kolonneoverskrifter"))</f>
        <v/>
      </c>
      <c r="F63" s="25" t="inlineStr">
        <is>
          <t>Hvis Nettoomsætning eller omkostninger mangler, vil sumberegnet bruttoresultat afvige.</t>
        </is>
      </c>
    </row>
    <row r="64">
      <c r="A64" s="23" t="inlineStr">
        <is>
          <t>EBIT (beregnet) = fsa:ProfitLossFromOrdinaryOperatingActivities</t>
        </is>
      </c>
      <c r="B64" s="29">
        <f>IF('res_raw'!$F$9="","—",IF(ABS(B12-'res_raw'!$F$9)&lt;=1,"✓ OK","❌ "&amp;TEXT(B12-'res_raw'!$F$9,"+#,##0;-#,##0")&amp;" valuta pr. år - se kolonneoverskrifter"))</f>
        <v/>
      </c>
      <c r="C64" s="29">
        <f>IF('res_raw'!$E$9="","—",IF(ABS(C12-'res_raw'!$E$9)&lt;=1,"✓ OK","❌ "&amp;TEXT(C12-'res_raw'!$E$9,"+#,##0;-#,##0")&amp;" valuta pr. år - se kolonneoverskrifter"))</f>
        <v/>
      </c>
      <c r="D64" s="29">
        <f>IF('res_raw'!$D$9="","—",IF(ABS(D12-'res_raw'!$D$9)&lt;=1,"✓ OK","❌ "&amp;TEXT(D12-'res_raw'!$D$9,"+#,##0;-#,##0")&amp;" valuta pr. år - se kolonneoverskrifter"))</f>
        <v/>
      </c>
      <c r="F64" s="25" t="inlineStr">
        <is>
          <t>Verificerer at sumberegnet EBIT matcher det rapporterede.</t>
        </is>
      </c>
    </row>
    <row r="65">
      <c r="A65" s="23" t="inlineStr">
        <is>
          <t>EBT (beregnet) = fsa:ProfitLossFromOrdinaryActivitiesBeforeTax</t>
        </is>
      </c>
      <c r="B65" s="29">
        <f>IF('res_raw'!$F$14="","—",IF(ABS(B15-'res_raw'!$F$14)&lt;=1,"✓ OK","❌ "&amp;TEXT(B15-'res_raw'!$F$14,"+#,##0;-#,##0")&amp;" valuta pr. år - se kolonneoverskrifter"))</f>
        <v/>
      </c>
      <c r="C65" s="29">
        <f>IF('res_raw'!$E$14="","—",IF(ABS(C15-'res_raw'!$E$14)&lt;=1,"✓ OK","❌ "&amp;TEXT(C15-'res_raw'!$E$14,"+#,##0;-#,##0")&amp;" valuta pr. år - se kolonneoverskrifter"))</f>
        <v/>
      </c>
      <c r="D65" s="29">
        <f>IF('res_raw'!$D$14="","—",IF(ABS(D15-'res_raw'!$D$14)&lt;=1,"✓ OK","❌ "&amp;TEXT(D15-'res_raw'!$D$14,"+#,##0;-#,##0")&amp;" valuta pr. år - se kolonneoverskrifter"))</f>
        <v/>
      </c>
      <c r="F65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ifrs-full:AdjustmentsForIncreaseDecreaseInEmployeeBenefitLiabilities</t>
        </is>
      </c>
      <c r="C3" s="34" t="inlineStr">
        <is>
          <t>ifrs-full:AdjustmentsForIncreaseDecreaseInEmployeeBenefitLiabilities</t>
        </is>
      </c>
      <c r="D3" s="35" t="n">
        <v>2000</v>
      </c>
      <c r="E3" s="35" t="n">
        <v>-1000</v>
      </c>
      <c r="F3" s="35" t="n">
        <v>0</v>
      </c>
      <c r="G3" s="35" t="n"/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ifrs-full:CashAdvancesAndLoansMadeToRelatedParties</t>
        </is>
      </c>
      <c r="C4" s="37" t="inlineStr">
        <is>
          <t>ifrs-full:CashAdvancesAndLoansMadeToRelatedParties</t>
        </is>
      </c>
      <c r="D4" s="38" t="n">
        <v>73000</v>
      </c>
      <c r="E4" s="38" t="n">
        <v>15000</v>
      </c>
      <c r="F4" s="38" t="n">
        <v>22000</v>
      </c>
      <c r="G4" s="38" t="n">
        <v>-6000</v>
      </c>
      <c r="H4" s="38" t="n">
        <v>-72000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ifrs-full:CashAndCashEquivalentsInSubsidiaryOrBusinessesAcquiredOrDisposed2013</t>
        </is>
      </c>
      <c r="C5" s="34" t="inlineStr">
        <is>
          <t>ifrs-full:CashAndCashEquivalentsInSubsidiaryOrBusinessesAcquiredOrDisposed2013</t>
        </is>
      </c>
      <c r="D5" s="35" t="n">
        <v>15000</v>
      </c>
      <c r="E5" s="35" t="n">
        <v>0</v>
      </c>
      <c r="F5" s="35" t="n"/>
      <c r="G5" s="35" t="n"/>
      <c r="H5" s="35" t="n"/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ifrs-full:CurrentFinancialLiabilities</t>
        </is>
      </c>
      <c r="C6" s="37" t="inlineStr">
        <is>
          <t>ifrs-full:CurrentFinancialLiabilities</t>
        </is>
      </c>
      <c r="D6" s="38" t="n">
        <v>4918000</v>
      </c>
      <c r="E6" s="38" t="n">
        <v>4264000</v>
      </c>
      <c r="F6" s="38" t="n">
        <v>2622000</v>
      </c>
      <c r="G6" s="38" t="n"/>
      <c r="H6" s="38" t="n"/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ifrs-full:DividendsReceivedClassifiedAsOperatingActivities</t>
        </is>
      </c>
      <c r="C7" s="34" t="inlineStr">
        <is>
          <t>ifrs-full:DividendsReceivedClassifiedAsOperatingActivities</t>
        </is>
      </c>
      <c r="D7" s="35" t="n">
        <v>3000</v>
      </c>
      <c r="E7" s="35" t="n">
        <v>0</v>
      </c>
      <c r="F7" s="35" t="n">
        <v>1000</v>
      </c>
      <c r="G7" s="35" t="n">
        <v>2000</v>
      </c>
      <c r="H7" s="35" t="n">
        <v>0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ifrs-full:DividendsReceivedFromInvestmentsAccountedForUsingEquityMethodClassifiedAsInvestingActivities</t>
        </is>
      </c>
      <c r="C8" s="37" t="inlineStr">
        <is>
          <t>ifrs-full:DividendsReceivedFromInvestmentsAccountedForUsingEquityMethodClassifiedAsInvestingActivities</t>
        </is>
      </c>
      <c r="D8" s="38" t="n">
        <v>102000</v>
      </c>
      <c r="E8" s="38" t="n">
        <v>48000</v>
      </c>
      <c r="F8" s="38" t="n">
        <v>75000</v>
      </c>
      <c r="G8" s="38" t="n">
        <v>177000</v>
      </c>
      <c r="H8" s="38" t="n">
        <v>115000</v>
      </c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ifrs-full:IncreaseDecreaseThroughAppropriationOfRetainedEarnings</t>
        </is>
      </c>
      <c r="C9" s="34" t="inlineStr">
        <is>
          <t>ifrs-full:IncreaseDecreaseThroughAppropriationOfRetainedEarnings</t>
        </is>
      </c>
      <c r="D9" s="35" t="n">
        <v>127000</v>
      </c>
      <c r="E9" s="35" t="n">
        <v>159000</v>
      </c>
      <c r="F9" s="35" t="n">
        <v>148000</v>
      </c>
      <c r="G9" s="35" t="n"/>
      <c r="H9" s="35" t="n"/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ifrs-full:NoncurrentFinancialLiabilities</t>
        </is>
      </c>
      <c r="C10" s="37" t="inlineStr">
        <is>
          <t>ifrs-full:NoncurrentFinancialLiabilities</t>
        </is>
      </c>
      <c r="D10" s="38" t="n">
        <v>2265000</v>
      </c>
      <c r="E10" s="38" t="n">
        <v>2266000</v>
      </c>
      <c r="F10" s="38" t="n">
        <v>5083000</v>
      </c>
      <c r="G10" s="38" t="n"/>
      <c r="H10" s="38" t="n"/>
      <c r="I10" s="39" t="inlineStr">
        <is>
          <t>Ingen forklaring tilgængelig.</t>
        </is>
      </c>
    </row>
    <row r="11" ht="30" customHeight="1">
      <c r="A11" s="34" t="inlineStr">
        <is>
          <t>Øvrige (ukendt)</t>
        </is>
      </c>
      <c r="B11" s="34" t="inlineStr">
        <is>
          <t>ifrs-full:NoncurrentReceivablesDueFromRelatedParties</t>
        </is>
      </c>
      <c r="C11" s="34" t="inlineStr">
        <is>
          <t>ifrs-full:NoncurrentReceivablesDueFromRelatedParties</t>
        </is>
      </c>
      <c r="D11" s="35" t="n">
        <v>123000</v>
      </c>
      <c r="E11" s="35" t="n">
        <v>88000</v>
      </c>
      <c r="F11" s="35" t="n">
        <v>76000</v>
      </c>
      <c r="G11" s="35" t="n">
        <v>60000</v>
      </c>
      <c r="H11" s="35" t="n">
        <v>9000</v>
      </c>
      <c r="I11" s="36" t="inlineStr">
        <is>
          <t>Ingen forklaring tilgængelig.</t>
        </is>
      </c>
    </row>
    <row r="12" ht="30" customHeight="1">
      <c r="A12" s="37" t="inlineStr">
        <is>
          <t>Øvrige (ukendt)</t>
        </is>
      </c>
      <c r="B12" s="37" t="inlineStr">
        <is>
          <t>ifrs-full:OtherDifferencesToCashAndCashEquivalentsInStatementOfCashFlows</t>
        </is>
      </c>
      <c r="C12" s="37" t="inlineStr">
        <is>
          <t>ifrs-full:OtherDifferencesToCashAndCashEquivalentsInStatementOfCashFlows</t>
        </is>
      </c>
      <c r="D12" s="38" t="n"/>
      <c r="E12" s="38" t="n"/>
      <c r="F12" s="38" t="n"/>
      <c r="G12" s="38" t="n">
        <v>0</v>
      </c>
      <c r="H12" s="38" t="n">
        <v>44000</v>
      </c>
      <c r="I12" s="39" t="inlineStr">
        <is>
          <t>Ingen forklaring tilgængelig.</t>
        </is>
      </c>
    </row>
    <row r="13" ht="30" customHeight="1">
      <c r="A13" s="34" t="inlineStr">
        <is>
          <t>Øvrige (ukendt)</t>
        </is>
      </c>
      <c r="B13" s="34" t="inlineStr">
        <is>
          <t>ifrs-full:PaymentsFromChangesInOwnershipInterestsInSubsidiaries</t>
        </is>
      </c>
      <c r="C13" s="34" t="inlineStr">
        <is>
          <t>ifrs-full:PaymentsFromChangesInOwnershipInterestsInSubsidiaries</t>
        </is>
      </c>
      <c r="D13" s="35" t="n">
        <v>-11000</v>
      </c>
      <c r="E13" s="35" t="n"/>
      <c r="F13" s="35" t="n"/>
      <c r="G13" s="35" t="n"/>
      <c r="H13" s="35" t="n"/>
      <c r="I13" s="36" t="inlineStr">
        <is>
          <t>Ingen forklaring tilgængelig.</t>
        </is>
      </c>
    </row>
    <row r="14" ht="30" customHeight="1">
      <c r="A14" s="37" t="inlineStr">
        <is>
          <t>Øvrige (ukendt)</t>
        </is>
      </c>
      <c r="B14" s="37" t="inlineStr">
        <is>
          <t>ifrs-full:RevenueFromSaleOfAgriculturalProduce</t>
        </is>
      </c>
      <c r="C14" s="37" t="inlineStr">
        <is>
          <t>ifrs-full:RevenueFromSaleOfAgriculturalProduce</t>
        </is>
      </c>
      <c r="D14" s="38" t="n"/>
      <c r="E14" s="38" t="n"/>
      <c r="F14" s="38" t="n"/>
      <c r="G14" s="38" t="n">
        <v>60678000</v>
      </c>
      <c r="H14" s="38" t="n">
        <v>61841000</v>
      </c>
      <c r="I14" s="39" t="inlineStr">
        <is>
          <t>Ingen forklaring tilgængelig.</t>
        </is>
      </c>
    </row>
    <row r="15" ht="30" customHeight="1">
      <c r="A15" s="34" t="inlineStr">
        <is>
          <t>Øvrige (ukendt)</t>
        </is>
      </c>
      <c r="B15" s="34" t="inlineStr">
        <is>
          <t>ifrs-full:TradeAndOtherCurrentReceivablesDueFromRelatedParties</t>
        </is>
      </c>
      <c r="C15" s="34" t="inlineStr">
        <is>
          <t>ifrs-full:TradeAndOtherCurrentReceivablesDueFromRelatedParties</t>
        </is>
      </c>
      <c r="D15" s="35" t="n">
        <v>206000</v>
      </c>
      <c r="E15" s="35" t="n">
        <v>221000</v>
      </c>
      <c r="F15" s="35" t="n">
        <v>243000</v>
      </c>
      <c r="G15" s="35" t="n">
        <v>253000</v>
      </c>
      <c r="H15" s="35" t="n">
        <v>204000</v>
      </c>
      <c r="I15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2026-09-07T19:37:43Z</dcterms:created>
  <dcterms:modified xmlns:dcterms="http://purl.org/dc/terms/" xmlns:xsi="http://www.w3.org/2001/XMLSchema-instance" xsi:type="dcterms:W3CDTF">2026-09-07T19:37:43Z</dcterms:modified>
</cp:coreProperties>
</file>