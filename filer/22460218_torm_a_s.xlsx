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2460218" sheetId="1" state="visible" r:id="rId1"/>
    <sheet xmlns:r="http://schemas.openxmlformats.org/officeDocument/2006/relationships" name="res_raw_22460218" sheetId="2" state="visible" r:id="rId2"/>
    <sheet xmlns:r="http://schemas.openxmlformats.org/officeDocument/2006/relationships" name="balance_raw_22460218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TORM A/S (CVR 22460218) — Regnskabsanalyse – Resultatopgørelse &amp; Balance (t.USD)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t.USD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'res_raw_22460218'!$B$2</f>
        <v/>
      </c>
      <c r="C4" s="5">
        <f>'res_raw_22460218'!$C$2</f>
        <v/>
      </c>
      <c r="D4" s="5">
        <f>'res_raw_22460218'!$D$2</f>
        <v/>
      </c>
      <c r="E4" s="5">
        <f>'res_raw_22460218'!$E$2</f>
        <v/>
      </c>
      <c r="F4" s="5">
        <f>'res_raw_22460218'!$F$2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'res_raw_22460218'!$B$3</f>
        <v/>
      </c>
      <c r="C5" s="8">
        <f>'res_raw_22460218'!$C$3</f>
        <v/>
      </c>
      <c r="D5" s="8">
        <f>'res_raw_22460218'!$D$3</f>
        <v/>
      </c>
      <c r="E5" s="8">
        <f>'res_raw_22460218'!$E$3</f>
        <v/>
      </c>
      <c r="F5" s="8">
        <f>'res_raw_22460218'!$F$3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'res_raw_22460218'!$B$4</f>
        <v/>
      </c>
      <c r="C6" s="8">
        <f>'res_raw_22460218'!$C$4</f>
        <v/>
      </c>
      <c r="D6" s="8">
        <f>'res_raw_22460218'!$D$4</f>
        <v/>
      </c>
      <c r="E6" s="8">
        <f>'res_raw_22460218'!$E$4</f>
        <v/>
      </c>
      <c r="F6" s="8">
        <f>'res_raw_22460218'!$F$4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'res_raw_22460218'!$B$5</f>
        <v/>
      </c>
      <c r="C7" s="8">
        <f>'res_raw_22460218'!$C$5</f>
        <v/>
      </c>
      <c r="D7" s="8">
        <f>'res_raw_22460218'!$D$5</f>
        <v/>
      </c>
      <c r="E7" s="8">
        <f>'res_raw_22460218'!$E$5</f>
        <v/>
      </c>
      <c r="F7" s="8">
        <f>'res_raw_22460218'!$F$5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'res_raw_22460218'!$B$6</f>
        <v/>
      </c>
      <c r="C8" s="8">
        <f>'res_raw_22460218'!$C$6</f>
        <v/>
      </c>
      <c r="D8" s="8">
        <f>'res_raw_22460218'!$D$6</f>
        <v/>
      </c>
      <c r="E8" s="8">
        <f>'res_raw_22460218'!$E$6</f>
        <v/>
      </c>
      <c r="F8" s="8">
        <f>'res_raw_22460218'!$F$6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'res_raw_22460218'!$B$7</f>
        <v/>
      </c>
      <c r="C9" s="11">
        <f>'res_raw_22460218'!$C$7</f>
        <v/>
      </c>
      <c r="D9" s="11">
        <f>'res_raw_22460218'!$D$7</f>
        <v/>
      </c>
      <c r="E9" s="11">
        <f>'res_raw_22460218'!$E$7</f>
        <v/>
      </c>
      <c r="F9" s="11">
        <f>'res_raw_22460218'!$F$7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'res_raw_22460218'!$B$8</f>
        <v/>
      </c>
      <c r="C10" s="5">
        <f>'res_raw_22460218'!$C$8</f>
        <v/>
      </c>
      <c r="D10" s="5">
        <f>'res_raw_22460218'!$D$8</f>
        <v/>
      </c>
      <c r="E10" s="5">
        <f>'res_raw_22460218'!$E$8</f>
        <v/>
      </c>
      <c r="F10" s="5">
        <f>'res_raw_22460218'!$F$8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'res_raw_22460218'!$B$9</f>
        <v/>
      </c>
      <c r="C11" s="8">
        <f>'res_raw_22460218'!$C$9</f>
        <v/>
      </c>
      <c r="D11" s="8">
        <f>'res_raw_22460218'!$D$9</f>
        <v/>
      </c>
      <c r="E11" s="8">
        <f>'res_raw_22460218'!$E$9</f>
        <v/>
      </c>
      <c r="F11" s="8">
        <f>'res_raw_22460218'!$F$9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'res_raw_22460218'!$B$10</f>
        <v/>
      </c>
      <c r="C12" s="5">
        <f>'res_raw_22460218'!$C$10</f>
        <v/>
      </c>
      <c r="D12" s="5">
        <f>'res_raw_22460218'!$D$10</f>
        <v/>
      </c>
      <c r="E12" s="5">
        <f>'res_raw_22460218'!$E$10</f>
        <v/>
      </c>
      <c r="F12" s="5">
        <f>'res_raw_22460218'!$F$10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'res_raw_22460218'!$B$11</f>
        <v/>
      </c>
      <c r="C13" s="11">
        <f>'res_raw_22460218'!$C$11</f>
        <v/>
      </c>
      <c r="D13" s="11">
        <f>'res_raw_22460218'!$D$11</f>
        <v/>
      </c>
      <c r="E13" s="11">
        <f>'res_raw_22460218'!$E$11</f>
        <v/>
      </c>
      <c r="F13" s="11">
        <f>'res_raw_22460218'!$F$11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'res_raw_22460218'!$B$12</f>
        <v/>
      </c>
      <c r="C14" s="5">
        <f>'res_raw_22460218'!$C$12</f>
        <v/>
      </c>
      <c r="D14" s="5">
        <f>'res_raw_22460218'!$D$12</f>
        <v/>
      </c>
      <c r="E14" s="5">
        <f>'res_raw_22460218'!$E$12</f>
        <v/>
      </c>
      <c r="F14" s="5">
        <f>'res_raw_22460218'!$F$12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'res_raw_22460218'!$B$13</f>
        <v/>
      </c>
      <c r="C15" s="8">
        <f>'res_raw_22460218'!$C$13</f>
        <v/>
      </c>
      <c r="D15" s="8">
        <f>'res_raw_22460218'!$D$13</f>
        <v/>
      </c>
      <c r="E15" s="8">
        <f>'res_raw_22460218'!$E$13</f>
        <v/>
      </c>
      <c r="F15" s="8">
        <f>'res_raw_22460218'!$F$13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'res_raw_22460218'!$B$14</f>
        <v/>
      </c>
      <c r="C16" s="8">
        <f>'res_raw_22460218'!$C$14</f>
        <v/>
      </c>
      <c r="D16" s="8">
        <f>'res_raw_22460218'!$D$14</f>
        <v/>
      </c>
      <c r="E16" s="8">
        <f>'res_raw_22460218'!$E$14</f>
        <v/>
      </c>
      <c r="F16" s="8">
        <f>'res_raw_22460218'!$F$14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'res_raw_22460218'!$B$15</f>
        <v/>
      </c>
      <c r="C17" s="11">
        <f>'res_raw_22460218'!$C$15</f>
        <v/>
      </c>
      <c r="D17" s="11">
        <f>'res_raw_22460218'!$D$15</f>
        <v/>
      </c>
      <c r="E17" s="11">
        <f>'res_raw_22460218'!$E$15</f>
        <v/>
      </c>
      <c r="F17" s="11">
        <f>'res_raw_22460218'!$F$15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'res_raw_22460218'!$B$16</f>
        <v/>
      </c>
      <c r="C18" s="8">
        <f>'res_raw_22460218'!$C$16</f>
        <v/>
      </c>
      <c r="D18" s="8">
        <f>'res_raw_22460218'!$D$16</f>
        <v/>
      </c>
      <c r="E18" s="8">
        <f>'res_raw_22460218'!$E$16</f>
        <v/>
      </c>
      <c r="F18" s="8">
        <f>'res_raw_22460218'!$F$16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t.USD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7" t="inlineStr">
        <is>
          <t>Immaterielle anlægsaktiver</t>
        </is>
      </c>
      <c r="B21" s="8">
        <f>'balance_raw_22460218'!$B$2</f>
        <v/>
      </c>
      <c r="C21" s="8">
        <f>'balance_raw_22460218'!$C$2</f>
        <v/>
      </c>
      <c r="D21" s="8">
        <f>'balance_raw_22460218'!$D$2</f>
        <v/>
      </c>
      <c r="E21" s="8">
        <f>'balance_raw_22460218'!$E$2</f>
        <v/>
      </c>
      <c r="F21" s="8">
        <f>'balance_raw_22460218'!$F$2</f>
        <v/>
      </c>
      <c r="G21" t="inlineStr"/>
      <c r="H21" s="9">
        <f>IFERROR(B21/$B$21*100,"")</f>
        <v/>
      </c>
      <c r="I21" s="9">
        <f>IFERROR(C21/$B$21*100,"")</f>
        <v/>
      </c>
      <c r="J21" s="9">
        <f>IFERROR(D21/$B$21*100,"")</f>
        <v/>
      </c>
      <c r="K21" s="9">
        <f>IFERROR(E21/$B$21*100,"")</f>
        <v/>
      </c>
      <c r="L21" s="9">
        <f>IFERROR(F21/$B$21*100,"")</f>
        <v/>
      </c>
    </row>
    <row r="22" ht="16" customHeight="1">
      <c r="A22" s="4" t="inlineStr">
        <is>
          <t>Grunde og bygninger</t>
        </is>
      </c>
      <c r="B22" s="5">
        <f>'balance_raw_22460218'!$B$3</f>
        <v/>
      </c>
      <c r="C22" s="5">
        <f>'balance_raw_22460218'!$C$3</f>
        <v/>
      </c>
      <c r="D22" s="5">
        <f>'balance_raw_22460218'!$D$3</f>
        <v/>
      </c>
      <c r="E22" s="5">
        <f>'balance_raw_22460218'!$E$3</f>
        <v/>
      </c>
      <c r="F22" s="5">
        <f>'balance_raw_22460218'!$F$3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Produktionsanlæg og maskiner</t>
        </is>
      </c>
      <c r="B23" s="11">
        <f>'balance_raw_22460218'!$B$4</f>
        <v/>
      </c>
      <c r="C23" s="11">
        <f>'balance_raw_22460218'!$C$4</f>
        <v/>
      </c>
      <c r="D23" s="11">
        <f>'balance_raw_22460218'!$D$4</f>
        <v/>
      </c>
      <c r="E23" s="11">
        <f>'balance_raw_22460218'!$E$4</f>
        <v/>
      </c>
      <c r="F23" s="11">
        <f>'balance_raw_22460218'!$F$4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Driftsmateriel og inventar</t>
        </is>
      </c>
      <c r="B24" s="5">
        <f>'balance_raw_22460218'!$B$5</f>
        <v/>
      </c>
      <c r="C24" s="5">
        <f>'balance_raw_22460218'!$C$5</f>
        <v/>
      </c>
      <c r="D24" s="5">
        <f>'balance_raw_22460218'!$D$5</f>
        <v/>
      </c>
      <c r="E24" s="5">
        <f>'balance_raw_22460218'!$E$5</f>
        <v/>
      </c>
      <c r="F24" s="5">
        <f>'balance_raw_22460218'!$F$5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Indretning af lejede lokaler</t>
        </is>
      </c>
      <c r="B25" s="11">
        <f>'balance_raw_22460218'!$B$6</f>
        <v/>
      </c>
      <c r="C25" s="11">
        <f>'balance_raw_22460218'!$C$6</f>
        <v/>
      </c>
      <c r="D25" s="11">
        <f>'balance_raw_22460218'!$D$6</f>
        <v/>
      </c>
      <c r="E25" s="11">
        <f>'balance_raw_22460218'!$E$6</f>
        <v/>
      </c>
      <c r="F25" s="11">
        <f>'balance_raw_22460218'!$F$6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Forudbetaling og anlægsaktiver under opførelse</t>
        </is>
      </c>
      <c r="B26" s="5">
        <f>'balance_raw_22460218'!$B$7</f>
        <v/>
      </c>
      <c r="C26" s="5">
        <f>'balance_raw_22460218'!$C$7</f>
        <v/>
      </c>
      <c r="D26" s="5">
        <f>'balance_raw_22460218'!$D$7</f>
        <v/>
      </c>
      <c r="E26" s="5">
        <f>'balance_raw_22460218'!$E$7</f>
        <v/>
      </c>
      <c r="F26" s="5">
        <f>'balance_raw_22460218'!$F$7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Materielle anlægsaktiver</t>
        </is>
      </c>
      <c r="B27" s="8">
        <f>'balance_raw_22460218'!$B$8</f>
        <v/>
      </c>
      <c r="C27" s="8">
        <f>'balance_raw_22460218'!$C$8</f>
        <v/>
      </c>
      <c r="D27" s="8">
        <f>'balance_raw_22460218'!$D$8</f>
        <v/>
      </c>
      <c r="E27" s="8">
        <f>'balance_raw_22460218'!$E$8</f>
        <v/>
      </c>
      <c r="F27" s="8">
        <f>'balance_raw_22460218'!$F$8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Kapitalandele, dattervirksomheder</t>
        </is>
      </c>
      <c r="B28" s="5">
        <f>'balance_raw_22460218'!$B$9</f>
        <v/>
      </c>
      <c r="C28" s="5">
        <f>'balance_raw_22460218'!$C$9</f>
        <v/>
      </c>
      <c r="D28" s="5">
        <f>'balance_raw_22460218'!$D$9</f>
        <v/>
      </c>
      <c r="E28" s="5">
        <f>'balance_raw_22460218'!$E$9</f>
        <v/>
      </c>
      <c r="F28" s="5">
        <f>'balance_raw_22460218'!$F$9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Deposita</t>
        </is>
      </c>
      <c r="B29" s="11">
        <f>'balance_raw_22460218'!$B$10</f>
        <v/>
      </c>
      <c r="C29" s="11">
        <f>'balance_raw_22460218'!$C$10</f>
        <v/>
      </c>
      <c r="D29" s="11">
        <f>'balance_raw_22460218'!$D$10</f>
        <v/>
      </c>
      <c r="E29" s="11">
        <f>'balance_raw_22460218'!$E$10</f>
        <v/>
      </c>
      <c r="F29" s="11">
        <f>'balance_raw_22460218'!$F$10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Finansielle anlægsaktiver</t>
        </is>
      </c>
      <c r="B30" s="8">
        <f>'balance_raw_22460218'!$B$11</f>
        <v/>
      </c>
      <c r="C30" s="8">
        <f>'balance_raw_22460218'!$C$11</f>
        <v/>
      </c>
      <c r="D30" s="8">
        <f>'balance_raw_22460218'!$D$11</f>
        <v/>
      </c>
      <c r="E30" s="8">
        <f>'balance_raw_22460218'!$E$11</f>
        <v/>
      </c>
      <c r="F30" s="8">
        <f>'balance_raw_22460218'!$F$11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Anlægsaktiver</t>
        </is>
      </c>
      <c r="B31" s="8">
        <f>'balance_raw_22460218'!$B$12</f>
        <v/>
      </c>
      <c r="C31" s="8">
        <f>'balance_raw_22460218'!$C$12</f>
        <v/>
      </c>
      <c r="D31" s="8">
        <f>'balance_raw_22460218'!$D$12</f>
        <v/>
      </c>
      <c r="E31" s="8">
        <f>'balance_raw_22460218'!$E$12</f>
        <v/>
      </c>
      <c r="F31" s="8">
        <f>'balance_raw_22460218'!$F$12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Varebeholdninger</t>
        </is>
      </c>
      <c r="B32" s="8">
        <f>'balance_raw_22460218'!$B$13</f>
        <v/>
      </c>
      <c r="C32" s="8">
        <f>'balance_raw_22460218'!$C$13</f>
        <v/>
      </c>
      <c r="D32" s="8">
        <f>'balance_raw_22460218'!$D$13</f>
        <v/>
      </c>
      <c r="E32" s="8">
        <f>'balance_raw_22460218'!$E$13</f>
        <v/>
      </c>
      <c r="F32" s="8">
        <f>'balance_raw_22460218'!$F$13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10" t="inlineStr">
        <is>
          <t>Tilgodehavender fra salg og tjenesteydelser</t>
        </is>
      </c>
      <c r="B33" s="11">
        <f>'balance_raw_22460218'!$B$14</f>
        <v/>
      </c>
      <c r="C33" s="11">
        <f>'balance_raw_22460218'!$C$14</f>
        <v/>
      </c>
      <c r="D33" s="11">
        <f>'balance_raw_22460218'!$D$14</f>
        <v/>
      </c>
      <c r="E33" s="11">
        <f>'balance_raw_22460218'!$E$14</f>
        <v/>
      </c>
      <c r="F33" s="11">
        <f>'balance_raw_22460218'!$F$14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'balance_raw_22460218'!$B$15</f>
        <v/>
      </c>
      <c r="C34" s="5">
        <f>'balance_raw_22460218'!$C$15</f>
        <v/>
      </c>
      <c r="D34" s="5">
        <f>'balance_raw_22460218'!$D$15</f>
        <v/>
      </c>
      <c r="E34" s="5">
        <f>'balance_raw_22460218'!$E$15</f>
        <v/>
      </c>
      <c r="F34" s="5">
        <f>'balance_raw_22460218'!$F$15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Andre tilgodehavender</t>
        </is>
      </c>
      <c r="B35" s="11">
        <f>'balance_raw_22460218'!$B$16</f>
        <v/>
      </c>
      <c r="C35" s="11">
        <f>'balance_raw_22460218'!$C$16</f>
        <v/>
      </c>
      <c r="D35" s="11">
        <f>'balance_raw_22460218'!$D$16</f>
        <v/>
      </c>
      <c r="E35" s="11">
        <f>'balance_raw_22460218'!$E$16</f>
        <v/>
      </c>
      <c r="F35" s="11">
        <f>'balance_raw_22460218'!$F$16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'balance_raw_22460218'!$B$17</f>
        <v/>
      </c>
      <c r="C36" s="5">
        <f>'balance_raw_22460218'!$C$17</f>
        <v/>
      </c>
      <c r="D36" s="5">
        <f>'balance_raw_22460218'!$D$17</f>
        <v/>
      </c>
      <c r="E36" s="5">
        <f>'balance_raw_22460218'!$E$17</f>
        <v/>
      </c>
      <c r="F36" s="5">
        <f>'balance_raw_22460218'!$F$17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Udskudt skatteaktiv</t>
        </is>
      </c>
      <c r="B37" s="11">
        <f>'balance_raw_22460218'!$B$18</f>
        <v/>
      </c>
      <c r="C37" s="11">
        <f>'balance_raw_22460218'!$C$18</f>
        <v/>
      </c>
      <c r="D37" s="11">
        <f>'balance_raw_22460218'!$D$18</f>
        <v/>
      </c>
      <c r="E37" s="11">
        <f>'balance_raw_22460218'!$E$18</f>
        <v/>
      </c>
      <c r="F37" s="11">
        <f>'balance_raw_22460218'!$F$18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'balance_raw_22460218'!$B$19</f>
        <v/>
      </c>
      <c r="C38" s="5">
        <f>'balance_raw_22460218'!$C$19</f>
        <v/>
      </c>
      <c r="D38" s="5">
        <f>'balance_raw_22460218'!$D$19</f>
        <v/>
      </c>
      <c r="E38" s="5">
        <f>'balance_raw_22460218'!$E$19</f>
        <v/>
      </c>
      <c r="F38" s="5">
        <f>'balance_raw_22460218'!$F$19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Kortfristede skattetilgodehavender</t>
        </is>
      </c>
      <c r="B39" s="11">
        <f>'balance_raw_22460218'!$B$20</f>
        <v/>
      </c>
      <c r="C39" s="11">
        <f>'balance_raw_22460218'!$C$20</f>
        <v/>
      </c>
      <c r="D39" s="11">
        <f>'balance_raw_22460218'!$D$20</f>
        <v/>
      </c>
      <c r="E39" s="11">
        <f>'balance_raw_22460218'!$E$20</f>
        <v/>
      </c>
      <c r="F39" s="11">
        <f>'balance_raw_22460218'!$F$20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7" t="inlineStr">
        <is>
          <t>Tilgodehavender</t>
        </is>
      </c>
      <c r="B40" s="8">
        <f>'balance_raw_22460218'!$B$21</f>
        <v/>
      </c>
      <c r="C40" s="8">
        <f>'balance_raw_22460218'!$C$21</f>
        <v/>
      </c>
      <c r="D40" s="8">
        <f>'balance_raw_22460218'!$D$21</f>
        <v/>
      </c>
      <c r="E40" s="8">
        <f>'balance_raw_22460218'!$E$21</f>
        <v/>
      </c>
      <c r="F40" s="8">
        <f>'balance_raw_22460218'!$F$21</f>
        <v/>
      </c>
      <c r="G40" t="inlineStr"/>
      <c r="H40" s="9">
        <f>IFERROR(B40/$B$40*100,"")</f>
        <v/>
      </c>
      <c r="I40" s="9">
        <f>IFERROR(C40/$B$40*100,"")</f>
        <v/>
      </c>
      <c r="J40" s="9">
        <f>IFERROR(D40/$B$40*100,"")</f>
        <v/>
      </c>
      <c r="K40" s="9">
        <f>IFERROR(E40/$B$40*100,"")</f>
        <v/>
      </c>
      <c r="L40" s="9">
        <f>IFERROR(F40/$B$40*100,"")</f>
        <v/>
      </c>
    </row>
    <row r="41" ht="16" customHeight="1">
      <c r="A41" s="10" t="inlineStr">
        <is>
          <t>Værdipapirer</t>
        </is>
      </c>
      <c r="B41" s="11">
        <f>'balance_raw_22460218'!$B$22</f>
        <v/>
      </c>
      <c r="C41" s="11">
        <f>'balance_raw_22460218'!$C$22</f>
        <v/>
      </c>
      <c r="D41" s="11">
        <f>'balance_raw_22460218'!$D$22</f>
        <v/>
      </c>
      <c r="E41" s="11">
        <f>'balance_raw_22460218'!$E$22</f>
        <v/>
      </c>
      <c r="F41" s="11">
        <f>'balance_raw_22460218'!$F$22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'balance_raw_22460218'!$B$23</f>
        <v/>
      </c>
      <c r="C42" s="5">
        <f>'balance_raw_22460218'!$C$23</f>
        <v/>
      </c>
      <c r="D42" s="5">
        <f>'balance_raw_22460218'!$D$23</f>
        <v/>
      </c>
      <c r="E42" s="5">
        <f>'balance_raw_22460218'!$E$23</f>
        <v/>
      </c>
      <c r="F42" s="5">
        <f>'balance_raw_22460218'!$F$23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Omsætningsaktiver</t>
        </is>
      </c>
      <c r="B43" s="8">
        <f>'balance_raw_22460218'!$B$24</f>
        <v/>
      </c>
      <c r="C43" s="8">
        <f>'balance_raw_22460218'!$C$24</f>
        <v/>
      </c>
      <c r="D43" s="8">
        <f>'balance_raw_22460218'!$D$24</f>
        <v/>
      </c>
      <c r="E43" s="8">
        <f>'balance_raw_22460218'!$E$24</f>
        <v/>
      </c>
      <c r="F43" s="8">
        <f>'balance_raw_22460218'!$F$24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7" t="inlineStr">
        <is>
          <t>Aktiver</t>
        </is>
      </c>
      <c r="B44" s="8">
        <f>'balance_raw_22460218'!$B$25</f>
        <v/>
      </c>
      <c r="C44" s="8">
        <f>'balance_raw_22460218'!$C$25</f>
        <v/>
      </c>
      <c r="D44" s="8">
        <f>'balance_raw_22460218'!$D$25</f>
        <v/>
      </c>
      <c r="E44" s="8">
        <f>'balance_raw_22460218'!$E$25</f>
        <v/>
      </c>
      <c r="F44" s="8">
        <f>'balance_raw_22460218'!$F$25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6" ht="22" customHeight="1">
      <c r="A46" s="3" t="inlineStr">
        <is>
          <t>PASSIVER t.USD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10" t="inlineStr">
        <is>
          <t>Selskabskapital</t>
        </is>
      </c>
      <c r="B47" s="11">
        <f>'balance_raw_22460218'!$B$26</f>
        <v/>
      </c>
      <c r="C47" s="11">
        <f>'balance_raw_22460218'!$C$26</f>
        <v/>
      </c>
      <c r="D47" s="11">
        <f>'balance_raw_22460218'!$D$26</f>
        <v/>
      </c>
      <c r="E47" s="11">
        <f>'balance_raw_22460218'!$E$26</f>
        <v/>
      </c>
      <c r="F47" s="11">
        <f>'balance_raw_22460218'!$F$26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'balance_raw_22460218'!$B$27</f>
        <v/>
      </c>
      <c r="C48" s="5">
        <f>'balance_raw_22460218'!$C$27</f>
        <v/>
      </c>
      <c r="D48" s="5">
        <f>'balance_raw_22460218'!$D$27</f>
        <v/>
      </c>
      <c r="E48" s="5">
        <f>'balance_raw_22460218'!$E$27</f>
        <v/>
      </c>
      <c r="F48" s="5">
        <f>'balance_raw_22460218'!$F$27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udviklingsomkostninger</t>
        </is>
      </c>
      <c r="B49" s="11">
        <f>'balance_raw_22460218'!$B$28</f>
        <v/>
      </c>
      <c r="C49" s="11">
        <f>'balance_raw_22460218'!$C$28</f>
        <v/>
      </c>
      <c r="D49" s="11">
        <f>'balance_raw_22460218'!$D$28</f>
        <v/>
      </c>
      <c r="E49" s="11">
        <f>'balance_raw_22460218'!$E$28</f>
        <v/>
      </c>
      <c r="F49" s="11">
        <f>'balance_raw_22460218'!$F$28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'balance_raw_22460218'!$B$29</f>
        <v/>
      </c>
      <c r="C50" s="5">
        <f>'balance_raw_22460218'!$C$29</f>
        <v/>
      </c>
      <c r="D50" s="5">
        <f>'balance_raw_22460218'!$D$29</f>
        <v/>
      </c>
      <c r="E50" s="5">
        <f>'balance_raw_22460218'!$E$29</f>
        <v/>
      </c>
      <c r="F50" s="5">
        <f>'balance_raw_22460218'!$F$29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Andre reserver</t>
        </is>
      </c>
      <c r="B51" s="11">
        <f>'balance_raw_22460218'!$B$30</f>
        <v/>
      </c>
      <c r="C51" s="11">
        <f>'balance_raw_22460218'!$C$30</f>
        <v/>
      </c>
      <c r="D51" s="11">
        <f>'balance_raw_22460218'!$D$30</f>
        <v/>
      </c>
      <c r="E51" s="11">
        <f>'balance_raw_22460218'!$E$30</f>
        <v/>
      </c>
      <c r="F51" s="11">
        <f>'balance_raw_22460218'!$F$30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'balance_raw_22460218'!$B$31</f>
        <v/>
      </c>
      <c r="C52" s="5">
        <f>'balance_raw_22460218'!$C$31</f>
        <v/>
      </c>
      <c r="D52" s="5">
        <f>'balance_raw_22460218'!$D$31</f>
        <v/>
      </c>
      <c r="E52" s="5">
        <f>'balance_raw_22460218'!$E$31</f>
        <v/>
      </c>
      <c r="F52" s="5">
        <f>'balance_raw_22460218'!$F$31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Egenkapital i alt</t>
        </is>
      </c>
      <c r="B53" s="8">
        <f>'balance_raw_22460218'!$B$32</f>
        <v/>
      </c>
      <c r="C53" s="8">
        <f>'balance_raw_22460218'!$C$32</f>
        <v/>
      </c>
      <c r="D53" s="8">
        <f>'balance_raw_22460218'!$D$32</f>
        <v/>
      </c>
      <c r="E53" s="8">
        <f>'balance_raw_22460218'!$E$32</f>
        <v/>
      </c>
      <c r="F53" s="8">
        <f>'balance_raw_22460218'!$F$32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7" t="inlineStr">
        <is>
          <t>Hensatte forpligtelser</t>
        </is>
      </c>
      <c r="B54" s="8">
        <f>'balance_raw_22460218'!$B$33</f>
        <v/>
      </c>
      <c r="C54" s="8">
        <f>'balance_raw_22460218'!$C$33</f>
        <v/>
      </c>
      <c r="D54" s="8">
        <f>'balance_raw_22460218'!$D$33</f>
        <v/>
      </c>
      <c r="E54" s="8">
        <f>'balance_raw_22460218'!$E$33</f>
        <v/>
      </c>
      <c r="F54" s="8">
        <f>'balance_raw_22460218'!$F$33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10" t="inlineStr">
        <is>
          <t>Ansvarlig lånekapital (langfristet)</t>
        </is>
      </c>
      <c r="B55" s="11">
        <f>'balance_raw_22460218'!$B$34</f>
        <v/>
      </c>
      <c r="C55" s="11">
        <f>'balance_raw_22460218'!$C$34</f>
        <v/>
      </c>
      <c r="D55" s="11">
        <f>'balance_raw_22460218'!$D$34</f>
        <v/>
      </c>
      <c r="E55" s="11">
        <f>'balance_raw_22460218'!$E$34</f>
        <v/>
      </c>
      <c r="F55" s="11">
        <f>'balance_raw_22460218'!$F$34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Langfristede lån</t>
        </is>
      </c>
      <c r="B56" s="5">
        <f>'balance_raw_22460218'!$B$35</f>
        <v/>
      </c>
      <c r="C56" s="5">
        <f>'balance_raw_22460218'!$C$35</f>
        <v/>
      </c>
      <c r="D56" s="5">
        <f>'balance_raw_22460218'!$D$35</f>
        <v/>
      </c>
      <c r="E56" s="5">
        <f>'balance_raw_22460218'!$E$35</f>
        <v/>
      </c>
      <c r="F56" s="5">
        <f>'balance_raw_22460218'!$F$35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Leasingforpligtelser (langfristet)</t>
        </is>
      </c>
      <c r="B57" s="11">
        <f>'balance_raw_22460218'!$B$36</f>
        <v/>
      </c>
      <c r="C57" s="11">
        <f>'balance_raw_22460218'!$C$36</f>
        <v/>
      </c>
      <c r="D57" s="11">
        <f>'balance_raw_22460218'!$D$36</f>
        <v/>
      </c>
      <c r="E57" s="11">
        <f>'balance_raw_22460218'!$E$36</f>
        <v/>
      </c>
      <c r="F57" s="11">
        <f>'balance_raw_22460218'!$F$36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Anden gæld (langfristet)</t>
        </is>
      </c>
      <c r="B58" s="5">
        <f>'balance_raw_22460218'!$B$37</f>
        <v/>
      </c>
      <c r="C58" s="5">
        <f>'balance_raw_22460218'!$C$37</f>
        <v/>
      </c>
      <c r="D58" s="5">
        <f>'balance_raw_22460218'!$D$37</f>
        <v/>
      </c>
      <c r="E58" s="5">
        <f>'balance_raw_22460218'!$E$37</f>
        <v/>
      </c>
      <c r="F58" s="5">
        <f>'balance_raw_22460218'!$F$37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Langfristede gældsforpligtelser</t>
        </is>
      </c>
      <c r="B59" s="8">
        <f>'balance_raw_22460218'!$B$38</f>
        <v/>
      </c>
      <c r="C59" s="8">
        <f>'balance_raw_22460218'!$C$38</f>
        <v/>
      </c>
      <c r="D59" s="8">
        <f>'balance_raw_22460218'!$D$38</f>
        <v/>
      </c>
      <c r="E59" s="8">
        <f>'balance_raw_22460218'!$E$38</f>
        <v/>
      </c>
      <c r="F59" s="8">
        <f>'balance_raw_22460218'!$F$38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Ansvarlig lånekapital (kortfristet)</t>
        </is>
      </c>
      <c r="B60" s="5">
        <f>'balance_raw_22460218'!$B$39</f>
        <v/>
      </c>
      <c r="C60" s="5">
        <f>'balance_raw_22460218'!$C$39</f>
        <v/>
      </c>
      <c r="D60" s="5">
        <f>'balance_raw_22460218'!$D$39</f>
        <v/>
      </c>
      <c r="E60" s="5">
        <f>'balance_raw_22460218'!$E$39</f>
        <v/>
      </c>
      <c r="F60" s="5">
        <f>'balance_raw_22460218'!$F$39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Kortfristet del af langfristede gældsforpligtelser</t>
        </is>
      </c>
      <c r="B61" s="11">
        <f>'balance_raw_22460218'!$B$40</f>
        <v/>
      </c>
      <c r="C61" s="11">
        <f>'balance_raw_22460218'!$C$40</f>
        <v/>
      </c>
      <c r="D61" s="11">
        <f>'balance_raw_22460218'!$D$40</f>
        <v/>
      </c>
      <c r="E61" s="11">
        <f>'balance_raw_22460218'!$E$40</f>
        <v/>
      </c>
      <c r="F61" s="11">
        <f>'balance_raw_22460218'!$F$40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Kreditinstitutter</t>
        </is>
      </c>
      <c r="B62" s="5">
        <f>'balance_raw_22460218'!$B$41</f>
        <v/>
      </c>
      <c r="C62" s="5">
        <f>'balance_raw_22460218'!$C$41</f>
        <v/>
      </c>
      <c r="D62" s="5">
        <f>'balance_raw_22460218'!$D$41</f>
        <v/>
      </c>
      <c r="E62" s="5">
        <f>'balance_raw_22460218'!$E$41</f>
        <v/>
      </c>
      <c r="F62" s="5">
        <f>'balance_raw_22460218'!$F$41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Leasingforpligtelser (kortfristet)</t>
        </is>
      </c>
      <c r="B63" s="11">
        <f>'balance_raw_22460218'!$B$42</f>
        <v/>
      </c>
      <c r="C63" s="11">
        <f>'balance_raw_22460218'!$C$42</f>
        <v/>
      </c>
      <c r="D63" s="11">
        <f>'balance_raw_22460218'!$D$42</f>
        <v/>
      </c>
      <c r="E63" s="11">
        <f>'balance_raw_22460218'!$E$42</f>
        <v/>
      </c>
      <c r="F63" s="11">
        <f>'balance_raw_22460218'!$F$42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Leverandører af varer og tjenesteydelser</t>
        </is>
      </c>
      <c r="B64" s="5">
        <f>'balance_raw_22460218'!$B$43</f>
        <v/>
      </c>
      <c r="C64" s="5">
        <f>'balance_raw_22460218'!$C$43</f>
        <v/>
      </c>
      <c r="D64" s="5">
        <f>'balance_raw_22460218'!$D$43</f>
        <v/>
      </c>
      <c r="E64" s="5">
        <f>'balance_raw_22460218'!$E$43</f>
        <v/>
      </c>
      <c r="F64" s="5">
        <f>'balance_raw_22460218'!$F$43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tilknyttede virksomheder</t>
        </is>
      </c>
      <c r="B65" s="11">
        <f>'balance_raw_22460218'!$B$44</f>
        <v/>
      </c>
      <c r="C65" s="11">
        <f>'balance_raw_22460218'!$C$44</f>
        <v/>
      </c>
      <c r="D65" s="11">
        <f>'balance_raw_22460218'!$D$44</f>
        <v/>
      </c>
      <c r="E65" s="11">
        <f>'balance_raw_22460218'!$E$44</f>
        <v/>
      </c>
      <c r="F65" s="11">
        <f>'balance_raw_22460218'!$F$44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selskabsdeltagere og ledelse</t>
        </is>
      </c>
      <c r="B66" s="5">
        <f>'balance_raw_22460218'!$B$45</f>
        <v/>
      </c>
      <c r="C66" s="5">
        <f>'balance_raw_22460218'!$C$45</f>
        <v/>
      </c>
      <c r="D66" s="5">
        <f>'balance_raw_22460218'!$D$45</f>
        <v/>
      </c>
      <c r="E66" s="5">
        <f>'balance_raw_22460218'!$E$45</f>
        <v/>
      </c>
      <c r="F66" s="5">
        <f>'balance_raw_22460218'!$F$45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Selskabsskat</t>
        </is>
      </c>
      <c r="B67" s="11">
        <f>'balance_raw_22460218'!$B$46</f>
        <v/>
      </c>
      <c r="C67" s="11">
        <f>'balance_raw_22460218'!$C$46</f>
        <v/>
      </c>
      <c r="D67" s="11">
        <f>'balance_raw_22460218'!$D$46</f>
        <v/>
      </c>
      <c r="E67" s="11">
        <f>'balance_raw_22460218'!$E$46</f>
        <v/>
      </c>
      <c r="F67" s="11">
        <f>'balance_raw_22460218'!$F$46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tilknyttede virksomheder vedr. selskabsskat</t>
        </is>
      </c>
      <c r="B68" s="5">
        <f>'balance_raw_22460218'!$B$47</f>
        <v/>
      </c>
      <c r="C68" s="5">
        <f>'balance_raw_22460218'!$C$47</f>
        <v/>
      </c>
      <c r="D68" s="5">
        <f>'balance_raw_22460218'!$D$47</f>
        <v/>
      </c>
      <c r="E68" s="5">
        <f>'balance_raw_22460218'!$E$47</f>
        <v/>
      </c>
      <c r="F68" s="5">
        <f>'balance_raw_22460218'!$F$47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Anden gæld (kortfristet)</t>
        </is>
      </c>
      <c r="B69" s="11">
        <f>'balance_raw_22460218'!$B$48</f>
        <v/>
      </c>
      <c r="C69" s="11">
        <f>'balance_raw_22460218'!$C$48</f>
        <v/>
      </c>
      <c r="D69" s="11">
        <f>'balance_raw_22460218'!$D$48</f>
        <v/>
      </c>
      <c r="E69" s="11">
        <f>'balance_raw_22460218'!$E$48</f>
        <v/>
      </c>
      <c r="F69" s="11">
        <f>'balance_raw_22460218'!$F$48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Periodeafgrænsningsposter (passiver)</t>
        </is>
      </c>
      <c r="B70" s="5">
        <f>'balance_raw_22460218'!$B$49</f>
        <v/>
      </c>
      <c r="C70" s="5">
        <f>'balance_raw_22460218'!$C$49</f>
        <v/>
      </c>
      <c r="D70" s="5">
        <f>'balance_raw_22460218'!$D$49</f>
        <v/>
      </c>
      <c r="E70" s="5">
        <f>'balance_raw_22460218'!$E$49</f>
        <v/>
      </c>
      <c r="F70" s="5">
        <f>'balance_raw_22460218'!$F$49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Kortfristede gældsforpligtelser</t>
        </is>
      </c>
      <c r="B71" s="8">
        <f>'balance_raw_22460218'!$B$50</f>
        <v/>
      </c>
      <c r="C71" s="8">
        <f>'balance_raw_22460218'!$C$50</f>
        <v/>
      </c>
      <c r="D71" s="8">
        <f>'balance_raw_22460218'!$D$50</f>
        <v/>
      </c>
      <c r="E71" s="8">
        <f>'balance_raw_22460218'!$E$50</f>
        <v/>
      </c>
      <c r="F71" s="8">
        <f>'balance_raw_22460218'!$F$50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7" t="inlineStr">
        <is>
          <t>Gældsforpligtelser</t>
        </is>
      </c>
      <c r="B72" s="8">
        <f>'balance_raw_22460218'!$B$51</f>
        <v/>
      </c>
      <c r="C72" s="8">
        <f>'balance_raw_22460218'!$C$51</f>
        <v/>
      </c>
      <c r="D72" s="8">
        <f>'balance_raw_22460218'!$D$51</f>
        <v/>
      </c>
      <c r="E72" s="8">
        <f>'balance_raw_22460218'!$E$51</f>
        <v/>
      </c>
      <c r="F72" s="8">
        <f>'balance_raw_22460218'!$F$51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Passiver</t>
        </is>
      </c>
      <c r="B73" s="8">
        <f>'balance_raw_22460218'!$B$52</f>
        <v/>
      </c>
      <c r="C73" s="8">
        <f>'balance_raw_22460218'!$C$52</f>
        <v/>
      </c>
      <c r="D73" s="8">
        <f>'balance_raw_22460218'!$D$52</f>
        <v/>
      </c>
      <c r="E73" s="8">
        <f>'balance_raw_22460218'!$E$52</f>
        <v/>
      </c>
      <c r="F73" s="8">
        <f>'balance_raw_22460218'!$F$52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5" ht="22" customHeight="1">
      <c r="A75" s="3" t="inlineStr">
        <is>
          <t>NØGLEOPLYSNINGER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Gns. antal medarbejdere</t>
        </is>
      </c>
      <c r="B76" s="5">
        <f>'res_raw_22460218'!$B$17</f>
        <v/>
      </c>
      <c r="C76" s="5">
        <f>'res_raw_22460218'!$C$17</f>
        <v/>
      </c>
      <c r="D76" s="5">
        <f>'res_raw_22460218'!$D$17</f>
        <v/>
      </c>
      <c r="E76" s="5">
        <f>'res_raw_22460218'!$E$17</f>
        <v/>
      </c>
      <c r="F76" s="5">
        <f>'res_raw_22460218'!$F$17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Investering i materielle anlægsaktiver</t>
        </is>
      </c>
      <c r="B77" s="11">
        <f>'res_raw_22460218'!$B$18</f>
        <v/>
      </c>
      <c r="C77" s="11">
        <f>'res_raw_22460218'!$C$18</f>
        <v/>
      </c>
      <c r="D77" s="11">
        <f>'res_raw_22460218'!$D$18</f>
        <v/>
      </c>
      <c r="E77" s="11">
        <f>'res_raw_22460218'!$E$18</f>
        <v/>
      </c>
      <c r="F77" s="11">
        <f>'res_raw_22460218'!$F$18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NØGLETAL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Afkastningsgrad, %</t>
        </is>
      </c>
      <c r="B80" s="13">
        <f>IFERROR(($B$11+$B$13+$B$12)/$B$44*100,"")</f>
        <v/>
      </c>
      <c r="C80" s="13">
        <f>IFERROR(($C$11+$C$13+$C$12)/$C$44*100,"")</f>
        <v/>
      </c>
      <c r="D80" s="13">
        <f>IFERROR(($D$11+$D$13+$D$12)/$D$44*100,"")</f>
        <v/>
      </c>
      <c r="E80" s="13">
        <f>IFERROR(($E$11+$E$13+$E$12)/$E$44*100,"")</f>
        <v/>
      </c>
      <c r="F80" s="13">
        <f>IFERROR(($F$11+$F$13+$F$12)/$F$44*100,"")</f>
        <v/>
      </c>
    </row>
    <row r="81" ht="16" customHeight="1">
      <c r="A81" s="10" t="inlineStr">
        <is>
          <t>Overskudsgrad, %</t>
        </is>
      </c>
      <c r="B81" s="14">
        <f>IFERROR(($B$11+$B$13+$B$12)/$B$4*100,"")</f>
        <v/>
      </c>
      <c r="C81" s="14">
        <f>IFERROR(($C$11+$C$13+$C$12)/$C$4*100,"")</f>
        <v/>
      </c>
      <c r="D81" s="14">
        <f>IFERROR(($D$11+$D$13+$D$12)/$D$4*100,"")</f>
        <v/>
      </c>
      <c r="E81" s="14">
        <f>IFERROR(($E$11+$E$13+$E$12)/$E$4*100,"")</f>
        <v/>
      </c>
      <c r="F81" s="14">
        <f>IFERROR(($F$11+$F$13+$F$12)/$F$4*100,"")</f>
        <v/>
      </c>
    </row>
    <row r="82" ht="16" customHeight="1">
      <c r="A82" s="4" t="inlineStr">
        <is>
          <t>Aktivernes omsætningshastighed, gange</t>
        </is>
      </c>
      <c r="B82" s="13">
        <f>IFERROR($B$4/$B$44,"")</f>
        <v/>
      </c>
      <c r="C82" s="13">
        <f>IFERROR($C$4/$C$44,"")</f>
        <v/>
      </c>
      <c r="D82" s="13">
        <f>IFERROR($D$4/$D$44,"")</f>
        <v/>
      </c>
      <c r="E82" s="13">
        <f>IFERROR($E$4/$E$44,"")</f>
        <v/>
      </c>
      <c r="F82" s="13">
        <f>IFERROR($F$4/$F$44,"")</f>
        <v/>
      </c>
    </row>
    <row r="83" ht="16" customHeight="1">
      <c r="A83" s="10" t="inlineStr">
        <is>
          <t>Egenkapitalens forrentning, %</t>
        </is>
      </c>
      <c r="B83" s="14">
        <f>IFERROR($B$16/$B$53*100,"")</f>
        <v/>
      </c>
      <c r="C83" s="14">
        <f>IFERROR($C$16/$C$53*100,"")</f>
        <v/>
      </c>
      <c r="D83" s="14">
        <f>IFERROR($D$16/$D$53*100,"")</f>
        <v/>
      </c>
      <c r="E83" s="14">
        <f>IFERROR($E$16/$E$53*100,"")</f>
        <v/>
      </c>
      <c r="F83" s="14">
        <f>IFERROR($F$16/$F$53*100,"")</f>
        <v/>
      </c>
    </row>
    <row r="84" ht="16" customHeight="1">
      <c r="A84" s="4" t="inlineStr">
        <is>
          <t>Gældsrente, %</t>
        </is>
      </c>
      <c r="B84" s="13">
        <f>IFERROR($B$14/($B$73-$B$53)*100,"")</f>
        <v/>
      </c>
      <c r="C84" s="13">
        <f>IFERROR($C$14/($C$73-$C$53)*100,"")</f>
        <v/>
      </c>
      <c r="D84" s="13">
        <f>IFERROR($D$14/($D$73-$D$53)*100,"")</f>
        <v/>
      </c>
      <c r="E84" s="13">
        <f>IFERROR($E$14/($E$73-$E$53)*100,"")</f>
        <v/>
      </c>
      <c r="F84" s="13">
        <f>IFERROR($F$14/($F$73-$F$53)*100,"")</f>
        <v/>
      </c>
    </row>
    <row r="85" ht="16" customHeight="1">
      <c r="A85" s="10" t="inlineStr">
        <is>
          <t>Soliditetsgrad, %</t>
        </is>
      </c>
      <c r="B85" s="14">
        <f>IFERROR($B$53/$B$44*100,"")</f>
        <v/>
      </c>
      <c r="C85" s="14">
        <f>IFERROR($C$53/$C$44*100,"")</f>
        <v/>
      </c>
      <c r="D85" s="14">
        <f>IFERROR($D$53/$D$44*100,"")</f>
        <v/>
      </c>
      <c r="E85" s="14">
        <f>IFERROR($E$53/$E$44*100,"")</f>
        <v/>
      </c>
      <c r="F85" s="14">
        <f>IFERROR($F$53/$F$44*100,"")</f>
        <v/>
      </c>
    </row>
    <row r="86" ht="16" customHeight="1">
      <c r="A86" s="4" t="inlineStr">
        <is>
          <t>Gearing</t>
        </is>
      </c>
      <c r="B86" s="13">
        <f>IFERROR(($B$73-$B$53)/$B$53,"")</f>
        <v/>
      </c>
      <c r="C86" s="13">
        <f>IFERROR(($C$73-$C$53)/$C$53,"")</f>
        <v/>
      </c>
      <c r="D86" s="13">
        <f>IFERROR(($D$73-$D$53)/$D$53,"")</f>
        <v/>
      </c>
      <c r="E86" s="13">
        <f>IFERROR(($E$73-$E$53)/$E$53,"")</f>
        <v/>
      </c>
      <c r="F86" s="13">
        <f>IFERROR(($F$73-$F$53)/$F$53,"")</f>
        <v/>
      </c>
    </row>
    <row r="87" ht="16" customHeight="1">
      <c r="A87" s="10" t="inlineStr">
        <is>
          <t>Likviditetsgrad, %</t>
        </is>
      </c>
      <c r="B87" s="14">
        <f>IFERROR($B$43/$B$71*100,"")</f>
        <v/>
      </c>
      <c r="C87" s="14">
        <f>IFERROR($C$43/$C$71*100,"")</f>
        <v/>
      </c>
      <c r="D87" s="14">
        <f>IFERROR($D$43/$D$71*100,"")</f>
        <v/>
      </c>
      <c r="E87" s="14">
        <f>IFERROR($E$43/$E$71*100,"")</f>
        <v/>
      </c>
      <c r="F87" s="14">
        <f>IFERROR($F$43/$F$71*100,"")</f>
        <v/>
      </c>
    </row>
    <row r="88" ht="16" customHeight="1">
      <c r="A88" s="4" t="inlineStr">
        <is>
          <t>Rentemarginal, %</t>
        </is>
      </c>
      <c r="B88" s="13">
        <f>IFERROR(B80-B84,"")</f>
        <v/>
      </c>
      <c r="C88" s="13">
        <f>IFERROR(C80-C84,"")</f>
        <v/>
      </c>
      <c r="D88" s="13">
        <f>IFERROR(D80-D84,"")</f>
        <v/>
      </c>
      <c r="E88" s="13">
        <f>IFERROR(E80-E84,"")</f>
        <v/>
      </c>
      <c r="F88" s="13">
        <f>IFERROR(F80-F84,"")</f>
        <v/>
      </c>
    </row>
    <row r="89" ht="16" customHeight="1">
      <c r="A89" s="10" t="inlineStr">
        <is>
          <t>Gældsandel, %</t>
        </is>
      </c>
      <c r="B89" s="14">
        <f>IFERROR(($B$73-$B$53)/$B$44*100,"")</f>
        <v/>
      </c>
      <c r="C89" s="14">
        <f>IFERROR(($C$73-$C$53)/$C$44*100,"")</f>
        <v/>
      </c>
      <c r="D89" s="14">
        <f>IFERROR(($D$73-$D$53)/$D$44*100,"")</f>
        <v/>
      </c>
      <c r="E89" s="14">
        <f>IFERROR(($E$73-$E$53)/$E$44*100,"")</f>
        <v/>
      </c>
      <c r="F89" s="14">
        <f>IFERROR(($F$73-$F$53)/$F$44*100,"")</f>
        <v/>
      </c>
    </row>
    <row r="90" ht="16" customHeight="1">
      <c r="A90" s="4" t="inlineStr">
        <is>
          <t>Kapitalbindingsgrad, %</t>
        </is>
      </c>
      <c r="B90" s="13">
        <f>IFERROR($B$31/($B$53+$B$59)*100,"")</f>
        <v/>
      </c>
      <c r="C90" s="13">
        <f>IFERROR($C$31/($C$53+$C$59)*100,"")</f>
        <v/>
      </c>
      <c r="D90" s="13">
        <f>IFERROR($D$31/($D$53+$D$59)*100,"")</f>
        <v/>
      </c>
      <c r="E90" s="13">
        <f>IFERROR($E$31/($E$53+$E$59)*100,"")</f>
        <v/>
      </c>
      <c r="F90" s="13">
        <f>IFERROR($F$31/($F$53+$F$59)*100,"")</f>
        <v/>
      </c>
    </row>
    <row r="92">
      <c r="A92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TORM A/S (CVR 22460218) — Resultatopgørelse &amp; nøgleoplysninger (t.USD)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619000</v>
      </c>
      <c r="C2" s="16" t="n">
        <v>1440000</v>
      </c>
      <c r="D2" s="16" t="n">
        <v>1481363</v>
      </c>
      <c r="E2" s="16" t="n">
        <v>1463625</v>
      </c>
      <c r="F2" s="16" t="n">
        <v>1018993</v>
      </c>
    </row>
    <row r="3">
      <c r="A3" s="15" t="inlineStr">
        <is>
          <t>Produktionsomkostninger</t>
        </is>
      </c>
      <c r="B3" s="16" t="n"/>
      <c r="C3" s="16" t="n"/>
      <c r="D3" s="16" t="n"/>
      <c r="E3" s="16" t="n"/>
      <c r="F3" s="16" t="n"/>
    </row>
    <row r="4">
      <c r="A4" s="17" t="inlineStr">
        <is>
          <t>Bruttoresultat</t>
        </is>
      </c>
      <c r="B4" s="16" t="n">
        <v>127460</v>
      </c>
      <c r="C4" s="16" t="n">
        <v>743708</v>
      </c>
      <c r="D4" s="16" t="n">
        <v>720935</v>
      </c>
      <c r="E4" s="16" t="n">
        <v>639096</v>
      </c>
      <c r="F4" s="16" t="n">
        <v>387980</v>
      </c>
    </row>
    <row r="5">
      <c r="A5" s="15" t="inlineStr">
        <is>
          <t>Salgs- og distributionsomkostninger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Administrationsomkostninger</t>
        </is>
      </c>
      <c r="B6" s="16" t="n">
        <v>35023</v>
      </c>
      <c r="C6" s="16" t="n">
        <v>32837</v>
      </c>
      <c r="D6" s="16" t="n">
        <v>49579</v>
      </c>
      <c r="E6" s="16" t="n">
        <v>55899</v>
      </c>
      <c r="F6" s="16" t="n">
        <v>61070</v>
      </c>
    </row>
    <row r="7">
      <c r="A7" s="15" t="inlineStr">
        <is>
          <t>Andre driftsindtægter</t>
        </is>
      </c>
      <c r="B7" s="16" t="n">
        <v>625</v>
      </c>
      <c r="C7" s="16" t="n">
        <v>8214</v>
      </c>
      <c r="D7" s="16" t="n">
        <v>74521</v>
      </c>
      <c r="E7" s="16" t="n">
        <v>283840</v>
      </c>
      <c r="F7" s="16" t="n">
        <v>6728</v>
      </c>
    </row>
    <row r="8">
      <c r="A8" s="15" t="inlineStr">
        <is>
          <t>Andre driftsomkostninger</t>
        </is>
      </c>
      <c r="B8" s="16" t="n">
        <v>16704</v>
      </c>
      <c r="C8" s="16" t="n">
        <v>11325</v>
      </c>
      <c r="D8" s="16" t="n">
        <v>13655</v>
      </c>
      <c r="E8" s="16" t="n">
        <v>22257</v>
      </c>
      <c r="F8" s="16" t="n">
        <v>27099</v>
      </c>
    </row>
    <row r="9">
      <c r="A9" s="17" t="inlineStr">
        <is>
          <t>Resultat af primær drift</t>
        </is>
      </c>
      <c r="B9" s="16" t="n">
        <v>45000</v>
      </c>
      <c r="C9" s="16" t="n">
        <v>587000</v>
      </c>
      <c r="D9" s="16" t="n">
        <v>597072</v>
      </c>
      <c r="E9" s="16" t="n">
        <v>707220</v>
      </c>
      <c r="F9" s="16" t="n">
        <v>119221</v>
      </c>
    </row>
    <row r="10">
      <c r="A10" s="15" t="inlineStr">
        <is>
          <t>Indtægter af kapitalandele, dattervirksomheder</t>
        </is>
      </c>
      <c r="B10" s="16" t="n">
        <v>19054</v>
      </c>
      <c r="C10" s="16" t="n">
        <v>8129</v>
      </c>
      <c r="D10" s="16" t="n">
        <v>20515</v>
      </c>
      <c r="E10" s="16" t="n">
        <v>307852</v>
      </c>
      <c r="F10" s="16" t="n">
        <v>1017</v>
      </c>
    </row>
    <row r="11">
      <c r="A11" s="15" t="inlineStr">
        <is>
          <t>Finansielle indtægter</t>
        </is>
      </c>
      <c r="B11" s="16" t="n">
        <v>341</v>
      </c>
      <c r="C11" s="16" t="n">
        <v>5465</v>
      </c>
      <c r="D11" s="16" t="n">
        <v>34894</v>
      </c>
      <c r="E11" s="16" t="n">
        <v>15112</v>
      </c>
      <c r="F11" s="16" t="n">
        <v>10611</v>
      </c>
    </row>
    <row r="12">
      <c r="A12" s="15" t="inlineStr">
        <is>
          <t>Finansielle omkostninger</t>
        </is>
      </c>
      <c r="B12" s="16" t="n">
        <v>30762</v>
      </c>
      <c r="C12" s="16" t="n">
        <v>60184</v>
      </c>
      <c r="D12" s="16" t="n">
        <v>80959</v>
      </c>
      <c r="E12" s="16" t="n">
        <v>48160</v>
      </c>
      <c r="F12" s="16" t="n">
        <v>29531</v>
      </c>
    </row>
    <row r="13">
      <c r="A13" s="17" t="inlineStr">
        <is>
          <t>Finansielle poster, netto</t>
        </is>
      </c>
      <c r="B13" s="16" t="n">
        <v>-30000</v>
      </c>
      <c r="C13" s="16" t="n">
        <v>-55000</v>
      </c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26406</v>
      </c>
      <c r="C14" s="16" t="n">
        <v>544685</v>
      </c>
      <c r="D14" s="16" t="n">
        <v>571522</v>
      </c>
      <c r="E14" s="16" t="n">
        <v>982024</v>
      </c>
      <c r="F14" s="16" t="n">
        <v>101318</v>
      </c>
    </row>
    <row r="15">
      <c r="A15" s="15" t="inlineStr">
        <is>
          <t>Skat af årets resultat</t>
        </is>
      </c>
      <c r="B15" s="16" t="n">
        <v>1193</v>
      </c>
      <c r="C15" s="16" t="n">
        <v>1087</v>
      </c>
      <c r="D15" s="16" t="n">
        <v>1351</v>
      </c>
      <c r="E15" s="16" t="n">
        <v>775</v>
      </c>
      <c r="F15" s="16" t="n">
        <v>1060</v>
      </c>
    </row>
    <row r="16">
      <c r="A16" s="17" t="inlineStr">
        <is>
          <t>Årets resultat</t>
        </is>
      </c>
      <c r="B16" s="16" t="n">
        <v>25213</v>
      </c>
      <c r="C16" s="16" t="n">
        <v>543598</v>
      </c>
      <c r="D16" s="16" t="n">
        <v>570171</v>
      </c>
      <c r="E16" s="16" t="n">
        <v>981249</v>
      </c>
      <c r="F16" s="16" t="n">
        <v>100258</v>
      </c>
    </row>
    <row r="17">
      <c r="A17" s="15" t="inlineStr">
        <is>
          <t>Gns. antal medarbejdere</t>
        </is>
      </c>
      <c r="B17" s="16" t="n">
        <v>243</v>
      </c>
      <c r="C17" s="16" t="n">
        <v>227</v>
      </c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>
        <v>643000</v>
      </c>
      <c r="C18" s="16" t="n">
        <v>153000</v>
      </c>
      <c r="D18" s="16" t="n"/>
      <c r="E18" s="16" t="n"/>
      <c r="F18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TORM A/S (CVR 22460218) — Balance (t.USD)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7" t="inlineStr">
        <is>
          <t>Immaterielle anlægsaktiver</t>
        </is>
      </c>
      <c r="B2" s="16" t="n">
        <v>0</v>
      </c>
      <c r="C2" s="16" t="n">
        <v>651</v>
      </c>
      <c r="D2" s="16" t="n">
        <v>792</v>
      </c>
      <c r="E2" s="16" t="n">
        <v>1006</v>
      </c>
      <c r="F2" s="16" t="n">
        <v>1526</v>
      </c>
    </row>
    <row r="3">
      <c r="A3" s="15" t="inlineStr">
        <is>
          <t>Grunde og bygninger</t>
        </is>
      </c>
      <c r="B3" s="16" t="n">
        <v>2934</v>
      </c>
      <c r="C3" s="16" t="n">
        <v>1842</v>
      </c>
      <c r="D3" s="16" t="n">
        <v>757</v>
      </c>
      <c r="E3" s="16" t="n">
        <v>5245</v>
      </c>
      <c r="F3" s="16" t="n">
        <v>3965</v>
      </c>
    </row>
    <row r="4">
      <c r="A4" s="15" t="inlineStr">
        <is>
          <t>Produktionsanlæg og maskiner</t>
        </is>
      </c>
      <c r="B4" s="16" t="n">
        <v>4850</v>
      </c>
      <c r="C4" s="16" t="n">
        <v>2926</v>
      </c>
      <c r="D4" s="16" t="n">
        <v>2285</v>
      </c>
      <c r="E4" s="16" t="n">
        <v>1098</v>
      </c>
      <c r="F4" s="16" t="n">
        <v>488</v>
      </c>
    </row>
    <row r="5">
      <c r="A5" s="15" t="inlineStr">
        <is>
          <t>Driftsmateriel og inventar</t>
        </is>
      </c>
      <c r="B5" s="16" t="n"/>
      <c r="C5" s="16" t="n"/>
      <c r="D5" s="16" t="n"/>
      <c r="E5" s="16" t="n"/>
      <c r="F5" s="16" t="n"/>
    </row>
    <row r="6">
      <c r="A6" s="15" t="inlineStr">
        <is>
          <t>Indretning af lejede lokaler</t>
        </is>
      </c>
      <c r="B6" s="16" t="n"/>
      <c r="C6" s="16" t="n"/>
      <c r="D6" s="16" t="n"/>
      <c r="E6" s="16" t="n"/>
      <c r="F6" s="16" t="n"/>
    </row>
    <row r="7">
      <c r="A7" s="15" t="inlineStr">
        <is>
          <t>Forudbetaling og anlægsaktiver under opførelse</t>
        </is>
      </c>
      <c r="B7" s="16" t="n">
        <v>11996</v>
      </c>
      <c r="C7" s="16" t="n">
        <v>0</v>
      </c>
      <c r="D7" s="16" t="n"/>
      <c r="E7" s="16" t="n"/>
      <c r="F7" s="16" t="n"/>
    </row>
    <row r="8">
      <c r="A8" s="17" t="inlineStr">
        <is>
          <t>Materielle anlægsaktiver</t>
        </is>
      </c>
      <c r="B8" s="16" t="n">
        <v>1663731</v>
      </c>
      <c r="C8" s="16" t="n">
        <v>1618912</v>
      </c>
      <c r="D8" s="16" t="n">
        <v>1696527</v>
      </c>
      <c r="E8" s="16" t="n">
        <v>1636247</v>
      </c>
      <c r="F8" s="16" t="n">
        <v>1392728</v>
      </c>
    </row>
    <row r="9">
      <c r="A9" s="15" t="inlineStr">
        <is>
          <t>Kapitalandele, dattervirksomheder</t>
        </is>
      </c>
      <c r="B9" s="16" t="n">
        <v>126261</v>
      </c>
      <c r="C9" s="16" t="n">
        <v>128429</v>
      </c>
      <c r="D9" s="16" t="n">
        <v>179033</v>
      </c>
      <c r="E9" s="16" t="n">
        <v>6810</v>
      </c>
      <c r="F9" s="16" t="n">
        <v>12410</v>
      </c>
    </row>
    <row r="10">
      <c r="A10" s="15" t="inlineStr">
        <is>
          <t>Deposita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Finansielle anlægsaktiver</t>
        </is>
      </c>
      <c r="B11" s="16" t="n">
        <v>127734</v>
      </c>
      <c r="C11" s="16" t="n">
        <v>128701</v>
      </c>
      <c r="D11" s="16" t="n">
        <v>179109</v>
      </c>
      <c r="E11" s="16" t="n">
        <v>6886</v>
      </c>
      <c r="F11" s="16" t="n">
        <v>12410</v>
      </c>
    </row>
    <row r="12">
      <c r="A12" s="17" t="inlineStr">
        <is>
          <t>Anlægsaktiver</t>
        </is>
      </c>
      <c r="B12" s="16" t="n">
        <v>1791465</v>
      </c>
      <c r="C12" s="16" t="n">
        <v>1748264</v>
      </c>
      <c r="D12" s="16" t="n">
        <v>1876428</v>
      </c>
      <c r="E12" s="16" t="n">
        <v>1644139</v>
      </c>
      <c r="F12" s="16" t="n">
        <v>1406664</v>
      </c>
    </row>
    <row r="13">
      <c r="A13" s="17" t="inlineStr">
        <is>
          <t>Varebeholdninger</t>
        </is>
      </c>
      <c r="B13" s="16" t="n">
        <v>48658</v>
      </c>
      <c r="C13" s="16" t="n">
        <v>60991</v>
      </c>
      <c r="D13" s="16" t="n">
        <v>57400</v>
      </c>
      <c r="E13" s="16" t="n">
        <v>55047</v>
      </c>
      <c r="F13" s="16" t="n">
        <v>49620</v>
      </c>
    </row>
    <row r="14">
      <c r="A14" s="15" t="inlineStr">
        <is>
          <t>Tilgodehavender fra salg og tjenesteydelser</t>
        </is>
      </c>
      <c r="B14" s="16" t="n">
        <v>83218</v>
      </c>
      <c r="C14" s="16" t="n">
        <v>255618</v>
      </c>
      <c r="D14" s="16" t="n">
        <v>193525</v>
      </c>
      <c r="E14" s="16" t="n">
        <v>128885</v>
      </c>
      <c r="F14" s="16" t="n">
        <v>130463</v>
      </c>
    </row>
    <row r="15">
      <c r="A15" s="15" t="inlineStr">
        <is>
          <t>Tilgodehavender hos tilknyttede virksomheder</t>
        </is>
      </c>
      <c r="B15" s="16" t="n">
        <v>5039</v>
      </c>
      <c r="C15" s="16" t="n">
        <v>93</v>
      </c>
      <c r="D15" s="16" t="n">
        <v>66747</v>
      </c>
      <c r="E15" s="16" t="n">
        <v>3139</v>
      </c>
      <c r="F15" s="16" t="n">
        <v>15047</v>
      </c>
    </row>
    <row r="16">
      <c r="A16" s="15" t="inlineStr">
        <is>
          <t>Andre tilgodehavender</t>
        </is>
      </c>
      <c r="B16" s="16" t="n">
        <v>31123</v>
      </c>
      <c r="C16" s="16" t="n">
        <v>16983</v>
      </c>
      <c r="D16" s="16" t="n">
        <v>21748</v>
      </c>
      <c r="E16" s="16" t="n">
        <v>28762</v>
      </c>
      <c r="F16" s="16" t="n">
        <v>8049</v>
      </c>
    </row>
    <row r="17">
      <c r="A17" s="15" t="inlineStr">
        <is>
          <t>Periodeafgrænsningsposter (aktiver)</t>
        </is>
      </c>
      <c r="B17" s="16" t="n">
        <v>4981</v>
      </c>
      <c r="C17" s="16" t="n">
        <v>9147</v>
      </c>
      <c r="D17" s="16" t="n">
        <v>8738</v>
      </c>
      <c r="E17" s="16" t="n">
        <v>10034</v>
      </c>
      <c r="F17" s="16" t="n">
        <v>36523</v>
      </c>
    </row>
    <row r="18">
      <c r="A18" s="15" t="inlineStr">
        <is>
          <t>Udskudt skatteaktiv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Tilgodehavende skat hos tilknyttede virksomheder</t>
        </is>
      </c>
      <c r="B19" s="16" t="n"/>
      <c r="C19" s="16" t="n"/>
      <c r="D19" s="16" t="n"/>
      <c r="E19" s="16" t="n"/>
      <c r="F19" s="16" t="n"/>
    </row>
    <row r="20">
      <c r="A20" s="15" t="inlineStr">
        <is>
          <t>Kortfristede skattetilgodehavender</t>
        </is>
      </c>
      <c r="B20" s="16" t="n"/>
      <c r="C20" s="16" t="n"/>
      <c r="D20" s="16" t="n"/>
      <c r="E20" s="16" t="n"/>
      <c r="F20" s="16" t="n"/>
    </row>
    <row r="21">
      <c r="A21" s="17" t="inlineStr">
        <is>
          <t>Tilgodehavender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Værdipapirer</t>
        </is>
      </c>
      <c r="B22" s="16" t="n"/>
      <c r="C22" s="16" t="n"/>
      <c r="D22" s="16" t="n"/>
      <c r="E22" s="16" t="n"/>
      <c r="F22" s="16" t="n"/>
    </row>
    <row r="23">
      <c r="A23" s="15" t="inlineStr">
        <is>
          <t>Likvide beholdninger</t>
        </is>
      </c>
      <c r="B23" s="16" t="n">
        <v>143840</v>
      </c>
      <c r="C23" s="16" t="n">
        <v>296863</v>
      </c>
      <c r="D23" s="16" t="n">
        <v>262989</v>
      </c>
      <c r="E23" s="16" t="n">
        <v>169449</v>
      </c>
      <c r="F23" s="16" t="n">
        <v>128235</v>
      </c>
    </row>
    <row r="24">
      <c r="A24" s="17" t="inlineStr">
        <is>
          <t>Omsætningsaktiver</t>
        </is>
      </c>
      <c r="B24" s="16" t="n">
        <v>316859</v>
      </c>
      <c r="C24" s="16" t="n">
        <v>639695</v>
      </c>
      <c r="D24" s="16" t="n">
        <v>611147</v>
      </c>
      <c r="E24" s="16" t="n">
        <v>395316</v>
      </c>
      <c r="F24" s="16" t="n">
        <v>367937</v>
      </c>
    </row>
    <row r="25">
      <c r="A25" s="17" t="inlineStr">
        <is>
          <t>Aktiver</t>
        </is>
      </c>
      <c r="B25" s="16" t="n">
        <v>2108000</v>
      </c>
      <c r="C25" s="16" t="n">
        <v>2388000</v>
      </c>
      <c r="D25" s="16" t="n">
        <v>2487575</v>
      </c>
      <c r="E25" s="16" t="n">
        <v>2039455</v>
      </c>
      <c r="F25" s="16" t="n">
        <v>1774601</v>
      </c>
    </row>
    <row r="26">
      <c r="A26" s="15" t="inlineStr">
        <is>
          <t>Selskabskapital</t>
        </is>
      </c>
      <c r="B26" s="16" t="n">
        <v>141946</v>
      </c>
      <c r="C26" s="16" t="n">
        <v>141946</v>
      </c>
      <c r="D26" s="16" t="n">
        <v>141946</v>
      </c>
      <c r="E26" s="16" t="n">
        <v>180773</v>
      </c>
      <c r="F26" s="16" t="n">
        <v>180773</v>
      </c>
    </row>
    <row r="27">
      <c r="A27" s="15" t="inlineStr">
        <is>
          <t>Reserve for nettoopskrivning (indre værdis metode)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Reserve for udviklingsomkostninger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Reserve for sikringstransaktioner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Andre reserver</t>
        </is>
      </c>
      <c r="B30" s="16" t="n">
        <v>5896</v>
      </c>
      <c r="C30" s="16" t="n">
        <v>5896</v>
      </c>
      <c r="D30" s="16" t="n">
        <v>5896</v>
      </c>
      <c r="E30" s="16" t="n">
        <v>5896</v>
      </c>
      <c r="F30" s="16" t="n">
        <v>5896</v>
      </c>
    </row>
    <row r="31">
      <c r="A31" s="15" t="inlineStr">
        <is>
          <t>Overført resultat</t>
        </is>
      </c>
      <c r="B31" s="16" t="n">
        <v>397884</v>
      </c>
      <c r="C31" s="16" t="n">
        <v>943037</v>
      </c>
      <c r="D31" s="16" t="n">
        <v>1411890</v>
      </c>
      <c r="E31" s="16" t="n">
        <v>1139987</v>
      </c>
      <c r="F31" s="16" t="n">
        <v>1264116</v>
      </c>
    </row>
    <row r="32">
      <c r="A32" s="17" t="inlineStr">
        <is>
          <t>Egenkapital i alt</t>
        </is>
      </c>
      <c r="B32" s="16" t="n">
        <v>544000</v>
      </c>
      <c r="C32" s="16" t="n">
        <v>1091000</v>
      </c>
      <c r="D32" s="16" t="n">
        <v>1559777</v>
      </c>
      <c r="E32" s="16" t="n">
        <v>1324484</v>
      </c>
      <c r="F32" s="16" t="n">
        <v>1451569</v>
      </c>
    </row>
    <row r="33">
      <c r="A33" s="17" t="inlineStr">
        <is>
          <t>Hensatte forpligtelser</t>
        </is>
      </c>
      <c r="B33" s="16" t="n">
        <v>18300</v>
      </c>
      <c r="C33" s="16" t="n">
        <v>6500</v>
      </c>
      <c r="D33" s="16" t="n">
        <v>0</v>
      </c>
      <c r="E33" s="16" t="n"/>
      <c r="F33" s="16" t="n"/>
    </row>
    <row r="34">
      <c r="A34" s="15" t="inlineStr">
        <is>
          <t>Ansvarlig lånekapital (langfristet)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Langfristede lån</t>
        </is>
      </c>
      <c r="B35" s="16" t="n">
        <v>440815</v>
      </c>
      <c r="C35" s="16" t="n">
        <v>484030</v>
      </c>
      <c r="D35" s="16" t="n">
        <v>496369</v>
      </c>
      <c r="E35" s="16" t="n">
        <v>444362</v>
      </c>
      <c r="F35" s="16" t="n">
        <v>27113</v>
      </c>
    </row>
    <row r="36">
      <c r="A36" s="15" t="inlineStr">
        <is>
          <t>Leasingforpligtelser (langfristet)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Anden gæld (langfristet)</t>
        </is>
      </c>
      <c r="B37" s="16" t="n">
        <v>806276</v>
      </c>
      <c r="C37" s="16" t="n">
        <v>0</v>
      </c>
      <c r="D37" s="16" t="n"/>
      <c r="E37" s="16" t="n"/>
      <c r="F37" s="16" t="n"/>
    </row>
    <row r="38">
      <c r="A38" s="17" t="inlineStr">
        <is>
          <t>Langfristede gældsforpligtelser</t>
        </is>
      </c>
      <c r="B38" s="16" t="n">
        <v>1292267</v>
      </c>
      <c r="C38" s="16" t="n">
        <v>531356</v>
      </c>
      <c r="D38" s="16" t="n">
        <v>543806</v>
      </c>
      <c r="E38" s="16" t="n">
        <v>491854</v>
      </c>
      <c r="F38" s="16" t="n">
        <v>74895</v>
      </c>
    </row>
    <row r="39">
      <c r="A39" s="15" t="inlineStr">
        <is>
          <t>Ansvarlig lånekapital (kortfristet)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Kortfristet del af langfristede gældsforpligtelser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Kreditinstitutter</t>
        </is>
      </c>
      <c r="B41" s="16" t="n">
        <v>41785</v>
      </c>
      <c r="C41" s="16" t="n">
        <v>50125</v>
      </c>
      <c r="D41" s="16" t="n">
        <v>71318</v>
      </c>
      <c r="E41" s="16" t="n">
        <v>57200</v>
      </c>
      <c r="F41" s="16" t="n">
        <v>161129</v>
      </c>
    </row>
    <row r="42">
      <c r="A42" s="15" t="inlineStr">
        <is>
          <t>Leasingforpligtelser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Leverandører af varer og tjenesteydelser</t>
        </is>
      </c>
      <c r="B43" s="16" t="n">
        <v>34587</v>
      </c>
      <c r="C43" s="16" t="n">
        <v>45739</v>
      </c>
      <c r="D43" s="16" t="n">
        <v>37901</v>
      </c>
      <c r="E43" s="16" t="n">
        <v>39522</v>
      </c>
      <c r="F43" s="16" t="n">
        <v>29116</v>
      </c>
    </row>
    <row r="44">
      <c r="A44" s="15" t="inlineStr">
        <is>
          <t>Gæld til tilknyttede virksomheder</t>
        </is>
      </c>
      <c r="B44" s="16" t="n">
        <v>149351</v>
      </c>
      <c r="C44" s="16" t="n">
        <v>639059</v>
      </c>
      <c r="D44" s="16" t="n">
        <v>235563</v>
      </c>
      <c r="E44" s="16" t="n">
        <v>76097</v>
      </c>
      <c r="F44" s="16" t="n">
        <v>8607</v>
      </c>
    </row>
    <row r="45">
      <c r="A45" s="15" t="inlineStr">
        <is>
          <t>Gæld til selskabsdeltagere og ledelse</t>
        </is>
      </c>
      <c r="B45" s="16" t="n"/>
      <c r="C45" s="16" t="n"/>
      <c r="D45" s="16" t="n"/>
      <c r="E45" s="16" t="n"/>
      <c r="F45" s="16" t="n"/>
    </row>
    <row r="46">
      <c r="A46" s="15" t="inlineStr">
        <is>
          <t>Selskabsskat</t>
        </is>
      </c>
      <c r="B46" s="16" t="n">
        <v>11</v>
      </c>
      <c r="C46" s="16" t="n">
        <v>801</v>
      </c>
      <c r="D46" s="16" t="n">
        <v>0</v>
      </c>
      <c r="E46" s="16" t="n"/>
      <c r="F46" s="16" t="n"/>
    </row>
    <row r="47">
      <c r="A47" s="15" t="inlineStr">
        <is>
          <t>Gæld til tilknyttede virksomheder vedr. selskabsskat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Anden gæld (kortfristet)</t>
        </is>
      </c>
      <c r="B48" s="16" t="n">
        <v>27831</v>
      </c>
      <c r="C48" s="16" t="n">
        <v>23114</v>
      </c>
      <c r="D48" s="16" t="n">
        <v>36513</v>
      </c>
      <c r="E48" s="16" t="n">
        <v>46283</v>
      </c>
      <c r="F48" s="16" t="n">
        <v>49285</v>
      </c>
    </row>
    <row r="49">
      <c r="A49" s="15" t="inlineStr">
        <is>
          <t>Periodeafgrænsningsposter (passiver)</t>
        </is>
      </c>
      <c r="B49" s="16" t="n"/>
      <c r="C49" s="16" t="n"/>
      <c r="D49" s="16" t="n">
        <v>2697</v>
      </c>
      <c r="E49" s="16" t="n">
        <v>4015</v>
      </c>
      <c r="F49" s="16" t="n">
        <v>0</v>
      </c>
    </row>
    <row r="50">
      <c r="A50" s="17" t="inlineStr">
        <is>
          <t>Kortfristede gældsforpligtelser</t>
        </is>
      </c>
      <c r="B50" s="16" t="n">
        <v>253565</v>
      </c>
      <c r="C50" s="16" t="n">
        <v>758838</v>
      </c>
      <c r="D50" s="16" t="n">
        <v>383992</v>
      </c>
      <c r="E50" s="16" t="n">
        <v>223117</v>
      </c>
      <c r="F50" s="16" t="n">
        <v>248137</v>
      </c>
    </row>
    <row r="51">
      <c r="A51" s="17" t="inlineStr">
        <is>
          <t>Gældsforpligtelser</t>
        </is>
      </c>
      <c r="B51" s="16" t="n">
        <v>1564132</v>
      </c>
      <c r="C51" s="16" t="n">
        <v>1296694</v>
      </c>
      <c r="D51" s="16" t="n">
        <v>927796</v>
      </c>
      <c r="E51" s="16" t="n">
        <v>714971</v>
      </c>
      <c r="F51" s="16" t="n">
        <v>323032</v>
      </c>
    </row>
    <row r="52">
      <c r="A52" s="17" t="inlineStr">
        <is>
          <t>Passiver</t>
        </is>
      </c>
      <c r="B52" s="16" t="n">
        <v>2108324</v>
      </c>
      <c r="C52" s="16" t="n">
        <v>2387959</v>
      </c>
      <c r="D52" s="16" t="n">
        <v>2487575</v>
      </c>
      <c r="E52" s="16" t="n">
        <v>2039455</v>
      </c>
      <c r="F52" s="16" t="n">
        <v>1774601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TORM A/S (CVR 22460218) — Regnskabs- og nøgletal (CVR: 22460218)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'res_raw_22460218'!$F$2</f>
        <v/>
      </c>
      <c r="C5" s="24">
        <f>'res_raw_22460218'!$E$2</f>
        <v/>
      </c>
      <c r="D5" s="24">
        <f>'res_raw_22460218'!$D$2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-'res_raw_22460218'!$F$3</f>
        <v/>
      </c>
      <c r="C6" s="24">
        <f>-'res_raw_22460218'!$E$3</f>
        <v/>
      </c>
      <c r="D6" s="24">
        <f>-'res_raw_22460218'!$D$3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-'res_raw_22460218'!$F$5</f>
        <v/>
      </c>
      <c r="C8" s="24">
        <f>-'res_raw_22460218'!$E$5</f>
        <v/>
      </c>
      <c r="D8" s="24">
        <f>-'res_raw_22460218'!$D$5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-'res_raw_22460218'!$F$6</f>
        <v/>
      </c>
      <c r="C9" s="24">
        <f>-'res_raw_22460218'!$E$6</f>
        <v/>
      </c>
      <c r="D9" s="24">
        <f>-'res_raw_22460218'!$D$6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'res_raw_22460218'!$F$7</f>
        <v/>
      </c>
      <c r="C10" s="24">
        <f>'res_raw_22460218'!$E$7</f>
        <v/>
      </c>
      <c r="D10" s="24">
        <f>'res_raw_22460218'!$D$7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-'res_raw_22460218'!$F$8</f>
        <v/>
      </c>
      <c r="C11" s="24">
        <f>-'res_raw_22460218'!$E$8</f>
        <v/>
      </c>
      <c r="D11" s="24">
        <f>-'res_raw_22460218'!$D$8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N('res_raw_22460218'!$F$10)+N('res_raw_22460218'!$F$11)</f>
        <v/>
      </c>
      <c r="C13" s="24">
        <f>N('res_raw_22460218'!$E$10)+N('res_raw_22460218'!$E$11)</f>
        <v/>
      </c>
      <c r="D13" s="24">
        <f>N('res_raw_22460218'!$D$10)+N('res_raw_22460218'!$D$11)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-'res_raw_22460218'!$F$12</f>
        <v/>
      </c>
      <c r="C14" s="24">
        <f>-'res_raw_22460218'!$E$12</f>
        <v/>
      </c>
      <c r="D14" s="24">
        <f>-'res_raw_22460218'!$D$12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'balance_raw_22460218'!$F$12</f>
        <v/>
      </c>
      <c r="C18" s="24">
        <f>'balance_raw_22460218'!$E$12</f>
        <v/>
      </c>
      <c r="D18" s="24">
        <f>'balance_raw_22460218'!$D$12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'balance_raw_22460218'!$F$24</f>
        <v/>
      </c>
      <c r="C19" s="24">
        <f>'balance_raw_22460218'!$E$24</f>
        <v/>
      </c>
      <c r="D19" s="24">
        <f>'balance_raw_22460218'!$D$24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'balance_raw_22460218'!$F$32</f>
        <v/>
      </c>
      <c r="C22" s="24">
        <f>'balance_raw_22460218'!$E$32</f>
        <v/>
      </c>
      <c r="D22" s="24">
        <f>'balance_raw_22460218'!$D$32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'balance_raw_22460218'!$F$52-'balance_raw_22460218'!$F$32</f>
        <v/>
      </c>
      <c r="C23" s="24">
        <f>'balance_raw_22460218'!$E$52-'balance_raw_22460218'!$E$32</f>
        <v/>
      </c>
      <c r="D23" s="24">
        <f>'balance_raw_22460218'!$D$52-'balance_raw_22460218'!$D$32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'balance_raw_22460218'!$F$13</f>
        <v/>
      </c>
      <c r="C27" s="24">
        <f>'balance_raw_22460218'!$E$13</f>
        <v/>
      </c>
      <c r="D27" s="24">
        <f>'balance_raw_22460218'!$D$13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'balance_raw_22460218'!$F$14</f>
        <v/>
      </c>
      <c r="C28" s="24">
        <f>'balance_raw_22460218'!$E$14</f>
        <v/>
      </c>
      <c r="D28" s="24">
        <f>'balance_raw_22460218'!$D$14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'balance_raw_22460218'!$F$50</f>
        <v/>
      </c>
      <c r="C29" s="24">
        <f>'balance_raw_22460218'!$E$50</f>
        <v/>
      </c>
      <c r="D29" s="24">
        <f>'balance_raw_22460218'!$D$50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IF('balance_raw_22460218'!$F$25="","—",IF(ABS(B20-'balance_raw_22460218'!$F$25)&lt;=1,"✓ OK","❌ "&amp;TEXT(B20-'balance_raw_22460218'!$F$25,"+#,##0;-#,##0")&amp;" t.USD"))</f>
        <v/>
      </c>
      <c r="C60" s="29">
        <f>IF('balance_raw_22460218'!$E$25="","—",IF(ABS(C20-'balance_raw_22460218'!$E$25)&lt;=1,"✓ OK","❌ "&amp;TEXT(C20-'balance_raw_22460218'!$E$25,"+#,##0;-#,##0")&amp;" t.USD"))</f>
        <v/>
      </c>
      <c r="D60" s="29">
        <f>IF('balance_raw_22460218'!$D$25="","—",IF(ABS(D20-'balance_raw_22460218'!$D$25)&lt;=1,"✓ OK","❌ "&amp;TEXT(D20-'balance_raw_22460218'!$D$25,"+#,##0;-#,##0")&amp;" t.USD"))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IF('balance_raw_22460218'!$F$52="","—",IF(ABS(B24-'balance_raw_22460218'!$F$52)&lt;=1,"✓ OK","❌ "&amp;TEXT(B24-'balance_raw_22460218'!$F$52,"+#,##0;-#,##0")&amp;" t.USD"))</f>
        <v/>
      </c>
      <c r="C61" s="29">
        <f>IF('balance_raw_22460218'!$E$52="","—",IF(ABS(C24-'balance_raw_22460218'!$E$52)&lt;=1,"✓ OK","❌ "&amp;TEXT(C24-'balance_raw_22460218'!$E$52,"+#,##0;-#,##0")&amp;" t.USD"))</f>
        <v/>
      </c>
      <c r="D61" s="29">
        <f>IF('balance_raw_22460218'!$D$52="","—",IF(ABS(D24-'balance_raw_22460218'!$D$52)&lt;=1,"✓ OK","❌ "&amp;TEXT(D24-'balance_raw_22460218'!$D$52,"+#,##0;-#,##0")&amp;" t.USD"))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t.USD")</f>
        <v/>
      </c>
      <c r="C62" s="29">
        <f>IF(ABS(C20-C24)&lt;=1,"✓ OK","❌ "&amp;TEXT(C20-C24,"+#,##0;-#,##0")&amp;" t.USD")</f>
        <v/>
      </c>
      <c r="D62" s="29">
        <f>IF(ABS(D20-D24)&lt;=1,"✓ OK","❌ "&amp;TEXT(D20-D24,"+#,##0;-#,##0")&amp;" t.USD")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IF('res_raw_22460218'!$F$4="","—",IF(ABS(B7-'res_raw_22460218'!$F$4)&lt;=1,"✓ OK","❌ "&amp;TEXT(B7-'res_raw_22460218'!$F$4,"+#,##0;-#,##0")&amp;" t.USD"))</f>
        <v/>
      </c>
      <c r="C63" s="29">
        <f>IF('res_raw_22460218'!$E$4="","—",IF(ABS(C7-'res_raw_22460218'!$E$4)&lt;=1,"✓ OK","❌ "&amp;TEXT(C7-'res_raw_22460218'!$E$4,"+#,##0;-#,##0")&amp;" t.USD"))</f>
        <v/>
      </c>
      <c r="D63" s="29">
        <f>IF('res_raw_22460218'!$D$4="","—",IF(ABS(D7-'res_raw_22460218'!$D$4)&lt;=1,"✓ OK","❌ "&amp;TEXT(D7-'res_raw_22460218'!$D$4,"+#,##0;-#,##0")&amp;" t.USD"))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IF('res_raw_22460218'!$F$9="","—",IF(ABS(B12-'res_raw_22460218'!$F$9)&lt;=1,"✓ OK","❌ "&amp;TEXT(B12-'res_raw_22460218'!$F$9,"+#,##0;-#,##0")&amp;" t.USD"))</f>
        <v/>
      </c>
      <c r="C64" s="29">
        <f>IF('res_raw_22460218'!$E$9="","—",IF(ABS(C12-'res_raw_22460218'!$E$9)&lt;=1,"✓ OK","❌ "&amp;TEXT(C12-'res_raw_22460218'!$E$9,"+#,##0;-#,##0")&amp;" t.USD"))</f>
        <v/>
      </c>
      <c r="D64" s="29">
        <f>IF('res_raw_22460218'!$D$9="","—",IF(ABS(D12-'res_raw_22460218'!$D$9)&lt;=1,"✓ OK","❌ "&amp;TEXT(D12-'res_raw_22460218'!$D$9,"+#,##0;-#,##0")&amp;" t.USD"))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IF('res_raw_22460218'!$F$14="","—",IF(ABS(B15-'res_raw_22460218'!$F$14)&lt;=1,"✓ OK","❌ "&amp;TEXT(B15-'res_raw_22460218'!$F$14,"+#,##0;-#,##0")&amp;" t.USD"))</f>
        <v/>
      </c>
      <c r="C65" s="29">
        <f>IF('res_raw_22460218'!$E$14="","—",IF(ABS(C15-'res_raw_22460218'!$E$14)&lt;=1,"✓ OK","❌ "&amp;TEXT(C15-'res_raw_22460218'!$E$14,"+#,##0;-#,##0")&amp;" t.USD"))</f>
        <v/>
      </c>
      <c r="D65" s="29">
        <f>IF('res_raw_22460218'!$D$14="","—",IF(ABS(D15-'res_raw_22460218'!$D$14)&lt;=1,"✓ OK","❌ "&amp;TEXT(D15-'res_raw_22460218'!$D$14,"+#,##0;-#,##0")&amp;" t.USD"))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TORM A/S (CVR 22460218)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fsa:Dividend</t>
        </is>
      </c>
      <c r="C3" s="34" t="inlineStr">
        <is>
          <t>fsa:Dividend</t>
        </is>
      </c>
      <c r="D3" s="35" t="n"/>
      <c r="E3" s="35" t="n"/>
      <c r="F3" s="35" t="n">
        <v>117125</v>
      </c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fsa:HedgeFund</t>
        </is>
      </c>
      <c r="C4" s="37" t="inlineStr">
        <is>
          <t>fsa:HedgeFund</t>
        </is>
      </c>
      <c r="D4" s="38" t="n">
        <v>-1534</v>
      </c>
      <c r="E4" s="38" t="n">
        <v>386</v>
      </c>
      <c r="F4" s="38" t="n">
        <v>45</v>
      </c>
      <c r="G4" s="38" t="n">
        <v>-2172</v>
      </c>
      <c r="H4" s="38" t="n">
        <v>784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fsa:IncomeFromInvestmentsInParticipatingInterests</t>
        </is>
      </c>
      <c r="C5" s="34" t="inlineStr">
        <is>
          <t>fsa:IncomeFromInvestmentsInParticipatingInterests</t>
        </is>
      </c>
      <c r="D5" s="35" t="n">
        <v>-104</v>
      </c>
      <c r="E5" s="35" t="n">
        <v>153</v>
      </c>
      <c r="F5" s="35" t="n">
        <v>0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fsa:LongtermParticipatingInterests</t>
        </is>
      </c>
      <c r="C6" s="37" t="inlineStr">
        <is>
          <t>fsa:LongtermParticipatingInterests</t>
        </is>
      </c>
      <c r="D6" s="38" t="n">
        <v>1473</v>
      </c>
      <c r="E6" s="38" t="n">
        <v>76</v>
      </c>
      <c r="F6" s="38" t="n">
        <v>76</v>
      </c>
      <c r="G6" s="38" t="n">
        <v>76</v>
      </c>
      <c r="H6" s="38" t="n">
        <v>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fsa:LongtermTaxPayables</t>
        </is>
      </c>
      <c r="C7" s="34" t="inlineStr">
        <is>
          <t>fsa:LongtermTaxPayables</t>
        </is>
      </c>
      <c r="D7" s="35" t="n">
        <v>45176</v>
      </c>
      <c r="E7" s="35" t="n">
        <v>45176</v>
      </c>
      <c r="F7" s="35" t="n">
        <v>45176</v>
      </c>
      <c r="G7" s="35" t="n">
        <v>45176</v>
      </c>
      <c r="H7" s="35" t="n">
        <v>45176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fsa:Ships</t>
        </is>
      </c>
      <c r="C8" s="37" t="inlineStr">
        <is>
          <t>fsa:Ships</t>
        </is>
      </c>
      <c r="D8" s="38" t="n">
        <v>1643951</v>
      </c>
      <c r="E8" s="38" t="n">
        <v>1614144</v>
      </c>
      <c r="F8" s="38" t="n">
        <v>1693485</v>
      </c>
      <c r="G8" s="38" t="n">
        <v>1629904</v>
      </c>
      <c r="H8" s="38" t="n">
        <v>1388275</v>
      </c>
      <c r="I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2026-09-11T07:38:16Z</dcterms:created>
  <dcterms:modified xmlns:dcterms="http://purl.org/dc/terms/" xmlns:xsi="http://www.w3.org/2001/XMLSchema-instance" xsi:type="dcterms:W3CDTF">2026-09-11T07:38:16Z</dcterms:modified>
</cp:coreProperties>
</file>