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TORM A/S (CVR 22460218) — 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t.USD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t.USD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'balance_raw_22460218'!$B$33</f>
        <v/>
      </c>
      <c r="C54" s="8">
        <f>'balance_raw_22460218'!$C$33</f>
        <v/>
      </c>
      <c r="D54" s="8">
        <f>'balance_raw_22460218'!$D$33</f>
        <v/>
      </c>
      <c r="E54" s="8">
        <f>'balance_raw_22460218'!$E$33</f>
        <v/>
      </c>
      <c r="F54" s="8">
        <f>'balance_raw_22460218'!$F$33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'balance_raw_22460218'!$B$34</f>
        <v/>
      </c>
      <c r="C55" s="11">
        <f>'balance_raw_22460218'!$C$34</f>
        <v/>
      </c>
      <c r="D55" s="11">
        <f>'balance_raw_22460218'!$D$34</f>
        <v/>
      </c>
      <c r="E55" s="11">
        <f>'balance_raw_22460218'!$E$34</f>
        <v/>
      </c>
      <c r="F55" s="11">
        <f>'balance_raw_22460218'!$F$34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'balance_raw_22460218'!$B$38</f>
        <v/>
      </c>
      <c r="C59" s="8">
        <f>'balance_raw_22460218'!$C$38</f>
        <v/>
      </c>
      <c r="D59" s="8">
        <f>'balance_raw_22460218'!$D$38</f>
        <v/>
      </c>
      <c r="E59" s="8">
        <f>'balance_raw_22460218'!$E$38</f>
        <v/>
      </c>
      <c r="F59" s="8">
        <f>'balance_raw_22460218'!$F$38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'balance_raw_22460218'!$B$39</f>
        <v/>
      </c>
      <c r="C60" s="5">
        <f>'balance_raw_22460218'!$C$39</f>
        <v/>
      </c>
      <c r="D60" s="5">
        <f>'balance_raw_22460218'!$D$39</f>
        <v/>
      </c>
      <c r="E60" s="5">
        <f>'balance_raw_22460218'!$E$39</f>
        <v/>
      </c>
      <c r="F60" s="5">
        <f>'balance_raw_22460218'!$F$39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'balance_raw_22460218'!$B$50</f>
        <v/>
      </c>
      <c r="C71" s="8">
        <f>'balance_raw_22460218'!$C$50</f>
        <v/>
      </c>
      <c r="D71" s="8">
        <f>'balance_raw_22460218'!$D$50</f>
        <v/>
      </c>
      <c r="E71" s="8">
        <f>'balance_raw_22460218'!$E$50</f>
        <v/>
      </c>
      <c r="F71" s="8">
        <f>'balance_raw_22460218'!$F$50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'res_raw_22460218'!$B$17</f>
        <v/>
      </c>
      <c r="C76" s="5">
        <f>'res_raw_22460218'!$C$17</f>
        <v/>
      </c>
      <c r="D76" s="5">
        <f>'res_raw_22460218'!$D$17</f>
        <v/>
      </c>
      <c r="E76" s="5">
        <f>'res_raw_22460218'!$E$17</f>
        <v/>
      </c>
      <c r="F76" s="5">
        <f>'res_raw_22460218'!$F$17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IFERROR(($B$11+$B$13+$B$12)/$B$44*100,"")</f>
        <v/>
      </c>
      <c r="C80" s="13">
        <f>IFERROR(($C$11+$C$13+$C$12)/$C$44*100,"")</f>
        <v/>
      </c>
      <c r="D80" s="13">
        <f>IFERROR(($D$11+$D$13+$D$12)/$D$44*100,"")</f>
        <v/>
      </c>
      <c r="E80" s="13">
        <f>IFERROR(($E$11+$E$13+$E$12)/$E$44*100,"")</f>
        <v/>
      </c>
      <c r="F80" s="13">
        <f>IFERROR(($F$11+$F$13+$F$12)/$F$44*100,"")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IFERROR($B$4/$B$44,"")</f>
        <v/>
      </c>
      <c r="C82" s="13">
        <f>IFERROR($C$4/$C$44,"")</f>
        <v/>
      </c>
      <c r="D82" s="13">
        <f>IFERROR($D$4/$D$44,"")</f>
        <v/>
      </c>
      <c r="E82" s="13">
        <f>IFERROR($E$4/$E$44,"")</f>
        <v/>
      </c>
      <c r="F82" s="13">
        <f>IFERROR($F$4/$F$44,"")</f>
        <v/>
      </c>
    </row>
    <row r="83" ht="16" customHeight="1">
      <c r="A83" s="10" t="inlineStr">
        <is>
          <t>Egenkapitalens forrentning, %</t>
        </is>
      </c>
      <c r="B83" s="14">
        <f>IFERROR($B$16/$B$53*100,"")</f>
        <v/>
      </c>
      <c r="C83" s="14">
        <f>IFERROR($C$16/$C$53*100,"")</f>
        <v/>
      </c>
      <c r="D83" s="14">
        <f>IFERROR($D$16/$D$53*100,"")</f>
        <v/>
      </c>
      <c r="E83" s="14">
        <f>IFERROR($E$16/$E$53*100,"")</f>
        <v/>
      </c>
      <c r="F83" s="14">
        <f>IFERROR($F$16/$F$53*100,"")</f>
        <v/>
      </c>
    </row>
    <row r="84" ht="16" customHeight="1">
      <c r="A84" s="4" t="inlineStr">
        <is>
          <t>Gældsrente, %</t>
        </is>
      </c>
      <c r="B84" s="13">
        <f>IFERROR($B$14/($B$73-$B$53)*100,"")</f>
        <v/>
      </c>
      <c r="C84" s="13">
        <f>IFERROR($C$14/($C$73-$C$53)*100,"")</f>
        <v/>
      </c>
      <c r="D84" s="13">
        <f>IFERROR($D$14/($D$73-$D$53)*100,"")</f>
        <v/>
      </c>
      <c r="E84" s="13">
        <f>IFERROR($E$14/($E$73-$E$53)*100,"")</f>
        <v/>
      </c>
      <c r="F84" s="13">
        <f>IFERROR($F$14/($F$73-$F$53)*100,"")</f>
        <v/>
      </c>
    </row>
    <row r="85" ht="16" customHeight="1">
      <c r="A85" s="10" t="inlineStr">
        <is>
          <t>Soliditetsgrad, %</t>
        </is>
      </c>
      <c r="B85" s="14">
        <f>IFERROR($B$53/$B$44*100,"")</f>
        <v/>
      </c>
      <c r="C85" s="14">
        <f>IFERROR($C$53/$C$44*100,"")</f>
        <v/>
      </c>
      <c r="D85" s="14">
        <f>IFERROR($D$53/$D$44*100,"")</f>
        <v/>
      </c>
      <c r="E85" s="14">
        <f>IFERROR($E$53/$E$44*100,"")</f>
        <v/>
      </c>
      <c r="F85" s="14">
        <f>IFERROR($F$53/$F$44*100,"")</f>
        <v/>
      </c>
    </row>
    <row r="86" ht="16" customHeight="1">
      <c r="A86" s="4" t="inlineStr">
        <is>
          <t>Gearing</t>
        </is>
      </c>
      <c r="B86" s="13">
        <f>IFERROR(($B$73-$B$53)/$B$53,"")</f>
        <v/>
      </c>
      <c r="C86" s="13">
        <f>IFERROR(($C$73-$C$53)/$C$53,"")</f>
        <v/>
      </c>
      <c r="D86" s="13">
        <f>IFERROR(($D$73-$D$53)/$D$53,"")</f>
        <v/>
      </c>
      <c r="E86" s="13">
        <f>IFERROR(($E$73-$E$53)/$E$53,"")</f>
        <v/>
      </c>
      <c r="F86" s="13">
        <f>IFERROR(($F$73-$F$53)/$F$53,"")</f>
        <v/>
      </c>
    </row>
    <row r="87" ht="16" customHeight="1">
      <c r="A87" s="10" t="inlineStr">
        <is>
          <t>Likviditetsgrad, %</t>
        </is>
      </c>
      <c r="B87" s="14">
        <f>IFERROR($B$43/$B$71*100,"")</f>
        <v/>
      </c>
      <c r="C87" s="14">
        <f>IFERROR($C$43/$C$71*100,"")</f>
        <v/>
      </c>
      <c r="D87" s="14">
        <f>IFERROR($D$43/$D$71*100,"")</f>
        <v/>
      </c>
      <c r="E87" s="14">
        <f>IFERROR($E$43/$E$71*100,"")</f>
        <v/>
      </c>
      <c r="F87" s="14">
        <f>IFERROR($F$43/$F$71*100,"")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IFERROR(($B$73-$B$53)/$B$44*100,"")</f>
        <v/>
      </c>
      <c r="C89" s="14">
        <f>IFERROR(($C$73-$C$53)/$C$44*100,"")</f>
        <v/>
      </c>
      <c r="D89" s="14">
        <f>IFERROR(($D$73-$D$53)/$D$44*100,"")</f>
        <v/>
      </c>
      <c r="E89" s="14">
        <f>IFERROR(($E$73-$E$53)/$E$44*100,"")</f>
        <v/>
      </c>
      <c r="F89" s="14">
        <f>IFERROR(($F$73-$F$53)/$F$44*100,"")</f>
        <v/>
      </c>
    </row>
    <row r="90" ht="16" customHeight="1">
      <c r="A90" s="4" t="inlineStr">
        <is>
          <t>Kapitalbindingsgrad, %</t>
        </is>
      </c>
      <c r="B90" s="13">
        <f>IFERROR($B$31/($B$53+$B$59)*100,"")</f>
        <v/>
      </c>
      <c r="C90" s="13">
        <f>IFERROR($C$31/($C$53+$C$59)*100,"")</f>
        <v/>
      </c>
      <c r="D90" s="13">
        <f>IFERROR($D$31/($D$53+$D$59)*100,"")</f>
        <v/>
      </c>
      <c r="E90" s="13">
        <f>IFERROR($E$31/($E$53+$E$59)*100,"")</f>
        <v/>
      </c>
      <c r="F90" s="13">
        <f>IFERROR($F$31/($F$53+$F$59)*100,"")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35023</v>
      </c>
      <c r="C6" s="16" t="n">
        <v>32837</v>
      </c>
      <c r="D6" s="16" t="n">
        <v>49579</v>
      </c>
      <c r="E6" s="16" t="n">
        <v>55899</v>
      </c>
      <c r="F6" s="16" t="n">
        <v>61070</v>
      </c>
    </row>
    <row r="7">
      <c r="A7" s="15" t="inlineStr">
        <is>
          <t>Andre driftsindtægter</t>
        </is>
      </c>
      <c r="B7" s="16" t="n">
        <v>625</v>
      </c>
      <c r="C7" s="16" t="n">
        <v>8214</v>
      </c>
      <c r="D7" s="16" t="n">
        <v>74521</v>
      </c>
      <c r="E7" s="16" t="n">
        <v>283840</v>
      </c>
      <c r="F7" s="16" t="n">
        <v>6728</v>
      </c>
    </row>
    <row r="8">
      <c r="A8" s="15" t="inlineStr">
        <is>
          <t>Andre driftsomkostninger</t>
        </is>
      </c>
      <c r="B8" s="16" t="n">
        <v>16704</v>
      </c>
      <c r="C8" s="16" t="n">
        <v>11325</v>
      </c>
      <c r="D8" s="16" t="n">
        <v>13655</v>
      </c>
      <c r="E8" s="16" t="n">
        <v>22257</v>
      </c>
      <c r="F8" s="16" t="n">
        <v>27099</v>
      </c>
    </row>
    <row r="9">
      <c r="A9" s="17" t="inlineStr">
        <is>
          <t>Resultat af primær drift</t>
        </is>
      </c>
      <c r="B9" s="16" t="n">
        <v>45000</v>
      </c>
      <c r="C9" s="16" t="n">
        <v>587000</v>
      </c>
      <c r="D9" s="16" t="n">
        <v>597072</v>
      </c>
      <c r="E9" s="16" t="n">
        <v>707220</v>
      </c>
      <c r="F9" s="16" t="n">
        <v>119221</v>
      </c>
    </row>
    <row r="10">
      <c r="A10" s="15" t="inlineStr">
        <is>
          <t>Indtægter af kapitalandele, dattervirksomheder</t>
        </is>
      </c>
      <c r="B10" s="16" t="n">
        <v>19054</v>
      </c>
      <c r="C10" s="16" t="n">
        <v>8129</v>
      </c>
      <c r="D10" s="16" t="n">
        <v>20515</v>
      </c>
      <c r="E10" s="16" t="n">
        <v>307852</v>
      </c>
      <c r="F10" s="16" t="n">
        <v>1017</v>
      </c>
    </row>
    <row r="11">
      <c r="A11" s="15" t="inlineStr">
        <is>
          <t>Finansielle indtægter</t>
        </is>
      </c>
      <c r="B11" s="16" t="n">
        <v>341</v>
      </c>
      <c r="C11" s="16" t="n">
        <v>5465</v>
      </c>
      <c r="D11" s="16" t="n">
        <v>34894</v>
      </c>
      <c r="E11" s="16" t="n">
        <v>15112</v>
      </c>
      <c r="F11" s="16" t="n">
        <v>10611</v>
      </c>
    </row>
    <row r="12">
      <c r="A12" s="15" t="inlineStr">
        <is>
          <t>Finansielle omkostninger</t>
        </is>
      </c>
      <c r="B12" s="16" t="n">
        <v>30762</v>
      </c>
      <c r="C12" s="16" t="n">
        <v>60184</v>
      </c>
      <c r="D12" s="16" t="n">
        <v>80959</v>
      </c>
      <c r="E12" s="16" t="n">
        <v>48160</v>
      </c>
      <c r="F12" s="16" t="n">
        <v>29531</v>
      </c>
    </row>
    <row r="13">
      <c r="A13" s="17" t="inlineStr">
        <is>
          <t>Finansielle poster, netto</t>
        </is>
      </c>
      <c r="B13" s="16" t="n">
        <v>-30000</v>
      </c>
      <c r="C13" s="16" t="n">
        <v>-55000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26406</v>
      </c>
      <c r="C14" s="16" t="n">
        <v>544685</v>
      </c>
      <c r="D14" s="16" t="n">
        <v>571522</v>
      </c>
      <c r="E14" s="16" t="n">
        <v>982024</v>
      </c>
      <c r="F14" s="16" t="n">
        <v>101318</v>
      </c>
    </row>
    <row r="15">
      <c r="A15" s="15" t="inlineStr">
        <is>
          <t>Skat af årets resultat</t>
        </is>
      </c>
      <c r="B15" s="16" t="n">
        <v>1193</v>
      </c>
      <c r="C15" s="16" t="n">
        <v>1087</v>
      </c>
      <c r="D15" s="16" t="n">
        <v>1351</v>
      </c>
      <c r="E15" s="16" t="n">
        <v>775</v>
      </c>
      <c r="F15" s="16" t="n">
        <v>1060</v>
      </c>
    </row>
    <row r="16">
      <c r="A16" s="17" t="inlineStr">
        <is>
          <t>Årets resultat</t>
        </is>
      </c>
      <c r="B16" s="16" t="n">
        <v>25213</v>
      </c>
      <c r="C16" s="16" t="n">
        <v>543598</v>
      </c>
      <c r="D16" s="16" t="n">
        <v>570171</v>
      </c>
      <c r="E16" s="16" t="n">
        <v>981249</v>
      </c>
      <c r="F16" s="16" t="n">
        <v>100258</v>
      </c>
    </row>
    <row r="17">
      <c r="A17" s="15" t="inlineStr">
        <is>
          <t>Gns. antal medarbejdere</t>
        </is>
      </c>
      <c r="B17" s="16" t="n">
        <v>243</v>
      </c>
      <c r="C17" s="16" t="n">
        <v>227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643000</v>
      </c>
      <c r="C18" s="16" t="n">
        <v>153000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TORM A/S (CVR 22460218) — 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'balance_raw_22460218'!$F$52-'balance_raw_22460218'!$F$32</f>
        <v/>
      </c>
      <c r="C23" s="24">
        <f>'balance_raw_22460218'!$E$52-'balance_raw_22460218'!$E$32</f>
        <v/>
      </c>
      <c r="D23" s="24">
        <f>'balance_raw_22460218'!$D$52-'balance_raw_22460218'!$D$32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'balance_raw_22460218'!$F$50</f>
        <v/>
      </c>
      <c r="C29" s="24">
        <f>'balance_raw_22460218'!$E$50</f>
        <v/>
      </c>
      <c r="D29" s="24">
        <f>'balance_raw_22460218'!$D$50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t.USD"))</f>
        <v/>
      </c>
      <c r="C60" s="29">
        <f>IF('balance_raw_22460218'!$E$25="","—",IF(ABS(C20-'balance_raw_22460218'!$E$25)&lt;=1,"✓ OK","❌ "&amp;TEXT(C20-'balance_raw_22460218'!$E$25,"+#,##0;-#,##0")&amp;" t.USD"))</f>
        <v/>
      </c>
      <c r="D60" s="29">
        <f>IF('balance_raw_22460218'!$D$25="","—",IF(ABS(D20-'balance_raw_22460218'!$D$25)&lt;=1,"✓ OK","❌ "&amp;TEXT(D20-'balance_raw_22460218'!$D$25,"+#,##0;-#,##0")&amp;" t.USD"))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IF('balance_raw_22460218'!$F$52="","—",IF(ABS(B24-'balance_raw_22460218'!$F$52)&lt;=1,"✓ OK","❌ "&amp;TEXT(B24-'balance_raw_22460218'!$F$52,"+#,##0;-#,##0")&amp;" t.USD"))</f>
        <v/>
      </c>
      <c r="C61" s="29">
        <f>IF('balance_raw_22460218'!$E$52="","—",IF(ABS(C24-'balance_raw_22460218'!$E$52)&lt;=1,"✓ OK","❌ "&amp;TEXT(C24-'balance_raw_22460218'!$E$52,"+#,##0;-#,##0")&amp;" t.USD"))</f>
        <v/>
      </c>
      <c r="D61" s="29">
        <f>IF('balance_raw_22460218'!$D$52="","—",IF(ABS(D24-'balance_raw_22460218'!$D$52)&lt;=1,"✓ OK","❌ "&amp;TEXT(D24-'balance_raw_22460218'!$D$52,"+#,##0;-#,##0")&amp;" t.USD"))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t.USD")</f>
        <v/>
      </c>
      <c r="C62" s="29">
        <f>IF(ABS(C20-C24)&lt;=1,"✓ OK","❌ "&amp;TEXT(C20-C24,"+#,##0;-#,##0")&amp;" t.USD")</f>
        <v/>
      </c>
      <c r="D62" s="29">
        <f>IF(ABS(D20-D24)&lt;=1,"✓ OK","❌ "&amp;TEXT(D20-D24,"+#,##0;-#,##0")&amp;" t.USD")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t.USD"))</f>
        <v/>
      </c>
      <c r="C63" s="29">
        <f>IF('res_raw_22460218'!$E$4="","—",IF(ABS(C7-'res_raw_22460218'!$E$4)&lt;=1,"✓ OK","❌ "&amp;TEXT(C7-'res_raw_22460218'!$E$4,"+#,##0;-#,##0")&amp;" t.USD"))</f>
        <v/>
      </c>
      <c r="D63" s="29">
        <f>IF('res_raw_22460218'!$D$4="","—",IF(ABS(D7-'res_raw_22460218'!$D$4)&lt;=1,"✓ OK","❌ "&amp;TEXT(D7-'res_raw_22460218'!$D$4,"+#,##0;-#,##0")&amp;" t.USD"))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t.USD"))</f>
        <v/>
      </c>
      <c r="C64" s="29">
        <f>IF('res_raw_22460218'!$E$9="","—",IF(ABS(C12-'res_raw_22460218'!$E$9)&lt;=1,"✓ OK","❌ "&amp;TEXT(C12-'res_raw_22460218'!$E$9,"+#,##0;-#,##0")&amp;" t.USD"))</f>
        <v/>
      </c>
      <c r="D64" s="29">
        <f>IF('res_raw_22460218'!$D$9="","—",IF(ABS(D12-'res_raw_22460218'!$D$9)&lt;=1,"✓ OK","❌ "&amp;TEXT(D12-'res_raw_22460218'!$D$9,"+#,##0;-#,##0")&amp;" t.USD"))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t.USD"))</f>
        <v/>
      </c>
      <c r="C65" s="29">
        <f>IF('res_raw_22460218'!$E$14="","—",IF(ABS(C15-'res_raw_22460218'!$E$14)&lt;=1,"✓ OK","❌ "&amp;TEXT(C15-'res_raw_22460218'!$E$14,"+#,##0;-#,##0")&amp;" t.USD"))</f>
        <v/>
      </c>
      <c r="D65" s="29">
        <f>IF('res_raw_22460218'!$D$14="","—",IF(ABS(D15-'res_raw_22460218'!$D$14)&lt;=1,"✓ OK","❌ "&amp;TEXT(D15-'res_raw_22460218'!$D$14,"+#,##0;-#,##0")&amp;" t.USD"))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TORM A/S (CVR 22460218)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117125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>
        <v>-1534</v>
      </c>
      <c r="E4" s="38" t="n">
        <v>386</v>
      </c>
      <c r="F4" s="38" t="n">
        <v>45</v>
      </c>
      <c r="G4" s="38" t="n">
        <v>-2172</v>
      </c>
      <c r="H4" s="38" t="n">
        <v>784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-104</v>
      </c>
      <c r="E5" s="35" t="n">
        <v>153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>
        <v>1473</v>
      </c>
      <c r="E6" s="38" t="n">
        <v>76</v>
      </c>
      <c r="F6" s="38" t="n">
        <v>76</v>
      </c>
      <c r="G6" s="38" t="n">
        <v>76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</t>
        </is>
      </c>
      <c r="C7" s="34" t="inlineStr">
        <is>
          <t>fsa:LongtermTaxPayables</t>
        </is>
      </c>
      <c r="D7" s="35" t="n">
        <v>45176</v>
      </c>
      <c r="E7" s="35" t="n">
        <v>45176</v>
      </c>
      <c r="F7" s="35" t="n">
        <v>45176</v>
      </c>
      <c r="G7" s="35" t="n">
        <v>45176</v>
      </c>
      <c r="H7" s="35" t="n">
        <v>45176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fsa:Ships</t>
        </is>
      </c>
      <c r="C8" s="37" t="inlineStr">
        <is>
          <t>fsa:Ships</t>
        </is>
      </c>
      <c r="D8" s="38" t="n">
        <v>1643951</v>
      </c>
      <c r="E8" s="38" t="n">
        <v>1614144</v>
      </c>
      <c r="F8" s="38" t="n">
        <v>1693485</v>
      </c>
      <c r="G8" s="38" t="n">
        <v>1629904</v>
      </c>
      <c r="H8" s="38" t="n">
        <v>1388275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2026-09-10T15:36:15Z</dcterms:created>
  <dcterms:modified xmlns:dcterms="http://purl.org/dc/terms/" xmlns:xsi="http://www.w3.org/2001/XMLSchema-instance" xsi:type="dcterms:W3CDTF">2026-09-10T15:36:15Z</dcterms:modified>
</cp:coreProperties>
</file>