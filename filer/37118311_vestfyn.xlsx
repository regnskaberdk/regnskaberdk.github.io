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'balance_raw_37118311'!$B$5</f>
        <v/>
      </c>
      <c r="C24" s="8">
        <f>'balance_raw_37118311'!$C$5</f>
        <v/>
      </c>
      <c r="D24" s="8">
        <f>'balance_raw_37118311'!$D$5</f>
        <v/>
      </c>
      <c r="E24" s="8">
        <f>'balance_raw_37118311'!$E$5</f>
        <v/>
      </c>
      <c r="F24" s="8">
        <f>'balance_raw_37118311'!$F$5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'balance_raw_37118311'!$B$7</f>
        <v/>
      </c>
      <c r="C26" s="5">
        <f>'balance_raw_37118311'!$C$7</f>
        <v/>
      </c>
      <c r="D26" s="5">
        <f>'balance_raw_37118311'!$D$7</f>
        <v/>
      </c>
      <c r="E26" s="5">
        <f>'balance_raw_37118311'!$E$7</f>
        <v/>
      </c>
      <c r="F26" s="5">
        <f>'balance_raw_37118311'!$F$7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'balance_raw_37118311'!$B$10</f>
        <v/>
      </c>
      <c r="C29" s="11">
        <f>'balance_raw_37118311'!$C$10</f>
        <v/>
      </c>
      <c r="D29" s="11">
        <f>'balance_raw_37118311'!$D$10</f>
        <v/>
      </c>
      <c r="E29" s="11">
        <f>'balance_raw_37118311'!$E$10</f>
        <v/>
      </c>
      <c r="F29" s="11">
        <f>'balance_raw_37118311'!$F$10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'balance_raw_37118311'!$B$14</f>
        <v/>
      </c>
      <c r="C33" s="8">
        <f>'balance_raw_37118311'!$C$14</f>
        <v/>
      </c>
      <c r="D33" s="8">
        <f>'balance_raw_37118311'!$D$14</f>
        <v/>
      </c>
      <c r="E33" s="8">
        <f>'balance_raw_37118311'!$E$14</f>
        <v/>
      </c>
      <c r="F33" s="8">
        <f>'balance_raw_37118311'!$F$14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'balance_raw_37118311'!$B$19</f>
        <v/>
      </c>
      <c r="C38" s="8">
        <f>'balance_raw_37118311'!$C$19</f>
        <v/>
      </c>
      <c r="D38" s="8">
        <f>'balance_raw_37118311'!$D$19</f>
        <v/>
      </c>
      <c r="E38" s="8">
        <f>'balance_raw_37118311'!$E$19</f>
        <v/>
      </c>
      <c r="F38" s="8">
        <f>'balance_raw_37118311'!$F$19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'balance_raw_37118311'!$B$23</f>
        <v/>
      </c>
      <c r="C42" s="5">
        <f>'balance_raw_37118311'!$C$23</f>
        <v/>
      </c>
      <c r="D42" s="5">
        <f>'balance_raw_37118311'!$D$23</f>
        <v/>
      </c>
      <c r="E42" s="5">
        <f>'balance_raw_37118311'!$E$23</f>
        <v/>
      </c>
      <c r="F42" s="5">
        <f>'balance_raw_37118311'!$F$23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'balance_raw_37118311'!$B$26</f>
        <v/>
      </c>
      <c r="C45" s="11">
        <f>'balance_raw_37118311'!$C$26</f>
        <v/>
      </c>
      <c r="D45" s="11">
        <f>'balance_raw_37118311'!$D$26</f>
        <v/>
      </c>
      <c r="E45" s="11">
        <f>'balance_raw_37118311'!$E$26</f>
        <v/>
      </c>
      <c r="F45" s="11">
        <f>'balance_raw_37118311'!$F$26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'balance_raw_37118311'!$B$28</f>
        <v/>
      </c>
      <c r="C47" s="11">
        <f>'balance_raw_37118311'!$C$28</f>
        <v/>
      </c>
      <c r="D47" s="11">
        <f>'balance_raw_37118311'!$D$28</f>
        <v/>
      </c>
      <c r="E47" s="11">
        <f>'balance_raw_37118311'!$E$28</f>
        <v/>
      </c>
      <c r="F47" s="11">
        <f>'balance_raw_37118311'!$F$28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'balance_raw_37118311'!$B$29</f>
        <v/>
      </c>
      <c r="C48" s="5">
        <f>'balance_raw_37118311'!$C$29</f>
        <v/>
      </c>
      <c r="D48" s="5">
        <f>'balance_raw_37118311'!$D$29</f>
        <v/>
      </c>
      <c r="E48" s="5">
        <f>'balance_raw_37118311'!$E$29</f>
        <v/>
      </c>
      <c r="F48" s="5">
        <f>'balance_raw_37118311'!$F$29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'balance_raw_37118311'!$B$30</f>
        <v/>
      </c>
      <c r="C49" s="8">
        <f>'balance_raw_37118311'!$C$30</f>
        <v/>
      </c>
      <c r="D49" s="8">
        <f>'balance_raw_37118311'!$D$30</f>
        <v/>
      </c>
      <c r="E49" s="8">
        <f>'balance_raw_37118311'!$E$30</f>
        <v/>
      </c>
      <c r="F49" s="8">
        <f>'balance_raw_37118311'!$F$30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'balance_raw_37118311'!$B$31</f>
        <v/>
      </c>
      <c r="C50" s="8">
        <f>'balance_raw_37118311'!$C$31</f>
        <v/>
      </c>
      <c r="D50" s="8">
        <f>'balance_raw_37118311'!$D$31</f>
        <v/>
      </c>
      <c r="E50" s="8">
        <f>'balance_raw_37118311'!$E$31</f>
        <v/>
      </c>
      <c r="F50" s="8">
        <f>'balance_raw_37118311'!$F$31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'balance_raw_37118311'!$B$34</f>
        <v/>
      </c>
      <c r="C55" s="11">
        <f>'balance_raw_37118311'!$C$34</f>
        <v/>
      </c>
      <c r="D55" s="11">
        <f>'balance_raw_37118311'!$D$34</f>
        <v/>
      </c>
      <c r="E55" s="11">
        <f>'balance_raw_37118311'!$E$34</f>
        <v/>
      </c>
      <c r="F55" s="11">
        <f>'balance_raw_37118311'!$F$34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'balance_raw_37118311'!$B$36</f>
        <v/>
      </c>
      <c r="C57" s="11">
        <f>'balance_raw_37118311'!$C$36</f>
        <v/>
      </c>
      <c r="D57" s="11">
        <f>'balance_raw_37118311'!$D$36</f>
        <v/>
      </c>
      <c r="E57" s="11">
        <f>'balance_raw_37118311'!$E$36</f>
        <v/>
      </c>
      <c r="F57" s="11">
        <f>'balance_raw_37118311'!$F$36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'balance_raw_37118311'!$B$38</f>
        <v/>
      </c>
      <c r="C59" s="8">
        <f>'balance_raw_37118311'!$C$38</f>
        <v/>
      </c>
      <c r="D59" s="8">
        <f>'balance_raw_37118311'!$D$38</f>
        <v/>
      </c>
      <c r="E59" s="8">
        <f>'balance_raw_37118311'!$E$38</f>
        <v/>
      </c>
      <c r="F59" s="8">
        <f>'balance_raw_37118311'!$F$38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'balance_raw_37118311'!$B$40</f>
        <v/>
      </c>
      <c r="C61" s="8">
        <f>'balance_raw_37118311'!$C$40</f>
        <v/>
      </c>
      <c r="D61" s="8">
        <f>'balance_raw_37118311'!$D$40</f>
        <v/>
      </c>
      <c r="E61" s="8">
        <f>'balance_raw_37118311'!$E$40</f>
        <v/>
      </c>
      <c r="F61" s="8">
        <f>'balance_raw_37118311'!$F$40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'balance_raw_37118311'!$B$41</f>
        <v/>
      </c>
      <c r="C62" s="5">
        <f>'balance_raw_37118311'!$C$41</f>
        <v/>
      </c>
      <c r="D62" s="5">
        <f>'balance_raw_37118311'!$D$41</f>
        <v/>
      </c>
      <c r="E62" s="5">
        <f>'balance_raw_37118311'!$E$41</f>
        <v/>
      </c>
      <c r="F62" s="5">
        <f>'balance_raw_37118311'!$F$41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'balance_raw_37118311'!$B$45</f>
        <v/>
      </c>
      <c r="C66" s="8">
        <f>'balance_raw_37118311'!$C$45</f>
        <v/>
      </c>
      <c r="D66" s="8">
        <f>'balance_raw_37118311'!$D$45</f>
        <v/>
      </c>
      <c r="E66" s="8">
        <f>'balance_raw_37118311'!$E$45</f>
        <v/>
      </c>
      <c r="F66" s="8">
        <f>'balance_raw_37118311'!$F$45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'balance_raw_37118311'!$B$53</f>
        <v/>
      </c>
      <c r="C74" s="5">
        <f>'balance_raw_37118311'!$C$53</f>
        <v/>
      </c>
      <c r="D74" s="5">
        <f>'balance_raw_37118311'!$D$53</f>
        <v/>
      </c>
      <c r="E74" s="5">
        <f>'balance_raw_37118311'!$E$53</f>
        <v/>
      </c>
      <c r="F74" s="5">
        <f>'balance_raw_37118311'!$F$53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'balance_raw_37118311'!$B$54</f>
        <v/>
      </c>
      <c r="C75" s="11">
        <f>'balance_raw_37118311'!$C$54</f>
        <v/>
      </c>
      <c r="D75" s="11">
        <f>'balance_raw_37118311'!$D$54</f>
        <v/>
      </c>
      <c r="E75" s="11">
        <f>'balance_raw_37118311'!$E$54</f>
        <v/>
      </c>
      <c r="F75" s="11">
        <f>'balance_raw_37118311'!$F$54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'balance_raw_37118311'!$B$55</f>
        <v/>
      </c>
      <c r="C76" s="5">
        <f>'balance_raw_37118311'!$C$55</f>
        <v/>
      </c>
      <c r="D76" s="5">
        <f>'balance_raw_37118311'!$D$55</f>
        <v/>
      </c>
      <c r="E76" s="5">
        <f>'balance_raw_37118311'!$E$55</f>
        <v/>
      </c>
      <c r="F76" s="5">
        <f>'balance_raw_37118311'!$F$55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'balance_raw_37118311'!$B$56</f>
        <v/>
      </c>
      <c r="C77" s="11">
        <f>'balance_raw_37118311'!$C$56</f>
        <v/>
      </c>
      <c r="D77" s="11">
        <f>'balance_raw_37118311'!$D$56</f>
        <v/>
      </c>
      <c r="E77" s="11">
        <f>'balance_raw_37118311'!$E$56</f>
        <v/>
      </c>
      <c r="F77" s="11">
        <f>'balance_raw_37118311'!$F$56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'balance_raw_37118311'!$B$57</f>
        <v/>
      </c>
      <c r="C78" s="8">
        <f>'balance_raw_37118311'!$C$57</f>
        <v/>
      </c>
      <c r="D78" s="8">
        <f>'balance_raw_37118311'!$D$57</f>
        <v/>
      </c>
      <c r="E78" s="8">
        <f>'balance_raw_37118311'!$E$57</f>
        <v/>
      </c>
      <c r="F78" s="8">
        <f>'balance_raw_37118311'!$F$57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'balance_raw_37118311'!$B$58</f>
        <v/>
      </c>
      <c r="C79" s="8">
        <f>'balance_raw_37118311'!$C$58</f>
        <v/>
      </c>
      <c r="D79" s="8">
        <f>'balance_raw_37118311'!$D$58</f>
        <v/>
      </c>
      <c r="E79" s="8">
        <f>'balance_raw_37118311'!$E$58</f>
        <v/>
      </c>
      <c r="F79" s="8">
        <f>'balance_raw_37118311'!$F$58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'balance_raw_37118311'!$B$59</f>
        <v/>
      </c>
      <c r="C80" s="8">
        <f>'balance_raw_37118311'!$C$59</f>
        <v/>
      </c>
      <c r="D80" s="8">
        <f>'balance_raw_37118311'!$D$59</f>
        <v/>
      </c>
      <c r="E80" s="8">
        <f>'balance_raw_37118311'!$E$59</f>
        <v/>
      </c>
      <c r="F80" s="8">
        <f>'balance_raw_37118311'!$F$59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'res_raw_37118311'!$B$17</f>
        <v/>
      </c>
      <c r="C83" s="11">
        <f>'res_raw_37118311'!$C$17</f>
        <v/>
      </c>
      <c r="D83" s="11">
        <f>'res_raw_37118311'!$D$17</f>
        <v/>
      </c>
      <c r="E83" s="11">
        <f>'res_raw_37118311'!$E$17</f>
        <v/>
      </c>
      <c r="F83" s="11">
        <f>'res_raw_37118311'!$F$17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'res_raw_37118311'!$B$18</f>
        <v/>
      </c>
      <c r="C84" s="5">
        <f>'res_raw_37118311'!$C$18</f>
        <v/>
      </c>
      <c r="D84" s="5">
        <f>'res_raw_37118311'!$D$18</f>
        <v/>
      </c>
      <c r="E84" s="5">
        <f>'res_raw_37118311'!$E$18</f>
        <v/>
      </c>
      <c r="F84" s="5">
        <f>'res_raw_37118311'!$F$18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189928</v>
      </c>
      <c r="C2" s="16" t="n">
        <v>238338</v>
      </c>
      <c r="D2" s="16" t="n">
        <v>182756</v>
      </c>
      <c r="E2" s="16" t="n">
        <v>190302</v>
      </c>
      <c r="F2" s="16" t="n">
        <v>163922</v>
      </c>
    </row>
    <row r="3">
      <c r="A3" s="15" t="inlineStr">
        <is>
          <t>Produktionsomkostninger</t>
        </is>
      </c>
      <c r="B3" s="16" t="n">
        <v>162195</v>
      </c>
      <c r="C3" s="16" t="n">
        <v>209902</v>
      </c>
      <c r="D3" s="16" t="n">
        <v>180826</v>
      </c>
      <c r="E3" s="16" t="n">
        <v>175855</v>
      </c>
      <c r="F3" s="16" t="n">
        <v>150316</v>
      </c>
    </row>
    <row r="4">
      <c r="A4" s="17" t="inlineStr">
        <is>
          <t>Bruttoresultat</t>
        </is>
      </c>
      <c r="B4" s="16" t="n">
        <v>27733</v>
      </c>
      <c r="C4" s="16" t="n">
        <v>28436</v>
      </c>
      <c r="D4" s="16" t="n">
        <v>1930</v>
      </c>
      <c r="E4" s="16" t="n">
        <v>14447</v>
      </c>
      <c r="F4" s="16" t="n">
        <v>13607</v>
      </c>
    </row>
    <row r="5">
      <c r="A5" s="15" t="inlineStr">
        <is>
          <t>Salgs- og distributionsomkostninger</t>
        </is>
      </c>
      <c r="B5" s="16" t="n">
        <v>23581</v>
      </c>
      <c r="C5" s="16" t="n">
        <v>30165</v>
      </c>
      <c r="D5" s="16" t="n">
        <v>20424</v>
      </c>
      <c r="E5" s="16" t="n">
        <v>26816</v>
      </c>
      <c r="F5" s="16" t="n">
        <v>21280</v>
      </c>
    </row>
    <row r="6">
      <c r="A6" s="15" t="inlineStr">
        <is>
          <t>Administrationsomkostninger</t>
        </is>
      </c>
      <c r="B6" s="16" t="n">
        <v>7007</v>
      </c>
      <c r="C6" s="16" t="n">
        <v>8476</v>
      </c>
      <c r="D6" s="16" t="n">
        <v>18141</v>
      </c>
      <c r="E6" s="16" t="n">
        <v>18592</v>
      </c>
      <c r="F6" s="16" t="n">
        <v>17160</v>
      </c>
    </row>
    <row r="7">
      <c r="A7" s="15" t="inlineStr">
        <is>
          <t>Andre driftsindtægter</t>
        </is>
      </c>
      <c r="B7" s="16" t="n"/>
      <c r="C7" s="16" t="n">
        <v>508</v>
      </c>
      <c r="D7" s="16" t="n">
        <v>850</v>
      </c>
      <c r="E7" s="16" t="n">
        <v>1668</v>
      </c>
      <c r="F7" s="16" t="n">
        <v>0</v>
      </c>
    </row>
    <row r="8">
      <c r="A8" s="15" t="inlineStr">
        <is>
          <t>Andre driftsomkostninger</t>
        </is>
      </c>
      <c r="B8" s="16" t="n">
        <v>1527</v>
      </c>
      <c r="C8" s="16" t="n">
        <v>932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-4382</v>
      </c>
      <c r="C9" s="16" t="n">
        <v>-10629</v>
      </c>
      <c r="D9" s="16" t="n">
        <v>-35785</v>
      </c>
      <c r="E9" s="16" t="n">
        <v>-29293</v>
      </c>
      <c r="F9" s="16" t="n">
        <v>-24833</v>
      </c>
    </row>
    <row r="10">
      <c r="A10" s="15" t="inlineStr">
        <is>
          <t>Indtægter af kapitalandele, dattervirksomheder</t>
        </is>
      </c>
      <c r="B10" s="16" t="n">
        <v>-58</v>
      </c>
      <c r="C10" s="16" t="n">
        <v>-47</v>
      </c>
      <c r="D10" s="16" t="n">
        <v>41</v>
      </c>
      <c r="E10" s="16" t="n">
        <v>177</v>
      </c>
      <c r="F10" s="16" t="n">
        <v>0</v>
      </c>
    </row>
    <row r="11">
      <c r="A11" s="15" t="inlineStr">
        <is>
          <t>Finansielle indtægter</t>
        </is>
      </c>
      <c r="B11" s="16" t="n">
        <v>27</v>
      </c>
      <c r="C11" s="16" t="n">
        <v>25</v>
      </c>
      <c r="D11" s="16" t="n">
        <v>15</v>
      </c>
      <c r="E11" s="16" t="n">
        <v>9</v>
      </c>
      <c r="F11" s="16" t="n">
        <v>30</v>
      </c>
    </row>
    <row r="12">
      <c r="A12" s="15" t="inlineStr">
        <is>
          <t>Finansielle omkostninger</t>
        </is>
      </c>
      <c r="B12" s="16" t="n"/>
      <c r="C12" s="16" t="n">
        <v>5776</v>
      </c>
      <c r="D12" s="16" t="n">
        <v>5838</v>
      </c>
      <c r="E12" s="16" t="n">
        <v>14089</v>
      </c>
      <c r="F12" s="16" t="n">
        <v>13242</v>
      </c>
    </row>
    <row r="13">
      <c r="A13" s="17" t="inlineStr">
        <is>
          <t>Finansielle poster, netto</t>
        </is>
      </c>
      <c r="B13" s="16" t="n"/>
      <c r="C13" s="16" t="n">
        <v>-5751</v>
      </c>
      <c r="D13" s="16" t="n">
        <v>-5824</v>
      </c>
      <c r="E13" s="16" t="n"/>
      <c r="F13" s="16" t="n"/>
    </row>
    <row r="14">
      <c r="A14" s="17" t="inlineStr">
        <is>
          <t>Resultat før skat</t>
        </is>
      </c>
      <c r="B14" s="16" t="n">
        <v>-7082</v>
      </c>
      <c r="C14" s="16" t="n">
        <v>-16427</v>
      </c>
      <c r="D14" s="16" t="n">
        <v>-41568</v>
      </c>
      <c r="E14" s="16" t="n">
        <v>-43196</v>
      </c>
      <c r="F14" s="16" t="n">
        <v>-38045</v>
      </c>
    </row>
    <row r="15">
      <c r="A15" s="15" t="inlineStr">
        <is>
          <t>Skat af årets resultat</t>
        </is>
      </c>
      <c r="B15" s="16" t="n">
        <v>-1540</v>
      </c>
      <c r="C15" s="16" t="n">
        <v>-3565</v>
      </c>
      <c r="D15" s="16" t="n">
        <v>-9109</v>
      </c>
      <c r="E15" s="16" t="n">
        <v>3018</v>
      </c>
      <c r="F15" s="16" t="n">
        <v>0</v>
      </c>
    </row>
    <row r="16">
      <c r="A16" s="17" t="inlineStr">
        <is>
          <t>Årets resultat</t>
        </is>
      </c>
      <c r="B16" s="16" t="n">
        <v>-5542</v>
      </c>
      <c r="C16" s="16" t="n">
        <v>-12862</v>
      </c>
      <c r="D16" s="16" t="n">
        <v>-32459</v>
      </c>
      <c r="E16" s="16" t="n">
        <v>-46214</v>
      </c>
      <c r="F16" s="16" t="n">
        <v>-38045</v>
      </c>
    </row>
    <row r="17">
      <c r="A17" s="15" t="inlineStr">
        <is>
          <t>Gns. antal medarbejdere</t>
        </is>
      </c>
      <c r="B17" s="16" t="n">
        <v>100</v>
      </c>
      <c r="C17" s="16" t="n">
        <v>101</v>
      </c>
      <c r="D17" s="16" t="n">
        <v>109</v>
      </c>
      <c r="E17" s="16" t="n">
        <v>102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4855</v>
      </c>
      <c r="C18" s="16" t="n">
        <v>4557</v>
      </c>
      <c r="D18" s="16" t="n">
        <v>18071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184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184</v>
      </c>
      <c r="C5" s="16" t="n"/>
      <c r="D5" s="16" t="n"/>
      <c r="E5" s="16" t="n"/>
      <c r="F5" s="16" t="n"/>
    </row>
    <row r="6">
      <c r="A6" s="15" t="inlineStr">
        <is>
          <t>Grunde og bygninger</t>
        </is>
      </c>
      <c r="B6" s="16" t="n">
        <v>59006</v>
      </c>
      <c r="C6" s="16" t="n">
        <v>56379</v>
      </c>
      <c r="D6" s="16" t="n">
        <v>54228</v>
      </c>
      <c r="E6" s="16" t="n">
        <v>53778</v>
      </c>
      <c r="F6" s="16" t="n">
        <v>51508</v>
      </c>
    </row>
    <row r="7">
      <c r="A7" s="15" t="inlineStr">
        <is>
          <t>Produktionsanlæg og maskiner</t>
        </is>
      </c>
      <c r="B7" s="16" t="n">
        <v>66135</v>
      </c>
      <c r="C7" s="16" t="n">
        <v>57314</v>
      </c>
      <c r="D7" s="16" t="n">
        <v>53850</v>
      </c>
      <c r="E7" s="16" t="n">
        <v>64917</v>
      </c>
      <c r="F7" s="16" t="n">
        <v>59779</v>
      </c>
    </row>
    <row r="8">
      <c r="A8" s="15" t="inlineStr">
        <is>
          <t>Driftsmateriel og inventar</t>
        </is>
      </c>
      <c r="B8" s="16" t="n">
        <v>601</v>
      </c>
      <c r="C8" s="16" t="n">
        <v>467</v>
      </c>
      <c r="D8" s="16" t="n">
        <v>408</v>
      </c>
      <c r="E8" s="16" t="n">
        <v>308</v>
      </c>
      <c r="F8" s="16" t="n">
        <v>2202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0</v>
      </c>
      <c r="C10" s="16" t="n">
        <v>888</v>
      </c>
      <c r="D10" s="16" t="n">
        <v>0</v>
      </c>
      <c r="E10" s="16" t="n">
        <v>6837</v>
      </c>
      <c r="F10" s="16" t="n">
        <v>23330</v>
      </c>
    </row>
    <row r="11">
      <c r="A11" s="17" t="inlineStr">
        <is>
          <t>Materielle anlægsaktiver</t>
        </is>
      </c>
      <c r="B11" s="16" t="n">
        <v>125742</v>
      </c>
      <c r="C11" s="16" t="n">
        <v>116323</v>
      </c>
      <c r="D11" s="16" t="n">
        <v>125132</v>
      </c>
      <c r="E11" s="16" t="n">
        <v>125840</v>
      </c>
      <c r="F11" s="16" t="n">
        <v>136819</v>
      </c>
    </row>
    <row r="12">
      <c r="A12" s="15" t="inlineStr">
        <is>
          <t>Kapitalandele, dattervirksomheder</t>
        </is>
      </c>
      <c r="B12" s="16" t="n">
        <v>3659</v>
      </c>
      <c r="C12" s="16" t="n">
        <v>3612</v>
      </c>
      <c r="D12" s="16" t="n">
        <v>3653</v>
      </c>
      <c r="E12" s="16" t="n">
        <v>3836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41</v>
      </c>
      <c r="C14" s="16" t="n">
        <v>3658</v>
      </c>
      <c r="D14" s="16" t="n">
        <v>3698</v>
      </c>
      <c r="E14" s="16" t="n">
        <v>3874</v>
      </c>
      <c r="F14" s="16" t="n">
        <v>47</v>
      </c>
    </row>
    <row r="15">
      <c r="A15" s="17" t="inlineStr">
        <is>
          <t>Anlægsaktiver</t>
        </is>
      </c>
      <c r="B15" s="16" t="n">
        <v>125967</v>
      </c>
      <c r="C15" s="16" t="n">
        <v>119981</v>
      </c>
      <c r="D15" s="16" t="n">
        <v>128830</v>
      </c>
      <c r="E15" s="16" t="n">
        <v>129714</v>
      </c>
      <c r="F15" s="16" t="n">
        <v>136865</v>
      </c>
    </row>
    <row r="16">
      <c r="A16" s="15" t="inlineStr">
        <is>
          <t>Råvarer og hjælpematerialer</t>
        </is>
      </c>
      <c r="B16" s="16" t="n">
        <v>13900</v>
      </c>
      <c r="C16" s="16" t="n">
        <v>12037</v>
      </c>
      <c r="D16" s="16" t="n">
        <v>15830</v>
      </c>
      <c r="E16" s="16" t="n">
        <v>22819</v>
      </c>
      <c r="F16" s="16" t="n">
        <v>13798</v>
      </c>
    </row>
    <row r="17">
      <c r="A17" s="15" t="inlineStr">
        <is>
          <t>Varer under fremstilling</t>
        </is>
      </c>
      <c r="B17" s="16" t="n">
        <v>1856</v>
      </c>
      <c r="C17" s="16" t="n">
        <v>2682</v>
      </c>
      <c r="D17" s="16" t="n">
        <v>3230</v>
      </c>
      <c r="E17" s="16" t="n">
        <v>2975</v>
      </c>
      <c r="F17" s="16" t="n">
        <v>1701</v>
      </c>
    </row>
    <row r="18">
      <c r="A18" s="15" t="inlineStr">
        <is>
          <t>Færdigvarer og handelsvarer</t>
        </is>
      </c>
      <c r="B18" s="16" t="n">
        <v>18715</v>
      </c>
      <c r="C18" s="16" t="n">
        <v>25677</v>
      </c>
      <c r="D18" s="16" t="n">
        <v>29245</v>
      </c>
      <c r="E18" s="16" t="n">
        <v>14310</v>
      </c>
      <c r="F18" s="16" t="n">
        <v>8747</v>
      </c>
    </row>
    <row r="19">
      <c r="A19" s="17" t="inlineStr">
        <is>
          <t>Varebeholdninger</t>
        </is>
      </c>
      <c r="B19" s="16" t="n">
        <v>34471</v>
      </c>
      <c r="C19" s="16" t="n">
        <v>40396</v>
      </c>
      <c r="D19" s="16" t="n">
        <v>48306</v>
      </c>
      <c r="E19" s="16" t="n">
        <v>40104</v>
      </c>
      <c r="F19" s="16" t="n">
        <v>24246</v>
      </c>
    </row>
    <row r="20">
      <c r="A20" s="15" t="inlineStr">
        <is>
          <t>Tilgodehavender fra salg og tjenesteydelser</t>
        </is>
      </c>
      <c r="B20" s="16" t="n">
        <v>24910</v>
      </c>
      <c r="C20" s="16" t="n">
        <v>16141</v>
      </c>
      <c r="D20" s="16" t="n">
        <v>22336</v>
      </c>
      <c r="E20" s="16" t="n">
        <v>16655</v>
      </c>
      <c r="F20" s="16" t="n">
        <v>10787</v>
      </c>
    </row>
    <row r="21">
      <c r="A21" s="15" t="inlineStr">
        <is>
          <t>Tilgodehavender hos tilknyttede virksomheder</t>
        </is>
      </c>
      <c r="B21" s="16" t="n"/>
      <c r="C21" s="16" t="n">
        <v>144</v>
      </c>
      <c r="D21" s="16" t="n">
        <v>1189</v>
      </c>
      <c r="E21" s="16" t="n">
        <v>0</v>
      </c>
      <c r="F21" s="16" t="n">
        <v>51</v>
      </c>
    </row>
    <row r="22">
      <c r="A22" s="15" t="inlineStr">
        <is>
          <t>Andre tilgodehavender</t>
        </is>
      </c>
      <c r="B22" s="16" t="n">
        <v>1398</v>
      </c>
      <c r="C22" s="16" t="n">
        <v>4106</v>
      </c>
      <c r="D22" s="16" t="n">
        <v>1514</v>
      </c>
      <c r="E22" s="16" t="n">
        <v>584</v>
      </c>
      <c r="F22" s="16" t="n">
        <v>3271</v>
      </c>
    </row>
    <row r="23">
      <c r="A23" s="15" t="inlineStr">
        <is>
          <t>Periodeafgrænsningsposter (aktiver)</t>
        </is>
      </c>
      <c r="B23" s="16" t="n">
        <v>1188</v>
      </c>
      <c r="C23" s="16" t="n">
        <v>2507</v>
      </c>
      <c r="D23" s="16" t="n">
        <v>2651</v>
      </c>
      <c r="E23" s="16" t="n">
        <v>2062</v>
      </c>
      <c r="F23" s="16" t="n">
        <v>1549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3048</v>
      </c>
      <c r="E24" s="16" t="n">
        <v>0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5</v>
      </c>
      <c r="C26" s="16" t="n">
        <v>11</v>
      </c>
      <c r="D26" s="16" t="n">
        <v>10</v>
      </c>
      <c r="E26" s="16" t="n">
        <v>2</v>
      </c>
      <c r="F26" s="16" t="n">
        <v>5</v>
      </c>
    </row>
    <row r="27">
      <c r="A27" s="17" t="inlineStr">
        <is>
          <t>Tilgodehavender</t>
        </is>
      </c>
      <c r="B27" s="16" t="n">
        <v>27501</v>
      </c>
      <c r="C27" s="16" t="n">
        <v>22909</v>
      </c>
      <c r="D27" s="16" t="n">
        <v>30748</v>
      </c>
      <c r="E27" s="16" t="n">
        <v>19303</v>
      </c>
      <c r="F27" s="16" t="n">
        <v>15662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1355</v>
      </c>
      <c r="C29" s="16" t="n">
        <v>1582</v>
      </c>
      <c r="D29" s="16" t="n">
        <v>1381</v>
      </c>
      <c r="E29" s="16" t="n">
        <v>1539</v>
      </c>
      <c r="F29" s="16" t="n">
        <v>1639</v>
      </c>
    </row>
    <row r="30">
      <c r="A30" s="17" t="inlineStr">
        <is>
          <t>Omsætningsaktiver</t>
        </is>
      </c>
      <c r="B30" s="16" t="n">
        <v>63327</v>
      </c>
      <c r="C30" s="16" t="n">
        <v>64887</v>
      </c>
      <c r="D30" s="16" t="n">
        <v>80434</v>
      </c>
      <c r="E30" s="16" t="n">
        <v>60945</v>
      </c>
      <c r="F30" s="16" t="n">
        <v>41547</v>
      </c>
    </row>
    <row r="31">
      <c r="A31" s="17" t="inlineStr">
        <is>
          <t>Aktiver</t>
        </is>
      </c>
      <c r="B31" s="16" t="n">
        <v>189294</v>
      </c>
      <c r="C31" s="16" t="n">
        <v>184868</v>
      </c>
      <c r="D31" s="16" t="n">
        <v>209264</v>
      </c>
      <c r="E31" s="16" t="n">
        <v>190659</v>
      </c>
      <c r="F31" s="16" t="n">
        <v>178412</v>
      </c>
    </row>
    <row r="32">
      <c r="A32" s="15" t="inlineStr">
        <is>
          <t>Selskabskapital</t>
        </is>
      </c>
      <c r="B32" s="16" t="n">
        <v>5760</v>
      </c>
      <c r="C32" s="16" t="n">
        <v>5760</v>
      </c>
      <c r="D32" s="16" t="n">
        <v>5760</v>
      </c>
      <c r="E32" s="16" t="n">
        <v>6000</v>
      </c>
      <c r="F32" s="16" t="n">
        <v>6000</v>
      </c>
    </row>
    <row r="33">
      <c r="A33" s="15" t="inlineStr">
        <is>
          <t>Reserve for nettoopskrivning (indre værdis metode)</t>
        </is>
      </c>
      <c r="B33" s="16" t="n">
        <v>470</v>
      </c>
      <c r="C33" s="16" t="n">
        <v>423</v>
      </c>
      <c r="D33" s="16" t="n">
        <v>464</v>
      </c>
      <c r="E33" s="16" t="n">
        <v>647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1218</v>
      </c>
      <c r="C36" s="16" t="n">
        <v>1218</v>
      </c>
      <c r="D36" s="16" t="n">
        <v>1218</v>
      </c>
      <c r="E36" s="16" t="n">
        <v>1218</v>
      </c>
      <c r="F36" s="16" t="n">
        <v>1218</v>
      </c>
    </row>
    <row r="37">
      <c r="A37" s="15" t="inlineStr">
        <is>
          <t>Overført resultat</t>
        </is>
      </c>
      <c r="B37" s="16" t="n">
        <v>57408</v>
      </c>
      <c r="C37" s="16" t="n">
        <v>44123</v>
      </c>
      <c r="D37" s="16" t="n">
        <v>11623</v>
      </c>
      <c r="E37" s="16" t="n">
        <v>8679</v>
      </c>
      <c r="F37" s="16" t="n">
        <v>31433</v>
      </c>
    </row>
    <row r="38">
      <c r="A38" s="17" t="inlineStr">
        <is>
          <t>Egenkapital i alt</t>
        </is>
      </c>
      <c r="B38" s="16" t="n">
        <v>64589</v>
      </c>
      <c r="C38" s="16" t="n">
        <v>51524</v>
      </c>
      <c r="D38" s="16" t="n">
        <v>19065</v>
      </c>
      <c r="E38" s="16" t="n">
        <v>16544</v>
      </c>
      <c r="F38" s="16" t="n">
        <v>38651</v>
      </c>
    </row>
    <row r="39">
      <c r="A39" s="15" t="inlineStr">
        <is>
          <t>Hensættelse til udskudt skat</t>
        </is>
      </c>
      <c r="B39" s="16" t="n">
        <v>9626</v>
      </c>
      <c r="C39" s="16" t="n">
        <v>6061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9626</v>
      </c>
      <c r="C40" s="16" t="n">
        <v>6061</v>
      </c>
      <c r="D40" s="16" t="n">
        <v>0</v>
      </c>
      <c r="E40" s="16" t="n">
        <v>4610</v>
      </c>
      <c r="F40" s="16" t="n">
        <v>4810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26396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12059</v>
      </c>
      <c r="C43" s="16" t="n"/>
      <c r="D43" s="16" t="n"/>
      <c r="E43" s="16" t="n"/>
      <c r="F43" s="16" t="n">
        <v>925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42255</v>
      </c>
      <c r="C45" s="16" t="n">
        <v>4775</v>
      </c>
      <c r="D45" s="16" t="n">
        <v>3731</v>
      </c>
      <c r="E45" s="16" t="n">
        <v>3720</v>
      </c>
      <c r="F45" s="16" t="n">
        <v>5098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3049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27753</v>
      </c>
      <c r="C48" s="16" t="n">
        <v>11210</v>
      </c>
      <c r="D48" s="16" t="n">
        <v>4978</v>
      </c>
      <c r="E48" s="16" t="n">
        <v>9908</v>
      </c>
      <c r="F48" s="16" t="n">
        <v>9186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>
        <v>1055</v>
      </c>
    </row>
    <row r="50">
      <c r="A50" s="15" t="inlineStr">
        <is>
          <t>Leverandører af varer og tjenesteydelser</t>
        </is>
      </c>
      <c r="B50" s="16" t="n">
        <v>18502</v>
      </c>
      <c r="C50" s="16" t="n">
        <v>12863</v>
      </c>
      <c r="D50" s="16" t="n">
        <v>19864</v>
      </c>
      <c r="E50" s="16" t="n">
        <v>18659</v>
      </c>
      <c r="F50" s="16" t="n">
        <v>27960</v>
      </c>
    </row>
    <row r="51">
      <c r="A51" s="15" t="inlineStr">
        <is>
          <t>Gæld til tilknyttede virksomheder</t>
        </is>
      </c>
      <c r="B51" s="16" t="n">
        <v>3665</v>
      </c>
      <c r="C51" s="16" t="n">
        <v>77617</v>
      </c>
      <c r="D51" s="16" t="n">
        <v>142638</v>
      </c>
      <c r="E51" s="16" t="n">
        <v>115904</v>
      </c>
      <c r="F51" s="16" t="n">
        <v>84110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23520</v>
      </c>
      <c r="C55" s="16" t="n">
        <v>20818</v>
      </c>
      <c r="D55" s="16" t="n">
        <v>18989</v>
      </c>
      <c r="E55" s="16" t="n">
        <v>21314</v>
      </c>
      <c r="F55" s="16" t="n">
        <v>7541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72824</v>
      </c>
      <c r="C57" s="16" t="n">
        <v>122508</v>
      </c>
      <c r="D57" s="16" t="n">
        <v>186469</v>
      </c>
      <c r="E57" s="16" t="n">
        <v>165785</v>
      </c>
      <c r="F57" s="16" t="n">
        <v>129853</v>
      </c>
    </row>
    <row r="58">
      <c r="A58" s="17" t="inlineStr">
        <is>
          <t>Gældsforpligtelser</t>
        </is>
      </c>
      <c r="B58" s="16" t="n">
        <v>115079</v>
      </c>
      <c r="C58" s="16" t="n">
        <v>127283</v>
      </c>
      <c r="D58" s="16" t="n">
        <v>190200</v>
      </c>
      <c r="E58" s="16" t="n">
        <v>169505</v>
      </c>
      <c r="F58" s="16" t="n">
        <v>134951</v>
      </c>
    </row>
    <row r="59">
      <c r="A59" s="17" t="inlineStr">
        <is>
          <t>Passiver</t>
        </is>
      </c>
      <c r="B59" s="16" t="n">
        <v>189294</v>
      </c>
      <c r="C59" s="16" t="n">
        <v>184868</v>
      </c>
      <c r="D59" s="16" t="n">
        <v>209264</v>
      </c>
      <c r="E59" s="16" t="n">
        <v>190659</v>
      </c>
      <c r="F59" s="16" t="n">
        <v>178412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37118311)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'balance_raw_37118311'!$F$15</f>
        <v/>
      </c>
      <c r="C18" s="24">
        <f>'balance_raw_37118311'!$E$15</f>
        <v/>
      </c>
      <c r="D18" s="24">
        <f>'balance_raw_37118311'!$D$15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'balance_raw_37118311'!$F$30</f>
        <v/>
      </c>
      <c r="C19" s="24">
        <f>'balance_raw_37118311'!$E$30</f>
        <v/>
      </c>
      <c r="D19" s="24">
        <f>'balance_raw_37118311'!$D$30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'balance_raw_37118311'!$F$38</f>
        <v/>
      </c>
      <c r="C22" s="24">
        <f>'balance_raw_37118311'!$E$38</f>
        <v/>
      </c>
      <c r="D22" s="24">
        <f>'balance_raw_37118311'!$D$38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'balance_raw_37118311'!$F$59-'balance_raw_37118311'!$F$38</f>
        <v/>
      </c>
      <c r="C23" s="24">
        <f>'balance_raw_37118311'!$E$59-'balance_raw_37118311'!$E$38</f>
        <v/>
      </c>
      <c r="D23" s="24">
        <f>'balance_raw_37118311'!$D$59-'balance_raw_37118311'!$D$38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'balance_raw_37118311'!$F$19</f>
        <v/>
      </c>
      <c r="C27" s="24">
        <f>'balance_raw_37118311'!$E$19</f>
        <v/>
      </c>
      <c r="D27" s="24">
        <f>'balance_raw_37118311'!$D$19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'balance_raw_37118311'!$F$20</f>
        <v/>
      </c>
      <c r="C28" s="24">
        <f>'balance_raw_37118311'!$E$20</f>
        <v/>
      </c>
      <c r="D28" s="24">
        <f>'balance_raw_37118311'!$D$20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'balance_raw_37118311'!$F$57</f>
        <v/>
      </c>
      <c r="C29" s="24">
        <f>'balance_raw_37118311'!$E$57</f>
        <v/>
      </c>
      <c r="D29" s="24">
        <f>'balance_raw_37118311'!$D$57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IF('balance_raw_37118311'!$F$31="","—",IF(ABS(B20-'balance_raw_37118311'!$F$31)&lt;=1,"✓ OK","❌ "&amp;TEXT(B20-'balance_raw_37118311'!$F$31,"+#,##0;-#,##0")&amp;" t.kr."))</f>
        <v/>
      </c>
      <c r="C60" s="29">
        <f>IF('balance_raw_37118311'!$E$31="","—",IF(ABS(C20-'balance_raw_37118311'!$E$31)&lt;=1,"✓ OK","❌ "&amp;TEXT(C20-'balance_raw_37118311'!$E$31,"+#,##0;-#,##0")&amp;" t.kr."))</f>
        <v/>
      </c>
      <c r="D60" s="29">
        <f>IF('balance_raw_37118311'!$D$31="","—",IF(ABS(D20-'balance_raw_37118311'!$D$31)&lt;=1,"✓ OK","❌ "&amp;TEXT(D20-'balance_raw_37118311'!$D$31,"+#,##0;-#,##0")&amp;"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IF('balance_raw_37118311'!$F$59="","—",IF(ABS(B24-'balance_raw_37118311'!$F$59)&lt;=1,"✓ OK","❌ "&amp;TEXT(B24-'balance_raw_37118311'!$F$59,"+#,##0;-#,##0")&amp;" t.kr."))</f>
        <v/>
      </c>
      <c r="C61" s="29">
        <f>IF('balance_raw_37118311'!$E$59="","—",IF(ABS(C24-'balance_raw_37118311'!$E$59)&lt;=1,"✓ OK","❌ "&amp;TEXT(C24-'balance_raw_37118311'!$E$59,"+#,##0;-#,##0")&amp;" t.kr."))</f>
        <v/>
      </c>
      <c r="D61" s="29">
        <f>IF('balance_raw_37118311'!$D$59="","—",IF(ABS(D24-'balance_raw_37118311'!$D$59)&lt;=1,"✓ OK","❌ "&amp;TEXT(D24-'balance_raw_37118311'!$D$59,"+#,##0;-#,##0")&amp;"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2026-09-07T18:58:17Z</dcterms:created>
  <dcterms:modified xmlns:dcterms="http://purl.org/dc/terms/" xmlns:xsi="http://www.w3.org/2001/XMLSchema-instance" xsi:type="dcterms:W3CDTF">2026-09-07T18:58:18Z</dcterms:modified>
</cp:coreProperties>
</file>