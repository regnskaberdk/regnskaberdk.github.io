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'balance_raw_20342781'!$B$2</f>
        <v/>
      </c>
      <c r="C23" s="11">
        <f>'balance_raw_20342781'!$C$2</f>
        <v/>
      </c>
      <c r="D23" s="11">
        <f>'balance_raw_20342781'!$D$2</f>
        <v/>
      </c>
      <c r="E23" s="11">
        <f>'balance_raw_20342781'!$E$2</f>
        <v/>
      </c>
      <c r="F23" s="11">
        <f>'balance_raw_20342781'!$F$2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'balance_raw_20342781'!$B$5</f>
        <v/>
      </c>
      <c r="C26" s="5">
        <f>'balance_raw_20342781'!$C$5</f>
        <v/>
      </c>
      <c r="D26" s="5">
        <f>'balance_raw_20342781'!$D$5</f>
        <v/>
      </c>
      <c r="E26" s="5">
        <f>'balance_raw_20342781'!$E$5</f>
        <v/>
      </c>
      <c r="F26" s="5">
        <f>'balance_raw_20342781'!$F$5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'balance_raw_20342781'!$B$8</f>
        <v/>
      </c>
      <c r="C29" s="11">
        <f>'balance_raw_20342781'!$C$8</f>
        <v/>
      </c>
      <c r="D29" s="11">
        <f>'balance_raw_20342781'!$D$8</f>
        <v/>
      </c>
      <c r="E29" s="11">
        <f>'balance_raw_20342781'!$E$8</f>
        <v/>
      </c>
      <c r="F29" s="11">
        <f>'balance_raw_20342781'!$F$8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'balance_raw_20342781'!$B$12</f>
        <v/>
      </c>
      <c r="C33" s="11">
        <f>'balance_raw_20342781'!$C$12</f>
        <v/>
      </c>
      <c r="D33" s="11">
        <f>'balance_raw_20342781'!$D$12</f>
        <v/>
      </c>
      <c r="E33" s="11">
        <f>'balance_raw_20342781'!$E$12</f>
        <v/>
      </c>
      <c r="F33" s="11">
        <f>'balance_raw_20342781'!$F$12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'balance_raw_20342781'!$B$14</f>
        <v/>
      </c>
      <c r="C35" s="8">
        <f>'balance_raw_20342781'!$C$14</f>
        <v/>
      </c>
      <c r="D35" s="8">
        <f>'balance_raw_20342781'!$D$14</f>
        <v/>
      </c>
      <c r="E35" s="8">
        <f>'balance_raw_20342781'!$E$14</f>
        <v/>
      </c>
      <c r="F35" s="8">
        <f>'balance_raw_20342781'!$F$14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'balance_raw_20342781'!$B$15</f>
        <v/>
      </c>
      <c r="C36" s="5">
        <f>'balance_raw_20342781'!$C$15</f>
        <v/>
      </c>
      <c r="D36" s="5">
        <f>'balance_raw_20342781'!$D$15</f>
        <v/>
      </c>
      <c r="E36" s="5">
        <f>'balance_raw_20342781'!$E$15</f>
        <v/>
      </c>
      <c r="F36" s="5">
        <f>'balance_raw_20342781'!$F$15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'balance_raw_20342781'!$B$16</f>
        <v/>
      </c>
      <c r="C37" s="11">
        <f>'balance_raw_20342781'!$C$16</f>
        <v/>
      </c>
      <c r="D37" s="11">
        <f>'balance_raw_20342781'!$D$16</f>
        <v/>
      </c>
      <c r="E37" s="11">
        <f>'balance_raw_20342781'!$E$16</f>
        <v/>
      </c>
      <c r="F37" s="11">
        <f>'balance_raw_20342781'!$F$16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'balance_raw_20342781'!$B$19</f>
        <v/>
      </c>
      <c r="C40" s="5">
        <f>'balance_raw_20342781'!$C$19</f>
        <v/>
      </c>
      <c r="D40" s="5">
        <f>'balance_raw_20342781'!$D$19</f>
        <v/>
      </c>
      <c r="E40" s="5">
        <f>'balance_raw_20342781'!$E$19</f>
        <v/>
      </c>
      <c r="F40" s="5">
        <f>'balance_raw_20342781'!$F$19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'balance_raw_20342781'!$B$24</f>
        <v/>
      </c>
      <c r="C45" s="11">
        <f>'balance_raw_20342781'!$C$24</f>
        <v/>
      </c>
      <c r="D45" s="11">
        <f>'balance_raw_20342781'!$D$24</f>
        <v/>
      </c>
      <c r="E45" s="11">
        <f>'balance_raw_20342781'!$E$24</f>
        <v/>
      </c>
      <c r="F45" s="11">
        <f>'balance_raw_20342781'!$F$24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'balance_raw_20342781'!$B$28</f>
        <v/>
      </c>
      <c r="C49" s="11">
        <f>'balance_raw_20342781'!$C$28</f>
        <v/>
      </c>
      <c r="D49" s="11">
        <f>'balance_raw_20342781'!$D$28</f>
        <v/>
      </c>
      <c r="E49" s="11">
        <f>'balance_raw_20342781'!$E$28</f>
        <v/>
      </c>
      <c r="F49" s="11">
        <f>'balance_raw_20342781'!$F$28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'balance_raw_20342781'!$B$29</f>
        <v/>
      </c>
      <c r="C52" s="5">
        <f>'balance_raw_20342781'!$C$29</f>
        <v/>
      </c>
      <c r="D52" s="5">
        <f>'balance_raw_20342781'!$D$29</f>
        <v/>
      </c>
      <c r="E52" s="5">
        <f>'balance_raw_20342781'!$E$29</f>
        <v/>
      </c>
      <c r="F52" s="5">
        <f>'balance_raw_20342781'!$F$29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'balance_raw_20342781'!$B$30</f>
        <v/>
      </c>
      <c r="C53" s="8">
        <f>'balance_raw_20342781'!$C$30</f>
        <v/>
      </c>
      <c r="D53" s="8">
        <f>'balance_raw_20342781'!$D$30</f>
        <v/>
      </c>
      <c r="E53" s="8">
        <f>'balance_raw_20342781'!$E$30</f>
        <v/>
      </c>
      <c r="F53" s="8">
        <f>'balance_raw_20342781'!$F$30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'balance_raw_20342781'!$B$31</f>
        <v/>
      </c>
      <c r="C54" s="5">
        <f>'balance_raw_20342781'!$C$31</f>
        <v/>
      </c>
      <c r="D54" s="5">
        <f>'balance_raw_20342781'!$D$31</f>
        <v/>
      </c>
      <c r="E54" s="5">
        <f>'balance_raw_20342781'!$E$31</f>
        <v/>
      </c>
      <c r="F54" s="5">
        <f>'balance_raw_20342781'!$F$31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'balance_raw_20342781'!$B$35</f>
        <v/>
      </c>
      <c r="C58" s="11">
        <f>'balance_raw_20342781'!$C$35</f>
        <v/>
      </c>
      <c r="D58" s="11">
        <f>'balance_raw_20342781'!$D$35</f>
        <v/>
      </c>
      <c r="E58" s="11">
        <f>'balance_raw_20342781'!$E$35</f>
        <v/>
      </c>
      <c r="F58" s="11">
        <f>'balance_raw_20342781'!$F$35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'balance_raw_20342781'!$B$37</f>
        <v/>
      </c>
      <c r="C60" s="11">
        <f>'balance_raw_20342781'!$C$37</f>
        <v/>
      </c>
      <c r="D60" s="11">
        <f>'balance_raw_20342781'!$D$37</f>
        <v/>
      </c>
      <c r="E60" s="11">
        <f>'balance_raw_20342781'!$E$37</f>
        <v/>
      </c>
      <c r="F60" s="11">
        <f>'balance_raw_20342781'!$F$37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'balance_raw_20342781'!$B$38</f>
        <v/>
      </c>
      <c r="C61" s="8">
        <f>'balance_raw_20342781'!$C$38</f>
        <v/>
      </c>
      <c r="D61" s="8">
        <f>'balance_raw_20342781'!$D$38</f>
        <v/>
      </c>
      <c r="E61" s="8">
        <f>'balance_raw_20342781'!$E$38</f>
        <v/>
      </c>
      <c r="F61" s="8">
        <f>'balance_raw_20342781'!$F$38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'balance_raw_20342781'!$B$40</f>
        <v/>
      </c>
      <c r="C63" s="8">
        <f>'balance_raw_20342781'!$C$40</f>
        <v/>
      </c>
      <c r="D63" s="8">
        <f>'balance_raw_20342781'!$D$40</f>
        <v/>
      </c>
      <c r="E63" s="8">
        <f>'balance_raw_20342781'!$E$40</f>
        <v/>
      </c>
      <c r="F63" s="8">
        <f>'balance_raw_20342781'!$F$40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'balance_raw_20342781'!$B$42</f>
        <v/>
      </c>
      <c r="C65" s="11">
        <f>'balance_raw_20342781'!$C$42</f>
        <v/>
      </c>
      <c r="D65" s="11">
        <f>'balance_raw_20342781'!$D$42</f>
        <v/>
      </c>
      <c r="E65" s="11">
        <f>'balance_raw_20342781'!$E$42</f>
        <v/>
      </c>
      <c r="F65" s="11">
        <f>'balance_raw_20342781'!$F$42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'balance_raw_20342781'!$B$45</f>
        <v/>
      </c>
      <c r="C68" s="5">
        <f>'balance_raw_20342781'!$C$45</f>
        <v/>
      </c>
      <c r="D68" s="5">
        <f>'balance_raw_20342781'!$D$45</f>
        <v/>
      </c>
      <c r="E68" s="5">
        <f>'balance_raw_20342781'!$E$45</f>
        <v/>
      </c>
      <c r="F68" s="5">
        <f>'balance_raw_20342781'!$F$45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'balance_raw_20342781'!$B$54</f>
        <v/>
      </c>
      <c r="C77" s="11">
        <f>'balance_raw_20342781'!$C$54</f>
        <v/>
      </c>
      <c r="D77" s="11">
        <f>'balance_raw_20342781'!$D$54</f>
        <v/>
      </c>
      <c r="E77" s="11">
        <f>'balance_raw_20342781'!$E$54</f>
        <v/>
      </c>
      <c r="F77" s="11">
        <f>'balance_raw_20342781'!$F$54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'balance_raw_20342781'!$B$55</f>
        <v/>
      </c>
      <c r="C78" s="11">
        <f>'balance_raw_20342781'!$C$55</f>
        <v/>
      </c>
      <c r="D78" s="11">
        <f>'balance_raw_20342781'!$D$55</f>
        <v/>
      </c>
      <c r="E78" s="11">
        <f>'balance_raw_20342781'!$E$55</f>
        <v/>
      </c>
      <c r="F78" s="11">
        <f>'balance_raw_20342781'!$F$55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'balance_raw_20342781'!$B$56</f>
        <v/>
      </c>
      <c r="C79" s="11">
        <f>'balance_raw_20342781'!$C$56</f>
        <v/>
      </c>
      <c r="D79" s="11">
        <f>'balance_raw_20342781'!$D$56</f>
        <v/>
      </c>
      <c r="E79" s="11">
        <f>'balance_raw_20342781'!$E$56</f>
        <v/>
      </c>
      <c r="F79" s="11">
        <f>'balance_raw_20342781'!$F$56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Gns. antal medarbejdere</t>
        </is>
      </c>
      <c r="B82" s="5">
        <f>'res_raw_20342781'!$B$19</f>
        <v/>
      </c>
      <c r="C82" s="5">
        <f>'res_raw_20342781'!$C$19</f>
        <v/>
      </c>
      <c r="D82" s="5">
        <f>'res_raw_20342781'!$D$19</f>
        <v/>
      </c>
      <c r="E82" s="5">
        <f>'res_raw_20342781'!$E$19</f>
        <v/>
      </c>
      <c r="F82" s="5">
        <f>'res_raw_20342781'!$F$19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'res_raw_20342781'!$B$20</f>
        <v/>
      </c>
      <c r="C83" s="8">
        <f>'res_raw_20342781'!$C$20</f>
        <v/>
      </c>
      <c r="D83" s="8">
        <f>'res_raw_20342781'!$D$20</f>
        <v/>
      </c>
      <c r="E83" s="8">
        <f>'res_raw_20342781'!$E$20</f>
        <v/>
      </c>
      <c r="F83" s="8">
        <f>'res_raw_20342781'!$F$20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2020</v>
      </c>
      <c r="C85" s="3" t="n">
        <v>2021</v>
      </c>
      <c r="D85" s="3" t="n">
        <v>2022</v>
      </c>
      <c r="E85" s="3" t="n">
        <v>2023</v>
      </c>
      <c r="F85" s="3" t="n">
        <v>2024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24767</v>
      </c>
      <c r="C2" s="16" t="n">
        <v>148384</v>
      </c>
      <c r="D2" s="16" t="n">
        <v>500231</v>
      </c>
      <c r="E2" s="16" t="n">
        <v>733382</v>
      </c>
      <c r="F2" s="16" t="n">
        <v>764561</v>
      </c>
    </row>
    <row r="3">
      <c r="A3" s="15" t="inlineStr">
        <is>
          <t>Andre driftsindtægter</t>
        </is>
      </c>
      <c r="B3" s="16" t="n">
        <v>60890</v>
      </c>
      <c r="C3" s="16" t="n">
        <v>3776</v>
      </c>
      <c r="D3" s="16" t="n">
        <v>3118</v>
      </c>
      <c r="E3" s="16" t="n">
        <v>125</v>
      </c>
      <c r="F3" s="16" t="n">
        <v>1205</v>
      </c>
    </row>
    <row r="4">
      <c r="A4" s="15" t="inlineStr">
        <is>
          <t>Vareforbrug</t>
        </is>
      </c>
      <c r="B4" s="16" t="n">
        <v>31253</v>
      </c>
      <c r="C4" s="16" t="n">
        <v>100089</v>
      </c>
      <c r="D4" s="16" t="n">
        <v>389803</v>
      </c>
      <c r="E4" s="16" t="n">
        <v>585067</v>
      </c>
      <c r="F4" s="16" t="n">
        <v>606632</v>
      </c>
    </row>
    <row r="5">
      <c r="A5" s="15" t="inlineStr">
        <is>
          <t>Andre eksterne omkostninger</t>
        </is>
      </c>
      <c r="B5" s="16" t="n">
        <v>37284</v>
      </c>
      <c r="C5" s="16" t="n">
        <v>29979</v>
      </c>
      <c r="D5" s="16" t="n">
        <v>47483</v>
      </c>
      <c r="E5" s="16" t="n">
        <v>59696</v>
      </c>
      <c r="F5" s="16" t="n">
        <v>64182</v>
      </c>
    </row>
    <row r="6">
      <c r="A6" s="17" t="inlineStr">
        <is>
          <t>Bruttoresultat</t>
        </is>
      </c>
      <c r="B6" s="16" t="n">
        <v>-6486</v>
      </c>
      <c r="C6" s="16" t="n">
        <v>48296</v>
      </c>
      <c r="D6" s="16" t="n">
        <v>110429</v>
      </c>
      <c r="E6" s="16" t="n">
        <v>148315</v>
      </c>
      <c r="F6" s="16" t="n">
        <v>157929</v>
      </c>
    </row>
    <row r="7">
      <c r="A7" s="15" t="inlineStr">
        <is>
          <t>Personaleomkostninger</t>
        </is>
      </c>
      <c r="B7" s="16" t="n">
        <v>59901</v>
      </c>
      <c r="C7" s="16" t="n">
        <v>32684</v>
      </c>
      <c r="D7" s="16" t="n">
        <v>43563</v>
      </c>
      <c r="E7" s="16" t="n">
        <v>53902</v>
      </c>
      <c r="F7" s="16" t="n">
        <v>58428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2539</v>
      </c>
      <c r="C9" s="16" t="n">
        <v>2217</v>
      </c>
      <c r="D9" s="16" t="n">
        <v>1913</v>
      </c>
      <c r="E9" s="16" t="n">
        <v>1016</v>
      </c>
      <c r="F9" s="16" t="n">
        <v>2971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-42781</v>
      </c>
      <c r="C11" s="16" t="n">
        <v>-10591</v>
      </c>
      <c r="D11" s="16" t="n">
        <v>22500</v>
      </c>
      <c r="E11" s="16" t="n">
        <v>34842</v>
      </c>
      <c r="F11" s="16" t="n">
        <v>36523</v>
      </c>
    </row>
    <row r="12">
      <c r="A12" s="15" t="inlineStr">
        <is>
          <t>Indtægter af kapitalandele, dattervirksomheder</t>
        </is>
      </c>
      <c r="B12" s="16" t="n">
        <v>-794</v>
      </c>
      <c r="C12" s="16" t="n">
        <v>-43</v>
      </c>
      <c r="D12" s="16" t="n">
        <v>-1377</v>
      </c>
      <c r="E12" s="16" t="n">
        <v>-39</v>
      </c>
      <c r="F12" s="16" t="n">
        <v>-19</v>
      </c>
    </row>
    <row r="13">
      <c r="A13" s="15" t="inlineStr">
        <is>
          <t>Finansielle indtægter</t>
        </is>
      </c>
      <c r="B13" s="16" t="n">
        <v>2394</v>
      </c>
      <c r="C13" s="16" t="n">
        <v>7810</v>
      </c>
      <c r="D13" s="16" t="n">
        <v>2519</v>
      </c>
      <c r="E13" s="16" t="n">
        <v>19126</v>
      </c>
      <c r="F13" s="16" t="n">
        <v>20566</v>
      </c>
    </row>
    <row r="14">
      <c r="A14" s="15" t="inlineStr">
        <is>
          <t>Finansielle omkostninger</t>
        </is>
      </c>
      <c r="B14" s="16" t="n">
        <v>6912</v>
      </c>
      <c r="C14" s="16" t="n">
        <v>4406</v>
      </c>
      <c r="D14" s="16" t="n">
        <v>21288</v>
      </c>
      <c r="E14" s="16" t="n">
        <v>5723</v>
      </c>
      <c r="F14" s="16" t="n">
        <v>5589</v>
      </c>
    </row>
    <row r="15">
      <c r="A15" s="17" t="inlineStr">
        <is>
          <t>Finansielle poster, netto</t>
        </is>
      </c>
      <c r="B15" s="16" t="n">
        <v>-2139</v>
      </c>
      <c r="C15" s="16" t="n">
        <v>4813</v>
      </c>
      <c r="D15" s="16" t="n">
        <v>-17128</v>
      </c>
      <c r="E15" s="16" t="n">
        <v>16628</v>
      </c>
      <c r="F15" s="16" t="n">
        <v>19080</v>
      </c>
    </row>
    <row r="16">
      <c r="A16" s="17" t="inlineStr">
        <is>
          <t>Resultat før skat</t>
        </is>
      </c>
      <c r="B16" s="16" t="n">
        <v>-48253</v>
      </c>
      <c r="C16" s="16" t="n">
        <v>-8037</v>
      </c>
      <c r="D16" s="16" t="n">
        <v>2081</v>
      </c>
      <c r="E16" s="16" t="n">
        <v>50416</v>
      </c>
      <c r="F16" s="16" t="n">
        <v>52613</v>
      </c>
    </row>
    <row r="17">
      <c r="A17" s="15" t="inlineStr">
        <is>
          <t>Skat af årets resultat</t>
        </is>
      </c>
      <c r="B17" s="16" t="n">
        <v>-8376</v>
      </c>
      <c r="C17" s="16" t="n">
        <v>-1802</v>
      </c>
      <c r="D17" s="16" t="n">
        <v>724</v>
      </c>
      <c r="E17" s="16" t="n">
        <v>11021</v>
      </c>
      <c r="F17" s="16" t="n">
        <v>11509</v>
      </c>
    </row>
    <row r="18">
      <c r="A18" s="17" t="inlineStr">
        <is>
          <t>Årets resultat</t>
        </is>
      </c>
      <c r="B18" s="16" t="n">
        <v>-39876</v>
      </c>
      <c r="C18" s="16" t="n">
        <v>-6236</v>
      </c>
      <c r="D18" s="16" t="n">
        <v>1357</v>
      </c>
      <c r="E18" s="16" t="n">
        <v>39395</v>
      </c>
      <c r="F18" s="16" t="n">
        <v>41104</v>
      </c>
    </row>
    <row r="19">
      <c r="A19" s="15" t="inlineStr">
        <is>
          <t>Gns. antal medarbejdere</t>
        </is>
      </c>
      <c r="B19" s="16" t="n">
        <v>135</v>
      </c>
      <c r="C19" s="16" t="n">
        <v>75</v>
      </c>
      <c r="D19" s="16" t="n">
        <v>84</v>
      </c>
      <c r="E19" s="16" t="n">
        <v>105</v>
      </c>
      <c r="F19" s="16" t="n">
        <v>112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3996</v>
      </c>
      <c r="C2" s="16" t="n">
        <v>3029</v>
      </c>
      <c r="D2" s="16" t="n">
        <v>1641</v>
      </c>
      <c r="E2" s="16" t="n">
        <v>7422</v>
      </c>
      <c r="F2" s="16" t="n">
        <v>17209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1363</v>
      </c>
      <c r="C5" s="16" t="n">
        <v>1329</v>
      </c>
      <c r="D5" s="16" t="n">
        <v>1367</v>
      </c>
      <c r="E5" s="16" t="n">
        <v>1828</v>
      </c>
      <c r="F5" s="16" t="n">
        <v>2006</v>
      </c>
    </row>
    <row r="6">
      <c r="A6" s="15" t="inlineStr">
        <is>
          <t>Indretning af lejede lokaler</t>
        </is>
      </c>
      <c r="B6" s="16" t="n">
        <v>343</v>
      </c>
      <c r="C6" s="16" t="n">
        <v>282</v>
      </c>
      <c r="D6" s="16" t="n">
        <v>230</v>
      </c>
      <c r="E6" s="16" t="n">
        <v>282</v>
      </c>
      <c r="F6" s="16" t="n">
        <v>629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1707</v>
      </c>
      <c r="C8" s="16" t="n">
        <v>1611</v>
      </c>
      <c r="D8" s="16" t="n">
        <v>1598</v>
      </c>
      <c r="E8" s="16" t="n">
        <v>2110</v>
      </c>
      <c r="F8" s="16" t="n">
        <v>2635</v>
      </c>
    </row>
    <row r="9">
      <c r="A9" s="15" t="inlineStr">
        <is>
          <t>Kapitalandele, dattervirksomheder</t>
        </is>
      </c>
      <c r="B9" s="16" t="n">
        <v>1844</v>
      </c>
      <c r="C9" s="16" t="n">
        <v>1908</v>
      </c>
      <c r="D9" s="16" t="n">
        <v>630</v>
      </c>
      <c r="E9" s="16" t="n">
        <v>557</v>
      </c>
      <c r="F9" s="16" t="n">
        <v>535</v>
      </c>
    </row>
    <row r="10">
      <c r="A10" s="15" t="inlineStr">
        <is>
          <t>Deposita</t>
        </is>
      </c>
      <c r="B10" s="16" t="n">
        <v>1978</v>
      </c>
      <c r="C10" s="16" t="n">
        <v>1978</v>
      </c>
      <c r="D10" s="16" t="n">
        <v>2048</v>
      </c>
      <c r="E10" s="16" t="n">
        <v>2251</v>
      </c>
      <c r="F10" s="16" t="n">
        <v>2322</v>
      </c>
    </row>
    <row r="11">
      <c r="A11" s="17" t="inlineStr">
        <is>
          <t>Finansielle anlægsaktiver</t>
        </is>
      </c>
      <c r="B11" s="16" t="n">
        <v>3822</v>
      </c>
      <c r="C11" s="16" t="n">
        <v>3886</v>
      </c>
      <c r="D11" s="16" t="n">
        <v>2678</v>
      </c>
      <c r="E11" s="16" t="n">
        <v>2808</v>
      </c>
      <c r="F11" s="16" t="n">
        <v>2856</v>
      </c>
    </row>
    <row r="12">
      <c r="A12" s="17" t="inlineStr">
        <is>
          <t>Anlægsaktiver</t>
        </is>
      </c>
      <c r="B12" s="16" t="n">
        <v>9524</v>
      </c>
      <c r="C12" s="16" t="n">
        <v>8526</v>
      </c>
      <c r="D12" s="16" t="n">
        <v>5917</v>
      </c>
      <c r="E12" s="16" t="n">
        <v>12340</v>
      </c>
      <c r="F12" s="16" t="n">
        <v>22701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1065</v>
      </c>
      <c r="C15" s="16" t="n">
        <v>1054</v>
      </c>
      <c r="D15" s="16" t="n">
        <v>875</v>
      </c>
      <c r="E15" s="16" t="n">
        <v>773</v>
      </c>
      <c r="F15" s="16" t="n">
        <v>707</v>
      </c>
    </row>
    <row r="16">
      <c r="A16" s="17" t="inlineStr">
        <is>
          <t>Varebeholdninger</t>
        </is>
      </c>
      <c r="B16" s="16" t="n">
        <v>1065</v>
      </c>
      <c r="C16" s="16" t="n">
        <v>1054</v>
      </c>
      <c r="D16" s="16" t="n">
        <v>875</v>
      </c>
      <c r="E16" s="16" t="n">
        <v>773</v>
      </c>
      <c r="F16" s="16" t="n">
        <v>707</v>
      </c>
    </row>
    <row r="17">
      <c r="A17" s="15" t="inlineStr">
        <is>
          <t>Tilgodehavender fra salg og tjenesteydelser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8570</v>
      </c>
      <c r="C19" s="16" t="n">
        <v>7339</v>
      </c>
      <c r="D19" s="16" t="n">
        <v>6520</v>
      </c>
      <c r="E19" s="16" t="n">
        <v>15127</v>
      </c>
      <c r="F19" s="16" t="n">
        <v>10443</v>
      </c>
    </row>
    <row r="20">
      <c r="A20" s="15" t="inlineStr">
        <is>
          <t>Periodeafgrænsningsposter (aktiver)</t>
        </is>
      </c>
      <c r="B20" s="16" t="n">
        <v>60332</v>
      </c>
      <c r="C20" s="16" t="n">
        <v>60291</v>
      </c>
      <c r="D20" s="16" t="n">
        <v>104318</v>
      </c>
      <c r="E20" s="16" t="n">
        <v>109748</v>
      </c>
      <c r="F20" s="16" t="n">
        <v>120618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1111</v>
      </c>
      <c r="C23" s="16" t="n">
        <v>4410</v>
      </c>
      <c r="D23" s="16" t="n">
        <v>3686</v>
      </c>
      <c r="E23" s="16" t="n">
        <v>0</v>
      </c>
      <c r="F23" s="16" t="n"/>
    </row>
    <row r="24">
      <c r="A24" s="17" t="inlineStr">
        <is>
          <t>Tilgodehavender</t>
        </is>
      </c>
      <c r="B24" s="16" t="n">
        <v>163370</v>
      </c>
      <c r="C24" s="16" t="n">
        <v>170237</v>
      </c>
      <c r="D24" s="16" t="n">
        <v>203893</v>
      </c>
      <c r="E24" s="16" t="n">
        <v>214187</v>
      </c>
      <c r="F24" s="16" t="n">
        <v>223205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106710</v>
      </c>
      <c r="C26" s="16" t="n">
        <v>139441</v>
      </c>
      <c r="D26" s="16" t="n">
        <v>163802</v>
      </c>
      <c r="E26" s="16" t="n">
        <v>173499</v>
      </c>
      <c r="F26" s="16" t="n">
        <v>177942</v>
      </c>
    </row>
    <row r="27">
      <c r="A27" s="17" t="inlineStr">
        <is>
          <t>Omsætningsaktiver</t>
        </is>
      </c>
      <c r="B27" s="16" t="n">
        <v>271145</v>
      </c>
      <c r="C27" s="16" t="n">
        <v>310731</v>
      </c>
      <c r="D27" s="16" t="n">
        <v>368570</v>
      </c>
      <c r="E27" s="16" t="n">
        <v>388460</v>
      </c>
      <c r="F27" s="16" t="n">
        <v>401854</v>
      </c>
    </row>
    <row r="28">
      <c r="A28" s="17" t="inlineStr">
        <is>
          <t>Aktiver</t>
        </is>
      </c>
      <c r="B28" s="16" t="n">
        <v>280669</v>
      </c>
      <c r="C28" s="16" t="n">
        <v>319257</v>
      </c>
      <c r="D28" s="16" t="n">
        <v>374487</v>
      </c>
      <c r="E28" s="16" t="n">
        <v>400800</v>
      </c>
      <c r="F28" s="16" t="n">
        <v>424555</v>
      </c>
    </row>
    <row r="29">
      <c r="A29" s="15" t="inlineStr">
        <is>
          <t>Selskabskapital</t>
        </is>
      </c>
      <c r="B29" s="16" t="n">
        <v>1000</v>
      </c>
      <c r="C29" s="16" t="n">
        <v>1000</v>
      </c>
      <c r="D29" s="16" t="n">
        <v>1000</v>
      </c>
      <c r="E29" s="16" t="n">
        <v>1000</v>
      </c>
      <c r="F29" s="16" t="n">
        <v>1000</v>
      </c>
    </row>
    <row r="30">
      <c r="A30" s="15" t="inlineStr">
        <is>
          <t>Reserve for nettoopskrivning (indre værdis metode)</t>
        </is>
      </c>
      <c r="B30" s="16" t="n">
        <v>0</v>
      </c>
      <c r="C30" s="16" t="n">
        <v>0</v>
      </c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39135</v>
      </c>
      <c r="C34" s="16" t="n">
        <v>32948</v>
      </c>
      <c r="D34" s="16" t="n">
        <v>34404</v>
      </c>
      <c r="E34" s="16" t="n">
        <v>61800</v>
      </c>
      <c r="F34" s="16" t="n">
        <v>82903</v>
      </c>
    </row>
    <row r="35">
      <c r="A35" s="17" t="inlineStr">
        <is>
          <t>Egenkapital i alt</t>
        </is>
      </c>
      <c r="B35" s="16" t="n">
        <v>39405</v>
      </c>
      <c r="C35" s="16" t="n">
        <v>34972</v>
      </c>
      <c r="D35" s="16" t="n">
        <v>35061</v>
      </c>
      <c r="E35" s="16" t="n">
        <v>61532</v>
      </c>
      <c r="F35" s="16" t="n">
        <v>109174</v>
      </c>
    </row>
    <row r="36">
      <c r="A36" s="15" t="inlineStr">
        <is>
          <t>Hensættelse til udskudt skat</t>
        </is>
      </c>
      <c r="B36" s="16" t="n">
        <v>1981</v>
      </c>
      <c r="C36" s="16" t="n">
        <v>4392</v>
      </c>
      <c r="D36" s="16" t="n">
        <v>8341</v>
      </c>
      <c r="E36" s="16" t="n">
        <v>12499</v>
      </c>
      <c r="F36" s="16" t="n">
        <v>9407</v>
      </c>
    </row>
    <row r="37">
      <c r="A37" s="17" t="inlineStr">
        <is>
          <t>Hensatte forpligtelser</t>
        </is>
      </c>
      <c r="B37" s="16" t="n">
        <v>1981</v>
      </c>
      <c r="C37" s="16" t="n">
        <v>4392</v>
      </c>
      <c r="D37" s="16" t="n">
        <v>8341</v>
      </c>
      <c r="E37" s="16" t="n">
        <v>12499</v>
      </c>
      <c r="F37" s="16" t="n">
        <v>9407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70000</v>
      </c>
      <c r="C39" s="16" t="n">
        <v>38533</v>
      </c>
      <c r="D39" s="16" t="n">
        <v>26866</v>
      </c>
      <c r="E39" s="16" t="n">
        <v>15199</v>
      </c>
      <c r="F39" s="16" t="n">
        <v>3532</v>
      </c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125261</v>
      </c>
      <c r="C42" s="16" t="n">
        <v>106574</v>
      </c>
      <c r="D42" s="16" t="n">
        <v>82454</v>
      </c>
      <c r="E42" s="16" t="n">
        <v>58468</v>
      </c>
      <c r="F42" s="16" t="n">
        <v>34480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14489</v>
      </c>
      <c r="C44" s="16" t="n">
        <v>31467</v>
      </c>
      <c r="D44" s="16" t="n">
        <v>24167</v>
      </c>
      <c r="E44" s="16" t="n">
        <v>24167</v>
      </c>
      <c r="F44" s="16" t="n"/>
    </row>
    <row r="45">
      <c r="A45" s="15" t="inlineStr">
        <is>
          <t>Kreditinstitutter</t>
        </is>
      </c>
      <c r="B45" s="16" t="n"/>
      <c r="C45" s="16" t="n"/>
      <c r="D45" s="16" t="n"/>
      <c r="E45" s="16" t="n"/>
      <c r="F45" s="16" t="n">
        <v>24167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3631</v>
      </c>
      <c r="C47" s="16" t="n">
        <v>5170</v>
      </c>
      <c r="D47" s="16" t="n">
        <v>16946</v>
      </c>
      <c r="E47" s="16" t="n">
        <v>21410</v>
      </c>
      <c r="F47" s="16" t="n">
        <v>16612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0</v>
      </c>
      <c r="C50" s="16" t="n">
        <v>0</v>
      </c>
      <c r="D50" s="16" t="n"/>
      <c r="E50" s="16" t="n">
        <v>6725</v>
      </c>
      <c r="F50" s="16" t="n">
        <v>14456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34068</v>
      </c>
      <c r="C52" s="16" t="n">
        <v>18323</v>
      </c>
      <c r="D52" s="16" t="n">
        <v>17254</v>
      </c>
      <c r="E52" s="16" t="n">
        <v>30127</v>
      </c>
      <c r="F52" s="16" t="n">
        <v>27169</v>
      </c>
    </row>
    <row r="53">
      <c r="A53" s="15" t="inlineStr">
        <is>
          <t>Periodeafgrænsningsposter (passiver)</t>
        </is>
      </c>
      <c r="B53" s="16" t="n">
        <v>59262</v>
      </c>
      <c r="C53" s="16" t="n">
        <v>117471</v>
      </c>
      <c r="D53" s="16" t="n">
        <v>186718</v>
      </c>
      <c r="E53" s="16" t="n">
        <v>181762</v>
      </c>
      <c r="F53" s="16" t="n">
        <v>189090</v>
      </c>
    </row>
    <row r="54">
      <c r="A54" s="17" t="inlineStr">
        <is>
          <t>Kortfristede gældsforpligtelser</t>
        </is>
      </c>
      <c r="B54" s="16" t="n">
        <v>114022</v>
      </c>
      <c r="C54" s="16" t="n">
        <v>173320</v>
      </c>
      <c r="D54" s="16" t="n">
        <v>248630</v>
      </c>
      <c r="E54" s="16" t="n">
        <v>268301</v>
      </c>
      <c r="F54" s="16" t="n">
        <v>271494</v>
      </c>
    </row>
    <row r="55">
      <c r="A55" s="17" t="inlineStr">
        <is>
          <t>Gældsforpligtelser</t>
        </is>
      </c>
      <c r="B55" s="16" t="n">
        <v>239283</v>
      </c>
      <c r="C55" s="16" t="n">
        <v>279894</v>
      </c>
      <c r="D55" s="16" t="n">
        <v>331085</v>
      </c>
      <c r="E55" s="16" t="n">
        <v>326769</v>
      </c>
      <c r="F55" s="16" t="n">
        <v>305974</v>
      </c>
    </row>
    <row r="56">
      <c r="A56" s="17" t="inlineStr">
        <is>
          <t>Passiver</t>
        </is>
      </c>
      <c r="B56" s="16" t="n">
        <v>280669</v>
      </c>
      <c r="C56" s="16" t="n">
        <v>319257</v>
      </c>
      <c r="D56" s="16" t="n">
        <v>374487</v>
      </c>
      <c r="E56" s="16" t="n">
        <v>400800</v>
      </c>
      <c r="F56" s="16" t="n">
        <v>424555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20342781)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'balance_raw_20342781'!$F$12</f>
        <v/>
      </c>
      <c r="C19" s="24">
        <f>'balance_raw_20342781'!$E$12</f>
        <v/>
      </c>
      <c r="D19" s="24">
        <f>'balance_raw_20342781'!$D$12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'balance_raw_20342781'!$F$27</f>
        <v/>
      </c>
      <c r="C20" s="24">
        <f>'balance_raw_20342781'!$E$27</f>
        <v/>
      </c>
      <c r="D20" s="24">
        <f>'balance_raw_20342781'!$D$27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'balance_raw_20342781'!$F$35</f>
        <v/>
      </c>
      <c r="C23" s="24">
        <f>'balance_raw_20342781'!$E$35</f>
        <v/>
      </c>
      <c r="D23" s="24">
        <f>'balance_raw_20342781'!$D$35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'balance_raw_20342781'!$F$56-'balance_raw_20342781'!$F$35</f>
        <v/>
      </c>
      <c r="C24" s="24">
        <f>'balance_raw_20342781'!$E$56-'balance_raw_20342781'!$E$35</f>
        <v/>
      </c>
      <c r="D24" s="24">
        <f>'balance_raw_20342781'!$D$56-'balance_raw_20342781'!$D$35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'balance_raw_20342781'!$F$16</f>
        <v/>
      </c>
      <c r="C28" s="24">
        <f>'balance_raw_20342781'!$E$16</f>
        <v/>
      </c>
      <c r="D28" s="24">
        <f>'balance_raw_20342781'!$D$16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'balance_raw_20342781'!$F$17</f>
        <v/>
      </c>
      <c r="C29" s="24">
        <f>'balance_raw_20342781'!$E$17</f>
        <v/>
      </c>
      <c r="D29" s="24">
        <f>'balance_raw_20342781'!$D$17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'balance_raw_20342781'!$F$54</f>
        <v/>
      </c>
      <c r="C30" s="24">
        <f>'balance_raw_20342781'!$E$54</f>
        <v/>
      </c>
      <c r="D30" s="24">
        <f>'balance_raw_20342781'!$D$54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IF('balance_raw_20342781'!$F$28="","—",IF(ABS(B21-'balance_raw_20342781'!$F$28)&lt;=1,"✓ OK","❌ "&amp;TEXT(B21-'balance_raw_20342781'!$F$28,"+#,##0;-#,##0")&amp;" t.kr."))</f>
        <v/>
      </c>
      <c r="C61" s="29">
        <f>IF('balance_raw_20342781'!$E$28="","—",IF(ABS(C21-'balance_raw_20342781'!$E$28)&lt;=1,"✓ OK","❌ "&amp;TEXT(C21-'balance_raw_20342781'!$E$28,"+#,##0;-#,##0")&amp;" t.kr."))</f>
        <v/>
      </c>
      <c r="D61" s="29">
        <f>IF('balance_raw_20342781'!$D$28="","—",IF(ABS(D21-'balance_raw_20342781'!$D$28)&lt;=1,"✓ OK","❌ "&amp;TEXT(D21-'balance_raw_20342781'!$D$28,"+#,##0;-#,##0")&amp;"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IF('balance_raw_20342781'!$F$56="","—",IF(ABS(B25-'balance_raw_20342781'!$F$56)&lt;=1,"✓ OK","❌ "&amp;TEXT(B25-'balance_raw_20342781'!$F$56,"+#,##0;-#,##0")&amp;" t.kr."))</f>
        <v/>
      </c>
      <c r="C62" s="29">
        <f>IF('balance_raw_20342781'!$E$56="","—",IF(ABS(C25-'balance_raw_20342781'!$E$56)&lt;=1,"✓ OK","❌ "&amp;TEXT(C25-'balance_raw_20342781'!$E$56,"+#,##0;-#,##0")&amp;" t.kr."))</f>
        <v/>
      </c>
      <c r="D62" s="29">
        <f>IF('balance_raw_20342781'!$D$56="","—",IF(ABS(D25-'balance_raw_20342781'!$D$56)&lt;=1,"✓ OK","❌ "&amp;TEXT(D25-'balance_raw_20342781'!$D$56,"+#,##0;-#,##0")&amp;"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2379</v>
      </c>
      <c r="E3" s="35" t="n">
        <v>1408</v>
      </c>
      <c r="F3" s="35" t="n">
        <v>1641</v>
      </c>
      <c r="G3" s="35" t="n">
        <v>3225</v>
      </c>
      <c r="H3" s="35" t="n">
        <v>4103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fsa:ReserveForCurrentValueAdjustmentsOfCurrencyGains</t>
        </is>
      </c>
      <c r="C4" s="37" t="inlineStr">
        <is>
          <t>fsa:ReserveForCurrentValueAdjustmentsOfCurrencyGains</t>
        </is>
      </c>
      <c r="D4" s="38" t="n">
        <v>-730</v>
      </c>
      <c r="E4" s="38" t="n">
        <v>1024</v>
      </c>
      <c r="F4" s="38" t="n">
        <v>-343</v>
      </c>
      <c r="G4" s="38" t="n">
        <v>-13269</v>
      </c>
      <c r="H4" s="38" t="n">
        <v>5270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fsa:ShorttermPayablesToAssociates</t>
        </is>
      </c>
      <c r="C5" s="34" t="inlineStr">
        <is>
          <t>fsa:ShorttermPayablesToAssociates</t>
        </is>
      </c>
      <c r="D5" s="35" t="n">
        <v>2572</v>
      </c>
      <c r="E5" s="35" t="n">
        <v>890</v>
      </c>
      <c r="F5" s="35" t="n">
        <v>3545</v>
      </c>
      <c r="G5" s="35" t="n">
        <v>4110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2026-08-28T20:13:07Z</dcterms:created>
  <dcterms:modified xmlns:dcterms="http://purl.org/dc/terms/" xmlns:xsi="http://www.w3.org/2001/XMLSchema-instance" xsi:type="dcterms:W3CDTF">2026-08-28T20:13:07Z</dcterms:modified>
</cp:coreProperties>
</file>