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'balance_raw'!$B$2</f>
        <v/>
      </c>
      <c r="C21" s="8">
        <f>'balance_raw'!$C$2</f>
        <v/>
      </c>
      <c r="D21" s="8">
        <f>'balance_raw'!$D$2</f>
        <v/>
      </c>
      <c r="E21" s="8">
        <f>'balance_raw'!$E$2</f>
        <v/>
      </c>
      <c r="F21" s="8">
        <f>'balance_raw'!$F$2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'balance_raw'!$B$3</f>
        <v/>
      </c>
      <c r="C22" s="8">
        <f>'balance_raw'!$C$3</f>
        <v/>
      </c>
      <c r="D22" s="8">
        <f>'balance_raw'!$D$3</f>
        <v/>
      </c>
      <c r="E22" s="8">
        <f>'balance_raw'!$E$3</f>
        <v/>
      </c>
      <c r="F22" s="8">
        <f>'balance_raw'!$F$3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'balance_raw'!$B$5</f>
        <v/>
      </c>
      <c r="C24" s="5">
        <f>'balance_raw'!$C$5</f>
        <v/>
      </c>
      <c r="D24" s="5">
        <f>'balance_raw'!$D$5</f>
        <v/>
      </c>
      <c r="E24" s="5">
        <f>'balance_raw'!$E$5</f>
        <v/>
      </c>
      <c r="F24" s="5">
        <f>'balance_raw'!$F$5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19426000</v>
      </c>
      <c r="C2" s="16" t="n">
        <v>22579000</v>
      </c>
      <c r="D2" s="16" t="n">
        <v>24500000</v>
      </c>
      <c r="E2" s="16" t="n">
        <v>27030000</v>
      </c>
      <c r="F2" s="16" t="n">
        <v>27874000</v>
      </c>
    </row>
    <row r="3">
      <c r="A3" s="15" t="inlineStr">
        <is>
          <t>Produktionsomkostninger</t>
        </is>
      </c>
      <c r="B3" s="16" t="n">
        <v>6113000</v>
      </c>
      <c r="C3" s="16" t="n">
        <v>7050000</v>
      </c>
      <c r="D3" s="16" t="n">
        <v>8172000</v>
      </c>
      <c r="E3" s="16" t="n">
        <v>8761000</v>
      </c>
      <c r="F3" s="16" t="n">
        <v>8929000</v>
      </c>
    </row>
    <row r="4">
      <c r="A4" s="17" t="inlineStr">
        <is>
          <t>Bruttoresultat</t>
        </is>
      </c>
      <c r="B4" s="16" t="n">
        <v>13313000</v>
      </c>
      <c r="C4" s="16" t="n">
        <v>15529000</v>
      </c>
      <c r="D4" s="16" t="n">
        <v>16328000</v>
      </c>
      <c r="E4" s="16" t="n">
        <v>18269000</v>
      </c>
      <c r="F4" s="16" t="n">
        <v>18945000</v>
      </c>
    </row>
    <row r="5">
      <c r="A5" s="15" t="inlineStr">
        <is>
          <t>Salgs- og distributionsomkostninger</t>
        </is>
      </c>
      <c r="B5" s="16" t="n">
        <v>5485000</v>
      </c>
      <c r="C5" s="16" t="n">
        <v>6797000</v>
      </c>
      <c r="D5" s="16" t="n">
        <v>7518000</v>
      </c>
      <c r="E5" s="16" t="n">
        <v>8825000</v>
      </c>
      <c r="F5" s="16" t="n">
        <v>9150000</v>
      </c>
    </row>
    <row r="6">
      <c r="A6" s="15" t="inlineStr">
        <is>
          <t>Administrationsomkostninger</t>
        </is>
      </c>
      <c r="B6" s="16" t="n">
        <v>762000</v>
      </c>
      <c r="C6" s="16" t="n">
        <v>1005000</v>
      </c>
      <c r="D6" s="16" t="n">
        <v>1115000</v>
      </c>
      <c r="E6" s="16" t="n">
        <v>1244000</v>
      </c>
      <c r="F6" s="16" t="n">
        <v>1270000</v>
      </c>
    </row>
    <row r="7">
      <c r="A7" s="15" t="inlineStr">
        <is>
          <t>Andre driftsindtægter</t>
        </is>
      </c>
      <c r="B7" s="16" t="n">
        <v>73000</v>
      </c>
      <c r="C7" s="16" t="n">
        <v>74000</v>
      </c>
      <c r="D7" s="16" t="n">
        <v>56000</v>
      </c>
      <c r="E7" s="16" t="n">
        <v>75000</v>
      </c>
      <c r="F7" s="16" t="n">
        <v>159000</v>
      </c>
    </row>
    <row r="8">
      <c r="A8" s="15" t="inlineStr">
        <is>
          <t>Andre driftsomkostninger</t>
        </is>
      </c>
      <c r="B8" s="16" t="n">
        <v>29000</v>
      </c>
      <c r="C8" s="16" t="n">
        <v>25000</v>
      </c>
      <c r="D8" s="16" t="n">
        <v>34000</v>
      </c>
      <c r="E8" s="16" t="n">
        <v>76000</v>
      </c>
      <c r="F8" s="16" t="n">
        <v>68000</v>
      </c>
    </row>
    <row r="9">
      <c r="A9" s="17" t="inlineStr">
        <is>
          <t>Resultat af primær drift</t>
        </is>
      </c>
      <c r="B9" s="16" t="n">
        <v>6155000</v>
      </c>
      <c r="C9" s="16" t="n">
        <v>6439000</v>
      </c>
      <c r="D9" s="16" t="n">
        <v>6771000</v>
      </c>
      <c r="E9" s="16" t="n">
        <v>7320000</v>
      </c>
      <c r="F9" s="16" t="n">
        <v>7201000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137000</v>
      </c>
      <c r="C11" s="16" t="n">
        <v>119000</v>
      </c>
      <c r="D11" s="16" t="n">
        <v>191000</v>
      </c>
      <c r="E11" s="16" t="n">
        <v>175000</v>
      </c>
      <c r="F11" s="16" t="n">
        <v>107000</v>
      </c>
    </row>
    <row r="12">
      <c r="A12" s="15" t="inlineStr">
        <is>
          <t>Finansielle omkostninger</t>
        </is>
      </c>
      <c r="B12" s="16" t="n">
        <v>59000</v>
      </c>
      <c r="C12" s="16" t="n">
        <v>431000</v>
      </c>
      <c r="D12" s="16" t="n">
        <v>937000</v>
      </c>
      <c r="E12" s="16" t="n">
        <v>1100000</v>
      </c>
      <c r="F12" s="16" t="n">
        <v>1151000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6233000</v>
      </c>
      <c r="C14" s="16" t="n">
        <v>6127000</v>
      </c>
      <c r="D14" s="16" t="n">
        <v>6025000</v>
      </c>
      <c r="E14" s="16" t="n">
        <v>6395000</v>
      </c>
      <c r="F14" s="16" t="n">
        <v>6157000</v>
      </c>
    </row>
    <row r="15">
      <c r="A15" s="15" t="inlineStr">
        <is>
          <t>Skat af årets resultat</t>
        </is>
      </c>
      <c r="B15" s="16" t="n">
        <v>1408000</v>
      </c>
      <c r="C15" s="16" t="n">
        <v>1421000</v>
      </c>
      <c r="D15" s="16" t="n">
        <v>1242000</v>
      </c>
      <c r="E15" s="16" t="n">
        <v>1343000</v>
      </c>
      <c r="F15" s="16" t="n">
        <v>2521000</v>
      </c>
    </row>
    <row r="16">
      <c r="A16" s="17" t="inlineStr">
        <is>
          <t>Årets resultat</t>
        </is>
      </c>
      <c r="B16" s="16" t="n">
        <v>4825000</v>
      </c>
      <c r="C16" s="16" t="n">
        <v>4706000</v>
      </c>
      <c r="D16" s="16" t="n">
        <v>4783000</v>
      </c>
      <c r="E16" s="16" t="n">
        <v>5052000</v>
      </c>
      <c r="F16" s="16" t="n">
        <v>3636000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/>
      <c r="C18" s="16" t="n"/>
      <c r="D18" s="16" t="n"/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3651000</v>
      </c>
      <c r="C2" s="16" t="n">
        <v>22767000</v>
      </c>
      <c r="D2" s="16" t="n">
        <v>31255000</v>
      </c>
      <c r="E2" s="16" t="n">
        <v>30332000</v>
      </c>
      <c r="F2" s="16" t="n">
        <v>29811000</v>
      </c>
    </row>
    <row r="3">
      <c r="A3" s="17" t="inlineStr">
        <is>
          <t>Materielle anlægsaktiver</t>
        </is>
      </c>
      <c r="B3" s="16" t="n">
        <v>3785000</v>
      </c>
      <c r="C3" s="16" t="n">
        <v>4474000</v>
      </c>
      <c r="D3" s="16" t="n">
        <v>5131000</v>
      </c>
      <c r="E3" s="16" t="n">
        <v>5649000</v>
      </c>
      <c r="F3" s="16" t="n">
        <v>6201000</v>
      </c>
    </row>
    <row r="4">
      <c r="A4" s="15" t="inlineStr">
        <is>
          <t>Kapitalandele, dattervirksomheder</t>
        </is>
      </c>
      <c r="B4" s="16" t="n"/>
      <c r="C4" s="16" t="n"/>
      <c r="D4" s="16" t="n"/>
      <c r="E4" s="16" t="n"/>
      <c r="F4" s="16" t="n"/>
    </row>
    <row r="5">
      <c r="A5" s="15" t="inlineStr">
        <is>
          <t>Deposita</t>
        </is>
      </c>
      <c r="B5" s="16" t="n">
        <v>41000</v>
      </c>
      <c r="C5" s="16" t="n">
        <v>51000</v>
      </c>
      <c r="D5" s="16" t="n">
        <v>65000</v>
      </c>
      <c r="E5" s="16" t="n">
        <v>74000</v>
      </c>
      <c r="F5" s="16" t="n">
        <v>90000</v>
      </c>
    </row>
    <row r="6">
      <c r="A6" s="17" t="inlineStr">
        <is>
          <t>Finansielle anlægsaktiver</t>
        </is>
      </c>
      <c r="B6" s="16" t="n"/>
      <c r="C6" s="16" t="n"/>
      <c r="D6" s="16" t="n"/>
      <c r="E6" s="16" t="n"/>
      <c r="F6" s="16" t="n"/>
    </row>
    <row r="7">
      <c r="A7" s="17" t="inlineStr">
        <is>
          <t>Anlægsaktiver</t>
        </is>
      </c>
      <c r="B7" s="16" t="n">
        <v>8847000</v>
      </c>
      <c r="C7" s="16" t="n">
        <v>28674000</v>
      </c>
      <c r="D7" s="16" t="n">
        <v>38222000</v>
      </c>
      <c r="E7" s="16" t="n">
        <v>37629000</v>
      </c>
      <c r="F7" s="16" t="n">
        <v>37914000</v>
      </c>
    </row>
    <row r="8">
      <c r="A8" s="17" t="inlineStr">
        <is>
          <t>Varebeholdninger</t>
        </is>
      </c>
      <c r="B8" s="16" t="n">
        <v>2428000</v>
      </c>
      <c r="C8" s="16" t="n">
        <v>3187000</v>
      </c>
      <c r="D8" s="16" t="n">
        <v>3522000</v>
      </c>
      <c r="E8" s="16" t="n">
        <v>3672000</v>
      </c>
      <c r="F8" s="16" t="n">
        <v>3919000</v>
      </c>
    </row>
    <row r="9">
      <c r="A9" s="15" t="inlineStr">
        <is>
          <t>Tilgodehavender fra salg og tjenesteydelser</t>
        </is>
      </c>
      <c r="B9" s="16" t="n">
        <v>3212000</v>
      </c>
      <c r="C9" s="16" t="n">
        <v>3940000</v>
      </c>
      <c r="D9" s="16" t="n">
        <v>4315000</v>
      </c>
      <c r="E9" s="16" t="n">
        <v>4675000</v>
      </c>
      <c r="F9" s="16" t="n">
        <v>4658000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Periodeafgrænsningsposter (aktiver)</t>
        </is>
      </c>
      <c r="B12" s="16" t="n">
        <v>172000</v>
      </c>
      <c r="C12" s="16" t="n">
        <v>293000</v>
      </c>
      <c r="D12" s="16" t="n">
        <v>384000</v>
      </c>
      <c r="E12" s="16" t="n">
        <v>434000</v>
      </c>
      <c r="F12" s="16" t="n">
        <v>411000</v>
      </c>
    </row>
    <row r="13">
      <c r="A13" s="15" t="inlineStr">
        <is>
          <t>Udskudt skatteaktiv</t>
        </is>
      </c>
      <c r="B13" s="16" t="n">
        <v>743000</v>
      </c>
      <c r="C13" s="16" t="n">
        <v>674000</v>
      </c>
      <c r="D13" s="16" t="n">
        <v>884000</v>
      </c>
      <c r="E13" s="16" t="n">
        <v>624000</v>
      </c>
      <c r="F13" s="16" t="n">
        <v>587000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>
        <v>282000</v>
      </c>
      <c r="C15" s="16" t="n">
        <v>336000</v>
      </c>
      <c r="D15" s="16" t="n">
        <v>532000</v>
      </c>
      <c r="E15" s="16" t="n">
        <v>509000</v>
      </c>
      <c r="F15" s="16" t="n">
        <v>64000</v>
      </c>
    </row>
    <row r="16">
      <c r="A16" s="17" t="inlineStr">
        <is>
          <t>Tilgodehavender</t>
        </is>
      </c>
      <c r="B16" s="16" t="n">
        <v>226000</v>
      </c>
      <c r="C16" s="16" t="n">
        <v>383000</v>
      </c>
      <c r="D16" s="16" t="n">
        <v>273000</v>
      </c>
      <c r="E16" s="16" t="n">
        <v>366000</v>
      </c>
      <c r="F16" s="16" t="n">
        <v>454000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448000</v>
      </c>
      <c r="C18" s="16" t="n">
        <v>414000</v>
      </c>
      <c r="D18" s="16" t="n">
        <v>911000</v>
      </c>
      <c r="E18" s="16" t="n">
        <v>788000</v>
      </c>
      <c r="F18" s="16" t="n">
        <v>947000</v>
      </c>
    </row>
    <row r="19">
      <c r="A19" s="17" t="inlineStr">
        <is>
          <t>Omsætningsaktiver</t>
        </is>
      </c>
      <c r="B19" s="16" t="n">
        <v>6994000</v>
      </c>
      <c r="C19" s="16" t="n">
        <v>8772000</v>
      </c>
      <c r="D19" s="16" t="n">
        <v>9937000</v>
      </c>
      <c r="E19" s="16" t="n">
        <v>10444000</v>
      </c>
      <c r="F19" s="16" t="n">
        <v>10453000</v>
      </c>
    </row>
    <row r="20">
      <c r="A20" s="17" t="inlineStr">
        <is>
          <t>Aktiver</t>
        </is>
      </c>
      <c r="B20" s="16" t="n">
        <v>15841000</v>
      </c>
      <c r="C20" s="16" t="n">
        <v>37446000</v>
      </c>
      <c r="D20" s="16" t="n">
        <v>48159000</v>
      </c>
      <c r="E20" s="16" t="n">
        <v>48073000</v>
      </c>
      <c r="F20" s="16" t="n">
        <v>48367000</v>
      </c>
    </row>
    <row r="21">
      <c r="A21" s="15" t="inlineStr">
        <is>
          <t>Selskabskapital</t>
        </is>
      </c>
      <c r="B21" s="16" t="n">
        <v>216000</v>
      </c>
      <c r="C21" s="16" t="n">
        <v>216000</v>
      </c>
      <c r="D21" s="16" t="n">
        <v>228000</v>
      </c>
      <c r="E21" s="16" t="n">
        <v>228000</v>
      </c>
      <c r="F21" s="16" t="n">
        <v>228000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>
        <v>-41000</v>
      </c>
      <c r="C25" s="16" t="n">
        <v>415000</v>
      </c>
      <c r="D25" s="16" t="n">
        <v>423000</v>
      </c>
      <c r="E25" s="16" t="n">
        <v>329000</v>
      </c>
      <c r="F25" s="16" t="n">
        <v>356000</v>
      </c>
    </row>
    <row r="26">
      <c r="A26" s="15" t="inlineStr">
        <is>
          <t>Overført resultat</t>
        </is>
      </c>
      <c r="B26" s="16" t="n">
        <v>5406000</v>
      </c>
      <c r="C26" s="16" t="n">
        <v>5386000</v>
      </c>
      <c r="D26" s="16" t="n">
        <v>14632000</v>
      </c>
      <c r="E26" s="16" t="n">
        <v>15391000</v>
      </c>
      <c r="F26" s="16" t="n">
        <v>13618000</v>
      </c>
    </row>
    <row r="27">
      <c r="A27" s="17" t="inlineStr">
        <is>
          <t>Egenkapital i alt</t>
        </is>
      </c>
      <c r="B27" s="16" t="n">
        <v>8168000</v>
      </c>
      <c r="C27" s="16" t="n">
        <v>8292000</v>
      </c>
      <c r="D27" s="16" t="n">
        <v>17299000</v>
      </c>
      <c r="E27" s="16" t="n">
        <v>17942000</v>
      </c>
      <c r="F27" s="16" t="n">
        <v>16122000</v>
      </c>
    </row>
    <row r="28">
      <c r="A28" s="15" t="inlineStr">
        <is>
          <t>Hensættelse til udskudt skat</t>
        </is>
      </c>
      <c r="B28" s="16" t="n">
        <v>671000</v>
      </c>
      <c r="C28" s="16" t="n">
        <v>4567000</v>
      </c>
      <c r="D28" s="16" t="n">
        <v>2122000</v>
      </c>
      <c r="E28" s="16" t="n">
        <v>2481000</v>
      </c>
      <c r="F28" s="16" t="n">
        <v>3042000</v>
      </c>
    </row>
    <row r="29">
      <c r="A29" s="17" t="inlineStr">
        <is>
          <t>Hensatte forpligtelser</t>
        </is>
      </c>
      <c r="B29" s="16" t="n">
        <v>181000</v>
      </c>
      <c r="C29" s="16" t="n">
        <v>115000</v>
      </c>
      <c r="D29" s="16" t="n">
        <v>124000</v>
      </c>
      <c r="E29" s="16" t="n">
        <v>126000</v>
      </c>
      <c r="F29" s="16" t="n">
        <v>111000</v>
      </c>
    </row>
    <row r="30">
      <c r="A30" s="15" t="inlineStr">
        <is>
          <t>Ansvarlig lånekapital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Langfristede lån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Leasingforpligtelser (langfristet)</t>
        </is>
      </c>
      <c r="B32" s="16" t="n">
        <v>449000</v>
      </c>
      <c r="C32" s="16" t="n">
        <v>496000</v>
      </c>
      <c r="D32" s="16" t="n">
        <v>664000</v>
      </c>
      <c r="E32" s="16" t="n">
        <v>734000</v>
      </c>
      <c r="F32" s="16" t="n">
        <v>696000</v>
      </c>
    </row>
    <row r="33">
      <c r="A33" s="15" t="inlineStr">
        <is>
          <t>Anden gæld (langfristet)</t>
        </is>
      </c>
      <c r="B33" s="16" t="n">
        <v>0</v>
      </c>
      <c r="C33" s="16" t="n">
        <v>16359000</v>
      </c>
      <c r="D33" s="16" t="n">
        <v>11558000</v>
      </c>
      <c r="E33" s="16" t="n">
        <v>11557000</v>
      </c>
      <c r="F33" s="16" t="n">
        <v>11570000</v>
      </c>
    </row>
    <row r="34">
      <c r="A34" s="17" t="inlineStr">
        <is>
          <t>Langfristede gældsforpligtelser</t>
        </is>
      </c>
      <c r="B34" s="16" t="n">
        <v>1359000</v>
      </c>
      <c r="C34" s="16" t="n">
        <v>21818000</v>
      </c>
      <c r="D34" s="16" t="n">
        <v>14549000</v>
      </c>
      <c r="E34" s="16" t="n">
        <v>19927000</v>
      </c>
      <c r="F34" s="16" t="n">
        <v>25740000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>
        <v>2160000</v>
      </c>
      <c r="C37" s="16" t="n">
        <v>1644000</v>
      </c>
      <c r="D37" s="16" t="n">
        <v>2268000</v>
      </c>
      <c r="E37" s="16" t="n">
        <v>5085000</v>
      </c>
      <c r="F37" s="16" t="n">
        <v>2328000</v>
      </c>
    </row>
    <row r="38">
      <c r="A38" s="15" t="inlineStr">
        <is>
          <t>Leasingforpligtelser (kortfristet)</t>
        </is>
      </c>
      <c r="B38" s="16" t="n">
        <v>177000</v>
      </c>
      <c r="C38" s="16" t="n">
        <v>209000</v>
      </c>
      <c r="D38" s="16" t="n">
        <v>230000</v>
      </c>
      <c r="E38" s="16" t="n">
        <v>253000</v>
      </c>
      <c r="F38" s="16" t="n">
        <v>262000</v>
      </c>
    </row>
    <row r="39">
      <c r="A39" s="15" t="inlineStr">
        <is>
          <t>Leverandører af varer og tjenesteydelser</t>
        </is>
      </c>
      <c r="B39" s="16" t="n">
        <v>1036000</v>
      </c>
      <c r="C39" s="16" t="n">
        <v>1242000</v>
      </c>
      <c r="D39" s="16" t="n">
        <v>1294000</v>
      </c>
      <c r="E39" s="16" t="n">
        <v>1519000</v>
      </c>
      <c r="F39" s="16" t="n">
        <v>1324000</v>
      </c>
    </row>
    <row r="40">
      <c r="A40" s="15" t="inlineStr">
        <is>
          <t>Gæld til tilknyttede virksomheder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1840000</v>
      </c>
      <c r="C44" s="16" t="n">
        <v>2544000</v>
      </c>
      <c r="D44" s="16" t="n">
        <v>3249000</v>
      </c>
      <c r="E44" s="16" t="n">
        <v>2425000</v>
      </c>
      <c r="F44" s="16" t="n">
        <v>2382000</v>
      </c>
    </row>
    <row r="45">
      <c r="A45" s="15" t="inlineStr">
        <is>
          <t>Periodeafgrænsningsposter (passiver)</t>
        </is>
      </c>
      <c r="B45" s="16" t="n">
        <v>8000</v>
      </c>
      <c r="C45" s="16" t="n">
        <v>2000</v>
      </c>
      <c r="D45" s="16" t="n">
        <v>1000</v>
      </c>
      <c r="E45" s="16" t="n">
        <v>1000</v>
      </c>
      <c r="F45" s="16" t="n">
        <v>1000</v>
      </c>
    </row>
    <row r="46">
      <c r="A46" s="17" t="inlineStr">
        <is>
          <t>Kortfristede gældsforpligtelser</t>
        </is>
      </c>
      <c r="B46" s="16" t="n">
        <v>6314000</v>
      </c>
      <c r="C46" s="16" t="n">
        <v>7336000</v>
      </c>
      <c r="D46" s="16" t="n">
        <v>16311000</v>
      </c>
      <c r="E46" s="16" t="n">
        <v>10204000</v>
      </c>
      <c r="F46" s="16" t="n">
        <v>6505000</v>
      </c>
    </row>
    <row r="47">
      <c r="A47" s="17" t="inlineStr">
        <is>
          <t>Gældsforpligtelser</t>
        </is>
      </c>
      <c r="B47" s="16" t="n">
        <v>7673000</v>
      </c>
      <c r="C47" s="16" t="n">
        <v>29154000</v>
      </c>
      <c r="D47" s="16" t="n">
        <v>30860000</v>
      </c>
      <c r="E47" s="16" t="n">
        <v>30131000</v>
      </c>
      <c r="F47" s="16" t="n">
        <v>32245000</v>
      </c>
    </row>
    <row r="48">
      <c r="A48" s="17" t="inlineStr">
        <is>
          <t>Passiver</t>
        </is>
      </c>
      <c r="B48" s="16" t="n">
        <v>15841000</v>
      </c>
      <c r="C48" s="16" t="n">
        <v>37446000</v>
      </c>
      <c r="D48" s="16" t="n">
        <v>48159000</v>
      </c>
      <c r="E48" s="16" t="n">
        <v>48073000</v>
      </c>
      <c r="F48" s="16" t="n">
        <v>48367000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ifrs-full:AccrualsAndDeferredIncomeClassifiedAsNoncurrent</t>
        </is>
      </c>
      <c r="C4" s="37" t="inlineStr">
        <is>
          <t>ifrs-full:AccrualsAndDeferredIncomeClassifiedAsNoncurrent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ifrs-full:AdjustmentsForAmortisationExpense</t>
        </is>
      </c>
      <c r="C5" s="34" t="inlineStr">
        <is>
          <t>ifrs-full:AdjustmentsForAmortisationExpense</t>
        </is>
      </c>
      <c r="D5" s="35" t="n">
        <v>129000</v>
      </c>
      <c r="E5" s="35" t="n">
        <v>260000</v>
      </c>
      <c r="F5" s="35" t="n">
        <v>334000</v>
      </c>
      <c r="G5" s="35" t="n">
        <v>451000</v>
      </c>
      <c r="H5" s="35" t="n">
        <v>590000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ifrs-full:AdjustmentsForDepreciationExpense</t>
        </is>
      </c>
      <c r="C6" s="37" t="inlineStr">
        <is>
          <t>ifrs-full:AdjustmentsForDepreciationExpense</t>
        </is>
      </c>
      <c r="D6" s="38" t="n">
        <v>663000</v>
      </c>
      <c r="E6" s="38" t="n">
        <v>670000</v>
      </c>
      <c r="F6" s="38" t="n">
        <v>735000</v>
      </c>
      <c r="G6" s="38" t="n">
        <v>839000</v>
      </c>
      <c r="H6" s="38" t="n">
        <v>863000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ifrs-full:CashAndCashEquivalentsInSubsidiaryOrBusinessesAcquiredOrDisposed2013</t>
        </is>
      </c>
      <c r="C7" s="34" t="inlineStr">
        <is>
          <t>ifrs-full:CashAndCashEquivalentsInSubsidiaryOrBusinessesAcquiredOrDisposed2013</t>
        </is>
      </c>
      <c r="D7" s="35" t="n">
        <v>2000</v>
      </c>
      <c r="E7" s="35" t="n">
        <v>-2000</v>
      </c>
      <c r="F7" s="35" t="n">
        <v>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ifrs-full:CurrentBondsIssuedAndCurrentPortionOfNoncurrentBondsIssued</t>
        </is>
      </c>
      <c r="C8" s="37" t="inlineStr">
        <is>
          <t>ifrs-full:CurrentBondsIssuedAndCurrentPortionOfNoncurrentBondsIssued</t>
        </is>
      </c>
      <c r="D8" s="38" t="n"/>
      <c r="E8" s="38" t="n">
        <v>0</v>
      </c>
      <c r="F8" s="38" t="n">
        <v>4847000</v>
      </c>
      <c r="G8" s="38" t="n">
        <v>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ifrs-full:CurrentInvestments</t>
        </is>
      </c>
      <c r="C9" s="34" t="inlineStr">
        <is>
          <t>ifrs-full:CurrentInvestments</t>
        </is>
      </c>
      <c r="D9" s="35" t="n">
        <v>226000</v>
      </c>
      <c r="E9" s="35" t="n">
        <v>219000</v>
      </c>
      <c r="F9" s="35" t="n">
        <v>0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ifrs-full:CurrentProvisionsForEmployeeBenefits</t>
        </is>
      </c>
      <c r="C10" s="37" t="inlineStr">
        <is>
          <t>ifrs-full:CurrentProvisionsForEmployeeBenefits</t>
        </is>
      </c>
      <c r="D10" s="38" t="n">
        <v>15000</v>
      </c>
      <c r="E10" s="38" t="n">
        <v>6000</v>
      </c>
      <c r="F10" s="38" t="n">
        <v>7000</v>
      </c>
      <c r="G10" s="38" t="n">
        <v>7000</v>
      </c>
      <c r="H10" s="38" t="n">
        <v>8000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ifrs-full:DividendsRecognisedAsDistributionsToOwnersOfParentRelatingToPriorYears</t>
        </is>
      </c>
      <c r="C11" s="34" t="inlineStr">
        <is>
          <t>ifrs-full:DividendsRecognisedAsDistributionsToOwnersOfParentRelatingToPriorYears</t>
        </is>
      </c>
      <c r="D11" s="35" t="n">
        <v>0</v>
      </c>
      <c r="E11" s="35" t="n">
        <v>0</v>
      </c>
      <c r="F11" s="35" t="n">
        <v>0</v>
      </c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ifrs-full:DividendsRecognisedAsDistributionsToOwnersPerShare</t>
        </is>
      </c>
      <c r="C12" s="37" t="inlineStr">
        <is>
          <t>ifrs-full:DividendsRecognisedAsDistributionsToOwnersPerShare</t>
        </is>
      </c>
      <c r="D12" s="38" t="n"/>
      <c r="E12" s="38" t="n">
        <v>0</v>
      </c>
      <c r="F12" s="38" t="n">
        <v>0</v>
      </c>
      <c r="G12" s="38" t="n">
        <v>0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ifrs-full:IncreaseDecreaseInCashAndCashEquivalentsDiscontinuedOperations</t>
        </is>
      </c>
      <c r="C13" s="34" t="inlineStr">
        <is>
          <t>ifrs-full:IncreaseDecreaseInCashAndCashEquivalentsDiscontinuedOperations</t>
        </is>
      </c>
      <c r="D13" s="35" t="n"/>
      <c r="E13" s="35" t="n"/>
      <c r="F13" s="35" t="n"/>
      <c r="G13" s="35" t="n">
        <v>-4000</v>
      </c>
      <c r="H13" s="35" t="n">
        <v>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ifrs-full:NoncurrentPortionOfOtherNoncurrentBorrowings</t>
        </is>
      </c>
      <c r="C14" s="37" t="inlineStr">
        <is>
          <t>ifrs-full:NoncurrentPortionOfOtherNoncurrentBorrowings</t>
        </is>
      </c>
      <c r="D14" s="38" t="n"/>
      <c r="E14" s="38" t="n"/>
      <c r="F14" s="38" t="n"/>
      <c r="G14" s="38" t="n">
        <v>5000000</v>
      </c>
      <c r="H14" s="38" t="n">
        <v>7783000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ifrs-full:ProceedsFromIssueOfBondsNotesAndDebentures</t>
        </is>
      </c>
      <c r="C15" s="34" t="inlineStr">
        <is>
          <t>ifrs-full:ProceedsFromIssueOfBondsNotesAndDebentures</t>
        </is>
      </c>
      <c r="D15" s="35" t="n">
        <v>0</v>
      </c>
      <c r="E15" s="35" t="n">
        <v>16367000</v>
      </c>
      <c r="F15" s="35" t="n">
        <v>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ifrs-full:RepaymentsOfBondsNotesAndDebentures</t>
        </is>
      </c>
      <c r="C16" s="37" t="inlineStr">
        <is>
          <t>ifrs-full:RepaymentsOfBondsNotesAndDebentures</t>
        </is>
      </c>
      <c r="D16" s="38" t="n"/>
      <c r="E16" s="38" t="n"/>
      <c r="F16" s="38" t="n"/>
      <c r="G16" s="38" t="n">
        <v>4848000</v>
      </c>
      <c r="H16" s="38" t="n">
        <v>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ifrs-full:ResearchAndDevelopmentExpense</t>
        </is>
      </c>
      <c r="C17" s="34" t="inlineStr">
        <is>
          <t>ifrs-full:ResearchAndDevelopmentExpense</t>
        </is>
      </c>
      <c r="D17" s="35" t="n">
        <v>755000</v>
      </c>
      <c r="E17" s="35" t="n">
        <v>866000</v>
      </c>
      <c r="F17" s="35" t="n">
        <v>872000</v>
      </c>
      <c r="G17" s="35" t="n">
        <v>913000</v>
      </c>
      <c r="H17" s="35" t="n">
        <v>946000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ifrs-full:ReserveOfExchangeDifferencesOnTranslation</t>
        </is>
      </c>
      <c r="C18" s="37" t="inlineStr">
        <is>
          <t>ifrs-full:ReserveOfExchangeDifferencesOnTranslation</t>
        </is>
      </c>
      <c r="D18" s="38" t="n">
        <v>-392000</v>
      </c>
      <c r="E18" s="38" t="n">
        <v>-910000</v>
      </c>
      <c r="F18" s="38" t="n">
        <v>-1579000</v>
      </c>
      <c r="G18" s="38" t="n">
        <v>-1837000</v>
      </c>
      <c r="H18" s="38" t="n">
        <v>-2137000</v>
      </c>
      <c r="I1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2026-09-07T18:57:18Z</dcterms:created>
  <dcterms:modified xmlns:dcterms="http://purl.org/dc/terms/" xmlns:xsi="http://www.w3.org/2001/XMLSchema-instance" xsi:type="dcterms:W3CDTF">2026-09-07T18:57:18Z</dcterms:modified>
</cp:coreProperties>
</file>