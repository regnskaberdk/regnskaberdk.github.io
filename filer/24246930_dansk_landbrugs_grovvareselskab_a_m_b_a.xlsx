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dlg (CVR None) — Regnskabsanalyse – Resultatopgørelse &amp; Balance (valuta pr. år - se kolonneoverskrifter)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valuta pr. år - se kolonneoverskrifter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valuta pr. år - se kolonneoverskrifter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  <row r="91">
      <c r="A91" s="15" t="inlineStr">
        <is>
          <t>PENGESTRØMSOPGØRELSE valuta pr. år - se kolonneoverskrifter</t>
        </is>
      </c>
    </row>
    <row r="92">
      <c r="A92" s="16" t="inlineStr">
        <is>
          <t>Pengestrømme fra driftsaktivitet</t>
        </is>
      </c>
      <c r="B92" s="17">
        <f>'pengestrom_raw'!$B$2</f>
        <v/>
      </c>
      <c r="C92" s="17">
        <f>'pengestrom_raw'!$C$2</f>
        <v/>
      </c>
      <c r="D92" s="17">
        <f>'pengestrom_raw'!$D$2</f>
        <v/>
      </c>
      <c r="E92" s="17">
        <f>'pengestrom_raw'!$E$2</f>
        <v/>
      </c>
      <c r="F92" s="17">
        <f>'pengestrom_raw'!$F$2</f>
        <v/>
      </c>
    </row>
    <row r="93">
      <c r="A93" s="16" t="inlineStr">
        <is>
          <t>Pengestrømme fra investeringsaktivitet</t>
        </is>
      </c>
      <c r="B93" s="17">
        <f>'pengestrom_raw'!$B$3</f>
        <v/>
      </c>
      <c r="C93" s="17">
        <f>'pengestrom_raw'!$C$3</f>
        <v/>
      </c>
      <c r="D93" s="17">
        <f>'pengestrom_raw'!$D$3</f>
        <v/>
      </c>
      <c r="E93" s="17">
        <f>'pengestrom_raw'!$E$3</f>
        <v/>
      </c>
      <c r="F93" s="17">
        <f>'pengestrom_raw'!$F$3</f>
        <v/>
      </c>
    </row>
    <row r="94">
      <c r="A94" s="16" t="inlineStr">
        <is>
          <t>Pengestrømme fra finansieringsaktivitet</t>
        </is>
      </c>
      <c r="B94" s="17">
        <f>'pengestrom_raw'!$B$4</f>
        <v/>
      </c>
      <c r="C94" s="17">
        <f>'pengestrom_raw'!$C$4</f>
        <v/>
      </c>
      <c r="D94" s="17">
        <f>'pengestrom_raw'!$D$4</f>
        <v/>
      </c>
      <c r="E94" s="17">
        <f>'pengestrom_raw'!$E$4</f>
        <v/>
      </c>
      <c r="F94" s="17">
        <f>'pengestrom_raw'!$F$4</f>
        <v/>
      </c>
    </row>
    <row r="95">
      <c r="A95" s="16" t="inlineStr">
        <is>
          <t>Årets pengestrøm (rapporteret)</t>
        </is>
      </c>
      <c r="B95" s="17">
        <f>'pengestrom_raw'!$B$5</f>
        <v/>
      </c>
      <c r="C95" s="17">
        <f>'pengestrom_raw'!$C$5</f>
        <v/>
      </c>
      <c r="D95" s="17">
        <f>'pengestrom_raw'!$D$5</f>
        <v/>
      </c>
      <c r="E95" s="17">
        <f>'pengestrom_raw'!$E$5</f>
        <v/>
      </c>
      <c r="F95" s="17">
        <f>'pengestrom_raw'!$F$5</f>
        <v/>
      </c>
    </row>
    <row r="96">
      <c r="A96" s="16" t="inlineStr">
        <is>
          <t>Krydstjek: drift + inv. + fin. = årets pengestrøm</t>
        </is>
      </c>
      <c r="B9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(CVR None) — 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54551000</v>
      </c>
      <c r="C2" s="17" t="n">
        <v>74875000</v>
      </c>
      <c r="D2" s="17" t="n">
        <v>62443000</v>
      </c>
      <c r="E2" s="17" t="n">
        <v>56081000</v>
      </c>
      <c r="F2" s="17" t="n">
        <v>57123000</v>
      </c>
    </row>
    <row r="3">
      <c r="A3" s="16" t="inlineStr">
        <is>
          <t>Produktionsomkostninger</t>
        </is>
      </c>
      <c r="B3" s="17" t="n">
        <v>49051000</v>
      </c>
      <c r="C3" s="17" t="n">
        <v>68421000</v>
      </c>
      <c r="D3" s="17" t="n">
        <v>56139000</v>
      </c>
      <c r="E3" s="17" t="n">
        <v>50273000</v>
      </c>
      <c r="F3" s="17" t="n">
        <v>51347000</v>
      </c>
    </row>
    <row r="4">
      <c r="A4" s="15" t="inlineStr">
        <is>
          <t>Bruttoresultat</t>
        </is>
      </c>
      <c r="B4" s="17" t="n">
        <v>5500000</v>
      </c>
      <c r="C4" s="17" t="n">
        <v>6454000</v>
      </c>
      <c r="D4" s="17" t="n">
        <v>6304000</v>
      </c>
      <c r="E4" s="17" t="n">
        <v>5808000</v>
      </c>
      <c r="F4" s="17" t="n">
        <v>5776000</v>
      </c>
    </row>
    <row r="5">
      <c r="A5" s="16" t="inlineStr">
        <is>
          <t>Salgs- og distributionsomkostninger</t>
        </is>
      </c>
      <c r="B5" s="17" t="n">
        <v>3563000</v>
      </c>
      <c r="C5" s="17" t="n">
        <v>3939000</v>
      </c>
      <c r="D5" s="17" t="n">
        <v>3754000</v>
      </c>
      <c r="E5" s="17" t="n">
        <v>3861000</v>
      </c>
      <c r="F5" s="17" t="n">
        <v>3895000</v>
      </c>
    </row>
    <row r="6">
      <c r="A6" s="16" t="inlineStr">
        <is>
          <t>Administrationsomkostninger</t>
        </is>
      </c>
      <c r="B6" s="17" t="n">
        <v>1019000</v>
      </c>
      <c r="C6" s="17" t="n">
        <v>1234000</v>
      </c>
      <c r="D6" s="17" t="n">
        <v>1349000</v>
      </c>
      <c r="E6" s="17" t="n">
        <v>1353000</v>
      </c>
      <c r="F6" s="17" t="n">
        <v>1457000</v>
      </c>
    </row>
    <row r="7">
      <c r="A7" s="16" t="inlineStr">
        <is>
          <t>Andre driftsindtægter</t>
        </is>
      </c>
      <c r="B7" s="17" t="n">
        <v>210000</v>
      </c>
      <c r="C7" s="17" t="n">
        <v>270000</v>
      </c>
      <c r="D7" s="17" t="n">
        <v>188000</v>
      </c>
      <c r="E7" s="17" t="n">
        <v>386000</v>
      </c>
      <c r="F7" s="17" t="n">
        <v>302000</v>
      </c>
    </row>
    <row r="8">
      <c r="A8" s="16" t="inlineStr">
        <is>
          <t>Andre driftsomkostninger</t>
        </is>
      </c>
      <c r="B8" s="17" t="n">
        <v>33000</v>
      </c>
      <c r="C8" s="17" t="n">
        <v>55000</v>
      </c>
      <c r="D8" s="17" t="n">
        <v>33000</v>
      </c>
      <c r="E8" s="17" t="n">
        <v>18000</v>
      </c>
      <c r="F8" s="17" t="n">
        <v>22000</v>
      </c>
    </row>
    <row r="9">
      <c r="A9" s="15" t="inlineStr">
        <is>
          <t>Resultat af primær drift</t>
        </is>
      </c>
      <c r="B9" s="17" t="n">
        <v>1194000</v>
      </c>
      <c r="C9" s="17" t="n">
        <v>1612000</v>
      </c>
      <c r="D9" s="17" t="n">
        <v>1602000</v>
      </c>
      <c r="E9" s="17" t="n">
        <v>846000</v>
      </c>
      <c r="F9" s="17" t="n">
        <v>445000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>
        <v>181000</v>
      </c>
      <c r="F10" s="17" t="n">
        <v>262000</v>
      </c>
    </row>
    <row r="11">
      <c r="A11" s="16" t="inlineStr">
        <is>
          <t>Finansielle indtægter</t>
        </is>
      </c>
      <c r="B11" s="17" t="n">
        <v>14000</v>
      </c>
      <c r="C11" s="17" t="n">
        <v>21000</v>
      </c>
      <c r="D11" s="17" t="n">
        <v>44000</v>
      </c>
      <c r="E11" s="17" t="n">
        <v>32000</v>
      </c>
      <c r="F11" s="17" t="n">
        <v>22000</v>
      </c>
    </row>
    <row r="12">
      <c r="A12" s="16" t="inlineStr">
        <is>
          <t>Finansielle omkostninger</t>
        </is>
      </c>
      <c r="B12" s="17" t="n">
        <v>306000</v>
      </c>
      <c r="C12" s="17" t="n">
        <v>329000</v>
      </c>
      <c r="D12" s="17" t="n">
        <v>627000</v>
      </c>
      <c r="E12" s="17" t="n">
        <v>931000</v>
      </c>
      <c r="F12" s="17" t="n">
        <v>659000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902000</v>
      </c>
      <c r="C14" s="17" t="n">
        <v>1304000</v>
      </c>
      <c r="D14" s="17" t="n">
        <v>1019000</v>
      </c>
      <c r="E14" s="17" t="n">
        <v>-53000</v>
      </c>
      <c r="F14" s="17" t="n">
        <v>-192000</v>
      </c>
    </row>
    <row r="15">
      <c r="A15" s="16" t="inlineStr">
        <is>
          <t>Skat af årets resultat</t>
        </is>
      </c>
      <c r="B15" s="17" t="n">
        <v>169000</v>
      </c>
      <c r="C15" s="17" t="n">
        <v>230000</v>
      </c>
      <c r="D15" s="17" t="n">
        <v>259000</v>
      </c>
      <c r="E15" s="17" t="n">
        <v>132000</v>
      </c>
      <c r="F15" s="17" t="n">
        <v>160000</v>
      </c>
    </row>
    <row r="16">
      <c r="A16" s="15" t="inlineStr">
        <is>
          <t>Årets resultat</t>
        </is>
      </c>
      <c r="B16" s="17" t="n">
        <v>733000</v>
      </c>
      <c r="C16" s="17" t="n">
        <v>1074000</v>
      </c>
      <c r="D16" s="17" t="n">
        <v>760000</v>
      </c>
      <c r="E16" s="17" t="n">
        <v>-185000</v>
      </c>
      <c r="F16" s="17" t="n">
        <v>-352000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/>
      <c r="C18" s="17" t="n"/>
      <c r="D18" s="17" t="n"/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(CVR None) — 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>
        <v>2998000</v>
      </c>
      <c r="F4" s="17" t="n">
        <v>3046000</v>
      </c>
    </row>
    <row r="5">
      <c r="A5" s="15" t="inlineStr">
        <is>
          <t>Immaterielle anlægsaktiver</t>
        </is>
      </c>
      <c r="B5" s="17" t="n">
        <v>3381000</v>
      </c>
      <c r="C5" s="17" t="n">
        <v>3485000</v>
      </c>
      <c r="D5" s="17" t="n">
        <v>3572000</v>
      </c>
      <c r="E5" s="17" t="n">
        <v>652000</v>
      </c>
      <c r="F5" s="17" t="n">
        <v>503000</v>
      </c>
    </row>
    <row r="6">
      <c r="A6" s="15" t="inlineStr">
        <is>
          <t>Materielle anlægsaktiver</t>
        </is>
      </c>
      <c r="B6" s="17" t="n">
        <v>9059000</v>
      </c>
      <c r="C6" s="17" t="n">
        <v>8747000</v>
      </c>
      <c r="D6" s="17" t="n">
        <v>8990000</v>
      </c>
      <c r="E6" s="17" t="n">
        <v>8704000</v>
      </c>
      <c r="F6" s="17" t="n">
        <v>8495000</v>
      </c>
    </row>
    <row r="7">
      <c r="A7" s="16" t="inlineStr">
        <is>
          <t>Kapitalandele, dattervirksomheder</t>
        </is>
      </c>
      <c r="B7" s="17" t="n">
        <v>2238000</v>
      </c>
      <c r="C7" s="17" t="n">
        <v>2484000</v>
      </c>
      <c r="D7" s="17" t="n">
        <v>2687000</v>
      </c>
      <c r="E7" s="17" t="n">
        <v>2628000</v>
      </c>
      <c r="F7" s="17" t="n">
        <v>2913000</v>
      </c>
    </row>
    <row r="8">
      <c r="A8" s="16" t="inlineStr">
        <is>
          <t>Deposita</t>
        </is>
      </c>
      <c r="B8" s="17" t="n">
        <v>239000</v>
      </c>
      <c r="C8" s="17" t="n">
        <v>342000</v>
      </c>
      <c r="D8" s="17" t="n">
        <v>729000</v>
      </c>
      <c r="E8" s="17" t="n">
        <v>650000</v>
      </c>
      <c r="F8" s="17" t="n">
        <v>573000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15321000</v>
      </c>
      <c r="C10" s="17" t="n">
        <v>15629000</v>
      </c>
      <c r="D10" s="17" t="n">
        <v>16538000</v>
      </c>
      <c r="E10" s="17" t="n">
        <v>16106000</v>
      </c>
      <c r="F10" s="17" t="n">
        <v>15915000</v>
      </c>
    </row>
    <row r="11">
      <c r="A11" s="15" t="inlineStr">
        <is>
          <t>Varebeholdninger</t>
        </is>
      </c>
      <c r="B11" s="17" t="n">
        <v>5578000</v>
      </c>
      <c r="C11" s="17" t="n">
        <v>5996000</v>
      </c>
      <c r="D11" s="17" t="n">
        <v>5623000</v>
      </c>
      <c r="E11" s="17" t="n">
        <v>5792000</v>
      </c>
      <c r="F11" s="17" t="n">
        <v>5679000</v>
      </c>
    </row>
    <row r="12">
      <c r="A12" s="16" t="inlineStr">
        <is>
          <t>Tilgodehavender fra salg og tjenesteydelser</t>
        </is>
      </c>
      <c r="B12" s="17" t="n">
        <v>2724000</v>
      </c>
      <c r="C12" s="17" t="n">
        <v>3144000</v>
      </c>
      <c r="D12" s="17" t="n">
        <v>2576000</v>
      </c>
      <c r="E12" s="17" t="n">
        <v>2562000</v>
      </c>
      <c r="F12" s="17" t="n">
        <v>2176000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3677000</v>
      </c>
      <c r="C14" s="17" t="n">
        <v>3436000</v>
      </c>
      <c r="D14" s="17" t="n">
        <v>2506000</v>
      </c>
      <c r="E14" s="17" t="n">
        <v>666000</v>
      </c>
      <c r="F14" s="17" t="n">
        <v>634000</v>
      </c>
    </row>
    <row r="15">
      <c r="A15" s="16" t="inlineStr">
        <is>
          <t>Periodeafgrænsningsposter (aktiver)</t>
        </is>
      </c>
      <c r="B15" s="17" t="n"/>
      <c r="C15" s="17" t="n">
        <v>358000</v>
      </c>
      <c r="D15" s="17" t="n">
        <v>197000</v>
      </c>
      <c r="E15" s="17" t="n">
        <v>193000</v>
      </c>
      <c r="F15" s="17" t="n">
        <v>165000</v>
      </c>
    </row>
    <row r="16">
      <c r="A16" s="16" t="inlineStr">
        <is>
          <t>Udskudt skatteaktiv</t>
        </is>
      </c>
      <c r="B16" s="17" t="n">
        <v>238000</v>
      </c>
      <c r="C16" s="17" t="n">
        <v>419000</v>
      </c>
      <c r="D16" s="17" t="n">
        <v>427000</v>
      </c>
      <c r="E16" s="17" t="n">
        <v>369000</v>
      </c>
      <c r="F16" s="17" t="n">
        <v>354000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43000</v>
      </c>
      <c r="C18" s="17" t="n">
        <v>63000</v>
      </c>
      <c r="D18" s="17" t="n">
        <v>113000</v>
      </c>
      <c r="E18" s="17" t="n">
        <v>114000</v>
      </c>
      <c r="F18" s="17" t="n">
        <v>207000</v>
      </c>
    </row>
    <row r="19">
      <c r="A19" s="15" t="inlineStr">
        <is>
          <t>Tilgodehavender</t>
        </is>
      </c>
      <c r="B19" s="17" t="n">
        <v>800000</v>
      </c>
      <c r="C19" s="17" t="n">
        <v>876000</v>
      </c>
      <c r="D19" s="17" t="n">
        <v>732000</v>
      </c>
      <c r="E19" s="17" t="n">
        <v>752000</v>
      </c>
      <c r="F19" s="17" t="n">
        <v>581000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404000</v>
      </c>
      <c r="C21" s="17" t="n">
        <v>382000</v>
      </c>
      <c r="D21" s="17" t="n">
        <v>280000</v>
      </c>
      <c r="E21" s="17" t="n">
        <v>307000</v>
      </c>
      <c r="F21" s="17" t="n">
        <v>474000</v>
      </c>
    </row>
    <row r="22">
      <c r="A22" s="15" t="inlineStr">
        <is>
          <t>Omsætningsaktiver</t>
        </is>
      </c>
      <c r="B22" s="17" t="n">
        <v>11741000</v>
      </c>
      <c r="C22" s="17" t="n">
        <v>12100000</v>
      </c>
      <c r="D22" s="17" t="n">
        <v>10059000</v>
      </c>
      <c r="E22" s="17" t="n">
        <v>10308000</v>
      </c>
      <c r="F22" s="17" t="n">
        <v>9719000</v>
      </c>
    </row>
    <row r="23">
      <c r="A23" s="15" t="inlineStr">
        <is>
          <t>Aktiver</t>
        </is>
      </c>
      <c r="B23" s="17" t="n">
        <v>27062000</v>
      </c>
      <c r="C23" s="17" t="n">
        <v>27729000</v>
      </c>
      <c r="D23" s="17" t="n">
        <v>26597000</v>
      </c>
      <c r="E23" s="17" t="n">
        <v>26414000</v>
      </c>
      <c r="F23" s="17" t="n">
        <v>25634000</v>
      </c>
    </row>
    <row r="24">
      <c r="A24" s="16" t="inlineStr">
        <is>
          <t>Selskabskapital</t>
        </is>
      </c>
      <c r="B24" s="17" t="n">
        <v>1353000</v>
      </c>
      <c r="C24" s="17" t="n">
        <v>1472000</v>
      </c>
      <c r="D24" s="17" t="n">
        <v>1590000</v>
      </c>
      <c r="E24" s="17" t="n">
        <v>1663000</v>
      </c>
      <c r="F24" s="17" t="n">
        <v>1607000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2311000</v>
      </c>
      <c r="C28" s="17" t="n">
        <v>1039000</v>
      </c>
      <c r="D28" s="17" t="n">
        <v>1155000</v>
      </c>
      <c r="E28" s="17" t="n">
        <v>1300000</v>
      </c>
      <c r="F28" s="17" t="n">
        <v>1123000</v>
      </c>
    </row>
    <row r="29">
      <c r="A29" s="16" t="inlineStr">
        <is>
          <t>Overført resultat</t>
        </is>
      </c>
      <c r="B29" s="17" t="n">
        <v>698000</v>
      </c>
      <c r="C29" s="17" t="n">
        <v>2714000</v>
      </c>
      <c r="D29" s="17" t="n">
        <v>2916000</v>
      </c>
      <c r="E29" s="17" t="n">
        <v>2563000</v>
      </c>
      <c r="F29" s="17" t="n">
        <v>2129000</v>
      </c>
    </row>
    <row r="30">
      <c r="A30" s="15" t="inlineStr">
        <is>
          <t>Egenkapital i alt</t>
        </is>
      </c>
      <c r="B30" s="17" t="n">
        <v>7339000</v>
      </c>
      <c r="C30" s="17" t="n">
        <v>8248000</v>
      </c>
      <c r="D30" s="17" t="n">
        <v>8575000</v>
      </c>
      <c r="E30" s="17" t="n">
        <v>8206000</v>
      </c>
      <c r="F30" s="17" t="n">
        <v>7560000</v>
      </c>
    </row>
    <row r="31">
      <c r="A31" s="16" t="inlineStr">
        <is>
          <t>Hensættelse til udskudt skat</t>
        </is>
      </c>
      <c r="B31" s="17" t="n">
        <v>472000</v>
      </c>
      <c r="C31" s="17" t="n">
        <v>485000</v>
      </c>
      <c r="D31" s="17" t="n">
        <v>503000</v>
      </c>
      <c r="E31" s="17" t="n">
        <v>453000</v>
      </c>
      <c r="F31" s="17" t="n">
        <v>460000</v>
      </c>
    </row>
    <row r="32">
      <c r="A32" s="15" t="inlineStr">
        <is>
          <t>Hensatte forpligtelser</t>
        </is>
      </c>
      <c r="B32" s="17" t="n">
        <v>210000</v>
      </c>
      <c r="C32" s="17" t="n">
        <v>156000</v>
      </c>
      <c r="D32" s="17" t="n">
        <v>141000</v>
      </c>
      <c r="E32" s="17" t="n">
        <v>140000</v>
      </c>
      <c r="F32" s="17" t="n">
        <v>132000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>
        <v>1456000</v>
      </c>
      <c r="C35" s="17" t="n">
        <v>1410000</v>
      </c>
      <c r="D35" s="17" t="n">
        <v>1257000</v>
      </c>
      <c r="E35" s="17" t="n">
        <v>1137000</v>
      </c>
      <c r="F35" s="17" t="n">
        <v>1068000</v>
      </c>
    </row>
    <row r="36">
      <c r="A36" s="16" t="inlineStr">
        <is>
          <t>Anden gæld (langfristet)</t>
        </is>
      </c>
      <c r="B36" s="17" t="n">
        <v>271000</v>
      </c>
      <c r="C36" s="17" t="n">
        <v>233000</v>
      </c>
      <c r="D36" s="17" t="n">
        <v>198000</v>
      </c>
      <c r="E36" s="17" t="n">
        <v>5070000</v>
      </c>
      <c r="F36" s="17" t="n">
        <v>4821000</v>
      </c>
    </row>
    <row r="37">
      <c r="A37" s="15" t="inlineStr">
        <is>
          <t>Langfristede gældsforpligtelser</t>
        </is>
      </c>
      <c r="B37" s="17" t="n">
        <v>4748000</v>
      </c>
      <c r="C37" s="17" t="n">
        <v>4621000</v>
      </c>
      <c r="D37" s="17" t="n">
        <v>7265000</v>
      </c>
      <c r="E37" s="17" t="n">
        <v>6862000</v>
      </c>
      <c r="F37" s="17" t="n">
        <v>6571000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(kortfristet)</t>
        </is>
      </c>
      <c r="B41" s="17" t="n">
        <v>195000</v>
      </c>
      <c r="C41" s="17" t="n">
        <v>208000</v>
      </c>
      <c r="D41" s="17" t="n">
        <v>212000</v>
      </c>
      <c r="E41" s="17" t="n">
        <v>191000</v>
      </c>
      <c r="F41" s="17" t="n">
        <v>172000</v>
      </c>
    </row>
    <row r="42">
      <c r="A42" s="16" t="inlineStr">
        <is>
          <t>Leverandører af varer og tjenesteydelser</t>
        </is>
      </c>
      <c r="B42" s="17" t="n">
        <v>3990000</v>
      </c>
      <c r="C42" s="17" t="n">
        <v>4245000</v>
      </c>
      <c r="D42" s="17" t="n">
        <v>2973000</v>
      </c>
      <c r="E42" s="17" t="n">
        <v>2871000</v>
      </c>
      <c r="F42" s="17" t="n">
        <v>3502000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1765000</v>
      </c>
      <c r="C47" s="17" t="n">
        <v>2114000</v>
      </c>
      <c r="D47" s="17" t="n">
        <v>1883000</v>
      </c>
      <c r="E47" s="17" t="n">
        <v>5397000</v>
      </c>
      <c r="F47" s="17" t="n">
        <v>5280000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14975000</v>
      </c>
      <c r="C49" s="17" t="n">
        <v>14860000</v>
      </c>
      <c r="D49" s="17" t="n">
        <v>10757000</v>
      </c>
      <c r="E49" s="17" t="n">
        <v>11346000</v>
      </c>
      <c r="F49" s="17" t="n">
        <v>11503000</v>
      </c>
    </row>
    <row r="50">
      <c r="A50" s="15" t="inlineStr">
        <is>
          <t>Gældsforpligtelser</t>
        </is>
      </c>
      <c r="B50" s="17" t="n">
        <v>19723000</v>
      </c>
      <c r="C50" s="17" t="n">
        <v>19481000</v>
      </c>
      <c r="D50" s="17" t="n">
        <v>18022000</v>
      </c>
      <c r="E50" s="17" t="n">
        <v>18208000</v>
      </c>
      <c r="F50" s="17" t="n">
        <v>18074000</v>
      </c>
    </row>
    <row r="51">
      <c r="A51" s="15" t="inlineStr">
        <is>
          <t>Passiver</t>
        </is>
      </c>
      <c r="B51" s="17" t="n">
        <v>27062000</v>
      </c>
      <c r="C51" s="17" t="n">
        <v>27729000</v>
      </c>
      <c r="D51" s="17" t="n">
        <v>26597000</v>
      </c>
      <c r="E51" s="17" t="n">
        <v>26414000</v>
      </c>
      <c r="F51" s="17" t="n">
        <v>25634000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dlg (CVR None) — Pengestrømsopgørelse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635000</v>
      </c>
      <c r="C2" s="17" t="n">
        <v>1024000</v>
      </c>
      <c r="D2" s="17" t="n">
        <v>343000</v>
      </c>
      <c r="E2" s="17" t="n">
        <v>575000</v>
      </c>
      <c r="F2" s="17" t="n">
        <v>1592000</v>
      </c>
    </row>
    <row r="3">
      <c r="A3" s="16" t="inlineStr">
        <is>
          <t>Pengestrømme fra investeringsaktivitet</t>
        </is>
      </c>
      <c r="B3" s="17" t="n">
        <v>-1148000</v>
      </c>
      <c r="C3" s="17" t="n">
        <v>-790000</v>
      </c>
      <c r="D3" s="17" t="n">
        <v>-1530000</v>
      </c>
      <c r="E3" s="17" t="n">
        <v>-706000</v>
      </c>
      <c r="F3" s="17" t="n">
        <v>-592000</v>
      </c>
    </row>
    <row r="4">
      <c r="A4" s="16" t="inlineStr">
        <is>
          <t>Pengestrømme fra finansieringsaktivitet</t>
        </is>
      </c>
      <c r="B4" s="17" t="n">
        <v>736000</v>
      </c>
      <c r="C4" s="17" t="n">
        <v>-256000</v>
      </c>
      <c r="D4" s="17" t="n">
        <v>1085000</v>
      </c>
      <c r="E4" s="17" t="n">
        <v>158000</v>
      </c>
      <c r="F4" s="17" t="n">
        <v>-789000</v>
      </c>
    </row>
    <row r="5">
      <c r="A5" s="16" t="inlineStr">
        <is>
          <t>Årets pengestrøm</t>
        </is>
      </c>
      <c r="B5" s="17" t="n">
        <v>208000</v>
      </c>
      <c r="C5" s="17" t="n">
        <v>-22000</v>
      </c>
      <c r="D5" s="17" t="n">
        <v>-102000</v>
      </c>
      <c r="E5" s="17" t="n">
        <v>27000</v>
      </c>
      <c r="F5" s="17" t="n">
        <v>211000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dlg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valuta pr. år - se kolonneoverskrifter"))</f>
        <v/>
      </c>
      <c r="C60" s="29">
        <f>IF('balance_raw'!$E$23="","—",IF(ABS(C20-'balance_raw'!$E$23)&lt;=1,"✓ OK","❌ "&amp;TEXT(C20-'balance_raw'!$E$23,"+#,##0;-#,##0")&amp;" valuta pr. år - se kolonneoverskrifter"))</f>
        <v/>
      </c>
      <c r="D60" s="29">
        <f>IF('balance_raw'!$D$23="","—",IF(ABS(D20-'balance_raw'!$D$23)&lt;=1,"✓ OK","❌ "&amp;TEXT(D20-'balance_raw'!$D$23,"+#,##0;-#,##0")&amp;" valuta pr. år - se kolonneoverskrifter"))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valuta pr. år - se kolonneoverskrifter"))</f>
        <v/>
      </c>
      <c r="C61" s="29">
        <f>IF('balance_raw'!$E$51="","—",IF(ABS(C24-'balance_raw'!$E$51)&lt;=1,"✓ OK","❌ "&amp;TEXT(C24-'balance_raw'!$E$51,"+#,##0;-#,##0")&amp;" valuta pr. år - se kolonneoverskrifter"))</f>
        <v/>
      </c>
      <c r="D61" s="29">
        <f>IF('balance_raw'!$D$51="","—",IF(ABS(D24-'balance_raw'!$D$51)&lt;=1,"✓ OK","❌ "&amp;TEXT(D24-'balance_raw'!$D$51,"+#,##0;-#,##0")&amp;" valuta pr. år - se kolonneoverskrifter"))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valuta pr. år - se kolonneoverskrifter")</f>
        <v/>
      </c>
      <c r="C62" s="29">
        <f>IF(ABS(C20-C24)&lt;=1,"✓ OK","❌ "&amp;TEXT(C20-C24,"+#,##0;-#,##0")&amp;" valuta pr. år - se kolonneoverskrifter")</f>
        <v/>
      </c>
      <c r="D62" s="29">
        <f>IF(ABS(D20-D24)&lt;=1,"✓ OK","❌ "&amp;TEXT(D20-D24,"+#,##0;-#,##0")&amp;" valuta pr. år - se kolonneoverskrifter")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valuta pr. år - se kolonneoverskrifter"))</f>
        <v/>
      </c>
      <c r="C63" s="29">
        <f>IF('res_raw'!$E$4="","—",IF(ABS(C7-'res_raw'!$E$4)&lt;=1,"✓ OK","❌ "&amp;TEXT(C7-'res_raw'!$E$4,"+#,##0;-#,##0")&amp;" valuta pr. år - se kolonneoverskrifter"))</f>
        <v/>
      </c>
      <c r="D63" s="29">
        <f>IF('res_raw'!$D$4="","—",IF(ABS(D7-'res_raw'!$D$4)&lt;=1,"✓ OK","❌ "&amp;TEXT(D7-'res_raw'!$D$4,"+#,##0;-#,##0")&amp;" valuta pr. år - se kolonneoverskrifter"))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valuta pr. år - se kolonneoverskrifter"))</f>
        <v/>
      </c>
      <c r="C64" s="29">
        <f>IF('res_raw'!$E$9="","—",IF(ABS(C12-'res_raw'!$E$9)&lt;=1,"✓ OK","❌ "&amp;TEXT(C12-'res_raw'!$E$9,"+#,##0;-#,##0")&amp;" valuta pr. år - se kolonneoverskrifter"))</f>
        <v/>
      </c>
      <c r="D64" s="29">
        <f>IF('res_raw'!$D$9="","—",IF(ABS(D12-'res_raw'!$D$9)&lt;=1,"✓ OK","❌ "&amp;TEXT(D12-'res_raw'!$D$9,"+#,##0;-#,##0")&amp;" valuta pr. år - se kolonneoverskrifter"))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valuta pr. år - se kolonneoverskrifter"))</f>
        <v/>
      </c>
      <c r="C65" s="29">
        <f>IF('res_raw'!$E$14="","—",IF(ABS(C15-'res_raw'!$E$14)&lt;=1,"✓ OK","❌ "&amp;TEXT(C15-'res_raw'!$E$14,"+#,##0;-#,##0")&amp;" valuta pr. år - se kolonneoverskrifter"))</f>
        <v/>
      </c>
      <c r="D65" s="29">
        <f>IF('res_raw'!$D$14="","—",IF(ABS(D15-'res_raw'!$D$14)&lt;=1,"✓ OK","❌ "&amp;TEXT(D15-'res_raw'!$D$14,"+#,##0;-#,##0")&amp;" valuta pr. år - se kolonneoverskrifter"))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dlg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ifrs-full:AdjustmentsForIncreaseDecreaseInEmployeeBenefitLiabilities</t>
        </is>
      </c>
      <c r="C3" s="34" t="inlineStr">
        <is>
          <t>ifrs-full:AdjustmentsForIncreaseDecreaseInEmployeeBenefitLiabilities</t>
        </is>
      </c>
      <c r="D3" s="35" t="n">
        <v>2000</v>
      </c>
      <c r="E3" s="35" t="n">
        <v>-1000</v>
      </c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ifrs-full:CashAdvancesAndLoansMadeToRelatedParties</t>
        </is>
      </c>
      <c r="C4" s="37" t="inlineStr">
        <is>
          <t>ifrs-full:CashAdvancesAndLoansMadeToRelatedParties</t>
        </is>
      </c>
      <c r="D4" s="38" t="n">
        <v>73000</v>
      </c>
      <c r="E4" s="38" t="n">
        <v>15000</v>
      </c>
      <c r="F4" s="38" t="n">
        <v>22000</v>
      </c>
      <c r="G4" s="38" t="n">
        <v>-6000</v>
      </c>
      <c r="H4" s="38" t="n">
        <v>-72000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ifrs-full:CashAndCashEquivalentsInSubsidiaryOrBusinessesAcquiredOrDisposed2013</t>
        </is>
      </c>
      <c r="C5" s="34" t="inlineStr">
        <is>
          <t>ifrs-full:CashAndCashEquivalentsInSubsidiaryOrBusinessesAcquiredOrDisposed2013</t>
        </is>
      </c>
      <c r="D5" s="35" t="n">
        <v>15000</v>
      </c>
      <c r="E5" s="35" t="n">
        <v>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ifrs-full:CurrentFinancialLiabilities</t>
        </is>
      </c>
      <c r="C6" s="37" t="inlineStr">
        <is>
          <t>ifrs-full:CurrentFinancialLiabilities</t>
        </is>
      </c>
      <c r="D6" s="38" t="n">
        <v>4918000</v>
      </c>
      <c r="E6" s="38" t="n">
        <v>4264000</v>
      </c>
      <c r="F6" s="38" t="n">
        <v>2622000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ifrs-full:DividendsReceivedClassifiedAsOperatingActivities</t>
        </is>
      </c>
      <c r="C7" s="34" t="inlineStr">
        <is>
          <t>ifrs-full:DividendsReceivedClassifiedAsOperatingActivities</t>
        </is>
      </c>
      <c r="D7" s="35" t="n">
        <v>3000</v>
      </c>
      <c r="E7" s="35" t="n">
        <v>0</v>
      </c>
      <c r="F7" s="35" t="n">
        <v>1000</v>
      </c>
      <c r="G7" s="35" t="n">
        <v>2000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ifrs-full:DividendsReceivedFromInvestmentsAccountedForUsingEquityMethodClassifiedAsInvestingActivities</t>
        </is>
      </c>
      <c r="C8" s="37" t="inlineStr">
        <is>
          <t>ifrs-full:DividendsReceivedFromInvestmentsAccountedForUsingEquityMethodClassifiedAsInvestingActivities</t>
        </is>
      </c>
      <c r="D8" s="38" t="n">
        <v>102000</v>
      </c>
      <c r="E8" s="38" t="n">
        <v>48000</v>
      </c>
      <c r="F8" s="38" t="n">
        <v>75000</v>
      </c>
      <c r="G8" s="38" t="n">
        <v>177000</v>
      </c>
      <c r="H8" s="38" t="n">
        <v>115000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ifrs-full:IncreaseDecreaseThroughAppropriationOfRetainedEarnings</t>
        </is>
      </c>
      <c r="C9" s="34" t="inlineStr">
        <is>
          <t>ifrs-full:IncreaseDecreaseThroughAppropriationOfRetainedEarnings</t>
        </is>
      </c>
      <c r="D9" s="35" t="n">
        <v>127000</v>
      </c>
      <c r="E9" s="35" t="n">
        <v>159000</v>
      </c>
      <c r="F9" s="35" t="n">
        <v>148000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ifrs-full:NoncurrentFinancialLiabilities</t>
        </is>
      </c>
      <c r="C10" s="37" t="inlineStr">
        <is>
          <t>ifrs-full:NoncurrentFinancialLiabilities</t>
        </is>
      </c>
      <c r="D10" s="38" t="n">
        <v>2265000</v>
      </c>
      <c r="E10" s="38" t="n">
        <v>2266000</v>
      </c>
      <c r="F10" s="38" t="n">
        <v>5083000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ifrs-full:NoncurrentReceivablesDueFromRelatedParties</t>
        </is>
      </c>
      <c r="C11" s="34" t="inlineStr">
        <is>
          <t>ifrs-full:NoncurrentReceivablesDueFromRelatedParties</t>
        </is>
      </c>
      <c r="D11" s="35" t="n">
        <v>123000</v>
      </c>
      <c r="E11" s="35" t="n">
        <v>88000</v>
      </c>
      <c r="F11" s="35" t="n">
        <v>76000</v>
      </c>
      <c r="G11" s="35" t="n">
        <v>60000</v>
      </c>
      <c r="H11" s="35" t="n">
        <v>9000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ifrs-full:OtherDifferencesToCashAndCashEquivalentsInStatementOfCashFlows</t>
        </is>
      </c>
      <c r="C12" s="37" t="inlineStr">
        <is>
          <t>ifrs-full:OtherDifferencesToCashAndCashEquivalentsInStatementOfCashFlows</t>
        </is>
      </c>
      <c r="D12" s="38" t="n"/>
      <c r="E12" s="38" t="n"/>
      <c r="F12" s="38" t="n"/>
      <c r="G12" s="38" t="n">
        <v>0</v>
      </c>
      <c r="H12" s="38" t="n">
        <v>44000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ifrs-full:PaymentsFromChangesInOwnershipInterestsInSubsidiaries</t>
        </is>
      </c>
      <c r="C13" s="34" t="inlineStr">
        <is>
          <t>ifrs-full:PaymentsFromChangesInOwnershipInterestsInSubsidiaries</t>
        </is>
      </c>
      <c r="D13" s="35" t="n">
        <v>-11000</v>
      </c>
      <c r="E13" s="35" t="n"/>
      <c r="F13" s="35" t="n"/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ifrs-full:RevenueFromSaleOfAgriculturalProduce</t>
        </is>
      </c>
      <c r="C14" s="37" t="inlineStr">
        <is>
          <t>ifrs-full:RevenueFromSaleOfAgriculturalProduce</t>
        </is>
      </c>
      <c r="D14" s="38" t="n"/>
      <c r="E14" s="38" t="n"/>
      <c r="F14" s="38" t="n"/>
      <c r="G14" s="38" t="n">
        <v>60678000</v>
      </c>
      <c r="H14" s="38" t="n">
        <v>61841000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ifrs-full:TradeAndOtherCurrentReceivablesDueFromRelatedParties</t>
        </is>
      </c>
      <c r="C15" s="34" t="inlineStr">
        <is>
          <t>ifrs-full:TradeAndOtherCurrentReceivablesDueFromRelatedParties</t>
        </is>
      </c>
      <c r="D15" s="35" t="n">
        <v>206000</v>
      </c>
      <c r="E15" s="35" t="n">
        <v>221000</v>
      </c>
      <c r="F15" s="35" t="n">
        <v>243000</v>
      </c>
      <c r="G15" s="35" t="n">
        <v>253000</v>
      </c>
      <c r="H15" s="35" t="n">
        <v>204000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2026-09-09T19:22:39Z</dcterms:created>
  <dcterms:modified xmlns:dcterms="http://purl.org/dc/terms/" xmlns:xsi="http://www.w3.org/2001/XMLSchema-instance" xsi:type="dcterms:W3CDTF">2026-09-09T19:22:40Z</dcterms:modified>
</cp:coreProperties>
</file>