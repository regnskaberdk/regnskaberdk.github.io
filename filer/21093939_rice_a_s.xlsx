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1093939" sheetId="1" state="visible" r:id="rId1"/>
    <sheet xmlns:r="http://schemas.openxmlformats.org/officeDocument/2006/relationships" name="res_raw_21093939" sheetId="2" state="visible" r:id="rId2"/>
    <sheet xmlns:r="http://schemas.openxmlformats.org/officeDocument/2006/relationships" name="balance_raw_21093939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RICE A/S (CVR 21093939) — Regnskabsanalyse – Resultatopgørelse &amp; Balance (t.kr.) · Klasse B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'res_raw_21093939'!$B$2</f>
        <v/>
      </c>
      <c r="C4" s="5">
        <f>'res_raw_21093939'!$C$2</f>
        <v/>
      </c>
      <c r="D4" s="5">
        <f>'res_raw_21093939'!$D$2</f>
        <v/>
      </c>
      <c r="E4" s="5">
        <f>'res_raw_21093939'!$E$2</f>
        <v/>
      </c>
      <c r="F4" s="5">
        <f>'res_raw_21093939'!$F$2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'res_raw_21093939'!$B$3</f>
        <v/>
      </c>
      <c r="C5" s="8">
        <f>'res_raw_21093939'!$C$3</f>
        <v/>
      </c>
      <c r="D5" s="8">
        <f>'res_raw_21093939'!$D$3</f>
        <v/>
      </c>
      <c r="E5" s="8">
        <f>'res_raw_21093939'!$E$3</f>
        <v/>
      </c>
      <c r="F5" s="8">
        <f>'res_raw_21093939'!$F$3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'res_raw_21093939'!$B$4</f>
        <v/>
      </c>
      <c r="C6" s="5">
        <f>'res_raw_21093939'!$C$4</f>
        <v/>
      </c>
      <c r="D6" s="5">
        <f>'res_raw_21093939'!$D$4</f>
        <v/>
      </c>
      <c r="E6" s="5">
        <f>'res_raw_21093939'!$E$4</f>
        <v/>
      </c>
      <c r="F6" s="5">
        <f>'res_raw_21093939'!$F$4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'res_raw_21093939'!$B$5</f>
        <v/>
      </c>
      <c r="C7" s="8">
        <f>'res_raw_21093939'!$C$5</f>
        <v/>
      </c>
      <c r="D7" s="8">
        <f>'res_raw_21093939'!$D$5</f>
        <v/>
      </c>
      <c r="E7" s="8">
        <f>'res_raw_21093939'!$E$5</f>
        <v/>
      </c>
      <c r="F7" s="8">
        <f>'res_raw_21093939'!$F$5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'res_raw_21093939'!$B$6</f>
        <v/>
      </c>
      <c r="C8" s="11">
        <f>'res_raw_21093939'!$C$6</f>
        <v/>
      </c>
      <c r="D8" s="11">
        <f>'res_raw_21093939'!$D$6</f>
        <v/>
      </c>
      <c r="E8" s="11">
        <f>'res_raw_21093939'!$E$6</f>
        <v/>
      </c>
      <c r="F8" s="11">
        <f>'res_raw_21093939'!$F$6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'res_raw_21093939'!$B$7</f>
        <v/>
      </c>
      <c r="C9" s="8">
        <f>'res_raw_21093939'!$C$7</f>
        <v/>
      </c>
      <c r="D9" s="8">
        <f>'res_raw_21093939'!$D$7</f>
        <v/>
      </c>
      <c r="E9" s="8">
        <f>'res_raw_21093939'!$E$7</f>
        <v/>
      </c>
      <c r="F9" s="8">
        <f>'res_raw_21093939'!$F$7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'res_raw_21093939'!$B$9</f>
        <v/>
      </c>
      <c r="C11" s="8">
        <f>'res_raw_21093939'!$C$9</f>
        <v/>
      </c>
      <c r="D11" s="8">
        <f>'res_raw_21093939'!$D$9</f>
        <v/>
      </c>
      <c r="E11" s="8">
        <f>'res_raw_21093939'!$E$9</f>
        <v/>
      </c>
      <c r="F11" s="8">
        <f>'res_raw_21093939'!$F$9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'res_raw_21093939'!$B$10</f>
        <v/>
      </c>
      <c r="C12" s="5">
        <f>'res_raw_21093939'!$C$10</f>
        <v/>
      </c>
      <c r="D12" s="5">
        <f>'res_raw_21093939'!$D$10</f>
        <v/>
      </c>
      <c r="E12" s="5">
        <f>'res_raw_21093939'!$E$10</f>
        <v/>
      </c>
      <c r="F12" s="5">
        <f>'res_raw_21093939'!$F$10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'res_raw_21093939'!$B$11</f>
        <v/>
      </c>
      <c r="C13" s="11">
        <f>'res_raw_21093939'!$C$11</f>
        <v/>
      </c>
      <c r="D13" s="11">
        <f>'res_raw_21093939'!$D$11</f>
        <v/>
      </c>
      <c r="E13" s="11">
        <f>'res_raw_21093939'!$E$11</f>
        <v/>
      </c>
      <c r="F13" s="11">
        <f>'res_raw_21093939'!$F$11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'res_raw_21093939'!$B$12</f>
        <v/>
      </c>
      <c r="C14" s="5">
        <f>'res_raw_21093939'!$C$12</f>
        <v/>
      </c>
      <c r="D14" s="5">
        <f>'res_raw_21093939'!$D$12</f>
        <v/>
      </c>
      <c r="E14" s="5">
        <f>'res_raw_21093939'!$E$12</f>
        <v/>
      </c>
      <c r="F14" s="5">
        <f>'res_raw_21093939'!$F$12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'res_raw_21093939'!$B$13</f>
        <v/>
      </c>
      <c r="C15" s="8">
        <f>'res_raw_21093939'!$C$13</f>
        <v/>
      </c>
      <c r="D15" s="8">
        <f>'res_raw_21093939'!$D$13</f>
        <v/>
      </c>
      <c r="E15" s="8">
        <f>'res_raw_21093939'!$E$13</f>
        <v/>
      </c>
      <c r="F15" s="8">
        <f>'res_raw_21093939'!$F$13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'res_raw_21093939'!$B$14</f>
        <v/>
      </c>
      <c r="C16" s="5">
        <f>'res_raw_21093939'!$C$14</f>
        <v/>
      </c>
      <c r="D16" s="5">
        <f>'res_raw_21093939'!$D$14</f>
        <v/>
      </c>
      <c r="E16" s="5">
        <f>'res_raw_21093939'!$E$14</f>
        <v/>
      </c>
      <c r="F16" s="5">
        <f>'res_raw_21093939'!$F$14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'res_raw_21093939'!$B$15</f>
        <v/>
      </c>
      <c r="C17" s="11">
        <f>'res_raw_21093939'!$C$15</f>
        <v/>
      </c>
      <c r="D17" s="11">
        <f>'res_raw_21093939'!$D$15</f>
        <v/>
      </c>
      <c r="E17" s="11">
        <f>'res_raw_21093939'!$E$15</f>
        <v/>
      </c>
      <c r="F17" s="11">
        <f>'res_raw_21093939'!$F$15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'res_raw_21093939'!$B$16</f>
        <v/>
      </c>
      <c r="C18" s="11">
        <f>'res_raw_21093939'!$C$16</f>
        <v/>
      </c>
      <c r="D18" s="11">
        <f>'res_raw_21093939'!$D$16</f>
        <v/>
      </c>
      <c r="E18" s="11">
        <f>'res_raw_21093939'!$E$16</f>
        <v/>
      </c>
      <c r="F18" s="11">
        <f>'res_raw_21093939'!$F$16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'res_raw_21093939'!$B$17</f>
        <v/>
      </c>
      <c r="C19" s="8">
        <f>'res_raw_21093939'!$C$17</f>
        <v/>
      </c>
      <c r="D19" s="8">
        <f>'res_raw_21093939'!$D$17</f>
        <v/>
      </c>
      <c r="E19" s="8">
        <f>'res_raw_21093939'!$E$17</f>
        <v/>
      </c>
      <c r="F19" s="8">
        <f>'res_raw_21093939'!$F$17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'res_raw_21093939'!$B$18</f>
        <v/>
      </c>
      <c r="C20" s="11">
        <f>'res_raw_21093939'!$C$18</f>
        <v/>
      </c>
      <c r="D20" s="11">
        <f>'res_raw_21093939'!$D$18</f>
        <v/>
      </c>
      <c r="E20" s="11">
        <f>'res_raw_21093939'!$E$18</f>
        <v/>
      </c>
      <c r="F20" s="11">
        <f>'res_raw_21093939'!$F$18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10" t="inlineStr">
        <is>
          <t>Immaterielle anlægsaktiver</t>
        </is>
      </c>
      <c r="B23" s="11">
        <f>'balance_raw_21093939'!$B$2</f>
        <v/>
      </c>
      <c r="C23" s="11">
        <f>'balance_raw_21093939'!$C$2</f>
        <v/>
      </c>
      <c r="D23" s="11">
        <f>'balance_raw_21093939'!$D$2</f>
        <v/>
      </c>
      <c r="E23" s="11">
        <f>'balance_raw_21093939'!$E$2</f>
        <v/>
      </c>
      <c r="F23" s="11">
        <f>'balance_raw_21093939'!$F$2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Grunde og bygninger</t>
        </is>
      </c>
      <c r="B24" s="5">
        <f>'balance_raw_21093939'!$B$3</f>
        <v/>
      </c>
      <c r="C24" s="5">
        <f>'balance_raw_21093939'!$C$3</f>
        <v/>
      </c>
      <c r="D24" s="5">
        <f>'balance_raw_21093939'!$D$3</f>
        <v/>
      </c>
      <c r="E24" s="5">
        <f>'balance_raw_21093939'!$E$3</f>
        <v/>
      </c>
      <c r="F24" s="5">
        <f>'balance_raw_21093939'!$F$3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Produktionsanlæg og maskiner</t>
        </is>
      </c>
      <c r="B25" s="8">
        <f>'balance_raw_21093939'!$B$4</f>
        <v/>
      </c>
      <c r="C25" s="8">
        <f>'balance_raw_21093939'!$C$4</f>
        <v/>
      </c>
      <c r="D25" s="8">
        <f>'balance_raw_21093939'!$D$4</f>
        <v/>
      </c>
      <c r="E25" s="8">
        <f>'balance_raw_21093939'!$E$4</f>
        <v/>
      </c>
      <c r="F25" s="8">
        <f>'balance_raw_21093939'!$F$4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Driftsmateriel og inventar</t>
        </is>
      </c>
      <c r="B26" s="5">
        <f>'balance_raw_21093939'!$B$5</f>
        <v/>
      </c>
      <c r="C26" s="5">
        <f>'balance_raw_21093939'!$C$5</f>
        <v/>
      </c>
      <c r="D26" s="5">
        <f>'balance_raw_21093939'!$D$5</f>
        <v/>
      </c>
      <c r="E26" s="5">
        <f>'balance_raw_21093939'!$E$5</f>
        <v/>
      </c>
      <c r="F26" s="5">
        <f>'balance_raw_21093939'!$F$5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Indretning af lejede lokaler</t>
        </is>
      </c>
      <c r="B27" s="8">
        <f>'balance_raw_21093939'!$B$6</f>
        <v/>
      </c>
      <c r="C27" s="8">
        <f>'balance_raw_21093939'!$C$6</f>
        <v/>
      </c>
      <c r="D27" s="8">
        <f>'balance_raw_21093939'!$D$6</f>
        <v/>
      </c>
      <c r="E27" s="8">
        <f>'balance_raw_21093939'!$E$6</f>
        <v/>
      </c>
      <c r="F27" s="8">
        <f>'balance_raw_21093939'!$F$6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Forudbetaling og anlægsaktiver under opførelse</t>
        </is>
      </c>
      <c r="B28" s="5">
        <f>'balance_raw_21093939'!$B$7</f>
        <v/>
      </c>
      <c r="C28" s="5">
        <f>'balance_raw_21093939'!$C$7</f>
        <v/>
      </c>
      <c r="D28" s="5">
        <f>'balance_raw_21093939'!$D$7</f>
        <v/>
      </c>
      <c r="E28" s="5">
        <f>'balance_raw_21093939'!$E$7</f>
        <v/>
      </c>
      <c r="F28" s="5">
        <f>'balance_raw_21093939'!$F$7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Materielle anlægsaktiver</t>
        </is>
      </c>
      <c r="B29" s="11">
        <f>'balance_raw_21093939'!$B$8</f>
        <v/>
      </c>
      <c r="C29" s="11">
        <f>'balance_raw_21093939'!$C$8</f>
        <v/>
      </c>
      <c r="D29" s="11">
        <f>'balance_raw_21093939'!$D$8</f>
        <v/>
      </c>
      <c r="E29" s="11">
        <f>'balance_raw_21093939'!$E$8</f>
        <v/>
      </c>
      <c r="F29" s="11">
        <f>'balance_raw_21093939'!$F$8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Kapitalandele, dattervirksomheder</t>
        </is>
      </c>
      <c r="B30" s="5">
        <f>'balance_raw_21093939'!$B$9</f>
        <v/>
      </c>
      <c r="C30" s="5">
        <f>'balance_raw_21093939'!$C$9</f>
        <v/>
      </c>
      <c r="D30" s="5">
        <f>'balance_raw_21093939'!$D$9</f>
        <v/>
      </c>
      <c r="E30" s="5">
        <f>'balance_raw_21093939'!$E$9</f>
        <v/>
      </c>
      <c r="F30" s="5">
        <f>'balance_raw_21093939'!$F$9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Deposita</t>
        </is>
      </c>
      <c r="B31" s="8">
        <f>'balance_raw_21093939'!$B$10</f>
        <v/>
      </c>
      <c r="C31" s="8">
        <f>'balance_raw_21093939'!$C$10</f>
        <v/>
      </c>
      <c r="D31" s="8">
        <f>'balance_raw_21093939'!$D$10</f>
        <v/>
      </c>
      <c r="E31" s="8">
        <f>'balance_raw_21093939'!$E$10</f>
        <v/>
      </c>
      <c r="F31" s="8">
        <f>'balance_raw_21093939'!$F$10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Finansielle anlægsaktiver</t>
        </is>
      </c>
      <c r="B32" s="11">
        <f>'balance_raw_21093939'!$B$11</f>
        <v/>
      </c>
      <c r="C32" s="11">
        <f>'balance_raw_21093939'!$C$11</f>
        <v/>
      </c>
      <c r="D32" s="11">
        <f>'balance_raw_21093939'!$D$11</f>
        <v/>
      </c>
      <c r="E32" s="11">
        <f>'balance_raw_21093939'!$E$11</f>
        <v/>
      </c>
      <c r="F32" s="11">
        <f>'balance_raw_21093939'!$F$11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'balance_raw_21093939'!$B$12</f>
        <v/>
      </c>
      <c r="C33" s="11">
        <f>'balance_raw_21093939'!$C$12</f>
        <v/>
      </c>
      <c r="D33" s="11">
        <f>'balance_raw_21093939'!$D$12</f>
        <v/>
      </c>
      <c r="E33" s="11">
        <f>'balance_raw_21093939'!$E$12</f>
        <v/>
      </c>
      <c r="F33" s="11">
        <f>'balance_raw_21093939'!$F$12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Råvarer og hjælpematerialer</t>
        </is>
      </c>
      <c r="B34" s="5">
        <f>'balance_raw_21093939'!$B$13</f>
        <v/>
      </c>
      <c r="C34" s="5">
        <f>'balance_raw_21093939'!$C$13</f>
        <v/>
      </c>
      <c r="D34" s="5">
        <f>'balance_raw_21093939'!$D$13</f>
        <v/>
      </c>
      <c r="E34" s="5">
        <f>'balance_raw_21093939'!$E$13</f>
        <v/>
      </c>
      <c r="F34" s="5">
        <f>'balance_raw_21093939'!$F$13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Varer under fremstilling</t>
        </is>
      </c>
      <c r="B35" s="8">
        <f>'balance_raw_21093939'!$B$14</f>
        <v/>
      </c>
      <c r="C35" s="8">
        <f>'balance_raw_21093939'!$C$14</f>
        <v/>
      </c>
      <c r="D35" s="8">
        <f>'balance_raw_21093939'!$D$14</f>
        <v/>
      </c>
      <c r="E35" s="8">
        <f>'balance_raw_21093939'!$E$14</f>
        <v/>
      </c>
      <c r="F35" s="8">
        <f>'balance_raw_21093939'!$F$14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Færdigvarer og handelsvarer</t>
        </is>
      </c>
      <c r="B36" s="5">
        <f>'balance_raw_21093939'!$B$15</f>
        <v/>
      </c>
      <c r="C36" s="5">
        <f>'balance_raw_21093939'!$C$15</f>
        <v/>
      </c>
      <c r="D36" s="5">
        <f>'balance_raw_21093939'!$D$15</f>
        <v/>
      </c>
      <c r="E36" s="5">
        <f>'balance_raw_21093939'!$E$15</f>
        <v/>
      </c>
      <c r="F36" s="5">
        <f>'balance_raw_21093939'!$F$15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'balance_raw_21093939'!$B$16</f>
        <v/>
      </c>
      <c r="C37" s="11">
        <f>'balance_raw_21093939'!$C$16</f>
        <v/>
      </c>
      <c r="D37" s="11">
        <f>'balance_raw_21093939'!$D$16</f>
        <v/>
      </c>
      <c r="E37" s="11">
        <f>'balance_raw_21093939'!$E$16</f>
        <v/>
      </c>
      <c r="F37" s="11">
        <f>'balance_raw_21093939'!$F$16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'balance_raw_21093939'!$B$17</f>
        <v/>
      </c>
      <c r="C38" s="5">
        <f>'balance_raw_21093939'!$C$17</f>
        <v/>
      </c>
      <c r="D38" s="5">
        <f>'balance_raw_21093939'!$D$17</f>
        <v/>
      </c>
      <c r="E38" s="5">
        <f>'balance_raw_21093939'!$E$17</f>
        <v/>
      </c>
      <c r="F38" s="5">
        <f>'balance_raw_21093939'!$F$17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'balance_raw_21093939'!$B$18</f>
        <v/>
      </c>
      <c r="C39" s="8">
        <f>'balance_raw_21093939'!$C$18</f>
        <v/>
      </c>
      <c r="D39" s="8">
        <f>'balance_raw_21093939'!$D$18</f>
        <v/>
      </c>
      <c r="E39" s="8">
        <f>'balance_raw_21093939'!$E$18</f>
        <v/>
      </c>
      <c r="F39" s="8">
        <f>'balance_raw_21093939'!$F$18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'balance_raw_21093939'!$B$19</f>
        <v/>
      </c>
      <c r="C40" s="5">
        <f>'balance_raw_21093939'!$C$19</f>
        <v/>
      </c>
      <c r="D40" s="5">
        <f>'balance_raw_21093939'!$D$19</f>
        <v/>
      </c>
      <c r="E40" s="5">
        <f>'balance_raw_21093939'!$E$19</f>
        <v/>
      </c>
      <c r="F40" s="5">
        <f>'balance_raw_21093939'!$F$19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'balance_raw_21093939'!$B$20</f>
        <v/>
      </c>
      <c r="C41" s="8">
        <f>'balance_raw_21093939'!$C$20</f>
        <v/>
      </c>
      <c r="D41" s="8">
        <f>'balance_raw_21093939'!$D$20</f>
        <v/>
      </c>
      <c r="E41" s="8">
        <f>'balance_raw_21093939'!$E$20</f>
        <v/>
      </c>
      <c r="F41" s="8">
        <f>'balance_raw_21093939'!$F$20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'balance_raw_21093939'!$B$21</f>
        <v/>
      </c>
      <c r="C42" s="5">
        <f>'balance_raw_21093939'!$C$21</f>
        <v/>
      </c>
      <c r="D42" s="5">
        <f>'balance_raw_21093939'!$D$21</f>
        <v/>
      </c>
      <c r="E42" s="5">
        <f>'balance_raw_21093939'!$E$21</f>
        <v/>
      </c>
      <c r="F42" s="5">
        <f>'balance_raw_21093939'!$F$21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'balance_raw_21093939'!$B$22</f>
        <v/>
      </c>
      <c r="C43" s="8">
        <f>'balance_raw_21093939'!$C$22</f>
        <v/>
      </c>
      <c r="D43" s="8">
        <f>'balance_raw_21093939'!$D$22</f>
        <v/>
      </c>
      <c r="E43" s="8">
        <f>'balance_raw_21093939'!$E$22</f>
        <v/>
      </c>
      <c r="F43" s="8">
        <f>'balance_raw_21093939'!$F$22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'balance_raw_21093939'!$B$23</f>
        <v/>
      </c>
      <c r="C44" s="5">
        <f>'balance_raw_21093939'!$C$23</f>
        <v/>
      </c>
      <c r="D44" s="5">
        <f>'balance_raw_21093939'!$D$23</f>
        <v/>
      </c>
      <c r="E44" s="5">
        <f>'balance_raw_21093939'!$E$23</f>
        <v/>
      </c>
      <c r="F44" s="5">
        <f>'balance_raw_21093939'!$F$23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'balance_raw_21093939'!$B$24</f>
        <v/>
      </c>
      <c r="C45" s="11">
        <f>'balance_raw_21093939'!$C$24</f>
        <v/>
      </c>
      <c r="D45" s="11">
        <f>'balance_raw_21093939'!$D$24</f>
        <v/>
      </c>
      <c r="E45" s="11">
        <f>'balance_raw_21093939'!$E$24</f>
        <v/>
      </c>
      <c r="F45" s="11">
        <f>'balance_raw_21093939'!$F$24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'balance_raw_21093939'!$B$25</f>
        <v/>
      </c>
      <c r="C46" s="5">
        <f>'balance_raw_21093939'!$C$25</f>
        <v/>
      </c>
      <c r="D46" s="5">
        <f>'balance_raw_21093939'!$D$25</f>
        <v/>
      </c>
      <c r="E46" s="5">
        <f>'balance_raw_21093939'!$E$25</f>
        <v/>
      </c>
      <c r="F46" s="5">
        <f>'balance_raw_21093939'!$F$25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'balance_raw_21093939'!$B$26</f>
        <v/>
      </c>
      <c r="C47" s="8">
        <f>'balance_raw_21093939'!$C$26</f>
        <v/>
      </c>
      <c r="D47" s="8">
        <f>'balance_raw_21093939'!$D$26</f>
        <v/>
      </c>
      <c r="E47" s="8">
        <f>'balance_raw_21093939'!$E$26</f>
        <v/>
      </c>
      <c r="F47" s="8">
        <f>'balance_raw_21093939'!$F$26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'balance_raw_21093939'!$B$27</f>
        <v/>
      </c>
      <c r="C48" s="11">
        <f>'balance_raw_21093939'!$C$27</f>
        <v/>
      </c>
      <c r="D48" s="11">
        <f>'balance_raw_21093939'!$D$27</f>
        <v/>
      </c>
      <c r="E48" s="11">
        <f>'balance_raw_21093939'!$E$27</f>
        <v/>
      </c>
      <c r="F48" s="11">
        <f>'balance_raw_21093939'!$F$27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'balance_raw_21093939'!$B$28</f>
        <v/>
      </c>
      <c r="C49" s="11">
        <f>'balance_raw_21093939'!$C$28</f>
        <v/>
      </c>
      <c r="D49" s="11">
        <f>'balance_raw_21093939'!$D$28</f>
        <v/>
      </c>
      <c r="E49" s="11">
        <f>'balance_raw_21093939'!$E$28</f>
        <v/>
      </c>
      <c r="F49" s="11">
        <f>'balance_raw_21093939'!$F$28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2021</v>
      </c>
      <c r="C51" s="3" t="n">
        <v>2022</v>
      </c>
      <c r="D51" s="3" t="n">
        <v>2023</v>
      </c>
      <c r="E51" s="3" t="n">
        <v>2024</v>
      </c>
      <c r="F51" s="3" t="n">
        <v>2025</v>
      </c>
      <c r="G51" t="inlineStr"/>
      <c r="H51" s="3" t="n">
        <v>2021</v>
      </c>
      <c r="I51" s="3" t="n">
        <v>2022</v>
      </c>
      <c r="J51" s="3" t="n">
        <v>2023</v>
      </c>
      <c r="K51" s="3" t="n">
        <v>2024</v>
      </c>
      <c r="L51" s="3" t="n">
        <v>2025</v>
      </c>
    </row>
    <row r="52" ht="16" customHeight="1">
      <c r="A52" s="4" t="inlineStr">
        <is>
          <t>Selskabskapital</t>
        </is>
      </c>
      <c r="B52" s="5">
        <f>'balance_raw_21093939'!$B$29</f>
        <v/>
      </c>
      <c r="C52" s="5">
        <f>'balance_raw_21093939'!$C$29</f>
        <v/>
      </c>
      <c r="D52" s="5">
        <f>'balance_raw_21093939'!$D$29</f>
        <v/>
      </c>
      <c r="E52" s="5">
        <f>'balance_raw_21093939'!$E$29</f>
        <v/>
      </c>
      <c r="F52" s="5">
        <f>'balance_raw_21093939'!$F$29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'balance_raw_21093939'!$B$30</f>
        <v/>
      </c>
      <c r="C53" s="8">
        <f>'balance_raw_21093939'!$C$30</f>
        <v/>
      </c>
      <c r="D53" s="8">
        <f>'balance_raw_21093939'!$D$30</f>
        <v/>
      </c>
      <c r="E53" s="8">
        <f>'balance_raw_21093939'!$E$30</f>
        <v/>
      </c>
      <c r="F53" s="8">
        <f>'balance_raw_21093939'!$F$30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'balance_raw_21093939'!$B$31</f>
        <v/>
      </c>
      <c r="C54" s="5">
        <f>'balance_raw_21093939'!$C$31</f>
        <v/>
      </c>
      <c r="D54" s="5">
        <f>'balance_raw_21093939'!$D$31</f>
        <v/>
      </c>
      <c r="E54" s="5">
        <f>'balance_raw_21093939'!$E$31</f>
        <v/>
      </c>
      <c r="F54" s="5">
        <f>'balance_raw_21093939'!$F$31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'balance_raw_21093939'!$B$32</f>
        <v/>
      </c>
      <c r="C55" s="8">
        <f>'balance_raw_21093939'!$C$32</f>
        <v/>
      </c>
      <c r="D55" s="8">
        <f>'balance_raw_21093939'!$D$32</f>
        <v/>
      </c>
      <c r="E55" s="8">
        <f>'balance_raw_21093939'!$E$32</f>
        <v/>
      </c>
      <c r="F55" s="8">
        <f>'balance_raw_21093939'!$F$32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'balance_raw_21093939'!$B$33</f>
        <v/>
      </c>
      <c r="C56" s="5">
        <f>'balance_raw_21093939'!$C$33</f>
        <v/>
      </c>
      <c r="D56" s="5">
        <f>'balance_raw_21093939'!$D$33</f>
        <v/>
      </c>
      <c r="E56" s="5">
        <f>'balance_raw_21093939'!$E$33</f>
        <v/>
      </c>
      <c r="F56" s="5">
        <f>'balance_raw_21093939'!$F$33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'balance_raw_21093939'!$B$34</f>
        <v/>
      </c>
      <c r="C57" s="8">
        <f>'balance_raw_21093939'!$C$34</f>
        <v/>
      </c>
      <c r="D57" s="8">
        <f>'balance_raw_21093939'!$D$34</f>
        <v/>
      </c>
      <c r="E57" s="8">
        <f>'balance_raw_21093939'!$E$34</f>
        <v/>
      </c>
      <c r="F57" s="8">
        <f>'balance_raw_21093939'!$F$34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'balance_raw_21093939'!$B$35</f>
        <v/>
      </c>
      <c r="C58" s="11">
        <f>'balance_raw_21093939'!$C$35</f>
        <v/>
      </c>
      <c r="D58" s="11">
        <f>'balance_raw_21093939'!$D$35</f>
        <v/>
      </c>
      <c r="E58" s="11">
        <f>'balance_raw_21093939'!$E$35</f>
        <v/>
      </c>
      <c r="F58" s="11">
        <f>'balance_raw_21093939'!$F$35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'balance_raw_21093939'!$B$36</f>
        <v/>
      </c>
      <c r="C59" s="8">
        <f>'balance_raw_21093939'!$C$36</f>
        <v/>
      </c>
      <c r="D59" s="8">
        <f>'balance_raw_21093939'!$D$36</f>
        <v/>
      </c>
      <c r="E59" s="8">
        <f>'balance_raw_21093939'!$E$36</f>
        <v/>
      </c>
      <c r="F59" s="8">
        <f>'balance_raw_21093939'!$F$36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'balance_raw_21093939'!$B$37</f>
        <v/>
      </c>
      <c r="C60" s="11">
        <f>'balance_raw_21093939'!$C$37</f>
        <v/>
      </c>
      <c r="D60" s="11">
        <f>'balance_raw_21093939'!$D$37</f>
        <v/>
      </c>
      <c r="E60" s="11">
        <f>'balance_raw_21093939'!$E$37</f>
        <v/>
      </c>
      <c r="F60" s="11">
        <f>'balance_raw_21093939'!$F$37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(kortfristet)</t>
        </is>
      </c>
      <c r="B61" s="8">
        <f>'balance_raw_21093939'!$B$38</f>
        <v/>
      </c>
      <c r="C61" s="8">
        <f>'balance_raw_21093939'!$C$38</f>
        <v/>
      </c>
      <c r="D61" s="8">
        <f>'balance_raw_21093939'!$D$38</f>
        <v/>
      </c>
      <c r="E61" s="8">
        <f>'balance_raw_21093939'!$E$38</f>
        <v/>
      </c>
      <c r="F61" s="8">
        <f>'balance_raw_21093939'!$F$38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'balance_raw_21093939'!$B$39</f>
        <v/>
      </c>
      <c r="C62" s="5">
        <f>'balance_raw_21093939'!$C$39</f>
        <v/>
      </c>
      <c r="D62" s="5">
        <f>'balance_raw_21093939'!$D$39</f>
        <v/>
      </c>
      <c r="E62" s="5">
        <f>'balance_raw_21093939'!$E$39</f>
        <v/>
      </c>
      <c r="F62" s="5">
        <f>'balance_raw_21093939'!$F$39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Kreditinstitutter</t>
        </is>
      </c>
      <c r="B63" s="8">
        <f>'balance_raw_21093939'!$B$40</f>
        <v/>
      </c>
      <c r="C63" s="8">
        <f>'balance_raw_21093939'!$C$40</f>
        <v/>
      </c>
      <c r="D63" s="8">
        <f>'balance_raw_21093939'!$D$40</f>
        <v/>
      </c>
      <c r="E63" s="8">
        <f>'balance_raw_21093939'!$E$40</f>
        <v/>
      </c>
      <c r="F63" s="8">
        <f>'balance_raw_21093939'!$F$40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'balance_raw_21093939'!$B$41</f>
        <v/>
      </c>
      <c r="C64" s="5">
        <f>'balance_raw_21093939'!$C$41</f>
        <v/>
      </c>
      <c r="D64" s="5">
        <f>'balance_raw_21093939'!$D$41</f>
        <v/>
      </c>
      <c r="E64" s="5">
        <f>'balance_raw_21093939'!$E$41</f>
        <v/>
      </c>
      <c r="F64" s="5">
        <f>'balance_raw_21093939'!$F$41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Leverandører af varer og tjenesteydelser</t>
        </is>
      </c>
      <c r="B65" s="8">
        <f>'balance_raw_21093939'!$B$42</f>
        <v/>
      </c>
      <c r="C65" s="8">
        <f>'balance_raw_21093939'!$C$42</f>
        <v/>
      </c>
      <c r="D65" s="8">
        <f>'balance_raw_21093939'!$D$42</f>
        <v/>
      </c>
      <c r="E65" s="8">
        <f>'balance_raw_21093939'!$E$42</f>
        <v/>
      </c>
      <c r="F65" s="8">
        <f>'balance_raw_21093939'!$F$42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'balance_raw_21093939'!$B$43</f>
        <v/>
      </c>
      <c r="C66" s="5">
        <f>'balance_raw_21093939'!$C$43</f>
        <v/>
      </c>
      <c r="D66" s="5">
        <f>'balance_raw_21093939'!$D$43</f>
        <v/>
      </c>
      <c r="E66" s="5">
        <f>'balance_raw_21093939'!$E$43</f>
        <v/>
      </c>
      <c r="F66" s="5">
        <f>'balance_raw_21093939'!$F$43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selskabsdeltagere og ledelse</t>
        </is>
      </c>
      <c r="B67" s="8">
        <f>'balance_raw_21093939'!$B$44</f>
        <v/>
      </c>
      <c r="C67" s="8">
        <f>'balance_raw_21093939'!$C$44</f>
        <v/>
      </c>
      <c r="D67" s="8">
        <f>'balance_raw_21093939'!$D$44</f>
        <v/>
      </c>
      <c r="E67" s="8">
        <f>'balance_raw_21093939'!$E$44</f>
        <v/>
      </c>
      <c r="F67" s="8">
        <f>'balance_raw_21093939'!$F$44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Selskabsskat</t>
        </is>
      </c>
      <c r="B68" s="5">
        <f>'balance_raw_21093939'!$B$45</f>
        <v/>
      </c>
      <c r="C68" s="5">
        <f>'balance_raw_21093939'!$C$45</f>
        <v/>
      </c>
      <c r="D68" s="5">
        <f>'balance_raw_21093939'!$D$45</f>
        <v/>
      </c>
      <c r="E68" s="5">
        <f>'balance_raw_21093939'!$E$45</f>
        <v/>
      </c>
      <c r="F68" s="5">
        <f>'balance_raw_21093939'!$F$45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 vedr. selskabsskat</t>
        </is>
      </c>
      <c r="B69" s="8">
        <f>'balance_raw_21093939'!$B$46</f>
        <v/>
      </c>
      <c r="C69" s="8">
        <f>'balance_raw_21093939'!$C$46</f>
        <v/>
      </c>
      <c r="D69" s="8">
        <f>'balance_raw_21093939'!$D$46</f>
        <v/>
      </c>
      <c r="E69" s="8">
        <f>'balance_raw_21093939'!$E$46</f>
        <v/>
      </c>
      <c r="F69" s="8">
        <f>'balance_raw_21093939'!$F$46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'balance_raw_21093939'!$B$47</f>
        <v/>
      </c>
      <c r="C70" s="5">
        <f>'balance_raw_21093939'!$C$47</f>
        <v/>
      </c>
      <c r="D70" s="5">
        <f>'balance_raw_21093939'!$D$47</f>
        <v/>
      </c>
      <c r="E70" s="5">
        <f>'balance_raw_21093939'!$E$47</f>
        <v/>
      </c>
      <c r="F70" s="5">
        <f>'balance_raw_21093939'!$F$47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Periodeafgrænsningsposter (passiver)</t>
        </is>
      </c>
      <c r="B71" s="8">
        <f>'balance_raw_21093939'!$B$48</f>
        <v/>
      </c>
      <c r="C71" s="8">
        <f>'balance_raw_21093939'!$C$48</f>
        <v/>
      </c>
      <c r="D71" s="8">
        <f>'balance_raw_21093939'!$D$48</f>
        <v/>
      </c>
      <c r="E71" s="8">
        <f>'balance_raw_21093939'!$E$48</f>
        <v/>
      </c>
      <c r="F71" s="8">
        <f>'balance_raw_21093939'!$F$48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10" t="inlineStr">
        <is>
          <t>Kortfristede gældsforpligtelser</t>
        </is>
      </c>
      <c r="B72" s="11">
        <f>'balance_raw_21093939'!$B$49</f>
        <v/>
      </c>
      <c r="C72" s="11">
        <f>'balance_raw_21093939'!$C$49</f>
        <v/>
      </c>
      <c r="D72" s="11">
        <f>'balance_raw_21093939'!$D$49</f>
        <v/>
      </c>
      <c r="E72" s="11">
        <f>'balance_raw_21093939'!$E$49</f>
        <v/>
      </c>
      <c r="F72" s="11">
        <f>'balance_raw_21093939'!$F$49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Gældsforpligtelser</t>
        </is>
      </c>
      <c r="B73" s="11">
        <f>'balance_raw_21093939'!$B$50</f>
        <v/>
      </c>
      <c r="C73" s="11">
        <f>'balance_raw_21093939'!$C$50</f>
        <v/>
      </c>
      <c r="D73" s="11">
        <f>'balance_raw_21093939'!$D$50</f>
        <v/>
      </c>
      <c r="E73" s="11">
        <f>'balance_raw_21093939'!$E$50</f>
        <v/>
      </c>
      <c r="F73" s="11">
        <f>'balance_raw_21093939'!$F$50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Passiver</t>
        </is>
      </c>
      <c r="B74" s="11">
        <f>'balance_raw_21093939'!$B$51</f>
        <v/>
      </c>
      <c r="C74" s="11">
        <f>'balance_raw_21093939'!$C$51</f>
        <v/>
      </c>
      <c r="D74" s="11">
        <f>'balance_raw_21093939'!$D$51</f>
        <v/>
      </c>
      <c r="E74" s="11">
        <f>'balance_raw_21093939'!$E$51</f>
        <v/>
      </c>
      <c r="F74" s="11">
        <f>'balance_raw_21093939'!$F$51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6" ht="22" customHeight="1">
      <c r="A76" s="3" t="inlineStr">
        <is>
          <t>NØGLEOPLYSNINGER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7" t="inlineStr">
        <is>
          <t>Gns. antal medarbejdere</t>
        </is>
      </c>
      <c r="B77" s="8">
        <f>'res_raw_21093939'!$B$19</f>
        <v/>
      </c>
      <c r="C77" s="8">
        <f>'res_raw_21093939'!$C$19</f>
        <v/>
      </c>
      <c r="D77" s="8">
        <f>'res_raw_21093939'!$D$19</f>
        <v/>
      </c>
      <c r="E77" s="8">
        <f>'res_raw_21093939'!$E$19</f>
        <v/>
      </c>
      <c r="F77" s="8">
        <f>'res_raw_21093939'!$F$19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'res_raw_21093939'!$B$20</f>
        <v/>
      </c>
      <c r="C78" s="5">
        <f>'res_raw_21093939'!$C$20</f>
        <v/>
      </c>
      <c r="D78" s="5">
        <f>'res_raw_21093939'!$D$20</f>
        <v/>
      </c>
      <c r="E78" s="5">
        <f>'res_raw_21093939'!$E$20</f>
        <v/>
      </c>
      <c r="F78" s="5">
        <f>'res_raw_21093939'!$F$20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Afkastningsgrad, %</t>
        </is>
      </c>
      <c r="B81" s="13">
        <f>IFERROR(($B$13+$B$15+$B$14)/$B$49*100,"")</f>
        <v/>
      </c>
      <c r="C81" s="13">
        <f>IFERROR(($C$13+$C$15+$C$14)/$C$49*100,"")</f>
        <v/>
      </c>
      <c r="D81" s="13">
        <f>IFERROR(($D$13+$D$15+$D$14)/$D$49*100,"")</f>
        <v/>
      </c>
      <c r="E81" s="13">
        <f>IFERROR(($E$13+$E$15+$E$14)/$E$49*100,"")</f>
        <v/>
      </c>
      <c r="F81" s="13">
        <f>IFERROR(($F$13+$F$15+$F$14)/$F$49*100,"")</f>
        <v/>
      </c>
    </row>
    <row r="82" ht="16" customHeight="1">
      <c r="A82" s="4" t="inlineStr">
        <is>
          <t>Overskudsgrad, %</t>
        </is>
      </c>
      <c r="B82" s="14">
        <f>IFERROR(($B$13+$B$15+$B$14)/$B$4*100,"")</f>
        <v/>
      </c>
      <c r="C82" s="14">
        <f>IFERROR(($C$13+$C$15+$C$14)/$C$4*100,"")</f>
        <v/>
      </c>
      <c r="D82" s="14">
        <f>IFERROR(($D$13+$D$15+$D$14)/$D$4*100,"")</f>
        <v/>
      </c>
      <c r="E82" s="14">
        <f>IFERROR(($E$13+$E$15+$E$14)/$E$4*100,"")</f>
        <v/>
      </c>
      <c r="F82" s="14">
        <f>IFERROR(($F$13+$F$15+$F$14)/$F$4*100,"")</f>
        <v/>
      </c>
    </row>
    <row r="83" ht="16" customHeight="1">
      <c r="A83" s="7" t="inlineStr">
        <is>
          <t>Aktivernes omsætningshastighed, gange</t>
        </is>
      </c>
      <c r="B83" s="13">
        <f>IFERROR($B$4/$B$49,"")</f>
        <v/>
      </c>
      <c r="C83" s="13">
        <f>IFERROR($C$4/$C$49,"")</f>
        <v/>
      </c>
      <c r="D83" s="13">
        <f>IFERROR($D$4/$D$49,"")</f>
        <v/>
      </c>
      <c r="E83" s="13">
        <f>IFERROR($E$4/$E$49,"")</f>
        <v/>
      </c>
      <c r="F83" s="13">
        <f>IFERROR($F$4/$F$49,"")</f>
        <v/>
      </c>
    </row>
    <row r="84" ht="16" customHeight="1">
      <c r="A84" s="4" t="inlineStr">
        <is>
          <t>Egenkapitalens forrentning, %</t>
        </is>
      </c>
      <c r="B84" s="14">
        <f>IFERROR($B$18/$B$58*100,"")</f>
        <v/>
      </c>
      <c r="C84" s="14">
        <f>IFERROR($C$18/$C$58*100,"")</f>
        <v/>
      </c>
      <c r="D84" s="14">
        <f>IFERROR($D$18/$D$58*100,"")</f>
        <v/>
      </c>
      <c r="E84" s="14">
        <f>IFERROR($E$18/$E$58*100,"")</f>
        <v/>
      </c>
      <c r="F84" s="14">
        <f>IFERROR($F$18/$F$58*100,"")</f>
        <v/>
      </c>
    </row>
    <row r="85" ht="16" customHeight="1">
      <c r="A85" s="7" t="inlineStr">
        <is>
          <t>Gældsrente, %</t>
        </is>
      </c>
      <c r="B85" s="13">
        <f>IFERROR($B$16/($B$74-$B$58)*100,"")</f>
        <v/>
      </c>
      <c r="C85" s="13">
        <f>IFERROR($C$16/($C$74-$C$58)*100,"")</f>
        <v/>
      </c>
      <c r="D85" s="13">
        <f>IFERROR($D$16/($D$74-$D$58)*100,"")</f>
        <v/>
      </c>
      <c r="E85" s="13">
        <f>IFERROR($E$16/($E$74-$E$58)*100,"")</f>
        <v/>
      </c>
      <c r="F85" s="13">
        <f>IFERROR($F$16/($F$74-$F$58)*100,"")</f>
        <v/>
      </c>
    </row>
    <row r="86" ht="16" customHeight="1">
      <c r="A86" s="4" t="inlineStr">
        <is>
          <t>Soliditetsgrad, %</t>
        </is>
      </c>
      <c r="B86" s="14">
        <f>IFERROR($B$58/$B$49*100,"")</f>
        <v/>
      </c>
      <c r="C86" s="14">
        <f>IFERROR($C$58/$C$49*100,"")</f>
        <v/>
      </c>
      <c r="D86" s="14">
        <f>IFERROR($D$58/$D$49*100,"")</f>
        <v/>
      </c>
      <c r="E86" s="14">
        <f>IFERROR($E$58/$E$49*100,"")</f>
        <v/>
      </c>
      <c r="F86" s="14">
        <f>IFERROR($F$58/$F$49*100,"")</f>
        <v/>
      </c>
    </row>
    <row r="87" ht="16" customHeight="1">
      <c r="A87" s="7" t="inlineStr">
        <is>
          <t>Gearing</t>
        </is>
      </c>
      <c r="B87" s="13">
        <f>IFERROR(($B$74-$B$58)/$B$58,"")</f>
        <v/>
      </c>
      <c r="C87" s="13">
        <f>IFERROR(($C$74-$C$58)/$C$58,"")</f>
        <v/>
      </c>
      <c r="D87" s="13">
        <f>IFERROR(($D$74-$D$58)/$D$58,"")</f>
        <v/>
      </c>
      <c r="E87" s="13">
        <f>IFERROR(($E$74-$E$58)/$E$58,"")</f>
        <v/>
      </c>
      <c r="F87" s="13">
        <f>IFERROR(($F$74-$F$58)/$F$58,"")</f>
        <v/>
      </c>
    </row>
    <row r="88" ht="16" customHeight="1">
      <c r="A88" s="4" t="inlineStr">
        <is>
          <t>Likviditetsgrad, %</t>
        </is>
      </c>
      <c r="B88" s="14">
        <f>IFERROR($B$48/$B$72*100,"")</f>
        <v/>
      </c>
      <c r="C88" s="14">
        <f>IFERROR($C$48/$C$72*100,"")</f>
        <v/>
      </c>
      <c r="D88" s="14">
        <f>IFERROR($D$48/$D$72*100,"")</f>
        <v/>
      </c>
      <c r="E88" s="14">
        <f>IFERROR($E$48/$E$72*100,"")</f>
        <v/>
      </c>
      <c r="F88" s="14">
        <f>IFERROR($F$48/$F$72*100,"")</f>
        <v/>
      </c>
    </row>
    <row r="89" ht="16" customHeight="1">
      <c r="A89" s="7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IFERROR(($B$74-$B$58)/$B$49*100,"")</f>
        <v/>
      </c>
      <c r="C90" s="14">
        <f>IFERROR(($C$74-$C$58)/$C$49*100,"")</f>
        <v/>
      </c>
      <c r="D90" s="14">
        <f>IFERROR(($D$74-$D$58)/$D$49*100,"")</f>
        <v/>
      </c>
      <c r="E90" s="14">
        <f>IFERROR(($E$74-$E$58)/$E$49*100,"")</f>
        <v/>
      </c>
      <c r="F90" s="14">
        <f>IFERROR(($F$74-$F$58)/$F$49*100,"")</f>
        <v/>
      </c>
    </row>
    <row r="91" ht="16" customHeight="1">
      <c r="A91" s="7" t="inlineStr">
        <is>
          <t>Kapitalbindingsgrad, %</t>
        </is>
      </c>
      <c r="B91" s="13">
        <f>IFERROR($B$33/($B$58+0)*100,"")</f>
        <v/>
      </c>
      <c r="C91" s="13">
        <f>IFERROR($C$33/($C$58+0)*100,"")</f>
        <v/>
      </c>
      <c r="D91" s="13">
        <f>IFERROR($D$33/($D$58+0)*100,"")</f>
        <v/>
      </c>
      <c r="E91" s="13">
        <f>IFERROR($E$33/($E$58+0)*100,"")</f>
        <v/>
      </c>
      <c r="F91" s="13">
        <f>IFERROR($F$33/($F$58+0)*100,"")</f>
        <v/>
      </c>
    </row>
    <row r="93">
      <c r="A93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RICE A/S (CVR 21093939)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27798</v>
      </c>
      <c r="C6" s="16" t="n">
        <v>25026</v>
      </c>
      <c r="D6" s="16" t="n">
        <v>29460</v>
      </c>
      <c r="E6" s="16" t="n">
        <v>26154</v>
      </c>
      <c r="F6" s="16" t="n">
        <v>31724</v>
      </c>
    </row>
    <row r="7">
      <c r="A7" s="15" t="inlineStr">
        <is>
          <t>Personaleomkostninger</t>
        </is>
      </c>
      <c r="B7" s="16" t="n">
        <v>18923</v>
      </c>
      <c r="C7" s="16" t="n">
        <v>20654</v>
      </c>
      <c r="D7" s="16" t="n">
        <v>22066</v>
      </c>
      <c r="E7" s="16" t="n">
        <v>21384</v>
      </c>
      <c r="F7" s="16" t="n">
        <v>23641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239</v>
      </c>
      <c r="C9" s="16" t="n">
        <v>1377</v>
      </c>
      <c r="D9" s="16" t="n">
        <v>2584</v>
      </c>
      <c r="E9" s="16" t="n">
        <v>2142</v>
      </c>
      <c r="F9" s="16" t="n">
        <v>330</v>
      </c>
    </row>
    <row r="10">
      <c r="A10" s="15" t="inlineStr">
        <is>
          <t>Andre driftsomkostninger</t>
        </is>
      </c>
      <c r="B10" s="16" t="n"/>
      <c r="C10" s="16" t="n"/>
      <c r="D10" s="16" t="n">
        <v>11</v>
      </c>
      <c r="E10" s="16" t="n">
        <v>0</v>
      </c>
      <c r="F10" s="16" t="n"/>
    </row>
    <row r="11">
      <c r="A11" s="17" t="inlineStr">
        <is>
          <t>Resultat af primær drift</t>
        </is>
      </c>
      <c r="B11" s="16" t="n">
        <v>8635</v>
      </c>
      <c r="C11" s="16" t="n">
        <v>2995</v>
      </c>
      <c r="D11" s="16" t="n">
        <v>4798</v>
      </c>
      <c r="E11" s="16" t="n">
        <v>2628</v>
      </c>
      <c r="F11" s="16" t="n">
        <v>7754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60</v>
      </c>
      <c r="C13" s="16" t="n">
        <v>130</v>
      </c>
      <c r="D13" s="16" t="n">
        <v>129</v>
      </c>
      <c r="E13" s="16" t="n">
        <v>164</v>
      </c>
      <c r="F13" s="16" t="n">
        <v>106</v>
      </c>
    </row>
    <row r="14">
      <c r="A14" s="15" t="inlineStr">
        <is>
          <t>Finansielle omkostninger</t>
        </is>
      </c>
      <c r="B14" s="16" t="n">
        <v>408</v>
      </c>
      <c r="C14" s="16" t="n">
        <v>582</v>
      </c>
      <c r="D14" s="16" t="n">
        <v>934</v>
      </c>
      <c r="E14" s="16" t="n">
        <v>89</v>
      </c>
      <c r="F14" s="16" t="n">
        <v>155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8287</v>
      </c>
      <c r="C16" s="16" t="n">
        <v>2543</v>
      </c>
      <c r="D16" s="16" t="n">
        <v>3993</v>
      </c>
      <c r="E16" s="16" t="n">
        <v>2703</v>
      </c>
      <c r="F16" s="16" t="n">
        <v>7706</v>
      </c>
    </row>
    <row r="17">
      <c r="A17" s="15" t="inlineStr">
        <is>
          <t>Skat af årets resultat</t>
        </is>
      </c>
      <c r="B17" s="16" t="n">
        <v>1850</v>
      </c>
      <c r="C17" s="16" t="n">
        <v>608</v>
      </c>
      <c r="D17" s="16" t="n">
        <v>932</v>
      </c>
      <c r="E17" s="16" t="n">
        <v>633</v>
      </c>
      <c r="F17" s="16" t="n">
        <v>1742</v>
      </c>
    </row>
    <row r="18">
      <c r="A18" s="17" t="inlineStr">
        <is>
          <t>Årets resultat</t>
        </is>
      </c>
      <c r="B18" s="16" t="n">
        <v>6437</v>
      </c>
      <c r="C18" s="16" t="n">
        <v>1935</v>
      </c>
      <c r="D18" s="16" t="n">
        <v>3061</v>
      </c>
      <c r="E18" s="16" t="n">
        <v>2070</v>
      </c>
      <c r="F18" s="16" t="n">
        <v>5964</v>
      </c>
    </row>
    <row r="19">
      <c r="A19" s="15" t="inlineStr">
        <is>
          <t>Gns. antal medarbejdere</t>
        </is>
      </c>
      <c r="B19" s="16" t="n">
        <v>37</v>
      </c>
      <c r="C19" s="16" t="n">
        <v>43</v>
      </c>
      <c r="D19" s="16" t="n">
        <v>44</v>
      </c>
      <c r="E19" s="16" t="n">
        <v>39</v>
      </c>
      <c r="F19" s="16" t="n">
        <v>41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RICE A/S (CVR 21093939)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7" t="inlineStr">
        <is>
          <t>Immaterielle anlægsaktiver</t>
        </is>
      </c>
      <c r="B2" s="16" t="n"/>
      <c r="C2" s="16" t="n"/>
      <c r="D2" s="16" t="n">
        <v>2072</v>
      </c>
      <c r="E2" s="16" t="n">
        <v>127</v>
      </c>
      <c r="F2" s="16" t="n">
        <v>0</v>
      </c>
    </row>
    <row r="3">
      <c r="A3" s="15" t="inlineStr">
        <is>
          <t>Grunde og bygninger</t>
        </is>
      </c>
      <c r="B3" s="16" t="n"/>
      <c r="C3" s="16" t="n"/>
      <c r="D3" s="16" t="n"/>
      <c r="E3" s="16" t="n"/>
      <c r="F3" s="16" t="n"/>
    </row>
    <row r="4">
      <c r="A4" s="15" t="inlineStr">
        <is>
          <t>Produktionsanlæg og maskiner</t>
        </is>
      </c>
      <c r="B4" s="16" t="n"/>
      <c r="C4" s="16" t="n"/>
      <c r="D4" s="16" t="n"/>
      <c r="E4" s="16" t="n"/>
      <c r="F4" s="16" t="n"/>
    </row>
    <row r="5">
      <c r="A5" s="15" t="inlineStr">
        <is>
          <t>Driftsmateriel og inventar</t>
        </is>
      </c>
      <c r="B5" s="16" t="n">
        <v>2574</v>
      </c>
      <c r="C5" s="16" t="n">
        <v>4440</v>
      </c>
      <c r="D5" s="16" t="n">
        <v>179</v>
      </c>
      <c r="E5" s="16" t="n">
        <v>267</v>
      </c>
      <c r="F5" s="16" t="n">
        <v>249</v>
      </c>
    </row>
    <row r="6">
      <c r="A6" s="15" t="inlineStr">
        <is>
          <t>Indretning af lejede lokaler</t>
        </is>
      </c>
      <c r="B6" s="16" t="n">
        <v>134</v>
      </c>
      <c r="C6" s="16" t="n">
        <v>607</v>
      </c>
      <c r="D6" s="16" t="n">
        <v>681</v>
      </c>
      <c r="E6" s="16" t="n">
        <v>579</v>
      </c>
      <c r="F6" s="16" t="n">
        <v>479</v>
      </c>
    </row>
    <row r="7">
      <c r="A7" s="15" t="inlineStr">
        <is>
          <t>Forudbetaling og anlægsaktiver under opførelse</t>
        </is>
      </c>
      <c r="B7" s="16" t="n"/>
      <c r="C7" s="16" t="n"/>
      <c r="D7" s="16" t="n"/>
      <c r="E7" s="16" t="n"/>
      <c r="F7" s="16" t="n"/>
    </row>
    <row r="8">
      <c r="A8" s="17" t="inlineStr">
        <is>
          <t>Materielle anlægsaktiver</t>
        </is>
      </c>
      <c r="B8" s="16" t="n">
        <v>2708</v>
      </c>
      <c r="C8" s="16" t="n">
        <v>5047</v>
      </c>
      <c r="D8" s="16" t="n">
        <v>861</v>
      </c>
      <c r="E8" s="16" t="n">
        <v>846</v>
      </c>
      <c r="F8" s="16" t="n">
        <v>729</v>
      </c>
    </row>
    <row r="9">
      <c r="A9" s="15" t="inlineStr">
        <is>
          <t>Kapitalandele, dattervirksomheder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Deposita</t>
        </is>
      </c>
      <c r="B10" s="16" t="n">
        <v>1633</v>
      </c>
      <c r="C10" s="16" t="n">
        <v>1638</v>
      </c>
      <c r="D10" s="16" t="n">
        <v>1647</v>
      </c>
      <c r="E10" s="16" t="n">
        <v>1457</v>
      </c>
      <c r="F10" s="16" t="n">
        <v>1907</v>
      </c>
    </row>
    <row r="11">
      <c r="A11" s="17" t="inlineStr">
        <is>
          <t>Finansielle anlægsaktiver</t>
        </is>
      </c>
      <c r="B11" s="16" t="n">
        <v>1633</v>
      </c>
      <c r="C11" s="16" t="n">
        <v>1638</v>
      </c>
      <c r="D11" s="16" t="n">
        <v>1647</v>
      </c>
      <c r="E11" s="16" t="n">
        <v>1457</v>
      </c>
      <c r="F11" s="16" t="n">
        <v>1907</v>
      </c>
    </row>
    <row r="12">
      <c r="A12" s="17" t="inlineStr">
        <is>
          <t>Anlægsaktiver</t>
        </is>
      </c>
      <c r="B12" s="16" t="n">
        <v>4341</v>
      </c>
      <c r="C12" s="16" t="n">
        <v>6684</v>
      </c>
      <c r="D12" s="16" t="n">
        <v>4579</v>
      </c>
      <c r="E12" s="16" t="n">
        <v>2430</v>
      </c>
      <c r="F12" s="16" t="n">
        <v>2635</v>
      </c>
    </row>
    <row r="13">
      <c r="A13" s="15" t="inlineStr">
        <is>
          <t>Råvarer og hjælpematerialer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Varer under fremstilling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Færdigvarer og handelsvarer</t>
        </is>
      </c>
      <c r="B15" s="16" t="n">
        <v>16774</v>
      </c>
      <c r="C15" s="16" t="n">
        <v>21502</v>
      </c>
      <c r="D15" s="16" t="n">
        <v>18221</v>
      </c>
      <c r="E15" s="16" t="n">
        <v>17649</v>
      </c>
      <c r="F15" s="16" t="n">
        <v>18575</v>
      </c>
    </row>
    <row r="16">
      <c r="A16" s="17" t="inlineStr">
        <is>
          <t>Varebeholdninger</t>
        </is>
      </c>
      <c r="B16" s="16" t="n">
        <v>20647</v>
      </c>
      <c r="C16" s="16" t="n">
        <v>24883</v>
      </c>
      <c r="D16" s="16" t="n">
        <v>22772</v>
      </c>
      <c r="E16" s="16" t="n">
        <v>26206</v>
      </c>
      <c r="F16" s="16" t="n">
        <v>26030</v>
      </c>
    </row>
    <row r="17">
      <c r="A17" s="15" t="inlineStr">
        <is>
          <t>Tilgodehavender fra salg og tjenesteydelser</t>
        </is>
      </c>
      <c r="B17" s="16" t="n">
        <v>9266</v>
      </c>
      <c r="C17" s="16" t="n">
        <v>7279</v>
      </c>
      <c r="D17" s="16" t="n">
        <v>7837</v>
      </c>
      <c r="E17" s="16" t="n">
        <v>8538</v>
      </c>
      <c r="F17" s="16" t="n">
        <v>9533</v>
      </c>
    </row>
    <row r="18">
      <c r="A18" s="15" t="inlineStr">
        <is>
          <t>Tilgodehavender hos tilknyttede virksomheder</t>
        </is>
      </c>
      <c r="B18" s="16" t="n">
        <v>2089</v>
      </c>
      <c r="C18" s="16" t="n">
        <v>847</v>
      </c>
      <c r="D18" s="16" t="n">
        <v>2695</v>
      </c>
      <c r="E18" s="16" t="n">
        <v>811</v>
      </c>
      <c r="F18" s="16" t="n">
        <v>818</v>
      </c>
    </row>
    <row r="19">
      <c r="A19" s="15" t="inlineStr">
        <is>
          <t>Andre tilgodehavender</t>
        </is>
      </c>
      <c r="B19" s="16" t="n">
        <v>2653</v>
      </c>
      <c r="C19" s="16" t="n">
        <v>642</v>
      </c>
      <c r="D19" s="16" t="n">
        <v>331</v>
      </c>
      <c r="E19" s="16" t="n">
        <v>1009</v>
      </c>
      <c r="F19" s="16" t="n">
        <v>1598</v>
      </c>
    </row>
    <row r="20">
      <c r="A20" s="15" t="inlineStr">
        <is>
          <t>Periodeafgrænsningsposter (aktiver)</t>
        </is>
      </c>
      <c r="B20" s="16" t="n">
        <v>965</v>
      </c>
      <c r="C20" s="16" t="n">
        <v>755</v>
      </c>
      <c r="D20" s="16" t="n">
        <v>1055</v>
      </c>
      <c r="E20" s="16" t="n">
        <v>983</v>
      </c>
      <c r="F20" s="16" t="n">
        <v>1233</v>
      </c>
    </row>
    <row r="21">
      <c r="A21" s="15" t="inlineStr">
        <is>
          <t>Udskudt skatteaktiv</t>
        </is>
      </c>
      <c r="B21" s="16" t="n">
        <v>0</v>
      </c>
      <c r="C21" s="16" t="n"/>
      <c r="D21" s="16" t="n"/>
      <c r="E21" s="16" t="n">
        <v>71</v>
      </c>
      <c r="F21" s="16" t="n">
        <v>274</v>
      </c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/>
      <c r="C23" s="16" t="n"/>
      <c r="D23" s="16" t="n"/>
      <c r="E23" s="16" t="n"/>
      <c r="F23" s="16" t="n"/>
    </row>
    <row r="24">
      <c r="A24" s="17" t="inlineStr">
        <is>
          <t>Tilgodehavender</t>
        </is>
      </c>
      <c r="B24" s="16" t="n">
        <v>14973</v>
      </c>
      <c r="C24" s="16" t="n">
        <v>9524</v>
      </c>
      <c r="D24" s="16" t="n">
        <v>11918</v>
      </c>
      <c r="E24" s="16" t="n">
        <v>11411</v>
      </c>
      <c r="F24" s="16" t="n">
        <v>13456</v>
      </c>
    </row>
    <row r="25">
      <c r="A25" s="15" t="inlineStr">
        <is>
          <t>Værdipapirer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Likvide beholdninger</t>
        </is>
      </c>
      <c r="B26" s="16" t="n">
        <v>178</v>
      </c>
      <c r="C26" s="16" t="n">
        <v>1275</v>
      </c>
      <c r="D26" s="16" t="n">
        <v>682</v>
      </c>
      <c r="E26" s="16" t="n">
        <v>365</v>
      </c>
      <c r="F26" s="16" t="n">
        <v>957</v>
      </c>
    </row>
    <row r="27">
      <c r="A27" s="17" t="inlineStr">
        <is>
          <t>Omsætningsaktiver</t>
        </is>
      </c>
      <c r="B27" s="16" t="n">
        <v>35798</v>
      </c>
      <c r="C27" s="16" t="n">
        <v>35682</v>
      </c>
      <c r="D27" s="16" t="n">
        <v>35372</v>
      </c>
      <c r="E27" s="16" t="n">
        <v>37981</v>
      </c>
      <c r="F27" s="16" t="n">
        <v>40443</v>
      </c>
    </row>
    <row r="28">
      <c r="A28" s="17" t="inlineStr">
        <is>
          <t>Aktiver</t>
        </is>
      </c>
      <c r="B28" s="16" t="n">
        <v>40139</v>
      </c>
      <c r="C28" s="16" t="n">
        <v>42366</v>
      </c>
      <c r="D28" s="16" t="n">
        <v>39951</v>
      </c>
      <c r="E28" s="16" t="n">
        <v>40411</v>
      </c>
      <c r="F28" s="16" t="n">
        <v>43079</v>
      </c>
    </row>
    <row r="29">
      <c r="A29" s="15" t="inlineStr">
        <is>
          <t>Selskabskapital</t>
        </is>
      </c>
      <c r="B29" s="16" t="n">
        <v>1112</v>
      </c>
      <c r="C29" s="16" t="n">
        <v>1112</v>
      </c>
      <c r="D29" s="16" t="n">
        <v>1112</v>
      </c>
      <c r="E29" s="16" t="n">
        <v>1112</v>
      </c>
      <c r="F29" s="16" t="n">
        <v>1112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udviklingsomkostninger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Reserve for sikringstransaktioner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Andre reserver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Overført resultat</t>
        </is>
      </c>
      <c r="B34" s="16" t="n">
        <v>22815</v>
      </c>
      <c r="C34" s="16" t="n">
        <v>23250</v>
      </c>
      <c r="D34" s="16" t="n">
        <v>23911</v>
      </c>
      <c r="E34" s="16" t="n">
        <v>24181</v>
      </c>
      <c r="F34" s="16" t="n">
        <v>27545</v>
      </c>
    </row>
    <row r="35">
      <c r="A35" s="17" t="inlineStr">
        <is>
          <t>Egenkapital i alt</t>
        </is>
      </c>
      <c r="B35" s="16" t="n">
        <v>28927</v>
      </c>
      <c r="C35" s="16" t="n">
        <v>25862</v>
      </c>
      <c r="D35" s="16" t="n">
        <v>27423</v>
      </c>
      <c r="E35" s="16" t="n">
        <v>27093</v>
      </c>
      <c r="F35" s="16" t="n">
        <v>31257</v>
      </c>
    </row>
    <row r="36">
      <c r="A36" s="15" t="inlineStr">
        <is>
          <t>Hensættelse til udskudt skat</t>
        </is>
      </c>
      <c r="B36" s="16" t="n">
        <v>295</v>
      </c>
      <c r="C36" s="16" t="n">
        <v>715</v>
      </c>
      <c r="D36" s="16" t="n">
        <v>290</v>
      </c>
      <c r="E36" s="16" t="n">
        <v>0</v>
      </c>
      <c r="F36" s="16" t="n"/>
    </row>
    <row r="37">
      <c r="A37" s="17" t="inlineStr">
        <is>
          <t>Hensatte forpligtelser</t>
        </is>
      </c>
      <c r="B37" s="16" t="n">
        <v>295</v>
      </c>
      <c r="C37" s="16" t="n">
        <v>715</v>
      </c>
      <c r="D37" s="16" t="n">
        <v>290</v>
      </c>
      <c r="E37" s="16" t="n">
        <v>0</v>
      </c>
      <c r="F37" s="16" t="n"/>
    </row>
    <row r="38">
      <c r="A38" s="15" t="inlineStr">
        <is>
          <t>Ansvarlig lånekapital (kortfristet)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Kortfristet del af langfristede gældsforpligtelser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Kreditinstitutter</t>
        </is>
      </c>
      <c r="B40" s="16" t="n">
        <v>1326</v>
      </c>
      <c r="C40" s="16" t="n">
        <v>8619</v>
      </c>
      <c r="D40" s="16" t="n">
        <v>3518</v>
      </c>
      <c r="E40" s="16" t="n">
        <v>4074</v>
      </c>
      <c r="F40" s="16" t="n">
        <v>0</v>
      </c>
    </row>
    <row r="41">
      <c r="A41" s="15" t="inlineStr">
        <is>
          <t>Leasingforpligtelser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Leverandører af varer og tjenesteydelser</t>
        </is>
      </c>
      <c r="B42" s="16" t="n">
        <v>6021</v>
      </c>
      <c r="C42" s="16" t="n">
        <v>5327</v>
      </c>
      <c r="D42" s="16" t="n">
        <v>4073</v>
      </c>
      <c r="E42" s="16" t="n">
        <v>5747</v>
      </c>
      <c r="F42" s="16" t="n">
        <v>5083</v>
      </c>
    </row>
    <row r="43">
      <c r="A43" s="15" t="inlineStr">
        <is>
          <t>Gæld til tilknyttede virksomheder</t>
        </is>
      </c>
      <c r="B43" s="16" t="n"/>
      <c r="C43" s="16" t="n">
        <v>39</v>
      </c>
      <c r="D43" s="16" t="n">
        <v>0</v>
      </c>
      <c r="E43" s="16" t="n"/>
      <c r="F43" s="16" t="n">
        <v>15</v>
      </c>
    </row>
    <row r="44">
      <c r="A44" s="15" t="inlineStr">
        <is>
          <t>Gæld til selskabsdeltagere og ledelse</t>
        </is>
      </c>
      <c r="B44" s="16" t="n">
        <v>5</v>
      </c>
      <c r="C44" s="16" t="n">
        <v>0</v>
      </c>
      <c r="D44" s="16" t="n">
        <v>3</v>
      </c>
      <c r="E44" s="16" t="n">
        <v>1</v>
      </c>
      <c r="F44" s="16" t="n">
        <v>482</v>
      </c>
    </row>
    <row r="45">
      <c r="A45" s="15" t="inlineStr">
        <is>
          <t>Selskabsskat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Gæld til tilknyttede virksomheder vedr. selskabsskat</t>
        </is>
      </c>
      <c r="B46" s="16" t="n">
        <v>1175</v>
      </c>
      <c r="C46" s="16" t="n">
        <v>187</v>
      </c>
      <c r="D46" s="16" t="n">
        <v>1357</v>
      </c>
      <c r="E46" s="16" t="n">
        <v>994</v>
      </c>
      <c r="F46" s="16" t="n">
        <v>1945</v>
      </c>
    </row>
    <row r="47">
      <c r="A47" s="15" t="inlineStr">
        <is>
          <t>Anden gæld (kortfristet)</t>
        </is>
      </c>
      <c r="B47" s="16" t="n">
        <v>2390</v>
      </c>
      <c r="C47" s="16" t="n">
        <v>1618</v>
      </c>
      <c r="D47" s="16" t="n">
        <v>3287</v>
      </c>
      <c r="E47" s="16" t="n">
        <v>2306</v>
      </c>
      <c r="F47" s="16" t="n">
        <v>4089</v>
      </c>
    </row>
    <row r="48">
      <c r="A48" s="15" t="inlineStr">
        <is>
          <t>Periodeafgrænsningsposter (passiver)</t>
        </is>
      </c>
      <c r="B48" s="16" t="n"/>
      <c r="C48" s="16" t="n"/>
      <c r="D48" s="16" t="n"/>
      <c r="E48" s="16" t="n">
        <v>104</v>
      </c>
      <c r="F48" s="16" t="n">
        <v>112</v>
      </c>
    </row>
    <row r="49">
      <c r="A49" s="17" t="inlineStr">
        <is>
          <t>Kortfristede gældsforpligtelser</t>
        </is>
      </c>
      <c r="B49" s="16" t="n">
        <v>10917</v>
      </c>
      <c r="C49" s="16" t="n">
        <v>15790</v>
      </c>
      <c r="D49" s="16" t="n">
        <v>12238</v>
      </c>
      <c r="E49" s="16" t="n">
        <v>13318</v>
      </c>
      <c r="F49" s="16" t="n">
        <v>11822</v>
      </c>
    </row>
    <row r="50">
      <c r="A50" s="17" t="inlineStr">
        <is>
          <t>Gældsforpligtelser</t>
        </is>
      </c>
      <c r="B50" s="16" t="n">
        <v>10917</v>
      </c>
      <c r="C50" s="16" t="n">
        <v>15790</v>
      </c>
      <c r="D50" s="16" t="n">
        <v>12238</v>
      </c>
      <c r="E50" s="16" t="n">
        <v>13318</v>
      </c>
      <c r="F50" s="16" t="n">
        <v>11822</v>
      </c>
    </row>
    <row r="51">
      <c r="A51" s="17" t="inlineStr">
        <is>
          <t>Passiver</t>
        </is>
      </c>
      <c r="B51" s="16" t="n">
        <v>40139</v>
      </c>
      <c r="C51" s="16" t="n">
        <v>42366</v>
      </c>
      <c r="D51" s="16" t="n">
        <v>39951</v>
      </c>
      <c r="E51" s="16" t="n">
        <v>40411</v>
      </c>
      <c r="F51" s="16" t="n">
        <v>43079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RICE A/S (CVR 21093939) — Regnskabs- og nøgletal (CVR: 21093939)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'res_raw_21093939'!$F$2</f>
        <v/>
      </c>
      <c r="C5" s="24">
        <f>'res_raw_21093939'!$E$2</f>
        <v/>
      </c>
      <c r="D5" s="24">
        <f>'res_raw_21093939'!$D$2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'res_raw_21093939'!$F$3</f>
        <v/>
      </c>
      <c r="C6" s="24">
        <f>'res_raw_21093939'!$E$3</f>
        <v/>
      </c>
      <c r="D6" s="24">
        <f>'res_raw_21093939'!$D$3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-'res_raw_21093939'!$F$4</f>
        <v/>
      </c>
      <c r="C7" s="24">
        <f>-'res_raw_21093939'!$E$4</f>
        <v/>
      </c>
      <c r="D7" s="24">
        <f>-'res_raw_21093939'!$D$4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-'res_raw_21093939'!$F$5</f>
        <v/>
      </c>
      <c r="C8" s="24">
        <f>-'res_raw_21093939'!$E$5</f>
        <v/>
      </c>
      <c r="D8" s="24">
        <f>-'res_raw_21093939'!$D$5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-'res_raw_21093939'!$F$7</f>
        <v/>
      </c>
      <c r="C10" s="24">
        <f>-'res_raw_21093939'!$E$7</f>
        <v/>
      </c>
      <c r="D10" s="24">
        <f>-'res_raw_21093939'!$D$7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-'res_raw_21093939'!$F$9</f>
        <v/>
      </c>
      <c r="C11" s="24">
        <f>-'res_raw_21093939'!$E$9</f>
        <v/>
      </c>
      <c r="D11" s="24">
        <f>-'res_raw_21093939'!$D$9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-'res_raw_21093939'!$F$10</f>
        <v/>
      </c>
      <c r="C12" s="24">
        <f>-'res_raw_21093939'!$E$10</f>
        <v/>
      </c>
      <c r="D12" s="24">
        <f>-'res_raw_21093939'!$D$10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N('res_raw_21093939'!$F$12)+N('res_raw_21093939'!$F$13)</f>
        <v/>
      </c>
      <c r="C14" s="24">
        <f>N('res_raw_21093939'!$E$12)+N('res_raw_21093939'!$E$13)</f>
        <v/>
      </c>
      <c r="D14" s="24">
        <f>N('res_raw_21093939'!$D$12)+N('res_raw_21093939'!$D$13)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-'res_raw_21093939'!$F$14</f>
        <v/>
      </c>
      <c r="C15" s="24">
        <f>-'res_raw_21093939'!$E$14</f>
        <v/>
      </c>
      <c r="D15" s="24">
        <f>-'res_raw_21093939'!$D$14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'balance_raw_21093939'!$F$12</f>
        <v/>
      </c>
      <c r="C19" s="24">
        <f>'balance_raw_21093939'!$E$12</f>
        <v/>
      </c>
      <c r="D19" s="24">
        <f>'balance_raw_21093939'!$D$12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'balance_raw_21093939'!$F$27</f>
        <v/>
      </c>
      <c r="C20" s="24">
        <f>'balance_raw_21093939'!$E$27</f>
        <v/>
      </c>
      <c r="D20" s="24">
        <f>'balance_raw_21093939'!$D$27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'balance_raw_21093939'!$F$35</f>
        <v/>
      </c>
      <c r="C23" s="24">
        <f>'balance_raw_21093939'!$E$35</f>
        <v/>
      </c>
      <c r="D23" s="24">
        <f>'balance_raw_21093939'!$D$35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'balance_raw_21093939'!$F$51-'balance_raw_21093939'!$F$35</f>
        <v/>
      </c>
      <c r="C24" s="24">
        <f>'balance_raw_21093939'!$E$51-'balance_raw_21093939'!$E$35</f>
        <v/>
      </c>
      <c r="D24" s="24">
        <f>'balance_raw_21093939'!$D$51-'balance_raw_21093939'!$D$35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'balance_raw_21093939'!$F$16</f>
        <v/>
      </c>
      <c r="C28" s="24">
        <f>'balance_raw_21093939'!$E$16</f>
        <v/>
      </c>
      <c r="D28" s="24">
        <f>'balance_raw_21093939'!$D$16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'balance_raw_21093939'!$F$17</f>
        <v/>
      </c>
      <c r="C29" s="24">
        <f>'balance_raw_21093939'!$E$17</f>
        <v/>
      </c>
      <c r="D29" s="24">
        <f>'balance_raw_21093939'!$D$17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'balance_raw_21093939'!$F$49</f>
        <v/>
      </c>
      <c r="C30" s="24">
        <f>'balance_raw_21093939'!$E$49</f>
        <v/>
      </c>
      <c r="D30" s="24">
        <f>'balance_raw_21093939'!$D$49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IF('balance_raw_21093939'!$F$28="","—",IF(ABS(B21-'balance_raw_21093939'!$F$28)&lt;=1,"✓ OK","❌ "&amp;TEXT(B21-'balance_raw_21093939'!$F$28,"+#,##0;-#,##0")&amp;" t.kr."))</f>
        <v/>
      </c>
      <c r="C61" s="29">
        <f>IF('balance_raw_21093939'!$E$28="","—",IF(ABS(C21-'balance_raw_21093939'!$E$28)&lt;=1,"✓ OK","❌ "&amp;TEXT(C21-'balance_raw_21093939'!$E$28,"+#,##0;-#,##0")&amp;" t.kr."))</f>
        <v/>
      </c>
      <c r="D61" s="29">
        <f>IF('balance_raw_21093939'!$D$28="","—",IF(ABS(D21-'balance_raw_21093939'!$D$28)&lt;=1,"✓ OK","❌ "&amp;TEXT(D21-'balance_raw_21093939'!$D$28,"+#,##0;-#,##0")&amp;"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IF('balance_raw_21093939'!$F$51="","—",IF(ABS(B25-'balance_raw_21093939'!$F$51)&lt;=1,"✓ OK","❌ "&amp;TEXT(B25-'balance_raw_21093939'!$F$51,"+#,##0;-#,##0")&amp;" t.kr."))</f>
        <v/>
      </c>
      <c r="C62" s="29">
        <f>IF('balance_raw_21093939'!$E$51="","—",IF(ABS(C25-'balance_raw_21093939'!$E$51)&lt;=1,"✓ OK","❌ "&amp;TEXT(C25-'balance_raw_21093939'!$E$51,"+#,##0;-#,##0")&amp;" t.kr."))</f>
        <v/>
      </c>
      <c r="D62" s="29">
        <f>IF('balance_raw_21093939'!$D$51="","—",IF(ABS(D25-'balance_raw_21093939'!$D$51)&lt;=1,"✓ OK","❌ "&amp;TEXT(D25-'balance_raw_21093939'!$D$51,"+#,##0;-#,##0")&amp;"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IF('res_raw_21093939'!$F$6="","—",IF(ABS(B9-'res_raw_21093939'!$F$6)&lt;=1,"✓ OK","❌ "&amp;TEXT(B9-'res_raw_21093939'!$F$6,"+#,##0;-#,##0")&amp;" t.kr."))</f>
        <v/>
      </c>
      <c r="C64" s="29">
        <f>IF('res_raw_21093939'!$E$6="","—",IF(ABS(C9-'res_raw_21093939'!$E$6)&lt;=1,"✓ OK","❌ "&amp;TEXT(C9-'res_raw_21093939'!$E$6,"+#,##0;-#,##0")&amp;" t.kr."))</f>
        <v/>
      </c>
      <c r="D64" s="29">
        <f>IF('res_raw_21093939'!$D$6="","—",IF(ABS(D9-'res_raw_21093939'!$D$6)&lt;=1,"✓ OK","❌ "&amp;TEXT(D9-'res_raw_21093939'!$D$6,"+#,##0;-#,##0")&amp;"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IF('res_raw_21093939'!$F$11="","—",IF(ABS(B13-'res_raw_21093939'!$F$11)&lt;=1,"✓ OK","❌ "&amp;TEXT(B13-'res_raw_21093939'!$F$11,"+#,##0;-#,##0")&amp;" t.kr."))</f>
        <v/>
      </c>
      <c r="C65" s="29">
        <f>IF('res_raw_21093939'!$E$11="","—",IF(ABS(C13-'res_raw_21093939'!$E$11)&lt;=1,"✓ OK","❌ "&amp;TEXT(C13-'res_raw_21093939'!$E$11,"+#,##0;-#,##0")&amp;" t.kr."))</f>
        <v/>
      </c>
      <c r="D65" s="29">
        <f>IF('res_raw_21093939'!$D$11="","—",IF(ABS(D13-'res_raw_21093939'!$D$11)&lt;=1,"✓ OK","❌ "&amp;TEXT(D13-'res_raw_21093939'!$D$11,"+#,##0;-#,##0")&amp;"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IF('res_raw_21093939'!$F$16="","—",IF(ABS(B16-'res_raw_21093939'!$F$16)&lt;=1,"✓ OK","❌ "&amp;TEXT(B16-'res_raw_21093939'!$F$16,"+#,##0;-#,##0")&amp;" t.kr."))</f>
        <v/>
      </c>
      <c r="C66" s="29">
        <f>IF('res_raw_21093939'!$E$16="","—",IF(ABS(C16-'res_raw_21093939'!$E$16)&lt;=1,"✓ OK","❌ "&amp;TEXT(C16-'res_raw_21093939'!$E$16,"+#,##0;-#,##0")&amp;" t.kr."))</f>
        <v/>
      </c>
      <c r="D66" s="29">
        <f>IF('res_raw_21093939'!$D$16="","—",IF(ABS(D16-'res_raw_21093939'!$D$16)&lt;=1,"✓ OK","❌ "&amp;TEXT(D16-'res_raw_21093939'!$D$16,"+#,##0;-#,##0")&amp;"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RICE A/S (CVR 21093939)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fsa:DepositsShorttermLiabilitiesOtherThanProvisions</t>
        </is>
      </c>
      <c r="C3" s="34" t="inlineStr">
        <is>
          <t>fsa:DepositsShorttermLiabilitiesOtherThanProvisions</t>
        </is>
      </c>
      <c r="D3" s="35" t="n"/>
      <c r="E3" s="35" t="n"/>
      <c r="F3" s="35" t="n"/>
      <c r="G3" s="35" t="n">
        <v>94</v>
      </c>
      <c r="H3" s="35" t="n">
        <v>96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2026-09-10T15:35:59Z</dcterms:created>
  <dcterms:modified xmlns:dcterms="http://purl.org/dc/terms/" xmlns:xsi="http://www.w3.org/2001/XMLSchema-instance" xsi:type="dcterms:W3CDTF">2026-09-10T15:35:59Z</dcterms:modified>
</cp:coreProperties>
</file>