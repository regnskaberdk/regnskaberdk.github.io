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'balance_raw_26864100'!$B$44</f>
        <v/>
      </c>
      <c r="C67" s="11">
        <f>'balance_raw_26864100'!$C$44</f>
        <v/>
      </c>
      <c r="D67" s="11">
        <f>'balance_raw_26864100'!$D$44</f>
        <v/>
      </c>
      <c r="E67" s="11">
        <f>'balance_raw_26864100'!$E$44</f>
        <v/>
      </c>
      <c r="F67" s="11">
        <f>'balance_raw_26864100'!$F$44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'balance_raw_26864100'!$B$51</f>
        <v/>
      </c>
      <c r="C74" s="5">
        <f>'balance_raw_26864100'!$C$51</f>
        <v/>
      </c>
      <c r="D74" s="5">
        <f>'balance_raw_26864100'!$D$51</f>
        <v/>
      </c>
      <c r="E74" s="5">
        <f>'balance_raw_26864100'!$E$51</f>
        <v/>
      </c>
      <c r="F74" s="5">
        <f>'balance_raw_26864100'!$F$51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'balance_raw_26864100'!$B$52</f>
        <v/>
      </c>
      <c r="C75" s="8">
        <f>'balance_raw_26864100'!$C$52</f>
        <v/>
      </c>
      <c r="D75" s="8">
        <f>'balance_raw_26864100'!$D$52</f>
        <v/>
      </c>
      <c r="E75" s="8">
        <f>'balance_raw_26864100'!$E$52</f>
        <v/>
      </c>
      <c r="F75" s="8">
        <f>'balance_raw_26864100'!$F$52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'balance_raw_26864100'!$B$53</f>
        <v/>
      </c>
      <c r="C76" s="5">
        <f>'balance_raw_26864100'!$C$53</f>
        <v/>
      </c>
      <c r="D76" s="5">
        <f>'balance_raw_26864100'!$D$53</f>
        <v/>
      </c>
      <c r="E76" s="5">
        <f>'balance_raw_26864100'!$E$53</f>
        <v/>
      </c>
      <c r="F76" s="5">
        <f>'balance_raw_26864100'!$F$53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'balance_raw_26864100'!$B$54</f>
        <v/>
      </c>
      <c r="C77" s="8">
        <f>'balance_raw_26864100'!$C$54</f>
        <v/>
      </c>
      <c r="D77" s="8">
        <f>'balance_raw_26864100'!$D$54</f>
        <v/>
      </c>
      <c r="E77" s="8">
        <f>'balance_raw_26864100'!$E$54</f>
        <v/>
      </c>
      <c r="F77" s="8">
        <f>'balance_raw_26864100'!$F$54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'balance_raw_26864100'!$B$55</f>
        <v/>
      </c>
      <c r="C78" s="5">
        <f>'balance_raw_26864100'!$C$55</f>
        <v/>
      </c>
      <c r="D78" s="5">
        <f>'balance_raw_26864100'!$D$55</f>
        <v/>
      </c>
      <c r="E78" s="5">
        <f>'balance_raw_26864100'!$E$55</f>
        <v/>
      </c>
      <c r="F78" s="5">
        <f>'balance_raw_26864100'!$F$55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'balance_raw_26864100'!$B$56</f>
        <v/>
      </c>
      <c r="C79" s="11">
        <f>'balance_raw_26864100'!$C$56</f>
        <v/>
      </c>
      <c r="D79" s="11">
        <f>'balance_raw_26864100'!$D$56</f>
        <v/>
      </c>
      <c r="E79" s="11">
        <f>'balance_raw_26864100'!$E$56</f>
        <v/>
      </c>
      <c r="F79" s="11">
        <f>'balance_raw_26864100'!$F$56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'balance_raw_26864100'!$B$57</f>
        <v/>
      </c>
      <c r="C80" s="11">
        <f>'balance_raw_26864100'!$C$57</f>
        <v/>
      </c>
      <c r="D80" s="11">
        <f>'balance_raw_26864100'!$D$57</f>
        <v/>
      </c>
      <c r="E80" s="11">
        <f>'balance_raw_26864100'!$E$57</f>
        <v/>
      </c>
      <c r="F80" s="11">
        <f>'balance_raw_26864100'!$F$57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'balance_raw_26864100'!$B$58</f>
        <v/>
      </c>
      <c r="C81" s="11">
        <f>'balance_raw_26864100'!$C$58</f>
        <v/>
      </c>
      <c r="D81" s="11">
        <f>'balance_raw_26864100'!$D$58</f>
        <v/>
      </c>
      <c r="E81" s="11">
        <f>'balance_raw_26864100'!$E$58</f>
        <v/>
      </c>
      <c r="F81" s="11">
        <f>'balance_raw_26864100'!$F$58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'res_raw_26864100'!$B$19</f>
        <v/>
      </c>
      <c r="C84" s="5">
        <f>'res_raw_26864100'!$C$19</f>
        <v/>
      </c>
      <c r="D84" s="5">
        <f>'res_raw_26864100'!$D$19</f>
        <v/>
      </c>
      <c r="E84" s="5">
        <f>'res_raw_26864100'!$E$19</f>
        <v/>
      </c>
      <c r="F84" s="5">
        <f>'res_raw_26864100'!$F$19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'res_raw_26864100'!$B$20</f>
        <v/>
      </c>
      <c r="C85" s="8">
        <f>'res_raw_26864100'!$C$20</f>
        <v/>
      </c>
      <c r="D85" s="8">
        <f>'res_raw_26864100'!$D$20</f>
        <v/>
      </c>
      <c r="E85" s="8">
        <f>'res_raw_26864100'!$E$20</f>
        <v/>
      </c>
      <c r="F85" s="8">
        <f>'res_raw_26864100'!$F$20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6053125</v>
      </c>
      <c r="C2" s="16" t="n">
        <v>6566702</v>
      </c>
      <c r="D2" s="16" t="n">
        <v>6386452</v>
      </c>
      <c r="E2" s="16" t="n">
        <v>5453341</v>
      </c>
      <c r="F2" s="16" t="n">
        <v>4816829</v>
      </c>
    </row>
    <row r="3">
      <c r="A3" s="15" t="inlineStr">
        <is>
          <t>Andre driftsindtægter</t>
        </is>
      </c>
      <c r="B3" s="16" t="n">
        <v>38440</v>
      </c>
      <c r="C3" s="16" t="n">
        <v>40132</v>
      </c>
      <c r="D3" s="16" t="n">
        <v>44261</v>
      </c>
      <c r="E3" s="16" t="n">
        <v>43178</v>
      </c>
      <c r="F3" s="16" t="n">
        <v>39836</v>
      </c>
    </row>
    <row r="4">
      <c r="A4" s="15" t="inlineStr">
        <is>
          <t>Vareforbrug</t>
        </is>
      </c>
      <c r="B4" s="16" t="n">
        <v>6024760</v>
      </c>
      <c r="C4" s="16" t="n">
        <v>6541195</v>
      </c>
      <c r="D4" s="16" t="n">
        <v>6363438</v>
      </c>
      <c r="E4" s="16" t="n">
        <v>5434228</v>
      </c>
      <c r="F4" s="16" t="n">
        <v>4783001</v>
      </c>
    </row>
    <row r="5">
      <c r="A5" s="15" t="inlineStr">
        <is>
          <t>Andre eksterne omkostninger</t>
        </is>
      </c>
      <c r="B5" s="16" t="n">
        <v>16175</v>
      </c>
      <c r="C5" s="16" t="n">
        <v>15131</v>
      </c>
      <c r="D5" s="16" t="n">
        <v>17347</v>
      </c>
      <c r="E5" s="16" t="n">
        <v>15837</v>
      </c>
      <c r="F5" s="16" t="n">
        <v>15141</v>
      </c>
    </row>
    <row r="6">
      <c r="A6" s="17" t="inlineStr">
        <is>
          <t>Bruttoresultat</t>
        </is>
      </c>
      <c r="B6" s="16" t="n">
        <v>50630</v>
      </c>
      <c r="C6" s="16" t="n">
        <v>50508</v>
      </c>
      <c r="D6" s="16" t="n">
        <v>49928</v>
      </c>
      <c r="E6" s="16" t="n">
        <v>46454</v>
      </c>
      <c r="F6" s="16" t="n">
        <v>58523</v>
      </c>
    </row>
    <row r="7">
      <c r="A7" s="15" t="inlineStr">
        <is>
          <t>Personaleomkostninger</t>
        </is>
      </c>
      <c r="B7" s="16" t="n">
        <v>41282</v>
      </c>
      <c r="C7" s="16" t="n">
        <v>40546</v>
      </c>
      <c r="D7" s="16" t="n">
        <v>41309</v>
      </c>
      <c r="E7" s="16" t="n">
        <v>41390</v>
      </c>
      <c r="F7" s="16" t="n">
        <v>41252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7477</v>
      </c>
      <c r="C9" s="16" t="n">
        <v>7356</v>
      </c>
      <c r="D9" s="16" t="n">
        <v>6077</v>
      </c>
      <c r="E9" s="16" t="n">
        <v>4912</v>
      </c>
      <c r="F9" s="16" t="n">
        <v>7110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1871</v>
      </c>
      <c r="C11" s="16" t="n">
        <v>2606</v>
      </c>
      <c r="D11" s="16" t="n">
        <v>2542</v>
      </c>
      <c r="E11" s="16" t="n">
        <v>152</v>
      </c>
      <c r="F11" s="16" t="n">
        <v>10161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290</v>
      </c>
      <c r="C13" s="16" t="n">
        <v>73</v>
      </c>
      <c r="D13" s="16" t="n">
        <v>65</v>
      </c>
      <c r="E13" s="16" t="n">
        <v>1170</v>
      </c>
      <c r="F13" s="16" t="n">
        <v>2432</v>
      </c>
    </row>
    <row r="14">
      <c r="A14" s="15" t="inlineStr">
        <is>
          <t>Finansielle omkostninger</t>
        </is>
      </c>
      <c r="B14" s="16" t="n">
        <v>783</v>
      </c>
      <c r="C14" s="16" t="n">
        <v>1595</v>
      </c>
      <c r="D14" s="16" t="n">
        <v>693</v>
      </c>
      <c r="E14" s="16" t="n">
        <v>159</v>
      </c>
      <c r="F14" s="16" t="n">
        <v>152</v>
      </c>
    </row>
    <row r="15">
      <c r="A15" s="17" t="inlineStr">
        <is>
          <t>Finansielle poster, netto</t>
        </is>
      </c>
      <c r="B15" s="16" t="n">
        <v>-493</v>
      </c>
      <c r="C15" s="16" t="n">
        <v>-1522</v>
      </c>
      <c r="D15" s="16" t="n">
        <v>-628</v>
      </c>
      <c r="E15" s="16" t="n">
        <v>1011</v>
      </c>
      <c r="F15" s="16" t="n">
        <v>2280</v>
      </c>
    </row>
    <row r="16">
      <c r="A16" s="17" t="inlineStr">
        <is>
          <t>Resultat før skat</t>
        </is>
      </c>
      <c r="B16" s="16" t="n">
        <v>1378</v>
      </c>
      <c r="C16" s="16" t="n">
        <v>1084</v>
      </c>
      <c r="D16" s="16" t="n">
        <v>1914</v>
      </c>
      <c r="E16" s="16" t="n">
        <v>1163</v>
      </c>
      <c r="F16" s="16" t="n">
        <v>12441</v>
      </c>
    </row>
    <row r="17">
      <c r="A17" s="15" t="inlineStr">
        <is>
          <t>Skat af årets resultat</t>
        </is>
      </c>
      <c r="B17" s="16" t="n">
        <v>232</v>
      </c>
      <c r="C17" s="16" t="n">
        <v>388</v>
      </c>
      <c r="D17" s="16" t="n">
        <v>151</v>
      </c>
      <c r="E17" s="16" t="n">
        <v>118</v>
      </c>
      <c r="F17" s="16" t="n">
        <v>202</v>
      </c>
    </row>
    <row r="18">
      <c r="A18" s="17" t="inlineStr">
        <is>
          <t>Årets resultat</t>
        </is>
      </c>
      <c r="B18" s="16" t="n">
        <v>1146</v>
      </c>
      <c r="C18" s="16" t="n">
        <v>696</v>
      </c>
      <c r="D18" s="16" t="n">
        <v>1763</v>
      </c>
      <c r="E18" s="16" t="n">
        <v>1045</v>
      </c>
      <c r="F18" s="16" t="n">
        <v>12239</v>
      </c>
    </row>
    <row r="19">
      <c r="A19" s="15" t="inlineStr">
        <is>
          <t>Gns. antal medarbejdere</t>
        </is>
      </c>
      <c r="B19" s="16" t="n">
        <v>72</v>
      </c>
      <c r="C19" s="16" t="n">
        <v>70</v>
      </c>
      <c r="D19" s="16" t="n">
        <v>68</v>
      </c>
      <c r="E19" s="16" t="n">
        <v>64</v>
      </c>
      <c r="F19" s="16" t="n">
        <v>62</v>
      </c>
    </row>
    <row r="20">
      <c r="A20" s="15" t="inlineStr">
        <is>
          <t>Investering i materielle anlægsaktiver</t>
        </is>
      </c>
      <c r="B20" s="16" t="n">
        <v>13</v>
      </c>
      <c r="C20" s="16" t="n">
        <v>840</v>
      </c>
      <c r="D20" s="16" t="n">
        <v>252</v>
      </c>
      <c r="E20" s="16" t="n">
        <v>71</v>
      </c>
      <c r="F20" s="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9039</v>
      </c>
      <c r="C2" s="16" t="n">
        <v>7365</v>
      </c>
      <c r="D2" s="16" t="n">
        <v>4713</v>
      </c>
      <c r="E2" s="16" t="n">
        <v>8452</v>
      </c>
      <c r="F2" s="16" t="n">
        <v>16723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9039</v>
      </c>
      <c r="C5" s="16" t="n">
        <v>7365</v>
      </c>
      <c r="D5" s="16" t="n">
        <v>4713</v>
      </c>
      <c r="E5" s="16" t="n">
        <v>8452</v>
      </c>
      <c r="F5" s="16" t="n">
        <v>16723</v>
      </c>
    </row>
    <row r="6">
      <c r="A6" s="15" t="inlineStr">
        <is>
          <t>Grunde og bygninger</t>
        </is>
      </c>
      <c r="B6" s="16" t="n">
        <v>3960</v>
      </c>
      <c r="C6" s="16" t="n">
        <v>3650</v>
      </c>
      <c r="D6" s="16" t="n">
        <v>3424</v>
      </c>
      <c r="E6" s="16" t="n">
        <v>3124</v>
      </c>
      <c r="F6" s="16" t="n">
        <v>2824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178</v>
      </c>
      <c r="C8" s="16" t="n">
        <v>678</v>
      </c>
      <c r="D8" s="16" t="n">
        <v>503</v>
      </c>
      <c r="E8" s="16" t="n">
        <v>237</v>
      </c>
      <c r="F8" s="16" t="n">
        <v>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4138</v>
      </c>
      <c r="C11" s="16" t="n">
        <v>4328</v>
      </c>
      <c r="D11" s="16" t="n">
        <v>3927</v>
      </c>
      <c r="E11" s="16" t="n">
        <v>3361</v>
      </c>
      <c r="F11" s="16" t="n">
        <v>2892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322</v>
      </c>
      <c r="C13" s="16" t="n">
        <v>332</v>
      </c>
      <c r="D13" s="16" t="n">
        <v>342</v>
      </c>
      <c r="E13" s="16" t="n">
        <v>128</v>
      </c>
      <c r="F13" s="16" t="n">
        <v>128</v>
      </c>
    </row>
    <row r="14">
      <c r="A14" s="17" t="inlineStr">
        <is>
          <t>Finansielle anlægsaktiver</t>
        </is>
      </c>
      <c r="B14" s="16" t="n">
        <v>6936</v>
      </c>
      <c r="C14" s="16" t="n">
        <v>5723</v>
      </c>
      <c r="D14" s="16" t="n">
        <v>3511</v>
      </c>
      <c r="E14" s="16" t="n">
        <v>3764</v>
      </c>
      <c r="F14" s="16" t="n">
        <v>681</v>
      </c>
    </row>
    <row r="15">
      <c r="A15" s="17" t="inlineStr">
        <is>
          <t>Anlægsaktiver</t>
        </is>
      </c>
      <c r="B15" s="16" t="n">
        <v>20113</v>
      </c>
      <c r="C15" s="16" t="n">
        <v>17416</v>
      </c>
      <c r="D15" s="16" t="n">
        <v>12151</v>
      </c>
      <c r="E15" s="16" t="n">
        <v>15577</v>
      </c>
      <c r="F15" s="16" t="n">
        <v>20296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>
        <v>31370</v>
      </c>
      <c r="F18" s="16" t="n">
        <v>17762</v>
      </c>
    </row>
    <row r="19">
      <c r="A19" s="17" t="inlineStr">
        <is>
          <t>Varebeholdninger</t>
        </is>
      </c>
      <c r="B19" s="16" t="n">
        <v>33626</v>
      </c>
      <c r="C19" s="16" t="n">
        <v>60771</v>
      </c>
      <c r="D19" s="16" t="n">
        <v>53234</v>
      </c>
      <c r="E19" s="16" t="n">
        <v>31370</v>
      </c>
      <c r="F19" s="16" t="n">
        <v>17762</v>
      </c>
    </row>
    <row r="20">
      <c r="A20" s="15" t="inlineStr">
        <is>
          <t>Tilgodehavender fra salg og tjenesteydelser</t>
        </is>
      </c>
      <c r="B20" s="16" t="n">
        <v>834456</v>
      </c>
      <c r="C20" s="16" t="n">
        <v>949366</v>
      </c>
      <c r="D20" s="16" t="n">
        <v>888345</v>
      </c>
      <c r="E20" s="16" t="n">
        <v>854293</v>
      </c>
      <c r="F20" s="16" t="n">
        <v>879762</v>
      </c>
    </row>
    <row r="21">
      <c r="A21" s="15" t="inlineStr">
        <is>
          <t>Tilgodehavender hos tilknyttede virksomheder</t>
        </is>
      </c>
      <c r="B21" s="16" t="n"/>
      <c r="C21" s="16" t="n"/>
      <c r="D21" s="16" t="n">
        <v>0</v>
      </c>
      <c r="E21" s="16" t="n">
        <v>0</v>
      </c>
      <c r="F21" s="16" t="n">
        <v>0</v>
      </c>
    </row>
    <row r="22">
      <c r="A22" s="15" t="inlineStr">
        <is>
          <t>Andre tilgodehavender</t>
        </is>
      </c>
      <c r="B22" s="16" t="n">
        <v>162945</v>
      </c>
      <c r="C22" s="16" t="n">
        <v>171274</v>
      </c>
      <c r="D22" s="16" t="n">
        <v>135772</v>
      </c>
      <c r="E22" s="16" t="n">
        <v>126462</v>
      </c>
      <c r="F22" s="16" t="n">
        <v>148101</v>
      </c>
    </row>
    <row r="23">
      <c r="A23" s="15" t="inlineStr">
        <is>
          <t>Periodeafgrænsningsposter (aktiver)</t>
        </is>
      </c>
      <c r="B23" s="16" t="n">
        <v>4064</v>
      </c>
      <c r="C23" s="16" t="n">
        <v>2048</v>
      </c>
      <c r="D23" s="16" t="n">
        <v>3184</v>
      </c>
      <c r="E23" s="16" t="n">
        <v>6791</v>
      </c>
      <c r="F23" s="16" t="n">
        <v>3654</v>
      </c>
    </row>
    <row r="24">
      <c r="A24" s="15" t="inlineStr">
        <is>
          <t>Udskudt skatteaktiv</t>
        </is>
      </c>
      <c r="B24" s="16" t="n"/>
      <c r="C24" s="16" t="n"/>
      <c r="D24" s="16" t="n">
        <v>83</v>
      </c>
      <c r="E24" s="16" t="n">
        <v>189</v>
      </c>
      <c r="F24" s="16" t="n">
        <v>219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37</v>
      </c>
      <c r="D26" s="16" t="n"/>
      <c r="E26" s="16" t="n"/>
      <c r="F26" s="16" t="n">
        <v>36</v>
      </c>
    </row>
    <row r="27">
      <c r="A27" s="17" t="inlineStr">
        <is>
          <t>Tilgodehavender</t>
        </is>
      </c>
      <c r="B27" s="16" t="n">
        <v>1010471</v>
      </c>
      <c r="C27" s="16" t="n">
        <v>1122725</v>
      </c>
      <c r="D27" s="16" t="n">
        <v>1027384</v>
      </c>
      <c r="E27" s="16" t="n">
        <v>987735</v>
      </c>
      <c r="F27" s="16" t="n">
        <v>1031772</v>
      </c>
    </row>
    <row r="28">
      <c r="A28" s="15" t="inlineStr">
        <is>
          <t>Værdipapirer</t>
        </is>
      </c>
      <c r="B28" s="16" t="n"/>
      <c r="C28" s="16" t="n"/>
      <c r="D28" s="16" t="n"/>
      <c r="E28" s="16" t="n">
        <v>29812</v>
      </c>
      <c r="F28" s="16" t="n">
        <v>30749</v>
      </c>
    </row>
    <row r="29">
      <c r="A29" s="15" t="inlineStr">
        <is>
          <t>Likvide beholdninger</t>
        </is>
      </c>
      <c r="B29" s="16" t="n">
        <v>162059</v>
      </c>
      <c r="C29" s="16" t="n">
        <v>20535</v>
      </c>
      <c r="D29" s="16" t="n">
        <v>38045</v>
      </c>
      <c r="E29" s="16" t="n">
        <v>21909</v>
      </c>
      <c r="F29" s="16" t="n">
        <v>34250</v>
      </c>
    </row>
    <row r="30">
      <c r="A30" s="17" t="inlineStr">
        <is>
          <t>Omsætningsaktiver</t>
        </is>
      </c>
      <c r="B30" s="16" t="n">
        <v>1206156</v>
      </c>
      <c r="C30" s="16" t="n">
        <v>1204031</v>
      </c>
      <c r="D30" s="16" t="n">
        <v>1118663</v>
      </c>
      <c r="E30" s="16" t="n">
        <v>1070826</v>
      </c>
      <c r="F30" s="16" t="n">
        <v>1114533</v>
      </c>
    </row>
    <row r="31">
      <c r="A31" s="17" t="inlineStr">
        <is>
          <t>Aktiver</t>
        </is>
      </c>
      <c r="B31" s="16" t="n">
        <v>1226269</v>
      </c>
      <c r="C31" s="16" t="n">
        <v>1221447</v>
      </c>
      <c r="D31" s="16" t="n">
        <v>1130814</v>
      </c>
      <c r="E31" s="16" t="n">
        <v>1086403</v>
      </c>
      <c r="F31" s="16" t="n">
        <v>1134829</v>
      </c>
    </row>
    <row r="32">
      <c r="A32" s="15" t="inlineStr">
        <is>
          <t>Selskabskapital</t>
        </is>
      </c>
      <c r="B32" s="16" t="n">
        <v>975</v>
      </c>
      <c r="C32" s="16" t="n">
        <v>850</v>
      </c>
      <c r="D32" s="16" t="n">
        <v>825</v>
      </c>
      <c r="E32" s="16" t="n">
        <v>750</v>
      </c>
      <c r="F32" s="16" t="n">
        <v>675</v>
      </c>
    </row>
    <row r="33">
      <c r="A33" s="15" t="inlineStr">
        <is>
          <t>Reserve for nettoopskrivning (indre værdis metode)</t>
        </is>
      </c>
      <c r="B33" s="16" t="n">
        <v>0</v>
      </c>
      <c r="C33" s="16" t="n">
        <v>0</v>
      </c>
      <c r="D33" s="16" t="n">
        <v>0</v>
      </c>
      <c r="E33" s="16" t="n">
        <v>0</v>
      </c>
      <c r="F33" s="16" t="n">
        <v>0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>
        <v>-6428</v>
      </c>
      <c r="C35" s="16" t="n">
        <v>3747</v>
      </c>
      <c r="D35" s="16" t="n">
        <v>-1599</v>
      </c>
      <c r="E35" s="16" t="n">
        <v>-415</v>
      </c>
      <c r="F35" s="16" t="n">
        <v>1384</v>
      </c>
    </row>
    <row r="36">
      <c r="A36" s="15" t="inlineStr">
        <is>
          <t>Andre reserver</t>
        </is>
      </c>
      <c r="B36" s="16" t="n">
        <v>353590</v>
      </c>
      <c r="C36" s="16" t="n">
        <v>225479</v>
      </c>
      <c r="D36" s="16" t="n">
        <v>212547</v>
      </c>
      <c r="E36" s="16" t="n">
        <v>210406</v>
      </c>
      <c r="F36" s="16" t="n"/>
    </row>
    <row r="37">
      <c r="A37" s="15" t="inlineStr">
        <is>
          <t>Overført resultat</t>
        </is>
      </c>
      <c r="B37" s="16" t="n">
        <v>5771</v>
      </c>
      <c r="C37" s="16" t="n">
        <v>6467</v>
      </c>
      <c r="D37" s="16" t="n">
        <v>8230</v>
      </c>
      <c r="E37" s="16" t="n">
        <v>9275</v>
      </c>
      <c r="F37" s="16" t="n">
        <v>10385</v>
      </c>
    </row>
    <row r="38">
      <c r="A38" s="17" t="inlineStr">
        <is>
          <t>Egenkapital i alt</t>
        </is>
      </c>
      <c r="B38" s="16" t="n">
        <v>370142</v>
      </c>
      <c r="C38" s="16" t="n">
        <v>254628</v>
      </c>
      <c r="D38" s="16" t="n">
        <v>239252</v>
      </c>
      <c r="E38" s="16" t="n">
        <v>238516</v>
      </c>
      <c r="F38" s="16" t="n">
        <v>250579</v>
      </c>
    </row>
    <row r="39">
      <c r="A39" s="17" t="inlineStr">
        <is>
          <t>Hensatte forpligtelser</t>
        </is>
      </c>
      <c r="B39" s="16" t="n">
        <v>1151</v>
      </c>
      <c r="C39" s="16" t="n">
        <v>1050</v>
      </c>
      <c r="D39" s="16" t="n">
        <v>820</v>
      </c>
      <c r="E39" s="16" t="n">
        <v>648</v>
      </c>
      <c r="F39" s="16" t="n">
        <v>585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3858</v>
      </c>
      <c r="C43" s="16" t="n">
        <v>0</v>
      </c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804263</v>
      </c>
      <c r="C49" s="16" t="n">
        <v>926408</v>
      </c>
      <c r="D49" s="16" t="n">
        <v>845438</v>
      </c>
      <c r="E49" s="16" t="n">
        <v>810904</v>
      </c>
      <c r="F49" s="16" t="n">
        <v>845237</v>
      </c>
    </row>
    <row r="50">
      <c r="A50" s="15" t="inlineStr">
        <is>
          <t>Gæld til tilknyttede virksomheder</t>
        </is>
      </c>
      <c r="B50" s="16" t="n">
        <v>0</v>
      </c>
      <c r="C50" s="16" t="n">
        <v>0</v>
      </c>
      <c r="D50" s="16" t="n">
        <v>0</v>
      </c>
      <c r="E50" s="16" t="n">
        <v>0</v>
      </c>
      <c r="F50" s="16" t="n">
        <v>0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>
        <v>166</v>
      </c>
      <c r="C52" s="16" t="n">
        <v>74</v>
      </c>
      <c r="D52" s="16" t="n">
        <v>136</v>
      </c>
      <c r="E52" s="16" t="n">
        <v>72</v>
      </c>
      <c r="F52" s="16" t="n">
        <v>130</v>
      </c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45987</v>
      </c>
      <c r="C54" s="16" t="n">
        <v>38487</v>
      </c>
      <c r="D54" s="16" t="n">
        <v>44579</v>
      </c>
      <c r="E54" s="16" t="n">
        <v>35743</v>
      </c>
      <c r="F54" s="16" t="n">
        <v>37744</v>
      </c>
    </row>
    <row r="55">
      <c r="A55" s="15" t="inlineStr">
        <is>
          <t>Periodeafgrænsningsposter (passiver)</t>
        </is>
      </c>
      <c r="B55" s="16" t="n">
        <v>702</v>
      </c>
      <c r="C55" s="16" t="n">
        <v>800</v>
      </c>
      <c r="D55" s="16" t="n">
        <v>589</v>
      </c>
      <c r="E55" s="16" t="n">
        <v>520</v>
      </c>
      <c r="F55" s="16" t="n">
        <v>554</v>
      </c>
    </row>
    <row r="56">
      <c r="A56" s="17" t="inlineStr">
        <is>
          <t>Kortfristede gældsforpligtelser</t>
        </is>
      </c>
      <c r="B56" s="16" t="n">
        <v>851118</v>
      </c>
      <c r="C56" s="16" t="n">
        <v>965769</v>
      </c>
      <c r="D56" s="16" t="n">
        <v>890742</v>
      </c>
      <c r="E56" s="16" t="n">
        <v>847239</v>
      </c>
      <c r="F56" s="16" t="n">
        <v>883665</v>
      </c>
    </row>
    <row r="57">
      <c r="A57" s="17" t="inlineStr">
        <is>
          <t>Gældsforpligtelser</t>
        </is>
      </c>
      <c r="B57" s="16" t="n">
        <v>854976</v>
      </c>
      <c r="C57" s="16" t="n">
        <v>965769</v>
      </c>
      <c r="D57" s="16" t="n">
        <v>890742</v>
      </c>
      <c r="E57" s="16" t="n">
        <v>847239</v>
      </c>
      <c r="F57" s="16" t="n">
        <v>883665</v>
      </c>
    </row>
    <row r="58">
      <c r="A58" s="17" t="inlineStr">
        <is>
          <t>Passiver</t>
        </is>
      </c>
      <c r="B58" s="16" t="n">
        <v>1226269</v>
      </c>
      <c r="C58" s="16" t="n">
        <v>1221447</v>
      </c>
      <c r="D58" s="16" t="n">
        <v>1130814</v>
      </c>
      <c r="E58" s="16" t="n">
        <v>1086403</v>
      </c>
      <c r="F58" s="16" t="n">
        <v>1134829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26864100)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'balance_raw_26864100'!$F$58-'balance_raw_26864100'!$F$38</f>
        <v/>
      </c>
      <c r="C24" s="24">
        <f>'balance_raw_26864100'!$E$58-'balance_raw_26864100'!$E$38</f>
        <v/>
      </c>
      <c r="D24" s="24">
        <f>'balance_raw_26864100'!$D$58-'balance_raw_26864100'!$D$38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'balance_raw_26864100'!$F$56</f>
        <v/>
      </c>
      <c r="C30" s="24">
        <f>'balance_raw_26864100'!$E$56</f>
        <v/>
      </c>
      <c r="D30" s="24">
        <f>'balance_raw_26864100'!$D$56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IF('balance_raw_26864100'!$F$58="","—",IF(ABS(B25-'balance_raw_26864100'!$F$58)&lt;=1,"✓ OK","❌ "&amp;TEXT(B25-'balance_raw_26864100'!$F$58,"+#,##0;-#,##0")&amp;" t.kr."))</f>
        <v/>
      </c>
      <c r="C62" s="29">
        <f>IF('balance_raw_26864100'!$E$58="","—",IF(ABS(C25-'balance_raw_26864100'!$E$58)&lt;=1,"✓ OK","❌ "&amp;TEXT(C25-'balance_raw_26864100'!$E$58,"+#,##0;-#,##0")&amp;" t.kr."))</f>
        <v/>
      </c>
      <c r="D62" s="29">
        <f>IF('balance_raw_26864100'!$D$58="","—",IF(ABS(D25-'balance_raw_26864100'!$D$58)&lt;=1,"✓ OK","❌ "&amp;TEXT(D25-'balance_raw_26864100'!$D$58,"+#,##0;-#,##0")&amp;"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2026-09-07T19:38:41Z</dcterms:created>
  <dcterms:modified xmlns:dcterms="http://purl.org/dc/terms/" xmlns:xsi="http://www.w3.org/2001/XMLSchema-instance" xsi:type="dcterms:W3CDTF">2026-09-07T19:38:41Z</dcterms:modified>
</cp:coreProperties>
</file>