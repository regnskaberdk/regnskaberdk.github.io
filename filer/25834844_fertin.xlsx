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5834844" sheetId="1" state="visible" r:id="rId1"/>
    <sheet xmlns:r="http://schemas.openxmlformats.org/officeDocument/2006/relationships" name="res_raw_25834844" sheetId="2" state="visible" r:id="rId2"/>
    <sheet xmlns:r="http://schemas.openxmlformats.org/officeDocument/2006/relationships" name="balance_raw_25834844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'res_raw_25834844'!$B$2</f>
        <v/>
      </c>
      <c r="C4" s="5">
        <f>'res_raw_25834844'!$C$2</f>
        <v/>
      </c>
      <c r="D4" s="5">
        <f>'res_raw_25834844'!$D$2</f>
        <v/>
      </c>
      <c r="E4" s="5">
        <f>'res_raw_25834844'!$E$2</f>
        <v/>
      </c>
      <c r="F4" s="5">
        <f>'res_raw_25834844'!$F$2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'res_raw_25834844'!$B$3</f>
        <v/>
      </c>
      <c r="C5" s="8">
        <f>'res_raw_25834844'!$C$3</f>
        <v/>
      </c>
      <c r="D5" s="8">
        <f>'res_raw_25834844'!$D$3</f>
        <v/>
      </c>
      <c r="E5" s="8">
        <f>'res_raw_25834844'!$E$3</f>
        <v/>
      </c>
      <c r="F5" s="8">
        <f>'res_raw_25834844'!$F$3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'res_raw_25834844'!$B$4</f>
        <v/>
      </c>
      <c r="C6" s="8">
        <f>'res_raw_25834844'!$C$4</f>
        <v/>
      </c>
      <c r="D6" s="8">
        <f>'res_raw_25834844'!$D$4</f>
        <v/>
      </c>
      <c r="E6" s="8">
        <f>'res_raw_25834844'!$E$4</f>
        <v/>
      </c>
      <c r="F6" s="8">
        <f>'res_raw_25834844'!$F$4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'res_raw_25834844'!$B$5</f>
        <v/>
      </c>
      <c r="C7" s="8">
        <f>'res_raw_25834844'!$C$5</f>
        <v/>
      </c>
      <c r="D7" s="8">
        <f>'res_raw_25834844'!$D$5</f>
        <v/>
      </c>
      <c r="E7" s="8">
        <f>'res_raw_25834844'!$E$5</f>
        <v/>
      </c>
      <c r="F7" s="8">
        <f>'res_raw_25834844'!$F$5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'res_raw_25834844'!$B$6</f>
        <v/>
      </c>
      <c r="C8" s="8">
        <f>'res_raw_25834844'!$C$6</f>
        <v/>
      </c>
      <c r="D8" s="8">
        <f>'res_raw_25834844'!$D$6</f>
        <v/>
      </c>
      <c r="E8" s="8">
        <f>'res_raw_25834844'!$E$6</f>
        <v/>
      </c>
      <c r="F8" s="8">
        <f>'res_raw_25834844'!$F$6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'res_raw_25834844'!$B$7</f>
        <v/>
      </c>
      <c r="C9" s="11">
        <f>'res_raw_25834844'!$C$7</f>
        <v/>
      </c>
      <c r="D9" s="11">
        <f>'res_raw_25834844'!$D$7</f>
        <v/>
      </c>
      <c r="E9" s="11">
        <f>'res_raw_25834844'!$E$7</f>
        <v/>
      </c>
      <c r="F9" s="11">
        <f>'res_raw_25834844'!$F$7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'res_raw_25834844'!$B$8</f>
        <v/>
      </c>
      <c r="C10" s="5">
        <f>'res_raw_25834844'!$C$8</f>
        <v/>
      </c>
      <c r="D10" s="5">
        <f>'res_raw_25834844'!$D$8</f>
        <v/>
      </c>
      <c r="E10" s="5">
        <f>'res_raw_25834844'!$E$8</f>
        <v/>
      </c>
      <c r="F10" s="5">
        <f>'res_raw_25834844'!$F$8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'res_raw_25834844'!$B$9</f>
        <v/>
      </c>
      <c r="C11" s="8">
        <f>'res_raw_25834844'!$C$9</f>
        <v/>
      </c>
      <c r="D11" s="8">
        <f>'res_raw_25834844'!$D$9</f>
        <v/>
      </c>
      <c r="E11" s="8">
        <f>'res_raw_25834844'!$E$9</f>
        <v/>
      </c>
      <c r="F11" s="8">
        <f>'res_raw_25834844'!$F$9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'res_raw_25834844'!$B$10</f>
        <v/>
      </c>
      <c r="C12" s="5">
        <f>'res_raw_25834844'!$C$10</f>
        <v/>
      </c>
      <c r="D12" s="5">
        <f>'res_raw_25834844'!$D$10</f>
        <v/>
      </c>
      <c r="E12" s="5">
        <f>'res_raw_25834844'!$E$10</f>
        <v/>
      </c>
      <c r="F12" s="5">
        <f>'res_raw_25834844'!$F$10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'res_raw_25834844'!$B$11</f>
        <v/>
      </c>
      <c r="C13" s="11">
        <f>'res_raw_25834844'!$C$11</f>
        <v/>
      </c>
      <c r="D13" s="11">
        <f>'res_raw_25834844'!$D$11</f>
        <v/>
      </c>
      <c r="E13" s="11">
        <f>'res_raw_25834844'!$E$11</f>
        <v/>
      </c>
      <c r="F13" s="11">
        <f>'res_raw_25834844'!$F$11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'res_raw_25834844'!$B$12</f>
        <v/>
      </c>
      <c r="C14" s="5">
        <f>'res_raw_25834844'!$C$12</f>
        <v/>
      </c>
      <c r="D14" s="5">
        <f>'res_raw_25834844'!$D$12</f>
        <v/>
      </c>
      <c r="E14" s="5">
        <f>'res_raw_25834844'!$E$12</f>
        <v/>
      </c>
      <c r="F14" s="5">
        <f>'res_raw_25834844'!$F$12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'res_raw_25834844'!$B$13</f>
        <v/>
      </c>
      <c r="C15" s="8">
        <f>'res_raw_25834844'!$C$13</f>
        <v/>
      </c>
      <c r="D15" s="8">
        <f>'res_raw_25834844'!$D$13</f>
        <v/>
      </c>
      <c r="E15" s="8">
        <f>'res_raw_25834844'!$E$13</f>
        <v/>
      </c>
      <c r="F15" s="8">
        <f>'res_raw_25834844'!$F$13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'res_raw_25834844'!$B$14</f>
        <v/>
      </c>
      <c r="C16" s="8">
        <f>'res_raw_25834844'!$C$14</f>
        <v/>
      </c>
      <c r="D16" s="8">
        <f>'res_raw_25834844'!$D$14</f>
        <v/>
      </c>
      <c r="E16" s="8">
        <f>'res_raw_25834844'!$E$14</f>
        <v/>
      </c>
      <c r="F16" s="8">
        <f>'res_raw_25834844'!$F$14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'res_raw_25834844'!$B$15</f>
        <v/>
      </c>
      <c r="C17" s="11">
        <f>'res_raw_25834844'!$C$15</f>
        <v/>
      </c>
      <c r="D17" s="11">
        <f>'res_raw_25834844'!$D$15</f>
        <v/>
      </c>
      <c r="E17" s="11">
        <f>'res_raw_25834844'!$E$15</f>
        <v/>
      </c>
      <c r="F17" s="11">
        <f>'res_raw_25834844'!$F$15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'res_raw_25834844'!$B$16</f>
        <v/>
      </c>
      <c r="C18" s="8">
        <f>'res_raw_25834844'!$C$16</f>
        <v/>
      </c>
      <c r="D18" s="8">
        <f>'res_raw_25834844'!$D$16</f>
        <v/>
      </c>
      <c r="E18" s="8">
        <f>'res_raw_25834844'!$E$16</f>
        <v/>
      </c>
      <c r="F18" s="8">
        <f>'res_raw_25834844'!$F$16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'balance_raw_25834844'!$B$2</f>
        <v/>
      </c>
      <c r="C21" s="11">
        <f>'balance_raw_25834844'!$C$2</f>
        <v/>
      </c>
      <c r="D21" s="11">
        <f>'balance_raw_25834844'!$D$2</f>
        <v/>
      </c>
      <c r="E21" s="11">
        <f>'balance_raw_25834844'!$E$2</f>
        <v/>
      </c>
      <c r="F21" s="11">
        <f>'balance_raw_25834844'!$F$2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'balance_raw_25834844'!$B$3</f>
        <v/>
      </c>
      <c r="C22" s="5">
        <f>'balance_raw_25834844'!$C$3</f>
        <v/>
      </c>
      <c r="D22" s="5">
        <f>'balance_raw_25834844'!$D$3</f>
        <v/>
      </c>
      <c r="E22" s="5">
        <f>'balance_raw_25834844'!$E$3</f>
        <v/>
      </c>
      <c r="F22" s="5">
        <f>'balance_raw_25834844'!$F$3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'balance_raw_25834844'!$B$4</f>
        <v/>
      </c>
      <c r="C23" s="11">
        <f>'balance_raw_25834844'!$C$4</f>
        <v/>
      </c>
      <c r="D23" s="11">
        <f>'balance_raw_25834844'!$D$4</f>
        <v/>
      </c>
      <c r="E23" s="11">
        <f>'balance_raw_25834844'!$E$4</f>
        <v/>
      </c>
      <c r="F23" s="11">
        <f>'balance_raw_25834844'!$F$4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'balance_raw_25834844'!$B$5</f>
        <v/>
      </c>
      <c r="C24" s="8">
        <f>'balance_raw_25834844'!$C$5</f>
        <v/>
      </c>
      <c r="D24" s="8">
        <f>'balance_raw_25834844'!$D$5</f>
        <v/>
      </c>
      <c r="E24" s="8">
        <f>'balance_raw_25834844'!$E$5</f>
        <v/>
      </c>
      <c r="F24" s="8">
        <f>'balance_raw_25834844'!$F$5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'balance_raw_25834844'!$B$6</f>
        <v/>
      </c>
      <c r="C25" s="11">
        <f>'balance_raw_25834844'!$C$6</f>
        <v/>
      </c>
      <c r="D25" s="11">
        <f>'balance_raw_25834844'!$D$6</f>
        <v/>
      </c>
      <c r="E25" s="11">
        <f>'balance_raw_25834844'!$E$6</f>
        <v/>
      </c>
      <c r="F25" s="11">
        <f>'balance_raw_25834844'!$F$6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'balance_raw_25834844'!$B$7</f>
        <v/>
      </c>
      <c r="C26" s="5">
        <f>'balance_raw_25834844'!$C$7</f>
        <v/>
      </c>
      <c r="D26" s="5">
        <f>'balance_raw_25834844'!$D$7</f>
        <v/>
      </c>
      <c r="E26" s="5">
        <f>'balance_raw_25834844'!$E$7</f>
        <v/>
      </c>
      <c r="F26" s="5">
        <f>'balance_raw_25834844'!$F$7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'balance_raw_25834844'!$B$8</f>
        <v/>
      </c>
      <c r="C27" s="11">
        <f>'balance_raw_25834844'!$C$8</f>
        <v/>
      </c>
      <c r="D27" s="11">
        <f>'balance_raw_25834844'!$D$8</f>
        <v/>
      </c>
      <c r="E27" s="11">
        <f>'balance_raw_25834844'!$E$8</f>
        <v/>
      </c>
      <c r="F27" s="11">
        <f>'balance_raw_25834844'!$F$8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'balance_raw_25834844'!$B$9</f>
        <v/>
      </c>
      <c r="C28" s="5">
        <f>'balance_raw_25834844'!$C$9</f>
        <v/>
      </c>
      <c r="D28" s="5">
        <f>'balance_raw_25834844'!$D$9</f>
        <v/>
      </c>
      <c r="E28" s="5">
        <f>'balance_raw_25834844'!$E$9</f>
        <v/>
      </c>
      <c r="F28" s="5">
        <f>'balance_raw_25834844'!$F$9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'balance_raw_25834844'!$B$10</f>
        <v/>
      </c>
      <c r="C29" s="11">
        <f>'balance_raw_25834844'!$C$10</f>
        <v/>
      </c>
      <c r="D29" s="11">
        <f>'balance_raw_25834844'!$D$10</f>
        <v/>
      </c>
      <c r="E29" s="11">
        <f>'balance_raw_25834844'!$E$10</f>
        <v/>
      </c>
      <c r="F29" s="11">
        <f>'balance_raw_25834844'!$F$10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'balance_raw_25834844'!$B$11</f>
        <v/>
      </c>
      <c r="C30" s="8">
        <f>'balance_raw_25834844'!$C$11</f>
        <v/>
      </c>
      <c r="D30" s="8">
        <f>'balance_raw_25834844'!$D$11</f>
        <v/>
      </c>
      <c r="E30" s="8">
        <f>'balance_raw_25834844'!$E$11</f>
        <v/>
      </c>
      <c r="F30" s="8">
        <f>'balance_raw_25834844'!$F$11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'balance_raw_25834844'!$B$12</f>
        <v/>
      </c>
      <c r="C31" s="11">
        <f>'balance_raw_25834844'!$C$12</f>
        <v/>
      </c>
      <c r="D31" s="11">
        <f>'balance_raw_25834844'!$D$12</f>
        <v/>
      </c>
      <c r="E31" s="11">
        <f>'balance_raw_25834844'!$E$12</f>
        <v/>
      </c>
      <c r="F31" s="11">
        <f>'balance_raw_25834844'!$F$12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'balance_raw_25834844'!$B$13</f>
        <v/>
      </c>
      <c r="C32" s="5">
        <f>'balance_raw_25834844'!$C$13</f>
        <v/>
      </c>
      <c r="D32" s="5">
        <f>'balance_raw_25834844'!$D$13</f>
        <v/>
      </c>
      <c r="E32" s="5">
        <f>'balance_raw_25834844'!$E$13</f>
        <v/>
      </c>
      <c r="F32" s="5">
        <f>'balance_raw_25834844'!$F$13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'balance_raw_25834844'!$B$14</f>
        <v/>
      </c>
      <c r="C33" s="8">
        <f>'balance_raw_25834844'!$C$14</f>
        <v/>
      </c>
      <c r="D33" s="8">
        <f>'balance_raw_25834844'!$D$14</f>
        <v/>
      </c>
      <c r="E33" s="8">
        <f>'balance_raw_25834844'!$E$14</f>
        <v/>
      </c>
      <c r="F33" s="8">
        <f>'balance_raw_25834844'!$F$14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'balance_raw_25834844'!$B$15</f>
        <v/>
      </c>
      <c r="C34" s="8">
        <f>'balance_raw_25834844'!$C$15</f>
        <v/>
      </c>
      <c r="D34" s="8">
        <f>'balance_raw_25834844'!$D$15</f>
        <v/>
      </c>
      <c r="E34" s="8">
        <f>'balance_raw_25834844'!$E$15</f>
        <v/>
      </c>
      <c r="F34" s="8">
        <f>'balance_raw_25834844'!$F$15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'balance_raw_25834844'!$B$16</f>
        <v/>
      </c>
      <c r="C35" s="11">
        <f>'balance_raw_25834844'!$C$16</f>
        <v/>
      </c>
      <c r="D35" s="11">
        <f>'balance_raw_25834844'!$D$16</f>
        <v/>
      </c>
      <c r="E35" s="11">
        <f>'balance_raw_25834844'!$E$16</f>
        <v/>
      </c>
      <c r="F35" s="11">
        <f>'balance_raw_25834844'!$F$16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'balance_raw_25834844'!$B$17</f>
        <v/>
      </c>
      <c r="C36" s="5">
        <f>'balance_raw_25834844'!$C$17</f>
        <v/>
      </c>
      <c r="D36" s="5">
        <f>'balance_raw_25834844'!$D$17</f>
        <v/>
      </c>
      <c r="E36" s="5">
        <f>'balance_raw_25834844'!$E$17</f>
        <v/>
      </c>
      <c r="F36" s="5">
        <f>'balance_raw_25834844'!$F$17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'balance_raw_25834844'!$B$18</f>
        <v/>
      </c>
      <c r="C37" s="11">
        <f>'balance_raw_25834844'!$C$18</f>
        <v/>
      </c>
      <c r="D37" s="11">
        <f>'balance_raw_25834844'!$D$18</f>
        <v/>
      </c>
      <c r="E37" s="11">
        <f>'balance_raw_25834844'!$E$18</f>
        <v/>
      </c>
      <c r="F37" s="11">
        <f>'balance_raw_25834844'!$F$18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'balance_raw_25834844'!$B$19</f>
        <v/>
      </c>
      <c r="C38" s="8">
        <f>'balance_raw_25834844'!$C$19</f>
        <v/>
      </c>
      <c r="D38" s="8">
        <f>'balance_raw_25834844'!$D$19</f>
        <v/>
      </c>
      <c r="E38" s="8">
        <f>'balance_raw_25834844'!$E$19</f>
        <v/>
      </c>
      <c r="F38" s="8">
        <f>'balance_raw_25834844'!$F$19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'balance_raw_25834844'!$B$20</f>
        <v/>
      </c>
      <c r="C39" s="11">
        <f>'balance_raw_25834844'!$C$20</f>
        <v/>
      </c>
      <c r="D39" s="11">
        <f>'balance_raw_25834844'!$D$20</f>
        <v/>
      </c>
      <c r="E39" s="11">
        <f>'balance_raw_25834844'!$E$20</f>
        <v/>
      </c>
      <c r="F39" s="11">
        <f>'balance_raw_25834844'!$F$20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'balance_raw_25834844'!$B$21</f>
        <v/>
      </c>
      <c r="C40" s="5">
        <f>'balance_raw_25834844'!$C$21</f>
        <v/>
      </c>
      <c r="D40" s="5">
        <f>'balance_raw_25834844'!$D$21</f>
        <v/>
      </c>
      <c r="E40" s="5">
        <f>'balance_raw_25834844'!$E$21</f>
        <v/>
      </c>
      <c r="F40" s="5">
        <f>'balance_raw_25834844'!$F$21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'balance_raw_25834844'!$B$22</f>
        <v/>
      </c>
      <c r="C41" s="11">
        <f>'balance_raw_25834844'!$C$22</f>
        <v/>
      </c>
      <c r="D41" s="11">
        <f>'balance_raw_25834844'!$D$22</f>
        <v/>
      </c>
      <c r="E41" s="11">
        <f>'balance_raw_25834844'!$E$22</f>
        <v/>
      </c>
      <c r="F41" s="11">
        <f>'balance_raw_25834844'!$F$22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'balance_raw_25834844'!$B$23</f>
        <v/>
      </c>
      <c r="C42" s="5">
        <f>'balance_raw_25834844'!$C$23</f>
        <v/>
      </c>
      <c r="D42" s="5">
        <f>'balance_raw_25834844'!$D$23</f>
        <v/>
      </c>
      <c r="E42" s="5">
        <f>'balance_raw_25834844'!$E$23</f>
        <v/>
      </c>
      <c r="F42" s="5">
        <f>'balance_raw_25834844'!$F$23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'balance_raw_25834844'!$B$24</f>
        <v/>
      </c>
      <c r="C43" s="11">
        <f>'balance_raw_25834844'!$C$24</f>
        <v/>
      </c>
      <c r="D43" s="11">
        <f>'balance_raw_25834844'!$D$24</f>
        <v/>
      </c>
      <c r="E43" s="11">
        <f>'balance_raw_25834844'!$E$24</f>
        <v/>
      </c>
      <c r="F43" s="11">
        <f>'balance_raw_25834844'!$F$24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'balance_raw_25834844'!$B$25</f>
        <v/>
      </c>
      <c r="C44" s="5">
        <f>'balance_raw_25834844'!$C$25</f>
        <v/>
      </c>
      <c r="D44" s="5">
        <f>'balance_raw_25834844'!$D$25</f>
        <v/>
      </c>
      <c r="E44" s="5">
        <f>'balance_raw_25834844'!$E$25</f>
        <v/>
      </c>
      <c r="F44" s="5">
        <f>'balance_raw_25834844'!$F$25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'balance_raw_25834844'!$B$26</f>
        <v/>
      </c>
      <c r="C45" s="11">
        <f>'balance_raw_25834844'!$C$26</f>
        <v/>
      </c>
      <c r="D45" s="11">
        <f>'balance_raw_25834844'!$D$26</f>
        <v/>
      </c>
      <c r="E45" s="11">
        <f>'balance_raw_25834844'!$E$26</f>
        <v/>
      </c>
      <c r="F45" s="11">
        <f>'balance_raw_25834844'!$F$26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'balance_raw_25834844'!$B$27</f>
        <v/>
      </c>
      <c r="C46" s="8">
        <f>'balance_raw_25834844'!$C$27</f>
        <v/>
      </c>
      <c r="D46" s="8">
        <f>'balance_raw_25834844'!$D$27</f>
        <v/>
      </c>
      <c r="E46" s="8">
        <f>'balance_raw_25834844'!$E$27</f>
        <v/>
      </c>
      <c r="F46" s="8">
        <f>'balance_raw_25834844'!$F$27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'balance_raw_25834844'!$B$28</f>
        <v/>
      </c>
      <c r="C47" s="11">
        <f>'balance_raw_25834844'!$C$28</f>
        <v/>
      </c>
      <c r="D47" s="11">
        <f>'balance_raw_25834844'!$D$28</f>
        <v/>
      </c>
      <c r="E47" s="11">
        <f>'balance_raw_25834844'!$E$28</f>
        <v/>
      </c>
      <c r="F47" s="11">
        <f>'balance_raw_25834844'!$F$28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'balance_raw_25834844'!$B$29</f>
        <v/>
      </c>
      <c r="C48" s="5">
        <f>'balance_raw_25834844'!$C$29</f>
        <v/>
      </c>
      <c r="D48" s="5">
        <f>'balance_raw_25834844'!$D$29</f>
        <v/>
      </c>
      <c r="E48" s="5">
        <f>'balance_raw_25834844'!$E$29</f>
        <v/>
      </c>
      <c r="F48" s="5">
        <f>'balance_raw_25834844'!$F$29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'balance_raw_25834844'!$B$30</f>
        <v/>
      </c>
      <c r="C49" s="8">
        <f>'balance_raw_25834844'!$C$30</f>
        <v/>
      </c>
      <c r="D49" s="8">
        <f>'balance_raw_25834844'!$D$30</f>
        <v/>
      </c>
      <c r="E49" s="8">
        <f>'balance_raw_25834844'!$E$30</f>
        <v/>
      </c>
      <c r="F49" s="8">
        <f>'balance_raw_25834844'!$F$30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'balance_raw_25834844'!$B$31</f>
        <v/>
      </c>
      <c r="C50" s="8">
        <f>'balance_raw_25834844'!$C$31</f>
        <v/>
      </c>
      <c r="D50" s="8">
        <f>'balance_raw_25834844'!$D$31</f>
        <v/>
      </c>
      <c r="E50" s="8">
        <f>'balance_raw_25834844'!$E$31</f>
        <v/>
      </c>
      <c r="F50" s="8">
        <f>'balance_raw_25834844'!$F$31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2020</v>
      </c>
      <c r="C52" s="3" t="n">
        <v>2021</v>
      </c>
      <c r="D52" s="3" t="n">
        <v>2022</v>
      </c>
      <c r="E52" s="3" t="n">
        <v>2023</v>
      </c>
      <c r="F52" s="3" t="n">
        <v>2024</v>
      </c>
      <c r="G52" t="inlineStr"/>
      <c r="H52" s="3" t="n">
        <v>2020</v>
      </c>
      <c r="I52" s="3" t="n">
        <v>2021</v>
      </c>
      <c r="J52" s="3" t="n">
        <v>2022</v>
      </c>
      <c r="K52" s="3" t="n">
        <v>2023</v>
      </c>
      <c r="L52" s="3" t="n">
        <v>2024</v>
      </c>
    </row>
    <row r="53" ht="16" customHeight="1">
      <c r="A53" s="10" t="inlineStr">
        <is>
          <t>Selskabskapital</t>
        </is>
      </c>
      <c r="B53" s="11">
        <f>'balance_raw_25834844'!$B$32</f>
        <v/>
      </c>
      <c r="C53" s="11">
        <f>'balance_raw_25834844'!$C$32</f>
        <v/>
      </c>
      <c r="D53" s="11">
        <f>'balance_raw_25834844'!$D$32</f>
        <v/>
      </c>
      <c r="E53" s="11">
        <f>'balance_raw_25834844'!$E$32</f>
        <v/>
      </c>
      <c r="F53" s="11">
        <f>'balance_raw_25834844'!$F$32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'balance_raw_25834844'!$B$33</f>
        <v/>
      </c>
      <c r="C54" s="5">
        <f>'balance_raw_25834844'!$C$33</f>
        <v/>
      </c>
      <c r="D54" s="5">
        <f>'balance_raw_25834844'!$D$33</f>
        <v/>
      </c>
      <c r="E54" s="5">
        <f>'balance_raw_25834844'!$E$33</f>
        <v/>
      </c>
      <c r="F54" s="5">
        <f>'balance_raw_25834844'!$F$33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'balance_raw_25834844'!$B$34</f>
        <v/>
      </c>
      <c r="C55" s="11">
        <f>'balance_raw_25834844'!$C$34</f>
        <v/>
      </c>
      <c r="D55" s="11">
        <f>'balance_raw_25834844'!$D$34</f>
        <v/>
      </c>
      <c r="E55" s="11">
        <f>'balance_raw_25834844'!$E$34</f>
        <v/>
      </c>
      <c r="F55" s="11">
        <f>'balance_raw_25834844'!$F$34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'balance_raw_25834844'!$B$35</f>
        <v/>
      </c>
      <c r="C56" s="5">
        <f>'balance_raw_25834844'!$C$35</f>
        <v/>
      </c>
      <c r="D56" s="5">
        <f>'balance_raw_25834844'!$D$35</f>
        <v/>
      </c>
      <c r="E56" s="5">
        <f>'balance_raw_25834844'!$E$35</f>
        <v/>
      </c>
      <c r="F56" s="5">
        <f>'balance_raw_25834844'!$F$35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'balance_raw_25834844'!$B$36</f>
        <v/>
      </c>
      <c r="C57" s="11">
        <f>'balance_raw_25834844'!$C$36</f>
        <v/>
      </c>
      <c r="D57" s="11">
        <f>'balance_raw_25834844'!$D$36</f>
        <v/>
      </c>
      <c r="E57" s="11">
        <f>'balance_raw_25834844'!$E$36</f>
        <v/>
      </c>
      <c r="F57" s="11">
        <f>'balance_raw_25834844'!$F$36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'balance_raw_25834844'!$B$37</f>
        <v/>
      </c>
      <c r="C58" s="5">
        <f>'balance_raw_25834844'!$C$37</f>
        <v/>
      </c>
      <c r="D58" s="5">
        <f>'balance_raw_25834844'!$D$37</f>
        <v/>
      </c>
      <c r="E58" s="5">
        <f>'balance_raw_25834844'!$E$37</f>
        <v/>
      </c>
      <c r="F58" s="5">
        <f>'balance_raw_25834844'!$F$37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'balance_raw_25834844'!$B$38</f>
        <v/>
      </c>
      <c r="C59" s="8">
        <f>'balance_raw_25834844'!$C$38</f>
        <v/>
      </c>
      <c r="D59" s="8">
        <f>'balance_raw_25834844'!$D$38</f>
        <v/>
      </c>
      <c r="E59" s="8">
        <f>'balance_raw_25834844'!$E$38</f>
        <v/>
      </c>
      <c r="F59" s="8">
        <f>'balance_raw_25834844'!$F$38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'balance_raw_25834844'!$B$39</f>
        <v/>
      </c>
      <c r="C60" s="5">
        <f>'balance_raw_25834844'!$C$39</f>
        <v/>
      </c>
      <c r="D60" s="5">
        <f>'balance_raw_25834844'!$D$39</f>
        <v/>
      </c>
      <c r="E60" s="5">
        <f>'balance_raw_25834844'!$E$39</f>
        <v/>
      </c>
      <c r="F60" s="5">
        <f>'balance_raw_25834844'!$F$39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'balance_raw_25834844'!$B$40</f>
        <v/>
      </c>
      <c r="C61" s="8">
        <f>'balance_raw_25834844'!$C$40</f>
        <v/>
      </c>
      <c r="D61" s="8">
        <f>'balance_raw_25834844'!$D$40</f>
        <v/>
      </c>
      <c r="E61" s="8">
        <f>'balance_raw_25834844'!$E$40</f>
        <v/>
      </c>
      <c r="F61" s="8">
        <f>'balance_raw_25834844'!$F$40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'balance_raw_25834844'!$B$41</f>
        <v/>
      </c>
      <c r="C62" s="5">
        <f>'balance_raw_25834844'!$C$41</f>
        <v/>
      </c>
      <c r="D62" s="5">
        <f>'balance_raw_25834844'!$D$41</f>
        <v/>
      </c>
      <c r="E62" s="5">
        <f>'balance_raw_25834844'!$E$41</f>
        <v/>
      </c>
      <c r="F62" s="5">
        <f>'balance_raw_25834844'!$F$41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'balance_raw_25834844'!$B$42</f>
        <v/>
      </c>
      <c r="C63" s="11">
        <f>'balance_raw_25834844'!$C$42</f>
        <v/>
      </c>
      <c r="D63" s="11">
        <f>'balance_raw_25834844'!$D$42</f>
        <v/>
      </c>
      <c r="E63" s="11">
        <f>'balance_raw_25834844'!$E$42</f>
        <v/>
      </c>
      <c r="F63" s="11">
        <f>'balance_raw_25834844'!$F$42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'balance_raw_25834844'!$B$43</f>
        <v/>
      </c>
      <c r="C64" s="5">
        <f>'balance_raw_25834844'!$C$43</f>
        <v/>
      </c>
      <c r="D64" s="5">
        <f>'balance_raw_25834844'!$D$43</f>
        <v/>
      </c>
      <c r="E64" s="5">
        <f>'balance_raw_25834844'!$E$43</f>
        <v/>
      </c>
      <c r="F64" s="5">
        <f>'balance_raw_25834844'!$F$43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'balance_raw_25834844'!$B$44</f>
        <v/>
      </c>
      <c r="C65" s="11">
        <f>'balance_raw_25834844'!$C$44</f>
        <v/>
      </c>
      <c r="D65" s="11">
        <f>'balance_raw_25834844'!$D$44</f>
        <v/>
      </c>
      <c r="E65" s="11">
        <f>'balance_raw_25834844'!$E$44</f>
        <v/>
      </c>
      <c r="F65" s="11">
        <f>'balance_raw_25834844'!$F$44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'balance_raw_25834844'!$B$45</f>
        <v/>
      </c>
      <c r="C66" s="8">
        <f>'balance_raw_25834844'!$C$45</f>
        <v/>
      </c>
      <c r="D66" s="8">
        <f>'balance_raw_25834844'!$D$45</f>
        <v/>
      </c>
      <c r="E66" s="8">
        <f>'balance_raw_25834844'!$E$45</f>
        <v/>
      </c>
      <c r="F66" s="8">
        <f>'balance_raw_25834844'!$F$45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'balance_raw_25834844'!$B$46</f>
        <v/>
      </c>
      <c r="C67" s="11">
        <f>'balance_raw_25834844'!$C$46</f>
        <v/>
      </c>
      <c r="D67" s="11">
        <f>'balance_raw_25834844'!$D$46</f>
        <v/>
      </c>
      <c r="E67" s="11">
        <f>'balance_raw_25834844'!$E$46</f>
        <v/>
      </c>
      <c r="F67" s="11">
        <f>'balance_raw_25834844'!$F$46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'balance_raw_25834844'!$B$47</f>
        <v/>
      </c>
      <c r="C68" s="5">
        <f>'balance_raw_25834844'!$C$47</f>
        <v/>
      </c>
      <c r="D68" s="5">
        <f>'balance_raw_25834844'!$D$47</f>
        <v/>
      </c>
      <c r="E68" s="5">
        <f>'balance_raw_25834844'!$E$47</f>
        <v/>
      </c>
      <c r="F68" s="5">
        <f>'balance_raw_25834844'!$F$47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'balance_raw_25834844'!$B$48</f>
        <v/>
      </c>
      <c r="C69" s="11">
        <f>'balance_raw_25834844'!$C$48</f>
        <v/>
      </c>
      <c r="D69" s="11">
        <f>'balance_raw_25834844'!$D$48</f>
        <v/>
      </c>
      <c r="E69" s="11">
        <f>'balance_raw_25834844'!$E$48</f>
        <v/>
      </c>
      <c r="F69" s="11">
        <f>'balance_raw_25834844'!$F$48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'balance_raw_25834844'!$B$49</f>
        <v/>
      </c>
      <c r="C70" s="5">
        <f>'balance_raw_25834844'!$C$49</f>
        <v/>
      </c>
      <c r="D70" s="5">
        <f>'balance_raw_25834844'!$D$49</f>
        <v/>
      </c>
      <c r="E70" s="5">
        <f>'balance_raw_25834844'!$E$49</f>
        <v/>
      </c>
      <c r="F70" s="5">
        <f>'balance_raw_25834844'!$F$49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'balance_raw_25834844'!$B$50</f>
        <v/>
      </c>
      <c r="C71" s="11">
        <f>'balance_raw_25834844'!$C$50</f>
        <v/>
      </c>
      <c r="D71" s="11">
        <f>'balance_raw_25834844'!$D$50</f>
        <v/>
      </c>
      <c r="E71" s="11">
        <f>'balance_raw_25834844'!$E$50</f>
        <v/>
      </c>
      <c r="F71" s="11">
        <f>'balance_raw_25834844'!$F$50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'balance_raw_25834844'!$B$51</f>
        <v/>
      </c>
      <c r="C72" s="5">
        <f>'balance_raw_25834844'!$C$51</f>
        <v/>
      </c>
      <c r="D72" s="5">
        <f>'balance_raw_25834844'!$D$51</f>
        <v/>
      </c>
      <c r="E72" s="5">
        <f>'balance_raw_25834844'!$E$51</f>
        <v/>
      </c>
      <c r="F72" s="5">
        <f>'balance_raw_25834844'!$F$51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'balance_raw_25834844'!$B$52</f>
        <v/>
      </c>
      <c r="C73" s="11">
        <f>'balance_raw_25834844'!$C$52</f>
        <v/>
      </c>
      <c r="D73" s="11">
        <f>'balance_raw_25834844'!$D$52</f>
        <v/>
      </c>
      <c r="E73" s="11">
        <f>'balance_raw_25834844'!$E$52</f>
        <v/>
      </c>
      <c r="F73" s="11">
        <f>'balance_raw_25834844'!$F$52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'balance_raw_25834844'!$B$53</f>
        <v/>
      </c>
      <c r="C74" s="5">
        <f>'balance_raw_25834844'!$C$53</f>
        <v/>
      </c>
      <c r="D74" s="5">
        <f>'balance_raw_25834844'!$D$53</f>
        <v/>
      </c>
      <c r="E74" s="5">
        <f>'balance_raw_25834844'!$E$53</f>
        <v/>
      </c>
      <c r="F74" s="5">
        <f>'balance_raw_25834844'!$F$53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'balance_raw_25834844'!$B$54</f>
        <v/>
      </c>
      <c r="C75" s="11">
        <f>'balance_raw_25834844'!$C$54</f>
        <v/>
      </c>
      <c r="D75" s="11">
        <f>'balance_raw_25834844'!$D$54</f>
        <v/>
      </c>
      <c r="E75" s="11">
        <f>'balance_raw_25834844'!$E$54</f>
        <v/>
      </c>
      <c r="F75" s="11">
        <f>'balance_raw_25834844'!$F$54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'balance_raw_25834844'!$B$55</f>
        <v/>
      </c>
      <c r="C76" s="5">
        <f>'balance_raw_25834844'!$C$55</f>
        <v/>
      </c>
      <c r="D76" s="5">
        <f>'balance_raw_25834844'!$D$55</f>
        <v/>
      </c>
      <c r="E76" s="5">
        <f>'balance_raw_25834844'!$E$55</f>
        <v/>
      </c>
      <c r="F76" s="5">
        <f>'balance_raw_25834844'!$F$55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'balance_raw_25834844'!$B$56</f>
        <v/>
      </c>
      <c r="C77" s="11">
        <f>'balance_raw_25834844'!$C$56</f>
        <v/>
      </c>
      <c r="D77" s="11">
        <f>'balance_raw_25834844'!$D$56</f>
        <v/>
      </c>
      <c r="E77" s="11">
        <f>'balance_raw_25834844'!$E$56</f>
        <v/>
      </c>
      <c r="F77" s="11">
        <f>'balance_raw_25834844'!$F$56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'balance_raw_25834844'!$B$57</f>
        <v/>
      </c>
      <c r="C78" s="8">
        <f>'balance_raw_25834844'!$C$57</f>
        <v/>
      </c>
      <c r="D78" s="8">
        <f>'balance_raw_25834844'!$D$57</f>
        <v/>
      </c>
      <c r="E78" s="8">
        <f>'balance_raw_25834844'!$E$57</f>
        <v/>
      </c>
      <c r="F78" s="8">
        <f>'balance_raw_25834844'!$F$57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'balance_raw_25834844'!$B$58</f>
        <v/>
      </c>
      <c r="C79" s="8">
        <f>'balance_raw_25834844'!$C$58</f>
        <v/>
      </c>
      <c r="D79" s="8">
        <f>'balance_raw_25834844'!$D$58</f>
        <v/>
      </c>
      <c r="E79" s="8">
        <f>'balance_raw_25834844'!$E$58</f>
        <v/>
      </c>
      <c r="F79" s="8">
        <f>'balance_raw_25834844'!$F$58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'balance_raw_25834844'!$B$59</f>
        <v/>
      </c>
      <c r="C80" s="8">
        <f>'balance_raw_25834844'!$C$59</f>
        <v/>
      </c>
      <c r="D80" s="8">
        <f>'balance_raw_25834844'!$D$59</f>
        <v/>
      </c>
      <c r="E80" s="8">
        <f>'balance_raw_25834844'!$E$59</f>
        <v/>
      </c>
      <c r="F80" s="8">
        <f>'balance_raw_25834844'!$F$59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2020</v>
      </c>
      <c r="C82" s="3" t="n">
        <v>2021</v>
      </c>
      <c r="D82" s="3" t="n">
        <v>2022</v>
      </c>
      <c r="E82" s="3" t="n">
        <v>2023</v>
      </c>
      <c r="F82" s="3" t="n">
        <v>2024</v>
      </c>
    </row>
    <row r="83" ht="16" customHeight="1">
      <c r="A83" s="10" t="inlineStr">
        <is>
          <t>Gns. antal medarbejdere</t>
        </is>
      </c>
      <c r="B83" s="11">
        <f>'res_raw_25834844'!$B$17</f>
        <v/>
      </c>
      <c r="C83" s="11">
        <f>'res_raw_25834844'!$C$17</f>
        <v/>
      </c>
      <c r="D83" s="11">
        <f>'res_raw_25834844'!$D$17</f>
        <v/>
      </c>
      <c r="E83" s="11">
        <f>'res_raw_25834844'!$E$17</f>
        <v/>
      </c>
      <c r="F83" s="11">
        <f>'res_raw_25834844'!$F$17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'res_raw_25834844'!$B$18</f>
        <v/>
      </c>
      <c r="C84" s="5">
        <f>'res_raw_25834844'!$C$18</f>
        <v/>
      </c>
      <c r="D84" s="5">
        <f>'res_raw_25834844'!$D$18</f>
        <v/>
      </c>
      <c r="E84" s="5">
        <f>'res_raw_25834844'!$E$18</f>
        <v/>
      </c>
      <c r="F84" s="5">
        <f>'res_raw_25834844'!$F$18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2020</v>
      </c>
      <c r="C86" s="3" t="n">
        <v>2021</v>
      </c>
      <c r="D86" s="3" t="n">
        <v>2022</v>
      </c>
      <c r="E86" s="3" t="n">
        <v>2023</v>
      </c>
      <c r="F86" s="3" t="n">
        <v>2024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991107</v>
      </c>
      <c r="C2" s="16" t="n">
        <v>932545</v>
      </c>
      <c r="D2" s="16" t="n">
        <v>892580</v>
      </c>
      <c r="E2" s="16" t="n">
        <v>1012566</v>
      </c>
      <c r="F2" s="16" t="n">
        <v>1104175</v>
      </c>
    </row>
    <row r="3">
      <c r="A3" s="15" t="inlineStr">
        <is>
          <t>Produktionsomkostninger</t>
        </is>
      </c>
      <c r="B3" s="16" t="n">
        <v>744713</v>
      </c>
      <c r="C3" s="16" t="n">
        <v>771161</v>
      </c>
      <c r="D3" s="16" t="n">
        <v>867416</v>
      </c>
      <c r="E3" s="16" t="n">
        <v>978422</v>
      </c>
      <c r="F3" s="16" t="n">
        <v>1004228</v>
      </c>
    </row>
    <row r="4">
      <c r="A4" s="17" t="inlineStr">
        <is>
          <t>Bruttoresultat</t>
        </is>
      </c>
      <c r="B4" s="16" t="n">
        <v>246394</v>
      </c>
      <c r="C4" s="16" t="n">
        <v>161384</v>
      </c>
      <c r="D4" s="16" t="n">
        <v>25164</v>
      </c>
      <c r="E4" s="16" t="n">
        <v>34144</v>
      </c>
      <c r="F4" s="16" t="n">
        <v>99947</v>
      </c>
    </row>
    <row r="5">
      <c r="A5" s="15" t="inlineStr">
        <is>
          <t>Salgs- og distributionsomkostninger</t>
        </is>
      </c>
      <c r="B5" s="16" t="n">
        <v>21724</v>
      </c>
      <c r="C5" s="16" t="n">
        <v>19854</v>
      </c>
      <c r="D5" s="16" t="n">
        <v>39516</v>
      </c>
      <c r="E5" s="16" t="n">
        <v>43450</v>
      </c>
      <c r="F5" s="16" t="n">
        <v>41686</v>
      </c>
    </row>
    <row r="6">
      <c r="A6" s="15" t="inlineStr">
        <is>
          <t>Administrationsomkostninger</t>
        </is>
      </c>
      <c r="B6" s="16" t="n">
        <v>32852</v>
      </c>
      <c r="C6" s="16" t="n">
        <v>45182</v>
      </c>
      <c r="D6" s="16" t="n">
        <v>60457</v>
      </c>
      <c r="E6" s="16" t="n">
        <v>66597</v>
      </c>
      <c r="F6" s="16" t="n">
        <v>75017</v>
      </c>
    </row>
    <row r="7">
      <c r="A7" s="15" t="inlineStr">
        <is>
          <t>Andre driftsindtægter</t>
        </is>
      </c>
      <c r="B7" s="16" t="n">
        <v>40200</v>
      </c>
      <c r="C7" s="16" t="n">
        <v>0</v>
      </c>
      <c r="D7" s="16" t="n"/>
      <c r="E7" s="16" t="n"/>
      <c r="F7" s="16" t="n">
        <v>15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>
        <v>44</v>
      </c>
    </row>
    <row r="9">
      <c r="A9" s="17" t="inlineStr">
        <is>
          <t>Resultat af primær drift</t>
        </is>
      </c>
      <c r="B9" s="16" t="n">
        <v>232018</v>
      </c>
      <c r="C9" s="16" t="n">
        <v>96348</v>
      </c>
      <c r="D9" s="16" t="n">
        <v>-74809</v>
      </c>
      <c r="E9" s="16" t="n">
        <v>-75903</v>
      </c>
      <c r="F9" s="16" t="n">
        <v>-165996</v>
      </c>
    </row>
    <row r="10">
      <c r="A10" s="15" t="inlineStr">
        <is>
          <t>Indtægter af kapitalandele, dattervirksomheder</t>
        </is>
      </c>
      <c r="B10" s="16" t="n">
        <v>-7646</v>
      </c>
      <c r="C10" s="16" t="n">
        <v>-13069</v>
      </c>
      <c r="D10" s="16" t="n">
        <v>-24831</v>
      </c>
      <c r="E10" s="16" t="n">
        <v>-37072</v>
      </c>
      <c r="F10" s="16" t="n">
        <v>-84018</v>
      </c>
    </row>
    <row r="11">
      <c r="A11" s="15" t="inlineStr">
        <is>
          <t>Finansielle indtægter</t>
        </is>
      </c>
      <c r="B11" s="16" t="n">
        <v>758</v>
      </c>
      <c r="C11" s="16" t="n">
        <v>1144</v>
      </c>
      <c r="D11" s="16" t="n">
        <v>134</v>
      </c>
      <c r="E11" s="16" t="n">
        <v>3998</v>
      </c>
      <c r="F11" s="16" t="n">
        <v>16375</v>
      </c>
    </row>
    <row r="12">
      <c r="A12" s="15" t="inlineStr">
        <is>
          <t>Finansielle omkostninger</t>
        </is>
      </c>
      <c r="B12" s="16" t="n">
        <v>26667</v>
      </c>
      <c r="C12" s="16" t="n">
        <v>29513</v>
      </c>
      <c r="D12" s="16" t="n">
        <v>14083</v>
      </c>
      <c r="E12" s="16" t="n">
        <v>53997</v>
      </c>
      <c r="F12" s="16" t="n">
        <v>74042</v>
      </c>
    </row>
    <row r="13">
      <c r="A13" s="17" t="inlineStr">
        <is>
          <t>Finansielle poster, netto</t>
        </is>
      </c>
      <c r="B13" s="16" t="n">
        <v>-26000</v>
      </c>
      <c r="C13" s="16" t="n">
        <v>-28000</v>
      </c>
      <c r="D13" s="16" t="n">
        <v>-39000</v>
      </c>
      <c r="E13" s="16" t="n">
        <v>-87000</v>
      </c>
      <c r="F13" s="16" t="n">
        <v>-142000</v>
      </c>
    </row>
    <row r="14">
      <c r="A14" s="17" t="inlineStr">
        <is>
          <t>Resultat før skat</t>
        </is>
      </c>
      <c r="B14" s="16" t="n">
        <v>198463</v>
      </c>
      <c r="C14" s="16" t="n">
        <v>54910</v>
      </c>
      <c r="D14" s="16" t="n">
        <v>-113589</v>
      </c>
      <c r="E14" s="16" t="n">
        <v>-162974</v>
      </c>
      <c r="F14" s="16" t="n">
        <v>-307681</v>
      </c>
    </row>
    <row r="15">
      <c r="A15" s="15" t="inlineStr">
        <is>
          <t>Skat af årets resultat</t>
        </is>
      </c>
      <c r="B15" s="16" t="n">
        <v>43052</v>
      </c>
      <c r="C15" s="16" t="n">
        <v>17268</v>
      </c>
      <c r="D15" s="16" t="n">
        <v>-22213</v>
      </c>
      <c r="E15" s="16" t="n">
        <v>-26273</v>
      </c>
      <c r="F15" s="16" t="n">
        <v>-48670</v>
      </c>
    </row>
    <row r="16">
      <c r="A16" s="17" t="inlineStr">
        <is>
          <t>Årets resultat</t>
        </is>
      </c>
      <c r="B16" s="16" t="n">
        <v>155411</v>
      </c>
      <c r="C16" s="16" t="n">
        <v>37642</v>
      </c>
      <c r="D16" s="16" t="n">
        <v>-91376</v>
      </c>
      <c r="E16" s="16" t="n">
        <v>-136701</v>
      </c>
      <c r="F16" s="16" t="n">
        <v>-259011</v>
      </c>
    </row>
    <row r="17">
      <c r="A17" s="15" t="inlineStr">
        <is>
          <t>Gns. antal medarbejdere</t>
        </is>
      </c>
      <c r="B17" s="16" t="n">
        <v>622</v>
      </c>
      <c r="C17" s="16" t="n">
        <v>654</v>
      </c>
      <c r="D17" s="16" t="n">
        <v>690</v>
      </c>
      <c r="E17" s="16" t="n">
        <v>798</v>
      </c>
      <c r="F17" s="16" t="n">
        <v>868</v>
      </c>
    </row>
    <row r="18">
      <c r="A18" s="15" t="inlineStr">
        <is>
          <t>Investering i materielle anlægsaktiver</t>
        </is>
      </c>
      <c r="B18" s="16" t="n">
        <v>-61000</v>
      </c>
      <c r="C18" s="16" t="n">
        <v>-123000</v>
      </c>
      <c r="D18" s="16" t="n">
        <v>-158000</v>
      </c>
      <c r="E18" s="16" t="n">
        <v>123000</v>
      </c>
      <c r="F18" s="16" t="n">
        <v>101000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74169</v>
      </c>
      <c r="C2" s="16" t="n">
        <v>138100</v>
      </c>
      <c r="D2" s="16" t="n">
        <v>149497</v>
      </c>
      <c r="E2" s="16" t="n">
        <v>166428</v>
      </c>
      <c r="F2" s="16" t="n">
        <v>172678</v>
      </c>
    </row>
    <row r="3">
      <c r="A3" s="15" t="inlineStr">
        <is>
          <t>Patenter, varemærker mv.</t>
        </is>
      </c>
      <c r="B3" s="16" t="n"/>
      <c r="C3" s="16" t="n"/>
      <c r="D3" s="16" t="n"/>
      <c r="E3" s="16" t="n"/>
      <c r="F3" s="16" t="n"/>
    </row>
    <row r="4">
      <c r="A4" s="15" t="inlineStr">
        <is>
          <t>Goodwill</t>
        </is>
      </c>
      <c r="B4" s="16" t="n"/>
      <c r="C4" s="16" t="n"/>
      <c r="D4" s="16" t="n"/>
      <c r="E4" s="16" t="n">
        <v>73894</v>
      </c>
      <c r="F4" s="16" t="n">
        <v>154664</v>
      </c>
    </row>
    <row r="5">
      <c r="A5" s="17" t="inlineStr">
        <is>
          <t>Immaterielle anlægsaktiver</t>
        </is>
      </c>
      <c r="B5" s="16" t="n">
        <v>354281</v>
      </c>
      <c r="C5" s="16" t="n">
        <v>372548</v>
      </c>
      <c r="D5" s="16" t="n">
        <v>421824</v>
      </c>
      <c r="E5" s="16" t="n">
        <v>481249</v>
      </c>
      <c r="F5" s="16" t="n">
        <v>606130</v>
      </c>
    </row>
    <row r="6">
      <c r="A6" s="15" t="inlineStr">
        <is>
          <t>Grunde og bygninger</t>
        </is>
      </c>
      <c r="B6" s="16" t="n">
        <v>522537</v>
      </c>
      <c r="C6" s="16" t="n">
        <v>496262</v>
      </c>
      <c r="D6" s="16" t="n">
        <v>486193</v>
      </c>
      <c r="E6" s="16" t="n">
        <v>456633</v>
      </c>
      <c r="F6" s="16" t="n">
        <v>452872</v>
      </c>
    </row>
    <row r="7">
      <c r="A7" s="15" t="inlineStr">
        <is>
          <t>Produktionsanlæg og maskiner</t>
        </is>
      </c>
      <c r="B7" s="16" t="n">
        <v>497943</v>
      </c>
      <c r="C7" s="16" t="n">
        <v>485156</v>
      </c>
      <c r="D7" s="16" t="n">
        <v>445169</v>
      </c>
      <c r="E7" s="16" t="n">
        <v>418644</v>
      </c>
      <c r="F7" s="16" t="n">
        <v>454139</v>
      </c>
    </row>
    <row r="8">
      <c r="A8" s="15" t="inlineStr">
        <is>
          <t>Driftsmateriel og inventar</t>
        </is>
      </c>
      <c r="B8" s="16" t="n">
        <v>8782</v>
      </c>
      <c r="C8" s="16" t="n">
        <v>6709</v>
      </c>
      <c r="D8" s="16" t="n">
        <v>4680</v>
      </c>
      <c r="E8" s="16" t="n">
        <v>4438</v>
      </c>
      <c r="F8" s="16" t="n">
        <v>7872</v>
      </c>
    </row>
    <row r="9">
      <c r="A9" s="15" t="inlineStr">
        <is>
          <t>Indretning af lejede lokaler</t>
        </is>
      </c>
      <c r="B9" s="16" t="n">
        <v>414</v>
      </c>
      <c r="C9" s="16" t="n">
        <v>287</v>
      </c>
      <c r="D9" s="16" t="n">
        <v>159</v>
      </c>
      <c r="E9" s="16" t="n">
        <v>32</v>
      </c>
      <c r="F9" s="16" t="n">
        <v>0</v>
      </c>
    </row>
    <row r="10">
      <c r="A10" s="15" t="inlineStr">
        <is>
          <t>Forudbetaling og anlægsaktiver under opførelse</t>
        </is>
      </c>
      <c r="B10" s="16" t="n">
        <v>69146</v>
      </c>
      <c r="C10" s="16" t="n">
        <v>136164</v>
      </c>
      <c r="D10" s="16" t="n">
        <v>240272</v>
      </c>
      <c r="E10" s="16" t="n">
        <v>313499</v>
      </c>
      <c r="F10" s="16" t="n">
        <v>172246</v>
      </c>
    </row>
    <row r="11">
      <c r="A11" s="17" t="inlineStr">
        <is>
          <t>Materielle anlægsaktiver</t>
        </is>
      </c>
      <c r="B11" s="16" t="n">
        <v>1098822</v>
      </c>
      <c r="C11" s="16" t="n">
        <v>1124578</v>
      </c>
      <c r="D11" s="16" t="n">
        <v>1176473</v>
      </c>
      <c r="E11" s="16" t="n">
        <v>1193246</v>
      </c>
      <c r="F11" s="16" t="n">
        <v>1087129</v>
      </c>
    </row>
    <row r="12">
      <c r="A12" s="15" t="inlineStr">
        <is>
          <t>Kapitalandele, dattervirksomheder</t>
        </is>
      </c>
      <c r="B12" s="16" t="n">
        <v>81818</v>
      </c>
      <c r="C12" s="16" t="n">
        <v>79711</v>
      </c>
      <c r="D12" s="16" t="n">
        <v>65747</v>
      </c>
      <c r="E12" s="16" t="n">
        <v>67663</v>
      </c>
      <c r="F12" s="16" t="n">
        <v>119458</v>
      </c>
    </row>
    <row r="13">
      <c r="A13" s="15" t="inlineStr">
        <is>
          <t>Deposita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Finansielle anlægsaktiver</t>
        </is>
      </c>
      <c r="B14" s="16" t="n">
        <v>81818</v>
      </c>
      <c r="C14" s="16" t="n">
        <v>79711</v>
      </c>
      <c r="D14" s="16" t="n">
        <v>65747</v>
      </c>
      <c r="E14" s="16" t="n">
        <v>67663</v>
      </c>
      <c r="F14" s="16" t="n">
        <v>119458</v>
      </c>
    </row>
    <row r="15">
      <c r="A15" s="17" t="inlineStr">
        <is>
          <t>Anlægsaktiver</t>
        </is>
      </c>
      <c r="B15" s="16" t="n">
        <v>1534921</v>
      </c>
      <c r="C15" s="16" t="n">
        <v>1576837</v>
      </c>
      <c r="D15" s="16" t="n">
        <v>1664044</v>
      </c>
      <c r="E15" s="16" t="n">
        <v>1742158</v>
      </c>
      <c r="F15" s="16" t="n">
        <v>1812717</v>
      </c>
    </row>
    <row r="16">
      <c r="A16" s="15" t="inlineStr">
        <is>
          <t>Råvarer og hjælpematerialer</t>
        </is>
      </c>
      <c r="B16" s="16" t="n">
        <v>77256</v>
      </c>
      <c r="C16" s="16" t="n">
        <v>124065</v>
      </c>
      <c r="D16" s="16" t="n">
        <v>144678</v>
      </c>
      <c r="E16" s="16" t="n">
        <v>145576</v>
      </c>
      <c r="F16" s="16" t="n">
        <v>124160</v>
      </c>
    </row>
    <row r="17">
      <c r="A17" s="15" t="inlineStr">
        <is>
          <t>Varer under fremstilling</t>
        </is>
      </c>
      <c r="B17" s="16" t="n">
        <v>26809</v>
      </c>
      <c r="C17" s="16" t="n">
        <v>13392</v>
      </c>
      <c r="D17" s="16" t="n">
        <v>30001</v>
      </c>
      <c r="E17" s="16" t="n">
        <v>31358</v>
      </c>
      <c r="F17" s="16" t="n">
        <v>27572</v>
      </c>
    </row>
    <row r="18">
      <c r="A18" s="15" t="inlineStr">
        <is>
          <t>Færdigvarer og handelsvarer</t>
        </is>
      </c>
      <c r="B18" s="16" t="n">
        <v>56575</v>
      </c>
      <c r="C18" s="16" t="n">
        <v>61293</v>
      </c>
      <c r="D18" s="16" t="n">
        <v>43917</v>
      </c>
      <c r="E18" s="16" t="n">
        <v>96315</v>
      </c>
      <c r="F18" s="16" t="n">
        <v>101504</v>
      </c>
    </row>
    <row r="19">
      <c r="A19" s="17" t="inlineStr">
        <is>
          <t>Varebeholdninger</t>
        </is>
      </c>
      <c r="B19" s="16" t="n">
        <v>160640</v>
      </c>
      <c r="C19" s="16" t="n">
        <v>198750</v>
      </c>
      <c r="D19" s="16" t="n">
        <v>218596</v>
      </c>
      <c r="E19" s="16" t="n">
        <v>273249</v>
      </c>
      <c r="F19" s="16" t="n">
        <v>253236</v>
      </c>
    </row>
    <row r="20">
      <c r="A20" s="15" t="inlineStr">
        <is>
          <t>Tilgodehavender fra salg og tjenesteydelser</t>
        </is>
      </c>
      <c r="B20" s="16" t="n">
        <v>208029</v>
      </c>
      <c r="C20" s="16" t="n">
        <v>146069</v>
      </c>
      <c r="D20" s="16" t="n">
        <v>156794</v>
      </c>
      <c r="E20" s="16" t="n">
        <v>149426</v>
      </c>
      <c r="F20" s="16" t="n">
        <v>139857</v>
      </c>
    </row>
    <row r="21">
      <c r="A21" s="15" t="inlineStr">
        <is>
          <t>Tilgodehavender hos tilknyttede virksomheder</t>
        </is>
      </c>
      <c r="B21" s="16" t="n">
        <v>18432</v>
      </c>
      <c r="C21" s="16" t="n">
        <v>55830</v>
      </c>
      <c r="D21" s="16" t="n">
        <v>177215</v>
      </c>
      <c r="E21" s="16" t="n">
        <v>315001</v>
      </c>
      <c r="F21" s="16" t="n">
        <v>338362</v>
      </c>
    </row>
    <row r="22">
      <c r="A22" s="15" t="inlineStr">
        <is>
          <t>Andre tilgodehavender</t>
        </is>
      </c>
      <c r="B22" s="16" t="n">
        <v>10351</v>
      </c>
      <c r="C22" s="16" t="n">
        <v>4284</v>
      </c>
      <c r="D22" s="16" t="n">
        <v>355</v>
      </c>
      <c r="E22" s="16" t="n">
        <v>1755</v>
      </c>
      <c r="F22" s="16" t="n">
        <v>8894</v>
      </c>
    </row>
    <row r="23">
      <c r="A23" s="15" t="inlineStr">
        <is>
          <t>Periodeafgrænsningsposter (aktiver)</t>
        </is>
      </c>
      <c r="B23" s="16" t="n">
        <v>3034</v>
      </c>
      <c r="C23" s="16" t="n">
        <v>3291</v>
      </c>
      <c r="D23" s="16" t="n">
        <v>6072</v>
      </c>
      <c r="E23" s="16" t="n">
        <v>10198</v>
      </c>
      <c r="F23" s="16" t="n">
        <v>9655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/>
      <c r="C26" s="16" t="n"/>
      <c r="D26" s="16" t="n"/>
      <c r="E26" s="16" t="n"/>
      <c r="F26" s="16" t="n"/>
    </row>
    <row r="27">
      <c r="A27" s="17" t="inlineStr">
        <is>
          <t>Tilgodehavender</t>
        </is>
      </c>
      <c r="B27" s="16" t="n">
        <v>239846</v>
      </c>
      <c r="C27" s="16" t="n">
        <v>209474</v>
      </c>
      <c r="D27" s="16" t="n">
        <v>340436</v>
      </c>
      <c r="E27" s="16" t="n">
        <v>476970</v>
      </c>
      <c r="F27" s="16" t="n">
        <v>496768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62977</v>
      </c>
      <c r="C29" s="16" t="n">
        <v>36428</v>
      </c>
      <c r="D29" s="16" t="n">
        <v>26399</v>
      </c>
      <c r="E29" s="16" t="n">
        <v>5822</v>
      </c>
      <c r="F29" s="16" t="n">
        <v>8064</v>
      </c>
    </row>
    <row r="30">
      <c r="A30" s="17" t="inlineStr">
        <is>
          <t>Omsætningsaktiver</t>
        </is>
      </c>
      <c r="B30" s="16" t="n">
        <v>463463</v>
      </c>
      <c r="C30" s="16" t="n">
        <v>444652</v>
      </c>
      <c r="D30" s="16" t="n">
        <v>585431</v>
      </c>
      <c r="E30" s="16" t="n">
        <v>756041</v>
      </c>
      <c r="F30" s="16" t="n">
        <v>758068</v>
      </c>
    </row>
    <row r="31">
      <c r="A31" s="17" t="inlineStr">
        <is>
          <t>Aktiver</t>
        </is>
      </c>
      <c r="B31" s="16" t="n">
        <v>1998384</v>
      </c>
      <c r="C31" s="16" t="n">
        <v>2021489</v>
      </c>
      <c r="D31" s="16" t="n">
        <v>2249475</v>
      </c>
      <c r="E31" s="16" t="n">
        <v>2498199</v>
      </c>
      <c r="F31" s="16" t="n">
        <v>2570785</v>
      </c>
    </row>
    <row r="32">
      <c r="A32" s="15" t="inlineStr">
        <is>
          <t>Selskabskapital</t>
        </is>
      </c>
      <c r="B32" s="16" t="n">
        <v>70510</v>
      </c>
      <c r="C32" s="16" t="n">
        <v>70510</v>
      </c>
      <c r="D32" s="16" t="n">
        <v>70511</v>
      </c>
      <c r="E32" s="16" t="n">
        <v>70511</v>
      </c>
      <c r="F32" s="16" t="n">
        <v>1370511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>
        <v>206148</v>
      </c>
      <c r="C34" s="16" t="n">
        <v>234984</v>
      </c>
      <c r="D34" s="16" t="n">
        <v>267929</v>
      </c>
      <c r="E34" s="16" t="n">
        <v>318198</v>
      </c>
      <c r="F34" s="16" t="n">
        <v>352143</v>
      </c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Overført resultat</t>
        </is>
      </c>
      <c r="B37" s="16" t="n">
        <v>367081</v>
      </c>
      <c r="C37" s="16" t="n">
        <v>372701</v>
      </c>
      <c r="D37" s="16" t="n">
        <v>248380</v>
      </c>
      <c r="E37" s="16" t="n">
        <v>61410</v>
      </c>
      <c r="F37" s="16" t="n">
        <v>-219104</v>
      </c>
    </row>
    <row r="38">
      <c r="A38" s="17" t="inlineStr">
        <is>
          <t>Egenkapital i alt</t>
        </is>
      </c>
      <c r="B38" s="16" t="n">
        <v>770126</v>
      </c>
      <c r="C38" s="16" t="n">
        <v>681404</v>
      </c>
      <c r="D38" s="16" t="n">
        <v>596345</v>
      </c>
      <c r="E38" s="16" t="n">
        <v>458408</v>
      </c>
      <c r="F38" s="16" t="n">
        <v>1503550</v>
      </c>
    </row>
    <row r="39">
      <c r="A39" s="15" t="inlineStr">
        <is>
          <t>Hensættelse til udskudt skat</t>
        </is>
      </c>
      <c r="B39" s="16" t="n">
        <v>150464</v>
      </c>
      <c r="C39" s="16" t="n">
        <v>160726</v>
      </c>
      <c r="D39" s="16" t="n">
        <v>139981</v>
      </c>
      <c r="E39" s="16" t="n">
        <v>125775</v>
      </c>
      <c r="F39" s="16" t="n">
        <v>91832</v>
      </c>
    </row>
    <row r="40">
      <c r="A40" s="17" t="inlineStr">
        <is>
          <t>Hensatte forpligtelser</t>
        </is>
      </c>
      <c r="B40" s="16" t="n">
        <v>150464</v>
      </c>
      <c r="C40" s="16" t="n">
        <v>160726</v>
      </c>
      <c r="D40" s="16" t="n">
        <v>139981</v>
      </c>
      <c r="E40" s="16" t="n">
        <v>125775</v>
      </c>
      <c r="F40" s="16" t="n">
        <v>91832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588521</v>
      </c>
      <c r="C42" s="16" t="n">
        <v>0</v>
      </c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36135</v>
      </c>
      <c r="C44" s="16" t="n">
        <v>37195</v>
      </c>
      <c r="D44" s="16" t="n">
        <v>36898</v>
      </c>
      <c r="E44" s="16" t="n">
        <v>1564541</v>
      </c>
      <c r="F44" s="16" t="n">
        <v>633642</v>
      </c>
    </row>
    <row r="45">
      <c r="A45" s="17" t="inlineStr">
        <is>
          <t>Langfristede gældsforpligtelser</t>
        </is>
      </c>
      <c r="B45" s="16" t="n">
        <v>624656</v>
      </c>
      <c r="C45" s="16" t="n">
        <v>37195</v>
      </c>
      <c r="D45" s="16" t="n">
        <v>36898</v>
      </c>
      <c r="E45" s="16" t="n">
        <v>1602229</v>
      </c>
      <c r="F45" s="16" t="n">
        <v>689799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>
        <v>439</v>
      </c>
      <c r="E47" s="16" t="n">
        <v>698</v>
      </c>
      <c r="F47" s="16" t="n">
        <v>556</v>
      </c>
    </row>
    <row r="48">
      <c r="A48" s="15" t="inlineStr">
        <is>
          <t>Kreditinstitutter</t>
        </is>
      </c>
      <c r="B48" s="16" t="n">
        <v>0</v>
      </c>
      <c r="C48" s="16" t="n">
        <v>0</v>
      </c>
      <c r="D48" s="16" t="n"/>
      <c r="E48" s="16" t="n"/>
      <c r="F48" s="16" t="n"/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61653</v>
      </c>
      <c r="C50" s="16" t="n">
        <v>97042</v>
      </c>
      <c r="D50" s="16" t="n">
        <v>84883</v>
      </c>
      <c r="E50" s="16" t="n">
        <v>101687</v>
      </c>
      <c r="F50" s="16" t="n">
        <v>108850</v>
      </c>
    </row>
    <row r="51">
      <c r="A51" s="15" t="inlineStr">
        <is>
          <t>Gæld til tilknyttede virksomheder</t>
        </is>
      </c>
      <c r="B51" s="16" t="n">
        <v>84224</v>
      </c>
      <c r="C51" s="16" t="n">
        <v>950661</v>
      </c>
      <c r="D51" s="16" t="n">
        <v>1237235</v>
      </c>
      <c r="E51" s="16" t="n">
        <v>36248</v>
      </c>
      <c r="F51" s="16" t="n">
        <v>3329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>
        <v>6127</v>
      </c>
      <c r="C54" s="16" t="n">
        <v>7006</v>
      </c>
      <c r="D54" s="16" t="n">
        <v>0</v>
      </c>
      <c r="E54" s="16" t="n"/>
      <c r="F54" s="16" t="n"/>
    </row>
    <row r="55">
      <c r="A55" s="15" t="inlineStr">
        <is>
          <t>Anden gæld (kortfristet)</t>
        </is>
      </c>
      <c r="B55" s="16" t="n">
        <v>101134</v>
      </c>
      <c r="C55" s="16" t="n">
        <v>87455</v>
      </c>
      <c r="D55" s="16" t="n">
        <v>153694</v>
      </c>
      <c r="E55" s="16" t="n">
        <v>173154</v>
      </c>
      <c r="F55" s="16" t="n">
        <v>172869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453138</v>
      </c>
      <c r="C57" s="16" t="n">
        <v>1142164</v>
      </c>
      <c r="D57" s="16" t="n">
        <v>1476251</v>
      </c>
      <c r="E57" s="16" t="n">
        <v>311787</v>
      </c>
      <c r="F57" s="16" t="n">
        <v>285604</v>
      </c>
    </row>
    <row r="58">
      <c r="A58" s="17" t="inlineStr">
        <is>
          <t>Gældsforpligtelser</t>
        </is>
      </c>
      <c r="B58" s="16" t="n">
        <v>1077794</v>
      </c>
      <c r="C58" s="16" t="n">
        <v>1179359</v>
      </c>
      <c r="D58" s="16" t="n">
        <v>1513149</v>
      </c>
      <c r="E58" s="16" t="n">
        <v>1914016</v>
      </c>
      <c r="F58" s="16" t="n">
        <v>975403</v>
      </c>
    </row>
    <row r="59">
      <c r="A59" s="17" t="inlineStr">
        <is>
          <t>Passiver</t>
        </is>
      </c>
      <c r="B59" s="16" t="n">
        <v>1998384</v>
      </c>
      <c r="C59" s="16" t="n">
        <v>2021489</v>
      </c>
      <c r="D59" s="16" t="n">
        <v>2249475</v>
      </c>
      <c r="E59" s="16" t="n">
        <v>2498199</v>
      </c>
      <c r="F59" s="16" t="n">
        <v>2570785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25834844)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'res_raw_25834844'!$F$2</f>
        <v/>
      </c>
      <c r="C5" s="24">
        <f>'res_raw_25834844'!$E$2</f>
        <v/>
      </c>
      <c r="D5" s="24">
        <f>'res_raw_25834844'!$D$2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-'res_raw_25834844'!$F$3</f>
        <v/>
      </c>
      <c r="C6" s="24">
        <f>-'res_raw_25834844'!$E$3</f>
        <v/>
      </c>
      <c r="D6" s="24">
        <f>-'res_raw_25834844'!$D$3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-'res_raw_25834844'!$F$5</f>
        <v/>
      </c>
      <c r="C8" s="24">
        <f>-'res_raw_25834844'!$E$5</f>
        <v/>
      </c>
      <c r="D8" s="24">
        <f>-'res_raw_25834844'!$D$5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-'res_raw_25834844'!$F$6</f>
        <v/>
      </c>
      <c r="C9" s="24">
        <f>-'res_raw_25834844'!$E$6</f>
        <v/>
      </c>
      <c r="D9" s="24">
        <f>-'res_raw_25834844'!$D$6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'res_raw_25834844'!$F$7</f>
        <v/>
      </c>
      <c r="C10" s="24">
        <f>'res_raw_25834844'!$E$7</f>
        <v/>
      </c>
      <c r="D10" s="24">
        <f>'res_raw_25834844'!$D$7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-'res_raw_25834844'!$F$8</f>
        <v/>
      </c>
      <c r="C11" s="24">
        <f>-'res_raw_25834844'!$E$8</f>
        <v/>
      </c>
      <c r="D11" s="24">
        <f>-'res_raw_25834844'!$D$8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N('res_raw_25834844'!$F$10)+N('res_raw_25834844'!$F$11)</f>
        <v/>
      </c>
      <c r="C13" s="24">
        <f>N('res_raw_25834844'!$E$10)+N('res_raw_25834844'!$E$11)</f>
        <v/>
      </c>
      <c r="D13" s="24">
        <f>N('res_raw_25834844'!$D$10)+N('res_raw_25834844'!$D$11)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-'res_raw_25834844'!$F$12</f>
        <v/>
      </c>
      <c r="C14" s="24">
        <f>-'res_raw_25834844'!$E$12</f>
        <v/>
      </c>
      <c r="D14" s="24">
        <f>-'res_raw_25834844'!$D$12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'balance_raw_25834844'!$F$15</f>
        <v/>
      </c>
      <c r="C18" s="24">
        <f>'balance_raw_25834844'!$E$15</f>
        <v/>
      </c>
      <c r="D18" s="24">
        <f>'balance_raw_25834844'!$D$15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'balance_raw_25834844'!$F$30</f>
        <v/>
      </c>
      <c r="C19" s="24">
        <f>'balance_raw_25834844'!$E$30</f>
        <v/>
      </c>
      <c r="D19" s="24">
        <f>'balance_raw_25834844'!$D$30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'balance_raw_25834844'!$F$38</f>
        <v/>
      </c>
      <c r="C22" s="24">
        <f>'balance_raw_25834844'!$E$38</f>
        <v/>
      </c>
      <c r="D22" s="24">
        <f>'balance_raw_25834844'!$D$38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'balance_raw_25834844'!$F$59-'balance_raw_25834844'!$F$38</f>
        <v/>
      </c>
      <c r="C23" s="24">
        <f>'balance_raw_25834844'!$E$59-'balance_raw_25834844'!$E$38</f>
        <v/>
      </c>
      <c r="D23" s="24">
        <f>'balance_raw_25834844'!$D$59-'balance_raw_25834844'!$D$38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'balance_raw_25834844'!$F$19</f>
        <v/>
      </c>
      <c r="C27" s="24">
        <f>'balance_raw_25834844'!$E$19</f>
        <v/>
      </c>
      <c r="D27" s="24">
        <f>'balance_raw_25834844'!$D$19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'balance_raw_25834844'!$F$20</f>
        <v/>
      </c>
      <c r="C28" s="24">
        <f>'balance_raw_25834844'!$E$20</f>
        <v/>
      </c>
      <c r="D28" s="24">
        <f>'balance_raw_25834844'!$D$20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'balance_raw_25834844'!$F$57</f>
        <v/>
      </c>
      <c r="C29" s="24">
        <f>'balance_raw_25834844'!$E$57</f>
        <v/>
      </c>
      <c r="D29" s="24">
        <f>'balance_raw_25834844'!$D$57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IF('balance_raw_25834844'!$F$31="","—",IF(ABS(B20-'balance_raw_25834844'!$F$31)&lt;=1,"✓ OK","❌ "&amp;TEXT(B20-'balance_raw_25834844'!$F$31,"+#,##0;-#,##0")&amp;" t.kr."))</f>
        <v/>
      </c>
      <c r="C60" s="29">
        <f>IF('balance_raw_25834844'!$E$31="","—",IF(ABS(C20-'balance_raw_25834844'!$E$31)&lt;=1,"✓ OK","❌ "&amp;TEXT(C20-'balance_raw_25834844'!$E$31,"+#,##0;-#,##0")&amp;" t.kr."))</f>
        <v/>
      </c>
      <c r="D60" s="29">
        <f>IF('balance_raw_25834844'!$D$31="","—",IF(ABS(D20-'balance_raw_25834844'!$D$31)&lt;=1,"✓ OK","❌ "&amp;TEXT(D20-'balance_raw_25834844'!$D$31,"+#,##0;-#,##0")&amp;"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IF('balance_raw_25834844'!$F$59="","—",IF(ABS(B24-'balance_raw_25834844'!$F$59)&lt;=1,"✓ OK","❌ "&amp;TEXT(B24-'balance_raw_25834844'!$F$59,"+#,##0;-#,##0")&amp;" t.kr."))</f>
        <v/>
      </c>
      <c r="C61" s="29">
        <f>IF('balance_raw_25834844'!$E$59="","—",IF(ABS(C24-'balance_raw_25834844'!$E$59)&lt;=1,"✓ OK","❌ "&amp;TEXT(C24-'balance_raw_25834844'!$E$59,"+#,##0;-#,##0")&amp;" t.kr."))</f>
        <v/>
      </c>
      <c r="D61" s="29">
        <f>IF('balance_raw_25834844'!$D$59="","—",IF(ABS(D24-'balance_raw_25834844'!$D$59)&lt;=1,"✓ OK","❌ "&amp;TEXT(D24-'balance_raw_25834844'!$D$59,"+#,##0;-#,##0")&amp;"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IF('res_raw_25834844'!$F$4="","—",IF(ABS(B7-'res_raw_25834844'!$F$4)&lt;=1,"✓ OK","❌ "&amp;TEXT(B7-'res_raw_25834844'!$F$4,"+#,##0;-#,##0")&amp;" t.kr."))</f>
        <v/>
      </c>
      <c r="C63" s="29">
        <f>IF('res_raw_25834844'!$E$4="","—",IF(ABS(C7-'res_raw_25834844'!$E$4)&lt;=1,"✓ OK","❌ "&amp;TEXT(C7-'res_raw_25834844'!$E$4,"+#,##0;-#,##0")&amp;" t.kr."))</f>
        <v/>
      </c>
      <c r="D63" s="29">
        <f>IF('res_raw_25834844'!$D$4="","—",IF(ABS(D7-'res_raw_25834844'!$D$4)&lt;=1,"✓ OK","❌ "&amp;TEXT(D7-'res_raw_25834844'!$D$4,"+#,##0;-#,##0")&amp;"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IF('res_raw_25834844'!$F$9="","—",IF(ABS(B12-'res_raw_25834844'!$F$9)&lt;=1,"✓ OK","❌ "&amp;TEXT(B12-'res_raw_25834844'!$F$9,"+#,##0;-#,##0")&amp;" t.kr."))</f>
        <v/>
      </c>
      <c r="C64" s="29">
        <f>IF('res_raw_25834844'!$E$9="","—",IF(ABS(C12-'res_raw_25834844'!$E$9)&lt;=1,"✓ OK","❌ "&amp;TEXT(C12-'res_raw_25834844'!$E$9,"+#,##0;-#,##0")&amp;" t.kr."))</f>
        <v/>
      </c>
      <c r="D64" s="29">
        <f>IF('res_raw_25834844'!$D$9="","—",IF(ABS(D12-'res_raw_25834844'!$D$9)&lt;=1,"✓ OK","❌ "&amp;TEXT(D12-'res_raw_25834844'!$D$9,"+#,##0;-#,##0")&amp;"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IF('res_raw_25834844'!$F$14="","—",IF(ABS(B15-'res_raw_25834844'!$F$14)&lt;=1,"✓ OK","❌ "&amp;TEXT(B15-'res_raw_25834844'!$F$14,"+#,##0;-#,##0")&amp;" t.kr."))</f>
        <v/>
      </c>
      <c r="C65" s="29">
        <f>IF('res_raw_25834844'!$E$14="","—",IF(ABS(C15-'res_raw_25834844'!$E$14)&lt;=1,"✓ OK","❌ "&amp;TEXT(C15-'res_raw_25834844'!$E$14,"+#,##0;-#,##0")&amp;" t.kr."))</f>
        <v/>
      </c>
      <c r="D65" s="29">
        <f>IF('res_raw_25834844'!$D$14="","—",IF(ABS(D15-'res_raw_25834844'!$D$14)&lt;=1,"✓ OK","❌ "&amp;TEXT(D15-'res_raw_25834844'!$D$14,"+#,##0;-#,##0")&amp;"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fsa:AdjustmentsForDeferredTaxCashFlow</t>
        </is>
      </c>
      <c r="C3" s="34" t="inlineStr">
        <is>
          <t>fsa:AdjustmentsForDeferredTaxCashFlow</t>
        </is>
      </c>
      <c r="D3" s="35" t="n">
        <v>36925</v>
      </c>
      <c r="E3" s="35" t="n">
        <v>10262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fsa:RaisingOfDebtToAssociates</t>
        </is>
      </c>
      <c r="C4" s="37" t="inlineStr">
        <is>
          <t>fsa:RaisingOfDebtToAssociates</t>
        </is>
      </c>
      <c r="D4" s="38" t="n">
        <v>-22495</v>
      </c>
      <c r="E4" s="38" t="n">
        <v>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fsa:RefundInJointAssessment</t>
        </is>
      </c>
      <c r="C5" s="34" t="inlineStr">
        <is>
          <t>fsa:RefundInJointAssessment</t>
        </is>
      </c>
      <c r="D5" s="35" t="n"/>
      <c r="E5" s="35" t="n"/>
      <c r="F5" s="35" t="n"/>
      <c r="G5" s="35" t="n"/>
      <c r="H5" s="35" t="n">
        <v>14727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fsa:ResearchAndDevelopmentExpenditure</t>
        </is>
      </c>
      <c r="C6" s="37" t="inlineStr">
        <is>
          <t>fsa:ResearchAndDevelopmentExpenditure</t>
        </is>
      </c>
      <c r="D6" s="38" t="n"/>
      <c r="E6" s="38" t="n"/>
      <c r="F6" s="38" t="n"/>
      <c r="G6" s="38" t="n"/>
      <c r="H6" s="38" t="n">
        <v>149211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fsa:ReserveForCurrentValueAdjustmentsOfCurrencyGains</t>
        </is>
      </c>
      <c r="C7" s="34" t="inlineStr">
        <is>
          <t>fsa:ReserveForCurrentValueAdjustmentsOfCurrencyGains</t>
        </is>
      </c>
      <c r="D7" s="35" t="n">
        <v>-3613</v>
      </c>
      <c r="E7" s="35" t="n">
        <v>3209</v>
      </c>
      <c r="F7" s="35" t="n">
        <v>9525</v>
      </c>
      <c r="G7" s="35" t="n">
        <v>8289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fsa:TransferredToFromOtherStatutoryReserves</t>
        </is>
      </c>
      <c r="C8" s="37" t="inlineStr">
        <is>
          <t>fsa:TransferredToFromOtherStatutoryReserves</t>
        </is>
      </c>
      <c r="D8" s="38" t="n"/>
      <c r="E8" s="38" t="n"/>
      <c r="F8" s="38" t="n"/>
      <c r="G8" s="38" t="n">
        <v>50269</v>
      </c>
      <c r="H8" s="38" t="n">
        <v>33945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2026-09-07T19:37:49Z</dcterms:created>
  <dcterms:modified xmlns:dcterms="http://purl.org/dc/terms/" xmlns:xsi="http://www.w3.org/2001/XMLSchema-instance" xsi:type="dcterms:W3CDTF">2026-09-07T19:37:50Z</dcterms:modified>
</cp:coreProperties>
</file>