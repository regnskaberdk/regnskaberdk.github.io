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tcm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'balance_raw'!$B$14</f>
        <v/>
      </c>
      <c r="C33" s="8">
        <f>'balance_raw'!$C$14</f>
        <v/>
      </c>
      <c r="D33" s="8">
        <f>'balance_raw'!$D$14</f>
        <v/>
      </c>
      <c r="E33" s="8">
        <f>'balance_raw'!$E$14</f>
        <v/>
      </c>
      <c r="F33" s="8">
        <f>'balance_raw'!$F$14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'balance_raw'!$B$15</f>
        <v/>
      </c>
      <c r="C34" s="8">
        <f>'balance_raw'!$C$15</f>
        <v/>
      </c>
      <c r="D34" s="8">
        <f>'balance_raw'!$D$15</f>
        <v/>
      </c>
      <c r="E34" s="8">
        <f>'balance_raw'!$E$15</f>
        <v/>
      </c>
      <c r="F34" s="8">
        <f>'balance_raw'!$F$15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'balance_raw'!$B$24</f>
        <v/>
      </c>
      <c r="C43" s="11">
        <f>'balance_raw'!$C$24</f>
        <v/>
      </c>
      <c r="D43" s="11">
        <f>'balance_raw'!$D$24</f>
        <v/>
      </c>
      <c r="E43" s="11">
        <f>'balance_raw'!$E$24</f>
        <v/>
      </c>
      <c r="F43" s="11">
        <f>'balance_raw'!$F$24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'balance_raw'!$B$25</f>
        <v/>
      </c>
      <c r="C44" s="5">
        <f>'balance_raw'!$C$25</f>
        <v/>
      </c>
      <c r="D44" s="5">
        <f>'balance_raw'!$D$25</f>
        <v/>
      </c>
      <c r="E44" s="5">
        <f>'balance_raw'!$E$25</f>
        <v/>
      </c>
      <c r="F44" s="5">
        <f>'balance_raw'!$F$25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'balance_raw'!$B$26</f>
        <v/>
      </c>
      <c r="C45" s="11">
        <f>'balance_raw'!$C$26</f>
        <v/>
      </c>
      <c r="D45" s="11">
        <f>'balance_raw'!$D$26</f>
        <v/>
      </c>
      <c r="E45" s="11">
        <f>'balance_raw'!$E$26</f>
        <v/>
      </c>
      <c r="F45" s="11">
        <f>'balance_raw'!$F$26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'balance_raw'!$B$27</f>
        <v/>
      </c>
      <c r="C46" s="8">
        <f>'balance_raw'!$C$27</f>
        <v/>
      </c>
      <c r="D46" s="8">
        <f>'balance_raw'!$D$27</f>
        <v/>
      </c>
      <c r="E46" s="8">
        <f>'balance_raw'!$E$27</f>
        <v/>
      </c>
      <c r="F46" s="8">
        <f>'balance_raw'!$F$27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'balance_raw'!$B$28</f>
        <v/>
      </c>
      <c r="C47" s="11">
        <f>'balance_raw'!$C$28</f>
        <v/>
      </c>
      <c r="D47" s="11">
        <f>'balance_raw'!$D$28</f>
        <v/>
      </c>
      <c r="E47" s="11">
        <f>'balance_raw'!$E$28</f>
        <v/>
      </c>
      <c r="F47" s="11">
        <f>'balance_raw'!$F$28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'balance_raw'!$B$29</f>
        <v/>
      </c>
      <c r="C48" s="5">
        <f>'balance_raw'!$C$29</f>
        <v/>
      </c>
      <c r="D48" s="5">
        <f>'balance_raw'!$D$29</f>
        <v/>
      </c>
      <c r="E48" s="5">
        <f>'balance_raw'!$E$29</f>
        <v/>
      </c>
      <c r="F48" s="5">
        <f>'balance_raw'!$F$29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'balance_raw'!$B$30</f>
        <v/>
      </c>
      <c r="C49" s="8">
        <f>'balance_raw'!$C$30</f>
        <v/>
      </c>
      <c r="D49" s="8">
        <f>'balance_raw'!$D$30</f>
        <v/>
      </c>
      <c r="E49" s="8">
        <f>'balance_raw'!$E$30</f>
        <v/>
      </c>
      <c r="F49" s="8">
        <f>'balance_raw'!$F$30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'balance_raw'!$B$31</f>
        <v/>
      </c>
      <c r="C50" s="8">
        <f>'balance_raw'!$C$31</f>
        <v/>
      </c>
      <c r="D50" s="8">
        <f>'balance_raw'!$D$31</f>
        <v/>
      </c>
      <c r="E50" s="8">
        <f>'balance_raw'!$E$31</f>
        <v/>
      </c>
      <c r="F50" s="8">
        <f>'balance_raw'!$F$31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'balance_raw'!$B$38</f>
        <v/>
      </c>
      <c r="C59" s="8">
        <f>'balance_raw'!$C$38</f>
        <v/>
      </c>
      <c r="D59" s="8">
        <f>'balance_raw'!$D$38</f>
        <v/>
      </c>
      <c r="E59" s="8">
        <f>'balance_raw'!$E$38</f>
        <v/>
      </c>
      <c r="F59" s="8">
        <f>'balance_raw'!$F$38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'balance_raw'!$B$40</f>
        <v/>
      </c>
      <c r="C61" s="8">
        <f>'balance_raw'!$C$40</f>
        <v/>
      </c>
      <c r="D61" s="8">
        <f>'balance_raw'!$D$40</f>
        <v/>
      </c>
      <c r="E61" s="8">
        <f>'balance_raw'!$E$40</f>
        <v/>
      </c>
      <c r="F61" s="8">
        <f>'balance_raw'!$F$40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'balance_raw'!$B$45</f>
        <v/>
      </c>
      <c r="C66" s="8">
        <f>'balance_raw'!$C$45</f>
        <v/>
      </c>
      <c r="D66" s="8">
        <f>'balance_raw'!$D$45</f>
        <v/>
      </c>
      <c r="E66" s="8">
        <f>'balance_raw'!$E$45</f>
        <v/>
      </c>
      <c r="F66" s="8">
        <f>'balance_raw'!$F$45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'balance_raw'!$B$51</f>
        <v/>
      </c>
      <c r="C72" s="5">
        <f>'balance_raw'!$C$51</f>
        <v/>
      </c>
      <c r="D72" s="5">
        <f>'balance_raw'!$D$51</f>
        <v/>
      </c>
      <c r="E72" s="5">
        <f>'balance_raw'!$E$51</f>
        <v/>
      </c>
      <c r="F72" s="5">
        <f>'balance_raw'!$F$51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'balance_raw'!$B$52</f>
        <v/>
      </c>
      <c r="C73" s="11">
        <f>'balance_raw'!$C$52</f>
        <v/>
      </c>
      <c r="D73" s="11">
        <f>'balance_raw'!$D$52</f>
        <v/>
      </c>
      <c r="E73" s="11">
        <f>'balance_raw'!$E$52</f>
        <v/>
      </c>
      <c r="F73" s="11">
        <f>'balance_raw'!$F$52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'balance_raw'!$B$53</f>
        <v/>
      </c>
      <c r="C74" s="5">
        <f>'balance_raw'!$C$53</f>
        <v/>
      </c>
      <c r="D74" s="5">
        <f>'balance_raw'!$D$53</f>
        <v/>
      </c>
      <c r="E74" s="5">
        <f>'balance_raw'!$E$53</f>
        <v/>
      </c>
      <c r="F74" s="5">
        <f>'balance_raw'!$F$53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'balance_raw'!$B$54</f>
        <v/>
      </c>
      <c r="C75" s="11">
        <f>'balance_raw'!$C$54</f>
        <v/>
      </c>
      <c r="D75" s="11">
        <f>'balance_raw'!$D$54</f>
        <v/>
      </c>
      <c r="E75" s="11">
        <f>'balance_raw'!$E$54</f>
        <v/>
      </c>
      <c r="F75" s="11">
        <f>'balance_raw'!$F$54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'balance_raw'!$B$55</f>
        <v/>
      </c>
      <c r="C76" s="5">
        <f>'balance_raw'!$C$55</f>
        <v/>
      </c>
      <c r="D76" s="5">
        <f>'balance_raw'!$D$55</f>
        <v/>
      </c>
      <c r="E76" s="5">
        <f>'balance_raw'!$E$55</f>
        <v/>
      </c>
      <c r="F76" s="5">
        <f>'balance_raw'!$F$55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'balance_raw'!$B$56</f>
        <v/>
      </c>
      <c r="C77" s="11">
        <f>'balance_raw'!$C$56</f>
        <v/>
      </c>
      <c r="D77" s="11">
        <f>'balance_raw'!$D$56</f>
        <v/>
      </c>
      <c r="E77" s="11">
        <f>'balance_raw'!$E$56</f>
        <v/>
      </c>
      <c r="F77" s="11">
        <f>'balance_raw'!$F$56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'balance_raw'!$B$57</f>
        <v/>
      </c>
      <c r="C78" s="8">
        <f>'balance_raw'!$C$57</f>
        <v/>
      </c>
      <c r="D78" s="8">
        <f>'balance_raw'!$D$57</f>
        <v/>
      </c>
      <c r="E78" s="8">
        <f>'balance_raw'!$E$57</f>
        <v/>
      </c>
      <c r="F78" s="8">
        <f>'balance_raw'!$F$57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'balance_raw'!$B$58</f>
        <v/>
      </c>
      <c r="C79" s="8">
        <f>'balance_raw'!$C$58</f>
        <v/>
      </c>
      <c r="D79" s="8">
        <f>'balance_raw'!$D$58</f>
        <v/>
      </c>
      <c r="E79" s="8">
        <f>'balance_raw'!$E$58</f>
        <v/>
      </c>
      <c r="F79" s="8">
        <f>'balance_raw'!$F$58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'balance_raw'!$B$59</f>
        <v/>
      </c>
      <c r="C80" s="8">
        <f>'balance_raw'!$C$59</f>
        <v/>
      </c>
      <c r="D80" s="8">
        <f>'balance_raw'!$D$59</f>
        <v/>
      </c>
      <c r="E80" s="8">
        <f>'balance_raw'!$E$59</f>
        <v/>
      </c>
      <c r="F80" s="8">
        <f>'balance_raw'!$F$59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'res_raw'!$B$17</f>
        <v/>
      </c>
      <c r="C83" s="11">
        <f>'res_raw'!$C$17</f>
        <v/>
      </c>
      <c r="D83" s="11">
        <f>'res_raw'!$D$17</f>
        <v/>
      </c>
      <c r="E83" s="11">
        <f>'res_raw'!$E$17</f>
        <v/>
      </c>
      <c r="F83" s="11">
        <f>'res_raw'!$F$17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'res_raw'!$B$18</f>
        <v/>
      </c>
      <c r="C84" s="5">
        <f>'res_raw'!$C$18</f>
        <v/>
      </c>
      <c r="D84" s="5">
        <f>'res_raw'!$D$18</f>
        <v/>
      </c>
      <c r="E84" s="5">
        <f>'res_raw'!$E$18</f>
        <v/>
      </c>
      <c r="F84" s="5">
        <f>'res_raw'!$F$18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'pengestrom_raw'!$B$2</f>
        <v/>
      </c>
      <c r="C100" s="17">
        <f>'pengestrom_raw'!$C$2</f>
        <v/>
      </c>
      <c r="D100" s="17">
        <f>'pengestrom_raw'!$D$2</f>
        <v/>
      </c>
      <c r="E100" s="17">
        <f>'pengestrom_raw'!$E$2</f>
        <v/>
      </c>
      <c r="F100" s="17">
        <f>'pengestrom_raw'!$F$2</f>
        <v/>
      </c>
    </row>
    <row r="101">
      <c r="A101" s="16" t="inlineStr">
        <is>
          <t>Pengestrømme fra investeringsaktivitet</t>
        </is>
      </c>
      <c r="B101" s="17">
        <f>'pengestrom_raw'!$B$3</f>
        <v/>
      </c>
      <c r="C101" s="17">
        <f>'pengestrom_raw'!$C$3</f>
        <v/>
      </c>
      <c r="D101" s="17">
        <f>'pengestrom_raw'!$D$3</f>
        <v/>
      </c>
      <c r="E101" s="17">
        <f>'pengestrom_raw'!$E$3</f>
        <v/>
      </c>
      <c r="F101" s="17">
        <f>'pengestrom_raw'!$F$3</f>
        <v/>
      </c>
    </row>
    <row r="102">
      <c r="A102" s="16" t="inlineStr">
        <is>
          <t>Pengestrømme fra finansieringsaktivitet</t>
        </is>
      </c>
      <c r="B102" s="17">
        <f>'pengestrom_raw'!$B$4</f>
        <v/>
      </c>
      <c r="C102" s="17">
        <f>'pengestrom_raw'!$C$4</f>
        <v/>
      </c>
      <c r="D102" s="17">
        <f>'pengestrom_raw'!$D$4</f>
        <v/>
      </c>
      <c r="E102" s="17">
        <f>'pengestrom_raw'!$E$4</f>
        <v/>
      </c>
      <c r="F102" s="17">
        <f>'pengestrom_raw'!$F$4</f>
        <v/>
      </c>
    </row>
    <row r="103">
      <c r="A103" s="16" t="inlineStr">
        <is>
          <t>Årets pengestrøm (rapporteret)</t>
        </is>
      </c>
      <c r="B103" s="17">
        <f>'pengestrom_raw'!$B$5</f>
        <v/>
      </c>
      <c r="C103" s="17">
        <f>'pengestrom_raw'!$C$5</f>
        <v/>
      </c>
      <c r="D103" s="17">
        <f>'pengestrom_raw'!$D$5</f>
        <v/>
      </c>
      <c r="E103" s="17">
        <f>'pengestrom_raw'!$E$5</f>
        <v/>
      </c>
      <c r="F103" s="17">
        <f>'pengestrom_raw'!$F$5</f>
        <v/>
      </c>
    </row>
    <row r="104">
      <c r="A104" s="16" t="inlineStr">
        <is>
          <t>Krydstjek: drift + inv. + fin. = årets pengestrøm</t>
        </is>
      </c>
      <c r="B10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tcm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1108274</v>
      </c>
      <c r="C2" s="17" t="n">
        <v>1146052</v>
      </c>
      <c r="D2" s="17" t="n">
        <v>1111346</v>
      </c>
      <c r="E2" s="17" t="n">
        <v>1203783</v>
      </c>
      <c r="F2" s="17" t="n">
        <v>1279197</v>
      </c>
    </row>
    <row r="3">
      <c r="A3" s="16" t="inlineStr">
        <is>
          <t>Produktionsomkostninger</t>
        </is>
      </c>
      <c r="B3" s="17" t="n">
        <v>853673</v>
      </c>
      <c r="C3" s="17" t="n">
        <v>915403</v>
      </c>
      <c r="D3" s="17" t="n">
        <v>893015</v>
      </c>
      <c r="E3" s="17" t="n">
        <v>948377</v>
      </c>
      <c r="F3" s="17" t="n">
        <v>988723</v>
      </c>
    </row>
    <row r="4">
      <c r="A4" s="15" t="inlineStr">
        <is>
          <t>Bruttoresultat</t>
        </is>
      </c>
      <c r="B4" s="17" t="n">
        <v>254601</v>
      </c>
      <c r="C4" s="17" t="n">
        <v>230649</v>
      </c>
      <c r="D4" s="17" t="n">
        <v>218331</v>
      </c>
      <c r="E4" s="17" t="n">
        <v>255406</v>
      </c>
      <c r="F4" s="17" t="n">
        <v>290474</v>
      </c>
    </row>
    <row r="5">
      <c r="A5" s="16" t="inlineStr">
        <is>
          <t>Salgs- og distributionsomkostninger</t>
        </is>
      </c>
      <c r="B5" s="17" t="n">
        <v>70097</v>
      </c>
      <c r="C5" s="17" t="n">
        <v>83379</v>
      </c>
      <c r="D5" s="17" t="n">
        <v>107183</v>
      </c>
      <c r="E5" s="17" t="n">
        <v>101429</v>
      </c>
      <c r="F5" s="17" t="n">
        <v>120059</v>
      </c>
    </row>
    <row r="6">
      <c r="A6" s="16" t="inlineStr">
        <is>
          <t>Administrationsomkostninger</t>
        </is>
      </c>
      <c r="B6" s="17" t="n">
        <v>46749</v>
      </c>
      <c r="C6" s="17" t="n">
        <v>47709</v>
      </c>
      <c r="D6" s="17" t="n">
        <v>61948</v>
      </c>
      <c r="E6" s="17" t="n">
        <v>83060</v>
      </c>
      <c r="F6" s="17" t="n">
        <v>86675</v>
      </c>
    </row>
    <row r="7">
      <c r="A7" s="16" t="inlineStr">
        <is>
          <t>Andre driftsindtægter</t>
        </is>
      </c>
      <c r="B7" s="17" t="n"/>
      <c r="C7" s="17" t="n">
        <v>3852</v>
      </c>
      <c r="D7" s="17" t="n">
        <v>6410</v>
      </c>
      <c r="E7" s="17" t="n">
        <v>9891</v>
      </c>
      <c r="F7" s="17" t="n">
        <v>10095</v>
      </c>
    </row>
    <row r="8">
      <c r="A8" s="16" t="inlineStr">
        <is>
          <t>Andre driftsomkostninger</t>
        </is>
      </c>
      <c r="B8" s="17" t="n"/>
      <c r="C8" s="17" t="n">
        <v>22</v>
      </c>
      <c r="D8" s="17" t="n">
        <v>0</v>
      </c>
      <c r="E8" s="17" t="n"/>
      <c r="F8" s="17" t="n"/>
    </row>
    <row r="9">
      <c r="A9" s="15" t="inlineStr">
        <is>
          <t>Resultat af primær drift</t>
        </is>
      </c>
      <c r="B9" s="17" t="n">
        <v>138447</v>
      </c>
      <c r="C9" s="17" t="n">
        <v>96913</v>
      </c>
      <c r="D9" s="17" t="n">
        <v>45795</v>
      </c>
      <c r="E9" s="17" t="n">
        <v>90308</v>
      </c>
      <c r="F9" s="17" t="n">
        <v>116285</v>
      </c>
    </row>
    <row r="10">
      <c r="A10" s="16" t="inlineStr">
        <is>
          <t>Indtægter af kapitalandele, dattervirksomheder</t>
        </is>
      </c>
      <c r="B10" s="17" t="n">
        <v>554</v>
      </c>
      <c r="C10" s="17" t="n">
        <v>1263</v>
      </c>
      <c r="D10" s="17" t="n">
        <v>2194</v>
      </c>
      <c r="E10" s="17" t="n">
        <v>5733</v>
      </c>
      <c r="F10" s="17" t="n">
        <v>-1345</v>
      </c>
    </row>
    <row r="11">
      <c r="A11" s="16" t="inlineStr">
        <is>
          <t>Finansielle indtægter</t>
        </is>
      </c>
      <c r="B11" s="17" t="n">
        <v>338</v>
      </c>
      <c r="C11" s="17" t="n">
        <v>441</v>
      </c>
      <c r="D11" s="17" t="n">
        <v>1538</v>
      </c>
      <c r="E11" s="17" t="n">
        <v>1190</v>
      </c>
      <c r="F11" s="17" t="n">
        <v>1142</v>
      </c>
    </row>
    <row r="12">
      <c r="A12" s="16" t="inlineStr">
        <is>
          <t>Finansielle omkostninger</t>
        </is>
      </c>
      <c r="B12" s="17" t="n">
        <v>3600</v>
      </c>
      <c r="C12" s="17" t="n">
        <v>9215</v>
      </c>
      <c r="D12" s="17" t="n">
        <v>22435</v>
      </c>
      <c r="E12" s="17" t="n">
        <v>27788</v>
      </c>
      <c r="F12" s="17" t="n">
        <v>22187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135738</v>
      </c>
      <c r="C14" s="17" t="n">
        <v>89401</v>
      </c>
      <c r="D14" s="17" t="n">
        <v>27092</v>
      </c>
      <c r="E14" s="17" t="n">
        <v>69443</v>
      </c>
      <c r="F14" s="17" t="n">
        <v>93895</v>
      </c>
    </row>
    <row r="15">
      <c r="A15" s="16" t="inlineStr">
        <is>
          <t>Skat af årets resultat</t>
        </is>
      </c>
      <c r="B15" s="17" t="n">
        <v>25029</v>
      </c>
      <c r="C15" s="17" t="n">
        <v>18909</v>
      </c>
      <c r="D15" s="17" t="n">
        <v>5570</v>
      </c>
      <c r="E15" s="17" t="n">
        <v>11768</v>
      </c>
      <c r="F15" s="17" t="n">
        <v>16125</v>
      </c>
    </row>
    <row r="16">
      <c r="A16" s="15" t="inlineStr">
        <is>
          <t>Årets resultat</t>
        </is>
      </c>
      <c r="B16" s="17" t="n">
        <v>110709</v>
      </c>
      <c r="C16" s="17" t="n">
        <v>70493</v>
      </c>
      <c r="D16" s="17" t="n">
        <v>21522</v>
      </c>
      <c r="E16" s="17" t="n">
        <v>57675</v>
      </c>
      <c r="F16" s="17" t="n">
        <v>77770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29168</v>
      </c>
      <c r="C18" s="17" t="n">
        <v>22593</v>
      </c>
      <c r="D18" s="17" t="n">
        <v>21621</v>
      </c>
      <c r="E18" s="17" t="n">
        <v>20983</v>
      </c>
      <c r="F18" s="17" t="n">
        <v>16464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tcm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4561</v>
      </c>
      <c r="C2" s="17" t="n">
        <v>1930</v>
      </c>
      <c r="D2" s="17" t="n">
        <v>2823</v>
      </c>
      <c r="E2" s="17" t="n">
        <v>7591</v>
      </c>
      <c r="F2" s="17" t="n">
        <v>8179</v>
      </c>
    </row>
    <row r="3">
      <c r="A3" s="16" t="inlineStr">
        <is>
          <t>Patenter, varemærker mv.</t>
        </is>
      </c>
      <c r="B3" s="17" t="n">
        <v>171961</v>
      </c>
      <c r="C3" s="17" t="n">
        <v>171961</v>
      </c>
      <c r="D3" s="17" t="n">
        <v>178711</v>
      </c>
      <c r="E3" s="17" t="n">
        <v>177211</v>
      </c>
      <c r="F3" s="17" t="n">
        <v>219356</v>
      </c>
    </row>
    <row r="4">
      <c r="A4" s="16" t="inlineStr">
        <is>
          <t>Goodwill</t>
        </is>
      </c>
      <c r="B4" s="17" t="n">
        <v>369796</v>
      </c>
      <c r="C4" s="17" t="n">
        <v>369796</v>
      </c>
      <c r="D4" s="17" t="n">
        <v>411998</v>
      </c>
      <c r="E4" s="17" t="n">
        <v>411998</v>
      </c>
      <c r="F4" s="17" t="n">
        <v>519748</v>
      </c>
    </row>
    <row r="5">
      <c r="A5" s="15" t="inlineStr">
        <is>
          <t>Immaterielle anlægsaktiver</t>
        </is>
      </c>
      <c r="B5" s="17" t="n">
        <v>546318</v>
      </c>
      <c r="C5" s="17" t="n">
        <v>555838</v>
      </c>
      <c r="D5" s="17" t="n">
        <v>672322</v>
      </c>
      <c r="E5" s="17" t="n">
        <v>692103</v>
      </c>
      <c r="F5" s="17" t="n">
        <v>872081</v>
      </c>
    </row>
    <row r="6">
      <c r="A6" s="16" t="inlineStr">
        <is>
          <t>Grunde og bygninger</t>
        </is>
      </c>
      <c r="B6" s="17" t="n">
        <v>85101</v>
      </c>
      <c r="C6" s="17" t="n">
        <v>95126</v>
      </c>
      <c r="D6" s="17" t="n">
        <v>128925</v>
      </c>
      <c r="E6" s="17" t="n">
        <v>15623</v>
      </c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>
        <v>65931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>
        <v>5820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>
        <v>10656</v>
      </c>
      <c r="F10" s="17" t="n">
        <v>877</v>
      </c>
    </row>
    <row r="11">
      <c r="A11" s="15" t="inlineStr">
        <is>
          <t>Materielle anlægsaktiver</t>
        </is>
      </c>
      <c r="B11" s="17" t="n">
        <v>146021</v>
      </c>
      <c r="C11" s="17" t="n">
        <v>35169</v>
      </c>
      <c r="D11" s="17" t="n">
        <v>41458</v>
      </c>
      <c r="E11" s="17" t="n">
        <v>111729</v>
      </c>
      <c r="F11" s="17" t="n">
        <v>108898</v>
      </c>
    </row>
    <row r="12">
      <c r="A12" s="16" t="inlineStr">
        <is>
          <t>Kapitalandele, dattervirksomheder</t>
        </is>
      </c>
      <c r="B12" s="17" t="n">
        <v>47439</v>
      </c>
      <c r="C12" s="17" t="n">
        <v>48702</v>
      </c>
      <c r="D12" s="17" t="n">
        <v>47994</v>
      </c>
      <c r="E12" s="17" t="n">
        <v>49793</v>
      </c>
      <c r="F12" s="17" t="n">
        <v>0</v>
      </c>
    </row>
    <row r="13">
      <c r="A13" s="16" t="inlineStr">
        <is>
          <t>Deposita</t>
        </is>
      </c>
      <c r="B13" s="17" t="n">
        <v>8524</v>
      </c>
      <c r="C13" s="17" t="n">
        <v>16394</v>
      </c>
      <c r="D13" s="17" t="n">
        <v>10838</v>
      </c>
      <c r="E13" s="17" t="n">
        <v>7587</v>
      </c>
      <c r="F13" s="17" t="n">
        <v>395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748302</v>
      </c>
      <c r="C15" s="17" t="n">
        <v>811017</v>
      </c>
      <c r="D15" s="17" t="n">
        <v>979813</v>
      </c>
      <c r="E15" s="17" t="n">
        <v>993699</v>
      </c>
      <c r="F15" s="17" t="n">
        <v>1115444</v>
      </c>
    </row>
    <row r="16">
      <c r="A16" s="16" t="inlineStr">
        <is>
          <t>Råvarer og hjælpematerialer</t>
        </is>
      </c>
      <c r="B16" s="17" t="n">
        <v>46104</v>
      </c>
      <c r="C16" s="17" t="n">
        <v>41075</v>
      </c>
      <c r="D16" s="17" t="n">
        <v>47818</v>
      </c>
      <c r="E16" s="17" t="n">
        <v>49431</v>
      </c>
      <c r="F16" s="17" t="n">
        <v>53236</v>
      </c>
    </row>
    <row r="17">
      <c r="A17" s="16" t="inlineStr">
        <is>
          <t>Varer under fremstilling</t>
        </is>
      </c>
      <c r="B17" s="17" t="n">
        <v>21929</v>
      </c>
      <c r="C17" s="17" t="n">
        <v>28647</v>
      </c>
      <c r="D17" s="17" t="n">
        <v>34885</v>
      </c>
      <c r="E17" s="17" t="n">
        <v>27341</v>
      </c>
      <c r="F17" s="17" t="n">
        <v>31915</v>
      </c>
    </row>
    <row r="18">
      <c r="A18" s="16" t="inlineStr">
        <is>
          <t>Færdigvarer og handelsvarer</t>
        </is>
      </c>
      <c r="B18" s="17" t="n">
        <v>9731</v>
      </c>
      <c r="C18" s="17" t="n">
        <v>10980</v>
      </c>
      <c r="D18" s="17" t="n">
        <v>9834</v>
      </c>
      <c r="E18" s="17" t="n">
        <v>12375</v>
      </c>
      <c r="F18" s="17" t="n">
        <v>16885</v>
      </c>
    </row>
    <row r="19">
      <c r="A19" s="15" t="inlineStr">
        <is>
          <t>Varebeholdninger</t>
        </is>
      </c>
      <c r="B19" s="17" t="n">
        <v>77764</v>
      </c>
      <c r="C19" s="17" t="n">
        <v>80702</v>
      </c>
      <c r="D19" s="17" t="n">
        <v>92537</v>
      </c>
      <c r="E19" s="17" t="n">
        <v>89147</v>
      </c>
      <c r="F19" s="17" t="n">
        <v>102036</v>
      </c>
    </row>
    <row r="20">
      <c r="A20" s="16" t="inlineStr">
        <is>
          <t>Tilgodehavender fra salg og tjenesteydelser</t>
        </is>
      </c>
      <c r="B20" s="17" t="n">
        <v>28235</v>
      </c>
      <c r="C20" s="17" t="n">
        <v>40984</v>
      </c>
      <c r="D20" s="17" t="n">
        <v>80585</v>
      </c>
      <c r="E20" s="17" t="n">
        <v>57914</v>
      </c>
      <c r="F20" s="17" t="n">
        <v>90389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3235</v>
      </c>
      <c r="C22" s="17" t="n">
        <v>8312</v>
      </c>
      <c r="D22" s="17" t="n">
        <v>8488</v>
      </c>
      <c r="E22" s="17" t="n">
        <v>6714</v>
      </c>
      <c r="F22" s="17" t="n">
        <v>5640</v>
      </c>
    </row>
    <row r="23">
      <c r="A23" s="16" t="inlineStr">
        <is>
          <t>Periodeafgrænsningsposter (aktiver)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6395</v>
      </c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31505</v>
      </c>
      <c r="C27" s="17" t="n">
        <v>21888</v>
      </c>
      <c r="D27" s="17" t="n">
        <v>23065</v>
      </c>
      <c r="E27" s="17" t="n">
        <v>26372</v>
      </c>
      <c r="F27" s="17" t="n">
        <v>32451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11884</v>
      </c>
      <c r="C29" s="17" t="n">
        <v>4392</v>
      </c>
      <c r="D29" s="17" t="n">
        <v>13285</v>
      </c>
      <c r="E29" s="17" t="n">
        <v>29099</v>
      </c>
      <c r="F29" s="17" t="n">
        <v>30816</v>
      </c>
    </row>
    <row r="30">
      <c r="A30" s="15" t="inlineStr">
        <is>
          <t>Omsætningsaktiver</t>
        </is>
      </c>
      <c r="B30" s="17" t="n">
        <v>159019</v>
      </c>
      <c r="C30" s="17" t="n">
        <v>159209</v>
      </c>
      <c r="D30" s="17" t="n">
        <v>221060</v>
      </c>
      <c r="E30" s="17" t="n">
        <v>212845</v>
      </c>
      <c r="F30" s="17" t="n">
        <v>265829</v>
      </c>
    </row>
    <row r="31">
      <c r="A31" s="15" t="inlineStr">
        <is>
          <t>Aktiver</t>
        </is>
      </c>
      <c r="B31" s="17" t="n">
        <v>907321</v>
      </c>
      <c r="C31" s="17" t="n">
        <v>970227</v>
      </c>
      <c r="D31" s="17" t="n">
        <v>1200873</v>
      </c>
      <c r="E31" s="17" t="n">
        <v>1206544</v>
      </c>
      <c r="F31" s="17" t="n">
        <v>1381273</v>
      </c>
    </row>
    <row r="32">
      <c r="A32" s="16" t="inlineStr">
        <is>
          <t>Selskabskapital</t>
        </is>
      </c>
      <c r="B32" s="17" t="n">
        <v>1000</v>
      </c>
      <c r="C32" s="17" t="n">
        <v>914</v>
      </c>
      <c r="D32" s="17" t="n">
        <v>1051</v>
      </c>
      <c r="E32" s="17" t="n">
        <v>1051</v>
      </c>
      <c r="F32" s="17" t="n">
        <v>1051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-29</v>
      </c>
      <c r="C36" s="17" t="n">
        <v>-916</v>
      </c>
      <c r="D36" s="17" t="n">
        <v>-916</v>
      </c>
      <c r="E36" s="17" t="n">
        <v>99</v>
      </c>
      <c r="F36" s="17" t="n">
        <v>120</v>
      </c>
    </row>
    <row r="37">
      <c r="A37" s="16" t="inlineStr">
        <is>
          <t>Overført resultat</t>
        </is>
      </c>
      <c r="B37" s="17" t="n">
        <v>135976</v>
      </c>
      <c r="C37" s="17" t="n">
        <v>12087</v>
      </c>
      <c r="D37" s="17" t="n">
        <v>12087</v>
      </c>
      <c r="E37" s="17" t="n">
        <v>7</v>
      </c>
      <c r="F37" s="17" t="n">
        <v>18</v>
      </c>
    </row>
    <row r="38">
      <c r="A38" s="15" t="inlineStr">
        <is>
          <t>Egenkapital i alt</t>
        </is>
      </c>
      <c r="B38" s="17" t="n">
        <v>419691</v>
      </c>
      <c r="C38" s="17" t="n">
        <v>420629</v>
      </c>
      <c r="D38" s="17" t="n">
        <v>529653</v>
      </c>
      <c r="E38" s="17" t="n">
        <v>589484</v>
      </c>
      <c r="F38" s="17" t="n">
        <v>628747</v>
      </c>
    </row>
    <row r="39">
      <c r="A39" s="16" t="inlineStr">
        <is>
          <t>Hensættelse til udskudt skat</t>
        </is>
      </c>
      <c r="B39" s="17" t="n">
        <v>53692</v>
      </c>
      <c r="C39" s="17" t="n">
        <v>53393</v>
      </c>
      <c r="D39" s="17" t="n">
        <v>68032</v>
      </c>
      <c r="E39" s="17" t="n">
        <v>66629</v>
      </c>
      <c r="F39" s="17" t="n">
        <v>76725</v>
      </c>
    </row>
    <row r="40">
      <c r="A40" s="15" t="inlineStr">
        <is>
          <t>Hensatte forpligtelser</t>
        </is>
      </c>
      <c r="B40" s="17" t="n">
        <v>53692</v>
      </c>
      <c r="C40" s="17" t="n">
        <v>53393</v>
      </c>
      <c r="D40" s="17" t="n">
        <v>68032</v>
      </c>
      <c r="E40" s="17" t="n">
        <v>66629</v>
      </c>
      <c r="F40" s="17" t="n">
        <v>76725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15189</v>
      </c>
      <c r="C43" s="17" t="n">
        <v>48813</v>
      </c>
      <c r="D43" s="17" t="n">
        <v>48150</v>
      </c>
      <c r="E43" s="17" t="n">
        <v>43703</v>
      </c>
      <c r="F43" s="17" t="n">
        <v>37195</v>
      </c>
    </row>
    <row r="44">
      <c r="A44" s="16" t="inlineStr">
        <is>
          <t>Anden gæld (langfristet)</t>
        </is>
      </c>
      <c r="B44" s="17" t="n">
        <v>1132</v>
      </c>
      <c r="C44" s="17" t="n">
        <v>0</v>
      </c>
      <c r="D44" s="17" t="n">
        <v>145346</v>
      </c>
      <c r="E44" s="17" t="n">
        <v>193607</v>
      </c>
      <c r="F44" s="17" t="n">
        <v>33933</v>
      </c>
    </row>
    <row r="45">
      <c r="A45" s="15" t="inlineStr">
        <is>
          <t>Langfristede gældsforpligtelser</t>
        </is>
      </c>
      <c r="B45" s="17" t="n">
        <v>97838</v>
      </c>
      <c r="C45" s="17" t="n">
        <v>127748</v>
      </c>
      <c r="D45" s="17" t="n">
        <v>336755</v>
      </c>
      <c r="E45" s="17" t="n">
        <v>382159</v>
      </c>
      <c r="F45" s="17" t="n">
        <v>426436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160701</v>
      </c>
      <c r="C48" s="17" t="n">
        <v>200329</v>
      </c>
      <c r="D48" s="17" t="n">
        <v>92982</v>
      </c>
      <c r="E48" s="17" t="n">
        <v>21759</v>
      </c>
      <c r="F48" s="17" t="n">
        <v>81428</v>
      </c>
    </row>
    <row r="49">
      <c r="A49" s="16" t="inlineStr">
        <is>
          <t>Leasingforpligtelser (kortfristet)</t>
        </is>
      </c>
      <c r="B49" s="17" t="n">
        <v>11222</v>
      </c>
      <c r="C49" s="17" t="n">
        <v>11973</v>
      </c>
      <c r="D49" s="17" t="n">
        <v>14198</v>
      </c>
      <c r="E49" s="17" t="n">
        <v>12291</v>
      </c>
      <c r="F49" s="17" t="n">
        <v>13636</v>
      </c>
    </row>
    <row r="50">
      <c r="A50" s="16" t="inlineStr">
        <is>
          <t>Leverandører af varer og tjenesteydelser</t>
        </is>
      </c>
      <c r="B50" s="17" t="n">
        <v>158924</v>
      </c>
      <c r="C50" s="17" t="n">
        <v>151892</v>
      </c>
      <c r="D50" s="17" t="n">
        <v>144710</v>
      </c>
      <c r="E50" s="17" t="n">
        <v>122285</v>
      </c>
      <c r="F50" s="17" t="n">
        <v>127893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52227</v>
      </c>
      <c r="C55" s="17" t="n">
        <v>51211</v>
      </c>
      <c r="D55" s="17" t="n">
        <v>77797</v>
      </c>
      <c r="E55" s="17" t="n">
        <v>75629</v>
      </c>
      <c r="F55" s="17" t="n">
        <v>89321</v>
      </c>
    </row>
    <row r="56">
      <c r="A56" s="16" t="inlineStr">
        <is>
          <t>Periodeafgrænsningsposter (passiver)</t>
        </is>
      </c>
      <c r="B56" s="17" t="n"/>
      <c r="C56" s="17" t="n">
        <v>0</v>
      </c>
      <c r="D56" s="17" t="n">
        <v>584</v>
      </c>
      <c r="E56" s="17" t="n">
        <v>293</v>
      </c>
      <c r="F56" s="17" t="n">
        <v>1141</v>
      </c>
    </row>
    <row r="57">
      <c r="A57" s="15" t="inlineStr">
        <is>
          <t>Kortfristede gældsforpligtelser</t>
        </is>
      </c>
      <c r="B57" s="17" t="n">
        <v>389792</v>
      </c>
      <c r="C57" s="17" t="n">
        <v>421849</v>
      </c>
      <c r="D57" s="17" t="n">
        <v>334465</v>
      </c>
      <c r="E57" s="17" t="n">
        <v>234901</v>
      </c>
      <c r="F57" s="17" t="n">
        <v>326090</v>
      </c>
    </row>
    <row r="58">
      <c r="A58" s="15" t="inlineStr">
        <is>
          <t>Gældsforpligtelser</t>
        </is>
      </c>
      <c r="B58" s="17" t="n">
        <v>487630</v>
      </c>
      <c r="C58" s="17" t="n">
        <v>549597</v>
      </c>
      <c r="D58" s="17" t="n">
        <v>671220</v>
      </c>
      <c r="E58" s="17" t="n">
        <v>617060</v>
      </c>
      <c r="F58" s="17" t="n">
        <v>752526</v>
      </c>
    </row>
    <row r="59">
      <c r="A59" s="15" t="inlineStr">
        <is>
          <t>Passiver</t>
        </is>
      </c>
      <c r="B59" s="17" t="n">
        <v>907321</v>
      </c>
      <c r="C59" s="17" t="n">
        <v>970227</v>
      </c>
      <c r="D59" s="17" t="n">
        <v>1200873</v>
      </c>
      <c r="E59" s="17" t="n">
        <v>1206544</v>
      </c>
      <c r="F59" s="17" t="n">
        <v>1381273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tcm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73804</v>
      </c>
      <c r="C2" s="17" t="n">
        <v>72177</v>
      </c>
      <c r="D2" s="17" t="n">
        <v>80949</v>
      </c>
      <c r="E2" s="17" t="n">
        <v>103487</v>
      </c>
      <c r="F2" s="17" t="n">
        <v>87401</v>
      </c>
    </row>
    <row r="3">
      <c r="A3" s="16" t="inlineStr">
        <is>
          <t>Pengestrømme fra investeringsaktivitet</t>
        </is>
      </c>
      <c r="B3" s="17" t="n">
        <v>-52542</v>
      </c>
      <c r="C3" s="17" t="n">
        <v>-34879</v>
      </c>
      <c r="D3" s="17" t="n">
        <v>-141939</v>
      </c>
      <c r="E3" s="17" t="n">
        <v>-44600</v>
      </c>
      <c r="F3" s="17" t="n">
        <v>-122800</v>
      </c>
    </row>
    <row r="4">
      <c r="A4" s="16" t="inlineStr">
        <is>
          <t>Pengestrømme fra finansieringsaktivitet</t>
        </is>
      </c>
      <c r="B4" s="17" t="n">
        <v>-135232</v>
      </c>
      <c r="C4" s="17" t="n">
        <v>-44790</v>
      </c>
      <c r="D4" s="17" t="n">
        <v>69883</v>
      </c>
      <c r="E4" s="17" t="n">
        <v>-41979</v>
      </c>
      <c r="F4" s="17" t="n">
        <v>36795</v>
      </c>
    </row>
    <row r="5">
      <c r="A5" s="16" t="inlineStr">
        <is>
          <t>Årets pengestrøm</t>
        </is>
      </c>
      <c r="B5" s="17" t="n">
        <v>-113971</v>
      </c>
      <c r="C5" s="17" t="n">
        <v>-7492</v>
      </c>
      <c r="D5" s="17" t="n">
        <v>8893</v>
      </c>
      <c r="E5" s="17" t="n">
        <v>16908</v>
      </c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tcm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'balance_raw'!$F$15</f>
        <v/>
      </c>
      <c r="C18" s="24">
        <f>'balance_raw'!$E$15</f>
        <v/>
      </c>
      <c r="D18" s="24">
        <f>'balance_raw'!$D$15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'balance_raw'!$F$30</f>
        <v/>
      </c>
      <c r="C19" s="24">
        <f>'balance_raw'!$E$30</f>
        <v/>
      </c>
      <c r="D19" s="24">
        <f>'balance_raw'!$D$30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'balance_raw'!$F$38</f>
        <v/>
      </c>
      <c r="C22" s="24">
        <f>'balance_raw'!$E$38</f>
        <v/>
      </c>
      <c r="D22" s="24">
        <f>'balance_raw'!$D$38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'balance_raw'!$F$59-'balance_raw'!$F$38</f>
        <v/>
      </c>
      <c r="C23" s="24">
        <f>'balance_raw'!$E$59-'balance_raw'!$E$38</f>
        <v/>
      </c>
      <c r="D23" s="24">
        <f>'balance_raw'!$D$59-'balance_raw'!$D$38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'balance_raw'!$F$19</f>
        <v/>
      </c>
      <c r="C27" s="24">
        <f>'balance_raw'!$E$19</f>
        <v/>
      </c>
      <c r="D27" s="24">
        <f>'balance_raw'!$D$19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'balance_raw'!$F$20</f>
        <v/>
      </c>
      <c r="C28" s="24">
        <f>'balance_raw'!$E$20</f>
        <v/>
      </c>
      <c r="D28" s="24">
        <f>'balance_raw'!$D$20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'balance_raw'!$F$57</f>
        <v/>
      </c>
      <c r="C29" s="24">
        <f>'balance_raw'!$E$57</f>
        <v/>
      </c>
      <c r="D29" s="24">
        <f>'balance_raw'!$D$57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IF('balance_raw'!$F$31="","—",IF(ABS(B20-'balance_raw'!$F$31)&lt;=1,"✓ OK","❌ "&amp;TEXT(B20-'balance_raw'!$F$31,"+#,##0;-#,##0")&amp;" t.kr."))</f>
        <v/>
      </c>
      <c r="C60" s="29">
        <f>IF('balance_raw'!$E$31="","—",IF(ABS(C20-'balance_raw'!$E$31)&lt;=1,"✓ OK","❌ "&amp;TEXT(C20-'balance_raw'!$E$31,"+#,##0;-#,##0")&amp;" t.kr."))</f>
        <v/>
      </c>
      <c r="D60" s="29">
        <f>IF('balance_raw'!$D$31="","—",IF(ABS(D20-'balance_raw'!$D$31)&lt;=1,"✓ OK","❌ "&amp;TEXT(D20-'balance_raw'!$D$31,"+#,##0;-#,##0")&amp;"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IF('balance_raw'!$F$59="","—",IF(ABS(B24-'balance_raw'!$F$59)&lt;=1,"✓ OK","❌ "&amp;TEXT(B24-'balance_raw'!$F$59,"+#,##0;-#,##0")&amp;" t.kr."))</f>
        <v/>
      </c>
      <c r="C61" s="29">
        <f>IF('balance_raw'!$E$59="","—",IF(ABS(C24-'balance_raw'!$E$59)&lt;=1,"✓ OK","❌ "&amp;TEXT(C24-'balance_raw'!$E$59,"+#,##0;-#,##0")&amp;" t.kr."))</f>
        <v/>
      </c>
      <c r="D61" s="29">
        <f>IF('balance_raw'!$D$59="","—",IF(ABS(D24-'balance_raw'!$D$59)&lt;=1,"✓ OK","❌ "&amp;TEXT(D24-'balance_raw'!$D$59,"+#,##0;-#,##0")&amp;"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2026-09-09T19:23:38Z</dcterms:created>
  <dcterms:modified xmlns:dcterms="http://purl.org/dc/terms/" xmlns:xsi="http://www.w3.org/2001/XMLSchema-instance" xsi:type="dcterms:W3CDTF">2026-09-09T19:23:39Z</dcterms:modified>
</cp:coreProperties>
</file>