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t.EUR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'balance_raw'!$B$19</f>
        <v/>
      </c>
      <c r="C38" s="5">
        <f>'balance_raw'!$C$19</f>
        <v/>
      </c>
      <c r="D38" s="5">
        <f>'balance_raw'!$D$19</f>
        <v/>
      </c>
      <c r="E38" s="5">
        <f>'balance_raw'!$E$19</f>
        <v/>
      </c>
      <c r="F38" s="5">
        <f>'balance_raw'!$F$19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'balance_raw'!$B$24</f>
        <v/>
      </c>
      <c r="C43" s="8">
        <f>'balance_raw'!$C$24</f>
        <v/>
      </c>
      <c r="D43" s="8">
        <f>'balance_raw'!$D$24</f>
        <v/>
      </c>
      <c r="E43" s="8">
        <f>'balance_raw'!$E$24</f>
        <v/>
      </c>
      <c r="F43" s="8">
        <f>'balance_raw'!$F$24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'balance_raw'!$B$28</f>
        <v/>
      </c>
      <c r="C47" s="8">
        <f>'balance_raw'!$C$28</f>
        <v/>
      </c>
      <c r="D47" s="8">
        <f>'balance_raw'!$D$28</f>
        <v/>
      </c>
      <c r="E47" s="8">
        <f>'balance_raw'!$E$28</f>
        <v/>
      </c>
      <c r="F47" s="8">
        <f>'balance_raw'!$F$28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t.EUR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'balance_raw'!$B$35</f>
        <v/>
      </c>
      <c r="C56" s="8">
        <f>'balance_raw'!$C$35</f>
        <v/>
      </c>
      <c r="D56" s="8">
        <f>'balance_raw'!$D$35</f>
        <v/>
      </c>
      <c r="E56" s="8">
        <f>'balance_raw'!$E$35</f>
        <v/>
      </c>
      <c r="F56" s="8">
        <f>'balance_raw'!$F$35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'balance_raw'!$B$42</f>
        <v/>
      </c>
      <c r="C63" s="8">
        <f>'balance_raw'!$C$42</f>
        <v/>
      </c>
      <c r="D63" s="8">
        <f>'balance_raw'!$D$42</f>
        <v/>
      </c>
      <c r="E63" s="8">
        <f>'balance_raw'!$E$42</f>
        <v/>
      </c>
      <c r="F63" s="8">
        <f>'balance_raw'!$F$42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'balance_raw'!$B$54</f>
        <v/>
      </c>
      <c r="C75" s="8">
        <f>'balance_raw'!$C$54</f>
        <v/>
      </c>
      <c r="D75" s="8">
        <f>'balance_raw'!$D$54</f>
        <v/>
      </c>
      <c r="E75" s="8">
        <f>'balance_raw'!$E$54</f>
        <v/>
      </c>
      <c r="F75" s="8">
        <f>'balance_raw'!$F$54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'balance_raw'!$B$55</f>
        <v/>
      </c>
      <c r="C76" s="8">
        <f>'balance_raw'!$C$55</f>
        <v/>
      </c>
      <c r="D76" s="8">
        <f>'balance_raw'!$D$55</f>
        <v/>
      </c>
      <c r="E76" s="8">
        <f>'balance_raw'!$E$55</f>
        <v/>
      </c>
      <c r="F76" s="8">
        <f>'balance_raw'!$F$55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'balance_raw'!$B$56</f>
        <v/>
      </c>
      <c r="C77" s="8">
        <f>'balance_raw'!$C$56</f>
        <v/>
      </c>
      <c r="D77" s="8">
        <f>'balance_raw'!$D$56</f>
        <v/>
      </c>
      <c r="E77" s="8">
        <f>'balance_raw'!$E$56</f>
        <v/>
      </c>
      <c r="F77" s="8">
        <f>'balance_raw'!$F$56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'res_raw'!$B$17</f>
        <v/>
      </c>
      <c r="C80" s="5">
        <f>'res_raw'!$C$17</f>
        <v/>
      </c>
      <c r="D80" s="5">
        <f>'res_raw'!$D$17</f>
        <v/>
      </c>
      <c r="E80" s="5">
        <f>'res_raw'!$E$17</f>
        <v/>
      </c>
      <c r="F80" s="5">
        <f>'res_raw'!$F$17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'res_raw'!$B$18</f>
        <v/>
      </c>
      <c r="C81" s="11">
        <f>'res_raw'!$C$18</f>
        <v/>
      </c>
      <c r="D81" s="11">
        <f>'res_raw'!$D$18</f>
        <v/>
      </c>
      <c r="E81" s="11">
        <f>'res_raw'!$E$18</f>
        <v/>
      </c>
      <c r="F81" s="11">
        <f>'res_raw'!$F$18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1474000</v>
      </c>
      <c r="C2" s="16" t="n">
        <v>5995000</v>
      </c>
      <c r="D2" s="16" t="n">
        <v>7054000</v>
      </c>
      <c r="E2" s="16" t="n">
        <v>7780000</v>
      </c>
      <c r="F2" s="16" t="n">
        <v>7760000</v>
      </c>
    </row>
    <row r="3">
      <c r="A3" s="15" t="inlineStr">
        <is>
          <t>Produktionsomkostninger</t>
        </is>
      </c>
      <c r="B3" s="16" t="n">
        <v>1098000</v>
      </c>
      <c r="C3" s="16" t="n">
        <v>4454000</v>
      </c>
      <c r="D3" s="16" t="n">
        <v>5243000</v>
      </c>
      <c r="E3" s="16" t="n">
        <v>5739000</v>
      </c>
      <c r="F3" s="16" t="n">
        <v>5724000</v>
      </c>
    </row>
    <row r="4">
      <c r="A4" s="17" t="inlineStr">
        <is>
          <t>Bruttoresultat</t>
        </is>
      </c>
      <c r="B4" s="16" t="n">
        <v>376000</v>
      </c>
      <c r="C4" s="16" t="n">
        <v>1541000</v>
      </c>
      <c r="D4" s="16" t="n">
        <v>1811000</v>
      </c>
      <c r="E4" s="16" t="n">
        <v>2041000</v>
      </c>
      <c r="F4" s="16" t="n">
        <v>2036000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64000</v>
      </c>
      <c r="C9" s="16" t="n">
        <v>288000</v>
      </c>
      <c r="D9" s="16" t="n">
        <v>353000</v>
      </c>
      <c r="E9" s="16" t="n">
        <v>-9000</v>
      </c>
      <c r="F9" s="16" t="n">
        <v>-42000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Finansielle omkostninger</t>
        </is>
      </c>
      <c r="B12" s="16" t="n"/>
      <c r="C12" s="16" t="n"/>
      <c r="D12" s="16" t="n"/>
      <c r="E12" s="16" t="n"/>
      <c r="F12" s="16" t="n"/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40000</v>
      </c>
      <c r="C14" s="16" t="n">
        <v>186000</v>
      </c>
      <c r="D14" s="16" t="n">
        <v>156000</v>
      </c>
      <c r="E14" s="16" t="n">
        <v>-230000</v>
      </c>
      <c r="F14" s="16" t="n">
        <v>-291000</v>
      </c>
    </row>
    <row r="15">
      <c r="A15" s="15" t="inlineStr">
        <is>
          <t>Skat af årets resultat</t>
        </is>
      </c>
      <c r="B15" s="16" t="n">
        <v>18000</v>
      </c>
      <c r="C15" s="16" t="n">
        <v>54000</v>
      </c>
      <c r="D15" s="16" t="n">
        <v>12000</v>
      </c>
      <c r="E15" s="16" t="n">
        <v>-29000</v>
      </c>
      <c r="F15" s="16" t="n">
        <v>-5000</v>
      </c>
    </row>
    <row r="16">
      <c r="A16" s="17" t="inlineStr">
        <is>
          <t>Årets resultat</t>
        </is>
      </c>
      <c r="B16" s="16" t="n">
        <v>22000</v>
      </c>
      <c r="C16" s="16" t="n">
        <v>132000</v>
      </c>
      <c r="D16" s="16" t="n">
        <v>144000</v>
      </c>
      <c r="E16" s="16" t="n">
        <v>-201000</v>
      </c>
      <c r="F16" s="16" t="n">
        <v>-286000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16000</v>
      </c>
      <c r="C18" s="16" t="n">
        <v>71000</v>
      </c>
      <c r="D18" s="16" t="n">
        <v>79000</v>
      </c>
      <c r="E18" s="16" t="n">
        <v>114000</v>
      </c>
      <c r="F18" s="16" t="n">
        <v>117000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769000</v>
      </c>
      <c r="C4" s="16" t="n">
        <v>810000</v>
      </c>
      <c r="D4" s="16" t="n">
        <v>825000</v>
      </c>
      <c r="E4" s="16" t="n">
        <v>831000</v>
      </c>
      <c r="F4" s="16" t="n">
        <v>839000</v>
      </c>
    </row>
    <row r="5">
      <c r="A5" s="17" t="inlineStr">
        <is>
          <t>Immaterielle anlægsaktiver</t>
        </is>
      </c>
      <c r="B5" s="16" t="n">
        <v>961000</v>
      </c>
      <c r="C5" s="16" t="n">
        <v>996000</v>
      </c>
      <c r="D5" s="16" t="n">
        <v>989000</v>
      </c>
      <c r="E5" s="16" t="n">
        <v>997000</v>
      </c>
      <c r="F5" s="16" t="n">
        <v>987000</v>
      </c>
    </row>
    <row r="6">
      <c r="A6" s="15" t="inlineStr">
        <is>
          <t>Grunde og bygninger</t>
        </is>
      </c>
      <c r="B6" s="16" t="n">
        <v>700000</v>
      </c>
      <c r="C6" s="16" t="n">
        <v>732000</v>
      </c>
      <c r="D6" s="16" t="n">
        <v>1155000</v>
      </c>
      <c r="E6" s="16" t="n">
        <v>1154000</v>
      </c>
      <c r="F6" s="16" t="n">
        <v>1093000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52000</v>
      </c>
      <c r="C10" s="16" t="n">
        <v>46000</v>
      </c>
      <c r="D10" s="16" t="n">
        <v>98000</v>
      </c>
      <c r="E10" s="16" t="n">
        <v>66000</v>
      </c>
      <c r="F10" s="16" t="n">
        <v>62000</v>
      </c>
    </row>
    <row r="11">
      <c r="A11" s="17" t="inlineStr">
        <is>
          <t>Materielle anlægsaktiver</t>
        </is>
      </c>
      <c r="B11" s="16" t="n">
        <v>81000</v>
      </c>
      <c r="C11" s="16" t="n">
        <v>122000</v>
      </c>
      <c r="D11" s="16" t="n">
        <v>174000</v>
      </c>
      <c r="E11" s="16" t="n">
        <v>180000</v>
      </c>
      <c r="F11" s="16" t="n">
        <v>189000</v>
      </c>
    </row>
    <row r="12">
      <c r="A12" s="15" t="inlineStr">
        <is>
          <t>Kapitalandele, dattervirksomheder</t>
        </is>
      </c>
      <c r="B12" s="16" t="n">
        <v>1000</v>
      </c>
      <c r="C12" s="16" t="n">
        <v>1000</v>
      </c>
      <c r="D12" s="16" t="n">
        <v>1000</v>
      </c>
      <c r="E12" s="16" t="n">
        <v>4000</v>
      </c>
      <c r="F12" s="16" t="n">
        <v>3000</v>
      </c>
    </row>
    <row r="13">
      <c r="A13" s="15" t="inlineStr">
        <is>
          <t>Deposita</t>
        </is>
      </c>
      <c r="B13" s="16" t="n"/>
      <c r="C13" s="16" t="n"/>
      <c r="D13" s="16" t="n">
        <v>25000</v>
      </c>
      <c r="E13" s="16" t="n">
        <v>17000</v>
      </c>
      <c r="F13" s="16" t="n">
        <v>7000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3029000</v>
      </c>
      <c r="C15" s="16" t="n">
        <v>3260000</v>
      </c>
      <c r="D15" s="16" t="n">
        <v>4158000</v>
      </c>
      <c r="E15" s="16" t="n">
        <v>4174000</v>
      </c>
      <c r="F15" s="16" t="n">
        <v>4038000</v>
      </c>
    </row>
    <row r="16">
      <c r="A16" s="17" t="inlineStr">
        <is>
          <t>Varebeholdninger</t>
        </is>
      </c>
      <c r="B16" s="16" t="n">
        <v>553000</v>
      </c>
      <c r="C16" s="16" t="n">
        <v>813000</v>
      </c>
      <c r="D16" s="16" t="n">
        <v>1087000</v>
      </c>
      <c r="E16" s="16" t="n">
        <v>1052000</v>
      </c>
      <c r="F16" s="16" t="n">
        <v>1108000</v>
      </c>
    </row>
    <row r="17">
      <c r="A17" s="15" t="inlineStr">
        <is>
          <t>Tilgodehavender fra salg og tjenesteydelser</t>
        </is>
      </c>
      <c r="B17" s="16" t="n">
        <v>491000</v>
      </c>
      <c r="C17" s="16" t="n">
        <v>569000</v>
      </c>
      <c r="D17" s="16" t="n">
        <v>823000</v>
      </c>
      <c r="E17" s="16" t="n">
        <v>787000</v>
      </c>
      <c r="F17" s="16" t="n">
        <v>514000</v>
      </c>
    </row>
    <row r="18">
      <c r="A18" s="15" t="inlineStr">
        <is>
          <t>Tilgodehavender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Andre tilgodehavender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Periodeafgrænsningsposter (aktiver)</t>
        </is>
      </c>
      <c r="B20" s="16" t="n">
        <v>7000</v>
      </c>
      <c r="C20" s="16" t="n">
        <v>12000</v>
      </c>
      <c r="D20" s="16" t="n">
        <v>21000</v>
      </c>
      <c r="E20" s="16" t="n">
        <v>37000</v>
      </c>
      <c r="F20" s="16" t="n">
        <v>36000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>
        <v>0</v>
      </c>
      <c r="F21" s="16" t="n">
        <v>4000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5000</v>
      </c>
      <c r="D23" s="16" t="n">
        <v>11000</v>
      </c>
      <c r="E23" s="16" t="n">
        <v>27000</v>
      </c>
      <c r="F23" s="16" t="n">
        <v>3000</v>
      </c>
    </row>
    <row r="24">
      <c r="A24" s="17" t="inlineStr">
        <is>
          <t>Tilgodehavender</t>
        </is>
      </c>
      <c r="B24" s="16" t="n">
        <v>21000</v>
      </c>
      <c r="C24" s="16" t="n">
        <v>22000</v>
      </c>
      <c r="D24" s="16" t="n">
        <v>50000</v>
      </c>
      <c r="E24" s="16" t="n">
        <v>211000</v>
      </c>
      <c r="F24" s="16" t="n">
        <v>202000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330000</v>
      </c>
      <c r="C26" s="16" t="n">
        <v>261000</v>
      </c>
      <c r="D26" s="16" t="n">
        <v>307000</v>
      </c>
      <c r="E26" s="16" t="n">
        <v>242000</v>
      </c>
      <c r="F26" s="16" t="n">
        <v>281000</v>
      </c>
    </row>
    <row r="27">
      <c r="A27" s="17" t="inlineStr">
        <is>
          <t>Omsætningsaktiver</t>
        </is>
      </c>
      <c r="B27" s="16" t="n">
        <v>1402000</v>
      </c>
      <c r="C27" s="16" t="n">
        <v>1682000</v>
      </c>
      <c r="D27" s="16" t="n">
        <v>2299000</v>
      </c>
      <c r="E27" s="16" t="n">
        <v>2356000</v>
      </c>
      <c r="F27" s="16" t="n">
        <v>2144000</v>
      </c>
    </row>
    <row r="28">
      <c r="A28" s="17" t="inlineStr">
        <is>
          <t>Aktiver</t>
        </is>
      </c>
      <c r="B28" s="16" t="n">
        <v>4431000</v>
      </c>
      <c r="C28" s="16" t="n">
        <v>4942000</v>
      </c>
      <c r="D28" s="16" t="n">
        <v>6457000</v>
      </c>
      <c r="E28" s="16" t="n">
        <v>6530000</v>
      </c>
      <c r="F28" s="16" t="n">
        <v>6218000</v>
      </c>
    </row>
    <row r="29">
      <c r="A29" s="15" t="inlineStr">
        <is>
          <t>Selskabskapital</t>
        </is>
      </c>
      <c r="B29" s="16" t="n">
        <v>1000</v>
      </c>
      <c r="C29" s="16" t="n">
        <v>2000</v>
      </c>
      <c r="D29" s="16" t="n">
        <v>2000</v>
      </c>
      <c r="E29" s="16" t="n">
        <v>2000</v>
      </c>
      <c r="F29" s="16" t="n">
        <v>2000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>
        <v>530000</v>
      </c>
      <c r="C33" s="16" t="n">
        <v>679000</v>
      </c>
      <c r="D33" s="16" t="n">
        <v>846000</v>
      </c>
      <c r="E33" s="16" t="n">
        <v>634000</v>
      </c>
      <c r="F33" s="16" t="n">
        <v>350000</v>
      </c>
    </row>
    <row r="34">
      <c r="A34" s="15" t="inlineStr">
        <is>
          <t>Overført resultat</t>
        </is>
      </c>
      <c r="B34" s="16" t="n"/>
      <c r="C34" s="16" t="n"/>
      <c r="D34" s="16" t="n"/>
      <c r="E34" s="16" t="n"/>
      <c r="F34" s="16" t="n"/>
    </row>
    <row r="35">
      <c r="A35" s="17" t="inlineStr">
        <is>
          <t>Egenkapital i alt</t>
        </is>
      </c>
      <c r="B35" s="16" t="n">
        <v>531000</v>
      </c>
      <c r="C35" s="16" t="n">
        <v>681000</v>
      </c>
      <c r="D35" s="16" t="n">
        <v>848000</v>
      </c>
      <c r="E35" s="16" t="n">
        <v>636000</v>
      </c>
      <c r="F35" s="16" t="n">
        <v>352000</v>
      </c>
    </row>
    <row r="36">
      <c r="A36" s="15" t="inlineStr">
        <is>
          <t>Hensættelse til udskudt skat</t>
        </is>
      </c>
      <c r="B36" s="16" t="n">
        <v>301000</v>
      </c>
      <c r="C36" s="16" t="n">
        <v>312000</v>
      </c>
      <c r="D36" s="16" t="n">
        <v>322000</v>
      </c>
      <c r="E36" s="16" t="n">
        <v>295000</v>
      </c>
      <c r="F36" s="16" t="n">
        <v>286000</v>
      </c>
    </row>
    <row r="37">
      <c r="A37" s="17" t="inlineStr">
        <is>
          <t>Hensatte forpligtelser</t>
        </is>
      </c>
      <c r="B37" s="16" t="n">
        <v>27000</v>
      </c>
      <c r="C37" s="16" t="n">
        <v>32000</v>
      </c>
      <c r="D37" s="16" t="n">
        <v>148000</v>
      </c>
      <c r="E37" s="16" t="n">
        <v>95000</v>
      </c>
      <c r="F37" s="16" t="n">
        <v>87000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>
        <v>398000</v>
      </c>
      <c r="C40" s="16" t="n">
        <v>472000</v>
      </c>
      <c r="D40" s="16" t="n">
        <v>714000</v>
      </c>
      <c r="E40" s="16" t="n">
        <v>761000</v>
      </c>
      <c r="F40" s="16" t="n">
        <v>700000</v>
      </c>
    </row>
    <row r="41">
      <c r="A41" s="15" t="inlineStr">
        <is>
          <t>Anden gæld (langfristet)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11000</v>
      </c>
      <c r="C42" s="16" t="n">
        <v>16000</v>
      </c>
      <c r="D42" s="16" t="n">
        <v>143000</v>
      </c>
      <c r="E42" s="16" t="n">
        <v>147000</v>
      </c>
      <c r="F42" s="16" t="n">
        <v>149000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16000</v>
      </c>
      <c r="C45" s="16" t="n">
        <v>27000</v>
      </c>
      <c r="D45" s="16" t="n">
        <v>28000</v>
      </c>
      <c r="E45" s="16" t="n">
        <v>104000</v>
      </c>
      <c r="F45" s="16" t="n">
        <v>180000</v>
      </c>
    </row>
    <row r="46">
      <c r="A46" s="15" t="inlineStr">
        <is>
          <t>Leasingforpligtelser (kortfristet)</t>
        </is>
      </c>
      <c r="B46" s="16" t="n">
        <v>65000</v>
      </c>
      <c r="C46" s="16" t="n">
        <v>84000</v>
      </c>
      <c r="D46" s="16" t="n">
        <v>146000</v>
      </c>
      <c r="E46" s="16" t="n">
        <v>173000</v>
      </c>
      <c r="F46" s="16" t="n">
        <v>168000</v>
      </c>
    </row>
    <row r="47">
      <c r="A47" s="15" t="inlineStr">
        <is>
          <t>Leverandører af varer og tjenesteydelser</t>
        </is>
      </c>
      <c r="B47" s="16" t="n">
        <v>931000</v>
      </c>
      <c r="C47" s="16" t="n">
        <v>1096000</v>
      </c>
      <c r="D47" s="16" t="n">
        <v>1338000</v>
      </c>
      <c r="E47" s="16" t="n">
        <v>1485000</v>
      </c>
      <c r="F47" s="16" t="n">
        <v>1441000</v>
      </c>
    </row>
    <row r="48">
      <c r="A48" s="15" t="inlineStr">
        <is>
          <t>Gæld til tilknyttede virksomheder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233000</v>
      </c>
      <c r="C52" s="16" t="n">
        <v>254000</v>
      </c>
      <c r="D52" s="16" t="n">
        <v>335000</v>
      </c>
      <c r="E52" s="16" t="n">
        <v>348000</v>
      </c>
      <c r="F52" s="16" t="n">
        <v>347000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/>
    </row>
    <row r="54">
      <c r="A54" s="17" t="inlineStr">
        <is>
          <t>Kortfristede gældsforpligtelser</t>
        </is>
      </c>
      <c r="B54" s="16" t="n">
        <v>1327000</v>
      </c>
      <c r="C54" s="16" t="n">
        <v>1536000</v>
      </c>
      <c r="D54" s="16" t="n">
        <v>1948000</v>
      </c>
      <c r="E54" s="16" t="n">
        <v>2209000</v>
      </c>
      <c r="F54" s="16" t="n">
        <v>2237000</v>
      </c>
    </row>
    <row r="55">
      <c r="A55" s="17" t="inlineStr">
        <is>
          <t>Gældsforpligtelser</t>
        </is>
      </c>
      <c r="B55" s="16" t="n">
        <v>3890000</v>
      </c>
      <c r="C55" s="16" t="n">
        <v>4250000</v>
      </c>
      <c r="D55" s="16" t="n">
        <v>5599000</v>
      </c>
      <c r="E55" s="16" t="n">
        <v>5886000</v>
      </c>
      <c r="F55" s="16" t="n">
        <v>5858000</v>
      </c>
    </row>
    <row r="56">
      <c r="A56" s="17" t="inlineStr">
        <is>
          <t>Passiver</t>
        </is>
      </c>
      <c r="B56" s="16" t="n">
        <v>4431000</v>
      </c>
      <c r="C56" s="16" t="n">
        <v>4942000</v>
      </c>
      <c r="D56" s="16" t="n">
        <v>6457000</v>
      </c>
      <c r="E56" s="16" t="n">
        <v>6530000</v>
      </c>
      <c r="F56" s="16" t="n">
        <v>6218000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'balance_raw'!$F$27</f>
        <v/>
      </c>
      <c r="C19" s="24">
        <f>'balance_raw'!$E$27</f>
        <v/>
      </c>
      <c r="D19" s="24">
        <f>'balance_raw'!$D$27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'balance_raw'!$F$35</f>
        <v/>
      </c>
      <c r="C22" s="24">
        <f>'balance_raw'!$E$35</f>
        <v/>
      </c>
      <c r="D22" s="24">
        <f>'balance_raw'!$D$35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'balance_raw'!$F$56-'balance_raw'!$F$35</f>
        <v/>
      </c>
      <c r="C23" s="24">
        <f>'balance_raw'!$E$56-'balance_raw'!$E$35</f>
        <v/>
      </c>
      <c r="D23" s="24">
        <f>'balance_raw'!$D$56-'balance_raw'!$D$35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'balance_raw'!$F$16</f>
        <v/>
      </c>
      <c r="C27" s="24">
        <f>'balance_raw'!$E$16</f>
        <v/>
      </c>
      <c r="D27" s="24">
        <f>'balance_raw'!$D$16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'balance_raw'!$F$17</f>
        <v/>
      </c>
      <c r="C28" s="24">
        <f>'balance_raw'!$E$17</f>
        <v/>
      </c>
      <c r="D28" s="24">
        <f>'balance_raw'!$D$17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'balance_raw'!$F$54</f>
        <v/>
      </c>
      <c r="C29" s="24">
        <f>'balance_raw'!$E$54</f>
        <v/>
      </c>
      <c r="D29" s="24">
        <f>'balance_raw'!$D$54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IF('balance_raw'!$F$28="","—",IF(ABS(B20-'balance_raw'!$F$28)&lt;=1,"✓ OK","❌ "&amp;TEXT(B20-'balance_raw'!$F$28,"+#,##0;-#,##0")&amp;" t.EUR"))</f>
        <v/>
      </c>
      <c r="C60" s="29">
        <f>IF('balance_raw'!$E$28="","—",IF(ABS(C20-'balance_raw'!$E$28)&lt;=1,"✓ OK","❌ "&amp;TEXT(C20-'balance_raw'!$E$28,"+#,##0;-#,##0")&amp;" t.EUR"))</f>
        <v/>
      </c>
      <c r="D60" s="29">
        <f>IF('balance_raw'!$D$28="","—",IF(ABS(D20-'balance_raw'!$D$28)&lt;=1,"✓ OK","❌ "&amp;TEXT(D20-'balance_raw'!$D$28,"+#,##0;-#,##0")&amp;" t.EUR"))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IF('balance_raw'!$F$56="","—",IF(ABS(B24-'balance_raw'!$F$56)&lt;=1,"✓ OK","❌ "&amp;TEXT(B24-'balance_raw'!$F$56,"+#,##0;-#,##0")&amp;" t.EUR"))</f>
        <v/>
      </c>
      <c r="C61" s="29">
        <f>IF('balance_raw'!$E$56="","—",IF(ABS(C24-'balance_raw'!$E$56)&lt;=1,"✓ OK","❌ "&amp;TEXT(C24-'balance_raw'!$E$56,"+#,##0;-#,##0")&amp;" t.EUR"))</f>
        <v/>
      </c>
      <c r="D61" s="29">
        <f>IF('balance_raw'!$D$56="","—",IF(ABS(D24-'balance_raw'!$D$56)&lt;=1,"✓ OK","❌ "&amp;TEXT(D24-'balance_raw'!$D$56,"+#,##0;-#,##0")&amp;" t.EUR"))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t.EUR")</f>
        <v/>
      </c>
      <c r="C62" s="29">
        <f>IF(ABS(C20-C24)&lt;=1,"✓ OK","❌ "&amp;TEXT(C20-C24,"+#,##0;-#,##0")&amp;" t.EUR")</f>
        <v/>
      </c>
      <c r="D62" s="29">
        <f>IF(ABS(D20-D24)&lt;=1,"✓ OK","❌ "&amp;TEXT(D20-D24,"+#,##0;-#,##0")&amp;" t.EUR")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t.EUR"))</f>
        <v/>
      </c>
      <c r="C63" s="29">
        <f>IF('res_raw'!$E$4="","—",IF(ABS(C7-'res_raw'!$E$4)&lt;=1,"✓ OK","❌ "&amp;TEXT(C7-'res_raw'!$E$4,"+#,##0;-#,##0")&amp;" t.EUR"))</f>
        <v/>
      </c>
      <c r="D63" s="29">
        <f>IF('res_raw'!$D$4="","—",IF(ABS(D7-'res_raw'!$D$4)&lt;=1,"✓ OK","❌ "&amp;TEXT(D7-'res_raw'!$D$4,"+#,##0;-#,##0")&amp;" t.EUR"))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t.EUR"))</f>
        <v/>
      </c>
      <c r="C64" s="29">
        <f>IF('res_raw'!$E$9="","—",IF(ABS(C12-'res_raw'!$E$9)&lt;=1,"✓ OK","❌ "&amp;TEXT(C12-'res_raw'!$E$9,"+#,##0;-#,##0")&amp;" t.EUR"))</f>
        <v/>
      </c>
      <c r="D64" s="29">
        <f>IF('res_raw'!$D$9="","—",IF(ABS(D12-'res_raw'!$D$9)&lt;=1,"✓ OK","❌ "&amp;TEXT(D12-'res_raw'!$D$9,"+#,##0;-#,##0")&amp;" t.EUR"))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t.EUR"))</f>
        <v/>
      </c>
      <c r="C65" s="29">
        <f>IF('res_raw'!$E$14="","—",IF(ABS(C15-'res_raw'!$E$14)&lt;=1,"✓ OK","❌ "&amp;TEXT(C15-'res_raw'!$E$14,"+#,##0;-#,##0")&amp;" t.EUR"))</f>
        <v/>
      </c>
      <c r="D65" s="29">
        <f>IF('res_raw'!$D$14="","—",IF(ABS(D15-'res_raw'!$D$14)&lt;=1,"✓ OK","❌ "&amp;TEXT(D15-'res_raw'!$D$14,"+#,##0;-#,##0")&amp;" t.EUR"))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2026-09-07T18:58:10Z</dcterms:created>
  <dcterms:modified xmlns:dcterms="http://purl.org/dc/terms/" xmlns:xsi="http://www.w3.org/2001/XMLSchema-instance" xsi:type="dcterms:W3CDTF">2026-09-07T18:58:10Z</dcterms:modified>
</cp:coreProperties>
</file>