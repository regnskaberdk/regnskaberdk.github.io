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Udviklingsprojekter</t>
        </is>
      </c>
      <c r="B23" s="8">
        <f>'balance_raw'!$B$2</f>
        <v/>
      </c>
      <c r="C23" s="8">
        <f>'balance_raw'!$C$2</f>
        <v/>
      </c>
      <c r="D23" s="8">
        <f>'balance_raw'!$D$2</f>
        <v/>
      </c>
      <c r="E23" s="8">
        <f>'balance_raw'!$E$2</f>
        <v/>
      </c>
      <c r="F23" s="8">
        <f>'balance_raw'!$F$2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'balance_raw'!$B$3</f>
        <v/>
      </c>
      <c r="C24" s="5">
        <f>'balance_raw'!$C$3</f>
        <v/>
      </c>
      <c r="D24" s="5">
        <f>'balance_raw'!$D$3</f>
        <v/>
      </c>
      <c r="E24" s="5">
        <f>'balance_raw'!$E$3</f>
        <v/>
      </c>
      <c r="F24" s="5">
        <f>'balance_raw'!$F$3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'balance_raw'!$B$5</f>
        <v/>
      </c>
      <c r="C26" s="11">
        <f>'balance_raw'!$C$5</f>
        <v/>
      </c>
      <c r="D26" s="11">
        <f>'balance_raw'!$D$5</f>
        <v/>
      </c>
      <c r="E26" s="11">
        <f>'balance_raw'!$E$5</f>
        <v/>
      </c>
      <c r="F26" s="11">
        <f>'balance_raw'!$F$5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'balance_raw'!$B$6</f>
        <v/>
      </c>
      <c r="C27" s="8">
        <f>'balance_raw'!$C$6</f>
        <v/>
      </c>
      <c r="D27" s="8">
        <f>'balance_raw'!$D$6</f>
        <v/>
      </c>
      <c r="E27" s="8">
        <f>'balance_raw'!$E$6</f>
        <v/>
      </c>
      <c r="F27" s="8">
        <f>'balance_raw'!$F$6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'balance_raw'!$B$7</f>
        <v/>
      </c>
      <c r="C28" s="5">
        <f>'balance_raw'!$C$7</f>
        <v/>
      </c>
      <c r="D28" s="5">
        <f>'balance_raw'!$D$7</f>
        <v/>
      </c>
      <c r="E28" s="5">
        <f>'balance_raw'!$E$7</f>
        <v/>
      </c>
      <c r="F28" s="5">
        <f>'balance_raw'!$F$7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'balance_raw'!$B$11</f>
        <v/>
      </c>
      <c r="C32" s="11">
        <f>'balance_raw'!$C$11</f>
        <v/>
      </c>
      <c r="D32" s="11">
        <f>'balance_raw'!$D$11</f>
        <v/>
      </c>
      <c r="E32" s="11">
        <f>'balance_raw'!$E$11</f>
        <v/>
      </c>
      <c r="F32" s="11">
        <f>'balance_raw'!$F$11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'balance_raw'!$B$13</f>
        <v/>
      </c>
      <c r="C34" s="5">
        <f>'balance_raw'!$C$13</f>
        <v/>
      </c>
      <c r="D34" s="5">
        <f>'balance_raw'!$D$13</f>
        <v/>
      </c>
      <c r="E34" s="5">
        <f>'balance_raw'!$E$13</f>
        <v/>
      </c>
      <c r="F34" s="5">
        <f>'balance_raw'!$F$13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'balance_raw'!$B$14</f>
        <v/>
      </c>
      <c r="C35" s="11">
        <f>'balance_raw'!$C$14</f>
        <v/>
      </c>
      <c r="D35" s="11">
        <f>'balance_raw'!$D$14</f>
        <v/>
      </c>
      <c r="E35" s="11">
        <f>'balance_raw'!$E$14</f>
        <v/>
      </c>
      <c r="F35" s="11">
        <f>'balance_raw'!$F$14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'balance_raw'!$B$15</f>
        <v/>
      </c>
      <c r="C36" s="11">
        <f>'balance_raw'!$C$15</f>
        <v/>
      </c>
      <c r="D36" s="11">
        <f>'balance_raw'!$D$15</f>
        <v/>
      </c>
      <c r="E36" s="11">
        <f>'balance_raw'!$E$15</f>
        <v/>
      </c>
      <c r="F36" s="11">
        <f>'balance_raw'!$F$15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'balance_raw'!$B$16</f>
        <v/>
      </c>
      <c r="C37" s="8">
        <f>'balance_raw'!$C$16</f>
        <v/>
      </c>
      <c r="D37" s="8">
        <f>'balance_raw'!$D$16</f>
        <v/>
      </c>
      <c r="E37" s="8">
        <f>'balance_raw'!$E$16</f>
        <v/>
      </c>
      <c r="F37" s="8">
        <f>'balance_raw'!$F$16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'balance_raw'!$B$19</f>
        <v/>
      </c>
      <c r="C40" s="11">
        <f>'balance_raw'!$C$19</f>
        <v/>
      </c>
      <c r="D40" s="11">
        <f>'balance_raw'!$D$19</f>
        <v/>
      </c>
      <c r="E40" s="11">
        <f>'balance_raw'!$E$19</f>
        <v/>
      </c>
      <c r="F40" s="11">
        <f>'balance_raw'!$F$19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'balance_raw'!$B$20</f>
        <v/>
      </c>
      <c r="C41" s="8">
        <f>'balance_raw'!$C$20</f>
        <v/>
      </c>
      <c r="D41" s="8">
        <f>'balance_raw'!$D$20</f>
        <v/>
      </c>
      <c r="E41" s="8">
        <f>'balance_raw'!$E$20</f>
        <v/>
      </c>
      <c r="F41" s="8">
        <f>'balance_raw'!$F$20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'balance_raw'!$B$22</f>
        <v/>
      </c>
      <c r="C43" s="8">
        <f>'balance_raw'!$C$22</f>
        <v/>
      </c>
      <c r="D43" s="8">
        <f>'balance_raw'!$D$22</f>
        <v/>
      </c>
      <c r="E43" s="8">
        <f>'balance_raw'!$E$22</f>
        <v/>
      </c>
      <c r="F43" s="8">
        <f>'balance_raw'!$F$22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'balance_raw'!$B$24</f>
        <v/>
      </c>
      <c r="C45" s="8">
        <f>'balance_raw'!$C$24</f>
        <v/>
      </c>
      <c r="D45" s="8">
        <f>'balance_raw'!$D$24</f>
        <v/>
      </c>
      <c r="E45" s="8">
        <f>'balance_raw'!$E$24</f>
        <v/>
      </c>
      <c r="F45" s="8">
        <f>'balance_raw'!$F$24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'balance_raw'!$B$26</f>
        <v/>
      </c>
      <c r="C47" s="8">
        <f>'balance_raw'!$C$26</f>
        <v/>
      </c>
      <c r="D47" s="8">
        <f>'balance_raw'!$D$26</f>
        <v/>
      </c>
      <c r="E47" s="8">
        <f>'balance_raw'!$E$26</f>
        <v/>
      </c>
      <c r="F47" s="8">
        <f>'balance_raw'!$F$26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'balance_raw'!$B$27</f>
        <v/>
      </c>
      <c r="C48" s="11">
        <f>'balance_raw'!$C$27</f>
        <v/>
      </c>
      <c r="D48" s="11">
        <f>'balance_raw'!$D$27</f>
        <v/>
      </c>
      <c r="E48" s="11">
        <f>'balance_raw'!$E$27</f>
        <v/>
      </c>
      <c r="F48" s="11">
        <f>'balance_raw'!$F$27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'balance_raw'!$B$28</f>
        <v/>
      </c>
      <c r="C49" s="8">
        <f>'balance_raw'!$C$28</f>
        <v/>
      </c>
      <c r="D49" s="8">
        <f>'balance_raw'!$D$28</f>
        <v/>
      </c>
      <c r="E49" s="8">
        <f>'balance_raw'!$E$28</f>
        <v/>
      </c>
      <c r="F49" s="8">
        <f>'balance_raw'!$F$28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'balance_raw'!$B$31</f>
        <v/>
      </c>
      <c r="C52" s="11">
        <f>'balance_raw'!$C$31</f>
        <v/>
      </c>
      <c r="D52" s="11">
        <f>'balance_raw'!$D$31</f>
        <v/>
      </c>
      <c r="E52" s="11">
        <f>'balance_raw'!$E$31</f>
        <v/>
      </c>
      <c r="F52" s="11">
        <f>'balance_raw'!$F$31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2020</v>
      </c>
      <c r="C54" s="3" t="n">
        <v>2021</v>
      </c>
      <c r="D54" s="3" t="n">
        <v>2022</v>
      </c>
      <c r="E54" s="3" t="n">
        <v>2023</v>
      </c>
      <c r="F54" s="3" t="n">
        <v>2024</v>
      </c>
      <c r="G54" t="inlineStr"/>
      <c r="H54" s="3" t="n">
        <v>2020</v>
      </c>
      <c r="I54" s="3" t="n">
        <v>2021</v>
      </c>
      <c r="J54" s="3" t="n">
        <v>2022</v>
      </c>
      <c r="K54" s="3" t="n">
        <v>2023</v>
      </c>
      <c r="L54" s="3" t="n">
        <v>2024</v>
      </c>
    </row>
    <row r="55" ht="16" customHeight="1">
      <c r="A55" s="7" t="inlineStr">
        <is>
          <t>Selskabskapital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'balance_raw'!$B$38</f>
        <v/>
      </c>
      <c r="C61" s="11">
        <f>'balance_raw'!$C$38</f>
        <v/>
      </c>
      <c r="D61" s="11">
        <f>'balance_raw'!$D$38</f>
        <v/>
      </c>
      <c r="E61" s="11">
        <f>'balance_raw'!$E$38</f>
        <v/>
      </c>
      <c r="F61" s="11">
        <f>'balance_raw'!$F$38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'balance_raw'!$B$40</f>
        <v/>
      </c>
      <c r="C63" s="11">
        <f>'balance_raw'!$C$40</f>
        <v/>
      </c>
      <c r="D63" s="11">
        <f>'balance_raw'!$D$40</f>
        <v/>
      </c>
      <c r="E63" s="11">
        <f>'balance_raw'!$E$40</f>
        <v/>
      </c>
      <c r="F63" s="11">
        <f>'balance_raw'!$F$40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'balance_raw'!$B$42</f>
        <v/>
      </c>
      <c r="C65" s="8">
        <f>'balance_raw'!$C$42</f>
        <v/>
      </c>
      <c r="D65" s="8">
        <f>'balance_raw'!$D$42</f>
        <v/>
      </c>
      <c r="E65" s="8">
        <f>'balance_raw'!$E$42</f>
        <v/>
      </c>
      <c r="F65" s="8">
        <f>'balance_raw'!$F$42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'balance_raw'!$B$43</f>
        <v/>
      </c>
      <c r="C66" s="5">
        <f>'balance_raw'!$C$43</f>
        <v/>
      </c>
      <c r="D66" s="5">
        <f>'balance_raw'!$D$43</f>
        <v/>
      </c>
      <c r="E66" s="5">
        <f>'balance_raw'!$E$43</f>
        <v/>
      </c>
      <c r="F66" s="5">
        <f>'balance_raw'!$F$43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'balance_raw'!$B$44</f>
        <v/>
      </c>
      <c r="C67" s="8">
        <f>'balance_raw'!$C$44</f>
        <v/>
      </c>
      <c r="D67" s="8">
        <f>'balance_raw'!$D$44</f>
        <v/>
      </c>
      <c r="E67" s="8">
        <f>'balance_raw'!$E$44</f>
        <v/>
      </c>
      <c r="F67" s="8">
        <f>'balance_raw'!$F$44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'balance_raw'!$B$45</f>
        <v/>
      </c>
      <c r="C68" s="11">
        <f>'balance_raw'!$C$45</f>
        <v/>
      </c>
      <c r="D68" s="11">
        <f>'balance_raw'!$D$45</f>
        <v/>
      </c>
      <c r="E68" s="11">
        <f>'balance_raw'!$E$45</f>
        <v/>
      </c>
      <c r="F68" s="11">
        <f>'balance_raw'!$F$45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'balance_raw'!$B$46</f>
        <v/>
      </c>
      <c r="C69" s="8">
        <f>'balance_raw'!$C$46</f>
        <v/>
      </c>
      <c r="D69" s="8">
        <f>'balance_raw'!$D$46</f>
        <v/>
      </c>
      <c r="E69" s="8">
        <f>'balance_raw'!$E$46</f>
        <v/>
      </c>
      <c r="F69" s="8">
        <f>'balance_raw'!$F$46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'balance_raw'!$B$47</f>
        <v/>
      </c>
      <c r="C70" s="5">
        <f>'balance_raw'!$C$47</f>
        <v/>
      </c>
      <c r="D70" s="5">
        <f>'balance_raw'!$D$47</f>
        <v/>
      </c>
      <c r="E70" s="5">
        <f>'balance_raw'!$E$47</f>
        <v/>
      </c>
      <c r="F70" s="5">
        <f>'balance_raw'!$F$47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'balance_raw'!$B$48</f>
        <v/>
      </c>
      <c r="C71" s="8">
        <f>'balance_raw'!$C$48</f>
        <v/>
      </c>
      <c r="D71" s="8">
        <f>'balance_raw'!$D$48</f>
        <v/>
      </c>
      <c r="E71" s="8">
        <f>'balance_raw'!$E$48</f>
        <v/>
      </c>
      <c r="F71" s="8">
        <f>'balance_raw'!$F$48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'balance_raw'!$B$49</f>
        <v/>
      </c>
      <c r="C72" s="5">
        <f>'balance_raw'!$C$49</f>
        <v/>
      </c>
      <c r="D72" s="5">
        <f>'balance_raw'!$D$49</f>
        <v/>
      </c>
      <c r="E72" s="5">
        <f>'balance_raw'!$E$49</f>
        <v/>
      </c>
      <c r="F72" s="5">
        <f>'balance_raw'!$F$49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'balance_raw'!$B$50</f>
        <v/>
      </c>
      <c r="C73" s="8">
        <f>'balance_raw'!$C$50</f>
        <v/>
      </c>
      <c r="D73" s="8">
        <f>'balance_raw'!$D$50</f>
        <v/>
      </c>
      <c r="E73" s="8">
        <f>'balance_raw'!$E$50</f>
        <v/>
      </c>
      <c r="F73" s="8">
        <f>'balance_raw'!$F$50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'balance_raw'!$B$51</f>
        <v/>
      </c>
      <c r="C74" s="5">
        <f>'balance_raw'!$C$51</f>
        <v/>
      </c>
      <c r="D74" s="5">
        <f>'balance_raw'!$D$51</f>
        <v/>
      </c>
      <c r="E74" s="5">
        <f>'balance_raw'!$E$51</f>
        <v/>
      </c>
      <c r="F74" s="5">
        <f>'balance_raw'!$F$51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'balance_raw'!$B$52</f>
        <v/>
      </c>
      <c r="C75" s="8">
        <f>'balance_raw'!$C$52</f>
        <v/>
      </c>
      <c r="D75" s="8">
        <f>'balance_raw'!$D$52</f>
        <v/>
      </c>
      <c r="E75" s="8">
        <f>'balance_raw'!$E$52</f>
        <v/>
      </c>
      <c r="F75" s="8">
        <f>'balance_raw'!$F$52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'balance_raw'!$B$53</f>
        <v/>
      </c>
      <c r="C76" s="5">
        <f>'balance_raw'!$C$53</f>
        <v/>
      </c>
      <c r="D76" s="5">
        <f>'balance_raw'!$D$53</f>
        <v/>
      </c>
      <c r="E76" s="5">
        <f>'balance_raw'!$E$53</f>
        <v/>
      </c>
      <c r="F76" s="5">
        <f>'balance_raw'!$F$53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'balance_raw'!$B$54</f>
        <v/>
      </c>
      <c r="C77" s="8">
        <f>'balance_raw'!$C$54</f>
        <v/>
      </c>
      <c r="D77" s="8">
        <f>'balance_raw'!$D$54</f>
        <v/>
      </c>
      <c r="E77" s="8">
        <f>'balance_raw'!$E$54</f>
        <v/>
      </c>
      <c r="F77" s="8">
        <f>'balance_raw'!$F$54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'balance_raw'!$B$55</f>
        <v/>
      </c>
      <c r="C78" s="5">
        <f>'balance_raw'!$C$55</f>
        <v/>
      </c>
      <c r="D78" s="5">
        <f>'balance_raw'!$D$55</f>
        <v/>
      </c>
      <c r="E78" s="5">
        <f>'balance_raw'!$E$55</f>
        <v/>
      </c>
      <c r="F78" s="5">
        <f>'balance_raw'!$F$55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'balance_raw'!$B$56</f>
        <v/>
      </c>
      <c r="C79" s="8">
        <f>'balance_raw'!$C$56</f>
        <v/>
      </c>
      <c r="D79" s="8">
        <f>'balance_raw'!$D$56</f>
        <v/>
      </c>
      <c r="E79" s="8">
        <f>'balance_raw'!$E$56</f>
        <v/>
      </c>
      <c r="F79" s="8">
        <f>'balance_raw'!$F$56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'balance_raw'!$B$57</f>
        <v/>
      </c>
      <c r="C80" s="11">
        <f>'balance_raw'!$C$57</f>
        <v/>
      </c>
      <c r="D80" s="11">
        <f>'balance_raw'!$D$57</f>
        <v/>
      </c>
      <c r="E80" s="11">
        <f>'balance_raw'!$E$57</f>
        <v/>
      </c>
      <c r="F80" s="11">
        <f>'balance_raw'!$F$57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'balance_raw'!$B$58</f>
        <v/>
      </c>
      <c r="C81" s="11">
        <f>'balance_raw'!$C$58</f>
        <v/>
      </c>
      <c r="D81" s="11">
        <f>'balance_raw'!$D$58</f>
        <v/>
      </c>
      <c r="E81" s="11">
        <f>'balance_raw'!$E$58</f>
        <v/>
      </c>
      <c r="F81" s="11">
        <f>'balance_raw'!$F$58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'balance_raw'!$B$59</f>
        <v/>
      </c>
      <c r="C82" s="11">
        <f>'balance_raw'!$C$59</f>
        <v/>
      </c>
      <c r="D82" s="11">
        <f>'balance_raw'!$D$59</f>
        <v/>
      </c>
      <c r="E82" s="11">
        <f>'balance_raw'!$E$59</f>
        <v/>
      </c>
      <c r="F82" s="11">
        <f>'balance_raw'!$F$59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2020</v>
      </c>
      <c r="C84" s="3" t="n">
        <v>2021</v>
      </c>
      <c r="D84" s="3" t="n">
        <v>2022</v>
      </c>
      <c r="E84" s="3" t="n">
        <v>2023</v>
      </c>
      <c r="F84" s="3" t="n">
        <v>2024</v>
      </c>
    </row>
    <row r="85" ht="16" customHeight="1">
      <c r="A85" s="7" t="inlineStr">
        <is>
          <t>Gns. antal medarbejdere</t>
        </is>
      </c>
      <c r="B85" s="8">
        <f>'res_raw'!$B$19</f>
        <v/>
      </c>
      <c r="C85" s="8">
        <f>'res_raw'!$C$19</f>
        <v/>
      </c>
      <c r="D85" s="8">
        <f>'res_raw'!$D$19</f>
        <v/>
      </c>
      <c r="E85" s="8">
        <f>'res_raw'!$E$19</f>
        <v/>
      </c>
      <c r="F85" s="8">
        <f>'res_raw'!$F$19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'res_raw'!$B$20</f>
        <v/>
      </c>
      <c r="C86" s="5">
        <f>'res_raw'!$C$20</f>
        <v/>
      </c>
      <c r="D86" s="5">
        <f>'res_raw'!$D$20</f>
        <v/>
      </c>
      <c r="E86" s="5">
        <f>'res_raw'!$E$20</f>
        <v/>
      </c>
      <c r="F86" s="5">
        <f>'res_raw'!$F$20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2020</v>
      </c>
      <c r="C88" s="3" t="n">
        <v>2021</v>
      </c>
      <c r="D88" s="3" t="n">
        <v>2022</v>
      </c>
      <c r="E88" s="3" t="n">
        <v>2023</v>
      </c>
      <c r="F88" s="3" t="n">
        <v>2024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477700</v>
      </c>
      <c r="C2" s="16" t="n">
        <v>719300</v>
      </c>
      <c r="D2" s="16" t="n">
        <v>1130100</v>
      </c>
      <c r="E2" s="16" t="n">
        <v>1213800</v>
      </c>
      <c r="F2" s="16" t="n">
        <v>1320900</v>
      </c>
    </row>
    <row r="3">
      <c r="A3" s="15" t="inlineStr">
        <is>
          <t>Andre driftsindtægter</t>
        </is>
      </c>
      <c r="B3" s="16" t="n">
        <v>187300</v>
      </c>
      <c r="C3" s="16" t="n">
        <v>85900</v>
      </c>
      <c r="D3" s="16" t="n">
        <v>11700</v>
      </c>
      <c r="E3" s="16" t="n">
        <v>5000</v>
      </c>
      <c r="F3" s="16" t="n">
        <v>10500</v>
      </c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>
        <v>925100</v>
      </c>
      <c r="E5" s="16" t="n">
        <v>990700</v>
      </c>
      <c r="F5" s="16" t="n">
        <v>1060200</v>
      </c>
    </row>
    <row r="6">
      <c r="A6" s="17" t="inlineStr">
        <is>
          <t>Bruttoresultat</t>
        </is>
      </c>
      <c r="B6" s="16" t="n"/>
      <c r="C6" s="16" t="n"/>
      <c r="D6" s="16" t="n"/>
      <c r="E6" s="16" t="n"/>
      <c r="F6" s="16" t="n"/>
    </row>
    <row r="7">
      <c r="A7" s="15" t="inlineStr">
        <is>
          <t>Personaleomkostninger</t>
        </is>
      </c>
      <c r="B7" s="16" t="n">
        <v>435900</v>
      </c>
      <c r="C7" s="16" t="n">
        <v>412200</v>
      </c>
      <c r="D7" s="16" t="n">
        <v>504300</v>
      </c>
      <c r="E7" s="16" t="n">
        <v>544500</v>
      </c>
      <c r="F7" s="16" t="n">
        <v>594500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133200</v>
      </c>
      <c r="C9" s="16" t="n">
        <v>122200</v>
      </c>
      <c r="D9" s="16" t="n">
        <v>119200</v>
      </c>
      <c r="E9" s="16" t="n">
        <v>109500</v>
      </c>
      <c r="F9" s="16" t="n">
        <v>108700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-175000</v>
      </c>
      <c r="C11" s="16" t="n">
        <v>-35600</v>
      </c>
      <c r="D11" s="16" t="n">
        <v>97500</v>
      </c>
      <c r="E11" s="16" t="n">
        <v>118600</v>
      </c>
      <c r="F11" s="16" t="n">
        <v>162500</v>
      </c>
    </row>
    <row r="12">
      <c r="A12" s="15" t="inlineStr">
        <is>
          <t>Indtægter af kapitalandele, dattervirksomheder</t>
        </is>
      </c>
      <c r="B12" s="16" t="n">
        <v>200</v>
      </c>
      <c r="C12" s="16" t="n">
        <v>-200</v>
      </c>
      <c r="D12" s="16" t="n">
        <v>-200</v>
      </c>
      <c r="E12" s="16" t="n">
        <v>-200</v>
      </c>
      <c r="F12" s="16" t="n">
        <v>-200</v>
      </c>
    </row>
    <row r="13">
      <c r="A13" s="15" t="inlineStr">
        <is>
          <t>Finansielle indtægter</t>
        </is>
      </c>
      <c r="B13" s="16" t="n">
        <v>300</v>
      </c>
      <c r="C13" s="16" t="n">
        <v>100</v>
      </c>
      <c r="D13" s="16" t="n">
        <v>800</v>
      </c>
      <c r="E13" s="16" t="n">
        <v>1400</v>
      </c>
      <c r="F13" s="16" t="n">
        <v>1300</v>
      </c>
    </row>
    <row r="14">
      <c r="A14" s="15" t="inlineStr">
        <is>
          <t>Finansielle omkostninger</t>
        </is>
      </c>
      <c r="B14" s="16" t="n">
        <v>10600</v>
      </c>
      <c r="C14" s="16" t="n">
        <v>11900</v>
      </c>
      <c r="D14" s="16" t="n">
        <v>10600</v>
      </c>
      <c r="E14" s="16" t="n">
        <v>8700</v>
      </c>
      <c r="F14" s="16" t="n">
        <v>8200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-185100</v>
      </c>
      <c r="C16" s="16" t="n">
        <v>-47600</v>
      </c>
      <c r="D16" s="16" t="n">
        <v>87500</v>
      </c>
      <c r="E16" s="16" t="n">
        <v>111100</v>
      </c>
      <c r="F16" s="16" t="n">
        <v>155400</v>
      </c>
    </row>
    <row r="17">
      <c r="A17" s="15" t="inlineStr">
        <is>
          <t>Skat af årets resultat</t>
        </is>
      </c>
      <c r="B17" s="16" t="n">
        <v>-42200</v>
      </c>
      <c r="C17" s="16" t="n">
        <v>-6100</v>
      </c>
      <c r="D17" s="16" t="n">
        <v>22400</v>
      </c>
      <c r="E17" s="16" t="n">
        <v>24800</v>
      </c>
      <c r="F17" s="16" t="n">
        <v>31800</v>
      </c>
    </row>
    <row r="18">
      <c r="A18" s="17" t="inlineStr">
        <is>
          <t>Årets resultat</t>
        </is>
      </c>
      <c r="B18" s="16" t="n">
        <v>-142900</v>
      </c>
      <c r="C18" s="16" t="n">
        <v>-41500</v>
      </c>
      <c r="D18" s="16" t="n">
        <v>65100</v>
      </c>
      <c r="E18" s="16" t="n">
        <v>86300</v>
      </c>
      <c r="F18" s="16" t="n">
        <v>123600</v>
      </c>
    </row>
    <row r="19">
      <c r="A19" s="15" t="inlineStr">
        <is>
          <t>Gns. antal medarbejdere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>
        <v>4600</v>
      </c>
      <c r="C2" s="16" t="n">
        <v>10900</v>
      </c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35000</v>
      </c>
      <c r="C5" s="16" t="n">
        <v>38800</v>
      </c>
      <c r="D5" s="16" t="n">
        <v>43200</v>
      </c>
      <c r="E5" s="16" t="n">
        <v>47700</v>
      </c>
      <c r="F5" s="16" t="n">
        <v>56600</v>
      </c>
    </row>
    <row r="6">
      <c r="A6" s="15" t="inlineStr">
        <is>
          <t>Grunde og bygninger</t>
        </is>
      </c>
      <c r="B6" s="16" t="n">
        <v>1096300</v>
      </c>
      <c r="C6" s="16" t="n">
        <v>1114600</v>
      </c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/>
      <c r="C8" s="16" t="n"/>
      <c r="D8" s="16" t="n"/>
      <c r="E8" s="16" t="n"/>
      <c r="F8" s="16" t="n"/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276400</v>
      </c>
      <c r="C11" s="16" t="n">
        <v>245500</v>
      </c>
      <c r="D11" s="16" t="n">
        <v>1344200</v>
      </c>
      <c r="E11" s="16" t="n">
        <v>1366800</v>
      </c>
      <c r="F11" s="16" t="n">
        <v>1428300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16500</v>
      </c>
      <c r="C13" s="16" t="n">
        <v>15600</v>
      </c>
      <c r="D13" s="16" t="n">
        <v>15200</v>
      </c>
      <c r="E13" s="16" t="n">
        <v>14800</v>
      </c>
      <c r="F13" s="16" t="n">
        <v>14400</v>
      </c>
    </row>
    <row r="14">
      <c r="A14" s="17" t="inlineStr">
        <is>
          <t>Finansielle anlægsaktiver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Anlægsaktiver</t>
        </is>
      </c>
      <c r="B15" s="16" t="n">
        <v>1532200</v>
      </c>
      <c r="C15" s="16" t="n">
        <v>1501800</v>
      </c>
      <c r="D15" s="16" t="n">
        <v>1490400</v>
      </c>
      <c r="E15" s="16" t="n">
        <v>1505900</v>
      </c>
      <c r="F15" s="16" t="n">
        <v>1569700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12200</v>
      </c>
      <c r="C18" s="16" t="n">
        <v>12200</v>
      </c>
      <c r="D18" s="16" t="n">
        <v>14100</v>
      </c>
      <c r="E18" s="16" t="n">
        <v>14500</v>
      </c>
      <c r="F18" s="16" t="n"/>
    </row>
    <row r="19">
      <c r="A19" s="17" t="inlineStr">
        <is>
          <t>Varebeholdninger</t>
        </is>
      </c>
      <c r="B19" s="16" t="n">
        <v>12200</v>
      </c>
      <c r="C19" s="16" t="n">
        <v>12200</v>
      </c>
      <c r="D19" s="16" t="n">
        <v>14100</v>
      </c>
      <c r="E19" s="16" t="n">
        <v>14500</v>
      </c>
      <c r="F19" s="16" t="n">
        <v>19500</v>
      </c>
    </row>
    <row r="20">
      <c r="A20" s="15" t="inlineStr">
        <is>
          <t>Tilgodehavender fra salg og tjenesteydelser</t>
        </is>
      </c>
      <c r="B20" s="16" t="n">
        <v>9500</v>
      </c>
      <c r="C20" s="16" t="n">
        <v>19500</v>
      </c>
      <c r="D20" s="16" t="n">
        <v>33300</v>
      </c>
      <c r="E20" s="16" t="n">
        <v>34200</v>
      </c>
      <c r="F20" s="16" t="n">
        <v>40500</v>
      </c>
    </row>
    <row r="21">
      <c r="A21" s="15" t="inlineStr">
        <is>
          <t>Tilgodehavender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Andre tilgodehavender</t>
        </is>
      </c>
      <c r="B22" s="16" t="n">
        <v>0</v>
      </c>
      <c r="C22" s="16" t="n">
        <v>0</v>
      </c>
      <c r="D22" s="16" t="n"/>
      <c r="E22" s="16" t="n"/>
      <c r="F22" s="16" t="n"/>
    </row>
    <row r="23">
      <c r="A23" s="15" t="inlineStr">
        <is>
          <t>Periodeafgrænsningsposter (aktiver)</t>
        </is>
      </c>
      <c r="B23" s="16" t="n"/>
      <c r="C23" s="16" t="n">
        <v>6800</v>
      </c>
      <c r="D23" s="16" t="n">
        <v>6200</v>
      </c>
      <c r="E23" s="16" t="n">
        <v>13400</v>
      </c>
      <c r="F23" s="16" t="n">
        <v>14000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65800</v>
      </c>
      <c r="C26" s="16" t="n">
        <v>0</v>
      </c>
      <c r="D26" s="16" t="n"/>
      <c r="E26" s="16" t="n"/>
      <c r="F26" s="16" t="n">
        <v>3000</v>
      </c>
    </row>
    <row r="27">
      <c r="A27" s="17" t="inlineStr">
        <is>
          <t>Tilgodehavender</t>
        </is>
      </c>
      <c r="B27" s="16" t="n">
        <v>83600</v>
      </c>
      <c r="C27" s="16" t="n">
        <v>18200</v>
      </c>
      <c r="D27" s="16" t="n">
        <v>65900</v>
      </c>
      <c r="E27" s="16" t="n">
        <v>62300</v>
      </c>
      <c r="F27" s="16" t="n">
        <v>71200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178000</v>
      </c>
      <c r="C29" s="16" t="n">
        <v>24800</v>
      </c>
      <c r="D29" s="16" t="n">
        <v>63700</v>
      </c>
      <c r="E29" s="16" t="n">
        <v>75600</v>
      </c>
      <c r="F29" s="16" t="n">
        <v>74800</v>
      </c>
    </row>
    <row r="30">
      <c r="A30" s="17" t="inlineStr">
        <is>
          <t>Omsætningsaktiver</t>
        </is>
      </c>
      <c r="B30" s="16" t="n">
        <v>206900</v>
      </c>
      <c r="C30" s="16" t="n">
        <v>74900</v>
      </c>
      <c r="D30" s="16" t="n">
        <v>183200</v>
      </c>
      <c r="E30" s="16" t="n">
        <v>200000</v>
      </c>
      <c r="F30" s="16" t="n">
        <v>222900</v>
      </c>
    </row>
    <row r="31">
      <c r="A31" s="17" t="inlineStr">
        <is>
          <t>Aktiver</t>
        </is>
      </c>
      <c r="B31" s="16" t="n">
        <v>1739100</v>
      </c>
      <c r="C31" s="16" t="n">
        <v>1576700</v>
      </c>
      <c r="D31" s="16" t="n">
        <v>1673600</v>
      </c>
      <c r="E31" s="16" t="n">
        <v>1705900</v>
      </c>
      <c r="F31" s="16" t="n">
        <v>1792600</v>
      </c>
    </row>
    <row r="32">
      <c r="A32" s="15" t="inlineStr">
        <is>
          <t>Selskabskapital</t>
        </is>
      </c>
      <c r="B32" s="16" t="n">
        <v>57200</v>
      </c>
      <c r="C32" s="16" t="n">
        <v>57200</v>
      </c>
      <c r="D32" s="16" t="n">
        <v>57200</v>
      </c>
      <c r="E32" s="16" t="n">
        <v>57200</v>
      </c>
      <c r="F32" s="16" t="n">
        <v>57200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>
        <v>23300</v>
      </c>
      <c r="E36" s="16" t="n">
        <v>14000</v>
      </c>
      <c r="F36" s="16" t="n">
        <v>9800</v>
      </c>
    </row>
    <row r="37">
      <c r="A37" s="15" t="inlineStr">
        <is>
          <t>Overført resultat</t>
        </is>
      </c>
      <c r="B37" s="16" t="n"/>
      <c r="C37" s="16" t="n"/>
      <c r="D37" s="16" t="n">
        <v>891600</v>
      </c>
      <c r="E37" s="16" t="n">
        <v>956300</v>
      </c>
      <c r="F37" s="16" t="n">
        <v>1049000</v>
      </c>
    </row>
    <row r="38">
      <c r="A38" s="17" t="inlineStr">
        <is>
          <t>Egenkapital i alt</t>
        </is>
      </c>
      <c r="B38" s="16" t="n">
        <v>902900</v>
      </c>
      <c r="C38" s="16" t="n">
        <v>876600</v>
      </c>
      <c r="D38" s="16" t="n">
        <v>988400</v>
      </c>
      <c r="E38" s="16" t="n">
        <v>1049100</v>
      </c>
      <c r="F38" s="16" t="n">
        <v>1146900</v>
      </c>
    </row>
    <row r="39">
      <c r="A39" s="15" t="inlineStr">
        <is>
          <t>Hensættelse til udskudt skat</t>
        </is>
      </c>
      <c r="B39" s="16" t="n">
        <v>54600</v>
      </c>
      <c r="C39" s="16" t="n">
        <v>50400</v>
      </c>
      <c r="D39" s="16" t="n">
        <v>53400</v>
      </c>
      <c r="E39" s="16" t="n">
        <v>53600</v>
      </c>
      <c r="F39" s="16" t="n">
        <v>54200</v>
      </c>
    </row>
    <row r="40">
      <c r="A40" s="17" t="inlineStr">
        <is>
          <t>Hensatte forpligtelser</t>
        </is>
      </c>
      <c r="B40" s="16" t="n">
        <v>54600</v>
      </c>
      <c r="C40" s="16" t="n">
        <v>50400</v>
      </c>
      <c r="D40" s="16" t="n">
        <v>53400</v>
      </c>
      <c r="E40" s="16" t="n">
        <v>53600</v>
      </c>
      <c r="F40" s="16" t="n">
        <v>54200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>
        <v>66200</v>
      </c>
      <c r="C43" s="16" t="n">
        <v>59100</v>
      </c>
      <c r="D43" s="16" t="n">
        <v>63200</v>
      </c>
      <c r="E43" s="16" t="n">
        <v>52500</v>
      </c>
      <c r="F43" s="16" t="n">
        <v>46300</v>
      </c>
    </row>
    <row r="44">
      <c r="A44" s="15" t="inlineStr">
        <is>
          <t>Anden gæld (langfristet)</t>
        </is>
      </c>
      <c r="B44" s="16" t="n"/>
      <c r="C44" s="16" t="n">
        <v>18300</v>
      </c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>
        <v>436200</v>
      </c>
      <c r="C45" s="16" t="n">
        <v>292700</v>
      </c>
      <c r="D45" s="16" t="n">
        <v>275400</v>
      </c>
      <c r="E45" s="16" t="n">
        <v>262300</v>
      </c>
      <c r="F45" s="16" t="n">
        <v>239800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/>
      <c r="C48" s="16" t="n">
        <v>22800</v>
      </c>
      <c r="D48" s="16" t="n">
        <v>17500</v>
      </c>
      <c r="E48" s="16" t="n">
        <v>16800</v>
      </c>
      <c r="F48" s="16" t="n">
        <v>22400</v>
      </c>
    </row>
    <row r="49">
      <c r="A49" s="15" t="inlineStr">
        <is>
          <t>Leasingforpligtelser (kortfristet)</t>
        </is>
      </c>
      <c r="B49" s="16" t="n">
        <v>10600</v>
      </c>
      <c r="C49" s="16" t="n">
        <v>10800</v>
      </c>
      <c r="D49" s="16" t="n">
        <v>13400</v>
      </c>
      <c r="E49" s="16" t="n">
        <v>13600</v>
      </c>
      <c r="F49" s="16" t="n">
        <v>14900</v>
      </c>
    </row>
    <row r="50">
      <c r="A50" s="15" t="inlineStr">
        <is>
          <t>Leverandører af varer og tjenesteydelser</t>
        </is>
      </c>
      <c r="B50" s="16" t="n">
        <v>28700</v>
      </c>
      <c r="C50" s="16" t="n">
        <v>35100</v>
      </c>
      <c r="D50" s="16" t="n">
        <v>45400</v>
      </c>
      <c r="E50" s="16" t="n">
        <v>45100</v>
      </c>
      <c r="F50" s="16" t="n">
        <v>57700</v>
      </c>
    </row>
    <row r="51">
      <c r="A51" s="15" t="inlineStr">
        <is>
          <t>Gæld til tilknyttede virksomheder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/>
      <c r="D53" s="16" t="n"/>
      <c r="E53" s="16" t="n"/>
      <c r="F53" s="16" t="n"/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170200</v>
      </c>
      <c r="C55" s="16" t="n">
        <v>127600</v>
      </c>
      <c r="D55" s="16" t="n">
        <v>114000</v>
      </c>
      <c r="E55" s="16" t="n">
        <v>118800</v>
      </c>
      <c r="F55" s="16" t="n">
        <v>110100</v>
      </c>
    </row>
    <row r="56">
      <c r="A56" s="15" t="inlineStr">
        <is>
          <t>Periodeafgrænsningsposter (passiver)</t>
        </is>
      </c>
      <c r="B56" s="16" t="n"/>
      <c r="C56" s="16" t="n"/>
      <c r="D56" s="16" t="n">
        <v>98800</v>
      </c>
      <c r="E56" s="16" t="n">
        <v>93100</v>
      </c>
      <c r="F56" s="16" t="n">
        <v>100200</v>
      </c>
    </row>
    <row r="57">
      <c r="A57" s="17" t="inlineStr">
        <is>
          <t>Kortfristede gældsforpligtelser</t>
        </is>
      </c>
      <c r="B57" s="16" t="n">
        <v>400000</v>
      </c>
      <c r="C57" s="16" t="n">
        <v>279600</v>
      </c>
      <c r="D57" s="16" t="n">
        <v>293200</v>
      </c>
      <c r="E57" s="16" t="n">
        <v>288400</v>
      </c>
      <c r="F57" s="16" t="n">
        <v>305400</v>
      </c>
    </row>
    <row r="58">
      <c r="A58" s="17" t="inlineStr">
        <is>
          <t>Gældsforpligtelser</t>
        </is>
      </c>
      <c r="B58" s="16" t="n">
        <v>836200</v>
      </c>
      <c r="C58" s="16" t="n">
        <v>572300</v>
      </c>
      <c r="D58" s="16" t="n">
        <v>568600</v>
      </c>
      <c r="E58" s="16" t="n">
        <v>550700</v>
      </c>
      <c r="F58" s="16" t="n">
        <v>545200</v>
      </c>
    </row>
    <row r="59">
      <c r="A59" s="17" t="inlineStr">
        <is>
          <t>Passiver</t>
        </is>
      </c>
      <c r="B59" s="16" t="n">
        <v>1739100</v>
      </c>
      <c r="C59" s="16" t="n">
        <v>1576700</v>
      </c>
      <c r="D59" s="16" t="n">
        <v>1673600</v>
      </c>
      <c r="E59" s="16" t="n">
        <v>1705900</v>
      </c>
      <c r="F59" s="16" t="n">
        <v>1792600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'balance_raw'!$F$15</f>
        <v/>
      </c>
      <c r="C19" s="24">
        <f>'balance_raw'!$E$15</f>
        <v/>
      </c>
      <c r="D19" s="24">
        <f>'balance_raw'!$D$15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'balance_raw'!$F$30</f>
        <v/>
      </c>
      <c r="C20" s="24">
        <f>'balance_raw'!$E$30</f>
        <v/>
      </c>
      <c r="D20" s="24">
        <f>'balance_raw'!$D$30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'balance_raw'!$F$38</f>
        <v/>
      </c>
      <c r="C23" s="24">
        <f>'balance_raw'!$E$38</f>
        <v/>
      </c>
      <c r="D23" s="24">
        <f>'balance_raw'!$D$38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'balance_raw'!$F$59-'balance_raw'!$F$38</f>
        <v/>
      </c>
      <c r="C24" s="24">
        <f>'balance_raw'!$E$59-'balance_raw'!$E$38</f>
        <v/>
      </c>
      <c r="D24" s="24">
        <f>'balance_raw'!$D$59-'balance_raw'!$D$38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'balance_raw'!$F$19</f>
        <v/>
      </c>
      <c r="C28" s="24">
        <f>'balance_raw'!$E$19</f>
        <v/>
      </c>
      <c r="D28" s="24">
        <f>'balance_raw'!$D$19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'balance_raw'!$F$20</f>
        <v/>
      </c>
      <c r="C29" s="24">
        <f>'balance_raw'!$E$20</f>
        <v/>
      </c>
      <c r="D29" s="24">
        <f>'balance_raw'!$D$20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'balance_raw'!$F$57</f>
        <v/>
      </c>
      <c r="C30" s="24">
        <f>'balance_raw'!$E$57</f>
        <v/>
      </c>
      <c r="D30" s="24">
        <f>'balance_raw'!$D$57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IF('balance_raw'!$F$31="","—",IF(ABS(B21-'balance_raw'!$F$31)&lt;=1,"✓ OK","❌ "&amp;TEXT(B21-'balance_raw'!$F$31,"+#,##0;-#,##0")&amp;" t.kr."))</f>
        <v/>
      </c>
      <c r="C61" s="29">
        <f>IF('balance_raw'!$E$31="","—",IF(ABS(C21-'balance_raw'!$E$31)&lt;=1,"✓ OK","❌ "&amp;TEXT(C21-'balance_raw'!$E$31,"+#,##0;-#,##0")&amp;" t.kr."))</f>
        <v/>
      </c>
      <c r="D61" s="29">
        <f>IF('balance_raw'!$D$31="","—",IF(ABS(D21-'balance_raw'!$D$31)&lt;=1,"✓ OK","❌ "&amp;TEXT(D21-'balance_raw'!$D$31,"+#,##0;-#,##0")&amp;"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IF('balance_raw'!$F$59="","—",IF(ABS(B25-'balance_raw'!$F$59)&lt;=1,"✓ OK","❌ "&amp;TEXT(B25-'balance_raw'!$F$59,"+#,##0;-#,##0")&amp;" t.kr."))</f>
        <v/>
      </c>
      <c r="C62" s="29">
        <f>IF('balance_raw'!$E$59="","—",IF(ABS(C25-'balance_raw'!$E$59)&lt;=1,"✓ OK","❌ "&amp;TEXT(C25-'balance_raw'!$E$59,"+#,##0;-#,##0")&amp;" t.kr."))</f>
        <v/>
      </c>
      <c r="D62" s="29">
        <f>IF('balance_raw'!$D$59="","—",IF(ABS(D25-'balance_raw'!$D$59)&lt;=1,"✓ OK","❌ "&amp;TEXT(D25-'balance_raw'!$D$59,"+#,##0;-#,##0")&amp;"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t.kr."))</f>
        <v/>
      </c>
      <c r="C64" s="29">
        <f>IF('res_raw'!$E$6="","—",IF(ABS(C9-'res_raw'!$E$6)&lt;=1,"✓ OK","❌ "&amp;TEXT(C9-'res_raw'!$E$6,"+#,##0;-#,##0")&amp;" t.kr."))</f>
        <v/>
      </c>
      <c r="D64" s="29">
        <f>IF('res_raw'!$D$6="","—",IF(ABS(D9-'res_raw'!$D$6)&lt;=1,"✓ OK","❌ "&amp;TEXT(D9-'res_raw'!$D$6,"+#,##0;-#,##0")&amp;"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t.kr."))</f>
        <v/>
      </c>
      <c r="C65" s="29">
        <f>IF('res_raw'!$E$11="","—",IF(ABS(C13-'res_raw'!$E$11)&lt;=1,"✓ OK","❌ "&amp;TEXT(C13-'res_raw'!$E$11,"+#,##0;-#,##0")&amp;" t.kr."))</f>
        <v/>
      </c>
      <c r="D65" s="29">
        <f>IF('res_raw'!$D$11="","—",IF(ABS(D13-'res_raw'!$D$11)&lt;=1,"✓ OK","❌ "&amp;TEXT(D13-'res_raw'!$D$11,"+#,##0;-#,##0")&amp;"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t.kr."))</f>
        <v/>
      </c>
      <c r="C66" s="29">
        <f>IF('res_raw'!$E$16="","—",IF(ABS(C16-'res_raw'!$E$16)&lt;=1,"✓ OK","❌ "&amp;TEXT(C16-'res_raw'!$E$16,"+#,##0;-#,##0")&amp;" t.kr."))</f>
        <v/>
      </c>
      <c r="D66" s="29">
        <f>IF('res_raw'!$D$16="","—",IF(ABS(D16-'res_raw'!$D$16)&lt;=1,"✓ OK","❌ "&amp;TEXT(D16-'res_raw'!$D$16,"+#,##0;-#,##0")&amp;"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ifrs-full:ComputerSoftware</t>
        </is>
      </c>
      <c r="C3" s="34" t="inlineStr">
        <is>
          <t>ifrs-full:ComputerSoftware</t>
        </is>
      </c>
      <c r="D3" s="35" t="n">
        <v>29700</v>
      </c>
      <c r="E3" s="35" t="n">
        <v>27600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ifrs-full:CopyrightsPatentsAndOtherIndustrialPropertyRightsServiceAndOperatingRights</t>
        </is>
      </c>
      <c r="C4" s="37" t="inlineStr">
        <is>
          <t>ifrs-full:CopyrightsPatentsAndOtherIndustrialPropertyRightsServiceAndOperatingRights</t>
        </is>
      </c>
      <c r="D4" s="38" t="n">
        <v>700</v>
      </c>
      <c r="E4" s="38" t="n">
        <v>300</v>
      </c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ifrs-full:CurrentFinancialLiabilitiesAtAmortisedCost</t>
        </is>
      </c>
      <c r="C5" s="34" t="inlineStr">
        <is>
          <t>ifrs-full:CurrentFinancialLiabilitiesAtAmortisedCost</t>
        </is>
      </c>
      <c r="D5" s="35" t="n">
        <v>22800</v>
      </c>
      <c r="E5" s="35" t="n"/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ifrs-full:NoncurrentFinancialLiabilitiesAtAmortisedCost</t>
        </is>
      </c>
      <c r="C6" s="37" t="inlineStr">
        <is>
          <t>ifrs-full:NoncurrentFinancialLiabilitiesAtAmortisedCost</t>
        </is>
      </c>
      <c r="D6" s="38" t="n">
        <v>315400</v>
      </c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ifrs-full:PrepaymentsAndAccruedIncome</t>
        </is>
      </c>
      <c r="C7" s="34" t="inlineStr">
        <is>
          <t>ifrs-full:PrepaymentsAndAccruedIncome</t>
        </is>
      </c>
      <c r="D7" s="35" t="n">
        <v>6100</v>
      </c>
      <c r="E7" s="35" t="n"/>
      <c r="F7" s="35" t="n"/>
      <c r="G7" s="35" t="n"/>
      <c r="H7" s="35" t="n"/>
      <c r="I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2026-09-07T18:58:14Z</dcterms:created>
  <dcterms:modified xmlns:dcterms="http://purl.org/dc/terms/" xmlns:xsi="http://www.w3.org/2001/XMLSchema-instance" xsi:type="dcterms:W3CDTF">2026-09-07T18:58:14Z</dcterms:modified>
</cp:coreProperties>
</file>