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flugger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'balance_raw'!$B$12</f>
        <v/>
      </c>
      <c r="C31" s="8">
        <f>'balance_raw'!$C$12</f>
        <v/>
      </c>
      <c r="D31" s="8">
        <f>'balance_raw'!$D$12</f>
        <v/>
      </c>
      <c r="E31" s="8">
        <f>'balance_raw'!$E$12</f>
        <v/>
      </c>
      <c r="F31" s="8">
        <f>'balance_raw'!$F$12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Varebeholdninger</t>
        </is>
      </c>
      <c r="B32" s="8">
        <f>'balance_raw'!$B$13</f>
        <v/>
      </c>
      <c r="C32" s="8">
        <f>'balance_raw'!$C$13</f>
        <v/>
      </c>
      <c r="D32" s="8">
        <f>'balance_raw'!$D$13</f>
        <v/>
      </c>
      <c r="E32" s="8">
        <f>'balance_raw'!$E$13</f>
        <v/>
      </c>
      <c r="F32" s="8">
        <f>'balance_raw'!$F$13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10" t="inlineStr">
        <is>
          <t>Tilgodehavender fra salg og tjenesteydelser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Andre tilgodehavender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Udskudt skatteaktiv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'balance_raw'!$B$19</f>
        <v/>
      </c>
      <c r="C38" s="5">
        <f>'balance_raw'!$C$19</f>
        <v/>
      </c>
      <c r="D38" s="5">
        <f>'balance_raw'!$D$19</f>
        <v/>
      </c>
      <c r="E38" s="5">
        <f>'balance_raw'!$E$19</f>
        <v/>
      </c>
      <c r="F38" s="5">
        <f>'balance_raw'!$F$19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Kortfristede skattetilgodehavender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7" t="inlineStr">
        <is>
          <t>Tilgodehavender</t>
        </is>
      </c>
      <c r="B40" s="8">
        <f>'balance_raw'!$B$21</f>
        <v/>
      </c>
      <c r="C40" s="8">
        <f>'balance_raw'!$C$21</f>
        <v/>
      </c>
      <c r="D40" s="8">
        <f>'balance_raw'!$D$21</f>
        <v/>
      </c>
      <c r="E40" s="8">
        <f>'balance_raw'!$E$21</f>
        <v/>
      </c>
      <c r="F40" s="8">
        <f>'balance_raw'!$F$21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1" ht="16" customHeight="1">
      <c r="A41" s="10" t="inlineStr">
        <is>
          <t>Værdipapirer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Omsætningsaktiver</t>
        </is>
      </c>
      <c r="B43" s="8">
        <f>'balance_raw'!$B$24</f>
        <v/>
      </c>
      <c r="C43" s="8">
        <f>'balance_raw'!$C$24</f>
        <v/>
      </c>
      <c r="D43" s="8">
        <f>'balance_raw'!$D$24</f>
        <v/>
      </c>
      <c r="E43" s="8">
        <f>'balance_raw'!$E$24</f>
        <v/>
      </c>
      <c r="F43" s="8">
        <f>'balance_raw'!$F$24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7" t="inlineStr">
        <is>
          <t>Aktiver</t>
        </is>
      </c>
      <c r="B44" s="8">
        <f>'balance_raw'!$B$25</f>
        <v/>
      </c>
      <c r="C44" s="8">
        <f>'balance_raw'!$C$25</f>
        <v/>
      </c>
      <c r="D44" s="8">
        <f>'balance_raw'!$D$25</f>
        <v/>
      </c>
      <c r="E44" s="8">
        <f>'balance_raw'!$E$25</f>
        <v/>
      </c>
      <c r="F44" s="8">
        <f>'balance_raw'!$F$25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10" t="inlineStr">
        <is>
          <t>Selskabskapital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udviklingsomkostninger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Andre reserver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Egenkapital i alt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Hensatte 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lån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Anden gæld (langfristet)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Langfristede gældsforpligtelser</t>
        </is>
      </c>
      <c r="B60" s="8">
        <f>'balance_raw'!$B$39</f>
        <v/>
      </c>
      <c r="C60" s="8">
        <f>'balance_raw'!$C$39</f>
        <v/>
      </c>
      <c r="D60" s="8">
        <f>'balance_raw'!$D$39</f>
        <v/>
      </c>
      <c r="E60" s="8">
        <f>'balance_raw'!$E$39</f>
        <v/>
      </c>
      <c r="F60" s="8">
        <f>'balance_raw'!$F$39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(kortfristet)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Kreditinstitutter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Leverandører af varer og tjenesteydelser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selskabsdeltagere og ledelse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Selskabsskat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 vedr. selskabsskat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Periodeafgrænsningsposter (passiver)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7" t="inlineStr">
        <is>
          <t>Kortfristede gældsforpligtelser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Gældsforpligtelser</t>
        </is>
      </c>
      <c r="B73" s="8">
        <f>'balance_raw'!$B$52</f>
        <v/>
      </c>
      <c r="C73" s="8">
        <f>'balance_raw'!$C$52</f>
        <v/>
      </c>
      <c r="D73" s="8">
        <f>'balance_raw'!$D$52</f>
        <v/>
      </c>
      <c r="E73" s="8">
        <f>'balance_raw'!$E$52</f>
        <v/>
      </c>
      <c r="F73" s="8">
        <f>'balance_raw'!$F$52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Passiver</t>
        </is>
      </c>
      <c r="B74" s="8">
        <f>'balance_raw'!$B$53</f>
        <v/>
      </c>
      <c r="C74" s="8">
        <f>'balance_raw'!$C$53</f>
        <v/>
      </c>
      <c r="D74" s="8">
        <f>'balance_raw'!$D$53</f>
        <v/>
      </c>
      <c r="E74" s="8">
        <f>'balance_raw'!$E$53</f>
        <v/>
      </c>
      <c r="F74" s="8">
        <f>'balance_raw'!$F$53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Gns. antal medarbejdere</t>
        </is>
      </c>
      <c r="B77" s="11">
        <f>'res_raw'!$B$17</f>
        <v/>
      </c>
      <c r="C77" s="11">
        <f>'res_raw'!$C$17</f>
        <v/>
      </c>
      <c r="D77" s="11">
        <f>'res_raw'!$D$17</f>
        <v/>
      </c>
      <c r="E77" s="11">
        <f>'res_raw'!$E$17</f>
        <v/>
      </c>
      <c r="F77" s="11">
        <f>'res_raw'!$F$17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'res_raw'!$B$18</f>
        <v/>
      </c>
      <c r="C78" s="5">
        <f>'res_raw'!$C$18</f>
        <v/>
      </c>
      <c r="D78" s="5">
        <f>'res_raw'!$D$18</f>
        <v/>
      </c>
      <c r="E78" s="5">
        <f>'res_raw'!$E$18</f>
        <v/>
      </c>
      <c r="F78" s="5">
        <f>'res_raw'!$F$18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Afkastningsgrad, %</t>
        </is>
      </c>
      <c r="B81" s="13">
        <f>IFERROR(($B$11+$B$13+$B$12)/$B$44*100,"")</f>
        <v/>
      </c>
      <c r="C81" s="13">
        <f>IFERROR(($C$11+$C$13+$C$12)/$C$44*100,"")</f>
        <v/>
      </c>
      <c r="D81" s="13">
        <f>IFERROR(($D$11+$D$13+$D$12)/$D$44*100,"")</f>
        <v/>
      </c>
      <c r="E81" s="13">
        <f>IFERROR(($E$11+$E$13+$E$12)/$E$44*100,"")</f>
        <v/>
      </c>
      <c r="F81" s="13">
        <f>IFERROR(($F$11+$F$13+$F$12)/$F$44*100,"")</f>
        <v/>
      </c>
    </row>
    <row r="82" ht="16" customHeight="1">
      <c r="A82" s="4" t="inlineStr">
        <is>
          <t>Overskudsgrad, %</t>
        </is>
      </c>
      <c r="B82" s="14">
        <f>IFERROR(($B$11+$B$13+$B$12)/$B$4*100,"")</f>
        <v/>
      </c>
      <c r="C82" s="14">
        <f>IFERROR(($C$11+$C$13+$C$12)/$C$4*100,"")</f>
        <v/>
      </c>
      <c r="D82" s="14">
        <f>IFERROR(($D$11+$D$13+$D$12)/$D$4*100,"")</f>
        <v/>
      </c>
      <c r="E82" s="14">
        <f>IFERROR(($E$11+$E$13+$E$12)/$E$4*100,"")</f>
        <v/>
      </c>
      <c r="F82" s="14">
        <f>IFERROR(($F$11+$F$13+$F$12)/$F$4*100,"")</f>
        <v/>
      </c>
    </row>
    <row r="83" ht="16" customHeight="1">
      <c r="A83" s="10" t="inlineStr">
        <is>
          <t>Aktivernes omsætningshastighed, gange</t>
        </is>
      </c>
      <c r="B83" s="13">
        <f>IFERROR($B$4/$B$44,"")</f>
        <v/>
      </c>
      <c r="C83" s="13">
        <f>IFERROR($C$4/$C$44,"")</f>
        <v/>
      </c>
      <c r="D83" s="13">
        <f>IFERROR($D$4/$D$44,"")</f>
        <v/>
      </c>
      <c r="E83" s="13">
        <f>IFERROR($E$4/$E$44,"")</f>
        <v/>
      </c>
      <c r="F83" s="13">
        <f>IFERROR($F$4/$F$44,"")</f>
        <v/>
      </c>
    </row>
    <row r="84" ht="16" customHeight="1">
      <c r="A84" s="4" t="inlineStr">
        <is>
          <t>Egenkapitalens forrentning, %</t>
        </is>
      </c>
      <c r="B84" s="14">
        <f>IFERROR($B$16/$B$53*100,"")</f>
        <v/>
      </c>
      <c r="C84" s="14">
        <f>IFERROR($C$16/$C$53*100,"")</f>
        <v/>
      </c>
      <c r="D84" s="14">
        <f>IFERROR($D$16/$D$53*100,"")</f>
        <v/>
      </c>
      <c r="E84" s="14">
        <f>IFERROR($E$16/$E$53*100,"")</f>
        <v/>
      </c>
      <c r="F84" s="14">
        <f>IFERROR($F$16/$F$53*100,"")</f>
        <v/>
      </c>
    </row>
    <row r="85" ht="16" customHeight="1">
      <c r="A85" s="10" t="inlineStr">
        <is>
          <t>Gældsrente, %</t>
        </is>
      </c>
      <c r="B85" s="13">
        <f>IFERROR($B$14/($B$74-$B$53)*100,"")</f>
        <v/>
      </c>
      <c r="C85" s="13">
        <f>IFERROR($C$14/($C$74-$C$53)*100,"")</f>
        <v/>
      </c>
      <c r="D85" s="13">
        <f>IFERROR($D$14/($D$74-$D$53)*100,"")</f>
        <v/>
      </c>
      <c r="E85" s="13">
        <f>IFERROR($E$14/($E$74-$E$53)*100,"")</f>
        <v/>
      </c>
      <c r="F85" s="13">
        <f>IFERROR($F$14/($F$74-$F$53)*100,"")</f>
        <v/>
      </c>
    </row>
    <row r="86" ht="16" customHeight="1">
      <c r="A86" s="4" t="inlineStr">
        <is>
          <t>Soliditetsgrad, %</t>
        </is>
      </c>
      <c r="B86" s="14">
        <f>IFERROR($B$53/$B$44*100,"")</f>
        <v/>
      </c>
      <c r="C86" s="14">
        <f>IFERROR($C$53/$C$44*100,"")</f>
        <v/>
      </c>
      <c r="D86" s="14">
        <f>IFERROR($D$53/$D$44*100,"")</f>
        <v/>
      </c>
      <c r="E86" s="14">
        <f>IFERROR($E$53/$E$44*100,"")</f>
        <v/>
      </c>
      <c r="F86" s="14">
        <f>IFERROR($F$53/$F$44*100,"")</f>
        <v/>
      </c>
    </row>
    <row r="87" ht="16" customHeight="1">
      <c r="A87" s="10" t="inlineStr">
        <is>
          <t>Gearing</t>
        </is>
      </c>
      <c r="B87" s="13">
        <f>IFERROR(($B$74-$B$53)/$B$53,"")</f>
        <v/>
      </c>
      <c r="C87" s="13">
        <f>IFERROR(($C$74-$C$53)/$C$53,"")</f>
        <v/>
      </c>
      <c r="D87" s="13">
        <f>IFERROR(($D$74-$D$53)/$D$53,"")</f>
        <v/>
      </c>
      <c r="E87" s="13">
        <f>IFERROR(($E$74-$E$53)/$E$53,"")</f>
        <v/>
      </c>
      <c r="F87" s="13">
        <f>IFERROR(($F$74-$F$53)/$F$53,"")</f>
        <v/>
      </c>
    </row>
    <row r="88" ht="16" customHeight="1">
      <c r="A88" s="4" t="inlineStr">
        <is>
          <t>Likviditetsgrad, %</t>
        </is>
      </c>
      <c r="B88" s="14">
        <f>IFERROR($B$43/$B$72*100,"")</f>
        <v/>
      </c>
      <c r="C88" s="14">
        <f>IFERROR($C$43/$C$72*100,"")</f>
        <v/>
      </c>
      <c r="D88" s="14">
        <f>IFERROR($D$43/$D$72*100,"")</f>
        <v/>
      </c>
      <c r="E88" s="14">
        <f>IFERROR($E$43/$E$72*100,"")</f>
        <v/>
      </c>
      <c r="F88" s="14">
        <f>IFERROR($F$43/$F$72*100,"")</f>
        <v/>
      </c>
    </row>
    <row r="89" ht="16" customHeight="1">
      <c r="A89" s="10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IFERROR(($B$74-$B$53)/$B$44*100,"")</f>
        <v/>
      </c>
      <c r="C90" s="14">
        <f>IFERROR(($C$74-$C$53)/$C$44*100,"")</f>
        <v/>
      </c>
      <c r="D90" s="14">
        <f>IFERROR(($D$74-$D$53)/$D$44*100,"")</f>
        <v/>
      </c>
      <c r="E90" s="14">
        <f>IFERROR(($E$74-$E$53)/$E$44*100,"")</f>
        <v/>
      </c>
      <c r="F90" s="14">
        <f>IFERROR(($F$74-$F$53)/$F$44*100,"")</f>
        <v/>
      </c>
    </row>
    <row r="91" ht="16" customHeight="1">
      <c r="A91" s="10" t="inlineStr">
        <is>
          <t>Kapitalbindingsgrad, %</t>
        </is>
      </c>
      <c r="B91" s="13">
        <f>IFERROR($B$31/($B$53+$B$60)*100,"")</f>
        <v/>
      </c>
      <c r="C91" s="13">
        <f>IFERROR($C$31/($C$53+$C$60)*100,"")</f>
        <v/>
      </c>
      <c r="D91" s="13">
        <f>IFERROR($D$31/($D$53+$D$60)*100,"")</f>
        <v/>
      </c>
      <c r="E91" s="13">
        <f>IFERROR($E$31/($E$53+$E$60)*100,"")</f>
        <v/>
      </c>
      <c r="F91" s="13">
        <f>IFERROR($F$31/($F$53+$F$60)*100,"")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'pengestrom_raw'!$B$2</f>
        <v/>
      </c>
      <c r="C94" s="17">
        <f>'pengestrom_raw'!$C$2</f>
        <v/>
      </c>
      <c r="D94" s="17">
        <f>'pengestrom_raw'!$D$2</f>
        <v/>
      </c>
      <c r="E94" s="17">
        <f>'pengestrom_raw'!$E$2</f>
        <v/>
      </c>
      <c r="F94" s="17">
        <f>'pengestrom_raw'!$F$2</f>
        <v/>
      </c>
    </row>
    <row r="95">
      <c r="A95" s="16" t="inlineStr">
        <is>
          <t>Pengestrømme fra investeringsaktivitet</t>
        </is>
      </c>
      <c r="B95" s="17">
        <f>'pengestrom_raw'!$B$3</f>
        <v/>
      </c>
      <c r="C95" s="17">
        <f>'pengestrom_raw'!$C$3</f>
        <v/>
      </c>
      <c r="D95" s="17">
        <f>'pengestrom_raw'!$D$3</f>
        <v/>
      </c>
      <c r="E95" s="17">
        <f>'pengestrom_raw'!$E$3</f>
        <v/>
      </c>
      <c r="F95" s="17">
        <f>'pengestrom_raw'!$F$3</f>
        <v/>
      </c>
    </row>
    <row r="96">
      <c r="A96" s="16" t="inlineStr">
        <is>
          <t>Pengestrømme fra finansieringsaktivitet</t>
        </is>
      </c>
      <c r="B96" s="17">
        <f>'pengestrom_raw'!$B$4</f>
        <v/>
      </c>
      <c r="C96" s="17">
        <f>'pengestrom_raw'!$C$4</f>
        <v/>
      </c>
      <c r="D96" s="17">
        <f>'pengestrom_raw'!$D$4</f>
        <v/>
      </c>
      <c r="E96" s="17">
        <f>'pengestrom_raw'!$E$4</f>
        <v/>
      </c>
      <c r="F96" s="17">
        <f>'pengestrom_raw'!$F$4</f>
        <v/>
      </c>
    </row>
    <row r="97">
      <c r="A97" s="16" t="inlineStr">
        <is>
          <t>Årets pengestrøm (rapporteret)</t>
        </is>
      </c>
      <c r="B97" s="17">
        <f>'pengestrom_raw'!$B$5</f>
        <v/>
      </c>
      <c r="C97" s="17">
        <f>'pengestrom_raw'!$C$5</f>
        <v/>
      </c>
      <c r="D97" s="17">
        <f>'pengestrom_raw'!$D$5</f>
        <v/>
      </c>
      <c r="E97" s="17">
        <f>'pengestrom_raw'!$E$5</f>
        <v/>
      </c>
      <c r="F97" s="17">
        <f>'pengestrom_raw'!$F$5</f>
        <v/>
      </c>
    </row>
    <row r="98">
      <c r="A98" s="16" t="inlineStr">
        <is>
          <t>Krydstjek: drift + inv. + fin. = årets pengestrøm</t>
        </is>
      </c>
      <c r="B98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8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8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8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8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flugger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2161640</v>
      </c>
      <c r="C2" s="17" t="n">
        <v>2321548</v>
      </c>
      <c r="D2" s="17" t="n">
        <v>2130156</v>
      </c>
      <c r="E2" s="17" t="n">
        <v>2208344</v>
      </c>
      <c r="F2" s="17" t="n">
        <v>2272000</v>
      </c>
    </row>
    <row r="3">
      <c r="A3" s="16" t="inlineStr">
        <is>
          <t>Produktionsomkostninger</t>
        </is>
      </c>
      <c r="B3" s="17" t="n">
        <v>946793</v>
      </c>
      <c r="C3" s="17" t="n">
        <v>1112170</v>
      </c>
      <c r="D3" s="17" t="n">
        <v>1102425</v>
      </c>
      <c r="E3" s="17" t="n">
        <v>1073261</v>
      </c>
      <c r="F3" s="17" t="n">
        <v>1055000</v>
      </c>
    </row>
    <row r="4">
      <c r="A4" s="15" t="inlineStr">
        <is>
          <t>Bruttoresultat</t>
        </is>
      </c>
      <c r="B4" s="17" t="n">
        <v>1214847</v>
      </c>
      <c r="C4" s="17" t="n">
        <v>1209378</v>
      </c>
      <c r="D4" s="17" t="n">
        <v>1027731</v>
      </c>
      <c r="E4" s="17" t="n">
        <v>1135083</v>
      </c>
      <c r="F4" s="17" t="n">
        <v>1217000</v>
      </c>
    </row>
    <row r="5">
      <c r="A5" s="16" t="inlineStr">
        <is>
          <t>Salgs- og distributionsomkostninger</t>
        </is>
      </c>
      <c r="B5" s="17" t="n">
        <v>807786</v>
      </c>
      <c r="C5" s="17" t="n">
        <v>851496</v>
      </c>
      <c r="D5" s="17" t="n">
        <v>859672</v>
      </c>
      <c r="E5" s="17" t="n">
        <v>871546</v>
      </c>
      <c r="F5" s="17" t="n">
        <v>915000</v>
      </c>
    </row>
    <row r="6">
      <c r="A6" s="16" t="inlineStr">
        <is>
          <t>Administrationsomkostninger</t>
        </is>
      </c>
      <c r="B6" s="17" t="n">
        <v>184583</v>
      </c>
      <c r="C6" s="17" t="n">
        <v>195090</v>
      </c>
      <c r="D6" s="17" t="n">
        <v>183690</v>
      </c>
      <c r="E6" s="17" t="n">
        <v>197758</v>
      </c>
      <c r="F6" s="17" t="n">
        <v>209000</v>
      </c>
    </row>
    <row r="7">
      <c r="A7" s="16" t="inlineStr">
        <is>
          <t>Andre driftsindtægter</t>
        </is>
      </c>
      <c r="B7" s="17" t="n">
        <v>6719</v>
      </c>
      <c r="C7" s="17" t="n">
        <v>15775</v>
      </c>
      <c r="D7" s="17" t="n">
        <v>6089</v>
      </c>
      <c r="E7" s="17" t="n">
        <v>6147</v>
      </c>
      <c r="F7" s="17" t="n">
        <v>5000</v>
      </c>
    </row>
    <row r="8">
      <c r="A8" s="16" t="inlineStr">
        <is>
          <t>Andre driftsomkostninger</t>
        </is>
      </c>
      <c r="B8" s="17" t="n">
        <v>1077</v>
      </c>
      <c r="C8" s="17" t="n">
        <v>5518</v>
      </c>
      <c r="D8" s="17" t="n">
        <v>2258</v>
      </c>
      <c r="E8" s="17" t="n">
        <v>3974</v>
      </c>
      <c r="F8" s="17" t="n">
        <v>4000</v>
      </c>
    </row>
    <row r="9">
      <c r="A9" s="15" t="inlineStr">
        <is>
          <t>Resultat af primær drift</t>
        </is>
      </c>
      <c r="B9" s="17" t="n">
        <v>228120</v>
      </c>
      <c r="C9" s="17" t="n">
        <v>99323</v>
      </c>
      <c r="D9" s="17" t="n">
        <v>-7612</v>
      </c>
      <c r="E9" s="17" t="n">
        <v>67952</v>
      </c>
      <c r="F9" s="17" t="n">
        <v>94000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19242</v>
      </c>
      <c r="C11" s="17" t="n">
        <v>28525</v>
      </c>
      <c r="D11" s="17" t="n">
        <v>39620</v>
      </c>
      <c r="E11" s="17" t="n">
        <v>20996</v>
      </c>
      <c r="F11" s="17" t="n">
        <v>22000</v>
      </c>
    </row>
    <row r="12">
      <c r="A12" s="16" t="inlineStr">
        <is>
          <t>Finansielle omkostninger</t>
        </is>
      </c>
      <c r="B12" s="17" t="n">
        <v>27173</v>
      </c>
      <c r="C12" s="17" t="n">
        <v>48449</v>
      </c>
      <c r="D12" s="17" t="n">
        <v>48753</v>
      </c>
      <c r="E12" s="17" t="n">
        <v>42623</v>
      </c>
      <c r="F12" s="17" t="n">
        <v>34000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220189</v>
      </c>
      <c r="C14" s="17" t="n">
        <v>79399</v>
      </c>
      <c r="D14" s="17" t="n">
        <v>-16745</v>
      </c>
      <c r="E14" s="17" t="n">
        <v>46325</v>
      </c>
      <c r="F14" s="17" t="n">
        <v>82000</v>
      </c>
    </row>
    <row r="15">
      <c r="A15" s="16" t="inlineStr">
        <is>
          <t>Skat af årets resultat</t>
        </is>
      </c>
      <c r="B15" s="17" t="n">
        <v>40208</v>
      </c>
      <c r="C15" s="17" t="n">
        <v>36357</v>
      </c>
      <c r="D15" s="17" t="n">
        <v>-8151</v>
      </c>
      <c r="E15" s="17" t="n">
        <v>21057</v>
      </c>
      <c r="F15" s="17" t="n">
        <v>19000</v>
      </c>
    </row>
    <row r="16">
      <c r="A16" s="15" t="inlineStr">
        <is>
          <t>Årets resultat</t>
        </is>
      </c>
      <c r="B16" s="17" t="n">
        <v>179981</v>
      </c>
      <c r="C16" s="17" t="n">
        <v>43042</v>
      </c>
      <c r="D16" s="17" t="n">
        <v>-8594</v>
      </c>
      <c r="E16" s="17" t="n">
        <v>25268</v>
      </c>
      <c r="F16" s="17" t="n">
        <v>63000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120693</v>
      </c>
      <c r="C18" s="17" t="n">
        <v>185904</v>
      </c>
      <c r="D18" s="17" t="n">
        <v>72468</v>
      </c>
      <c r="E18" s="17" t="n">
        <v>53845</v>
      </c>
      <c r="F18" s="17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flugger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42933</v>
      </c>
      <c r="C2" s="17" t="n">
        <v>88376</v>
      </c>
      <c r="D2" s="17" t="n">
        <v>30975</v>
      </c>
      <c r="E2" s="17" t="n">
        <v>28929</v>
      </c>
      <c r="F2" s="17" t="n">
        <v>23000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119329</v>
      </c>
      <c r="C4" s="17" t="n">
        <v>159020</v>
      </c>
      <c r="D4" s="17" t="n">
        <v>145122</v>
      </c>
      <c r="E4" s="17" t="n">
        <v>147099</v>
      </c>
      <c r="F4" s="17" t="n">
        <v>149000</v>
      </c>
    </row>
    <row r="5">
      <c r="A5" s="15" t="inlineStr">
        <is>
          <t>Immaterielle anlægsaktiver</t>
        </is>
      </c>
      <c r="B5" s="17" t="n">
        <v>175270</v>
      </c>
      <c r="C5" s="17" t="n">
        <v>272792</v>
      </c>
      <c r="D5" s="17" t="n">
        <v>240723</v>
      </c>
      <c r="E5" s="17" t="n">
        <v>227575</v>
      </c>
      <c r="F5" s="17" t="n">
        <v>217000</v>
      </c>
    </row>
    <row r="6">
      <c r="A6" s="16" t="inlineStr">
        <is>
          <t>Grunde og bygninger</t>
        </is>
      </c>
      <c r="B6" s="17" t="n">
        <v>161275</v>
      </c>
      <c r="C6" s="17" t="n">
        <v>250518</v>
      </c>
      <c r="D6" s="17" t="n">
        <v>296843</v>
      </c>
      <c r="E6" s="17" t="n">
        <v>272551</v>
      </c>
      <c r="F6" s="17" t="n">
        <v>270000</v>
      </c>
    </row>
    <row r="7">
      <c r="A7" s="16" t="inlineStr">
        <is>
          <t>Produktionsanlæg og maskiner</t>
        </is>
      </c>
      <c r="B7" s="17" t="n">
        <v>76626</v>
      </c>
      <c r="C7" s="17" t="n">
        <v>103993</v>
      </c>
      <c r="D7" s="17" t="n">
        <v>94327</v>
      </c>
      <c r="E7" s="17" t="n">
        <v>135939</v>
      </c>
      <c r="F7" s="17" t="n">
        <v>120000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115659</v>
      </c>
      <c r="C10" s="17" t="n">
        <v>135820</v>
      </c>
      <c r="D10" s="17" t="n">
        <v>108640</v>
      </c>
      <c r="E10" s="17" t="n">
        <v>24633</v>
      </c>
      <c r="F10" s="17" t="n">
        <v>23000</v>
      </c>
    </row>
    <row r="11">
      <c r="A11" s="15" t="inlineStr">
        <is>
          <t>Materielle anlægsaktiver</t>
        </is>
      </c>
      <c r="B11" s="17" t="n">
        <v>23941</v>
      </c>
      <c r="C11" s="17" t="n">
        <v>70704</v>
      </c>
      <c r="D11" s="17" t="n">
        <v>85000</v>
      </c>
      <c r="E11" s="17" t="n">
        <v>81790</v>
      </c>
      <c r="F11" s="17" t="n">
        <v>91000</v>
      </c>
    </row>
    <row r="12">
      <c r="A12" s="15" t="inlineStr">
        <is>
          <t>Anlægsaktiver</t>
        </is>
      </c>
      <c r="B12" s="17" t="n">
        <v>973064</v>
      </c>
      <c r="C12" s="17" t="n">
        <v>1219724</v>
      </c>
      <c r="D12" s="17" t="n">
        <v>1193815</v>
      </c>
      <c r="E12" s="17" t="n">
        <v>1087709</v>
      </c>
      <c r="F12" s="17" t="n">
        <v>1089000</v>
      </c>
    </row>
    <row r="13">
      <c r="A13" s="15" t="inlineStr">
        <is>
          <t>Varebeholdninger</t>
        </is>
      </c>
      <c r="B13" s="17" t="n">
        <v>344048</v>
      </c>
      <c r="C13" s="17" t="n">
        <v>462082</v>
      </c>
      <c r="D13" s="17" t="n">
        <v>468557</v>
      </c>
      <c r="E13" s="17" t="n">
        <v>362131</v>
      </c>
      <c r="F13" s="17" t="n">
        <v>375000</v>
      </c>
    </row>
    <row r="14">
      <c r="A14" s="16" t="inlineStr">
        <is>
          <t>Tilgodehavender fra salg og tjenesteydelser</t>
        </is>
      </c>
      <c r="B14" s="17" t="n">
        <v>368550</v>
      </c>
      <c r="C14" s="17" t="n">
        <v>384186</v>
      </c>
      <c r="D14" s="17" t="n">
        <v>451735</v>
      </c>
      <c r="E14" s="17" t="n">
        <v>470825</v>
      </c>
      <c r="F14" s="17" t="n">
        <v>432000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Periodeafgrænsningsposter (aktiver)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Udskudt skatteaktiv</t>
        </is>
      </c>
      <c r="B18" s="17" t="n">
        <v>13280</v>
      </c>
      <c r="C18" s="17" t="n">
        <v>12807</v>
      </c>
      <c r="D18" s="17" t="n">
        <v>39547</v>
      </c>
      <c r="E18" s="17" t="n">
        <v>23656</v>
      </c>
      <c r="F18" s="17" t="n">
        <v>11000</v>
      </c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/>
      <c r="C20" s="17" t="n"/>
      <c r="D20" s="17" t="n"/>
      <c r="E20" s="17" t="n"/>
      <c r="F20" s="17" t="n"/>
    </row>
    <row r="21">
      <c r="A21" s="15" t="inlineStr">
        <is>
          <t>Tilgodehavender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156682</v>
      </c>
      <c r="C23" s="17" t="n">
        <v>28748</v>
      </c>
      <c r="D23" s="17" t="n">
        <v>17674</v>
      </c>
      <c r="E23" s="17" t="n">
        <v>18084</v>
      </c>
      <c r="F23" s="17" t="n">
        <v>24000</v>
      </c>
    </row>
    <row r="24">
      <c r="A24" s="15" t="inlineStr">
        <is>
          <t>Omsætningsaktiver</t>
        </is>
      </c>
      <c r="B24" s="17" t="n">
        <v>869343</v>
      </c>
      <c r="C24" s="17" t="n">
        <v>1005785</v>
      </c>
      <c r="D24" s="17" t="n">
        <v>938022</v>
      </c>
      <c r="E24" s="17" t="n">
        <v>851094</v>
      </c>
      <c r="F24" s="17" t="n">
        <v>831000</v>
      </c>
    </row>
    <row r="25">
      <c r="A25" s="15" t="inlineStr">
        <is>
          <t>Aktiver</t>
        </is>
      </c>
      <c r="B25" s="17" t="n">
        <v>1842407</v>
      </c>
      <c r="C25" s="17" t="n">
        <v>2225509</v>
      </c>
      <c r="D25" s="17" t="n">
        <v>2131837</v>
      </c>
      <c r="E25" s="17" t="n">
        <v>1938803</v>
      </c>
      <c r="F25" s="17" t="n">
        <v>1920000</v>
      </c>
    </row>
    <row r="26">
      <c r="A26" s="16" t="inlineStr">
        <is>
          <t>Selskabskapital</t>
        </is>
      </c>
      <c r="B26" s="17" t="n">
        <v>60000</v>
      </c>
      <c r="C26" s="17" t="n">
        <v>60000</v>
      </c>
      <c r="D26" s="17" t="n">
        <v>60000</v>
      </c>
      <c r="E26" s="17" t="n">
        <v>60000</v>
      </c>
      <c r="F26" s="17" t="n">
        <v>60000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>
        <v>-213</v>
      </c>
      <c r="C30" s="17" t="n">
        <v>-1</v>
      </c>
      <c r="D30" s="17" t="n"/>
      <c r="E30" s="17" t="n"/>
      <c r="F30" s="17" t="n"/>
    </row>
    <row r="31">
      <c r="A31" s="16" t="inlineStr">
        <is>
          <t>Overført resultat</t>
        </is>
      </c>
      <c r="B31" s="17" t="n">
        <v>899788</v>
      </c>
      <c r="C31" s="17" t="n">
        <v>910939</v>
      </c>
      <c r="D31" s="17" t="n">
        <v>776121</v>
      </c>
      <c r="E31" s="17" t="n">
        <v>820674</v>
      </c>
      <c r="F31" s="17" t="n">
        <v>815000</v>
      </c>
    </row>
    <row r="32">
      <c r="A32" s="15" t="inlineStr">
        <is>
          <t>Egenkapital i alt</t>
        </is>
      </c>
      <c r="B32" s="17" t="n">
        <v>950890</v>
      </c>
      <c r="C32" s="17" t="n">
        <v>918945</v>
      </c>
      <c r="D32" s="17" t="n">
        <v>773591</v>
      </c>
      <c r="E32" s="17" t="n">
        <v>820766</v>
      </c>
      <c r="F32" s="17" t="n">
        <v>870000</v>
      </c>
    </row>
    <row r="33">
      <c r="A33" s="16" t="inlineStr">
        <is>
          <t>Hensættelse til udskudt skat</t>
        </is>
      </c>
      <c r="B33" s="17" t="n">
        <v>9309</v>
      </c>
      <c r="C33" s="17" t="n">
        <v>22990</v>
      </c>
      <c r="D33" s="17" t="n">
        <v>28957</v>
      </c>
      <c r="E33" s="17" t="n">
        <v>27143</v>
      </c>
      <c r="F33" s="17" t="n">
        <v>21000</v>
      </c>
    </row>
    <row r="34">
      <c r="A34" s="15" t="inlineStr">
        <is>
          <t>Hensatte forpligtelser</t>
        </is>
      </c>
      <c r="B34" s="17" t="n">
        <v>9309</v>
      </c>
      <c r="C34" s="17" t="n">
        <v>22990</v>
      </c>
      <c r="D34" s="17" t="n">
        <v>28957</v>
      </c>
      <c r="E34" s="17" t="n">
        <v>27143</v>
      </c>
      <c r="F34" s="17" t="n">
        <v>21000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(langfristet)</t>
        </is>
      </c>
      <c r="B37" s="17" t="n">
        <v>307195</v>
      </c>
      <c r="C37" s="17" t="n">
        <v>298540</v>
      </c>
      <c r="D37" s="17" t="n">
        <v>250879</v>
      </c>
      <c r="E37" s="17" t="n">
        <v>264450</v>
      </c>
      <c r="F37" s="17" t="n">
        <v>284000</v>
      </c>
    </row>
    <row r="38">
      <c r="A38" s="16" t="inlineStr">
        <is>
          <t>Anden gæld (langfristet)</t>
        </is>
      </c>
      <c r="B38" s="17" t="n">
        <v>0</v>
      </c>
      <c r="C38" s="17" t="n">
        <v>112710</v>
      </c>
      <c r="D38" s="17" t="n">
        <v>112710</v>
      </c>
      <c r="E38" s="17" t="n">
        <v>112710</v>
      </c>
      <c r="F38" s="17" t="n">
        <v>104000</v>
      </c>
    </row>
    <row r="39">
      <c r="A39" s="15" t="inlineStr">
        <is>
          <t>Langfristede gældsforpligtelser</t>
        </is>
      </c>
      <c r="B39" s="17" t="n">
        <v>321753</v>
      </c>
      <c r="C39" s="17" t="n">
        <v>450240</v>
      </c>
      <c r="D39" s="17" t="n">
        <v>453788</v>
      </c>
      <c r="E39" s="17" t="n">
        <v>410329</v>
      </c>
      <c r="F39" s="17" t="n">
        <v>418000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Kreditinstitutter</t>
        </is>
      </c>
      <c r="B42" s="17" t="n"/>
      <c r="C42" s="17" t="n"/>
      <c r="D42" s="17" t="n"/>
      <c r="E42" s="17" t="n"/>
      <c r="F42" s="17" t="n">
        <v>9000</v>
      </c>
    </row>
    <row r="43">
      <c r="A43" s="16" t="inlineStr">
        <is>
          <t>Leasingforpligtelser (kortfristet)</t>
        </is>
      </c>
      <c r="B43" s="17" t="n">
        <v>78866</v>
      </c>
      <c r="C43" s="17" t="n">
        <v>85739</v>
      </c>
      <c r="D43" s="17" t="n">
        <v>88368</v>
      </c>
      <c r="E43" s="17" t="n">
        <v>69658</v>
      </c>
      <c r="F43" s="17" t="n">
        <v>87000</v>
      </c>
    </row>
    <row r="44">
      <c r="A44" s="16" t="inlineStr">
        <is>
          <t>Leverandører af varer og tjenesteydelser</t>
        </is>
      </c>
      <c r="B44" s="17" t="n">
        <v>219797</v>
      </c>
      <c r="C44" s="17" t="n">
        <v>259121</v>
      </c>
      <c r="D44" s="17" t="n">
        <v>252660</v>
      </c>
      <c r="E44" s="17" t="n">
        <v>191689</v>
      </c>
      <c r="F44" s="17" t="n">
        <v>206000</v>
      </c>
    </row>
    <row r="45">
      <c r="A45" s="16" t="inlineStr">
        <is>
          <t>Gæld til tilknyttede virksomheder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215516</v>
      </c>
      <c r="C49" s="17" t="n">
        <v>168756</v>
      </c>
      <c r="D49" s="17" t="n">
        <v>162979</v>
      </c>
      <c r="E49" s="17" t="n">
        <v>162294</v>
      </c>
      <c r="F49" s="17" t="n">
        <v>170000</v>
      </c>
    </row>
    <row r="50">
      <c r="A50" s="16" t="inlineStr">
        <is>
          <t>Periodeafgrænsningsposter (passiver)</t>
        </is>
      </c>
      <c r="B50" s="17" t="n"/>
      <c r="C50" s="17" t="n"/>
      <c r="D50" s="17" t="n">
        <v>32</v>
      </c>
      <c r="E50" s="17" t="n">
        <v>20</v>
      </c>
      <c r="F50" s="17" t="n"/>
    </row>
    <row r="51">
      <c r="A51" s="15" t="inlineStr">
        <is>
          <t>Kortfristede gældsforpligtelser</t>
        </is>
      </c>
      <c r="B51" s="17" t="n">
        <v>569764</v>
      </c>
      <c r="C51" s="17" t="n">
        <v>856324</v>
      </c>
      <c r="D51" s="17" t="n">
        <v>904458</v>
      </c>
      <c r="E51" s="17" t="n">
        <v>707708</v>
      </c>
      <c r="F51" s="17" t="n">
        <v>632000</v>
      </c>
    </row>
    <row r="52">
      <c r="A52" s="15" t="inlineStr">
        <is>
          <t>Gældsforpligtelser</t>
        </is>
      </c>
      <c r="B52" s="17" t="n">
        <v>891517</v>
      </c>
      <c r="C52" s="17" t="n">
        <v>1306564</v>
      </c>
      <c r="D52" s="17" t="n">
        <v>1358246</v>
      </c>
      <c r="E52" s="17" t="n">
        <v>1118037</v>
      </c>
      <c r="F52" s="17" t="n">
        <v>1050000</v>
      </c>
    </row>
    <row r="53">
      <c r="A53" s="15" t="inlineStr">
        <is>
          <t>Passiver</t>
        </is>
      </c>
      <c r="B53" s="17" t="n">
        <v>1842407</v>
      </c>
      <c r="C53" s="17" t="n">
        <v>2225509</v>
      </c>
      <c r="D53" s="17" t="n">
        <v>2131837</v>
      </c>
      <c r="E53" s="17" t="n">
        <v>1938803</v>
      </c>
      <c r="F53" s="17" t="n">
        <v>1920000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flugger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313069</v>
      </c>
      <c r="C2" s="17" t="n">
        <v>96761</v>
      </c>
      <c r="D2" s="17" t="n">
        <v>88473</v>
      </c>
      <c r="E2" s="17" t="n">
        <v>194178</v>
      </c>
      <c r="F2" s="17" t="n">
        <v>256000</v>
      </c>
    </row>
    <row r="3">
      <c r="A3" s="16" t="inlineStr">
        <is>
          <t>Pengestrømme fra investeringsaktivitet</t>
        </is>
      </c>
      <c r="B3" s="17" t="n">
        <v>-164802</v>
      </c>
      <c r="C3" s="17" t="n">
        <v>-264585</v>
      </c>
      <c r="D3" s="17" t="n">
        <v>-84083</v>
      </c>
      <c r="E3" s="17" t="n">
        <v>-66410</v>
      </c>
      <c r="F3" s="17" t="n">
        <v>-13000</v>
      </c>
    </row>
    <row r="4">
      <c r="A4" s="16" t="inlineStr">
        <is>
          <t>Pengestrømme fra finansieringsaktivitet</t>
        </is>
      </c>
      <c r="B4" s="17" t="n">
        <v>-128580</v>
      </c>
      <c r="C4" s="17" t="n">
        <v>38794</v>
      </c>
      <c r="D4" s="17" t="n">
        <v>-23479</v>
      </c>
      <c r="E4" s="17" t="n">
        <v>-129719</v>
      </c>
      <c r="F4" s="17" t="n">
        <v>-237000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flugger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'balance_raw'!$F$12</f>
        <v/>
      </c>
      <c r="C18" s="24">
        <f>'balance_raw'!$E$12</f>
        <v/>
      </c>
      <c r="D18" s="24">
        <f>'balance_raw'!$D$12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'balance_raw'!$F$24</f>
        <v/>
      </c>
      <c r="C19" s="24">
        <f>'balance_raw'!$E$24</f>
        <v/>
      </c>
      <c r="D19" s="24">
        <f>'balance_raw'!$D$24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'balance_raw'!$F$32</f>
        <v/>
      </c>
      <c r="C22" s="24">
        <f>'balance_raw'!$E$32</f>
        <v/>
      </c>
      <c r="D22" s="24">
        <f>'balance_raw'!$D$32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'balance_raw'!$F$53-'balance_raw'!$F$32</f>
        <v/>
      </c>
      <c r="C23" s="24">
        <f>'balance_raw'!$E$53-'balance_raw'!$E$32</f>
        <v/>
      </c>
      <c r="D23" s="24">
        <f>'balance_raw'!$D$53-'balance_raw'!$D$32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'balance_raw'!$F$13</f>
        <v/>
      </c>
      <c r="C27" s="24">
        <f>'balance_raw'!$E$13</f>
        <v/>
      </c>
      <c r="D27" s="24">
        <f>'balance_raw'!$D$13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'balance_raw'!$F$14</f>
        <v/>
      </c>
      <c r="C28" s="24">
        <f>'balance_raw'!$E$14</f>
        <v/>
      </c>
      <c r="D28" s="24">
        <f>'balance_raw'!$D$14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'balance_raw'!$F$51</f>
        <v/>
      </c>
      <c r="C29" s="24">
        <f>'balance_raw'!$E$51</f>
        <v/>
      </c>
      <c r="D29" s="24">
        <f>'balance_raw'!$D$51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IF('balance_raw'!$F$25="","—",IF(ABS(B20-'balance_raw'!$F$25)&lt;=1,"✓ OK","❌ "&amp;TEXT(B20-'balance_raw'!$F$25,"+#,##0;-#,##0")&amp;" t.kr."))</f>
        <v/>
      </c>
      <c r="C60" s="29">
        <f>IF('balance_raw'!$E$25="","—",IF(ABS(C20-'balance_raw'!$E$25)&lt;=1,"✓ OK","❌ "&amp;TEXT(C20-'balance_raw'!$E$25,"+#,##0;-#,##0")&amp;" t.kr."))</f>
        <v/>
      </c>
      <c r="D60" s="29">
        <f>IF('balance_raw'!$D$25="","—",IF(ABS(D20-'balance_raw'!$D$25)&lt;=1,"✓ OK","❌ "&amp;TEXT(D20-'balance_raw'!$D$25,"+#,##0;-#,##0")&amp;"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IF('balance_raw'!$F$53="","—",IF(ABS(B24-'balance_raw'!$F$53)&lt;=1,"✓ OK","❌ "&amp;TEXT(B24-'balance_raw'!$F$53,"+#,##0;-#,##0")&amp;" t.kr."))</f>
        <v/>
      </c>
      <c r="C61" s="29">
        <f>IF('balance_raw'!$E$53="","—",IF(ABS(C24-'balance_raw'!$E$53)&lt;=1,"✓ OK","❌ "&amp;TEXT(C24-'balance_raw'!$E$53,"+#,##0;-#,##0")&amp;" t.kr."))</f>
        <v/>
      </c>
      <c r="D61" s="29">
        <f>IF('balance_raw'!$D$53="","—",IF(ABS(D24-'balance_raw'!$D$53)&lt;=1,"✓ OK","❌ "&amp;TEXT(D24-'balance_raw'!$D$53,"+#,##0;-#,##0")&amp;"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flugger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ifrs-full:AccrualsAndDeferredIncomeClassifiedAsCurrent</t>
        </is>
      </c>
      <c r="C3" s="34" t="inlineStr">
        <is>
          <t>ifrs-full:AccrualsAndDeferredIncomeClassifiedAsCurrent</t>
        </is>
      </c>
      <c r="D3" s="35" t="n">
        <v>717</v>
      </c>
      <c r="E3" s="35" t="n">
        <v>41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ifrs-full:AdjustmentsForIncreaseDecreaseInTradeAccountPayable</t>
        </is>
      </c>
      <c r="C4" s="37" t="inlineStr">
        <is>
          <t>ifrs-full:AdjustmentsForIncreaseDecreaseInTradeAccountPayable</t>
        </is>
      </c>
      <c r="D4" s="38" t="n">
        <v>26602</v>
      </c>
      <c r="E4" s="38" t="n">
        <v>-59608</v>
      </c>
      <c r="F4" s="38" t="n">
        <v>-40050</v>
      </c>
      <c r="G4" s="38" t="n">
        <v>-23930</v>
      </c>
      <c r="H4" s="38" t="n">
        <v>14000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ifrs-full:CashFlowsFromUsedInFinancingActivitiesDiscontinuedOperations</t>
        </is>
      </c>
      <c r="C5" s="34" t="inlineStr">
        <is>
          <t>ifrs-full:CashFlowsFromUsedInFinancingActivitiesDiscontinuedOperations</t>
        </is>
      </c>
      <c r="D5" s="35" t="n"/>
      <c r="E5" s="35" t="n"/>
      <c r="F5" s="35" t="n">
        <v>-5428</v>
      </c>
      <c r="G5" s="35" t="n">
        <v>6556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ifrs-full:CashFlowsFromUsedInInvestingActivitiesDiscontinuedOperations</t>
        </is>
      </c>
      <c r="C6" s="37" t="inlineStr">
        <is>
          <t>ifrs-full:CashFlowsFromUsedInInvestingActivitiesDiscontinuedOperations</t>
        </is>
      </c>
      <c r="D6" s="38" t="n"/>
      <c r="E6" s="38" t="n"/>
      <c r="F6" s="38" t="n">
        <v>-500</v>
      </c>
      <c r="G6" s="38" t="n">
        <v>-4911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ifrs-full:ComprehensiveIncomeFromContinuingOperationsAttributableToNoncontrollingInterests</t>
        </is>
      </c>
      <c r="C7" s="34" t="inlineStr">
        <is>
          <t>ifrs-full:ComprehensiveIncomeFromContinuingOperationsAttributableToNoncontrollingInterests</t>
        </is>
      </c>
      <c r="D7" s="35" t="n"/>
      <c r="E7" s="35" t="n"/>
      <c r="F7" s="35" t="n">
        <v>11552</v>
      </c>
      <c r="G7" s="35" t="n">
        <v>6636</v>
      </c>
      <c r="H7" s="35" t="n">
        <v>6000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ifrs-full:ComprehensiveIncomeFromContinuingOperationsAttributableToOwnersOfParent</t>
        </is>
      </c>
      <c r="C8" s="37" t="inlineStr">
        <is>
          <t>ifrs-full:ComprehensiveIncomeFromContinuingOperationsAttributableToOwnersOfParent</t>
        </is>
      </c>
      <c r="D8" s="38" t="n"/>
      <c r="E8" s="38" t="n"/>
      <c r="F8" s="38" t="n">
        <v>-93940</v>
      </c>
      <c r="G8" s="38" t="n">
        <v>31937</v>
      </c>
      <c r="H8" s="38" t="n">
        <v>74000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ifrs-full:ComputerSoftware</t>
        </is>
      </c>
      <c r="C9" s="34" t="inlineStr">
        <is>
          <t>ifrs-full:ComputerSoftware</t>
        </is>
      </c>
      <c r="D9" s="35" t="n"/>
      <c r="E9" s="35" t="n"/>
      <c r="F9" s="35" t="n">
        <v>41245</v>
      </c>
      <c r="G9" s="35" t="n">
        <v>27670</v>
      </c>
      <c r="H9" s="35" t="n">
        <v>36000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ifrs-full:CurrentInvestments</t>
        </is>
      </c>
      <c r="C10" s="37" t="inlineStr">
        <is>
          <t>ifrs-full:CurrentInvestments</t>
        </is>
      </c>
      <c r="D10" s="38" t="n">
        <v>63</v>
      </c>
      <c r="E10" s="38" t="n">
        <v>62</v>
      </c>
      <c r="F10" s="38" t="n">
        <v>56</v>
      </c>
      <c r="G10" s="38" t="n">
        <v>54</v>
      </c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ifrs-full:ImpairmentLossReversalOfImpairmentLossRecognisedInProfitOrLoss</t>
        </is>
      </c>
      <c r="C11" s="34" t="inlineStr">
        <is>
          <t>ifrs-full:ImpairmentLossReversalOfImpairmentLossRecognisedInProfitOrLoss</t>
        </is>
      </c>
      <c r="D11" s="35" t="n">
        <v>0</v>
      </c>
      <c r="E11" s="35" t="n">
        <v>73726</v>
      </c>
      <c r="F11" s="35" t="n">
        <v>-4188</v>
      </c>
      <c r="G11" s="35" t="n">
        <v>0</v>
      </c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ifrs-full:IncomeFromContinuingOperationsAttributableToOwnersOfParent</t>
        </is>
      </c>
      <c r="C12" s="37" t="inlineStr">
        <is>
          <t>ifrs-full:IncomeFromContinuingOperationsAttributableToOwnersOfParent</t>
        </is>
      </c>
      <c r="D12" s="38" t="n">
        <v>170837</v>
      </c>
      <c r="E12" s="38" t="n">
        <v>52921</v>
      </c>
      <c r="F12" s="38" t="n">
        <v>-20146</v>
      </c>
      <c r="G12" s="38" t="n">
        <v>18632</v>
      </c>
      <c r="H12" s="38" t="n">
        <v>58000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ifrs-full:ReclassificationAdjustmentsOnExchangeDifferencesOnTranslationBeforeTax</t>
        </is>
      </c>
      <c r="C13" s="34" t="inlineStr">
        <is>
          <t>ifrs-full:ReclassificationAdjustmentsOnExchangeDifferencesOnTranslationBeforeTax</t>
        </is>
      </c>
      <c r="D13" s="35" t="n"/>
      <c r="E13" s="35" t="n"/>
      <c r="F13" s="35" t="n"/>
      <c r="G13" s="35" t="n">
        <v>0</v>
      </c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ifrs-full:ReserveOfExchangeDifferencesOnTranslation</t>
        </is>
      </c>
      <c r="C14" s="37" t="inlineStr">
        <is>
          <t>ifrs-full:ReserveOfExchangeDifferencesOnTranslation</t>
        </is>
      </c>
      <c r="D14" s="38" t="n">
        <v>-93493</v>
      </c>
      <c r="E14" s="38" t="n">
        <v>-93493</v>
      </c>
      <c r="F14" s="38" t="n">
        <v>-156176</v>
      </c>
      <c r="G14" s="38" t="n">
        <v>-146633</v>
      </c>
      <c r="H14" s="38" t="n">
        <v>-110000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ifrs-full:RestrictedCashAndCashEquivalents</t>
        </is>
      </c>
      <c r="C15" s="34" t="inlineStr">
        <is>
          <t>ifrs-full:RestrictedCashAndCashEquivalents</t>
        </is>
      </c>
      <c r="D15" s="35" t="n"/>
      <c r="E15" s="35" t="n"/>
      <c r="F15" s="35" t="n"/>
      <c r="G15" s="35" t="n"/>
      <c r="H15" s="35" t="n"/>
      <c r="I1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2026-09-10T15:35:22Z</dcterms:created>
  <dcterms:modified xmlns:dcterms="http://purl.org/dc/terms/" xmlns:xsi="http://www.w3.org/2001/XMLSchema-instance" xsi:type="dcterms:W3CDTF">2026-09-10T15:35:23Z</dcterms:modified>
</cp:coreProperties>
</file>