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054173" sheetId="1" state="visible" r:id="rId1"/>
    <sheet xmlns:r="http://schemas.openxmlformats.org/officeDocument/2006/relationships" name="res_raw_33054173" sheetId="2" state="visible" r:id="rId2"/>
    <sheet xmlns:r="http://schemas.openxmlformats.org/officeDocument/2006/relationships" name="balance_raw_3305417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'res_raw_33054173'!$B$2</f>
        <v/>
      </c>
      <c r="C4" s="5">
        <f>'res_raw_33054173'!$C$2</f>
        <v/>
      </c>
      <c r="D4" s="5">
        <f>'res_raw_33054173'!$D$2</f>
        <v/>
      </c>
      <c r="E4" s="5">
        <f>'res_raw_33054173'!$E$2</f>
        <v/>
      </c>
      <c r="F4" s="5">
        <f>'res_raw_33054173'!$F$2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'res_raw_33054173'!$B$3</f>
        <v/>
      </c>
      <c r="C5" s="8">
        <f>'res_raw_33054173'!$C$3</f>
        <v/>
      </c>
      <c r="D5" s="8">
        <f>'res_raw_33054173'!$D$3</f>
        <v/>
      </c>
      <c r="E5" s="8">
        <f>'res_raw_33054173'!$E$3</f>
        <v/>
      </c>
      <c r="F5" s="8">
        <f>'res_raw_33054173'!$F$3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'res_raw_33054173'!$B$4</f>
        <v/>
      </c>
      <c r="C6" s="5">
        <f>'res_raw_33054173'!$C$4</f>
        <v/>
      </c>
      <c r="D6" s="5">
        <f>'res_raw_33054173'!$D$4</f>
        <v/>
      </c>
      <c r="E6" s="5">
        <f>'res_raw_33054173'!$E$4</f>
        <v/>
      </c>
      <c r="F6" s="5">
        <f>'res_raw_33054173'!$F$4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'res_raw_33054173'!$B$5</f>
        <v/>
      </c>
      <c r="C7" s="8">
        <f>'res_raw_33054173'!$C$5</f>
        <v/>
      </c>
      <c r="D7" s="8">
        <f>'res_raw_33054173'!$D$5</f>
        <v/>
      </c>
      <c r="E7" s="8">
        <f>'res_raw_33054173'!$E$5</f>
        <v/>
      </c>
      <c r="F7" s="8">
        <f>'res_raw_33054173'!$F$5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'res_raw_33054173'!$B$6</f>
        <v/>
      </c>
      <c r="C8" s="11">
        <f>'res_raw_33054173'!$C$6</f>
        <v/>
      </c>
      <c r="D8" s="11">
        <f>'res_raw_33054173'!$D$6</f>
        <v/>
      </c>
      <c r="E8" s="11">
        <f>'res_raw_33054173'!$E$6</f>
        <v/>
      </c>
      <c r="F8" s="11">
        <f>'res_raw_33054173'!$F$6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'res_raw_33054173'!$B$7</f>
        <v/>
      </c>
      <c r="C9" s="8">
        <f>'res_raw_33054173'!$C$7</f>
        <v/>
      </c>
      <c r="D9" s="8">
        <f>'res_raw_33054173'!$D$7</f>
        <v/>
      </c>
      <c r="E9" s="8">
        <f>'res_raw_33054173'!$E$7</f>
        <v/>
      </c>
      <c r="F9" s="8">
        <f>'res_raw_33054173'!$F$7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'res_raw_33054173'!$B$9</f>
        <v/>
      </c>
      <c r="C11" s="8">
        <f>'res_raw_33054173'!$C$9</f>
        <v/>
      </c>
      <c r="D11" s="8">
        <f>'res_raw_33054173'!$D$9</f>
        <v/>
      </c>
      <c r="E11" s="8">
        <f>'res_raw_33054173'!$E$9</f>
        <v/>
      </c>
      <c r="F11" s="8">
        <f>'res_raw_33054173'!$F$9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'res_raw_33054173'!$B$10</f>
        <v/>
      </c>
      <c r="C12" s="5">
        <f>'res_raw_33054173'!$C$10</f>
        <v/>
      </c>
      <c r="D12" s="5">
        <f>'res_raw_33054173'!$D$10</f>
        <v/>
      </c>
      <c r="E12" s="5">
        <f>'res_raw_33054173'!$E$10</f>
        <v/>
      </c>
      <c r="F12" s="5">
        <f>'res_raw_33054173'!$F$10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'res_raw_33054173'!$B$11</f>
        <v/>
      </c>
      <c r="C13" s="11">
        <f>'res_raw_33054173'!$C$11</f>
        <v/>
      </c>
      <c r="D13" s="11">
        <f>'res_raw_33054173'!$D$11</f>
        <v/>
      </c>
      <c r="E13" s="11">
        <f>'res_raw_33054173'!$E$11</f>
        <v/>
      </c>
      <c r="F13" s="11">
        <f>'res_raw_33054173'!$F$11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'res_raw_33054173'!$B$12</f>
        <v/>
      </c>
      <c r="C14" s="5">
        <f>'res_raw_33054173'!$C$12</f>
        <v/>
      </c>
      <c r="D14" s="5">
        <f>'res_raw_33054173'!$D$12</f>
        <v/>
      </c>
      <c r="E14" s="5">
        <f>'res_raw_33054173'!$E$12</f>
        <v/>
      </c>
      <c r="F14" s="5">
        <f>'res_raw_33054173'!$F$12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'res_raw_33054173'!$B$13</f>
        <v/>
      </c>
      <c r="C15" s="8">
        <f>'res_raw_33054173'!$C$13</f>
        <v/>
      </c>
      <c r="D15" s="8">
        <f>'res_raw_33054173'!$D$13</f>
        <v/>
      </c>
      <c r="E15" s="8">
        <f>'res_raw_33054173'!$E$13</f>
        <v/>
      </c>
      <c r="F15" s="8">
        <f>'res_raw_33054173'!$F$13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'res_raw_33054173'!$B$14</f>
        <v/>
      </c>
      <c r="C16" s="5">
        <f>'res_raw_33054173'!$C$14</f>
        <v/>
      </c>
      <c r="D16" s="5">
        <f>'res_raw_33054173'!$D$14</f>
        <v/>
      </c>
      <c r="E16" s="5">
        <f>'res_raw_33054173'!$E$14</f>
        <v/>
      </c>
      <c r="F16" s="5">
        <f>'res_raw_33054173'!$F$14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'res_raw_33054173'!$B$15</f>
        <v/>
      </c>
      <c r="C17" s="11">
        <f>'res_raw_33054173'!$C$15</f>
        <v/>
      </c>
      <c r="D17" s="11">
        <f>'res_raw_33054173'!$D$15</f>
        <v/>
      </c>
      <c r="E17" s="11">
        <f>'res_raw_33054173'!$E$15</f>
        <v/>
      </c>
      <c r="F17" s="11">
        <f>'res_raw_33054173'!$F$15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'res_raw_33054173'!$B$16</f>
        <v/>
      </c>
      <c r="C18" s="11">
        <f>'res_raw_33054173'!$C$16</f>
        <v/>
      </c>
      <c r="D18" s="11">
        <f>'res_raw_33054173'!$D$16</f>
        <v/>
      </c>
      <c r="E18" s="11">
        <f>'res_raw_33054173'!$E$16</f>
        <v/>
      </c>
      <c r="F18" s="11">
        <f>'res_raw_33054173'!$F$16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'res_raw_33054173'!$B$17</f>
        <v/>
      </c>
      <c r="C19" s="8">
        <f>'res_raw_33054173'!$C$17</f>
        <v/>
      </c>
      <c r="D19" s="8">
        <f>'res_raw_33054173'!$D$17</f>
        <v/>
      </c>
      <c r="E19" s="8">
        <f>'res_raw_33054173'!$E$17</f>
        <v/>
      </c>
      <c r="F19" s="8">
        <f>'res_raw_33054173'!$F$17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'res_raw_33054173'!$B$18</f>
        <v/>
      </c>
      <c r="C20" s="11">
        <f>'res_raw_33054173'!$C$18</f>
        <v/>
      </c>
      <c r="D20" s="11">
        <f>'res_raw_33054173'!$D$18</f>
        <v/>
      </c>
      <c r="E20" s="11">
        <f>'res_raw_33054173'!$E$18</f>
        <v/>
      </c>
      <c r="F20" s="11">
        <f>'res_raw_33054173'!$F$18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'balance_raw_33054173'!$B$2</f>
        <v/>
      </c>
      <c r="C23" s="8">
        <f>'balance_raw_33054173'!$C$2</f>
        <v/>
      </c>
      <c r="D23" s="8">
        <f>'balance_raw_33054173'!$D$2</f>
        <v/>
      </c>
      <c r="E23" s="8">
        <f>'balance_raw_33054173'!$E$2</f>
        <v/>
      </c>
      <c r="F23" s="8">
        <f>'balance_raw_33054173'!$F$2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'balance_raw_33054173'!$B$3</f>
        <v/>
      </c>
      <c r="C24" s="5">
        <f>'balance_raw_33054173'!$C$3</f>
        <v/>
      </c>
      <c r="D24" s="5">
        <f>'balance_raw_33054173'!$D$3</f>
        <v/>
      </c>
      <c r="E24" s="5">
        <f>'balance_raw_33054173'!$E$3</f>
        <v/>
      </c>
      <c r="F24" s="5">
        <f>'balance_raw_33054173'!$F$3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'balance_raw_33054173'!$B$4</f>
        <v/>
      </c>
      <c r="C25" s="8">
        <f>'balance_raw_33054173'!$C$4</f>
        <v/>
      </c>
      <c r="D25" s="8">
        <f>'balance_raw_33054173'!$D$4</f>
        <v/>
      </c>
      <c r="E25" s="8">
        <f>'balance_raw_33054173'!$E$4</f>
        <v/>
      </c>
      <c r="F25" s="8">
        <f>'balance_raw_33054173'!$F$4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'balance_raw_33054173'!$B$5</f>
        <v/>
      </c>
      <c r="C26" s="5">
        <f>'balance_raw_33054173'!$C$5</f>
        <v/>
      </c>
      <c r="D26" s="5">
        <f>'balance_raw_33054173'!$D$5</f>
        <v/>
      </c>
      <c r="E26" s="5">
        <f>'balance_raw_33054173'!$E$5</f>
        <v/>
      </c>
      <c r="F26" s="5">
        <f>'balance_raw_33054173'!$F$5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'balance_raw_33054173'!$B$6</f>
        <v/>
      </c>
      <c r="C27" s="8">
        <f>'balance_raw_33054173'!$C$6</f>
        <v/>
      </c>
      <c r="D27" s="8">
        <f>'balance_raw_33054173'!$D$6</f>
        <v/>
      </c>
      <c r="E27" s="8">
        <f>'balance_raw_33054173'!$E$6</f>
        <v/>
      </c>
      <c r="F27" s="8">
        <f>'balance_raw_33054173'!$F$6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'balance_raw_33054173'!$B$7</f>
        <v/>
      </c>
      <c r="C28" s="11">
        <f>'balance_raw_33054173'!$C$7</f>
        <v/>
      </c>
      <c r="D28" s="11">
        <f>'balance_raw_33054173'!$D$7</f>
        <v/>
      </c>
      <c r="E28" s="11">
        <f>'balance_raw_33054173'!$E$7</f>
        <v/>
      </c>
      <c r="F28" s="11">
        <f>'balance_raw_33054173'!$F$7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'balance_raw_33054173'!$B$8</f>
        <v/>
      </c>
      <c r="C29" s="11">
        <f>'balance_raw_33054173'!$C$8</f>
        <v/>
      </c>
      <c r="D29" s="11">
        <f>'balance_raw_33054173'!$D$8</f>
        <v/>
      </c>
      <c r="E29" s="11">
        <f>'balance_raw_33054173'!$E$8</f>
        <v/>
      </c>
      <c r="F29" s="11">
        <f>'balance_raw_33054173'!$F$8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'balance_raw_33054173'!$B$9</f>
        <v/>
      </c>
      <c r="C30" s="5">
        <f>'balance_raw_33054173'!$C$9</f>
        <v/>
      </c>
      <c r="D30" s="5">
        <f>'balance_raw_33054173'!$D$9</f>
        <v/>
      </c>
      <c r="E30" s="5">
        <f>'balance_raw_33054173'!$E$9</f>
        <v/>
      </c>
      <c r="F30" s="5">
        <f>'balance_raw_33054173'!$F$9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Varer under fremstilling</t>
        </is>
      </c>
      <c r="B31" s="8">
        <f>'balance_raw_33054173'!$B$10</f>
        <v/>
      </c>
      <c r="C31" s="8">
        <f>'balance_raw_33054173'!$C$10</f>
        <v/>
      </c>
      <c r="D31" s="8">
        <f>'balance_raw_33054173'!$D$10</f>
        <v/>
      </c>
      <c r="E31" s="8">
        <f>'balance_raw_33054173'!$E$10</f>
        <v/>
      </c>
      <c r="F31" s="8">
        <f>'balance_raw_33054173'!$F$10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'balance_raw_33054173'!$B$11</f>
        <v/>
      </c>
      <c r="C32" s="5">
        <f>'balance_raw_33054173'!$C$11</f>
        <v/>
      </c>
      <c r="D32" s="5">
        <f>'balance_raw_33054173'!$D$11</f>
        <v/>
      </c>
      <c r="E32" s="5">
        <f>'balance_raw_33054173'!$E$11</f>
        <v/>
      </c>
      <c r="F32" s="5">
        <f>'balance_raw_33054173'!$F$11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'balance_raw_33054173'!$B$12</f>
        <v/>
      </c>
      <c r="C33" s="11">
        <f>'balance_raw_33054173'!$C$12</f>
        <v/>
      </c>
      <c r="D33" s="11">
        <f>'balance_raw_33054173'!$D$12</f>
        <v/>
      </c>
      <c r="E33" s="11">
        <f>'balance_raw_33054173'!$E$12</f>
        <v/>
      </c>
      <c r="F33" s="11">
        <f>'balance_raw_33054173'!$F$12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'balance_raw_33054173'!$B$13</f>
        <v/>
      </c>
      <c r="C34" s="5">
        <f>'balance_raw_33054173'!$C$13</f>
        <v/>
      </c>
      <c r="D34" s="5">
        <f>'balance_raw_33054173'!$D$13</f>
        <v/>
      </c>
      <c r="E34" s="5">
        <f>'balance_raw_33054173'!$E$13</f>
        <v/>
      </c>
      <c r="F34" s="5">
        <f>'balance_raw_33054173'!$F$13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'balance_raw_33054173'!$B$14</f>
        <v/>
      </c>
      <c r="C35" s="8">
        <f>'balance_raw_33054173'!$C$14</f>
        <v/>
      </c>
      <c r="D35" s="8">
        <f>'balance_raw_33054173'!$D$14</f>
        <v/>
      </c>
      <c r="E35" s="8">
        <f>'balance_raw_33054173'!$E$14</f>
        <v/>
      </c>
      <c r="F35" s="8">
        <f>'balance_raw_33054173'!$F$14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'balance_raw_33054173'!$B$15</f>
        <v/>
      </c>
      <c r="C36" s="5">
        <f>'balance_raw_33054173'!$C$15</f>
        <v/>
      </c>
      <c r="D36" s="5">
        <f>'balance_raw_33054173'!$D$15</f>
        <v/>
      </c>
      <c r="E36" s="5">
        <f>'balance_raw_33054173'!$E$15</f>
        <v/>
      </c>
      <c r="F36" s="5">
        <f>'balance_raw_33054173'!$F$15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'balance_raw_33054173'!$B$16</f>
        <v/>
      </c>
      <c r="C37" s="8">
        <f>'balance_raw_33054173'!$C$16</f>
        <v/>
      </c>
      <c r="D37" s="8">
        <f>'balance_raw_33054173'!$D$16</f>
        <v/>
      </c>
      <c r="E37" s="8">
        <f>'balance_raw_33054173'!$E$16</f>
        <v/>
      </c>
      <c r="F37" s="8">
        <f>'balance_raw_33054173'!$F$16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'balance_raw_33054173'!$B$17</f>
        <v/>
      </c>
      <c r="C38" s="5">
        <f>'balance_raw_33054173'!$C$17</f>
        <v/>
      </c>
      <c r="D38" s="5">
        <f>'balance_raw_33054173'!$D$17</f>
        <v/>
      </c>
      <c r="E38" s="5">
        <f>'balance_raw_33054173'!$E$17</f>
        <v/>
      </c>
      <c r="F38" s="5">
        <f>'balance_raw_33054173'!$F$17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'balance_raw_33054173'!$B$18</f>
        <v/>
      </c>
      <c r="C39" s="8">
        <f>'balance_raw_33054173'!$C$18</f>
        <v/>
      </c>
      <c r="D39" s="8">
        <f>'balance_raw_33054173'!$D$18</f>
        <v/>
      </c>
      <c r="E39" s="8">
        <f>'balance_raw_33054173'!$E$18</f>
        <v/>
      </c>
      <c r="F39" s="8">
        <f>'balance_raw_33054173'!$F$18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'balance_raw_33054173'!$B$19</f>
        <v/>
      </c>
      <c r="C40" s="5">
        <f>'balance_raw_33054173'!$C$19</f>
        <v/>
      </c>
      <c r="D40" s="5">
        <f>'balance_raw_33054173'!$D$19</f>
        <v/>
      </c>
      <c r="E40" s="5">
        <f>'balance_raw_33054173'!$E$19</f>
        <v/>
      </c>
      <c r="F40" s="5">
        <f>'balance_raw_33054173'!$F$19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'balance_raw_33054173'!$B$20</f>
        <v/>
      </c>
      <c r="C41" s="11">
        <f>'balance_raw_33054173'!$C$20</f>
        <v/>
      </c>
      <c r="D41" s="11">
        <f>'balance_raw_33054173'!$D$20</f>
        <v/>
      </c>
      <c r="E41" s="11">
        <f>'balance_raw_33054173'!$E$20</f>
        <v/>
      </c>
      <c r="F41" s="11">
        <f>'balance_raw_33054173'!$F$20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'balance_raw_33054173'!$B$21</f>
        <v/>
      </c>
      <c r="C42" s="5">
        <f>'balance_raw_33054173'!$C$21</f>
        <v/>
      </c>
      <c r="D42" s="5">
        <f>'balance_raw_33054173'!$D$21</f>
        <v/>
      </c>
      <c r="E42" s="5">
        <f>'balance_raw_33054173'!$E$21</f>
        <v/>
      </c>
      <c r="F42" s="5">
        <f>'balance_raw_33054173'!$F$21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'balance_raw_33054173'!$B$22</f>
        <v/>
      </c>
      <c r="C43" s="8">
        <f>'balance_raw_33054173'!$C$22</f>
        <v/>
      </c>
      <c r="D43" s="8">
        <f>'balance_raw_33054173'!$D$22</f>
        <v/>
      </c>
      <c r="E43" s="8">
        <f>'balance_raw_33054173'!$E$22</f>
        <v/>
      </c>
      <c r="F43" s="8">
        <f>'balance_raw_33054173'!$F$22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'balance_raw_33054173'!$B$23</f>
        <v/>
      </c>
      <c r="C44" s="11">
        <f>'balance_raw_33054173'!$C$23</f>
        <v/>
      </c>
      <c r="D44" s="11">
        <f>'balance_raw_33054173'!$D$23</f>
        <v/>
      </c>
      <c r="E44" s="11">
        <f>'balance_raw_33054173'!$E$23</f>
        <v/>
      </c>
      <c r="F44" s="11">
        <f>'balance_raw_33054173'!$F$23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'balance_raw_33054173'!$B$24</f>
        <v/>
      </c>
      <c r="C45" s="11">
        <f>'balance_raw_33054173'!$C$24</f>
        <v/>
      </c>
      <c r="D45" s="11">
        <f>'balance_raw_33054173'!$D$24</f>
        <v/>
      </c>
      <c r="E45" s="11">
        <f>'balance_raw_33054173'!$E$24</f>
        <v/>
      </c>
      <c r="F45" s="11">
        <f>'balance_raw_33054173'!$F$24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2020</v>
      </c>
      <c r="C47" s="3" t="n">
        <v>2021</v>
      </c>
      <c r="D47" s="3" t="n">
        <v>2022</v>
      </c>
      <c r="E47" s="3" t="n">
        <v>2023</v>
      </c>
      <c r="F47" s="3" t="n">
        <v>2024</v>
      </c>
      <c r="G47" t="inlineStr"/>
      <c r="H47" s="3" t="n">
        <v>2020</v>
      </c>
      <c r="I47" s="3" t="n">
        <v>2021</v>
      </c>
      <c r="J47" s="3" t="n">
        <v>2022</v>
      </c>
      <c r="K47" s="3" t="n">
        <v>2023</v>
      </c>
      <c r="L47" s="3" t="n">
        <v>2024</v>
      </c>
    </row>
    <row r="48" ht="16" customHeight="1">
      <c r="A48" s="4" t="inlineStr">
        <is>
          <t>Selskabskapital</t>
        </is>
      </c>
      <c r="B48" s="5">
        <f>'balance_raw_33054173'!$B$25</f>
        <v/>
      </c>
      <c r="C48" s="5">
        <f>'balance_raw_33054173'!$C$25</f>
        <v/>
      </c>
      <c r="D48" s="5">
        <f>'balance_raw_33054173'!$D$25</f>
        <v/>
      </c>
      <c r="E48" s="5">
        <f>'balance_raw_33054173'!$E$25</f>
        <v/>
      </c>
      <c r="F48" s="5">
        <f>'balance_raw_33054173'!$F$25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'balance_raw_33054173'!$B$26</f>
        <v/>
      </c>
      <c r="C49" s="8">
        <f>'balance_raw_33054173'!$C$26</f>
        <v/>
      </c>
      <c r="D49" s="8">
        <f>'balance_raw_33054173'!$D$26</f>
        <v/>
      </c>
      <c r="E49" s="8">
        <f>'balance_raw_33054173'!$E$26</f>
        <v/>
      </c>
      <c r="F49" s="8">
        <f>'balance_raw_33054173'!$F$26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'balance_raw_33054173'!$B$27</f>
        <v/>
      </c>
      <c r="C50" s="5">
        <f>'balance_raw_33054173'!$C$27</f>
        <v/>
      </c>
      <c r="D50" s="5">
        <f>'balance_raw_33054173'!$D$27</f>
        <v/>
      </c>
      <c r="E50" s="5">
        <f>'balance_raw_33054173'!$E$27</f>
        <v/>
      </c>
      <c r="F50" s="5">
        <f>'balance_raw_33054173'!$F$27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'balance_raw_33054173'!$B$28</f>
        <v/>
      </c>
      <c r="C51" s="8">
        <f>'balance_raw_33054173'!$C$28</f>
        <v/>
      </c>
      <c r="D51" s="8">
        <f>'balance_raw_33054173'!$D$28</f>
        <v/>
      </c>
      <c r="E51" s="8">
        <f>'balance_raw_33054173'!$E$28</f>
        <v/>
      </c>
      <c r="F51" s="8">
        <f>'balance_raw_33054173'!$F$28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'balance_raw_33054173'!$B$29</f>
        <v/>
      </c>
      <c r="C52" s="5">
        <f>'balance_raw_33054173'!$C$29</f>
        <v/>
      </c>
      <c r="D52" s="5">
        <f>'balance_raw_33054173'!$D$29</f>
        <v/>
      </c>
      <c r="E52" s="5">
        <f>'balance_raw_33054173'!$E$29</f>
        <v/>
      </c>
      <c r="F52" s="5">
        <f>'balance_raw_33054173'!$F$29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'balance_raw_33054173'!$B$30</f>
        <v/>
      </c>
      <c r="C53" s="8">
        <f>'balance_raw_33054173'!$C$30</f>
        <v/>
      </c>
      <c r="D53" s="8">
        <f>'balance_raw_33054173'!$D$30</f>
        <v/>
      </c>
      <c r="E53" s="8">
        <f>'balance_raw_33054173'!$E$30</f>
        <v/>
      </c>
      <c r="F53" s="8">
        <f>'balance_raw_33054173'!$F$30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'balance_raw_33054173'!$B$31</f>
        <v/>
      </c>
      <c r="C54" s="11">
        <f>'balance_raw_33054173'!$C$31</f>
        <v/>
      </c>
      <c r="D54" s="11">
        <f>'balance_raw_33054173'!$D$31</f>
        <v/>
      </c>
      <c r="E54" s="11">
        <f>'balance_raw_33054173'!$E$31</f>
        <v/>
      </c>
      <c r="F54" s="11">
        <f>'balance_raw_33054173'!$F$31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'balance_raw_33054173'!$B$32</f>
        <v/>
      </c>
      <c r="C55" s="8">
        <f>'balance_raw_33054173'!$C$32</f>
        <v/>
      </c>
      <c r="D55" s="8">
        <f>'balance_raw_33054173'!$D$32</f>
        <v/>
      </c>
      <c r="E55" s="8">
        <f>'balance_raw_33054173'!$E$32</f>
        <v/>
      </c>
      <c r="F55" s="8">
        <f>'balance_raw_33054173'!$F$32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'balance_raw_33054173'!$B$33</f>
        <v/>
      </c>
      <c r="C56" s="5">
        <f>'balance_raw_33054173'!$C$33</f>
        <v/>
      </c>
      <c r="D56" s="5">
        <f>'balance_raw_33054173'!$D$33</f>
        <v/>
      </c>
      <c r="E56" s="5">
        <f>'balance_raw_33054173'!$E$33</f>
        <v/>
      </c>
      <c r="F56" s="5">
        <f>'balance_raw_33054173'!$F$33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'balance_raw_33054173'!$B$34</f>
        <v/>
      </c>
      <c r="C57" s="8">
        <f>'balance_raw_33054173'!$C$34</f>
        <v/>
      </c>
      <c r="D57" s="8">
        <f>'balance_raw_33054173'!$D$34</f>
        <v/>
      </c>
      <c r="E57" s="8">
        <f>'balance_raw_33054173'!$E$34</f>
        <v/>
      </c>
      <c r="F57" s="8">
        <f>'balance_raw_33054173'!$F$34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'balance_raw_33054173'!$B$35</f>
        <v/>
      </c>
      <c r="C58" s="5">
        <f>'balance_raw_33054173'!$C$35</f>
        <v/>
      </c>
      <c r="D58" s="5">
        <f>'balance_raw_33054173'!$D$35</f>
        <v/>
      </c>
      <c r="E58" s="5">
        <f>'balance_raw_33054173'!$E$35</f>
        <v/>
      </c>
      <c r="F58" s="5">
        <f>'balance_raw_33054173'!$F$35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'balance_raw_33054173'!$B$36</f>
        <v/>
      </c>
      <c r="C59" s="8">
        <f>'balance_raw_33054173'!$C$36</f>
        <v/>
      </c>
      <c r="D59" s="8">
        <f>'balance_raw_33054173'!$D$36</f>
        <v/>
      </c>
      <c r="E59" s="8">
        <f>'balance_raw_33054173'!$E$36</f>
        <v/>
      </c>
      <c r="F59" s="8">
        <f>'balance_raw_33054173'!$F$36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'balance_raw_33054173'!$B$37</f>
        <v/>
      </c>
      <c r="C60" s="5">
        <f>'balance_raw_33054173'!$C$37</f>
        <v/>
      </c>
      <c r="D60" s="5">
        <f>'balance_raw_33054173'!$D$37</f>
        <v/>
      </c>
      <c r="E60" s="5">
        <f>'balance_raw_33054173'!$E$37</f>
        <v/>
      </c>
      <c r="F60" s="5">
        <f>'balance_raw_33054173'!$F$37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'balance_raw_33054173'!$B$38</f>
        <v/>
      </c>
      <c r="C61" s="8">
        <f>'balance_raw_33054173'!$C$38</f>
        <v/>
      </c>
      <c r="D61" s="8">
        <f>'balance_raw_33054173'!$D$38</f>
        <v/>
      </c>
      <c r="E61" s="8">
        <f>'balance_raw_33054173'!$E$38</f>
        <v/>
      </c>
      <c r="F61" s="8">
        <f>'balance_raw_33054173'!$F$38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'balance_raw_33054173'!$B$39</f>
        <v/>
      </c>
      <c r="C62" s="5">
        <f>'balance_raw_33054173'!$C$39</f>
        <v/>
      </c>
      <c r="D62" s="5">
        <f>'balance_raw_33054173'!$D$39</f>
        <v/>
      </c>
      <c r="E62" s="5">
        <f>'balance_raw_33054173'!$E$39</f>
        <v/>
      </c>
      <c r="F62" s="5">
        <f>'balance_raw_33054173'!$F$39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'balance_raw_33054173'!$B$40</f>
        <v/>
      </c>
      <c r="C63" s="8">
        <f>'balance_raw_33054173'!$C$40</f>
        <v/>
      </c>
      <c r="D63" s="8">
        <f>'balance_raw_33054173'!$D$40</f>
        <v/>
      </c>
      <c r="E63" s="8">
        <f>'balance_raw_33054173'!$E$40</f>
        <v/>
      </c>
      <c r="F63" s="8">
        <f>'balance_raw_33054173'!$F$40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'balance_raw_33054173'!$B$41</f>
        <v/>
      </c>
      <c r="C64" s="5">
        <f>'balance_raw_33054173'!$C$41</f>
        <v/>
      </c>
      <c r="D64" s="5">
        <f>'balance_raw_33054173'!$D$41</f>
        <v/>
      </c>
      <c r="E64" s="5">
        <f>'balance_raw_33054173'!$E$41</f>
        <v/>
      </c>
      <c r="F64" s="5">
        <f>'balance_raw_33054173'!$F$41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'balance_raw_33054173'!$B$42</f>
        <v/>
      </c>
      <c r="C65" s="8">
        <f>'balance_raw_33054173'!$C$42</f>
        <v/>
      </c>
      <c r="D65" s="8">
        <f>'balance_raw_33054173'!$D$42</f>
        <v/>
      </c>
      <c r="E65" s="8">
        <f>'balance_raw_33054173'!$E$42</f>
        <v/>
      </c>
      <c r="F65" s="8">
        <f>'balance_raw_33054173'!$F$42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'balance_raw_33054173'!$B$43</f>
        <v/>
      </c>
      <c r="C66" s="11">
        <f>'balance_raw_33054173'!$C$43</f>
        <v/>
      </c>
      <c r="D66" s="11">
        <f>'balance_raw_33054173'!$D$43</f>
        <v/>
      </c>
      <c r="E66" s="11">
        <f>'balance_raw_33054173'!$E$43</f>
        <v/>
      </c>
      <c r="F66" s="11">
        <f>'balance_raw_33054173'!$F$43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'balance_raw_33054173'!$B$44</f>
        <v/>
      </c>
      <c r="C67" s="11">
        <f>'balance_raw_33054173'!$C$44</f>
        <v/>
      </c>
      <c r="D67" s="11">
        <f>'balance_raw_33054173'!$D$44</f>
        <v/>
      </c>
      <c r="E67" s="11">
        <f>'balance_raw_33054173'!$E$44</f>
        <v/>
      </c>
      <c r="F67" s="11">
        <f>'balance_raw_33054173'!$F$44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'balance_raw_33054173'!$B$45</f>
        <v/>
      </c>
      <c r="C68" s="11">
        <f>'balance_raw_33054173'!$C$45</f>
        <v/>
      </c>
      <c r="D68" s="11">
        <f>'balance_raw_33054173'!$D$45</f>
        <v/>
      </c>
      <c r="E68" s="11">
        <f>'balance_raw_33054173'!$E$45</f>
        <v/>
      </c>
      <c r="F68" s="11">
        <f>'balance_raw_33054173'!$F$45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2020</v>
      </c>
      <c r="C70" s="3" t="n">
        <v>2021</v>
      </c>
      <c r="D70" s="3" t="n">
        <v>2022</v>
      </c>
      <c r="E70" s="3" t="n">
        <v>2023</v>
      </c>
      <c r="F70" s="3" t="n">
        <v>2024</v>
      </c>
    </row>
    <row r="71" ht="16" customHeight="1">
      <c r="A71" s="7" t="inlineStr">
        <is>
          <t>Gns. antal medarbejdere</t>
        </is>
      </c>
      <c r="B71" s="8">
        <f>'res_raw_33054173'!$B$19</f>
        <v/>
      </c>
      <c r="C71" s="8">
        <f>'res_raw_33054173'!$C$19</f>
        <v/>
      </c>
      <c r="D71" s="8">
        <f>'res_raw_33054173'!$D$19</f>
        <v/>
      </c>
      <c r="E71" s="8">
        <f>'res_raw_33054173'!$E$19</f>
        <v/>
      </c>
      <c r="F71" s="8">
        <f>'res_raw_33054173'!$F$19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'res_raw_33054173'!$B$20</f>
        <v/>
      </c>
      <c r="C72" s="5">
        <f>'res_raw_33054173'!$C$20</f>
        <v/>
      </c>
      <c r="D72" s="5">
        <f>'res_raw_33054173'!$D$20</f>
        <v/>
      </c>
      <c r="E72" s="5">
        <f>'res_raw_33054173'!$E$20</f>
        <v/>
      </c>
      <c r="F72" s="5">
        <f>'res_raw_33054173'!$F$20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2020</v>
      </c>
      <c r="C74" s="3" t="n">
        <v>2021</v>
      </c>
      <c r="D74" s="3" t="n">
        <v>2022</v>
      </c>
      <c r="E74" s="3" t="n">
        <v>2023</v>
      </c>
      <c r="F74" s="3" t="n">
        <v>2024</v>
      </c>
    </row>
    <row r="75" ht="16" customHeight="1">
      <c r="A75" s="7" t="inlineStr">
        <is>
          <t>Afkastningsgrad, %</t>
        </is>
      </c>
      <c r="B75" s="13">
        <f>IFERROR(($B$13+$B$15+$B$14)/$B$45*100,"")</f>
        <v/>
      </c>
      <c r="C75" s="13">
        <f>IFERROR(($C$13+$C$15+$C$14)/$C$45*100,"")</f>
        <v/>
      </c>
      <c r="D75" s="13">
        <f>IFERROR(($D$13+$D$15+$D$14)/$D$45*100,"")</f>
        <v/>
      </c>
      <c r="E75" s="13">
        <f>IFERROR(($E$13+$E$15+$E$14)/$E$45*100,"")</f>
        <v/>
      </c>
      <c r="F75" s="13">
        <f>IFERROR(($F$13+$F$15+$F$14)/$F$45*100,"")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IFERROR($B$4/$B$45,"")</f>
        <v/>
      </c>
      <c r="C77" s="13">
        <f>IFERROR($C$4/$C$45,"")</f>
        <v/>
      </c>
      <c r="D77" s="13">
        <f>IFERROR($D$4/$D$45,"")</f>
        <v/>
      </c>
      <c r="E77" s="13">
        <f>IFERROR($E$4/$E$45,"")</f>
        <v/>
      </c>
      <c r="F77" s="13">
        <f>IFERROR($F$4/$F$45,"")</f>
        <v/>
      </c>
    </row>
    <row r="78" ht="16" customHeight="1">
      <c r="A78" s="4" t="inlineStr">
        <is>
          <t>Egenkapitalens forrentning, %</t>
        </is>
      </c>
      <c r="B78" s="14">
        <f>IFERROR($B$18/$B$54*100,"")</f>
        <v/>
      </c>
      <c r="C78" s="14">
        <f>IFERROR($C$18/$C$54*100,"")</f>
        <v/>
      </c>
      <c r="D78" s="14">
        <f>IFERROR($D$18/$D$54*100,"")</f>
        <v/>
      </c>
      <c r="E78" s="14">
        <f>IFERROR($E$18/$E$54*100,"")</f>
        <v/>
      </c>
      <c r="F78" s="14">
        <f>IFERROR($F$18/$F$54*100,"")</f>
        <v/>
      </c>
    </row>
    <row r="79" ht="16" customHeight="1">
      <c r="A79" s="7" t="inlineStr">
        <is>
          <t>Gældsrente, %</t>
        </is>
      </c>
      <c r="B79" s="13">
        <f>IFERROR($B$16/($B$68-$B$54)*100,"")</f>
        <v/>
      </c>
      <c r="C79" s="13">
        <f>IFERROR($C$16/($C$68-$C$54)*100,"")</f>
        <v/>
      </c>
      <c r="D79" s="13">
        <f>IFERROR($D$16/($D$68-$D$54)*100,"")</f>
        <v/>
      </c>
      <c r="E79" s="13">
        <f>IFERROR($E$16/($E$68-$E$54)*100,"")</f>
        <v/>
      </c>
      <c r="F79" s="13">
        <f>IFERROR($F$16/($F$68-$F$54)*100,"")</f>
        <v/>
      </c>
    </row>
    <row r="80" ht="16" customHeight="1">
      <c r="A80" s="4" t="inlineStr">
        <is>
          <t>Soliditetsgrad, %</t>
        </is>
      </c>
      <c r="B80" s="14">
        <f>IFERROR($B$54/$B$45*100,"")</f>
        <v/>
      </c>
      <c r="C80" s="14">
        <f>IFERROR($C$54/$C$45*100,"")</f>
        <v/>
      </c>
      <c r="D80" s="14">
        <f>IFERROR($D$54/$D$45*100,"")</f>
        <v/>
      </c>
      <c r="E80" s="14">
        <f>IFERROR($E$54/$E$45*100,"")</f>
        <v/>
      </c>
      <c r="F80" s="14">
        <f>IFERROR($F$54/$F$45*100,"")</f>
        <v/>
      </c>
    </row>
    <row r="81" ht="16" customHeight="1">
      <c r="A81" s="7" t="inlineStr">
        <is>
          <t>Gearing</t>
        </is>
      </c>
      <c r="B81" s="13">
        <f>IFERROR(($B$68-$B$54)/$B$54,"")</f>
        <v/>
      </c>
      <c r="C81" s="13">
        <f>IFERROR(($C$68-$C$54)/$C$54,"")</f>
        <v/>
      </c>
      <c r="D81" s="13">
        <f>IFERROR(($D$68-$D$54)/$D$54,"")</f>
        <v/>
      </c>
      <c r="E81" s="13">
        <f>IFERROR(($E$68-$E$54)/$E$54,"")</f>
        <v/>
      </c>
      <c r="F81" s="13">
        <f>IFERROR(($F$68-$F$54)/$F$54,"")</f>
        <v/>
      </c>
    </row>
    <row r="82" ht="16" customHeight="1">
      <c r="A82" s="4" t="inlineStr">
        <is>
          <t>Likviditetsgrad, %</t>
        </is>
      </c>
      <c r="B82" s="14">
        <f>IFERROR($B$44/$B$66*100,"")</f>
        <v/>
      </c>
      <c r="C82" s="14">
        <f>IFERROR($C$44/$C$66*100,"")</f>
        <v/>
      </c>
      <c r="D82" s="14">
        <f>IFERROR($D$44/$D$66*100,"")</f>
        <v/>
      </c>
      <c r="E82" s="14">
        <f>IFERROR($E$44/$E$66*100,"")</f>
        <v/>
      </c>
      <c r="F82" s="14">
        <f>IFERROR($F$44/$F$66*100,"")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IFERROR(($B$68-$B$54)/$B$45*100,"")</f>
        <v/>
      </c>
      <c r="C84" s="14">
        <f>IFERROR(($C$68-$C$54)/$C$45*100,"")</f>
        <v/>
      </c>
      <c r="D84" s="14">
        <f>IFERROR(($D$68-$D$54)/$D$45*100,"")</f>
        <v/>
      </c>
      <c r="E84" s="14">
        <f>IFERROR(($E$68-$E$54)/$E$45*100,"")</f>
        <v/>
      </c>
      <c r="F84" s="14">
        <f>IFERROR(($F$68-$F$54)/$F$45*100,"")</f>
        <v/>
      </c>
    </row>
    <row r="85" ht="16" customHeight="1">
      <c r="A85" s="7" t="inlineStr">
        <is>
          <t>Kapitalbindingsgrad, %</t>
        </is>
      </c>
      <c r="B85" s="13">
        <f>IFERROR($B$29/($B$54+0)*100,"")</f>
        <v/>
      </c>
      <c r="C85" s="13">
        <f>IFERROR($C$29/($C$54+0)*100,"")</f>
        <v/>
      </c>
      <c r="D85" s="13">
        <f>IFERROR($D$29/($D$54+0)*100,"")</f>
        <v/>
      </c>
      <c r="E85" s="13">
        <f>IFERROR($E$29/($E$54+0)*100,"")</f>
        <v/>
      </c>
      <c r="F85" s="13">
        <f>IFERROR($F$29/($F$54+0)*100,"")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1357</v>
      </c>
      <c r="C6" s="16" t="n">
        <v>1095</v>
      </c>
      <c r="D6" s="16" t="n">
        <v>1507</v>
      </c>
      <c r="E6" s="16" t="n">
        <v>1493</v>
      </c>
      <c r="F6" s="16" t="n">
        <v>1250</v>
      </c>
    </row>
    <row r="7">
      <c r="A7" s="15" t="inlineStr">
        <is>
          <t>Personaleomkostninger</t>
        </is>
      </c>
      <c r="B7" s="16" t="n">
        <v>847</v>
      </c>
      <c r="C7" s="16" t="n">
        <v>839</v>
      </c>
      <c r="D7" s="16" t="n">
        <v>981</v>
      </c>
      <c r="E7" s="16" t="n">
        <v>1120</v>
      </c>
      <c r="F7" s="16" t="n">
        <v>1053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31</v>
      </c>
      <c r="C9" s="16" t="n">
        <v>90</v>
      </c>
      <c r="D9" s="16" t="n">
        <v>119</v>
      </c>
      <c r="E9" s="16" t="n">
        <v>113</v>
      </c>
      <c r="F9" s="16" t="n">
        <v>109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480</v>
      </c>
      <c r="C11" s="16" t="n">
        <v>165</v>
      </c>
      <c r="D11" s="16" t="n">
        <v>408</v>
      </c>
      <c r="E11" s="16" t="n">
        <v>260</v>
      </c>
      <c r="F11" s="16" t="n">
        <v>88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</v>
      </c>
      <c r="C13" s="16" t="n">
        <v>0</v>
      </c>
      <c r="D13" s="16" t="n"/>
      <c r="E13" s="16" t="n">
        <v>0</v>
      </c>
      <c r="F13" s="16" t="n">
        <v>1</v>
      </c>
    </row>
    <row r="14">
      <c r="A14" s="15" t="inlineStr">
        <is>
          <t>Finansielle omkostninger</t>
        </is>
      </c>
      <c r="B14" s="16" t="n">
        <v>11</v>
      </c>
      <c r="C14" s="16" t="n">
        <v>11</v>
      </c>
      <c r="D14" s="16" t="n">
        <v>7</v>
      </c>
      <c r="E14" s="16" t="n">
        <v>11</v>
      </c>
      <c r="F14" s="16" t="n">
        <v>25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472</v>
      </c>
      <c r="C16" s="16" t="n">
        <v>154</v>
      </c>
      <c r="D16" s="16" t="n">
        <v>400</v>
      </c>
      <c r="E16" s="16" t="n">
        <v>250</v>
      </c>
      <c r="F16" s="16" t="n">
        <v>64</v>
      </c>
    </row>
    <row r="17">
      <c r="A17" s="15" t="inlineStr">
        <is>
          <t>Skat af årets resultat</t>
        </is>
      </c>
      <c r="B17" s="16" t="n">
        <v>1</v>
      </c>
      <c r="C17" s="16" t="n">
        <v>36</v>
      </c>
      <c r="D17" s="16" t="n">
        <v>87</v>
      </c>
      <c r="E17" s="16" t="n">
        <v>58</v>
      </c>
      <c r="F17" s="16" t="n">
        <v>15</v>
      </c>
    </row>
    <row r="18">
      <c r="A18" s="17" t="inlineStr">
        <is>
          <t>Årets resultat</t>
        </is>
      </c>
      <c r="B18" s="16" t="n">
        <v>471</v>
      </c>
      <c r="C18" s="16" t="n">
        <v>118</v>
      </c>
      <c r="D18" s="16" t="n">
        <v>313</v>
      </c>
      <c r="E18" s="16" t="n">
        <v>192</v>
      </c>
      <c r="F18" s="16" t="n">
        <v>49</v>
      </c>
    </row>
    <row r="19">
      <c r="A19" s="15" t="inlineStr">
        <is>
          <t>Gns. antal medarbejdere</t>
        </is>
      </c>
      <c r="B19" s="16" t="n">
        <v>2</v>
      </c>
      <c r="C19" s="16" t="n">
        <v>2</v>
      </c>
      <c r="D19" s="16" t="n">
        <v>2</v>
      </c>
      <c r="E19" s="16" t="n">
        <v>2</v>
      </c>
      <c r="F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>
        <v>0</v>
      </c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43</v>
      </c>
      <c r="C4" s="16" t="n">
        <v>110</v>
      </c>
      <c r="D4" s="16" t="n">
        <v>83</v>
      </c>
      <c r="E4" s="16" t="n">
        <v>55</v>
      </c>
      <c r="F4" s="16" t="n">
        <v>31</v>
      </c>
    </row>
    <row r="5">
      <c r="A5" s="15" t="inlineStr">
        <is>
          <t>Indretning af lejede lokaler</t>
        </is>
      </c>
      <c r="B5" s="16" t="n">
        <v>702</v>
      </c>
      <c r="C5" s="16" t="n">
        <v>836</v>
      </c>
      <c r="D5" s="16" t="n">
        <v>745</v>
      </c>
      <c r="E5" s="16" t="n">
        <v>612</v>
      </c>
      <c r="F5" s="16" t="n">
        <v>527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745</v>
      </c>
      <c r="C7" s="16" t="n">
        <v>946</v>
      </c>
      <c r="D7" s="16" t="n">
        <v>827</v>
      </c>
      <c r="E7" s="16" t="n">
        <v>667</v>
      </c>
      <c r="F7" s="16" t="n">
        <v>558</v>
      </c>
    </row>
    <row r="8">
      <c r="A8" s="17" t="inlineStr">
        <is>
          <t>Anlægsaktiver</t>
        </is>
      </c>
      <c r="B8" s="16" t="n">
        <v>745</v>
      </c>
      <c r="C8" s="16" t="n">
        <v>946</v>
      </c>
      <c r="D8" s="16" t="n">
        <v>827</v>
      </c>
      <c r="E8" s="16" t="n">
        <v>667</v>
      </c>
      <c r="F8" s="16" t="n">
        <v>558</v>
      </c>
    </row>
    <row r="9">
      <c r="A9" s="15" t="inlineStr">
        <is>
          <t>Råvarer og hjælpematerialer</t>
        </is>
      </c>
      <c r="B9" s="16" t="n">
        <v>180</v>
      </c>
      <c r="C9" s="16" t="n">
        <v>180</v>
      </c>
      <c r="D9" s="16" t="n">
        <v>180</v>
      </c>
      <c r="E9" s="16" t="n">
        <v>121</v>
      </c>
      <c r="F9" s="16" t="n">
        <v>135</v>
      </c>
    </row>
    <row r="10">
      <c r="A10" s="15" t="inlineStr">
        <is>
          <t>Varer under fremstilling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Færdigvarer og handelsvarer</t>
        </is>
      </c>
      <c r="B11" s="16" t="n">
        <v>50</v>
      </c>
      <c r="C11" s="16" t="n">
        <v>0</v>
      </c>
      <c r="D11" s="16" t="n">
        <v>210</v>
      </c>
      <c r="E11" s="16" t="n">
        <v>690</v>
      </c>
      <c r="F11" s="16" t="n">
        <v>525</v>
      </c>
    </row>
    <row r="12">
      <c r="A12" s="17" t="inlineStr">
        <is>
          <t>Varebeholdninger</t>
        </is>
      </c>
      <c r="B12" s="16" t="n">
        <v>230</v>
      </c>
      <c r="C12" s="16" t="n">
        <v>180</v>
      </c>
      <c r="D12" s="16" t="n">
        <v>390</v>
      </c>
      <c r="E12" s="16" t="n">
        <v>811</v>
      </c>
      <c r="F12" s="16" t="n">
        <v>660</v>
      </c>
    </row>
    <row r="13">
      <c r="A13" s="15" t="inlineStr">
        <is>
          <t>Tilgodehavender fra salg og tjenesteydelser</t>
        </is>
      </c>
      <c r="B13" s="16" t="n">
        <v>275</v>
      </c>
      <c r="C13" s="16" t="n">
        <v>236</v>
      </c>
      <c r="D13" s="16" t="n">
        <v>161</v>
      </c>
      <c r="E13" s="16" t="n">
        <v>351</v>
      </c>
      <c r="F13" s="16" t="n">
        <v>320</v>
      </c>
    </row>
    <row r="14">
      <c r="A14" s="15" t="inlineStr">
        <is>
          <t>Tilgodehavender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Andre tilgodehavender</t>
        </is>
      </c>
      <c r="B15" s="16" t="n">
        <v>0</v>
      </c>
      <c r="C15" s="16" t="n"/>
      <c r="D15" s="16" t="n"/>
      <c r="E15" s="16" t="n"/>
      <c r="F15" s="16" t="n"/>
    </row>
    <row r="16">
      <c r="A16" s="15" t="inlineStr">
        <is>
          <t>Periodeafgrænsningsposter (aktiver)</t>
        </is>
      </c>
      <c r="B16" s="16" t="n">
        <v>16</v>
      </c>
      <c r="C16" s="16" t="n">
        <v>75</v>
      </c>
      <c r="D16" s="16" t="n">
        <v>68</v>
      </c>
      <c r="E16" s="16" t="n">
        <v>69</v>
      </c>
      <c r="F16" s="16" t="n">
        <v>65</v>
      </c>
    </row>
    <row r="17">
      <c r="A17" s="15" t="inlineStr">
        <is>
          <t>Udskudt skatteaktiv</t>
        </is>
      </c>
      <c r="B17" s="16" t="n">
        <v>128</v>
      </c>
      <c r="C17" s="16" t="n">
        <v>93</v>
      </c>
      <c r="D17" s="16" t="n">
        <v>14</v>
      </c>
      <c r="E17" s="16" t="n">
        <v>11</v>
      </c>
      <c r="F17" s="16" t="n">
        <v>4</v>
      </c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/>
      <c r="C19" s="16" t="n"/>
      <c r="D19" s="16" t="n"/>
      <c r="E19" s="16" t="n"/>
      <c r="F19" s="16" t="n"/>
    </row>
    <row r="20">
      <c r="A20" s="17" t="inlineStr">
        <is>
          <t>Tilgodehavender</t>
        </is>
      </c>
      <c r="B20" s="16" t="n">
        <v>419</v>
      </c>
      <c r="C20" s="16" t="n">
        <v>403</v>
      </c>
      <c r="D20" s="16" t="n">
        <v>243</v>
      </c>
      <c r="E20" s="16" t="n">
        <v>432</v>
      </c>
      <c r="F20" s="16" t="n">
        <v>389</v>
      </c>
    </row>
    <row r="21">
      <c r="A21" s="15" t="inlineStr">
        <is>
          <t>Værdipapirer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475</v>
      </c>
      <c r="C22" s="16" t="n">
        <v>483</v>
      </c>
      <c r="D22" s="16" t="n">
        <v>469</v>
      </c>
      <c r="E22" s="16" t="n">
        <v>297</v>
      </c>
      <c r="F22" s="16" t="n">
        <v>588</v>
      </c>
    </row>
    <row r="23">
      <c r="A23" s="17" t="inlineStr">
        <is>
          <t>Omsætningsaktiver</t>
        </is>
      </c>
      <c r="B23" s="16" t="n">
        <v>1123</v>
      </c>
      <c r="C23" s="16" t="n">
        <v>1066</v>
      </c>
      <c r="D23" s="16" t="n">
        <v>1101</v>
      </c>
      <c r="E23" s="16" t="n">
        <v>1540</v>
      </c>
      <c r="F23" s="16" t="n">
        <v>1637</v>
      </c>
    </row>
    <row r="24">
      <c r="A24" s="17" t="inlineStr">
        <is>
          <t>Aktiver</t>
        </is>
      </c>
      <c r="B24" s="16" t="n">
        <v>1868</v>
      </c>
      <c r="C24" s="16" t="n">
        <v>2012</v>
      </c>
      <c r="D24" s="16" t="n">
        <v>1928</v>
      </c>
      <c r="E24" s="16" t="n">
        <v>2207</v>
      </c>
      <c r="F24" s="16" t="n">
        <v>2195</v>
      </c>
    </row>
    <row r="25">
      <c r="A25" s="15" t="inlineStr">
        <is>
          <t>Selskabskapital</t>
        </is>
      </c>
      <c r="B25" s="16" t="n">
        <v>125</v>
      </c>
      <c r="C25" s="16" t="n">
        <v>125</v>
      </c>
      <c r="D25" s="16" t="n">
        <v>125</v>
      </c>
      <c r="E25" s="16" t="n">
        <v>125</v>
      </c>
      <c r="F25" s="16" t="n">
        <v>125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Overført resultat</t>
        </is>
      </c>
      <c r="B30" s="16" t="n">
        <v>634</v>
      </c>
      <c r="C30" s="16" t="n">
        <v>752</v>
      </c>
      <c r="D30" s="16" t="n">
        <v>1065</v>
      </c>
      <c r="E30" s="16" t="n">
        <v>1257</v>
      </c>
      <c r="F30" s="16" t="n">
        <v>1307</v>
      </c>
    </row>
    <row r="31">
      <c r="A31" s="17" t="inlineStr">
        <is>
          <t>Egenkapital i alt</t>
        </is>
      </c>
      <c r="B31" s="16" t="n">
        <v>759</v>
      </c>
      <c r="C31" s="16" t="n">
        <v>877</v>
      </c>
      <c r="D31" s="16" t="n">
        <v>1190</v>
      </c>
      <c r="E31" s="16" t="n">
        <v>1382</v>
      </c>
      <c r="F31" s="16" t="n">
        <v>1432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Kreditinstitutter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Leverandører af varer og tjenesteydelser</t>
        </is>
      </c>
      <c r="B36" s="16" t="n">
        <v>216</v>
      </c>
      <c r="C36" s="16" t="n">
        <v>520</v>
      </c>
      <c r="D36" s="16" t="n">
        <v>281</v>
      </c>
      <c r="E36" s="16" t="n">
        <v>113</v>
      </c>
      <c r="F36" s="16" t="n">
        <v>113</v>
      </c>
    </row>
    <row r="37">
      <c r="A37" s="15" t="inlineStr">
        <is>
          <t>Gæld til tilknyttede virksomheder</t>
        </is>
      </c>
      <c r="B37" s="16" t="n">
        <v>383</v>
      </c>
      <c r="C37" s="16" t="n">
        <v>247</v>
      </c>
      <c r="D37" s="16" t="n">
        <v>258</v>
      </c>
      <c r="E37" s="16" t="n">
        <v>269</v>
      </c>
      <c r="F37" s="16" t="n">
        <v>324</v>
      </c>
    </row>
    <row r="38">
      <c r="A38" s="15" t="inlineStr">
        <is>
          <t>Gæld til selskabsdeltagere og ledelse</t>
        </is>
      </c>
      <c r="B38" s="16" t="n"/>
      <c r="C38" s="16" t="n">
        <v>19</v>
      </c>
      <c r="D38" s="16" t="n">
        <v>0</v>
      </c>
      <c r="E38" s="16" t="n">
        <v>2</v>
      </c>
      <c r="F38" s="16" t="n">
        <v>0</v>
      </c>
    </row>
    <row r="39">
      <c r="A39" s="15" t="inlineStr">
        <is>
          <t>Selskabsskat</t>
        </is>
      </c>
      <c r="B39" s="16" t="n"/>
      <c r="C39" s="16" t="n"/>
      <c r="D39" s="16" t="n">
        <v>8</v>
      </c>
      <c r="E39" s="16" t="n">
        <v>55</v>
      </c>
      <c r="F39" s="16" t="n">
        <v>8</v>
      </c>
    </row>
    <row r="40">
      <c r="A40" s="15" t="inlineStr">
        <is>
          <t>Gæld til tilknyttede virksomheder vedr. selskabsskat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Anden gæld (kortfristet)</t>
        </is>
      </c>
      <c r="B41" s="16" t="n">
        <v>510</v>
      </c>
      <c r="C41" s="16" t="n">
        <v>350</v>
      </c>
      <c r="D41" s="16" t="n">
        <v>191</v>
      </c>
      <c r="E41" s="16" t="n">
        <v>385</v>
      </c>
      <c r="F41" s="16" t="n">
        <v>319</v>
      </c>
    </row>
    <row r="42">
      <c r="A42" s="15" t="inlineStr">
        <is>
          <t>Periodeafgrænsningsposter (passiver)</t>
        </is>
      </c>
      <c r="B42" s="16" t="n"/>
      <c r="C42" s="16" t="n"/>
      <c r="D42" s="16" t="n"/>
      <c r="E42" s="16" t="n"/>
      <c r="F42" s="16" t="n"/>
    </row>
    <row r="43">
      <c r="A43" s="17" t="inlineStr">
        <is>
          <t>Kortfristede gældsforpligtelser</t>
        </is>
      </c>
      <c r="B43" s="16" t="n">
        <v>1110</v>
      </c>
      <c r="C43" s="16" t="n">
        <v>1135</v>
      </c>
      <c r="D43" s="16" t="n">
        <v>738</v>
      </c>
      <c r="E43" s="16" t="n">
        <v>824</v>
      </c>
      <c r="F43" s="16" t="n">
        <v>764</v>
      </c>
    </row>
    <row r="44">
      <c r="A44" s="17" t="inlineStr">
        <is>
          <t>Gældsforpligtelser</t>
        </is>
      </c>
      <c r="B44" s="16" t="n">
        <v>1110</v>
      </c>
      <c r="C44" s="16" t="n">
        <v>1135</v>
      </c>
      <c r="D44" s="16" t="n">
        <v>738</v>
      </c>
      <c r="E44" s="16" t="n">
        <v>824</v>
      </c>
      <c r="F44" s="16" t="n">
        <v>764</v>
      </c>
    </row>
    <row r="45">
      <c r="A45" s="17" t="inlineStr">
        <is>
          <t>Passiver</t>
        </is>
      </c>
      <c r="B45" s="16" t="n">
        <v>1868</v>
      </c>
      <c r="C45" s="16" t="n">
        <v>2012</v>
      </c>
      <c r="D45" s="16" t="n">
        <v>1928</v>
      </c>
      <c r="E45" s="16" t="n">
        <v>2207</v>
      </c>
      <c r="F45" s="16" t="n">
        <v>2195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33054173)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'res_raw_33054173'!$F$2</f>
        <v/>
      </c>
      <c r="C5" s="24">
        <f>'res_raw_33054173'!$E$2</f>
        <v/>
      </c>
      <c r="D5" s="24">
        <f>'res_raw_33054173'!$D$2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'res_raw_33054173'!$F$3</f>
        <v/>
      </c>
      <c r="C6" s="24">
        <f>'res_raw_33054173'!$E$3</f>
        <v/>
      </c>
      <c r="D6" s="24">
        <f>'res_raw_33054173'!$D$3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-'res_raw_33054173'!$F$4</f>
        <v/>
      </c>
      <c r="C7" s="24">
        <f>-'res_raw_33054173'!$E$4</f>
        <v/>
      </c>
      <c r="D7" s="24">
        <f>-'res_raw_33054173'!$D$4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-'res_raw_33054173'!$F$5</f>
        <v/>
      </c>
      <c r="C8" s="24">
        <f>-'res_raw_33054173'!$E$5</f>
        <v/>
      </c>
      <c r="D8" s="24">
        <f>-'res_raw_33054173'!$D$5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-'res_raw_33054173'!$F$7</f>
        <v/>
      </c>
      <c r="C10" s="24">
        <f>-'res_raw_33054173'!$E$7</f>
        <v/>
      </c>
      <c r="D10" s="24">
        <f>-'res_raw_33054173'!$D$7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-'res_raw_33054173'!$F$9</f>
        <v/>
      </c>
      <c r="C11" s="24">
        <f>-'res_raw_33054173'!$E$9</f>
        <v/>
      </c>
      <c r="D11" s="24">
        <f>-'res_raw_33054173'!$D$9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-'res_raw_33054173'!$F$10</f>
        <v/>
      </c>
      <c r="C12" s="24">
        <f>-'res_raw_33054173'!$E$10</f>
        <v/>
      </c>
      <c r="D12" s="24">
        <f>-'res_raw_33054173'!$D$10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N('res_raw_33054173'!$F$12)+N('res_raw_33054173'!$F$13)</f>
        <v/>
      </c>
      <c r="C14" s="24">
        <f>N('res_raw_33054173'!$E$12)+N('res_raw_33054173'!$E$13)</f>
        <v/>
      </c>
      <c r="D14" s="24">
        <f>N('res_raw_33054173'!$D$12)+N('res_raw_33054173'!$D$13)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-'res_raw_33054173'!$F$14</f>
        <v/>
      </c>
      <c r="C15" s="24">
        <f>-'res_raw_33054173'!$E$14</f>
        <v/>
      </c>
      <c r="D15" s="24">
        <f>-'res_raw_33054173'!$D$14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'balance_raw_33054173'!$F$8</f>
        <v/>
      </c>
      <c r="C19" s="24">
        <f>'balance_raw_33054173'!$E$8</f>
        <v/>
      </c>
      <c r="D19" s="24">
        <f>'balance_raw_33054173'!$D$8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'balance_raw_33054173'!$F$23</f>
        <v/>
      </c>
      <c r="C20" s="24">
        <f>'balance_raw_33054173'!$E$23</f>
        <v/>
      </c>
      <c r="D20" s="24">
        <f>'balance_raw_33054173'!$D$23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'balance_raw_33054173'!$F$31</f>
        <v/>
      </c>
      <c r="C23" s="24">
        <f>'balance_raw_33054173'!$E$31</f>
        <v/>
      </c>
      <c r="D23" s="24">
        <f>'balance_raw_33054173'!$D$31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'balance_raw_33054173'!$F$45-'balance_raw_33054173'!$F$31</f>
        <v/>
      </c>
      <c r="C24" s="24">
        <f>'balance_raw_33054173'!$E$45-'balance_raw_33054173'!$E$31</f>
        <v/>
      </c>
      <c r="D24" s="24">
        <f>'balance_raw_33054173'!$D$45-'balance_raw_33054173'!$D$31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'balance_raw_33054173'!$F$12</f>
        <v/>
      </c>
      <c r="C28" s="24">
        <f>'balance_raw_33054173'!$E$12</f>
        <v/>
      </c>
      <c r="D28" s="24">
        <f>'balance_raw_33054173'!$D$12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'balance_raw_33054173'!$F$13</f>
        <v/>
      </c>
      <c r="C29" s="24">
        <f>'balance_raw_33054173'!$E$13</f>
        <v/>
      </c>
      <c r="D29" s="24">
        <f>'balance_raw_33054173'!$D$13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'balance_raw_33054173'!$F$43</f>
        <v/>
      </c>
      <c r="C30" s="24">
        <f>'balance_raw_33054173'!$E$43</f>
        <v/>
      </c>
      <c r="D30" s="24">
        <f>'balance_raw_33054173'!$D$43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IF('balance_raw_33054173'!$F$24="","—",IF(ABS(B21-'balance_raw_33054173'!$F$24)&lt;=1,"✓ OK","❌ "&amp;TEXT(B21-'balance_raw_33054173'!$F$24,"+#,##0;-#,##0")&amp;" t.kr."))</f>
        <v/>
      </c>
      <c r="C61" s="29">
        <f>IF('balance_raw_33054173'!$E$24="","—",IF(ABS(C21-'balance_raw_33054173'!$E$24)&lt;=1,"✓ OK","❌ "&amp;TEXT(C21-'balance_raw_33054173'!$E$24,"+#,##0;-#,##0")&amp;" t.kr."))</f>
        <v/>
      </c>
      <c r="D61" s="29">
        <f>IF('balance_raw_33054173'!$D$24="","—",IF(ABS(D21-'balance_raw_33054173'!$D$24)&lt;=1,"✓ OK","❌ "&amp;TEXT(D21-'balance_raw_33054173'!$D$24,"+#,##0;-#,##0")&amp;"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IF('balance_raw_33054173'!$F$45="","—",IF(ABS(B25-'balance_raw_33054173'!$F$45)&lt;=1,"✓ OK","❌ "&amp;TEXT(B25-'balance_raw_33054173'!$F$45,"+#,##0;-#,##0")&amp;" t.kr."))</f>
        <v/>
      </c>
      <c r="C62" s="29">
        <f>IF('balance_raw_33054173'!$E$45="","—",IF(ABS(C25-'balance_raw_33054173'!$E$45)&lt;=1,"✓ OK","❌ "&amp;TEXT(C25-'balance_raw_33054173'!$E$45,"+#,##0;-#,##0")&amp;" t.kr."))</f>
        <v/>
      </c>
      <c r="D62" s="29">
        <f>IF('balance_raw_33054173'!$D$45="","—",IF(ABS(D25-'balance_raw_33054173'!$D$45)&lt;=1,"✓ OK","❌ "&amp;TEXT(D25-'balance_raw_33054173'!$D$45,"+#,##0;-#,##0")&amp;"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IF('res_raw_33054173'!$F$6="","—",IF(ABS(B9-'res_raw_33054173'!$F$6)&lt;=1,"✓ OK","❌ "&amp;TEXT(B9-'res_raw_33054173'!$F$6,"+#,##0;-#,##0")&amp;" t.kr."))</f>
        <v/>
      </c>
      <c r="C64" s="29">
        <f>IF('res_raw_33054173'!$E$6="","—",IF(ABS(C9-'res_raw_33054173'!$E$6)&lt;=1,"✓ OK","❌ "&amp;TEXT(C9-'res_raw_33054173'!$E$6,"+#,##0;-#,##0")&amp;" t.kr."))</f>
        <v/>
      </c>
      <c r="D64" s="29">
        <f>IF('res_raw_33054173'!$D$6="","—",IF(ABS(D9-'res_raw_33054173'!$D$6)&lt;=1,"✓ OK","❌ "&amp;TEXT(D9-'res_raw_33054173'!$D$6,"+#,##0;-#,##0")&amp;"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IF('res_raw_33054173'!$F$11="","—",IF(ABS(B13-'res_raw_33054173'!$F$11)&lt;=1,"✓ OK","❌ "&amp;TEXT(B13-'res_raw_33054173'!$F$11,"+#,##0;-#,##0")&amp;" t.kr."))</f>
        <v/>
      </c>
      <c r="C65" s="29">
        <f>IF('res_raw_33054173'!$E$11="","—",IF(ABS(C13-'res_raw_33054173'!$E$11)&lt;=1,"✓ OK","❌ "&amp;TEXT(C13-'res_raw_33054173'!$E$11,"+#,##0;-#,##0")&amp;" t.kr."))</f>
        <v/>
      </c>
      <c r="D65" s="29">
        <f>IF('res_raw_33054173'!$D$11="","—",IF(ABS(D13-'res_raw_33054173'!$D$11)&lt;=1,"✓ OK","❌ "&amp;TEXT(D13-'res_raw_33054173'!$D$11,"+#,##0;-#,##0")&amp;"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IF('res_raw_33054173'!$F$16="","—",IF(ABS(B16-'res_raw_33054173'!$F$16)&lt;=1,"✓ OK","❌ "&amp;TEXT(B16-'res_raw_33054173'!$F$16,"+#,##0;-#,##0")&amp;" t.kr."))</f>
        <v/>
      </c>
      <c r="C66" s="29">
        <f>IF('res_raw_33054173'!$E$16="","—",IF(ABS(C16-'res_raw_33054173'!$E$16)&lt;=1,"✓ OK","❌ "&amp;TEXT(C16-'res_raw_33054173'!$E$16,"+#,##0;-#,##0")&amp;" t.kr."))</f>
        <v/>
      </c>
      <c r="D66" s="29">
        <f>IF('res_raw_33054173'!$D$16="","—",IF(ABS(D16-'res_raw_33054173'!$D$16)&lt;=1,"✓ OK","❌ "&amp;TEXT(D16-'res_raw_33054173'!$D$16,"+#,##0;-#,##0")&amp;"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2026-09-07T19:38:40Z</dcterms:created>
  <dcterms:modified xmlns:dcterms="http://purl.org/dc/terms/" xmlns:xsi="http://www.w3.org/2001/XMLSchema-instance" xsi:type="dcterms:W3CDTF">2026-09-07T19:38:41Z</dcterms:modified>
</cp:coreProperties>
</file>