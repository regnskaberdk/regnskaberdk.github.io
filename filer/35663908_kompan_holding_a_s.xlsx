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5663908" sheetId="1" state="visible" r:id="rId1"/>
    <sheet xmlns:r="http://schemas.openxmlformats.org/officeDocument/2006/relationships" name="res_raw_35663908" sheetId="2" state="visible" r:id="rId2"/>
    <sheet xmlns:r="http://schemas.openxmlformats.org/officeDocument/2006/relationships" name="balance_raw_35663908" sheetId="3" state="visible" r:id="rId3"/>
    <sheet xmlns:r="http://schemas.openxmlformats.org/officeDocument/2006/relationships" name="pengestrom_raw_3566390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KOMPAN Holding A/S (CVR 35663908) — Regnskabsanalyse – Resultatopgørelse &amp; Balance (t.kr.) · Klasse C-stor · Independent Auditor’s Report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'res_raw_35663908'!$B$2</f>
        <v/>
      </c>
      <c r="C4" s="5">
        <f>'res_raw_35663908'!$C$2</f>
        <v/>
      </c>
      <c r="D4" s="5">
        <f>'res_raw_35663908'!$D$2</f>
        <v/>
      </c>
      <c r="E4" s="5">
        <f>'res_raw_35663908'!$E$2</f>
        <v/>
      </c>
      <c r="F4" s="5">
        <f>'res_raw_35663908'!$F$2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'res_raw_35663908'!$B$3</f>
        <v/>
      </c>
      <c r="C5" s="8">
        <f>'res_raw_35663908'!$C$3</f>
        <v/>
      </c>
      <c r="D5" s="8">
        <f>'res_raw_35663908'!$D$3</f>
        <v/>
      </c>
      <c r="E5" s="8">
        <f>'res_raw_35663908'!$E$3</f>
        <v/>
      </c>
      <c r="F5" s="8">
        <f>'res_raw_35663908'!$F$3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'res_raw_35663908'!$B$4</f>
        <v/>
      </c>
      <c r="C6" s="5">
        <f>'res_raw_35663908'!$C$4</f>
        <v/>
      </c>
      <c r="D6" s="5">
        <f>'res_raw_35663908'!$D$4</f>
        <v/>
      </c>
      <c r="E6" s="5">
        <f>'res_raw_35663908'!$E$4</f>
        <v/>
      </c>
      <c r="F6" s="5">
        <f>'res_raw_35663908'!$F$4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'res_raw_35663908'!$B$5</f>
        <v/>
      </c>
      <c r="C7" s="8">
        <f>'res_raw_35663908'!$C$5</f>
        <v/>
      </c>
      <c r="D7" s="8">
        <f>'res_raw_35663908'!$D$5</f>
        <v/>
      </c>
      <c r="E7" s="8">
        <f>'res_raw_35663908'!$E$5</f>
        <v/>
      </c>
      <c r="F7" s="8">
        <f>'res_raw_35663908'!$F$5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'res_raw_35663908'!$B$6</f>
        <v/>
      </c>
      <c r="C8" s="11">
        <f>'res_raw_35663908'!$C$6</f>
        <v/>
      </c>
      <c r="D8" s="11">
        <f>'res_raw_35663908'!$D$6</f>
        <v/>
      </c>
      <c r="E8" s="11">
        <f>'res_raw_35663908'!$E$6</f>
        <v/>
      </c>
      <c r="F8" s="11">
        <f>'res_raw_35663908'!$F$6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'res_raw_35663908'!$B$7</f>
        <v/>
      </c>
      <c r="C9" s="8">
        <f>'res_raw_35663908'!$C$7</f>
        <v/>
      </c>
      <c r="D9" s="8">
        <f>'res_raw_35663908'!$D$7</f>
        <v/>
      </c>
      <c r="E9" s="8">
        <f>'res_raw_35663908'!$E$7</f>
        <v/>
      </c>
      <c r="F9" s="8">
        <f>'res_raw_35663908'!$F$7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'res_raw_35663908'!$B$9</f>
        <v/>
      </c>
      <c r="C11" s="8">
        <f>'res_raw_35663908'!$C$9</f>
        <v/>
      </c>
      <c r="D11" s="8">
        <f>'res_raw_35663908'!$D$9</f>
        <v/>
      </c>
      <c r="E11" s="8">
        <f>'res_raw_35663908'!$E$9</f>
        <v/>
      </c>
      <c r="F11" s="8">
        <f>'res_raw_35663908'!$F$9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'res_raw_35663908'!$B$10</f>
        <v/>
      </c>
      <c r="C12" s="5">
        <f>'res_raw_35663908'!$C$10</f>
        <v/>
      </c>
      <c r="D12" s="5">
        <f>'res_raw_35663908'!$D$10</f>
        <v/>
      </c>
      <c r="E12" s="5">
        <f>'res_raw_35663908'!$E$10</f>
        <v/>
      </c>
      <c r="F12" s="5">
        <f>'res_raw_35663908'!$F$10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'res_raw_35663908'!$B$11</f>
        <v/>
      </c>
      <c r="C13" s="11">
        <f>'res_raw_35663908'!$C$11</f>
        <v/>
      </c>
      <c r="D13" s="11">
        <f>'res_raw_35663908'!$D$11</f>
        <v/>
      </c>
      <c r="E13" s="11">
        <f>'res_raw_35663908'!$E$11</f>
        <v/>
      </c>
      <c r="F13" s="11">
        <f>'res_raw_35663908'!$F$11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'res_raw_35663908'!$B$12</f>
        <v/>
      </c>
      <c r="C14" s="5">
        <f>'res_raw_35663908'!$C$12</f>
        <v/>
      </c>
      <c r="D14" s="5">
        <f>'res_raw_35663908'!$D$12</f>
        <v/>
      </c>
      <c r="E14" s="5">
        <f>'res_raw_35663908'!$E$12</f>
        <v/>
      </c>
      <c r="F14" s="5">
        <f>'res_raw_35663908'!$F$12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'res_raw_35663908'!$B$13</f>
        <v/>
      </c>
      <c r="C15" s="8">
        <f>'res_raw_35663908'!$C$13</f>
        <v/>
      </c>
      <c r="D15" s="8">
        <f>'res_raw_35663908'!$D$13</f>
        <v/>
      </c>
      <c r="E15" s="8">
        <f>'res_raw_35663908'!$E$13</f>
        <v/>
      </c>
      <c r="F15" s="8">
        <f>'res_raw_35663908'!$F$13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'res_raw_35663908'!$B$14</f>
        <v/>
      </c>
      <c r="C16" s="5">
        <f>'res_raw_35663908'!$C$14</f>
        <v/>
      </c>
      <c r="D16" s="5">
        <f>'res_raw_35663908'!$D$14</f>
        <v/>
      </c>
      <c r="E16" s="5">
        <f>'res_raw_35663908'!$E$14</f>
        <v/>
      </c>
      <c r="F16" s="5">
        <f>'res_raw_35663908'!$F$14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'res_raw_35663908'!$B$15</f>
        <v/>
      </c>
      <c r="C17" s="11">
        <f>'res_raw_35663908'!$C$15</f>
        <v/>
      </c>
      <c r="D17" s="11">
        <f>'res_raw_35663908'!$D$15</f>
        <v/>
      </c>
      <c r="E17" s="11">
        <f>'res_raw_35663908'!$E$15</f>
        <v/>
      </c>
      <c r="F17" s="11">
        <f>'res_raw_35663908'!$F$15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'res_raw_35663908'!$B$16</f>
        <v/>
      </c>
      <c r="C18" s="11">
        <f>'res_raw_35663908'!$C$16</f>
        <v/>
      </c>
      <c r="D18" s="11">
        <f>'res_raw_35663908'!$D$16</f>
        <v/>
      </c>
      <c r="E18" s="11">
        <f>'res_raw_35663908'!$E$16</f>
        <v/>
      </c>
      <c r="F18" s="11">
        <f>'res_raw_35663908'!$F$16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'res_raw_35663908'!$B$17</f>
        <v/>
      </c>
      <c r="C19" s="8">
        <f>'res_raw_35663908'!$C$17</f>
        <v/>
      </c>
      <c r="D19" s="8">
        <f>'res_raw_35663908'!$D$17</f>
        <v/>
      </c>
      <c r="E19" s="8">
        <f>'res_raw_35663908'!$E$17</f>
        <v/>
      </c>
      <c r="F19" s="8">
        <f>'res_raw_35663908'!$F$17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'res_raw_35663908'!$B$18</f>
        <v/>
      </c>
      <c r="C20" s="11">
        <f>'res_raw_35663908'!$C$18</f>
        <v/>
      </c>
      <c r="D20" s="11">
        <f>'res_raw_35663908'!$D$18</f>
        <v/>
      </c>
      <c r="E20" s="11">
        <f>'res_raw_35663908'!$E$18</f>
        <v/>
      </c>
      <c r="F20" s="11">
        <f>'res_raw_35663908'!$F$18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'balance_raw_35663908'!$B$2</f>
        <v/>
      </c>
      <c r="C23" s="8">
        <f>'balance_raw_35663908'!$C$2</f>
        <v/>
      </c>
      <c r="D23" s="8">
        <f>'balance_raw_35663908'!$D$2</f>
        <v/>
      </c>
      <c r="E23" s="8">
        <f>'balance_raw_35663908'!$E$2</f>
        <v/>
      </c>
      <c r="F23" s="8">
        <f>'balance_raw_35663908'!$F$2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'balance_raw_35663908'!$B$3</f>
        <v/>
      </c>
      <c r="C24" s="5">
        <f>'balance_raw_35663908'!$C$3</f>
        <v/>
      </c>
      <c r="D24" s="5">
        <f>'balance_raw_35663908'!$D$3</f>
        <v/>
      </c>
      <c r="E24" s="5">
        <f>'balance_raw_35663908'!$E$3</f>
        <v/>
      </c>
      <c r="F24" s="5">
        <f>'balance_raw_35663908'!$F$3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'balance_raw_35663908'!$B$4</f>
        <v/>
      </c>
      <c r="C25" s="8">
        <f>'balance_raw_35663908'!$C$4</f>
        <v/>
      </c>
      <c r="D25" s="8">
        <f>'balance_raw_35663908'!$D$4</f>
        <v/>
      </c>
      <c r="E25" s="8">
        <f>'balance_raw_35663908'!$E$4</f>
        <v/>
      </c>
      <c r="F25" s="8">
        <f>'balance_raw_35663908'!$F$4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'balance_raw_35663908'!$B$5</f>
        <v/>
      </c>
      <c r="C26" s="11">
        <f>'balance_raw_35663908'!$C$5</f>
        <v/>
      </c>
      <c r="D26" s="11">
        <f>'balance_raw_35663908'!$D$5</f>
        <v/>
      </c>
      <c r="E26" s="11">
        <f>'balance_raw_35663908'!$E$5</f>
        <v/>
      </c>
      <c r="F26" s="11">
        <f>'balance_raw_35663908'!$F$5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'balance_raw_35663908'!$B$6</f>
        <v/>
      </c>
      <c r="C27" s="8">
        <f>'balance_raw_35663908'!$C$6</f>
        <v/>
      </c>
      <c r="D27" s="8">
        <f>'balance_raw_35663908'!$D$6</f>
        <v/>
      </c>
      <c r="E27" s="8">
        <f>'balance_raw_35663908'!$E$6</f>
        <v/>
      </c>
      <c r="F27" s="8">
        <f>'balance_raw_35663908'!$F$6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'balance_raw_35663908'!$B$7</f>
        <v/>
      </c>
      <c r="C28" s="5">
        <f>'balance_raw_35663908'!$C$7</f>
        <v/>
      </c>
      <c r="D28" s="5">
        <f>'balance_raw_35663908'!$D$7</f>
        <v/>
      </c>
      <c r="E28" s="5">
        <f>'balance_raw_35663908'!$E$7</f>
        <v/>
      </c>
      <c r="F28" s="5">
        <f>'balance_raw_35663908'!$F$7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'balance_raw_35663908'!$B$8</f>
        <v/>
      </c>
      <c r="C29" s="8">
        <f>'balance_raw_35663908'!$C$8</f>
        <v/>
      </c>
      <c r="D29" s="8">
        <f>'balance_raw_35663908'!$D$8</f>
        <v/>
      </c>
      <c r="E29" s="8">
        <f>'balance_raw_35663908'!$E$8</f>
        <v/>
      </c>
      <c r="F29" s="8">
        <f>'balance_raw_35663908'!$F$8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'balance_raw_35663908'!$B$9</f>
        <v/>
      </c>
      <c r="C30" s="5">
        <f>'balance_raw_35663908'!$C$9</f>
        <v/>
      </c>
      <c r="D30" s="5">
        <f>'balance_raw_35663908'!$D$9</f>
        <v/>
      </c>
      <c r="E30" s="5">
        <f>'balance_raw_35663908'!$E$9</f>
        <v/>
      </c>
      <c r="F30" s="5">
        <f>'balance_raw_35663908'!$F$9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'balance_raw_35663908'!$B$10</f>
        <v/>
      </c>
      <c r="C31" s="8">
        <f>'balance_raw_35663908'!$C$10</f>
        <v/>
      </c>
      <c r="D31" s="8">
        <f>'balance_raw_35663908'!$D$10</f>
        <v/>
      </c>
      <c r="E31" s="8">
        <f>'balance_raw_35663908'!$E$10</f>
        <v/>
      </c>
      <c r="F31" s="8">
        <f>'balance_raw_35663908'!$F$10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'balance_raw_35663908'!$B$11</f>
        <v/>
      </c>
      <c r="C32" s="11">
        <f>'balance_raw_35663908'!$C$11</f>
        <v/>
      </c>
      <c r="D32" s="11">
        <f>'balance_raw_35663908'!$D$11</f>
        <v/>
      </c>
      <c r="E32" s="11">
        <f>'balance_raw_35663908'!$E$11</f>
        <v/>
      </c>
      <c r="F32" s="11">
        <f>'balance_raw_35663908'!$F$11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'balance_raw_35663908'!$B$12</f>
        <v/>
      </c>
      <c r="C33" s="8">
        <f>'balance_raw_35663908'!$C$12</f>
        <v/>
      </c>
      <c r="D33" s="8">
        <f>'balance_raw_35663908'!$D$12</f>
        <v/>
      </c>
      <c r="E33" s="8">
        <f>'balance_raw_35663908'!$E$12</f>
        <v/>
      </c>
      <c r="F33" s="8">
        <f>'balance_raw_35663908'!$F$12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'balance_raw_35663908'!$B$13</f>
        <v/>
      </c>
      <c r="C34" s="5">
        <f>'balance_raw_35663908'!$C$13</f>
        <v/>
      </c>
      <c r="D34" s="5">
        <f>'balance_raw_35663908'!$D$13</f>
        <v/>
      </c>
      <c r="E34" s="5">
        <f>'balance_raw_35663908'!$E$13</f>
        <v/>
      </c>
      <c r="F34" s="5">
        <f>'balance_raw_35663908'!$F$13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'balance_raw_35663908'!$B$14</f>
        <v/>
      </c>
      <c r="C35" s="11">
        <f>'balance_raw_35663908'!$C$14</f>
        <v/>
      </c>
      <c r="D35" s="11">
        <f>'balance_raw_35663908'!$D$14</f>
        <v/>
      </c>
      <c r="E35" s="11">
        <f>'balance_raw_35663908'!$E$14</f>
        <v/>
      </c>
      <c r="F35" s="11">
        <f>'balance_raw_35663908'!$F$14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'balance_raw_35663908'!$B$15</f>
        <v/>
      </c>
      <c r="C36" s="11">
        <f>'balance_raw_35663908'!$C$15</f>
        <v/>
      </c>
      <c r="D36" s="11">
        <f>'balance_raw_35663908'!$D$15</f>
        <v/>
      </c>
      <c r="E36" s="11">
        <f>'balance_raw_35663908'!$E$15</f>
        <v/>
      </c>
      <c r="F36" s="11">
        <f>'balance_raw_35663908'!$F$15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'balance_raw_35663908'!$B$16</f>
        <v/>
      </c>
      <c r="C37" s="8">
        <f>'balance_raw_35663908'!$C$16</f>
        <v/>
      </c>
      <c r="D37" s="8">
        <f>'balance_raw_35663908'!$D$16</f>
        <v/>
      </c>
      <c r="E37" s="8">
        <f>'balance_raw_35663908'!$E$16</f>
        <v/>
      </c>
      <c r="F37" s="8">
        <f>'balance_raw_35663908'!$F$16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'balance_raw_35663908'!$B$17</f>
        <v/>
      </c>
      <c r="C38" s="5">
        <f>'balance_raw_35663908'!$C$17</f>
        <v/>
      </c>
      <c r="D38" s="5">
        <f>'balance_raw_35663908'!$D$17</f>
        <v/>
      </c>
      <c r="E38" s="5">
        <f>'balance_raw_35663908'!$E$17</f>
        <v/>
      </c>
      <c r="F38" s="5">
        <f>'balance_raw_35663908'!$F$17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'balance_raw_35663908'!$B$18</f>
        <v/>
      </c>
      <c r="C39" s="8">
        <f>'balance_raw_35663908'!$C$18</f>
        <v/>
      </c>
      <c r="D39" s="8">
        <f>'balance_raw_35663908'!$D$18</f>
        <v/>
      </c>
      <c r="E39" s="8">
        <f>'balance_raw_35663908'!$E$18</f>
        <v/>
      </c>
      <c r="F39" s="8">
        <f>'balance_raw_35663908'!$F$18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'balance_raw_35663908'!$B$19</f>
        <v/>
      </c>
      <c r="C40" s="11">
        <f>'balance_raw_35663908'!$C$19</f>
        <v/>
      </c>
      <c r="D40" s="11">
        <f>'balance_raw_35663908'!$D$19</f>
        <v/>
      </c>
      <c r="E40" s="11">
        <f>'balance_raw_35663908'!$E$19</f>
        <v/>
      </c>
      <c r="F40" s="11">
        <f>'balance_raw_35663908'!$F$19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'balance_raw_35663908'!$B$20</f>
        <v/>
      </c>
      <c r="C41" s="8">
        <f>'balance_raw_35663908'!$C$20</f>
        <v/>
      </c>
      <c r="D41" s="8">
        <f>'balance_raw_35663908'!$D$20</f>
        <v/>
      </c>
      <c r="E41" s="8">
        <f>'balance_raw_35663908'!$E$20</f>
        <v/>
      </c>
      <c r="F41" s="8">
        <f>'balance_raw_35663908'!$F$20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'balance_raw_35663908'!$B$21</f>
        <v/>
      </c>
      <c r="C42" s="5">
        <f>'balance_raw_35663908'!$C$21</f>
        <v/>
      </c>
      <c r="D42" s="5">
        <f>'balance_raw_35663908'!$D$21</f>
        <v/>
      </c>
      <c r="E42" s="5">
        <f>'balance_raw_35663908'!$E$21</f>
        <v/>
      </c>
      <c r="F42" s="5">
        <f>'balance_raw_35663908'!$F$21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'balance_raw_35663908'!$B$22</f>
        <v/>
      </c>
      <c r="C43" s="8">
        <f>'balance_raw_35663908'!$C$22</f>
        <v/>
      </c>
      <c r="D43" s="8">
        <f>'balance_raw_35663908'!$D$22</f>
        <v/>
      </c>
      <c r="E43" s="8">
        <f>'balance_raw_35663908'!$E$22</f>
        <v/>
      </c>
      <c r="F43" s="8">
        <f>'balance_raw_35663908'!$F$22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'balance_raw_35663908'!$B$23</f>
        <v/>
      </c>
      <c r="C44" s="5">
        <f>'balance_raw_35663908'!$C$23</f>
        <v/>
      </c>
      <c r="D44" s="5">
        <f>'balance_raw_35663908'!$D$23</f>
        <v/>
      </c>
      <c r="E44" s="5">
        <f>'balance_raw_35663908'!$E$23</f>
        <v/>
      </c>
      <c r="F44" s="5">
        <f>'balance_raw_35663908'!$F$23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'balance_raw_35663908'!$B$24</f>
        <v/>
      </c>
      <c r="C45" s="8">
        <f>'balance_raw_35663908'!$C$24</f>
        <v/>
      </c>
      <c r="D45" s="8">
        <f>'balance_raw_35663908'!$D$24</f>
        <v/>
      </c>
      <c r="E45" s="8">
        <f>'balance_raw_35663908'!$E$24</f>
        <v/>
      </c>
      <c r="F45" s="8">
        <f>'balance_raw_35663908'!$F$24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'balance_raw_35663908'!$B$25</f>
        <v/>
      </c>
      <c r="C46" s="5">
        <f>'balance_raw_35663908'!$C$25</f>
        <v/>
      </c>
      <c r="D46" s="5">
        <f>'balance_raw_35663908'!$D$25</f>
        <v/>
      </c>
      <c r="E46" s="5">
        <f>'balance_raw_35663908'!$E$25</f>
        <v/>
      </c>
      <c r="F46" s="5">
        <f>'balance_raw_35663908'!$F$25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'balance_raw_35663908'!$B$26</f>
        <v/>
      </c>
      <c r="C47" s="8">
        <f>'balance_raw_35663908'!$C$26</f>
        <v/>
      </c>
      <c r="D47" s="8">
        <f>'balance_raw_35663908'!$D$26</f>
        <v/>
      </c>
      <c r="E47" s="8">
        <f>'balance_raw_35663908'!$E$26</f>
        <v/>
      </c>
      <c r="F47" s="8">
        <f>'balance_raw_35663908'!$F$26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'balance_raw_35663908'!$B$27</f>
        <v/>
      </c>
      <c r="C48" s="11">
        <f>'balance_raw_35663908'!$C$27</f>
        <v/>
      </c>
      <c r="D48" s="11">
        <f>'balance_raw_35663908'!$D$27</f>
        <v/>
      </c>
      <c r="E48" s="11">
        <f>'balance_raw_35663908'!$E$27</f>
        <v/>
      </c>
      <c r="F48" s="11">
        <f>'balance_raw_35663908'!$F$27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'balance_raw_35663908'!$B$28</f>
        <v/>
      </c>
      <c r="C49" s="8">
        <f>'balance_raw_35663908'!$C$28</f>
        <v/>
      </c>
      <c r="D49" s="8">
        <f>'balance_raw_35663908'!$D$28</f>
        <v/>
      </c>
      <c r="E49" s="8">
        <f>'balance_raw_35663908'!$E$28</f>
        <v/>
      </c>
      <c r="F49" s="8">
        <f>'balance_raw_35663908'!$F$28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'balance_raw_35663908'!$B$29</f>
        <v/>
      </c>
      <c r="C50" s="5">
        <f>'balance_raw_35663908'!$C$29</f>
        <v/>
      </c>
      <c r="D50" s="5">
        <f>'balance_raw_35663908'!$D$29</f>
        <v/>
      </c>
      <c r="E50" s="5">
        <f>'balance_raw_35663908'!$E$29</f>
        <v/>
      </c>
      <c r="F50" s="5">
        <f>'balance_raw_35663908'!$F$29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'balance_raw_35663908'!$B$30</f>
        <v/>
      </c>
      <c r="C51" s="11">
        <f>'balance_raw_35663908'!$C$30</f>
        <v/>
      </c>
      <c r="D51" s="11">
        <f>'balance_raw_35663908'!$D$30</f>
        <v/>
      </c>
      <c r="E51" s="11">
        <f>'balance_raw_35663908'!$E$30</f>
        <v/>
      </c>
      <c r="F51" s="11">
        <f>'balance_raw_35663908'!$F$30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'balance_raw_35663908'!$B$31</f>
        <v/>
      </c>
      <c r="C52" s="11">
        <f>'balance_raw_35663908'!$C$31</f>
        <v/>
      </c>
      <c r="D52" s="11">
        <f>'balance_raw_35663908'!$D$31</f>
        <v/>
      </c>
      <c r="E52" s="11">
        <f>'balance_raw_35663908'!$E$31</f>
        <v/>
      </c>
      <c r="F52" s="11">
        <f>'balance_raw_35663908'!$F$31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'balance_raw_35663908'!$B$32</f>
        <v/>
      </c>
      <c r="C55" s="8">
        <f>'balance_raw_35663908'!$C$32</f>
        <v/>
      </c>
      <c r="D55" s="8">
        <f>'balance_raw_35663908'!$D$32</f>
        <v/>
      </c>
      <c r="E55" s="8">
        <f>'balance_raw_35663908'!$E$32</f>
        <v/>
      </c>
      <c r="F55" s="8">
        <f>'balance_raw_35663908'!$F$32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'balance_raw_35663908'!$B$33</f>
        <v/>
      </c>
      <c r="C56" s="5">
        <f>'balance_raw_35663908'!$C$33</f>
        <v/>
      </c>
      <c r="D56" s="5">
        <f>'balance_raw_35663908'!$D$33</f>
        <v/>
      </c>
      <c r="E56" s="5">
        <f>'balance_raw_35663908'!$E$33</f>
        <v/>
      </c>
      <c r="F56" s="5">
        <f>'balance_raw_35663908'!$F$33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'balance_raw_35663908'!$B$34</f>
        <v/>
      </c>
      <c r="C57" s="8">
        <f>'balance_raw_35663908'!$C$34</f>
        <v/>
      </c>
      <c r="D57" s="8">
        <f>'balance_raw_35663908'!$D$34</f>
        <v/>
      </c>
      <c r="E57" s="8">
        <f>'balance_raw_35663908'!$E$34</f>
        <v/>
      </c>
      <c r="F57" s="8">
        <f>'balance_raw_35663908'!$F$34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'balance_raw_35663908'!$B$35</f>
        <v/>
      </c>
      <c r="C58" s="5">
        <f>'balance_raw_35663908'!$C$35</f>
        <v/>
      </c>
      <c r="D58" s="5">
        <f>'balance_raw_35663908'!$D$35</f>
        <v/>
      </c>
      <c r="E58" s="5">
        <f>'balance_raw_35663908'!$E$35</f>
        <v/>
      </c>
      <c r="F58" s="5">
        <f>'balance_raw_35663908'!$F$35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'balance_raw_35663908'!$B$36</f>
        <v/>
      </c>
      <c r="C59" s="8">
        <f>'balance_raw_35663908'!$C$36</f>
        <v/>
      </c>
      <c r="D59" s="8">
        <f>'balance_raw_35663908'!$D$36</f>
        <v/>
      </c>
      <c r="E59" s="8">
        <f>'balance_raw_35663908'!$E$36</f>
        <v/>
      </c>
      <c r="F59" s="8">
        <f>'balance_raw_35663908'!$F$36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'balance_raw_35663908'!$B$37</f>
        <v/>
      </c>
      <c r="C60" s="5">
        <f>'balance_raw_35663908'!$C$37</f>
        <v/>
      </c>
      <c r="D60" s="5">
        <f>'balance_raw_35663908'!$D$37</f>
        <v/>
      </c>
      <c r="E60" s="5">
        <f>'balance_raw_35663908'!$E$37</f>
        <v/>
      </c>
      <c r="F60" s="5">
        <f>'balance_raw_35663908'!$F$37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'balance_raw_35663908'!$B$38</f>
        <v/>
      </c>
      <c r="C61" s="11">
        <f>'balance_raw_35663908'!$C$38</f>
        <v/>
      </c>
      <c r="D61" s="11">
        <f>'balance_raw_35663908'!$D$38</f>
        <v/>
      </c>
      <c r="E61" s="11">
        <f>'balance_raw_35663908'!$E$38</f>
        <v/>
      </c>
      <c r="F61" s="11">
        <f>'balance_raw_35663908'!$F$38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'balance_raw_35663908'!$B$39</f>
        <v/>
      </c>
      <c r="C62" s="5">
        <f>'balance_raw_35663908'!$C$39</f>
        <v/>
      </c>
      <c r="D62" s="5">
        <f>'balance_raw_35663908'!$D$39</f>
        <v/>
      </c>
      <c r="E62" s="5">
        <f>'balance_raw_35663908'!$E$39</f>
        <v/>
      </c>
      <c r="F62" s="5">
        <f>'balance_raw_35663908'!$F$39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'balance_raw_35663908'!$B$40</f>
        <v/>
      </c>
      <c r="C63" s="11">
        <f>'balance_raw_35663908'!$C$40</f>
        <v/>
      </c>
      <c r="D63" s="11">
        <f>'balance_raw_35663908'!$D$40</f>
        <v/>
      </c>
      <c r="E63" s="11">
        <f>'balance_raw_35663908'!$E$40</f>
        <v/>
      </c>
      <c r="F63" s="11">
        <f>'balance_raw_35663908'!$F$40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'balance_raw_35663908'!$B$41</f>
        <v/>
      </c>
      <c r="C64" s="5">
        <f>'balance_raw_35663908'!$C$41</f>
        <v/>
      </c>
      <c r="D64" s="5">
        <f>'balance_raw_35663908'!$D$41</f>
        <v/>
      </c>
      <c r="E64" s="5">
        <f>'balance_raw_35663908'!$E$41</f>
        <v/>
      </c>
      <c r="F64" s="5">
        <f>'balance_raw_35663908'!$F$41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'balance_raw_35663908'!$B$42</f>
        <v/>
      </c>
      <c r="C65" s="8">
        <f>'balance_raw_35663908'!$C$42</f>
        <v/>
      </c>
      <c r="D65" s="8">
        <f>'balance_raw_35663908'!$D$42</f>
        <v/>
      </c>
      <c r="E65" s="8">
        <f>'balance_raw_35663908'!$E$42</f>
        <v/>
      </c>
      <c r="F65" s="8">
        <f>'balance_raw_35663908'!$F$42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'balance_raw_35663908'!$B$43</f>
        <v/>
      </c>
      <c r="C66" s="5">
        <f>'balance_raw_35663908'!$C$43</f>
        <v/>
      </c>
      <c r="D66" s="5">
        <f>'balance_raw_35663908'!$D$43</f>
        <v/>
      </c>
      <c r="E66" s="5">
        <f>'balance_raw_35663908'!$E$43</f>
        <v/>
      </c>
      <c r="F66" s="5">
        <f>'balance_raw_35663908'!$F$43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'balance_raw_35663908'!$B$44</f>
        <v/>
      </c>
      <c r="C67" s="8">
        <f>'balance_raw_35663908'!$C$44</f>
        <v/>
      </c>
      <c r="D67" s="8">
        <f>'balance_raw_35663908'!$D$44</f>
        <v/>
      </c>
      <c r="E67" s="8">
        <f>'balance_raw_35663908'!$E$44</f>
        <v/>
      </c>
      <c r="F67" s="8">
        <f>'balance_raw_35663908'!$F$44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'balance_raw_35663908'!$B$45</f>
        <v/>
      </c>
      <c r="C68" s="11">
        <f>'balance_raw_35663908'!$C$45</f>
        <v/>
      </c>
      <c r="D68" s="11">
        <f>'balance_raw_35663908'!$D$45</f>
        <v/>
      </c>
      <c r="E68" s="11">
        <f>'balance_raw_35663908'!$E$45</f>
        <v/>
      </c>
      <c r="F68" s="11">
        <f>'balance_raw_35663908'!$F$45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'balance_raw_35663908'!$B$46</f>
        <v/>
      </c>
      <c r="C69" s="8">
        <f>'balance_raw_35663908'!$C$46</f>
        <v/>
      </c>
      <c r="D69" s="8">
        <f>'balance_raw_35663908'!$D$46</f>
        <v/>
      </c>
      <c r="E69" s="8">
        <f>'balance_raw_35663908'!$E$46</f>
        <v/>
      </c>
      <c r="F69" s="8">
        <f>'balance_raw_35663908'!$F$46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'balance_raw_35663908'!$B$47</f>
        <v/>
      </c>
      <c r="C70" s="5">
        <f>'balance_raw_35663908'!$C$47</f>
        <v/>
      </c>
      <c r="D70" s="5">
        <f>'balance_raw_35663908'!$D$47</f>
        <v/>
      </c>
      <c r="E70" s="5">
        <f>'balance_raw_35663908'!$E$47</f>
        <v/>
      </c>
      <c r="F70" s="5">
        <f>'balance_raw_35663908'!$F$47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'balance_raw_35663908'!$B$48</f>
        <v/>
      </c>
      <c r="C71" s="8">
        <f>'balance_raw_35663908'!$C$48</f>
        <v/>
      </c>
      <c r="D71" s="8">
        <f>'balance_raw_35663908'!$D$48</f>
        <v/>
      </c>
      <c r="E71" s="8">
        <f>'balance_raw_35663908'!$E$48</f>
        <v/>
      </c>
      <c r="F71" s="8">
        <f>'balance_raw_35663908'!$F$48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'balance_raw_35663908'!$B$49</f>
        <v/>
      </c>
      <c r="C72" s="5">
        <f>'balance_raw_35663908'!$C$49</f>
        <v/>
      </c>
      <c r="D72" s="5">
        <f>'balance_raw_35663908'!$D$49</f>
        <v/>
      </c>
      <c r="E72" s="5">
        <f>'balance_raw_35663908'!$E$49</f>
        <v/>
      </c>
      <c r="F72" s="5">
        <f>'balance_raw_35663908'!$F$49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'balance_raw_35663908'!$B$50</f>
        <v/>
      </c>
      <c r="C73" s="8">
        <f>'balance_raw_35663908'!$C$50</f>
        <v/>
      </c>
      <c r="D73" s="8">
        <f>'balance_raw_35663908'!$D$50</f>
        <v/>
      </c>
      <c r="E73" s="8">
        <f>'balance_raw_35663908'!$E$50</f>
        <v/>
      </c>
      <c r="F73" s="8">
        <f>'balance_raw_35663908'!$F$50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'balance_raw_35663908'!$B$51</f>
        <v/>
      </c>
      <c r="C74" s="5">
        <f>'balance_raw_35663908'!$C$51</f>
        <v/>
      </c>
      <c r="D74" s="5">
        <f>'balance_raw_35663908'!$D$51</f>
        <v/>
      </c>
      <c r="E74" s="5">
        <f>'balance_raw_35663908'!$E$51</f>
        <v/>
      </c>
      <c r="F74" s="5">
        <f>'balance_raw_35663908'!$F$51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'balance_raw_35663908'!$B$52</f>
        <v/>
      </c>
      <c r="C75" s="8">
        <f>'balance_raw_35663908'!$C$52</f>
        <v/>
      </c>
      <c r="D75" s="8">
        <f>'balance_raw_35663908'!$D$52</f>
        <v/>
      </c>
      <c r="E75" s="8">
        <f>'balance_raw_35663908'!$E$52</f>
        <v/>
      </c>
      <c r="F75" s="8">
        <f>'balance_raw_35663908'!$F$52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'balance_raw_35663908'!$B$53</f>
        <v/>
      </c>
      <c r="C76" s="5">
        <f>'balance_raw_35663908'!$C$53</f>
        <v/>
      </c>
      <c r="D76" s="5">
        <f>'balance_raw_35663908'!$D$53</f>
        <v/>
      </c>
      <c r="E76" s="5">
        <f>'balance_raw_35663908'!$E$53</f>
        <v/>
      </c>
      <c r="F76" s="5">
        <f>'balance_raw_35663908'!$F$53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'balance_raw_35663908'!$B$54</f>
        <v/>
      </c>
      <c r="C77" s="8">
        <f>'balance_raw_35663908'!$C$54</f>
        <v/>
      </c>
      <c r="D77" s="8">
        <f>'balance_raw_35663908'!$D$54</f>
        <v/>
      </c>
      <c r="E77" s="8">
        <f>'balance_raw_35663908'!$E$54</f>
        <v/>
      </c>
      <c r="F77" s="8">
        <f>'balance_raw_35663908'!$F$54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'balance_raw_35663908'!$B$55</f>
        <v/>
      </c>
      <c r="C78" s="5">
        <f>'balance_raw_35663908'!$C$55</f>
        <v/>
      </c>
      <c r="D78" s="5">
        <f>'balance_raw_35663908'!$D$55</f>
        <v/>
      </c>
      <c r="E78" s="5">
        <f>'balance_raw_35663908'!$E$55</f>
        <v/>
      </c>
      <c r="F78" s="5">
        <f>'balance_raw_35663908'!$F$55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'balance_raw_35663908'!$B$56</f>
        <v/>
      </c>
      <c r="C79" s="8">
        <f>'balance_raw_35663908'!$C$56</f>
        <v/>
      </c>
      <c r="D79" s="8">
        <f>'balance_raw_35663908'!$D$56</f>
        <v/>
      </c>
      <c r="E79" s="8">
        <f>'balance_raw_35663908'!$E$56</f>
        <v/>
      </c>
      <c r="F79" s="8">
        <f>'balance_raw_35663908'!$F$56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'balance_raw_35663908'!$B$57</f>
        <v/>
      </c>
      <c r="C80" s="11">
        <f>'balance_raw_35663908'!$C$57</f>
        <v/>
      </c>
      <c r="D80" s="11">
        <f>'balance_raw_35663908'!$D$57</f>
        <v/>
      </c>
      <c r="E80" s="11">
        <f>'balance_raw_35663908'!$E$57</f>
        <v/>
      </c>
      <c r="F80" s="11">
        <f>'balance_raw_35663908'!$F$57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'balance_raw_35663908'!$B$58</f>
        <v/>
      </c>
      <c r="C81" s="11">
        <f>'balance_raw_35663908'!$C$58</f>
        <v/>
      </c>
      <c r="D81" s="11">
        <f>'balance_raw_35663908'!$D$58</f>
        <v/>
      </c>
      <c r="E81" s="11">
        <f>'balance_raw_35663908'!$E$58</f>
        <v/>
      </c>
      <c r="F81" s="11">
        <f>'balance_raw_35663908'!$F$58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'balance_raw_35663908'!$B$59</f>
        <v/>
      </c>
      <c r="C82" s="11">
        <f>'balance_raw_35663908'!$C$59</f>
        <v/>
      </c>
      <c r="D82" s="11">
        <f>'balance_raw_35663908'!$D$59</f>
        <v/>
      </c>
      <c r="E82" s="11">
        <f>'balance_raw_35663908'!$E$59</f>
        <v/>
      </c>
      <c r="F82" s="11">
        <f>'balance_raw_35663908'!$F$59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'res_raw_35663908'!$B$19</f>
        <v/>
      </c>
      <c r="C85" s="8">
        <f>'res_raw_35663908'!$C$19</f>
        <v/>
      </c>
      <c r="D85" s="8">
        <f>'res_raw_35663908'!$D$19</f>
        <v/>
      </c>
      <c r="E85" s="8">
        <f>'res_raw_35663908'!$E$19</f>
        <v/>
      </c>
      <c r="F85" s="8">
        <f>'res_raw_35663908'!$F$19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'res_raw_35663908'!$B$20</f>
        <v/>
      </c>
      <c r="C86" s="5">
        <f>'res_raw_35663908'!$C$20</f>
        <v/>
      </c>
      <c r="D86" s="5">
        <f>'res_raw_35663908'!$D$20</f>
        <v/>
      </c>
      <c r="E86" s="5">
        <f>'res_raw_35663908'!$E$20</f>
        <v/>
      </c>
      <c r="F86" s="5">
        <f>'res_raw_35663908'!$F$20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'pengestrom_raw_35663908'!$B$2</f>
        <v/>
      </c>
      <c r="C102" s="17">
        <f>'pengestrom_raw_35663908'!$C$2</f>
        <v/>
      </c>
      <c r="D102" s="17">
        <f>'pengestrom_raw_35663908'!$D$2</f>
        <v/>
      </c>
      <c r="E102" s="17">
        <f>'pengestrom_raw_35663908'!$E$2</f>
        <v/>
      </c>
      <c r="F102" s="17">
        <f>'pengestrom_raw_35663908'!$F$2</f>
        <v/>
      </c>
    </row>
    <row r="103">
      <c r="A103" s="16" t="inlineStr">
        <is>
          <t>Pengestrømme fra investeringsaktivitet</t>
        </is>
      </c>
      <c r="B103" s="17">
        <f>'pengestrom_raw_35663908'!$B$3</f>
        <v/>
      </c>
      <c r="C103" s="17">
        <f>'pengestrom_raw_35663908'!$C$3</f>
        <v/>
      </c>
      <c r="D103" s="17">
        <f>'pengestrom_raw_35663908'!$D$3</f>
        <v/>
      </c>
      <c r="E103" s="17">
        <f>'pengestrom_raw_35663908'!$E$3</f>
        <v/>
      </c>
      <c r="F103" s="17">
        <f>'pengestrom_raw_35663908'!$F$3</f>
        <v/>
      </c>
    </row>
    <row r="104">
      <c r="A104" s="16" t="inlineStr">
        <is>
          <t>Pengestrømme fra finansieringsaktivitet</t>
        </is>
      </c>
      <c r="B104" s="17">
        <f>'pengestrom_raw_35663908'!$B$4</f>
        <v/>
      </c>
      <c r="C104" s="17">
        <f>'pengestrom_raw_35663908'!$C$4</f>
        <v/>
      </c>
      <c r="D104" s="17">
        <f>'pengestrom_raw_35663908'!$D$4</f>
        <v/>
      </c>
      <c r="E104" s="17">
        <f>'pengestrom_raw_35663908'!$E$4</f>
        <v/>
      </c>
      <c r="F104" s="17">
        <f>'pengestrom_raw_35663908'!$F$4</f>
        <v/>
      </c>
    </row>
    <row r="105">
      <c r="A105" s="16" t="inlineStr">
        <is>
          <t>Årets pengestrøm (rapporteret)</t>
        </is>
      </c>
      <c r="B105" s="17">
        <f>'pengestrom_raw_35663908'!$B$5</f>
        <v/>
      </c>
      <c r="C105" s="17">
        <f>'pengestrom_raw_35663908'!$C$5</f>
        <v/>
      </c>
      <c r="D105" s="17">
        <f>'pengestrom_raw_35663908'!$D$5</f>
        <v/>
      </c>
      <c r="E105" s="17">
        <f>'pengestrom_raw_35663908'!$E$5</f>
        <v/>
      </c>
      <c r="F105" s="17">
        <f>'pengestrom_raw_35663908'!$F$5</f>
        <v/>
      </c>
    </row>
    <row r="106">
      <c r="A106" s="16" t="inlineStr">
        <is>
          <t>Krydstjek: drift + inv. + fin. = årets pengestrøm</t>
        </is>
      </c>
      <c r="B106">
        <f>IF(ABS(('pengestrom_raw_35663908'!$B$2+'pengestrom_raw_35663908'!$B$3+'pengestrom_raw_35663908'!$B$4)-'pengestrom_raw_35663908'!$B$5)&lt;=2,"✓","⚠ "&amp;TEXT(('pengestrom_raw_35663908'!$B$2+'pengestrom_raw_35663908'!$B$3+'pengestrom_raw_35663908'!$B$4)-'pengestrom_raw_35663908'!$B$5,"+#,##0;-#,##0"))</f>
        <v/>
      </c>
      <c r="C106">
        <f>IF(ABS(('pengestrom_raw_35663908'!$C$2+'pengestrom_raw_35663908'!$C$3+'pengestrom_raw_35663908'!$C$4)-'pengestrom_raw_35663908'!$C$5)&lt;=2,"✓","⚠ "&amp;TEXT(('pengestrom_raw_35663908'!$C$2+'pengestrom_raw_35663908'!$C$3+'pengestrom_raw_35663908'!$C$4)-'pengestrom_raw_35663908'!$C$5,"+#,##0;-#,##0"))</f>
        <v/>
      </c>
      <c r="D106">
        <f>IF(ABS(('pengestrom_raw_35663908'!$D$2+'pengestrom_raw_35663908'!$D$3+'pengestrom_raw_35663908'!$D$4)-'pengestrom_raw_35663908'!$D$5)&lt;=2,"✓","⚠ "&amp;TEXT(('pengestrom_raw_35663908'!$D$2+'pengestrom_raw_35663908'!$D$3+'pengestrom_raw_35663908'!$D$4)-'pengestrom_raw_35663908'!$D$5,"+#,##0;-#,##0"))</f>
        <v/>
      </c>
      <c r="E106">
        <f>IF(ABS(('pengestrom_raw_35663908'!$E$2+'pengestrom_raw_35663908'!$E$3+'pengestrom_raw_35663908'!$E$4)-'pengestrom_raw_35663908'!$E$5)&lt;=2,"✓","⚠ "&amp;TEXT(('pengestrom_raw_35663908'!$E$2+'pengestrom_raw_35663908'!$E$3+'pengestrom_raw_35663908'!$E$4)-'pengestrom_raw_35663908'!$E$5,"+#,##0;-#,##0"))</f>
        <v/>
      </c>
      <c r="F106">
        <f>IF(ABS(('pengestrom_raw_35663908'!$F$2+'pengestrom_raw_35663908'!$F$3+'pengestrom_raw_35663908'!$F$4)-'pengestrom_raw_35663908'!$F$5)&lt;=2,"✓","⚠ "&amp;TEXT(('pengestrom_raw_35663908'!$F$2+'pengestrom_raw_35663908'!$F$3+'pengestrom_raw_35663908'!$F$4)-'pengestrom_raw_35663908'!$F$5,"+#,##0;-#,##0"))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KOMPAN Holding A/S (CVR 35663908)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2381500</v>
      </c>
      <c r="C2" s="17" t="n">
        <v>3128500</v>
      </c>
      <c r="D2" s="17" t="n">
        <v>3377900</v>
      </c>
      <c r="E2" s="17" t="n">
        <v>3455600</v>
      </c>
      <c r="F2" s="17" t="n">
        <v>3822200</v>
      </c>
    </row>
    <row r="3">
      <c r="A3" s="16" t="inlineStr">
        <is>
          <t>Andre driftsindtægter</t>
        </is>
      </c>
      <c r="B3" s="17" t="n"/>
      <c r="C3" s="17" t="n">
        <v>16500</v>
      </c>
      <c r="D3" s="17" t="n">
        <v>23600</v>
      </c>
      <c r="E3" s="17" t="n">
        <v>20600</v>
      </c>
      <c r="F3" s="17" t="n">
        <v>28800</v>
      </c>
    </row>
    <row r="4">
      <c r="A4" s="16" t="inlineStr">
        <is>
          <t>Vareforbrug</t>
        </is>
      </c>
      <c r="B4" s="17" t="n"/>
      <c r="C4" s="17" t="n"/>
      <c r="D4" s="17" t="n"/>
      <c r="E4" s="17" t="n">
        <v>1859900</v>
      </c>
      <c r="F4" s="17" t="n">
        <v>2101400</v>
      </c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1047600</v>
      </c>
      <c r="C6" s="17" t="n">
        <v>1339700</v>
      </c>
      <c r="D6" s="17" t="n">
        <v>1518200</v>
      </c>
      <c r="E6" s="17" t="n">
        <v>1595700</v>
      </c>
      <c r="F6" s="17" t="n">
        <v>1720800</v>
      </c>
    </row>
    <row r="7">
      <c r="A7" s="16" t="inlineStr">
        <is>
          <t>Personaleomkostninger</t>
        </is>
      </c>
      <c r="B7" s="17" t="n"/>
      <c r="C7" s="17" t="n"/>
      <c r="D7" s="17" t="n"/>
      <c r="E7" s="17" t="n">
        <v>881400</v>
      </c>
      <c r="F7" s="17" t="n">
        <v>1025400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378200</v>
      </c>
      <c r="C11" s="17" t="n">
        <v>498300</v>
      </c>
      <c r="D11" s="17" t="n">
        <v>621400</v>
      </c>
      <c r="E11" s="17" t="n">
        <v>490800</v>
      </c>
      <c r="F11" s="17" t="n">
        <v>522000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29800</v>
      </c>
      <c r="C13" s="17" t="n">
        <v>101800</v>
      </c>
      <c r="D13" s="17" t="n">
        <v>25500</v>
      </c>
      <c r="E13" s="17" t="n">
        <v>20600</v>
      </c>
      <c r="F13" s="17" t="n">
        <v>42600</v>
      </c>
    </row>
    <row r="14">
      <c r="A14" s="16" t="inlineStr">
        <is>
          <t>Finansielle omkostninger</t>
        </is>
      </c>
      <c r="B14" s="17" t="n">
        <v>34100</v>
      </c>
      <c r="C14" s="17" t="n">
        <v>37200</v>
      </c>
      <c r="D14" s="17" t="n">
        <v>48800</v>
      </c>
      <c r="E14" s="17" t="n">
        <v>55900</v>
      </c>
      <c r="F14" s="17" t="n">
        <v>47300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355900</v>
      </c>
      <c r="C16" s="17" t="n">
        <v>562900</v>
      </c>
      <c r="D16" s="17" t="n">
        <v>598100</v>
      </c>
      <c r="E16" s="17" t="n">
        <v>455500</v>
      </c>
      <c r="F16" s="17" t="n">
        <v>517300</v>
      </c>
    </row>
    <row r="17">
      <c r="A17" s="16" t="inlineStr">
        <is>
          <t>Skat af årets resultat</t>
        </is>
      </c>
      <c r="B17" s="17" t="n"/>
      <c r="C17" s="17" t="n">
        <v>115400</v>
      </c>
      <c r="D17" s="17" t="n">
        <v>133700</v>
      </c>
      <c r="E17" s="17" t="n">
        <v>116200</v>
      </c>
      <c r="F17" s="17" t="n">
        <v>130000</v>
      </c>
    </row>
    <row r="18">
      <c r="A18" s="15" t="inlineStr">
        <is>
          <t>Årets resultat</t>
        </is>
      </c>
      <c r="B18" s="17" t="n">
        <v>279200</v>
      </c>
      <c r="C18" s="17" t="n">
        <v>447500</v>
      </c>
      <c r="D18" s="17" t="n">
        <v>464400</v>
      </c>
      <c r="E18" s="17" t="n">
        <v>339300</v>
      </c>
      <c r="F18" s="17" t="n">
        <v>387300</v>
      </c>
    </row>
    <row r="19">
      <c r="A19" s="16" t="inlineStr">
        <is>
          <t>Gns. antal medarbejdere</t>
        </is>
      </c>
      <c r="B19" s="17" t="n">
        <v>1488</v>
      </c>
      <c r="C19" s="17" t="n">
        <v>1811</v>
      </c>
      <c r="D19" s="17" t="n">
        <v>3</v>
      </c>
      <c r="E19" s="17" t="n">
        <v>1886</v>
      </c>
      <c r="F19" s="17" t="n">
        <v>2172</v>
      </c>
    </row>
    <row r="20">
      <c r="A20" s="16" t="inlineStr">
        <is>
          <t>Investering i materielle anlægsaktiver</t>
        </is>
      </c>
      <c r="B20" s="17" t="n">
        <v>19900</v>
      </c>
      <c r="C20" s="17" t="n">
        <v>39900</v>
      </c>
      <c r="D20" s="17" t="n">
        <v>59600</v>
      </c>
      <c r="E20" s="17" t="n">
        <v>102600</v>
      </c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KOMPAN Holding A/S (CVR 35663908)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>
        <v>64500</v>
      </c>
      <c r="F2" s="17" t="n">
        <v>54300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>
        <v>99800</v>
      </c>
      <c r="F3" s="17" t="n">
        <v>99900</v>
      </c>
    </row>
    <row r="4">
      <c r="A4" s="16" t="inlineStr">
        <is>
          <t>Goodwill</t>
        </is>
      </c>
      <c r="B4" s="17" t="n"/>
      <c r="C4" s="17" t="n"/>
      <c r="D4" s="17" t="n"/>
      <c r="E4" s="17" t="n">
        <v>1056100</v>
      </c>
      <c r="F4" s="17" t="n">
        <v>965700</v>
      </c>
    </row>
    <row r="5">
      <c r="A5" s="15" t="inlineStr">
        <is>
          <t>Immaterielle anlægsaktiver</t>
        </is>
      </c>
      <c r="B5" s="17" t="n">
        <v>1288800</v>
      </c>
      <c r="C5" s="17" t="n">
        <v>1289800</v>
      </c>
      <c r="D5" s="17" t="n">
        <v>1295100</v>
      </c>
      <c r="E5" s="17" t="n">
        <v>1239900</v>
      </c>
      <c r="F5" s="17" t="n">
        <v>1161000</v>
      </c>
    </row>
    <row r="6">
      <c r="A6" s="16" t="inlineStr">
        <is>
          <t>Grunde og bygninger</t>
        </is>
      </c>
      <c r="B6" s="17" t="n"/>
      <c r="C6" s="17" t="n"/>
      <c r="D6" s="17" t="n"/>
      <c r="E6" s="17" t="n">
        <v>156900</v>
      </c>
      <c r="F6" s="17" t="n">
        <v>153000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>
        <v>81700</v>
      </c>
      <c r="F7" s="17" t="n">
        <v>86300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>
        <v>4700</v>
      </c>
      <c r="F10" s="17" t="n">
        <v>13000</v>
      </c>
    </row>
    <row r="11">
      <c r="A11" s="15" t="inlineStr">
        <is>
          <t>Materielle anlægsaktiver</t>
        </is>
      </c>
      <c r="B11" s="17" t="n"/>
      <c r="C11" s="17" t="n">
        <v>145300</v>
      </c>
      <c r="D11" s="17" t="n">
        <v>179300</v>
      </c>
      <c r="E11" s="17" t="n">
        <v>243300</v>
      </c>
      <c r="F11" s="17" t="n">
        <v>252300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>
        <v>1312400</v>
      </c>
      <c r="F12" s="17" t="n">
        <v>1312400</v>
      </c>
    </row>
    <row r="13">
      <c r="A13" s="16" t="inlineStr">
        <is>
          <t>Deposita</t>
        </is>
      </c>
      <c r="B13" s="17" t="n"/>
      <c r="C13" s="17" t="n"/>
      <c r="D13" s="17" t="n"/>
      <c r="E13" s="17" t="n">
        <v>100</v>
      </c>
      <c r="F13" s="17" t="n">
        <v>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>
        <v>12800</v>
      </c>
      <c r="F14" s="17" t="n">
        <v>24000</v>
      </c>
    </row>
    <row r="15">
      <c r="A15" s="15" t="inlineStr">
        <is>
          <t>Anlægsaktiver</t>
        </is>
      </c>
      <c r="B15" s="17" t="n">
        <v>1642900</v>
      </c>
      <c r="C15" s="17" t="n">
        <v>1714500</v>
      </c>
      <c r="D15" s="17" t="n">
        <v>1708000</v>
      </c>
      <c r="E15" s="17" t="n">
        <v>1496000</v>
      </c>
      <c r="F15" s="17" t="n">
        <v>1437300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>
        <v>74000</v>
      </c>
      <c r="F16" s="17" t="n">
        <v>72800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>
        <v>59100</v>
      </c>
      <c r="F17" s="17" t="n">
        <v>74600</v>
      </c>
    </row>
    <row r="18">
      <c r="A18" s="16" t="inlineStr">
        <is>
          <t>Færdigvarer og handelsvarer</t>
        </is>
      </c>
      <c r="B18" s="17" t="n"/>
      <c r="C18" s="17" t="n"/>
      <c r="D18" s="17" t="n"/>
      <c r="E18" s="17" t="n">
        <v>105300</v>
      </c>
      <c r="F18" s="17" t="n">
        <v>123800</v>
      </c>
    </row>
    <row r="19">
      <c r="A19" s="15" t="inlineStr">
        <is>
          <t>Varebeholdninger</t>
        </is>
      </c>
      <c r="B19" s="17" t="n">
        <v>168200</v>
      </c>
      <c r="C19" s="17" t="n">
        <v>260200</v>
      </c>
      <c r="D19" s="17" t="n">
        <v>219900</v>
      </c>
      <c r="E19" s="17" t="n">
        <v>238400</v>
      </c>
      <c r="F19" s="17" t="n">
        <v>271200</v>
      </c>
    </row>
    <row r="20">
      <c r="A20" s="16" t="inlineStr">
        <is>
          <t>Tilgodehavender fra salg og tjenesteydelser</t>
        </is>
      </c>
      <c r="B20" s="17" t="n">
        <v>462300</v>
      </c>
      <c r="C20" s="17" t="n"/>
      <c r="D20" s="17" t="n"/>
      <c r="E20" s="17" t="n">
        <v>554100</v>
      </c>
      <c r="F20" s="17" t="n">
        <v>617900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>
        <v>43200</v>
      </c>
      <c r="F22" s="17" t="n">
        <v>22700</v>
      </c>
    </row>
    <row r="23">
      <c r="A23" s="16" t="inlineStr">
        <is>
          <t>Periodeafgrænsningsposter (aktiver)</t>
        </is>
      </c>
      <c r="B23" s="17" t="n">
        <v>42700</v>
      </c>
      <c r="C23" s="17" t="n">
        <v>54000</v>
      </c>
      <c r="D23" s="17" t="n">
        <v>48500</v>
      </c>
      <c r="E23" s="17" t="n">
        <v>67400</v>
      </c>
      <c r="F23" s="17" t="n">
        <v>79400</v>
      </c>
    </row>
    <row r="24">
      <c r="A24" s="16" t="inlineStr">
        <is>
          <t>Udskudt skatteaktiv</t>
        </is>
      </c>
      <c r="B24" s="17" t="n">
        <v>5400</v>
      </c>
      <c r="C24" s="17" t="n">
        <v>10100</v>
      </c>
      <c r="D24" s="17" t="n">
        <v>10400</v>
      </c>
      <c r="E24" s="17" t="n">
        <v>11400</v>
      </c>
      <c r="F24" s="17" t="n">
        <v>10900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>
        <v>9000</v>
      </c>
      <c r="D26" s="17" t="n">
        <v>0</v>
      </c>
      <c r="E26" s="17" t="n"/>
      <c r="F26" s="17" t="n"/>
    </row>
    <row r="27">
      <c r="A27" s="15" t="inlineStr">
        <is>
          <t>Tilgodehavender</t>
        </is>
      </c>
      <c r="B27" s="17" t="n">
        <v>38800</v>
      </c>
      <c r="C27" s="17" t="n">
        <v>65200</v>
      </c>
      <c r="D27" s="17" t="n">
        <v>41500</v>
      </c>
      <c r="E27" s="17" t="n">
        <v>732600</v>
      </c>
      <c r="F27" s="17" t="n">
        <v>775800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116000</v>
      </c>
      <c r="C29" s="17" t="n">
        <v>195100</v>
      </c>
      <c r="D29" s="17" t="n">
        <v>243900</v>
      </c>
      <c r="E29" s="17" t="n">
        <v>228000</v>
      </c>
      <c r="F29" s="17" t="n">
        <v>173800</v>
      </c>
    </row>
    <row r="30">
      <c r="A30" s="15" t="inlineStr">
        <is>
          <t>Omsætningsaktiver</t>
        </is>
      </c>
      <c r="B30" s="17" t="n">
        <v>845900</v>
      </c>
      <c r="C30" s="17" t="n">
        <v>1259600</v>
      </c>
      <c r="D30" s="17" t="n">
        <v>1177800</v>
      </c>
      <c r="E30" s="17" t="n">
        <v>1199000</v>
      </c>
      <c r="F30" s="17" t="n">
        <v>1220700</v>
      </c>
    </row>
    <row r="31">
      <c r="A31" s="15" t="inlineStr">
        <is>
          <t>Aktiver</t>
        </is>
      </c>
      <c r="B31" s="17" t="n">
        <v>2488800</v>
      </c>
      <c r="C31" s="17" t="n">
        <v>2974100</v>
      </c>
      <c r="D31" s="17" t="n">
        <v>2885800</v>
      </c>
      <c r="E31" s="17" t="n">
        <v>2695000</v>
      </c>
      <c r="F31" s="17" t="n">
        <v>2658000</v>
      </c>
    </row>
    <row r="32">
      <c r="A32" s="16" t="inlineStr">
        <is>
          <t>Selskabskapital</t>
        </is>
      </c>
      <c r="B32" s="17" t="n">
        <v>51900</v>
      </c>
      <c r="C32" s="17" t="n">
        <v>51900</v>
      </c>
      <c r="D32" s="17" t="n">
        <v>51900</v>
      </c>
      <c r="E32" s="17" t="n">
        <v>51900</v>
      </c>
      <c r="F32" s="17" t="n">
        <v>51900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>
        <v>-14400</v>
      </c>
      <c r="F36" s="17" t="n">
        <v>-47700</v>
      </c>
    </row>
    <row r="37">
      <c r="A37" s="16" t="inlineStr">
        <is>
          <t>Overført resultat</t>
        </is>
      </c>
      <c r="B37" s="17" t="n">
        <v>756600</v>
      </c>
      <c r="C37" s="17" t="n">
        <v>955900</v>
      </c>
      <c r="D37" s="17" t="n">
        <v>982100</v>
      </c>
      <c r="E37" s="17" t="n">
        <v>821700</v>
      </c>
      <c r="F37" s="17" t="n">
        <v>701200</v>
      </c>
    </row>
    <row r="38">
      <c r="A38" s="15" t="inlineStr">
        <is>
          <t>Egenkapital i alt</t>
        </is>
      </c>
      <c r="B38" s="17" t="n">
        <v>1032100</v>
      </c>
      <c r="C38" s="17" t="n">
        <v>1220400</v>
      </c>
      <c r="D38" s="17" t="n">
        <v>1446800</v>
      </c>
      <c r="E38" s="17" t="n">
        <v>1377900</v>
      </c>
      <c r="F38" s="17" t="n">
        <v>1226500</v>
      </c>
    </row>
    <row r="39">
      <c r="A39" s="16" t="inlineStr">
        <is>
          <t>Hensættelse til udskudt skat</t>
        </is>
      </c>
      <c r="B39" s="17" t="n">
        <v>42800</v>
      </c>
      <c r="C39" s="17" t="n">
        <v>43300</v>
      </c>
      <c r="D39" s="17" t="n">
        <v>45300</v>
      </c>
      <c r="E39" s="17" t="n"/>
      <c r="F39" s="17" t="n"/>
    </row>
    <row r="40">
      <c r="A40" s="15" t="inlineStr">
        <is>
          <t>Hensatte forpligtelser</t>
        </is>
      </c>
      <c r="B40" s="17" t="n">
        <v>14000</v>
      </c>
      <c r="C40" s="17" t="n">
        <v>43300</v>
      </c>
      <c r="D40" s="17" t="n">
        <v>45300</v>
      </c>
      <c r="E40" s="17" t="n">
        <v>13300</v>
      </c>
      <c r="F40" s="17" t="n">
        <v>19900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>
        <v>559500</v>
      </c>
      <c r="F42" s="17" t="n">
        <v>56100</v>
      </c>
    </row>
    <row r="43">
      <c r="A43" s="16" t="inlineStr">
        <is>
          <t>Leasingforpligtelser (langfristet)</t>
        </is>
      </c>
      <c r="B43" s="17" t="n">
        <v>182200</v>
      </c>
      <c r="C43" s="17" t="n">
        <v>185900</v>
      </c>
      <c r="D43" s="17" t="n">
        <v>153800</v>
      </c>
      <c r="E43" s="17" t="n"/>
      <c r="F43" s="17" t="n"/>
    </row>
    <row r="44">
      <c r="A44" s="16" t="inlineStr">
        <is>
          <t>Anden gæld (langfristet)</t>
        </is>
      </c>
      <c r="B44" s="17" t="n">
        <v>52100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858700</v>
      </c>
      <c r="C45" s="17" t="n">
        <v>1007900</v>
      </c>
      <c r="D45" s="17" t="n">
        <v>812400</v>
      </c>
      <c r="E45" s="17" t="n">
        <v>670200</v>
      </c>
      <c r="F45" s="17" t="n">
        <v>186100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97100</v>
      </c>
      <c r="C48" s="17" t="n"/>
      <c r="D48" s="17" t="n"/>
      <c r="E48" s="17" t="n">
        <v>23900</v>
      </c>
      <c r="F48" s="17" t="n">
        <v>568500</v>
      </c>
    </row>
    <row r="49">
      <c r="A49" s="16" t="inlineStr">
        <is>
          <t>Leasingforpligtelser (kortfristet)</t>
        </is>
      </c>
      <c r="B49" s="17" t="n">
        <v>45600</v>
      </c>
      <c r="C49" s="17" t="n">
        <v>55800</v>
      </c>
      <c r="D49" s="17" t="n">
        <v>54600</v>
      </c>
      <c r="E49" s="17" t="n"/>
      <c r="F49" s="17" t="n"/>
    </row>
    <row r="50">
      <c r="A50" s="16" t="inlineStr">
        <is>
          <t>Leverandører af varer og tjenesteydelser</t>
        </is>
      </c>
      <c r="B50" s="17" t="n">
        <v>241800</v>
      </c>
      <c r="C50" s="17" t="n">
        <v>249200</v>
      </c>
      <c r="D50" s="17" t="n">
        <v>260400</v>
      </c>
      <c r="E50" s="17" t="n">
        <v>302300</v>
      </c>
      <c r="F50" s="17" t="n">
        <v>296100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>
        <v>7200</v>
      </c>
      <c r="F51" s="17" t="n">
        <v>10500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>
        <v>14100</v>
      </c>
      <c r="F53" s="17" t="n">
        <v>25500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/>
      <c r="C55" s="17" t="n">
        <v>185600</v>
      </c>
      <c r="D55" s="17" t="n">
        <v>183200</v>
      </c>
      <c r="E55" s="17" t="n">
        <v>189200</v>
      </c>
      <c r="F55" s="17" t="n">
        <v>222500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598000</v>
      </c>
      <c r="C57" s="17" t="n">
        <v>745800</v>
      </c>
      <c r="D57" s="17" t="n">
        <v>626600</v>
      </c>
      <c r="E57" s="17" t="n">
        <v>646900</v>
      </c>
      <c r="F57" s="17" t="n">
        <v>1246600</v>
      </c>
    </row>
    <row r="58">
      <c r="A58" s="15" t="inlineStr">
        <is>
          <t>Gældsforpligtelser</t>
        </is>
      </c>
      <c r="B58" s="17" t="n">
        <v>1456700</v>
      </c>
      <c r="C58" s="17" t="n">
        <v>1753700</v>
      </c>
      <c r="D58" s="17" t="n">
        <v>1439000</v>
      </c>
      <c r="E58" s="17" t="n">
        <v>1317100</v>
      </c>
      <c r="F58" s="17" t="n">
        <v>1432700</v>
      </c>
    </row>
    <row r="59">
      <c r="A59" s="15" t="inlineStr">
        <is>
          <t>Passiver</t>
        </is>
      </c>
      <c r="B59" s="17" t="n">
        <v>2488800</v>
      </c>
      <c r="C59" s="17" t="n">
        <v>2974100</v>
      </c>
      <c r="D59" s="17" t="n">
        <v>2885800</v>
      </c>
      <c r="E59" s="17" t="n">
        <v>2695000</v>
      </c>
      <c r="F59" s="17" t="n">
        <v>2658000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KOMPAN Holding A/S (CVR 35663908)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259600</v>
      </c>
      <c r="C2" s="17" t="n">
        <v>324600</v>
      </c>
      <c r="D2" s="17" t="n">
        <v>711100</v>
      </c>
      <c r="E2" s="17" t="n"/>
      <c r="F2" s="17" t="n"/>
    </row>
    <row r="3">
      <c r="A3" s="16" t="inlineStr">
        <is>
          <t>Pengestrømme fra investeringsaktivitet</t>
        </is>
      </c>
      <c r="B3" s="17" t="n">
        <v>-54800</v>
      </c>
      <c r="C3" s="17" t="n">
        <v>-97900</v>
      </c>
      <c r="D3" s="17" t="n">
        <v>-126700</v>
      </c>
      <c r="E3" s="17" t="n">
        <v>-138800</v>
      </c>
      <c r="F3" s="17" t="n">
        <v>-97700</v>
      </c>
    </row>
    <row r="4">
      <c r="A4" s="16" t="inlineStr">
        <is>
          <t>Pengestrømme fra finansieringsaktivitet</t>
        </is>
      </c>
      <c r="B4" s="17" t="n">
        <v>-288800</v>
      </c>
      <c r="C4" s="17" t="n">
        <v>-148900</v>
      </c>
      <c r="D4" s="17" t="n">
        <v>-535500</v>
      </c>
      <c r="E4" s="17" t="n">
        <v>-422400</v>
      </c>
      <c r="F4" s="17" t="n">
        <v>-469800</v>
      </c>
    </row>
    <row r="5">
      <c r="A5" s="16" t="inlineStr">
        <is>
          <t>Årets pengestrøm</t>
        </is>
      </c>
      <c r="B5" s="17" t="n"/>
      <c r="C5" s="17" t="n">
        <v>77800</v>
      </c>
      <c r="D5" s="17" t="n">
        <v>48900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KOMPAN Holding A/S (CVR 35663908) — Regnskabs- og nøgletal (CVR: 35663908)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'res_raw_35663908'!$F$2</f>
        <v/>
      </c>
      <c r="C5" s="24">
        <f>'res_raw_35663908'!$E$2</f>
        <v/>
      </c>
      <c r="D5" s="24">
        <f>'res_raw_35663908'!$D$2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'res_raw_35663908'!$F$3</f>
        <v/>
      </c>
      <c r="C6" s="24">
        <f>'res_raw_35663908'!$E$3</f>
        <v/>
      </c>
      <c r="D6" s="24">
        <f>'res_raw_35663908'!$D$3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-'res_raw_35663908'!$F$4</f>
        <v/>
      </c>
      <c r="C7" s="24">
        <f>-'res_raw_35663908'!$E$4</f>
        <v/>
      </c>
      <c r="D7" s="24">
        <f>-'res_raw_35663908'!$D$4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-'res_raw_35663908'!$F$5</f>
        <v/>
      </c>
      <c r="C8" s="24">
        <f>-'res_raw_35663908'!$E$5</f>
        <v/>
      </c>
      <c r="D8" s="24">
        <f>-'res_raw_35663908'!$D$5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-'res_raw_35663908'!$F$7</f>
        <v/>
      </c>
      <c r="C10" s="24">
        <f>-'res_raw_35663908'!$E$7</f>
        <v/>
      </c>
      <c r="D10" s="24">
        <f>-'res_raw_35663908'!$D$7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-'res_raw_35663908'!$F$9</f>
        <v/>
      </c>
      <c r="C11" s="24">
        <f>-'res_raw_35663908'!$E$9</f>
        <v/>
      </c>
      <c r="D11" s="24">
        <f>-'res_raw_35663908'!$D$9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-'res_raw_35663908'!$F$10</f>
        <v/>
      </c>
      <c r="C12" s="24">
        <f>-'res_raw_35663908'!$E$10</f>
        <v/>
      </c>
      <c r="D12" s="24">
        <f>-'res_raw_35663908'!$D$10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N('res_raw_35663908'!$F$12)+N('res_raw_35663908'!$F$13)</f>
        <v/>
      </c>
      <c r="C14" s="24">
        <f>N('res_raw_35663908'!$E$12)+N('res_raw_35663908'!$E$13)</f>
        <v/>
      </c>
      <c r="D14" s="24">
        <f>N('res_raw_35663908'!$D$12)+N('res_raw_35663908'!$D$13)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-'res_raw_35663908'!$F$14</f>
        <v/>
      </c>
      <c r="C15" s="24">
        <f>-'res_raw_35663908'!$E$14</f>
        <v/>
      </c>
      <c r="D15" s="24">
        <f>-'res_raw_35663908'!$D$14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'balance_raw_35663908'!$F$15</f>
        <v/>
      </c>
      <c r="C19" s="24">
        <f>'balance_raw_35663908'!$E$15</f>
        <v/>
      </c>
      <c r="D19" s="24">
        <f>'balance_raw_35663908'!$D$15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'balance_raw_35663908'!$F$30</f>
        <v/>
      </c>
      <c r="C20" s="24">
        <f>'balance_raw_35663908'!$E$30</f>
        <v/>
      </c>
      <c r="D20" s="24">
        <f>'balance_raw_35663908'!$D$30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'balance_raw_35663908'!$F$38</f>
        <v/>
      </c>
      <c r="C23" s="24">
        <f>'balance_raw_35663908'!$E$38</f>
        <v/>
      </c>
      <c r="D23" s="24">
        <f>'balance_raw_35663908'!$D$38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'balance_raw_35663908'!$F$59-'balance_raw_35663908'!$F$38</f>
        <v/>
      </c>
      <c r="C24" s="24">
        <f>'balance_raw_35663908'!$E$59-'balance_raw_35663908'!$E$38</f>
        <v/>
      </c>
      <c r="D24" s="24">
        <f>'balance_raw_35663908'!$D$59-'balance_raw_35663908'!$D$38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'balance_raw_35663908'!$F$19</f>
        <v/>
      </c>
      <c r="C28" s="24">
        <f>'balance_raw_35663908'!$E$19</f>
        <v/>
      </c>
      <c r="D28" s="24">
        <f>'balance_raw_35663908'!$D$19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'balance_raw_35663908'!$F$20</f>
        <v/>
      </c>
      <c r="C29" s="24">
        <f>'balance_raw_35663908'!$E$20</f>
        <v/>
      </c>
      <c r="D29" s="24">
        <f>'balance_raw_35663908'!$D$20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'balance_raw_35663908'!$F$57</f>
        <v/>
      </c>
      <c r="C30" s="24">
        <f>'balance_raw_35663908'!$E$57</f>
        <v/>
      </c>
      <c r="D30" s="24">
        <f>'balance_raw_35663908'!$D$57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IF('balance_raw_35663908'!$F$31="","—",IF(ABS(B21-'balance_raw_35663908'!$F$31)&lt;=1,"✓ OK","❌ "&amp;TEXT(B21-'balance_raw_35663908'!$F$31,"+#,##0;-#,##0")&amp;" t.kr."))</f>
        <v/>
      </c>
      <c r="C61" s="29">
        <f>IF('balance_raw_35663908'!$E$31="","—",IF(ABS(C21-'balance_raw_35663908'!$E$31)&lt;=1,"✓ OK","❌ "&amp;TEXT(C21-'balance_raw_35663908'!$E$31,"+#,##0;-#,##0")&amp;" t.kr."))</f>
        <v/>
      </c>
      <c r="D61" s="29">
        <f>IF('balance_raw_35663908'!$D$31="","—",IF(ABS(D21-'balance_raw_35663908'!$D$31)&lt;=1,"✓ OK","❌ "&amp;TEXT(D21-'balance_raw_35663908'!$D$31,"+#,##0;-#,##0")&amp;"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IF('balance_raw_35663908'!$F$59="","—",IF(ABS(B25-'balance_raw_35663908'!$F$59)&lt;=1,"✓ OK","❌ "&amp;TEXT(B25-'balance_raw_35663908'!$F$59,"+#,##0;-#,##0")&amp;" t.kr."))</f>
        <v/>
      </c>
      <c r="C62" s="29">
        <f>IF('balance_raw_35663908'!$E$59="","—",IF(ABS(C25-'balance_raw_35663908'!$E$59)&lt;=1,"✓ OK","❌ "&amp;TEXT(C25-'balance_raw_35663908'!$E$59,"+#,##0;-#,##0")&amp;" t.kr."))</f>
        <v/>
      </c>
      <c r="D62" s="29">
        <f>IF('balance_raw_35663908'!$D$59="","—",IF(ABS(D25-'balance_raw_35663908'!$D$59)&lt;=1,"✓ OK","❌ "&amp;TEXT(D25-'balance_raw_35663908'!$D$59,"+#,##0;-#,##0")&amp;"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IF('res_raw_35663908'!$F$6="","—",IF(ABS(B9-'res_raw_35663908'!$F$6)&lt;=1,"✓ OK","❌ "&amp;TEXT(B9-'res_raw_35663908'!$F$6,"+#,##0;-#,##0")&amp;" t.kr."))</f>
        <v/>
      </c>
      <c r="C64" s="29">
        <f>IF('res_raw_35663908'!$E$6="","—",IF(ABS(C9-'res_raw_35663908'!$E$6)&lt;=1,"✓ OK","❌ "&amp;TEXT(C9-'res_raw_35663908'!$E$6,"+#,##0;-#,##0")&amp;" t.kr."))</f>
        <v/>
      </c>
      <c r="D64" s="29">
        <f>IF('res_raw_35663908'!$D$6="","—",IF(ABS(D9-'res_raw_35663908'!$D$6)&lt;=1,"✓ OK","❌ "&amp;TEXT(D9-'res_raw_35663908'!$D$6,"+#,##0;-#,##0")&amp;"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IF('res_raw_35663908'!$F$11="","—",IF(ABS(B13-'res_raw_35663908'!$F$11)&lt;=1,"✓ OK","❌ "&amp;TEXT(B13-'res_raw_35663908'!$F$11,"+#,##0;-#,##0")&amp;" t.kr."))</f>
        <v/>
      </c>
      <c r="C65" s="29">
        <f>IF('res_raw_35663908'!$E$11="","—",IF(ABS(C13-'res_raw_35663908'!$E$11)&lt;=1,"✓ OK","❌ "&amp;TEXT(C13-'res_raw_35663908'!$E$11,"+#,##0;-#,##0")&amp;" t.kr."))</f>
        <v/>
      </c>
      <c r="D65" s="29">
        <f>IF('res_raw_35663908'!$D$11="","—",IF(ABS(D13-'res_raw_35663908'!$D$11)&lt;=1,"✓ OK","❌ "&amp;TEXT(D13-'res_raw_35663908'!$D$11,"+#,##0;-#,##0")&amp;"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IF('res_raw_35663908'!$F$16="","—",IF(ABS(B16-'res_raw_35663908'!$F$16)&lt;=1,"✓ OK","❌ "&amp;TEXT(B16-'res_raw_35663908'!$F$16,"+#,##0;-#,##0")&amp;" t.kr."))</f>
        <v/>
      </c>
      <c r="C66" s="29">
        <f>IF('res_raw_35663908'!$E$16="","—",IF(ABS(C16-'res_raw_35663908'!$E$16)&lt;=1,"✓ OK","❌ "&amp;TEXT(C16-'res_raw_35663908'!$E$16,"+#,##0;-#,##0")&amp;" t.kr."))</f>
        <v/>
      </c>
      <c r="D66" s="29">
        <f>IF('res_raw_35663908'!$D$16="","—",IF(ABS(D16-'res_raw_35663908'!$D$16)&lt;=1,"✓ OK","❌ "&amp;TEXT(D16-'res_raw_35663908'!$D$16,"+#,##0;-#,##0")&amp;"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KOMPAN Holding A/S (CVR 35663908)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fsa:AcquisitionOfCompaniesAndActivitiesSpecification</t>
        </is>
      </c>
      <c r="C3" s="34" t="inlineStr">
        <is>
          <t>fsa:AcquisitionOfCompaniesAndActivitiesSpecification</t>
        </is>
      </c>
      <c r="D3" s="35" t="n"/>
      <c r="E3" s="35" t="n"/>
      <c r="F3" s="35" t="n"/>
      <c r="G3" s="35" t="n">
        <v>3600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fsa:CurrentContractAssets</t>
        </is>
      </c>
      <c r="C4" s="37" t="inlineStr">
        <is>
          <t>fsa:CurrentContractAssets</t>
        </is>
      </c>
      <c r="D4" s="38" t="n"/>
      <c r="E4" s="38" t="n"/>
      <c r="F4" s="38" t="n"/>
      <c r="G4" s="38" t="n">
        <v>67900</v>
      </c>
      <c r="H4" s="38" t="n">
        <v>55700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fsa:CurrentContractLiabilities</t>
        </is>
      </c>
      <c r="C5" s="34" t="inlineStr">
        <is>
          <t>fsa:CurrentContractLiabilities</t>
        </is>
      </c>
      <c r="D5" s="35" t="n"/>
      <c r="E5" s="35" t="n"/>
      <c r="F5" s="35" t="n"/>
      <c r="G5" s="35" t="n">
        <v>101400</v>
      </c>
      <c r="H5" s="35" t="n">
        <v>118500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fsa:DecreaseOfCapital</t>
        </is>
      </c>
      <c r="C6" s="37" t="inlineStr">
        <is>
          <t>fsa:DecreaseOfCapital</t>
        </is>
      </c>
      <c r="D6" s="38" t="n"/>
      <c r="E6" s="38" t="n"/>
      <c r="F6" s="38" t="n"/>
      <c r="G6" s="38" t="n"/>
      <c r="H6" s="38" t="n">
        <v>33300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fsa:EmployeeExpensesTransferredToAssets</t>
        </is>
      </c>
      <c r="C7" s="34" t="inlineStr">
        <is>
          <t>fsa:EmployeeExpensesTransferredToAssets</t>
        </is>
      </c>
      <c r="D7" s="35" t="n"/>
      <c r="E7" s="35" t="n"/>
      <c r="F7" s="35" t="n"/>
      <c r="G7" s="35" t="n">
        <v>-15200</v>
      </c>
      <c r="H7" s="35" t="n">
        <v>-21300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fsa:FeesForAuditorsPerformingOtherAssuranceReports</t>
        </is>
      </c>
      <c r="C8" s="37" t="inlineStr">
        <is>
          <t>fsa:FeesForAuditorsPerformingOtherAssuranceReports</t>
        </is>
      </c>
      <c r="D8" s="38" t="n"/>
      <c r="E8" s="38" t="n"/>
      <c r="F8" s="38" t="n"/>
      <c r="G8" s="38" t="n">
        <v>100</v>
      </c>
      <c r="H8" s="38" t="n">
        <v>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fsa:InterestExpenseAssignedToAssociates</t>
        </is>
      </c>
      <c r="C9" s="34" t="inlineStr">
        <is>
          <t>fsa:InterestExpenseAssignedToAssociates</t>
        </is>
      </c>
      <c r="D9" s="35" t="n"/>
      <c r="E9" s="35" t="n"/>
      <c r="F9" s="35" t="n"/>
      <c r="G9" s="35" t="n">
        <v>0</v>
      </c>
      <c r="H9" s="35" t="n">
        <v>700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fsa:InterestExpenseToParticipatingInterests</t>
        </is>
      </c>
      <c r="C10" s="37" t="inlineStr">
        <is>
          <t>fsa:InterestExpenseToParticipatingInterests</t>
        </is>
      </c>
      <c r="D10" s="38" t="n"/>
      <c r="E10" s="38" t="n"/>
      <c r="F10" s="38" t="n"/>
      <c r="G10" s="38" t="n">
        <v>25700</v>
      </c>
      <c r="H10" s="38" t="n">
        <v>17900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fsa:InterestReceived</t>
        </is>
      </c>
      <c r="C11" s="34" t="inlineStr">
        <is>
          <t>fsa:InterestReceived</t>
        </is>
      </c>
      <c r="D11" s="35" t="n"/>
      <c r="E11" s="35" t="n"/>
      <c r="F11" s="35" t="n"/>
      <c r="G11" s="35" t="n">
        <v>-11800</v>
      </c>
      <c r="H11" s="35" t="n">
        <v>-7700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fsa:LongtermTaxPayables</t>
        </is>
      </c>
      <c r="C12" s="37" t="inlineStr">
        <is>
          <t>fsa:LongtermTaxPayables</t>
        </is>
      </c>
      <c r="D12" s="38" t="n"/>
      <c r="E12" s="38" t="n"/>
      <c r="F12" s="38" t="n"/>
      <c r="G12" s="38" t="n">
        <v>53300</v>
      </c>
      <c r="H12" s="38" t="n">
        <v>54100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fsa:NoncurrentContractLiabilities</t>
        </is>
      </c>
      <c r="C13" s="34" t="inlineStr">
        <is>
          <t>fsa:NoncurrentContractLiabilities</t>
        </is>
      </c>
      <c r="D13" s="35" t="n"/>
      <c r="E13" s="35" t="n"/>
      <c r="F13" s="35" t="n"/>
      <c r="G13" s="35" t="n">
        <v>11100</v>
      </c>
      <c r="H13" s="35" t="n">
        <v>31100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fsa:OtherProvisionsLiabilitiesShortterm</t>
        </is>
      </c>
      <c r="C14" s="37" t="inlineStr">
        <is>
          <t>fsa:OtherProvisionsLiabilitiesShortterm</t>
        </is>
      </c>
      <c r="D14" s="38" t="n"/>
      <c r="E14" s="38" t="n"/>
      <c r="F14" s="38" t="n"/>
      <c r="G14" s="38" t="n">
        <v>8800</v>
      </c>
      <c r="H14" s="38" t="n">
        <v>5000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fsa:PensionLiabilitiesRelatedToManagementCategory</t>
        </is>
      </c>
      <c r="C15" s="34" t="inlineStr">
        <is>
          <t>fsa:PensionLiabilitiesRelatedToManagementCategory</t>
        </is>
      </c>
      <c r="D15" s="35" t="n"/>
      <c r="E15" s="35" t="n"/>
      <c r="F15" s="35" t="n"/>
      <c r="G15" s="35" t="n">
        <v>400</v>
      </c>
      <c r="H15" s="35" t="n">
        <v>300</v>
      </c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fsa:PensionsAndSimilarLiabilitiesLiabilitiesLongterm</t>
        </is>
      </c>
      <c r="C16" s="37" t="inlineStr">
        <is>
          <t>fsa:PensionsAndSimilarLiabilitiesLiabilitiesLongterm</t>
        </is>
      </c>
      <c r="D16" s="38" t="n"/>
      <c r="E16" s="38" t="n"/>
      <c r="F16" s="38" t="n"/>
      <c r="G16" s="38" t="n">
        <v>3500</v>
      </c>
      <c r="H16" s="38" t="n">
        <v>3900</v>
      </c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fsa:SaleOfMinorityShares</t>
        </is>
      </c>
      <c r="C17" s="34" t="inlineStr">
        <is>
          <t>fsa:SaleOfMinorityShares</t>
        </is>
      </c>
      <c r="D17" s="35" t="n"/>
      <c r="E17" s="35" t="n"/>
      <c r="F17" s="35" t="n"/>
      <c r="G17" s="35" t="n"/>
      <c r="H17" s="35" t="n">
        <v>500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fsa:SaleOfTreasuryShares</t>
        </is>
      </c>
      <c r="C18" s="37" t="inlineStr">
        <is>
          <t>fsa:SaleOfTreasuryShares</t>
        </is>
      </c>
      <c r="D18" s="38" t="n"/>
      <c r="E18" s="38" t="n"/>
      <c r="F18" s="38" t="n"/>
      <c r="G18" s="38" t="n">
        <v>8600</v>
      </c>
      <c r="H18" s="38" t="n">
        <v>10100</v>
      </c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fsa:SalesOfTreasuryShares</t>
        </is>
      </c>
      <c r="C19" s="34" t="inlineStr">
        <is>
          <t>fsa:SalesOfTreasuryShares</t>
        </is>
      </c>
      <c r="D19" s="35" t="n"/>
      <c r="E19" s="35" t="n"/>
      <c r="F19" s="35" t="n"/>
      <c r="G19" s="35" t="n"/>
      <c r="H19" s="35" t="n">
        <v>9600</v>
      </c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fsa:ShorttermReceivablesDividendsFromGroupEnterprises</t>
        </is>
      </c>
      <c r="C20" s="37" t="inlineStr">
        <is>
          <t>fsa:ShorttermReceivablesDividendsFromGroupEnterprises</t>
        </is>
      </c>
      <c r="D20" s="38" t="n"/>
      <c r="E20" s="38" t="n"/>
      <c r="F20" s="38" t="n"/>
      <c r="G20" s="38" t="n">
        <v>7700</v>
      </c>
      <c r="H20" s="38" t="n">
        <v>5200</v>
      </c>
      <c r="I2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2026-09-10T15:35:37Z</dcterms:created>
  <dcterms:modified xmlns:dcterms="http://purl.org/dc/terms/" xmlns:xsi="http://www.w3.org/2001/XMLSchema-instance" xsi:type="dcterms:W3CDTF">2026-09-10T15:35:38Z</dcterms:modified>
</cp:coreProperties>
</file>