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pengestrom_raw_5886872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'pengestrom_raw_58868728'!$B$2</f>
        <v/>
      </c>
      <c r="C99" s="17">
        <f>'pengestrom_raw_58868728'!$C$2</f>
        <v/>
      </c>
      <c r="D99" s="17">
        <f>'pengestrom_raw_58868728'!$D$2</f>
        <v/>
      </c>
      <c r="E99" s="17">
        <f>'pengestrom_raw_58868728'!$E$2</f>
        <v/>
      </c>
      <c r="F99" s="17">
        <f>'pengestrom_raw_58868728'!$F$2</f>
        <v/>
      </c>
    </row>
    <row r="100">
      <c r="A100" s="16" t="inlineStr">
        <is>
          <t>Pengestrømme fra investeringsaktivitet</t>
        </is>
      </c>
      <c r="B100" s="17">
        <f>'pengestrom_raw_58868728'!$B$3</f>
        <v/>
      </c>
      <c r="C100" s="17">
        <f>'pengestrom_raw_58868728'!$C$3</f>
        <v/>
      </c>
      <c r="D100" s="17">
        <f>'pengestrom_raw_58868728'!$D$3</f>
        <v/>
      </c>
      <c r="E100" s="17">
        <f>'pengestrom_raw_58868728'!$E$3</f>
        <v/>
      </c>
      <c r="F100" s="17">
        <f>'pengestrom_raw_58868728'!$F$3</f>
        <v/>
      </c>
    </row>
    <row r="101">
      <c r="A101" s="16" t="inlineStr">
        <is>
          <t>Pengestrømme fra finansieringsaktivitet</t>
        </is>
      </c>
      <c r="B101" s="17">
        <f>'pengestrom_raw_58868728'!$B$4</f>
        <v/>
      </c>
      <c r="C101" s="17">
        <f>'pengestrom_raw_58868728'!$C$4</f>
        <v/>
      </c>
      <c r="D101" s="17">
        <f>'pengestrom_raw_58868728'!$D$4</f>
        <v/>
      </c>
      <c r="E101" s="17">
        <f>'pengestrom_raw_58868728'!$E$4</f>
        <v/>
      </c>
      <c r="F101" s="17">
        <f>'pengestrom_raw_58868728'!$F$4</f>
        <v/>
      </c>
    </row>
    <row r="102">
      <c r="A102" s="16" t="inlineStr">
        <is>
          <t>Årets pengestrøm (rapporteret)</t>
        </is>
      </c>
      <c r="B102" s="17">
        <f>'pengestrom_raw_58868728'!$B$5</f>
        <v/>
      </c>
      <c r="C102" s="17">
        <f>'pengestrom_raw_58868728'!$C$5</f>
        <v/>
      </c>
      <c r="D102" s="17">
        <f>'pengestrom_raw_58868728'!$D$5</f>
        <v/>
      </c>
      <c r="E102" s="17">
        <f>'pengestrom_raw_58868728'!$E$5</f>
        <v/>
      </c>
      <c r="F102" s="17">
        <f>'pengestrom_raw_58868728'!$F$5</f>
        <v/>
      </c>
    </row>
    <row r="103">
      <c r="A103" s="16" t="inlineStr">
        <is>
          <t>Krydstjek: drift + inv. + fin. = årets pengestrøm</t>
        </is>
      </c>
      <c r="B103">
        <f>IF(ABS(('pengestrom_raw_58868728'!$B$2+'pengestrom_raw_58868728'!$B$3+'pengestrom_raw_58868728'!$B$4)-'pengestrom_raw_58868728'!$B$5)&lt;=2,"✓","⚠ "&amp;TEXT(('pengestrom_raw_58868728'!$B$2+'pengestrom_raw_58868728'!$B$3+'pengestrom_raw_58868728'!$B$4)-'pengestrom_raw_58868728'!$B$5,"+#,##0;-#,##0"))</f>
        <v/>
      </c>
      <c r="C103">
        <f>IF(ABS(('pengestrom_raw_58868728'!$C$2+'pengestrom_raw_58868728'!$C$3+'pengestrom_raw_58868728'!$C$4)-'pengestrom_raw_58868728'!$C$5)&lt;=2,"✓","⚠ "&amp;TEXT(('pengestrom_raw_58868728'!$C$2+'pengestrom_raw_58868728'!$C$3+'pengestrom_raw_58868728'!$C$4)-'pengestrom_raw_58868728'!$C$5,"+#,##0;-#,##0"))</f>
        <v/>
      </c>
      <c r="D103">
        <f>IF(ABS(('pengestrom_raw_58868728'!$D$2+'pengestrom_raw_58868728'!$D$3+'pengestrom_raw_58868728'!$D$4)-'pengestrom_raw_58868728'!$D$5)&lt;=2,"✓","⚠ "&amp;TEXT(('pengestrom_raw_58868728'!$D$2+'pengestrom_raw_58868728'!$D$3+'pengestrom_raw_58868728'!$D$4)-'pengestrom_raw_58868728'!$D$5,"+#,##0;-#,##0"))</f>
        <v/>
      </c>
      <c r="E103">
        <f>IF(ABS(('pengestrom_raw_58868728'!$E$2+'pengestrom_raw_58868728'!$E$3+'pengestrom_raw_58868728'!$E$4)-'pengestrom_raw_58868728'!$E$5)&lt;=2,"✓","⚠ "&amp;TEXT(('pengestrom_raw_58868728'!$E$2+'pengestrom_raw_58868728'!$E$3+'pengestrom_raw_58868728'!$E$4)-'pengestrom_raw_58868728'!$E$5,"+#,##0;-#,##0"))</f>
        <v/>
      </c>
      <c r="F103">
        <f>IF(ABS(('pengestrom_raw_58868728'!$F$2+'pengestrom_raw_58868728'!$F$3+'pengestrom_raw_58868728'!$F$4)-'pengestrom_raw_58868728'!$F$5)&lt;=2,"✓","⚠ "&amp;TEXT(('pengestrom_raw_58868728'!$F$2+'pengestrom_raw_58868728'!$F$3+'pengestrom_raw_58868728'!$F$4)-'pengestrom_raw_58868728'!$F$5,"+#,##0;-#,##0"))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809705</v>
      </c>
      <c r="C2" s="17" t="n">
        <v>1065012</v>
      </c>
      <c r="D2" s="17" t="n">
        <v>931153</v>
      </c>
      <c r="E2" s="17" t="n">
        <v>483482</v>
      </c>
      <c r="F2" s="17" t="n">
        <v>515969</v>
      </c>
    </row>
    <row r="3">
      <c r="A3" s="16" t="inlineStr">
        <is>
          <t>Andre driftsindtægter</t>
        </is>
      </c>
      <c r="B3" s="17" t="n">
        <v>893</v>
      </c>
      <c r="C3" s="17" t="n">
        <v>1482</v>
      </c>
      <c r="D3" s="17" t="n">
        <v>1019</v>
      </c>
      <c r="E3" s="17" t="n">
        <v>1205</v>
      </c>
      <c r="F3" s="17" t="n">
        <v>1414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69062</v>
      </c>
      <c r="C5" s="17" t="n">
        <v>86943</v>
      </c>
      <c r="D5" s="17" t="n">
        <v>91190</v>
      </c>
      <c r="E5" s="17" t="n">
        <v>71634</v>
      </c>
      <c r="F5" s="17" t="n">
        <v>73251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129908</v>
      </c>
      <c r="C7" s="17" t="n">
        <v>152922</v>
      </c>
      <c r="D7" s="17" t="n">
        <v>154842</v>
      </c>
      <c r="E7" s="17" t="n">
        <v>122851</v>
      </c>
      <c r="F7" s="17" t="n">
        <v>127290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37909</v>
      </c>
      <c r="C9" s="17" t="n">
        <v>42556</v>
      </c>
      <c r="D9" s="17" t="n">
        <v>48325</v>
      </c>
      <c r="E9" s="17" t="n">
        <v>37089</v>
      </c>
      <c r="F9" s="17" t="n">
        <v>39588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58633</v>
      </c>
      <c r="C11" s="17" t="n">
        <v>64928</v>
      </c>
      <c r="D11" s="17" t="n">
        <v>15929</v>
      </c>
      <c r="E11" s="17" t="n">
        <v>19673</v>
      </c>
      <c r="F11" s="17" t="n">
        <v>44100</v>
      </c>
    </row>
    <row r="12">
      <c r="A12" s="16" t="inlineStr">
        <is>
          <t>Indtægter af kapitalandele, dattervirksomheder</t>
        </is>
      </c>
      <c r="B12" s="17" t="n">
        <v>2963</v>
      </c>
      <c r="C12" s="17" t="n">
        <v>121</v>
      </c>
      <c r="D12" s="17" t="n">
        <v>398</v>
      </c>
      <c r="E12" s="17" t="n">
        <v>890</v>
      </c>
      <c r="F12" s="17" t="n">
        <v>2815</v>
      </c>
    </row>
    <row r="13">
      <c r="A13" s="16" t="inlineStr">
        <is>
          <t>Finansielle indtægter</t>
        </is>
      </c>
      <c r="B13" s="17" t="n">
        <v>1760</v>
      </c>
      <c r="C13" s="17" t="n">
        <v>20900</v>
      </c>
      <c r="D13" s="17" t="n">
        <v>641</v>
      </c>
      <c r="E13" s="17" t="n">
        <v>3761</v>
      </c>
      <c r="F13" s="17" t="n">
        <v>4126</v>
      </c>
    </row>
    <row r="14">
      <c r="A14" s="16" t="inlineStr">
        <is>
          <t>Finansielle omkostninger</t>
        </is>
      </c>
      <c r="B14" s="17" t="n">
        <v>4577</v>
      </c>
      <c r="C14" s="17" t="n">
        <v>5351</v>
      </c>
      <c r="D14" s="17" t="n">
        <v>14394</v>
      </c>
      <c r="E14" s="17" t="n">
        <v>20323</v>
      </c>
      <c r="F14" s="17" t="n">
        <v>17264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58779</v>
      </c>
      <c r="C16" s="17" t="n">
        <v>80598</v>
      </c>
      <c r="D16" s="17" t="n">
        <v>2575</v>
      </c>
      <c r="E16" s="17" t="n"/>
      <c r="F16" s="17" t="n"/>
    </row>
    <row r="17">
      <c r="A17" s="16" t="inlineStr">
        <is>
          <t>Skat af årets resultat</t>
        </is>
      </c>
      <c r="B17" s="17" t="n">
        <v>12601</v>
      </c>
      <c r="C17" s="17" t="n">
        <v>22438</v>
      </c>
      <c r="D17" s="17" t="n">
        <v>6903</v>
      </c>
      <c r="E17" s="17" t="n">
        <v>5455</v>
      </c>
      <c r="F17" s="17" t="n">
        <v>8963</v>
      </c>
    </row>
    <row r="18">
      <c r="A18" s="15" t="inlineStr">
        <is>
          <t>Årets resultat</t>
        </is>
      </c>
      <c r="B18" s="17" t="n">
        <v>46178</v>
      </c>
      <c r="C18" s="17" t="n">
        <v>58160</v>
      </c>
      <c r="D18" s="17" t="n">
        <v>-4329</v>
      </c>
      <c r="E18" s="17" t="n">
        <v>-1453</v>
      </c>
      <c r="F18" s="17" t="n">
        <v>24814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27783</v>
      </c>
      <c r="C20" s="17" t="n">
        <v>32150</v>
      </c>
      <c r="D20" s="17" t="n">
        <v>23710</v>
      </c>
      <c r="E20" s="17" t="n">
        <v>13934</v>
      </c>
      <c r="F20" s="17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11734</v>
      </c>
      <c r="C2" s="17" t="n">
        <v>17095</v>
      </c>
      <c r="D2" s="17" t="n">
        <v>16677</v>
      </c>
      <c r="E2" s="17" t="n">
        <v>13869</v>
      </c>
      <c r="F2" s="17" t="n">
        <v>16094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51027</v>
      </c>
      <c r="C4" s="17" t="n">
        <v>50698</v>
      </c>
      <c r="D4" s="17" t="n">
        <v>51228</v>
      </c>
      <c r="E4" s="17" t="n">
        <v>27018</v>
      </c>
      <c r="F4" s="17" t="n">
        <v>25827</v>
      </c>
    </row>
    <row r="5">
      <c r="A5" s="15" t="inlineStr">
        <is>
          <t>Immaterielle anlægsaktiver</t>
        </is>
      </c>
      <c r="B5" s="17" t="n">
        <v>97314</v>
      </c>
      <c r="C5" s="17" t="n">
        <v>99087</v>
      </c>
      <c r="D5" s="17" t="n">
        <v>104323</v>
      </c>
      <c r="E5" s="17" t="n">
        <v>67140</v>
      </c>
      <c r="F5" s="17" t="n">
        <v>63011</v>
      </c>
    </row>
    <row r="6">
      <c r="A6" s="16" t="inlineStr">
        <is>
          <t>Grunde og bygninger</t>
        </is>
      </c>
      <c r="B6" s="17" t="n">
        <v>87836</v>
      </c>
      <c r="C6" s="17" t="n">
        <v>92463</v>
      </c>
      <c r="D6" s="17" t="n">
        <v>94256</v>
      </c>
      <c r="E6" s="17" t="n">
        <v>79164</v>
      </c>
      <c r="F6" s="17" t="n">
        <v>78423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13980</v>
      </c>
      <c r="C9" s="17" t="n">
        <v>15943</v>
      </c>
      <c r="D9" s="17" t="n">
        <v>17339</v>
      </c>
      <c r="E9" s="17" t="n">
        <v>10395</v>
      </c>
      <c r="F9" s="17" t="n">
        <v>7188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55064</v>
      </c>
      <c r="C11" s="17" t="n">
        <v>68938</v>
      </c>
      <c r="D11" s="17" t="n">
        <v>69661</v>
      </c>
      <c r="E11" s="17" t="n">
        <v>40374</v>
      </c>
      <c r="F11" s="17" t="n">
        <v>31726</v>
      </c>
    </row>
    <row r="12">
      <c r="A12" s="16" t="inlineStr">
        <is>
          <t>Kapitalandele, dattervirksomheder</t>
        </is>
      </c>
      <c r="B12" s="17" t="n">
        <v>33437</v>
      </c>
      <c r="C12" s="17" t="n">
        <v>32037</v>
      </c>
      <c r="D12" s="17" t="n">
        <v>32294</v>
      </c>
      <c r="E12" s="17" t="n">
        <v>32878</v>
      </c>
      <c r="F12" s="17" t="n">
        <v>35227</v>
      </c>
    </row>
    <row r="13">
      <c r="A13" s="16" t="inlineStr">
        <is>
          <t>Deposita</t>
        </is>
      </c>
      <c r="B13" s="17" t="n">
        <v>52640</v>
      </c>
      <c r="C13" s="17" t="n">
        <v>57040</v>
      </c>
      <c r="D13" s="17" t="n">
        <v>55521</v>
      </c>
      <c r="E13" s="17" t="n">
        <v>40291</v>
      </c>
      <c r="F13" s="17" t="n">
        <v>42130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364360</v>
      </c>
      <c r="C15" s="17" t="n">
        <v>385135</v>
      </c>
      <c r="D15" s="17" t="n">
        <v>394175</v>
      </c>
      <c r="E15" s="17" t="n">
        <v>277260</v>
      </c>
      <c r="F15" s="17" t="n">
        <v>279001</v>
      </c>
    </row>
    <row r="16">
      <c r="A16" s="15" t="inlineStr">
        <is>
          <t>Varebeholdninger</t>
        </is>
      </c>
      <c r="B16" s="17" t="n">
        <v>183310</v>
      </c>
      <c r="C16" s="17" t="n">
        <v>246330</v>
      </c>
      <c r="D16" s="17" t="n">
        <v>223832</v>
      </c>
      <c r="E16" s="17" t="n">
        <v>116444</v>
      </c>
      <c r="F16" s="17" t="n">
        <v>107500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9065</v>
      </c>
      <c r="C20" s="17" t="n">
        <v>13335</v>
      </c>
      <c r="D20" s="17" t="n">
        <v>16174</v>
      </c>
      <c r="E20" s="17" t="n">
        <v>11322</v>
      </c>
      <c r="F20" s="17" t="n">
        <v>9743</v>
      </c>
    </row>
    <row r="21">
      <c r="A21" s="16" t="inlineStr">
        <is>
          <t>Udskudt skatteaktiv</t>
        </is>
      </c>
      <c r="B21" s="17" t="n">
        <v>19203</v>
      </c>
      <c r="C21" s="17" t="n">
        <v>25003</v>
      </c>
      <c r="D21" s="17" t="n">
        <v>23227</v>
      </c>
      <c r="E21" s="17" t="n">
        <v>7413</v>
      </c>
      <c r="F21" s="17" t="n">
        <v>6903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0</v>
      </c>
      <c r="D23" s="17" t="n">
        <v>5373</v>
      </c>
      <c r="E23" s="17" t="n">
        <v>4541</v>
      </c>
      <c r="F23" s="17" t="n">
        <v>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46580</v>
      </c>
      <c r="C26" s="17" t="n">
        <v>77091</v>
      </c>
      <c r="D26" s="17" t="n">
        <v>38506</v>
      </c>
      <c r="E26" s="17" t="n">
        <v>26727</v>
      </c>
      <c r="F26" s="17" t="n">
        <v>35853</v>
      </c>
    </row>
    <row r="27">
      <c r="A27" s="15" t="inlineStr">
        <is>
          <t>Omsætningsaktiver</t>
        </is>
      </c>
      <c r="B27" s="17" t="n">
        <v>366791</v>
      </c>
      <c r="C27" s="17" t="n">
        <v>483414</v>
      </c>
      <c r="D27" s="17" t="n">
        <v>419584</v>
      </c>
      <c r="E27" s="17" t="n">
        <v>499955</v>
      </c>
      <c r="F27" s="17" t="n">
        <v>466700</v>
      </c>
    </row>
    <row r="28">
      <c r="A28" s="15" t="inlineStr">
        <is>
          <t>Aktiver</t>
        </is>
      </c>
      <c r="B28" s="17" t="n">
        <v>731151</v>
      </c>
      <c r="C28" s="17" t="n">
        <v>868549</v>
      </c>
      <c r="D28" s="17" t="n">
        <v>813760</v>
      </c>
      <c r="E28" s="17" t="n">
        <v>777215</v>
      </c>
      <c r="F28" s="17" t="n">
        <v>745701</v>
      </c>
    </row>
    <row r="29">
      <c r="A29" s="16" t="inlineStr">
        <is>
          <t>Selskabskapital</t>
        </is>
      </c>
      <c r="B29" s="17" t="n">
        <v>37800</v>
      </c>
      <c r="C29" s="17" t="n">
        <v>37800</v>
      </c>
      <c r="D29" s="17" t="n">
        <v>37800</v>
      </c>
      <c r="E29" s="17" t="n">
        <v>37800</v>
      </c>
      <c r="F29" s="17" t="n">
        <v>37800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268002</v>
      </c>
      <c r="C34" s="17" t="n">
        <v>305844</v>
      </c>
      <c r="D34" s="17" t="n">
        <v>301518</v>
      </c>
      <c r="E34" s="17" t="n">
        <v>234550</v>
      </c>
      <c r="F34" s="17" t="n">
        <v>242017</v>
      </c>
    </row>
    <row r="35">
      <c r="A35" s="15" t="inlineStr">
        <is>
          <t>Egenkapital i alt</t>
        </is>
      </c>
      <c r="B35" s="17" t="n">
        <v>322124</v>
      </c>
      <c r="C35" s="17" t="n">
        <v>358749</v>
      </c>
      <c r="D35" s="17" t="n">
        <v>326581</v>
      </c>
      <c r="E35" s="17" t="n">
        <v>261627</v>
      </c>
      <c r="F35" s="17" t="n">
        <v>263693</v>
      </c>
    </row>
    <row r="36">
      <c r="A36" s="16" t="inlineStr">
        <is>
          <t>Hensættelse til udskudt skat</t>
        </is>
      </c>
      <c r="B36" s="17" t="n">
        <v>11254</v>
      </c>
      <c r="C36" s="17" t="n">
        <v>9989</v>
      </c>
      <c r="D36" s="17" t="n">
        <v>12031</v>
      </c>
      <c r="E36" s="17" t="n">
        <v>10318</v>
      </c>
      <c r="F36" s="17" t="n">
        <v>7225</v>
      </c>
    </row>
    <row r="37">
      <c r="A37" s="15" t="inlineStr">
        <is>
          <t>Hensatte forpligtelser</t>
        </is>
      </c>
      <c r="B37" s="17" t="n">
        <v>11254</v>
      </c>
      <c r="C37" s="17" t="n">
        <v>9989</v>
      </c>
      <c r="D37" s="17" t="n">
        <v>12031</v>
      </c>
      <c r="E37" s="17" t="n">
        <v>10318</v>
      </c>
      <c r="F37" s="17" t="n">
        <v>7225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39539</v>
      </c>
      <c r="C40" s="17" t="n">
        <v>34353</v>
      </c>
      <c r="D40" s="17" t="n">
        <v>35711</v>
      </c>
      <c r="E40" s="17" t="n">
        <v>27402</v>
      </c>
      <c r="F40" s="17" t="n">
        <v>44037</v>
      </c>
    </row>
    <row r="41">
      <c r="A41" s="16" t="inlineStr">
        <is>
          <t>Anden gæld (langfristet)</t>
        </is>
      </c>
      <c r="B41" s="17" t="n">
        <v>45636</v>
      </c>
      <c r="C41" s="17" t="n">
        <v>38923</v>
      </c>
      <c r="D41" s="17" t="n">
        <v>36324</v>
      </c>
      <c r="E41" s="17" t="n">
        <v>33742</v>
      </c>
      <c r="F41" s="17" t="n">
        <v>31043</v>
      </c>
    </row>
    <row r="42">
      <c r="A42" s="15" t="inlineStr">
        <is>
          <t>Langfristede gældsforpligtelser</t>
        </is>
      </c>
      <c r="B42" s="17" t="n">
        <v>96429</v>
      </c>
      <c r="C42" s="17" t="n">
        <v>83265</v>
      </c>
      <c r="D42" s="17" t="n">
        <v>84066</v>
      </c>
      <c r="E42" s="17" t="n">
        <v>71462</v>
      </c>
      <c r="F42" s="17" t="n">
        <v>82305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188730</v>
      </c>
      <c r="C45" s="17" t="n">
        <v>293400</v>
      </c>
      <c r="D45" s="17" t="n">
        <v>309787</v>
      </c>
      <c r="E45" s="17" t="n">
        <v>316700</v>
      </c>
      <c r="F45" s="17" t="n">
        <v>265739</v>
      </c>
    </row>
    <row r="46">
      <c r="A46" s="16" t="inlineStr">
        <is>
          <t>Leasingforpligtelser (kortfristet)</t>
        </is>
      </c>
      <c r="B46" s="17" t="n">
        <v>17215</v>
      </c>
      <c r="C46" s="17" t="n">
        <v>19303</v>
      </c>
      <c r="D46" s="17" t="n">
        <v>18164</v>
      </c>
      <c r="E46" s="17" t="n">
        <v>14687</v>
      </c>
      <c r="F46" s="17" t="n">
        <v>14609</v>
      </c>
    </row>
    <row r="47">
      <c r="A47" s="16" t="inlineStr">
        <is>
          <t>Leverandører af varer og tjenesteydelser</t>
        </is>
      </c>
      <c r="B47" s="17" t="n">
        <v>58370</v>
      </c>
      <c r="C47" s="17" t="n">
        <v>62534</v>
      </c>
      <c r="D47" s="17" t="n">
        <v>40392</v>
      </c>
      <c r="E47" s="17" t="n">
        <v>19404</v>
      </c>
      <c r="F47" s="17" t="n">
        <v>15616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35476</v>
      </c>
      <c r="C52" s="17" t="n">
        <v>30105</v>
      </c>
      <c r="D52" s="17" t="n">
        <v>33512</v>
      </c>
      <c r="E52" s="17" t="n">
        <v>25590</v>
      </c>
      <c r="F52" s="17" t="n">
        <v>27901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312598</v>
      </c>
      <c r="C54" s="17" t="n">
        <v>426535</v>
      </c>
      <c r="D54" s="17" t="n">
        <v>403113</v>
      </c>
      <c r="E54" s="17" t="n">
        <v>444126</v>
      </c>
      <c r="F54" s="17" t="n">
        <v>399703</v>
      </c>
    </row>
    <row r="55">
      <c r="A55" s="15" t="inlineStr">
        <is>
          <t>Gældsforpligtelser</t>
        </is>
      </c>
      <c r="B55" s="17" t="n">
        <v>409027</v>
      </c>
      <c r="C55" s="17" t="n">
        <v>509800</v>
      </c>
      <c r="D55" s="17" t="n">
        <v>487179</v>
      </c>
      <c r="E55" s="17" t="n">
        <v>515588</v>
      </c>
      <c r="F55" s="17" t="n">
        <v>482008</v>
      </c>
    </row>
    <row r="56">
      <c r="A56" s="15" t="inlineStr">
        <is>
          <t>Passiver</t>
        </is>
      </c>
      <c r="B56" s="17" t="n">
        <v>731151</v>
      </c>
      <c r="C56" s="17" t="n">
        <v>868549</v>
      </c>
      <c r="D56" s="17" t="n">
        <v>813760</v>
      </c>
      <c r="E56" s="17" t="n">
        <v>777215</v>
      </c>
      <c r="F56" s="17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39355</v>
      </c>
      <c r="C2" s="17" t="n">
        <v>9092</v>
      </c>
      <c r="D2" s="17" t="n">
        <v>26509</v>
      </c>
      <c r="E2" s="17" t="n">
        <v>37290</v>
      </c>
      <c r="F2" s="17" t="n">
        <v>119743</v>
      </c>
    </row>
    <row r="3">
      <c r="A3" s="16" t="inlineStr">
        <is>
          <t>Pengestrømme fra investeringsaktivitet</t>
        </is>
      </c>
      <c r="B3" s="17" t="n">
        <v>-36554</v>
      </c>
      <c r="C3" s="17" t="n">
        <v>-41079</v>
      </c>
      <c r="D3" s="17" t="n">
        <v>-34762</v>
      </c>
      <c r="E3" s="17" t="n">
        <v>-20877</v>
      </c>
      <c r="F3" s="17" t="n">
        <v>-14858</v>
      </c>
    </row>
    <row r="4">
      <c r="A4" s="16" t="inlineStr">
        <is>
          <t>Pengestrømme fra finansieringsaktivitet</t>
        </is>
      </c>
      <c r="B4" s="17" t="n">
        <v>-32039</v>
      </c>
      <c r="C4" s="17" t="n">
        <v>-45218</v>
      </c>
      <c r="D4" s="17" t="n">
        <v>-43992</v>
      </c>
      <c r="E4" s="17" t="n">
        <v>-15923</v>
      </c>
      <c r="F4" s="17" t="n">
        <v>-78827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2026-09-08T14:58:18Z</dcterms:created>
  <dcterms:modified xmlns:dcterms="http://purl.org/dc/terms/" xmlns:xsi="http://www.w3.org/2001/XMLSchema-instance" xsi:type="dcterms:W3CDTF">2026-09-08T14:58:19Z</dcterms:modified>
</cp:coreProperties>
</file>