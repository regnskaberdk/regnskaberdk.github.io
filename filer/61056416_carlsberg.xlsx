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1056416" sheetId="1" state="visible" r:id="rId1"/>
    <sheet xmlns:r="http://schemas.openxmlformats.org/officeDocument/2006/relationships" name="res_raw_61056416" sheetId="2" state="visible" r:id="rId2"/>
    <sheet xmlns:r="http://schemas.openxmlformats.org/officeDocument/2006/relationships" name="balance_raw_61056416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'res_raw_61056416'!$B$2</f>
        <v/>
      </c>
      <c r="C4" s="5">
        <f>'res_raw_61056416'!$C$2</f>
        <v/>
      </c>
      <c r="D4" s="5">
        <f>'res_raw_61056416'!$D$2</f>
        <v/>
      </c>
      <c r="E4" s="5">
        <f>'res_raw_61056416'!$E$2</f>
        <v/>
      </c>
      <c r="F4" s="5">
        <f>'res_raw_61056416'!$F$2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'res_raw_61056416'!$B$3</f>
        <v/>
      </c>
      <c r="C5" s="8">
        <f>'res_raw_61056416'!$C$3</f>
        <v/>
      </c>
      <c r="D5" s="8">
        <f>'res_raw_61056416'!$D$3</f>
        <v/>
      </c>
      <c r="E5" s="8">
        <f>'res_raw_61056416'!$E$3</f>
        <v/>
      </c>
      <c r="F5" s="8">
        <f>'res_raw_61056416'!$F$3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'res_raw_61056416'!$B$4</f>
        <v/>
      </c>
      <c r="C6" s="8">
        <f>'res_raw_61056416'!$C$4</f>
        <v/>
      </c>
      <c r="D6" s="8">
        <f>'res_raw_61056416'!$D$4</f>
        <v/>
      </c>
      <c r="E6" s="8">
        <f>'res_raw_61056416'!$E$4</f>
        <v/>
      </c>
      <c r="F6" s="8">
        <f>'res_raw_61056416'!$F$4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'res_raw_61056416'!$B$5</f>
        <v/>
      </c>
      <c r="C7" s="8">
        <f>'res_raw_61056416'!$C$5</f>
        <v/>
      </c>
      <c r="D7" s="8">
        <f>'res_raw_61056416'!$D$5</f>
        <v/>
      </c>
      <c r="E7" s="8">
        <f>'res_raw_61056416'!$E$5</f>
        <v/>
      </c>
      <c r="F7" s="8">
        <f>'res_raw_61056416'!$F$5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'res_raw_61056416'!$B$6</f>
        <v/>
      </c>
      <c r="C8" s="8">
        <f>'res_raw_61056416'!$C$6</f>
        <v/>
      </c>
      <c r="D8" s="8">
        <f>'res_raw_61056416'!$D$6</f>
        <v/>
      </c>
      <c r="E8" s="8">
        <f>'res_raw_61056416'!$E$6</f>
        <v/>
      </c>
      <c r="F8" s="8">
        <f>'res_raw_61056416'!$F$6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'res_raw_61056416'!$B$7</f>
        <v/>
      </c>
      <c r="C9" s="11">
        <f>'res_raw_61056416'!$C$7</f>
        <v/>
      </c>
      <c r="D9" s="11">
        <f>'res_raw_61056416'!$D$7</f>
        <v/>
      </c>
      <c r="E9" s="11">
        <f>'res_raw_61056416'!$E$7</f>
        <v/>
      </c>
      <c r="F9" s="11">
        <f>'res_raw_61056416'!$F$7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'res_raw_61056416'!$B$8</f>
        <v/>
      </c>
      <c r="C10" s="5">
        <f>'res_raw_61056416'!$C$8</f>
        <v/>
      </c>
      <c r="D10" s="5">
        <f>'res_raw_61056416'!$D$8</f>
        <v/>
      </c>
      <c r="E10" s="5">
        <f>'res_raw_61056416'!$E$8</f>
        <v/>
      </c>
      <c r="F10" s="5">
        <f>'res_raw_61056416'!$F$8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'res_raw_61056416'!$B$9</f>
        <v/>
      </c>
      <c r="C11" s="8">
        <f>'res_raw_61056416'!$C$9</f>
        <v/>
      </c>
      <c r="D11" s="8">
        <f>'res_raw_61056416'!$D$9</f>
        <v/>
      </c>
      <c r="E11" s="8">
        <f>'res_raw_61056416'!$E$9</f>
        <v/>
      </c>
      <c r="F11" s="8">
        <f>'res_raw_61056416'!$F$9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'res_raw_61056416'!$B$10</f>
        <v/>
      </c>
      <c r="C12" s="5">
        <f>'res_raw_61056416'!$C$10</f>
        <v/>
      </c>
      <c r="D12" s="5">
        <f>'res_raw_61056416'!$D$10</f>
        <v/>
      </c>
      <c r="E12" s="5">
        <f>'res_raw_61056416'!$E$10</f>
        <v/>
      </c>
      <c r="F12" s="5">
        <f>'res_raw_61056416'!$F$10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'res_raw_61056416'!$B$11</f>
        <v/>
      </c>
      <c r="C13" s="11">
        <f>'res_raw_61056416'!$C$11</f>
        <v/>
      </c>
      <c r="D13" s="11">
        <f>'res_raw_61056416'!$D$11</f>
        <v/>
      </c>
      <c r="E13" s="11">
        <f>'res_raw_61056416'!$E$11</f>
        <v/>
      </c>
      <c r="F13" s="11">
        <f>'res_raw_61056416'!$F$11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'res_raw_61056416'!$B$12</f>
        <v/>
      </c>
      <c r="C14" s="5">
        <f>'res_raw_61056416'!$C$12</f>
        <v/>
      </c>
      <c r="D14" s="5">
        <f>'res_raw_61056416'!$D$12</f>
        <v/>
      </c>
      <c r="E14" s="5">
        <f>'res_raw_61056416'!$E$12</f>
        <v/>
      </c>
      <c r="F14" s="5">
        <f>'res_raw_61056416'!$F$12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'res_raw_61056416'!$B$13</f>
        <v/>
      </c>
      <c r="C15" s="8">
        <f>'res_raw_61056416'!$C$13</f>
        <v/>
      </c>
      <c r="D15" s="8">
        <f>'res_raw_61056416'!$D$13</f>
        <v/>
      </c>
      <c r="E15" s="8">
        <f>'res_raw_61056416'!$E$13</f>
        <v/>
      </c>
      <c r="F15" s="8">
        <f>'res_raw_61056416'!$F$13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'res_raw_61056416'!$B$14</f>
        <v/>
      </c>
      <c r="C16" s="8">
        <f>'res_raw_61056416'!$C$14</f>
        <v/>
      </c>
      <c r="D16" s="8">
        <f>'res_raw_61056416'!$D$14</f>
        <v/>
      </c>
      <c r="E16" s="8">
        <f>'res_raw_61056416'!$E$14</f>
        <v/>
      </c>
      <c r="F16" s="8">
        <f>'res_raw_61056416'!$F$14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'res_raw_61056416'!$B$15</f>
        <v/>
      </c>
      <c r="C17" s="11">
        <f>'res_raw_61056416'!$C$15</f>
        <v/>
      </c>
      <c r="D17" s="11">
        <f>'res_raw_61056416'!$D$15</f>
        <v/>
      </c>
      <c r="E17" s="11">
        <f>'res_raw_61056416'!$E$15</f>
        <v/>
      </c>
      <c r="F17" s="11">
        <f>'res_raw_61056416'!$F$15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'res_raw_61056416'!$B$16</f>
        <v/>
      </c>
      <c r="C18" s="8">
        <f>'res_raw_61056416'!$C$16</f>
        <v/>
      </c>
      <c r="D18" s="8">
        <f>'res_raw_61056416'!$D$16</f>
        <v/>
      </c>
      <c r="E18" s="8">
        <f>'res_raw_61056416'!$E$16</f>
        <v/>
      </c>
      <c r="F18" s="8">
        <f>'res_raw_61056416'!$F$16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'balance_raw_61056416'!$B$2</f>
        <v/>
      </c>
      <c r="C21" s="8">
        <f>'balance_raw_61056416'!$C$2</f>
        <v/>
      </c>
      <c r="D21" s="8">
        <f>'balance_raw_61056416'!$D$2</f>
        <v/>
      </c>
      <c r="E21" s="8">
        <f>'balance_raw_61056416'!$E$2</f>
        <v/>
      </c>
      <c r="F21" s="8">
        <f>'balance_raw_61056416'!$F$2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'balance_raw_61056416'!$B$3</f>
        <v/>
      </c>
      <c r="C22" s="8">
        <f>'balance_raw_61056416'!$C$3</f>
        <v/>
      </c>
      <c r="D22" s="8">
        <f>'balance_raw_61056416'!$D$3</f>
        <v/>
      </c>
      <c r="E22" s="8">
        <f>'balance_raw_61056416'!$E$3</f>
        <v/>
      </c>
      <c r="F22" s="8">
        <f>'balance_raw_61056416'!$F$3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'balance_raw_61056416'!$B$4</f>
        <v/>
      </c>
      <c r="C23" s="11">
        <f>'balance_raw_61056416'!$C$4</f>
        <v/>
      </c>
      <c r="D23" s="11">
        <f>'balance_raw_61056416'!$D$4</f>
        <v/>
      </c>
      <c r="E23" s="11">
        <f>'balance_raw_61056416'!$E$4</f>
        <v/>
      </c>
      <c r="F23" s="11">
        <f>'balance_raw_61056416'!$F$4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'balance_raw_61056416'!$B$5</f>
        <v/>
      </c>
      <c r="C24" s="5">
        <f>'balance_raw_61056416'!$C$5</f>
        <v/>
      </c>
      <c r="D24" s="5">
        <f>'balance_raw_61056416'!$D$5</f>
        <v/>
      </c>
      <c r="E24" s="5">
        <f>'balance_raw_61056416'!$E$5</f>
        <v/>
      </c>
      <c r="F24" s="5">
        <f>'balance_raw_61056416'!$F$5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'balance_raw_61056416'!$B$6</f>
        <v/>
      </c>
      <c r="C25" s="8">
        <f>'balance_raw_61056416'!$C$6</f>
        <v/>
      </c>
      <c r="D25" s="8">
        <f>'balance_raw_61056416'!$D$6</f>
        <v/>
      </c>
      <c r="E25" s="8">
        <f>'balance_raw_61056416'!$E$6</f>
        <v/>
      </c>
      <c r="F25" s="8">
        <f>'balance_raw_61056416'!$F$6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'balance_raw_61056416'!$B$7</f>
        <v/>
      </c>
      <c r="C26" s="8">
        <f>'balance_raw_61056416'!$C$7</f>
        <v/>
      </c>
      <c r="D26" s="8">
        <f>'balance_raw_61056416'!$D$7</f>
        <v/>
      </c>
      <c r="E26" s="8">
        <f>'balance_raw_61056416'!$E$7</f>
        <v/>
      </c>
      <c r="F26" s="8">
        <f>'balance_raw_61056416'!$F$7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'balance_raw_61056416'!$B$8</f>
        <v/>
      </c>
      <c r="C27" s="8">
        <f>'balance_raw_61056416'!$C$8</f>
        <v/>
      </c>
      <c r="D27" s="8">
        <f>'balance_raw_61056416'!$D$8</f>
        <v/>
      </c>
      <c r="E27" s="8">
        <f>'balance_raw_61056416'!$E$8</f>
        <v/>
      </c>
      <c r="F27" s="8">
        <f>'balance_raw_61056416'!$F$8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'balance_raw_61056416'!$B$9</f>
        <v/>
      </c>
      <c r="C28" s="5">
        <f>'balance_raw_61056416'!$C$9</f>
        <v/>
      </c>
      <c r="D28" s="5">
        <f>'balance_raw_61056416'!$D$9</f>
        <v/>
      </c>
      <c r="E28" s="5">
        <f>'balance_raw_61056416'!$E$9</f>
        <v/>
      </c>
      <c r="F28" s="5">
        <f>'balance_raw_61056416'!$F$9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'balance_raw_61056416'!$B$10</f>
        <v/>
      </c>
      <c r="C29" s="11">
        <f>'balance_raw_61056416'!$C$10</f>
        <v/>
      </c>
      <c r="D29" s="11">
        <f>'balance_raw_61056416'!$D$10</f>
        <v/>
      </c>
      <c r="E29" s="11">
        <f>'balance_raw_61056416'!$E$10</f>
        <v/>
      </c>
      <c r="F29" s="11">
        <f>'balance_raw_61056416'!$F$10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'balance_raw_61056416'!$B$11</f>
        <v/>
      </c>
      <c r="C30" s="5">
        <f>'balance_raw_61056416'!$C$11</f>
        <v/>
      </c>
      <c r="D30" s="5">
        <f>'balance_raw_61056416'!$D$11</f>
        <v/>
      </c>
      <c r="E30" s="5">
        <f>'balance_raw_61056416'!$E$11</f>
        <v/>
      </c>
      <c r="F30" s="5">
        <f>'balance_raw_61056416'!$F$11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'balance_raw_61056416'!$B$12</f>
        <v/>
      </c>
      <c r="C31" s="11">
        <f>'balance_raw_61056416'!$C$12</f>
        <v/>
      </c>
      <c r="D31" s="11">
        <f>'balance_raw_61056416'!$D$12</f>
        <v/>
      </c>
      <c r="E31" s="11">
        <f>'balance_raw_61056416'!$E$12</f>
        <v/>
      </c>
      <c r="F31" s="11">
        <f>'balance_raw_61056416'!$F$12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'balance_raw_61056416'!$B$13</f>
        <v/>
      </c>
      <c r="C32" s="5">
        <f>'balance_raw_61056416'!$C$13</f>
        <v/>
      </c>
      <c r="D32" s="5">
        <f>'balance_raw_61056416'!$D$13</f>
        <v/>
      </c>
      <c r="E32" s="5">
        <f>'balance_raw_61056416'!$E$13</f>
        <v/>
      </c>
      <c r="F32" s="5">
        <f>'balance_raw_61056416'!$F$13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'balance_raw_61056416'!$B$14</f>
        <v/>
      </c>
      <c r="C33" s="11">
        <f>'balance_raw_61056416'!$C$14</f>
        <v/>
      </c>
      <c r="D33" s="11">
        <f>'balance_raw_61056416'!$D$14</f>
        <v/>
      </c>
      <c r="E33" s="11">
        <f>'balance_raw_61056416'!$E$14</f>
        <v/>
      </c>
      <c r="F33" s="11">
        <f>'balance_raw_61056416'!$F$14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'balance_raw_61056416'!$B$15</f>
        <v/>
      </c>
      <c r="C34" s="5">
        <f>'balance_raw_61056416'!$C$15</f>
        <v/>
      </c>
      <c r="D34" s="5">
        <f>'balance_raw_61056416'!$D$15</f>
        <v/>
      </c>
      <c r="E34" s="5">
        <f>'balance_raw_61056416'!$E$15</f>
        <v/>
      </c>
      <c r="F34" s="5">
        <f>'balance_raw_61056416'!$F$15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'balance_raw_61056416'!$B$16</f>
        <v/>
      </c>
      <c r="C35" s="8">
        <f>'balance_raw_61056416'!$C$16</f>
        <v/>
      </c>
      <c r="D35" s="8">
        <f>'balance_raw_61056416'!$D$16</f>
        <v/>
      </c>
      <c r="E35" s="8">
        <f>'balance_raw_61056416'!$E$16</f>
        <v/>
      </c>
      <c r="F35" s="8">
        <f>'balance_raw_61056416'!$F$16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'balance_raw_61056416'!$B$17</f>
        <v/>
      </c>
      <c r="C36" s="5">
        <f>'balance_raw_61056416'!$C$17</f>
        <v/>
      </c>
      <c r="D36" s="5">
        <f>'balance_raw_61056416'!$D$17</f>
        <v/>
      </c>
      <c r="E36" s="5">
        <f>'balance_raw_61056416'!$E$17</f>
        <v/>
      </c>
      <c r="F36" s="5">
        <f>'balance_raw_61056416'!$F$17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'balance_raw_61056416'!$B$18</f>
        <v/>
      </c>
      <c r="C37" s="11">
        <f>'balance_raw_61056416'!$C$18</f>
        <v/>
      </c>
      <c r="D37" s="11">
        <f>'balance_raw_61056416'!$D$18</f>
        <v/>
      </c>
      <c r="E37" s="11">
        <f>'balance_raw_61056416'!$E$18</f>
        <v/>
      </c>
      <c r="F37" s="11">
        <f>'balance_raw_61056416'!$F$18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'balance_raw_61056416'!$B$19</f>
        <v/>
      </c>
      <c r="C38" s="8">
        <f>'balance_raw_61056416'!$C$19</f>
        <v/>
      </c>
      <c r="D38" s="8">
        <f>'balance_raw_61056416'!$D$19</f>
        <v/>
      </c>
      <c r="E38" s="8">
        <f>'balance_raw_61056416'!$E$19</f>
        <v/>
      </c>
      <c r="F38" s="8">
        <f>'balance_raw_61056416'!$F$19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'balance_raw_61056416'!$B$20</f>
        <v/>
      </c>
      <c r="C39" s="8">
        <f>'balance_raw_61056416'!$C$20</f>
        <v/>
      </c>
      <c r="D39" s="8">
        <f>'balance_raw_61056416'!$D$20</f>
        <v/>
      </c>
      <c r="E39" s="8">
        <f>'balance_raw_61056416'!$E$20</f>
        <v/>
      </c>
      <c r="F39" s="8">
        <f>'balance_raw_61056416'!$F$20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'balance_raw_61056416'!$B$21</f>
        <v/>
      </c>
      <c r="C42" s="5">
        <f>'balance_raw_61056416'!$C$21</f>
        <v/>
      </c>
      <c r="D42" s="5">
        <f>'balance_raw_61056416'!$D$21</f>
        <v/>
      </c>
      <c r="E42" s="5">
        <f>'balance_raw_61056416'!$E$21</f>
        <v/>
      </c>
      <c r="F42" s="5">
        <f>'balance_raw_61056416'!$F$21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'balance_raw_61056416'!$B$22</f>
        <v/>
      </c>
      <c r="C43" s="11">
        <f>'balance_raw_61056416'!$C$22</f>
        <v/>
      </c>
      <c r="D43" s="11">
        <f>'balance_raw_61056416'!$D$22</f>
        <v/>
      </c>
      <c r="E43" s="11">
        <f>'balance_raw_61056416'!$E$22</f>
        <v/>
      </c>
      <c r="F43" s="11">
        <f>'balance_raw_61056416'!$F$22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'balance_raw_61056416'!$B$23</f>
        <v/>
      </c>
      <c r="C44" s="5">
        <f>'balance_raw_61056416'!$C$23</f>
        <v/>
      </c>
      <c r="D44" s="5">
        <f>'balance_raw_61056416'!$D$23</f>
        <v/>
      </c>
      <c r="E44" s="5">
        <f>'balance_raw_61056416'!$E$23</f>
        <v/>
      </c>
      <c r="F44" s="5">
        <f>'balance_raw_61056416'!$F$23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'balance_raw_61056416'!$B$24</f>
        <v/>
      </c>
      <c r="C45" s="11">
        <f>'balance_raw_61056416'!$C$24</f>
        <v/>
      </c>
      <c r="D45" s="11">
        <f>'balance_raw_61056416'!$D$24</f>
        <v/>
      </c>
      <c r="E45" s="11">
        <f>'balance_raw_61056416'!$E$24</f>
        <v/>
      </c>
      <c r="F45" s="11">
        <f>'balance_raw_61056416'!$F$24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'balance_raw_61056416'!$B$25</f>
        <v/>
      </c>
      <c r="C46" s="5">
        <f>'balance_raw_61056416'!$C$25</f>
        <v/>
      </c>
      <c r="D46" s="5">
        <f>'balance_raw_61056416'!$D$25</f>
        <v/>
      </c>
      <c r="E46" s="5">
        <f>'balance_raw_61056416'!$E$25</f>
        <v/>
      </c>
      <c r="F46" s="5">
        <f>'balance_raw_61056416'!$F$25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'balance_raw_61056416'!$B$26</f>
        <v/>
      </c>
      <c r="C47" s="11">
        <f>'balance_raw_61056416'!$C$26</f>
        <v/>
      </c>
      <c r="D47" s="11">
        <f>'balance_raw_61056416'!$D$26</f>
        <v/>
      </c>
      <c r="E47" s="11">
        <f>'balance_raw_61056416'!$E$26</f>
        <v/>
      </c>
      <c r="F47" s="11">
        <f>'balance_raw_61056416'!$F$26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'balance_raw_61056416'!$B$27</f>
        <v/>
      </c>
      <c r="C48" s="8">
        <f>'balance_raw_61056416'!$C$27</f>
        <v/>
      </c>
      <c r="D48" s="8">
        <f>'balance_raw_61056416'!$D$27</f>
        <v/>
      </c>
      <c r="E48" s="8">
        <f>'balance_raw_61056416'!$E$27</f>
        <v/>
      </c>
      <c r="F48" s="8">
        <f>'balance_raw_61056416'!$F$27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'balance_raw_61056416'!$B$28</f>
        <v/>
      </c>
      <c r="C49" s="11">
        <f>'balance_raw_61056416'!$C$28</f>
        <v/>
      </c>
      <c r="D49" s="11">
        <f>'balance_raw_61056416'!$D$28</f>
        <v/>
      </c>
      <c r="E49" s="11">
        <f>'balance_raw_61056416'!$E$28</f>
        <v/>
      </c>
      <c r="F49" s="11">
        <f>'balance_raw_61056416'!$F$28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'balance_raw_61056416'!$B$29</f>
        <v/>
      </c>
      <c r="C50" s="8">
        <f>'balance_raw_61056416'!$C$29</f>
        <v/>
      </c>
      <c r="D50" s="8">
        <f>'balance_raw_61056416'!$D$29</f>
        <v/>
      </c>
      <c r="E50" s="8">
        <f>'balance_raw_61056416'!$E$29</f>
        <v/>
      </c>
      <c r="F50" s="8">
        <f>'balance_raw_61056416'!$F$29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'balance_raw_61056416'!$B$30</f>
        <v/>
      </c>
      <c r="C51" s="11">
        <f>'balance_raw_61056416'!$C$30</f>
        <v/>
      </c>
      <c r="D51" s="11">
        <f>'balance_raw_61056416'!$D$30</f>
        <v/>
      </c>
      <c r="E51" s="11">
        <f>'balance_raw_61056416'!$E$30</f>
        <v/>
      </c>
      <c r="F51" s="11">
        <f>'balance_raw_61056416'!$F$30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'balance_raw_61056416'!$B$31</f>
        <v/>
      </c>
      <c r="C52" s="5">
        <f>'balance_raw_61056416'!$C$31</f>
        <v/>
      </c>
      <c r="D52" s="5">
        <f>'balance_raw_61056416'!$D$31</f>
        <v/>
      </c>
      <c r="E52" s="5">
        <f>'balance_raw_61056416'!$E$31</f>
        <v/>
      </c>
      <c r="F52" s="5">
        <f>'balance_raw_61056416'!$F$31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'balance_raw_61056416'!$B$32</f>
        <v/>
      </c>
      <c r="C53" s="11">
        <f>'balance_raw_61056416'!$C$32</f>
        <v/>
      </c>
      <c r="D53" s="11">
        <f>'balance_raw_61056416'!$D$32</f>
        <v/>
      </c>
      <c r="E53" s="11">
        <f>'balance_raw_61056416'!$E$32</f>
        <v/>
      </c>
      <c r="F53" s="11">
        <f>'balance_raw_61056416'!$F$32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'balance_raw_61056416'!$B$33</f>
        <v/>
      </c>
      <c r="C54" s="5">
        <f>'balance_raw_61056416'!$C$33</f>
        <v/>
      </c>
      <c r="D54" s="5">
        <f>'balance_raw_61056416'!$D$33</f>
        <v/>
      </c>
      <c r="E54" s="5">
        <f>'balance_raw_61056416'!$E$33</f>
        <v/>
      </c>
      <c r="F54" s="5">
        <f>'balance_raw_61056416'!$F$33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'balance_raw_61056416'!$B$34</f>
        <v/>
      </c>
      <c r="C55" s="8">
        <f>'balance_raw_61056416'!$C$34</f>
        <v/>
      </c>
      <c r="D55" s="8">
        <f>'balance_raw_61056416'!$D$34</f>
        <v/>
      </c>
      <c r="E55" s="8">
        <f>'balance_raw_61056416'!$E$34</f>
        <v/>
      </c>
      <c r="F55" s="8">
        <f>'balance_raw_61056416'!$F$34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'balance_raw_61056416'!$B$35</f>
        <v/>
      </c>
      <c r="C56" s="5">
        <f>'balance_raw_61056416'!$C$35</f>
        <v/>
      </c>
      <c r="D56" s="5">
        <f>'balance_raw_61056416'!$D$35</f>
        <v/>
      </c>
      <c r="E56" s="5">
        <f>'balance_raw_61056416'!$E$35</f>
        <v/>
      </c>
      <c r="F56" s="5">
        <f>'balance_raw_61056416'!$F$35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'balance_raw_61056416'!$B$36</f>
        <v/>
      </c>
      <c r="C57" s="11">
        <f>'balance_raw_61056416'!$C$36</f>
        <v/>
      </c>
      <c r="D57" s="11">
        <f>'balance_raw_61056416'!$D$36</f>
        <v/>
      </c>
      <c r="E57" s="11">
        <f>'balance_raw_61056416'!$E$36</f>
        <v/>
      </c>
      <c r="F57" s="11">
        <f>'balance_raw_61056416'!$F$36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'balance_raw_61056416'!$B$37</f>
        <v/>
      </c>
      <c r="C58" s="5">
        <f>'balance_raw_61056416'!$C$37</f>
        <v/>
      </c>
      <c r="D58" s="5">
        <f>'balance_raw_61056416'!$D$37</f>
        <v/>
      </c>
      <c r="E58" s="5">
        <f>'balance_raw_61056416'!$E$37</f>
        <v/>
      </c>
      <c r="F58" s="5">
        <f>'balance_raw_61056416'!$F$37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'balance_raw_61056416'!$B$38</f>
        <v/>
      </c>
      <c r="C59" s="11">
        <f>'balance_raw_61056416'!$C$38</f>
        <v/>
      </c>
      <c r="D59" s="11">
        <f>'balance_raw_61056416'!$D$38</f>
        <v/>
      </c>
      <c r="E59" s="11">
        <f>'balance_raw_61056416'!$E$38</f>
        <v/>
      </c>
      <c r="F59" s="11">
        <f>'balance_raw_61056416'!$F$38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'balance_raw_61056416'!$B$39</f>
        <v/>
      </c>
      <c r="C60" s="5">
        <f>'balance_raw_61056416'!$C$39</f>
        <v/>
      </c>
      <c r="D60" s="5">
        <f>'balance_raw_61056416'!$D$39</f>
        <v/>
      </c>
      <c r="E60" s="5">
        <f>'balance_raw_61056416'!$E$39</f>
        <v/>
      </c>
      <c r="F60" s="5">
        <f>'balance_raw_61056416'!$F$39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'balance_raw_61056416'!$B$40</f>
        <v/>
      </c>
      <c r="C61" s="11">
        <f>'balance_raw_61056416'!$C$40</f>
        <v/>
      </c>
      <c r="D61" s="11">
        <f>'balance_raw_61056416'!$D$40</f>
        <v/>
      </c>
      <c r="E61" s="11">
        <f>'balance_raw_61056416'!$E$40</f>
        <v/>
      </c>
      <c r="F61" s="11">
        <f>'balance_raw_61056416'!$F$40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'balance_raw_61056416'!$B$41</f>
        <v/>
      </c>
      <c r="C62" s="5">
        <f>'balance_raw_61056416'!$C$41</f>
        <v/>
      </c>
      <c r="D62" s="5">
        <f>'balance_raw_61056416'!$D$41</f>
        <v/>
      </c>
      <c r="E62" s="5">
        <f>'balance_raw_61056416'!$E$41</f>
        <v/>
      </c>
      <c r="F62" s="5">
        <f>'balance_raw_61056416'!$F$41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'balance_raw_61056416'!$B$42</f>
        <v/>
      </c>
      <c r="C63" s="11">
        <f>'balance_raw_61056416'!$C$42</f>
        <v/>
      </c>
      <c r="D63" s="11">
        <f>'balance_raw_61056416'!$D$42</f>
        <v/>
      </c>
      <c r="E63" s="11">
        <f>'balance_raw_61056416'!$E$42</f>
        <v/>
      </c>
      <c r="F63" s="11">
        <f>'balance_raw_61056416'!$F$42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'balance_raw_61056416'!$B$43</f>
        <v/>
      </c>
      <c r="C64" s="5">
        <f>'balance_raw_61056416'!$C$43</f>
        <v/>
      </c>
      <c r="D64" s="5">
        <f>'balance_raw_61056416'!$D$43</f>
        <v/>
      </c>
      <c r="E64" s="5">
        <f>'balance_raw_61056416'!$E$43</f>
        <v/>
      </c>
      <c r="F64" s="5">
        <f>'balance_raw_61056416'!$F$43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'balance_raw_61056416'!$B$44</f>
        <v/>
      </c>
      <c r="C65" s="11">
        <f>'balance_raw_61056416'!$C$44</f>
        <v/>
      </c>
      <c r="D65" s="11">
        <f>'balance_raw_61056416'!$D$44</f>
        <v/>
      </c>
      <c r="E65" s="11">
        <f>'balance_raw_61056416'!$E$44</f>
        <v/>
      </c>
      <c r="F65" s="11">
        <f>'balance_raw_61056416'!$F$44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'balance_raw_61056416'!$B$45</f>
        <v/>
      </c>
      <c r="C66" s="5">
        <f>'balance_raw_61056416'!$C$45</f>
        <v/>
      </c>
      <c r="D66" s="5">
        <f>'balance_raw_61056416'!$D$45</f>
        <v/>
      </c>
      <c r="E66" s="5">
        <f>'balance_raw_61056416'!$E$45</f>
        <v/>
      </c>
      <c r="F66" s="5">
        <f>'balance_raw_61056416'!$F$45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'balance_raw_61056416'!$B$46</f>
        <v/>
      </c>
      <c r="C67" s="8">
        <f>'balance_raw_61056416'!$C$46</f>
        <v/>
      </c>
      <c r="D67" s="8">
        <f>'balance_raw_61056416'!$D$46</f>
        <v/>
      </c>
      <c r="E67" s="8">
        <f>'balance_raw_61056416'!$E$46</f>
        <v/>
      </c>
      <c r="F67" s="8">
        <f>'balance_raw_61056416'!$F$46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'balance_raw_61056416'!$B$47</f>
        <v/>
      </c>
      <c r="C68" s="8">
        <f>'balance_raw_61056416'!$C$47</f>
        <v/>
      </c>
      <c r="D68" s="8">
        <f>'balance_raw_61056416'!$D$47</f>
        <v/>
      </c>
      <c r="E68" s="8">
        <f>'balance_raw_61056416'!$E$47</f>
        <v/>
      </c>
      <c r="F68" s="8">
        <f>'balance_raw_61056416'!$F$47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'balance_raw_61056416'!$B$48</f>
        <v/>
      </c>
      <c r="C69" s="8">
        <f>'balance_raw_61056416'!$C$48</f>
        <v/>
      </c>
      <c r="D69" s="8">
        <f>'balance_raw_61056416'!$D$48</f>
        <v/>
      </c>
      <c r="E69" s="8">
        <f>'balance_raw_61056416'!$E$48</f>
        <v/>
      </c>
      <c r="F69" s="8">
        <f>'balance_raw_61056416'!$F$48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'res_raw_61056416'!$B$17</f>
        <v/>
      </c>
      <c r="C72" s="5">
        <f>'res_raw_61056416'!$C$17</f>
        <v/>
      </c>
      <c r="D72" s="5">
        <f>'res_raw_61056416'!$D$17</f>
        <v/>
      </c>
      <c r="E72" s="5">
        <f>'res_raw_61056416'!$E$17</f>
        <v/>
      </c>
      <c r="F72" s="5">
        <f>'res_raw_61056416'!$F$17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'res_raw_61056416'!$B$18</f>
        <v/>
      </c>
      <c r="C73" s="11">
        <f>'res_raw_61056416'!$C$18</f>
        <v/>
      </c>
      <c r="D73" s="11">
        <f>'res_raw_61056416'!$D$18</f>
        <v/>
      </c>
      <c r="E73" s="11">
        <f>'res_raw_61056416'!$E$18</f>
        <v/>
      </c>
      <c r="F73" s="11">
        <f>'res_raw_61056416'!$F$18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60097000</v>
      </c>
      <c r="C2" s="16" t="n">
        <v>70265000</v>
      </c>
      <c r="D2" s="16" t="n">
        <v>73585000</v>
      </c>
      <c r="E2" s="16" t="n">
        <v>75011000</v>
      </c>
      <c r="F2" s="16" t="n">
        <v>89095000</v>
      </c>
    </row>
    <row r="3">
      <c r="A3" s="15" t="inlineStr">
        <is>
          <t>Produktionsomkostninger</t>
        </is>
      </c>
      <c r="B3" s="16" t="n">
        <v>31528000</v>
      </c>
      <c r="C3" s="16" t="n">
        <v>38198000</v>
      </c>
      <c r="D3" s="16" t="n">
        <v>40753000</v>
      </c>
      <c r="E3" s="16" t="n">
        <v>40631000</v>
      </c>
      <c r="F3" s="16" t="n">
        <v>48859000</v>
      </c>
    </row>
    <row r="4">
      <c r="A4" s="17" t="inlineStr">
        <is>
          <t>Bruttoresultat</t>
        </is>
      </c>
      <c r="B4" s="16" t="n">
        <v>28569000</v>
      </c>
      <c r="C4" s="16" t="n">
        <v>32067000</v>
      </c>
      <c r="D4" s="16" t="n">
        <v>32832000</v>
      </c>
      <c r="E4" s="16" t="n">
        <v>34380000</v>
      </c>
      <c r="F4" s="16" t="n">
        <v>40236000</v>
      </c>
    </row>
    <row r="5">
      <c r="A5" s="15" t="inlineStr">
        <is>
          <t>Salgs- og distributionsomkostninger</t>
        </is>
      </c>
      <c r="B5" s="16" t="n">
        <v>14872000</v>
      </c>
      <c r="C5" s="16" t="n">
        <v>17337000</v>
      </c>
      <c r="D5" s="16" t="n">
        <v>18355000</v>
      </c>
      <c r="E5" s="16" t="n">
        <v>19242000</v>
      </c>
      <c r="F5" s="16" t="n">
        <v>23128000</v>
      </c>
    </row>
    <row r="6">
      <c r="A6" s="15" t="inlineStr">
        <is>
          <t>Administrationsomkostninger</t>
        </is>
      </c>
      <c r="B6" s="16" t="n">
        <v>3979000</v>
      </c>
      <c r="C6" s="16" t="n">
        <v>4229000</v>
      </c>
      <c r="D6" s="16" t="n">
        <v>4077000</v>
      </c>
      <c r="E6" s="16" t="n">
        <v>4381000</v>
      </c>
      <c r="F6" s="16" t="n">
        <v>4961000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10129000</v>
      </c>
      <c r="C9" s="16" t="n">
        <v>11470000</v>
      </c>
      <c r="D9" s="16" t="n">
        <v>11105000</v>
      </c>
      <c r="E9" s="16" t="n">
        <v>11411000</v>
      </c>
      <c r="F9" s="16" t="n">
        <v>13356000</v>
      </c>
    </row>
    <row r="10">
      <c r="A10" s="15" t="inlineStr">
        <is>
          <t>Indtægter af kapitalandele, dattervirksomheder</t>
        </is>
      </c>
      <c r="B10" s="16" t="n">
        <v>336000</v>
      </c>
      <c r="C10" s="16" t="n">
        <v>901000</v>
      </c>
      <c r="D10" s="16" t="n">
        <v>581000</v>
      </c>
      <c r="E10" s="16" t="n">
        <v>616000</v>
      </c>
      <c r="F10" s="16" t="n">
        <v>660000</v>
      </c>
    </row>
    <row r="11">
      <c r="A11" s="15" t="inlineStr">
        <is>
          <t>Finansielle indtægter</t>
        </is>
      </c>
      <c r="B11" s="16" t="n">
        <v>571000</v>
      </c>
      <c r="C11" s="16" t="n">
        <v>347000</v>
      </c>
      <c r="D11" s="16" t="n">
        <v>695000</v>
      </c>
      <c r="E11" s="16" t="n">
        <v>959000</v>
      </c>
      <c r="F11" s="16" t="n">
        <v>1136000</v>
      </c>
    </row>
    <row r="12">
      <c r="A12" s="15" t="inlineStr">
        <is>
          <t>Finansielle omkostninger</t>
        </is>
      </c>
      <c r="B12" s="16" t="n">
        <v>956000</v>
      </c>
      <c r="C12" s="16" t="n">
        <v>1072000</v>
      </c>
      <c r="D12" s="16" t="n">
        <v>1539000</v>
      </c>
      <c r="E12" s="16" t="n">
        <v>1864000</v>
      </c>
      <c r="F12" s="16" t="n">
        <v>3516000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10447000</v>
      </c>
      <c r="C14" s="16" t="n">
        <v>9961000</v>
      </c>
      <c r="D14" s="16" t="n">
        <v>9830000</v>
      </c>
      <c r="E14" s="16" t="n">
        <v>9987000</v>
      </c>
      <c r="F14" s="16" t="n">
        <v>9050000</v>
      </c>
    </row>
    <row r="15">
      <c r="A15" s="15" t="inlineStr">
        <is>
          <t>Skat af årets resultat</t>
        </is>
      </c>
      <c r="B15" s="16" t="n">
        <v>2154000</v>
      </c>
      <c r="C15" s="16" t="n">
        <v>1778000</v>
      </c>
      <c r="D15" s="16" t="n">
        <v>1859000</v>
      </c>
      <c r="E15" s="16" t="n">
        <v>1982000</v>
      </c>
      <c r="F15" s="16" t="n">
        <v>2072000</v>
      </c>
    </row>
    <row r="16">
      <c r="A16" s="17" t="inlineStr">
        <is>
          <t>Årets resultat</t>
        </is>
      </c>
      <c r="B16" s="16" t="n">
        <v>8293000</v>
      </c>
      <c r="C16" s="16" t="n">
        <v>8183000</v>
      </c>
      <c r="D16" s="16" t="n">
        <v>7971000</v>
      </c>
      <c r="E16" s="16" t="n">
        <v>8005000</v>
      </c>
      <c r="F16" s="16" t="n">
        <v>6978000</v>
      </c>
    </row>
    <row r="17">
      <c r="A17" s="15" t="inlineStr">
        <is>
          <t>Gns. antal medarbejdere</t>
        </is>
      </c>
      <c r="B17" s="16" t="n">
        <v>39375</v>
      </c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-4221000</v>
      </c>
      <c r="C18" s="16" t="n"/>
      <c r="D18" s="16" t="n">
        <v>3887000</v>
      </c>
      <c r="E18" s="16" t="n">
        <v>4668000</v>
      </c>
      <c r="F18" s="16" t="n">
        <v>4924000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68475000</v>
      </c>
      <c r="C2" s="16" t="n">
        <v>49223000</v>
      </c>
      <c r="D2" s="16" t="n">
        <v>49100000</v>
      </c>
      <c r="E2" s="16" t="n">
        <v>53176000</v>
      </c>
      <c r="F2" s="16" t="n">
        <v>83231000</v>
      </c>
    </row>
    <row r="3">
      <c r="A3" s="17" t="inlineStr">
        <is>
          <t>Materielle anlægsaktiver</t>
        </is>
      </c>
      <c r="B3" s="16" t="n">
        <v>26648000</v>
      </c>
      <c r="C3" s="16" t="n">
        <v>23679000</v>
      </c>
      <c r="D3" s="16" t="n">
        <v>24405000</v>
      </c>
      <c r="E3" s="16" t="n">
        <v>27053000</v>
      </c>
      <c r="F3" s="16" t="n">
        <v>32780000</v>
      </c>
    </row>
    <row r="4">
      <c r="A4" s="15" t="inlineStr">
        <is>
          <t>Kapitalandele, dattervirksomheder</t>
        </is>
      </c>
      <c r="B4" s="16" t="n">
        <v>5172000</v>
      </c>
      <c r="C4" s="16" t="n">
        <v>5523000</v>
      </c>
      <c r="D4" s="16" t="n">
        <v>5437000</v>
      </c>
      <c r="E4" s="16" t="n">
        <v>4546000</v>
      </c>
      <c r="F4" s="16" t="n">
        <v>4325000</v>
      </c>
    </row>
    <row r="5">
      <c r="A5" s="15" t="inlineStr">
        <is>
          <t>Deposita</t>
        </is>
      </c>
      <c r="B5" s="16" t="n">
        <v>1075000</v>
      </c>
      <c r="C5" s="16" t="n">
        <v>936000</v>
      </c>
      <c r="D5" s="16" t="n">
        <v>881000</v>
      </c>
      <c r="E5" s="16" t="n">
        <v>814000</v>
      </c>
      <c r="F5" s="16" t="n">
        <v>860000</v>
      </c>
    </row>
    <row r="6">
      <c r="A6" s="17" t="inlineStr">
        <is>
          <t>Finansielle anlægsaktiver</t>
        </is>
      </c>
      <c r="B6" s="16" t="n"/>
      <c r="C6" s="16" t="n"/>
      <c r="D6" s="16" t="n"/>
      <c r="E6" s="16" t="n"/>
      <c r="F6" s="16" t="n"/>
    </row>
    <row r="7">
      <c r="A7" s="17" t="inlineStr">
        <is>
          <t>Anlægsaktiver</t>
        </is>
      </c>
      <c r="B7" s="16" t="n">
        <v>103292000</v>
      </c>
      <c r="C7" s="16" t="n">
        <v>81092000</v>
      </c>
      <c r="D7" s="16" t="n">
        <v>81633000</v>
      </c>
      <c r="E7" s="16" t="n">
        <v>87645000</v>
      </c>
      <c r="F7" s="16" t="n">
        <v>124706000</v>
      </c>
    </row>
    <row r="8">
      <c r="A8" s="17" t="inlineStr">
        <is>
          <t>Varebeholdninger</t>
        </is>
      </c>
      <c r="B8" s="16" t="n">
        <v>5391000</v>
      </c>
      <c r="C8" s="16" t="n">
        <v>5718000</v>
      </c>
      <c r="D8" s="16" t="n">
        <v>5811000</v>
      </c>
      <c r="E8" s="16" t="n">
        <v>5953000</v>
      </c>
      <c r="F8" s="16" t="n">
        <v>7110000</v>
      </c>
    </row>
    <row r="9">
      <c r="A9" s="15" t="inlineStr">
        <is>
          <t>Tilgodehavender fra salg og tjenesteydelser</t>
        </is>
      </c>
      <c r="B9" s="16" t="n">
        <v>5710000</v>
      </c>
      <c r="C9" s="16" t="n">
        <v>5067000</v>
      </c>
      <c r="D9" s="16" t="n">
        <v>5102000</v>
      </c>
      <c r="E9" s="16" t="n">
        <v>4940000</v>
      </c>
      <c r="F9" s="16" t="n">
        <v>7709000</v>
      </c>
    </row>
    <row r="10">
      <c r="A10" s="15" t="inlineStr">
        <is>
          <t>Tilgodehavender hos tilknyttede 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Andre tilgodehavender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Periodeafgrænsningsposter (aktiver)</t>
        </is>
      </c>
      <c r="B12" s="16" t="n">
        <v>929000</v>
      </c>
      <c r="C12" s="16" t="n">
        <v>964000</v>
      </c>
      <c r="D12" s="16" t="n">
        <v>835000</v>
      </c>
      <c r="E12" s="16" t="n">
        <v>1185000</v>
      </c>
      <c r="F12" s="16" t="n">
        <v>1469000</v>
      </c>
    </row>
    <row r="13">
      <c r="A13" s="15" t="inlineStr">
        <is>
          <t>Udskudt skatteaktiv</t>
        </is>
      </c>
      <c r="B13" s="16" t="n"/>
      <c r="C13" s="16" t="n"/>
      <c r="D13" s="16" t="n"/>
      <c r="E13" s="16" t="n">
        <v>2056000</v>
      </c>
      <c r="F13" s="16" t="n">
        <v>2511000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>
        <v>171000</v>
      </c>
      <c r="C15" s="16" t="n">
        <v>214000</v>
      </c>
      <c r="D15" s="16" t="n">
        <v>356000</v>
      </c>
      <c r="E15" s="16" t="n">
        <v>410000</v>
      </c>
      <c r="F15" s="16" t="n">
        <v>386000</v>
      </c>
    </row>
    <row r="16">
      <c r="A16" s="17" t="inlineStr">
        <is>
          <t>Tilgodehavender</t>
        </is>
      </c>
      <c r="B16" s="16" t="n">
        <v>2355000</v>
      </c>
      <c r="C16" s="16" t="n">
        <v>2505000</v>
      </c>
      <c r="D16" s="16" t="n">
        <v>2476000</v>
      </c>
      <c r="E16" s="16" t="n">
        <v>2258000</v>
      </c>
      <c r="F16" s="16" t="n">
        <v>2990000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8344000</v>
      </c>
      <c r="C18" s="16" t="n">
        <v>8163000</v>
      </c>
      <c r="D18" s="16" t="n">
        <v>13382000</v>
      </c>
      <c r="E18" s="16" t="n">
        <v>11542000</v>
      </c>
      <c r="F18" s="16" t="n">
        <v>9585000</v>
      </c>
    </row>
    <row r="19">
      <c r="A19" s="17" t="inlineStr">
        <is>
          <t>Omsætningsaktiver</t>
        </is>
      </c>
      <c r="B19" s="16" t="n">
        <v>23091000</v>
      </c>
      <c r="C19" s="16" t="n">
        <v>34249000</v>
      </c>
      <c r="D19" s="16" t="n">
        <v>30198000</v>
      </c>
      <c r="E19" s="16" t="n">
        <v>26347000</v>
      </c>
      <c r="F19" s="16" t="n">
        <v>29249000</v>
      </c>
    </row>
    <row r="20">
      <c r="A20" s="17" t="inlineStr">
        <is>
          <t>Aktiver</t>
        </is>
      </c>
      <c r="B20" s="16" t="n">
        <v>126383000</v>
      </c>
      <c r="C20" s="16" t="n">
        <v>115341000</v>
      </c>
      <c r="D20" s="16" t="n">
        <v>111831000</v>
      </c>
      <c r="E20" s="16" t="n">
        <v>113992000</v>
      </c>
      <c r="F20" s="16" t="n">
        <v>153955000</v>
      </c>
    </row>
    <row r="21">
      <c r="A21" s="15" t="inlineStr">
        <is>
          <t>Selskabskapital</t>
        </is>
      </c>
      <c r="B21" s="16" t="n">
        <v>2905000</v>
      </c>
      <c r="C21" s="16" t="n">
        <v>2837000</v>
      </c>
      <c r="D21" s="16" t="n">
        <v>2747000</v>
      </c>
      <c r="E21" s="16" t="n">
        <v>2685000</v>
      </c>
      <c r="F21" s="16" t="n">
        <v>2653000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>
        <v>-37691000</v>
      </c>
      <c r="C25" s="16" t="n">
        <v>-41711000</v>
      </c>
      <c r="D25" s="16" t="n">
        <v>-2819000</v>
      </c>
      <c r="E25" s="16" t="n">
        <v>-496000</v>
      </c>
      <c r="F25" s="16" t="n">
        <v>-3194000</v>
      </c>
    </row>
    <row r="26">
      <c r="A26" s="15" t="inlineStr">
        <is>
          <t>Overført resultat</t>
        </is>
      </c>
      <c r="B26" s="16" t="n">
        <v>80283000</v>
      </c>
      <c r="C26" s="16" t="n">
        <v>70776000</v>
      </c>
      <c r="D26" s="16" t="n">
        <v>23306000</v>
      </c>
      <c r="E26" s="16" t="n">
        <v>25582000</v>
      </c>
      <c r="F26" s="16" t="n">
        <v>28345000</v>
      </c>
    </row>
    <row r="27">
      <c r="A27" s="17" t="inlineStr">
        <is>
          <t>Egenkapital i alt</t>
        </is>
      </c>
      <c r="B27" s="16" t="n">
        <v>45497000</v>
      </c>
      <c r="C27" s="16" t="n">
        <v>31902000</v>
      </c>
      <c r="D27" s="16" t="n">
        <v>23234000</v>
      </c>
      <c r="E27" s="16" t="n">
        <v>30612000</v>
      </c>
      <c r="F27" s="16" t="n">
        <v>30676000</v>
      </c>
    </row>
    <row r="28">
      <c r="A28" s="15" t="inlineStr">
        <is>
          <t>Hensættelse til udskudt skat</t>
        </is>
      </c>
      <c r="B28" s="16" t="n">
        <v>6350000</v>
      </c>
      <c r="C28" s="16" t="n">
        <v>4841000</v>
      </c>
      <c r="D28" s="16" t="n">
        <v>4823000</v>
      </c>
      <c r="E28" s="16" t="n">
        <v>5081000</v>
      </c>
      <c r="F28" s="16" t="n">
        <v>8675000</v>
      </c>
    </row>
    <row r="29">
      <c r="A29" s="17" t="inlineStr">
        <is>
          <t>Hensatte forpligtelser</t>
        </is>
      </c>
      <c r="B29" s="16" t="n">
        <v>2345000</v>
      </c>
      <c r="C29" s="16" t="n">
        <v>1557000</v>
      </c>
      <c r="D29" s="16" t="n">
        <v>1387000</v>
      </c>
      <c r="E29" s="16" t="n">
        <v>1304000</v>
      </c>
      <c r="F29" s="16" t="n">
        <v>1297000</v>
      </c>
    </row>
    <row r="30">
      <c r="A30" s="15" t="inlineStr">
        <is>
          <t>Ansvarlig lånekapital (langfristet)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Langfristede lån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Leasingforpligtelser (langfristet)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Anden gæld (langfristet)</t>
        </is>
      </c>
      <c r="B33" s="16" t="n">
        <v>449000</v>
      </c>
      <c r="C33" s="16" t="n">
        <v>305000</v>
      </c>
      <c r="D33" s="16" t="n">
        <v>314000</v>
      </c>
      <c r="E33" s="16" t="n">
        <v>1495000</v>
      </c>
      <c r="F33" s="16" t="n">
        <v>1446000</v>
      </c>
    </row>
    <row r="34">
      <c r="A34" s="17" t="inlineStr">
        <is>
          <t>Langfristede gældsforpligtelser</t>
        </is>
      </c>
      <c r="B34" s="16" t="n">
        <v>22755000</v>
      </c>
      <c r="C34" s="16" t="n">
        <v>22865000</v>
      </c>
      <c r="D34" s="16" t="n">
        <v>30763000</v>
      </c>
      <c r="E34" s="16" t="n">
        <v>27392000</v>
      </c>
      <c r="F34" s="16" t="n">
        <v>61452000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>
        <v>6167000</v>
      </c>
      <c r="C37" s="16" t="n">
        <v>5781000</v>
      </c>
      <c r="D37" s="16" t="n">
        <v>8338000</v>
      </c>
      <c r="E37" s="16" t="n">
        <v>10748000</v>
      </c>
      <c r="F37" s="16" t="n">
        <v>9171000</v>
      </c>
    </row>
    <row r="38">
      <c r="A38" s="15" t="inlineStr">
        <is>
          <t>Leasingforpligtelser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Leverandører af varer og tjenesteydelser</t>
        </is>
      </c>
      <c r="B39" s="16" t="n">
        <v>20642000</v>
      </c>
      <c r="C39" s="16" t="n">
        <v>21917000</v>
      </c>
      <c r="D39" s="16" t="n">
        <v>22159000</v>
      </c>
      <c r="E39" s="16" t="n">
        <v>23295000</v>
      </c>
      <c r="F39" s="16" t="n">
        <v>26877000</v>
      </c>
    </row>
    <row r="40">
      <c r="A40" s="15" t="inlineStr">
        <is>
          <t>Gæld til tilknyttede virksomheder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Gæld til selskabsdeltagere og ledelse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Selskabsskat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Gæld til tilknyttede virksomheder vedr. 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(kortfristet)</t>
        </is>
      </c>
      <c r="B44" s="16" t="n">
        <v>12677000</v>
      </c>
      <c r="C44" s="16" t="n">
        <v>13503000</v>
      </c>
      <c r="D44" s="16" t="n">
        <v>13020000</v>
      </c>
      <c r="E44" s="16" t="n">
        <v>8098000</v>
      </c>
      <c r="F44" s="16" t="n">
        <v>8178000</v>
      </c>
    </row>
    <row r="45">
      <c r="A45" s="15" t="inlineStr">
        <is>
          <t>Periodeafgrænsningsposter (passiver)</t>
        </is>
      </c>
      <c r="B45" s="16" t="n"/>
      <c r="C45" s="16" t="n"/>
      <c r="D45" s="16" t="n"/>
      <c r="E45" s="16" t="n"/>
      <c r="F45" s="16" t="n"/>
    </row>
    <row r="46">
      <c r="A46" s="17" t="inlineStr">
        <is>
          <t>Kortfristede gældsforpligtelser</t>
        </is>
      </c>
      <c r="B46" s="16" t="n">
        <v>43282000</v>
      </c>
      <c r="C46" s="16" t="n">
        <v>48747000</v>
      </c>
      <c r="D46" s="16" t="n">
        <v>47230000</v>
      </c>
      <c r="E46" s="16" t="n">
        <v>46023000</v>
      </c>
      <c r="F46" s="16" t="n">
        <v>48546000</v>
      </c>
    </row>
    <row r="47">
      <c r="A47" s="17" t="inlineStr">
        <is>
          <t>Gældsforpligtelser</t>
        </is>
      </c>
      <c r="B47" s="16" t="n">
        <v>77627000</v>
      </c>
      <c r="C47" s="16" t="n">
        <v>80619000</v>
      </c>
      <c r="D47" s="16" t="n">
        <v>86082000</v>
      </c>
      <c r="E47" s="16" t="n">
        <v>83380000</v>
      </c>
      <c r="F47" s="16" t="n">
        <v>123279000</v>
      </c>
    </row>
    <row r="48">
      <c r="A48" s="17" t="inlineStr">
        <is>
          <t>Passiver</t>
        </is>
      </c>
      <c r="B48" s="16" t="n">
        <v>126383000</v>
      </c>
      <c r="C48" s="16" t="n">
        <v>115341000</v>
      </c>
      <c r="D48" s="16" t="n">
        <v>111831000</v>
      </c>
      <c r="E48" s="16" t="n">
        <v>113992000</v>
      </c>
      <c r="F48" s="16" t="n">
        <v>153955000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61056416)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'res_raw_61056416'!$F$2</f>
        <v/>
      </c>
      <c r="C5" s="24">
        <f>'res_raw_61056416'!$E$2</f>
        <v/>
      </c>
      <c r="D5" s="24">
        <f>'res_raw_61056416'!$D$2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-'res_raw_61056416'!$F$3</f>
        <v/>
      </c>
      <c r="C6" s="24">
        <f>-'res_raw_61056416'!$E$3</f>
        <v/>
      </c>
      <c r="D6" s="24">
        <f>-'res_raw_61056416'!$D$3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-'res_raw_61056416'!$F$5</f>
        <v/>
      </c>
      <c r="C8" s="24">
        <f>-'res_raw_61056416'!$E$5</f>
        <v/>
      </c>
      <c r="D8" s="24">
        <f>-'res_raw_61056416'!$D$5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-'res_raw_61056416'!$F$6</f>
        <v/>
      </c>
      <c r="C9" s="24">
        <f>-'res_raw_61056416'!$E$6</f>
        <v/>
      </c>
      <c r="D9" s="24">
        <f>-'res_raw_61056416'!$D$6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'res_raw_61056416'!$F$7</f>
        <v/>
      </c>
      <c r="C10" s="24">
        <f>'res_raw_61056416'!$E$7</f>
        <v/>
      </c>
      <c r="D10" s="24">
        <f>'res_raw_61056416'!$D$7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-'res_raw_61056416'!$F$8</f>
        <v/>
      </c>
      <c r="C11" s="24">
        <f>-'res_raw_61056416'!$E$8</f>
        <v/>
      </c>
      <c r="D11" s="24">
        <f>-'res_raw_61056416'!$D$8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N('res_raw_61056416'!$F$10)+N('res_raw_61056416'!$F$11)</f>
        <v/>
      </c>
      <c r="C13" s="24">
        <f>N('res_raw_61056416'!$E$10)+N('res_raw_61056416'!$E$11)</f>
        <v/>
      </c>
      <c r="D13" s="24">
        <f>N('res_raw_61056416'!$D$10)+N('res_raw_61056416'!$D$11)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-'res_raw_61056416'!$F$12</f>
        <v/>
      </c>
      <c r="C14" s="24">
        <f>-'res_raw_61056416'!$E$12</f>
        <v/>
      </c>
      <c r="D14" s="24">
        <f>-'res_raw_61056416'!$D$12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'balance_raw_61056416'!$F$7</f>
        <v/>
      </c>
      <c r="C18" s="24">
        <f>'balance_raw_61056416'!$E$7</f>
        <v/>
      </c>
      <c r="D18" s="24">
        <f>'balance_raw_61056416'!$D$7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'balance_raw_61056416'!$F$19</f>
        <v/>
      </c>
      <c r="C19" s="24">
        <f>'balance_raw_61056416'!$E$19</f>
        <v/>
      </c>
      <c r="D19" s="24">
        <f>'balance_raw_61056416'!$D$19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'balance_raw_61056416'!$F$27</f>
        <v/>
      </c>
      <c r="C22" s="24">
        <f>'balance_raw_61056416'!$E$27</f>
        <v/>
      </c>
      <c r="D22" s="24">
        <f>'balance_raw_61056416'!$D$27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'balance_raw_61056416'!$F$48-'balance_raw_61056416'!$F$27</f>
        <v/>
      </c>
      <c r="C23" s="24">
        <f>'balance_raw_61056416'!$E$48-'balance_raw_61056416'!$E$27</f>
        <v/>
      </c>
      <c r="D23" s="24">
        <f>'balance_raw_61056416'!$D$48-'balance_raw_61056416'!$D$27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'balance_raw_61056416'!$F$8</f>
        <v/>
      </c>
      <c r="C27" s="24">
        <f>'balance_raw_61056416'!$E$8</f>
        <v/>
      </c>
      <c r="D27" s="24">
        <f>'balance_raw_61056416'!$D$8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'balance_raw_61056416'!$F$9</f>
        <v/>
      </c>
      <c r="C28" s="24">
        <f>'balance_raw_61056416'!$E$9</f>
        <v/>
      </c>
      <c r="D28" s="24">
        <f>'balance_raw_61056416'!$D$9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'balance_raw_61056416'!$F$46</f>
        <v/>
      </c>
      <c r="C29" s="24">
        <f>'balance_raw_61056416'!$E$46</f>
        <v/>
      </c>
      <c r="D29" s="24">
        <f>'balance_raw_61056416'!$D$46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IF('balance_raw_61056416'!$F$20="","—",IF(ABS(B20-'balance_raw_61056416'!$F$20)&lt;=1,"✓ OK","❌ "&amp;TEXT(B20-'balance_raw_61056416'!$F$20,"+#,##0;-#,##0")&amp;" t.kr."))</f>
        <v/>
      </c>
      <c r="C60" s="29">
        <f>IF('balance_raw_61056416'!$E$20="","—",IF(ABS(C20-'balance_raw_61056416'!$E$20)&lt;=1,"✓ OK","❌ "&amp;TEXT(C20-'balance_raw_61056416'!$E$20,"+#,##0;-#,##0")&amp;" t.kr."))</f>
        <v/>
      </c>
      <c r="D60" s="29">
        <f>IF('balance_raw_61056416'!$D$20="","—",IF(ABS(D20-'balance_raw_61056416'!$D$20)&lt;=1,"✓ OK","❌ "&amp;TEXT(D20-'balance_raw_61056416'!$D$20,"+#,##0;-#,##0")&amp;"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IF('balance_raw_61056416'!$F$48="","—",IF(ABS(B24-'balance_raw_61056416'!$F$48)&lt;=1,"✓ OK","❌ "&amp;TEXT(B24-'balance_raw_61056416'!$F$48,"+#,##0;-#,##0")&amp;" t.kr."))</f>
        <v/>
      </c>
      <c r="C61" s="29">
        <f>IF('balance_raw_61056416'!$E$48="","—",IF(ABS(C24-'balance_raw_61056416'!$E$48)&lt;=1,"✓ OK","❌ "&amp;TEXT(C24-'balance_raw_61056416'!$E$48,"+#,##0;-#,##0")&amp;" t.kr."))</f>
        <v/>
      </c>
      <c r="D61" s="29">
        <f>IF('balance_raw_61056416'!$D$48="","—",IF(ABS(D24-'balance_raw_61056416'!$D$48)&lt;=1,"✓ OK","❌ "&amp;TEXT(D24-'balance_raw_61056416'!$D$48,"+#,##0;-#,##0")&amp;"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IF('res_raw_61056416'!$F$4="","—",IF(ABS(B7-'res_raw_61056416'!$F$4)&lt;=1,"✓ OK","❌ "&amp;TEXT(B7-'res_raw_61056416'!$F$4,"+#,##0;-#,##0")&amp;" t.kr."))</f>
        <v/>
      </c>
      <c r="C63" s="29">
        <f>IF('res_raw_61056416'!$E$4="","—",IF(ABS(C7-'res_raw_61056416'!$E$4)&lt;=1,"✓ OK","❌ "&amp;TEXT(C7-'res_raw_61056416'!$E$4,"+#,##0;-#,##0")&amp;" t.kr."))</f>
        <v/>
      </c>
      <c r="D63" s="29">
        <f>IF('res_raw_61056416'!$D$4="","—",IF(ABS(D7-'res_raw_61056416'!$D$4)&lt;=1,"✓ OK","❌ "&amp;TEXT(D7-'res_raw_61056416'!$D$4,"+#,##0;-#,##0")&amp;"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IF('res_raw_61056416'!$F$9="","—",IF(ABS(B12-'res_raw_61056416'!$F$9)&lt;=1,"✓ OK","❌ "&amp;TEXT(B12-'res_raw_61056416'!$F$9,"+#,##0;-#,##0")&amp;" t.kr."))</f>
        <v/>
      </c>
      <c r="C64" s="29">
        <f>IF('res_raw_61056416'!$E$9="","—",IF(ABS(C12-'res_raw_61056416'!$E$9)&lt;=1,"✓ OK","❌ "&amp;TEXT(C12-'res_raw_61056416'!$E$9,"+#,##0;-#,##0")&amp;" t.kr."))</f>
        <v/>
      </c>
      <c r="D64" s="29">
        <f>IF('res_raw_61056416'!$D$9="","—",IF(ABS(D12-'res_raw_61056416'!$D$9)&lt;=1,"✓ OK","❌ "&amp;TEXT(D12-'res_raw_61056416'!$D$9,"+#,##0;-#,##0")&amp;"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IF('res_raw_61056416'!$F$14="","—",IF(ABS(B15-'res_raw_61056416'!$F$14)&lt;=1,"✓ OK","❌ "&amp;TEXT(B15-'res_raw_61056416'!$F$14,"+#,##0;-#,##0")&amp;" t.kr."))</f>
        <v/>
      </c>
      <c r="C65" s="29">
        <f>IF('res_raw_61056416'!$E$14="","—",IF(ABS(C15-'res_raw_61056416'!$E$14)&lt;=1,"✓ OK","❌ "&amp;TEXT(C15-'res_raw_61056416'!$E$14,"+#,##0;-#,##0")&amp;" t.kr."))</f>
        <v/>
      </c>
      <c r="D65" s="29">
        <f>IF('res_raw_61056416'!$D$14="","—",IF(ABS(D15-'res_raw_61056416'!$D$14)&lt;=1,"✓ OK","❌ "&amp;TEXT(D15-'res_raw_61056416'!$D$14,"+#,##0;-#,##0")&amp;"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2026-09-07T18:57:17Z</dcterms:created>
  <dcterms:modified xmlns:dcterms="http://purl.org/dc/terms/" xmlns:xsi="http://www.w3.org/2001/XMLSchema-instance" xsi:type="dcterms:W3CDTF">2026-09-07T18:57:17Z</dcterms:modified>
</cp:coreProperties>
</file>