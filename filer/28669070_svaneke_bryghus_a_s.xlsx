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669070" sheetId="1" state="visible" r:id="rId1"/>
    <sheet xmlns:r="http://schemas.openxmlformats.org/officeDocument/2006/relationships" name="res_raw_28669070" sheetId="2" state="visible" r:id="rId2"/>
    <sheet xmlns:r="http://schemas.openxmlformats.org/officeDocument/2006/relationships" name="balance_raw_2866907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Svaneke Bryghus A/S (CVR 28669070)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'res_raw_28669070'!$B$2</f>
        <v/>
      </c>
      <c r="C4" s="5">
        <f>'res_raw_28669070'!$C$2</f>
        <v/>
      </c>
      <c r="D4" s="5">
        <f>'res_raw_28669070'!$D$2</f>
        <v/>
      </c>
      <c r="E4" s="5">
        <f>'res_raw_28669070'!$E$2</f>
        <v/>
      </c>
      <c r="F4" s="5">
        <f>'res_raw_28669070'!$F$2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'res_raw_28669070'!$B$3</f>
        <v/>
      </c>
      <c r="C5" s="8">
        <f>'res_raw_28669070'!$C$3</f>
        <v/>
      </c>
      <c r="D5" s="8">
        <f>'res_raw_28669070'!$D$3</f>
        <v/>
      </c>
      <c r="E5" s="8">
        <f>'res_raw_28669070'!$E$3</f>
        <v/>
      </c>
      <c r="F5" s="8">
        <f>'res_raw_28669070'!$F$3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'res_raw_28669070'!$B$4</f>
        <v/>
      </c>
      <c r="C6" s="5">
        <f>'res_raw_28669070'!$C$4</f>
        <v/>
      </c>
      <c r="D6" s="5">
        <f>'res_raw_28669070'!$D$4</f>
        <v/>
      </c>
      <c r="E6" s="5">
        <f>'res_raw_28669070'!$E$4</f>
        <v/>
      </c>
      <c r="F6" s="5">
        <f>'res_raw_28669070'!$F$4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'res_raw_28669070'!$B$5</f>
        <v/>
      </c>
      <c r="C7" s="8">
        <f>'res_raw_28669070'!$C$5</f>
        <v/>
      </c>
      <c r="D7" s="8">
        <f>'res_raw_28669070'!$D$5</f>
        <v/>
      </c>
      <c r="E7" s="8">
        <f>'res_raw_28669070'!$E$5</f>
        <v/>
      </c>
      <c r="F7" s="8">
        <f>'res_raw_28669070'!$F$5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'res_raw_28669070'!$B$6</f>
        <v/>
      </c>
      <c r="C8" s="11">
        <f>'res_raw_28669070'!$C$6</f>
        <v/>
      </c>
      <c r="D8" s="11">
        <f>'res_raw_28669070'!$D$6</f>
        <v/>
      </c>
      <c r="E8" s="11">
        <f>'res_raw_28669070'!$E$6</f>
        <v/>
      </c>
      <c r="F8" s="11">
        <f>'res_raw_28669070'!$F$6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'res_raw_28669070'!$B$7</f>
        <v/>
      </c>
      <c r="C9" s="8">
        <f>'res_raw_28669070'!$C$7</f>
        <v/>
      </c>
      <c r="D9" s="8">
        <f>'res_raw_28669070'!$D$7</f>
        <v/>
      </c>
      <c r="E9" s="8">
        <f>'res_raw_28669070'!$E$7</f>
        <v/>
      </c>
      <c r="F9" s="8">
        <f>'res_raw_28669070'!$F$7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'res_raw_28669070'!$B$9</f>
        <v/>
      </c>
      <c r="C11" s="8">
        <f>'res_raw_28669070'!$C$9</f>
        <v/>
      </c>
      <c r="D11" s="8">
        <f>'res_raw_28669070'!$D$9</f>
        <v/>
      </c>
      <c r="E11" s="8">
        <f>'res_raw_28669070'!$E$9</f>
        <v/>
      </c>
      <c r="F11" s="8">
        <f>'res_raw_28669070'!$F$9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'res_raw_28669070'!$B$10</f>
        <v/>
      </c>
      <c r="C12" s="5">
        <f>'res_raw_28669070'!$C$10</f>
        <v/>
      </c>
      <c r="D12" s="5">
        <f>'res_raw_28669070'!$D$10</f>
        <v/>
      </c>
      <c r="E12" s="5">
        <f>'res_raw_28669070'!$E$10</f>
        <v/>
      </c>
      <c r="F12" s="5">
        <f>'res_raw_28669070'!$F$10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'res_raw_28669070'!$B$11</f>
        <v/>
      </c>
      <c r="C13" s="11">
        <f>'res_raw_28669070'!$C$11</f>
        <v/>
      </c>
      <c r="D13" s="11">
        <f>'res_raw_28669070'!$D$11</f>
        <v/>
      </c>
      <c r="E13" s="11">
        <f>'res_raw_28669070'!$E$11</f>
        <v/>
      </c>
      <c r="F13" s="11">
        <f>'res_raw_28669070'!$F$11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'res_raw_28669070'!$B$12</f>
        <v/>
      </c>
      <c r="C14" s="5">
        <f>'res_raw_28669070'!$C$12</f>
        <v/>
      </c>
      <c r="D14" s="5">
        <f>'res_raw_28669070'!$D$12</f>
        <v/>
      </c>
      <c r="E14" s="5">
        <f>'res_raw_28669070'!$E$12</f>
        <v/>
      </c>
      <c r="F14" s="5">
        <f>'res_raw_28669070'!$F$12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'res_raw_28669070'!$B$13</f>
        <v/>
      </c>
      <c r="C15" s="8">
        <f>'res_raw_28669070'!$C$13</f>
        <v/>
      </c>
      <c r="D15" s="8">
        <f>'res_raw_28669070'!$D$13</f>
        <v/>
      </c>
      <c r="E15" s="8">
        <f>'res_raw_28669070'!$E$13</f>
        <v/>
      </c>
      <c r="F15" s="8">
        <f>'res_raw_28669070'!$F$13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'res_raw_28669070'!$B$14</f>
        <v/>
      </c>
      <c r="C16" s="5">
        <f>'res_raw_28669070'!$C$14</f>
        <v/>
      </c>
      <c r="D16" s="5">
        <f>'res_raw_28669070'!$D$14</f>
        <v/>
      </c>
      <c r="E16" s="5">
        <f>'res_raw_28669070'!$E$14</f>
        <v/>
      </c>
      <c r="F16" s="5">
        <f>'res_raw_28669070'!$F$14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'res_raw_28669070'!$B$15</f>
        <v/>
      </c>
      <c r="C17" s="11">
        <f>'res_raw_28669070'!$C$15</f>
        <v/>
      </c>
      <c r="D17" s="11">
        <f>'res_raw_28669070'!$D$15</f>
        <v/>
      </c>
      <c r="E17" s="11">
        <f>'res_raw_28669070'!$E$15</f>
        <v/>
      </c>
      <c r="F17" s="11">
        <f>'res_raw_28669070'!$F$15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'res_raw_28669070'!$B$16</f>
        <v/>
      </c>
      <c r="C18" s="11">
        <f>'res_raw_28669070'!$C$16</f>
        <v/>
      </c>
      <c r="D18" s="11">
        <f>'res_raw_28669070'!$D$16</f>
        <v/>
      </c>
      <c r="E18" s="11">
        <f>'res_raw_28669070'!$E$16</f>
        <v/>
      </c>
      <c r="F18" s="11">
        <f>'res_raw_28669070'!$F$16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'res_raw_28669070'!$B$17</f>
        <v/>
      </c>
      <c r="C19" s="8">
        <f>'res_raw_28669070'!$C$17</f>
        <v/>
      </c>
      <c r="D19" s="8">
        <f>'res_raw_28669070'!$D$17</f>
        <v/>
      </c>
      <c r="E19" s="8">
        <f>'res_raw_28669070'!$E$17</f>
        <v/>
      </c>
      <c r="F19" s="8">
        <f>'res_raw_28669070'!$F$17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'res_raw_28669070'!$B$18</f>
        <v/>
      </c>
      <c r="C20" s="11">
        <f>'res_raw_28669070'!$C$18</f>
        <v/>
      </c>
      <c r="D20" s="11">
        <f>'res_raw_28669070'!$D$18</f>
        <v/>
      </c>
      <c r="E20" s="11">
        <f>'res_raw_28669070'!$E$18</f>
        <v/>
      </c>
      <c r="F20" s="11">
        <f>'res_raw_28669070'!$F$18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'balance_raw_28669070'!$B$2</f>
        <v/>
      </c>
      <c r="C23" s="8">
        <f>'balance_raw_28669070'!$C$2</f>
        <v/>
      </c>
      <c r="D23" s="8">
        <f>'balance_raw_28669070'!$D$2</f>
        <v/>
      </c>
      <c r="E23" s="8">
        <f>'balance_raw_28669070'!$E$2</f>
        <v/>
      </c>
      <c r="F23" s="8">
        <f>'balance_raw_28669070'!$F$2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'balance_raw_28669070'!$B$3</f>
        <v/>
      </c>
      <c r="C24" s="5">
        <f>'balance_raw_28669070'!$C$3</f>
        <v/>
      </c>
      <c r="D24" s="5">
        <f>'balance_raw_28669070'!$D$3</f>
        <v/>
      </c>
      <c r="E24" s="5">
        <f>'balance_raw_28669070'!$E$3</f>
        <v/>
      </c>
      <c r="F24" s="5">
        <f>'balance_raw_28669070'!$F$3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'balance_raw_28669070'!$B$4</f>
        <v/>
      </c>
      <c r="C25" s="8">
        <f>'balance_raw_28669070'!$C$4</f>
        <v/>
      </c>
      <c r="D25" s="8">
        <f>'balance_raw_28669070'!$D$4</f>
        <v/>
      </c>
      <c r="E25" s="8">
        <f>'balance_raw_28669070'!$E$4</f>
        <v/>
      </c>
      <c r="F25" s="8">
        <f>'balance_raw_28669070'!$F$4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'balance_raw_28669070'!$B$5</f>
        <v/>
      </c>
      <c r="C26" s="5">
        <f>'balance_raw_28669070'!$C$5</f>
        <v/>
      </c>
      <c r="D26" s="5">
        <f>'balance_raw_28669070'!$D$5</f>
        <v/>
      </c>
      <c r="E26" s="5">
        <f>'balance_raw_28669070'!$E$5</f>
        <v/>
      </c>
      <c r="F26" s="5">
        <f>'balance_raw_28669070'!$F$5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'balance_raw_28669070'!$B$6</f>
        <v/>
      </c>
      <c r="C27" s="8">
        <f>'balance_raw_28669070'!$C$6</f>
        <v/>
      </c>
      <c r="D27" s="8">
        <f>'balance_raw_28669070'!$D$6</f>
        <v/>
      </c>
      <c r="E27" s="8">
        <f>'balance_raw_28669070'!$E$6</f>
        <v/>
      </c>
      <c r="F27" s="8">
        <f>'balance_raw_28669070'!$F$6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'balance_raw_28669070'!$B$7</f>
        <v/>
      </c>
      <c r="C28" s="11">
        <f>'balance_raw_28669070'!$C$7</f>
        <v/>
      </c>
      <c r="D28" s="11">
        <f>'balance_raw_28669070'!$D$7</f>
        <v/>
      </c>
      <c r="E28" s="11">
        <f>'balance_raw_28669070'!$E$7</f>
        <v/>
      </c>
      <c r="F28" s="11">
        <f>'balance_raw_28669070'!$F$7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'balance_raw_28669070'!$B$8</f>
        <v/>
      </c>
      <c r="C29" s="11">
        <f>'balance_raw_28669070'!$C$8</f>
        <v/>
      </c>
      <c r="D29" s="11">
        <f>'balance_raw_28669070'!$D$8</f>
        <v/>
      </c>
      <c r="E29" s="11">
        <f>'balance_raw_28669070'!$E$8</f>
        <v/>
      </c>
      <c r="F29" s="11">
        <f>'balance_raw_28669070'!$F$8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'balance_raw_28669070'!$B$9</f>
        <v/>
      </c>
      <c r="C30" s="5">
        <f>'balance_raw_28669070'!$C$9</f>
        <v/>
      </c>
      <c r="D30" s="5">
        <f>'balance_raw_28669070'!$D$9</f>
        <v/>
      </c>
      <c r="E30" s="5">
        <f>'balance_raw_28669070'!$E$9</f>
        <v/>
      </c>
      <c r="F30" s="5">
        <f>'balance_raw_28669070'!$F$9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'balance_raw_28669070'!$B$10</f>
        <v/>
      </c>
      <c r="C31" s="8">
        <f>'balance_raw_28669070'!$C$10</f>
        <v/>
      </c>
      <c r="D31" s="8">
        <f>'balance_raw_28669070'!$D$10</f>
        <v/>
      </c>
      <c r="E31" s="8">
        <f>'balance_raw_28669070'!$E$10</f>
        <v/>
      </c>
      <c r="F31" s="8">
        <f>'balance_raw_28669070'!$F$10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'balance_raw_28669070'!$B$11</f>
        <v/>
      </c>
      <c r="C32" s="5">
        <f>'balance_raw_28669070'!$C$11</f>
        <v/>
      </c>
      <c r="D32" s="5">
        <f>'balance_raw_28669070'!$D$11</f>
        <v/>
      </c>
      <c r="E32" s="5">
        <f>'balance_raw_28669070'!$E$11</f>
        <v/>
      </c>
      <c r="F32" s="5">
        <f>'balance_raw_28669070'!$F$11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'balance_raw_28669070'!$B$12</f>
        <v/>
      </c>
      <c r="C33" s="11">
        <f>'balance_raw_28669070'!$C$12</f>
        <v/>
      </c>
      <c r="D33" s="11">
        <f>'balance_raw_28669070'!$D$12</f>
        <v/>
      </c>
      <c r="E33" s="11">
        <f>'balance_raw_28669070'!$E$12</f>
        <v/>
      </c>
      <c r="F33" s="11">
        <f>'balance_raw_28669070'!$F$12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'balance_raw_28669070'!$B$13</f>
        <v/>
      </c>
      <c r="C34" s="5">
        <f>'balance_raw_28669070'!$C$13</f>
        <v/>
      </c>
      <c r="D34" s="5">
        <f>'balance_raw_28669070'!$D$13</f>
        <v/>
      </c>
      <c r="E34" s="5">
        <f>'balance_raw_28669070'!$E$13</f>
        <v/>
      </c>
      <c r="F34" s="5">
        <f>'balance_raw_28669070'!$F$13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'balance_raw_28669070'!$B$14</f>
        <v/>
      </c>
      <c r="C35" s="8">
        <f>'balance_raw_28669070'!$C$14</f>
        <v/>
      </c>
      <c r="D35" s="8">
        <f>'balance_raw_28669070'!$D$14</f>
        <v/>
      </c>
      <c r="E35" s="8">
        <f>'balance_raw_28669070'!$E$14</f>
        <v/>
      </c>
      <c r="F35" s="8">
        <f>'balance_raw_28669070'!$F$14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'balance_raw_28669070'!$B$15</f>
        <v/>
      </c>
      <c r="C36" s="5">
        <f>'balance_raw_28669070'!$C$15</f>
        <v/>
      </c>
      <c r="D36" s="5">
        <f>'balance_raw_28669070'!$D$15</f>
        <v/>
      </c>
      <c r="E36" s="5">
        <f>'balance_raw_28669070'!$E$15</f>
        <v/>
      </c>
      <c r="F36" s="5">
        <f>'balance_raw_28669070'!$F$15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'balance_raw_28669070'!$B$16</f>
        <v/>
      </c>
      <c r="C37" s="8">
        <f>'balance_raw_28669070'!$C$16</f>
        <v/>
      </c>
      <c r="D37" s="8">
        <f>'balance_raw_28669070'!$D$16</f>
        <v/>
      </c>
      <c r="E37" s="8">
        <f>'balance_raw_28669070'!$E$16</f>
        <v/>
      </c>
      <c r="F37" s="8">
        <f>'balance_raw_28669070'!$F$16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'balance_raw_28669070'!$B$17</f>
        <v/>
      </c>
      <c r="C38" s="5">
        <f>'balance_raw_28669070'!$C$17</f>
        <v/>
      </c>
      <c r="D38" s="5">
        <f>'balance_raw_28669070'!$D$17</f>
        <v/>
      </c>
      <c r="E38" s="5">
        <f>'balance_raw_28669070'!$E$17</f>
        <v/>
      </c>
      <c r="F38" s="5">
        <f>'balance_raw_28669070'!$F$17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'balance_raw_28669070'!$B$18</f>
        <v/>
      </c>
      <c r="C39" s="8">
        <f>'balance_raw_28669070'!$C$18</f>
        <v/>
      </c>
      <c r="D39" s="8">
        <f>'balance_raw_28669070'!$D$18</f>
        <v/>
      </c>
      <c r="E39" s="8">
        <f>'balance_raw_28669070'!$E$18</f>
        <v/>
      </c>
      <c r="F39" s="8">
        <f>'balance_raw_28669070'!$F$18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'balance_raw_28669070'!$B$19</f>
        <v/>
      </c>
      <c r="C40" s="5">
        <f>'balance_raw_28669070'!$C$19</f>
        <v/>
      </c>
      <c r="D40" s="5">
        <f>'balance_raw_28669070'!$D$19</f>
        <v/>
      </c>
      <c r="E40" s="5">
        <f>'balance_raw_28669070'!$E$19</f>
        <v/>
      </c>
      <c r="F40" s="5">
        <f>'balance_raw_28669070'!$F$19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'balance_raw_28669070'!$B$20</f>
        <v/>
      </c>
      <c r="C41" s="11">
        <f>'balance_raw_28669070'!$C$20</f>
        <v/>
      </c>
      <c r="D41" s="11">
        <f>'balance_raw_28669070'!$D$20</f>
        <v/>
      </c>
      <c r="E41" s="11">
        <f>'balance_raw_28669070'!$E$20</f>
        <v/>
      </c>
      <c r="F41" s="11">
        <f>'balance_raw_28669070'!$F$20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'balance_raw_28669070'!$B$21</f>
        <v/>
      </c>
      <c r="C42" s="5">
        <f>'balance_raw_28669070'!$C$21</f>
        <v/>
      </c>
      <c r="D42" s="5">
        <f>'balance_raw_28669070'!$D$21</f>
        <v/>
      </c>
      <c r="E42" s="5">
        <f>'balance_raw_28669070'!$E$21</f>
        <v/>
      </c>
      <c r="F42" s="5">
        <f>'balance_raw_28669070'!$F$21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'balance_raw_28669070'!$B$22</f>
        <v/>
      </c>
      <c r="C43" s="8">
        <f>'balance_raw_28669070'!$C$22</f>
        <v/>
      </c>
      <c r="D43" s="8">
        <f>'balance_raw_28669070'!$D$22</f>
        <v/>
      </c>
      <c r="E43" s="8">
        <f>'balance_raw_28669070'!$E$22</f>
        <v/>
      </c>
      <c r="F43" s="8">
        <f>'balance_raw_28669070'!$F$22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'balance_raw_28669070'!$B$23</f>
        <v/>
      </c>
      <c r="C44" s="11">
        <f>'balance_raw_28669070'!$C$23</f>
        <v/>
      </c>
      <c r="D44" s="11">
        <f>'balance_raw_28669070'!$D$23</f>
        <v/>
      </c>
      <c r="E44" s="11">
        <f>'balance_raw_28669070'!$E$23</f>
        <v/>
      </c>
      <c r="F44" s="11">
        <f>'balance_raw_28669070'!$F$23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'balance_raw_28669070'!$B$24</f>
        <v/>
      </c>
      <c r="C45" s="11">
        <f>'balance_raw_28669070'!$C$24</f>
        <v/>
      </c>
      <c r="D45" s="11">
        <f>'balance_raw_28669070'!$D$24</f>
        <v/>
      </c>
      <c r="E45" s="11">
        <f>'balance_raw_28669070'!$E$24</f>
        <v/>
      </c>
      <c r="F45" s="11">
        <f>'balance_raw_28669070'!$F$24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'balance_raw_28669070'!$B$25</f>
        <v/>
      </c>
      <c r="C48" s="5">
        <f>'balance_raw_28669070'!$C$25</f>
        <v/>
      </c>
      <c r="D48" s="5">
        <f>'balance_raw_28669070'!$D$25</f>
        <v/>
      </c>
      <c r="E48" s="5">
        <f>'balance_raw_28669070'!$E$25</f>
        <v/>
      </c>
      <c r="F48" s="5">
        <f>'balance_raw_28669070'!$F$25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'balance_raw_28669070'!$B$26</f>
        <v/>
      </c>
      <c r="C49" s="8">
        <f>'balance_raw_28669070'!$C$26</f>
        <v/>
      </c>
      <c r="D49" s="8">
        <f>'balance_raw_28669070'!$D$26</f>
        <v/>
      </c>
      <c r="E49" s="8">
        <f>'balance_raw_28669070'!$E$26</f>
        <v/>
      </c>
      <c r="F49" s="8">
        <f>'balance_raw_28669070'!$F$26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'balance_raw_28669070'!$B$27</f>
        <v/>
      </c>
      <c r="C50" s="5">
        <f>'balance_raw_28669070'!$C$27</f>
        <v/>
      </c>
      <c r="D50" s="5">
        <f>'balance_raw_28669070'!$D$27</f>
        <v/>
      </c>
      <c r="E50" s="5">
        <f>'balance_raw_28669070'!$E$27</f>
        <v/>
      </c>
      <c r="F50" s="5">
        <f>'balance_raw_28669070'!$F$27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'balance_raw_28669070'!$B$28</f>
        <v/>
      </c>
      <c r="C51" s="8">
        <f>'balance_raw_28669070'!$C$28</f>
        <v/>
      </c>
      <c r="D51" s="8">
        <f>'balance_raw_28669070'!$D$28</f>
        <v/>
      </c>
      <c r="E51" s="8">
        <f>'balance_raw_28669070'!$E$28</f>
        <v/>
      </c>
      <c r="F51" s="8">
        <f>'balance_raw_28669070'!$F$28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'balance_raw_28669070'!$B$29</f>
        <v/>
      </c>
      <c r="C52" s="5">
        <f>'balance_raw_28669070'!$C$29</f>
        <v/>
      </c>
      <c r="D52" s="5">
        <f>'balance_raw_28669070'!$D$29</f>
        <v/>
      </c>
      <c r="E52" s="5">
        <f>'balance_raw_28669070'!$E$29</f>
        <v/>
      </c>
      <c r="F52" s="5">
        <f>'balance_raw_28669070'!$F$29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'balance_raw_28669070'!$B$30</f>
        <v/>
      </c>
      <c r="C53" s="8">
        <f>'balance_raw_28669070'!$C$30</f>
        <v/>
      </c>
      <c r="D53" s="8">
        <f>'balance_raw_28669070'!$D$30</f>
        <v/>
      </c>
      <c r="E53" s="8">
        <f>'balance_raw_28669070'!$E$30</f>
        <v/>
      </c>
      <c r="F53" s="8">
        <f>'balance_raw_28669070'!$F$30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'balance_raw_28669070'!$B$31</f>
        <v/>
      </c>
      <c r="C54" s="11">
        <f>'balance_raw_28669070'!$C$31</f>
        <v/>
      </c>
      <c r="D54" s="11">
        <f>'balance_raw_28669070'!$D$31</f>
        <v/>
      </c>
      <c r="E54" s="11">
        <f>'balance_raw_28669070'!$E$31</f>
        <v/>
      </c>
      <c r="F54" s="11">
        <f>'balance_raw_28669070'!$F$31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'balance_raw_28669070'!$B$32</f>
        <v/>
      </c>
      <c r="C55" s="8">
        <f>'balance_raw_28669070'!$C$32</f>
        <v/>
      </c>
      <c r="D55" s="8">
        <f>'balance_raw_28669070'!$D$32</f>
        <v/>
      </c>
      <c r="E55" s="8">
        <f>'balance_raw_28669070'!$E$32</f>
        <v/>
      </c>
      <c r="F55" s="8">
        <f>'balance_raw_28669070'!$F$32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'balance_raw_28669070'!$B$33</f>
        <v/>
      </c>
      <c r="C56" s="11">
        <f>'balance_raw_28669070'!$C$33</f>
        <v/>
      </c>
      <c r="D56" s="11">
        <f>'balance_raw_28669070'!$D$33</f>
        <v/>
      </c>
      <c r="E56" s="11">
        <f>'balance_raw_28669070'!$E$33</f>
        <v/>
      </c>
      <c r="F56" s="11">
        <f>'balance_raw_28669070'!$F$33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'balance_raw_28669070'!$B$34</f>
        <v/>
      </c>
      <c r="C57" s="8">
        <f>'balance_raw_28669070'!$C$34</f>
        <v/>
      </c>
      <c r="D57" s="8">
        <f>'balance_raw_28669070'!$D$34</f>
        <v/>
      </c>
      <c r="E57" s="8">
        <f>'balance_raw_28669070'!$E$34</f>
        <v/>
      </c>
      <c r="F57" s="8">
        <f>'balance_raw_28669070'!$F$34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'balance_raw_28669070'!$B$35</f>
        <v/>
      </c>
      <c r="C58" s="5">
        <f>'balance_raw_28669070'!$C$35</f>
        <v/>
      </c>
      <c r="D58" s="5">
        <f>'balance_raw_28669070'!$D$35</f>
        <v/>
      </c>
      <c r="E58" s="5">
        <f>'balance_raw_28669070'!$E$35</f>
        <v/>
      </c>
      <c r="F58" s="5">
        <f>'balance_raw_28669070'!$F$35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'balance_raw_28669070'!$B$36</f>
        <v/>
      </c>
      <c r="C59" s="8">
        <f>'balance_raw_28669070'!$C$36</f>
        <v/>
      </c>
      <c r="D59" s="8">
        <f>'balance_raw_28669070'!$D$36</f>
        <v/>
      </c>
      <c r="E59" s="8">
        <f>'balance_raw_28669070'!$E$36</f>
        <v/>
      </c>
      <c r="F59" s="8">
        <f>'balance_raw_28669070'!$F$36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'balance_raw_28669070'!$B$37</f>
        <v/>
      </c>
      <c r="C60" s="5">
        <f>'balance_raw_28669070'!$C$37</f>
        <v/>
      </c>
      <c r="D60" s="5">
        <f>'balance_raw_28669070'!$D$37</f>
        <v/>
      </c>
      <c r="E60" s="5">
        <f>'balance_raw_28669070'!$E$37</f>
        <v/>
      </c>
      <c r="F60" s="5">
        <f>'balance_raw_28669070'!$F$37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'balance_raw_28669070'!$B$38</f>
        <v/>
      </c>
      <c r="C61" s="11">
        <f>'balance_raw_28669070'!$C$38</f>
        <v/>
      </c>
      <c r="D61" s="11">
        <f>'balance_raw_28669070'!$D$38</f>
        <v/>
      </c>
      <c r="E61" s="11">
        <f>'balance_raw_28669070'!$E$38</f>
        <v/>
      </c>
      <c r="F61" s="11">
        <f>'balance_raw_28669070'!$F$38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'balance_raw_28669070'!$B$39</f>
        <v/>
      </c>
      <c r="C62" s="5">
        <f>'balance_raw_28669070'!$C$39</f>
        <v/>
      </c>
      <c r="D62" s="5">
        <f>'balance_raw_28669070'!$D$39</f>
        <v/>
      </c>
      <c r="E62" s="5">
        <f>'balance_raw_28669070'!$E$39</f>
        <v/>
      </c>
      <c r="F62" s="5">
        <f>'balance_raw_28669070'!$F$39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'balance_raw_28669070'!$B$40</f>
        <v/>
      </c>
      <c r="C63" s="8">
        <f>'balance_raw_28669070'!$C$40</f>
        <v/>
      </c>
      <c r="D63" s="8">
        <f>'balance_raw_28669070'!$D$40</f>
        <v/>
      </c>
      <c r="E63" s="8">
        <f>'balance_raw_28669070'!$E$40</f>
        <v/>
      </c>
      <c r="F63" s="8">
        <f>'balance_raw_28669070'!$F$40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'balance_raw_28669070'!$B$41</f>
        <v/>
      </c>
      <c r="C64" s="5">
        <f>'balance_raw_28669070'!$C$41</f>
        <v/>
      </c>
      <c r="D64" s="5">
        <f>'balance_raw_28669070'!$D$41</f>
        <v/>
      </c>
      <c r="E64" s="5">
        <f>'balance_raw_28669070'!$E$41</f>
        <v/>
      </c>
      <c r="F64" s="5">
        <f>'balance_raw_28669070'!$F$41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'balance_raw_28669070'!$B$42</f>
        <v/>
      </c>
      <c r="C65" s="8">
        <f>'balance_raw_28669070'!$C$42</f>
        <v/>
      </c>
      <c r="D65" s="8">
        <f>'balance_raw_28669070'!$D$42</f>
        <v/>
      </c>
      <c r="E65" s="8">
        <f>'balance_raw_28669070'!$E$42</f>
        <v/>
      </c>
      <c r="F65" s="8">
        <f>'balance_raw_28669070'!$F$42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'balance_raw_28669070'!$B$43</f>
        <v/>
      </c>
      <c r="C66" s="5">
        <f>'balance_raw_28669070'!$C$43</f>
        <v/>
      </c>
      <c r="D66" s="5">
        <f>'balance_raw_28669070'!$D$43</f>
        <v/>
      </c>
      <c r="E66" s="5">
        <f>'balance_raw_28669070'!$E$43</f>
        <v/>
      </c>
      <c r="F66" s="5">
        <f>'balance_raw_28669070'!$F$43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'balance_raw_28669070'!$B$44</f>
        <v/>
      </c>
      <c r="C67" s="8">
        <f>'balance_raw_28669070'!$C$44</f>
        <v/>
      </c>
      <c r="D67" s="8">
        <f>'balance_raw_28669070'!$D$44</f>
        <v/>
      </c>
      <c r="E67" s="8">
        <f>'balance_raw_28669070'!$E$44</f>
        <v/>
      </c>
      <c r="F67" s="8">
        <f>'balance_raw_28669070'!$F$44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'balance_raw_28669070'!$B$45</f>
        <v/>
      </c>
      <c r="C68" s="5">
        <f>'balance_raw_28669070'!$C$45</f>
        <v/>
      </c>
      <c r="D68" s="5">
        <f>'balance_raw_28669070'!$D$45</f>
        <v/>
      </c>
      <c r="E68" s="5">
        <f>'balance_raw_28669070'!$E$45</f>
        <v/>
      </c>
      <c r="F68" s="5">
        <f>'balance_raw_28669070'!$F$45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'balance_raw_28669070'!$B$46</f>
        <v/>
      </c>
      <c r="C69" s="8">
        <f>'balance_raw_28669070'!$C$46</f>
        <v/>
      </c>
      <c r="D69" s="8">
        <f>'balance_raw_28669070'!$D$46</f>
        <v/>
      </c>
      <c r="E69" s="8">
        <f>'balance_raw_28669070'!$E$46</f>
        <v/>
      </c>
      <c r="F69" s="8">
        <f>'balance_raw_28669070'!$F$46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'balance_raw_28669070'!$B$47</f>
        <v/>
      </c>
      <c r="C70" s="5">
        <f>'balance_raw_28669070'!$C$47</f>
        <v/>
      </c>
      <c r="D70" s="5">
        <f>'balance_raw_28669070'!$D$47</f>
        <v/>
      </c>
      <c r="E70" s="5">
        <f>'balance_raw_28669070'!$E$47</f>
        <v/>
      </c>
      <c r="F70" s="5">
        <f>'balance_raw_28669070'!$F$47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'balance_raw_28669070'!$B$48</f>
        <v/>
      </c>
      <c r="C71" s="8">
        <f>'balance_raw_28669070'!$C$48</f>
        <v/>
      </c>
      <c r="D71" s="8">
        <f>'balance_raw_28669070'!$D$48</f>
        <v/>
      </c>
      <c r="E71" s="8">
        <f>'balance_raw_28669070'!$E$48</f>
        <v/>
      </c>
      <c r="F71" s="8">
        <f>'balance_raw_28669070'!$F$48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'balance_raw_28669070'!$B$49</f>
        <v/>
      </c>
      <c r="C72" s="5">
        <f>'balance_raw_28669070'!$C$49</f>
        <v/>
      </c>
      <c r="D72" s="5">
        <f>'balance_raw_28669070'!$D$49</f>
        <v/>
      </c>
      <c r="E72" s="5">
        <f>'balance_raw_28669070'!$E$49</f>
        <v/>
      </c>
      <c r="F72" s="5">
        <f>'balance_raw_28669070'!$F$49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'balance_raw_28669070'!$B$50</f>
        <v/>
      </c>
      <c r="C73" s="11">
        <f>'balance_raw_28669070'!$C$50</f>
        <v/>
      </c>
      <c r="D73" s="11">
        <f>'balance_raw_28669070'!$D$50</f>
        <v/>
      </c>
      <c r="E73" s="11">
        <f>'balance_raw_28669070'!$E$50</f>
        <v/>
      </c>
      <c r="F73" s="11">
        <f>'balance_raw_28669070'!$F$50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'balance_raw_28669070'!$B$51</f>
        <v/>
      </c>
      <c r="C74" s="11">
        <f>'balance_raw_28669070'!$C$51</f>
        <v/>
      </c>
      <c r="D74" s="11">
        <f>'balance_raw_28669070'!$D$51</f>
        <v/>
      </c>
      <c r="E74" s="11">
        <f>'balance_raw_28669070'!$E$51</f>
        <v/>
      </c>
      <c r="F74" s="11">
        <f>'balance_raw_28669070'!$F$51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'balance_raw_28669070'!$B$52</f>
        <v/>
      </c>
      <c r="C75" s="11">
        <f>'balance_raw_28669070'!$C$52</f>
        <v/>
      </c>
      <c r="D75" s="11">
        <f>'balance_raw_28669070'!$D$52</f>
        <v/>
      </c>
      <c r="E75" s="11">
        <f>'balance_raw_28669070'!$E$52</f>
        <v/>
      </c>
      <c r="F75" s="11">
        <f>'balance_raw_28669070'!$F$52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'res_raw_28669070'!$B$19</f>
        <v/>
      </c>
      <c r="C78" s="5">
        <f>'res_raw_28669070'!$C$19</f>
        <v/>
      </c>
      <c r="D78" s="5">
        <f>'res_raw_28669070'!$D$19</f>
        <v/>
      </c>
      <c r="E78" s="5">
        <f>'res_raw_28669070'!$E$19</f>
        <v/>
      </c>
      <c r="F78" s="5">
        <f>'res_raw_28669070'!$F$19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'res_raw_28669070'!$B$20</f>
        <v/>
      </c>
      <c r="C79" s="8">
        <f>'res_raw_28669070'!$C$20</f>
        <v/>
      </c>
      <c r="D79" s="8">
        <f>'res_raw_28669070'!$D$20</f>
        <v/>
      </c>
      <c r="E79" s="8">
        <f>'res_raw_28669070'!$E$20</f>
        <v/>
      </c>
      <c r="F79" s="8">
        <f>'res_raw_28669070'!$F$20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IFERROR($B$29/($B$54+$B$61)*100,"")</f>
        <v/>
      </c>
      <c r="C92" s="13">
        <f>IFERROR($C$29/($C$54+$C$61)*100,"")</f>
        <v/>
      </c>
      <c r="D92" s="13">
        <f>IFERROR($D$29/($D$54+$D$61)*100,"")</f>
        <v/>
      </c>
      <c r="E92" s="13">
        <f>IFERROR($E$29/($E$54+$E$61)*100,"")</f>
        <v/>
      </c>
      <c r="F92" s="13">
        <f>IFERROR($F$29/($F$54+$F$61)*100,"")</f>
        <v/>
      </c>
    </row>
    <row r="94">
      <c r="A9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Svaneke Bryghus A/S (CVR 28669070)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14534</v>
      </c>
      <c r="C6" s="16" t="n">
        <v>12477</v>
      </c>
      <c r="D6" s="16" t="n">
        <v>11705</v>
      </c>
      <c r="E6" s="16" t="n">
        <v>14756</v>
      </c>
      <c r="F6" s="16" t="n">
        <v>14521</v>
      </c>
    </row>
    <row r="7">
      <c r="A7" s="15" t="inlineStr">
        <is>
          <t>Personaleomkostninger</t>
        </is>
      </c>
      <c r="B7" s="16" t="n">
        <v>6722</v>
      </c>
      <c r="C7" s="16" t="n">
        <v>7053</v>
      </c>
      <c r="D7" s="16" t="n">
        <v>7084</v>
      </c>
      <c r="E7" s="16" t="n">
        <v>7977</v>
      </c>
      <c r="F7" s="16" t="n">
        <v>8463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3905</v>
      </c>
      <c r="C9" s="16" t="n">
        <v>3789</v>
      </c>
      <c r="D9" s="16" t="n">
        <v>2751</v>
      </c>
      <c r="E9" s="16" t="n">
        <v>2804</v>
      </c>
      <c r="F9" s="16" t="n">
        <v>2891</v>
      </c>
    </row>
    <row r="10">
      <c r="A10" s="15" t="inlineStr">
        <is>
          <t>Andre driftsomkostninger</t>
        </is>
      </c>
      <c r="B10" s="16" t="n">
        <v>83</v>
      </c>
      <c r="C10" s="16" t="n">
        <v>0</v>
      </c>
      <c r="D10" s="16" t="n"/>
      <c r="E10" s="16" t="n">
        <v>21</v>
      </c>
      <c r="F10" s="16" t="n">
        <v>0</v>
      </c>
    </row>
    <row r="11">
      <c r="A11" s="17" t="inlineStr">
        <is>
          <t>Resultat af primær drift</t>
        </is>
      </c>
      <c r="B11" s="16" t="n">
        <v>3824</v>
      </c>
      <c r="C11" s="16" t="n">
        <v>1634</v>
      </c>
      <c r="D11" s="16" t="n">
        <v>1871</v>
      </c>
      <c r="E11" s="16" t="n">
        <v>3954</v>
      </c>
      <c r="F11" s="16" t="n">
        <v>3167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11</v>
      </c>
      <c r="D13" s="16" t="n">
        <v>87</v>
      </c>
      <c r="E13" s="16" t="n">
        <v>104</v>
      </c>
      <c r="F13" s="16" t="n">
        <v>71</v>
      </c>
    </row>
    <row r="14">
      <c r="A14" s="15" t="inlineStr">
        <is>
          <t>Finansielle omkostninger</t>
        </is>
      </c>
      <c r="B14" s="16" t="n">
        <v>211</v>
      </c>
      <c r="C14" s="16" t="n">
        <v>164</v>
      </c>
      <c r="D14" s="16" t="n">
        <v>320</v>
      </c>
      <c r="E14" s="16" t="n">
        <v>278</v>
      </c>
      <c r="F14" s="16" t="n">
        <v>215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3613</v>
      </c>
      <c r="C16" s="16" t="n">
        <v>1482</v>
      </c>
      <c r="D16" s="16" t="n">
        <v>1637</v>
      </c>
      <c r="E16" s="16" t="n">
        <v>3780</v>
      </c>
      <c r="F16" s="16" t="n">
        <v>3023</v>
      </c>
    </row>
    <row r="17">
      <c r="A17" s="15" t="inlineStr">
        <is>
          <t>Skat af årets resultat</t>
        </is>
      </c>
      <c r="B17" s="16" t="n">
        <v>784</v>
      </c>
      <c r="C17" s="16" t="n">
        <v>311</v>
      </c>
      <c r="D17" s="16" t="n">
        <v>392</v>
      </c>
      <c r="E17" s="16" t="n">
        <v>803</v>
      </c>
      <c r="F17" s="16" t="n">
        <v>660</v>
      </c>
    </row>
    <row r="18">
      <c r="A18" s="17" t="inlineStr">
        <is>
          <t>Årets resultat</t>
        </is>
      </c>
      <c r="B18" s="16" t="n">
        <v>2829</v>
      </c>
      <c r="C18" s="16" t="n">
        <v>1171</v>
      </c>
      <c r="D18" s="16" t="n">
        <v>1245</v>
      </c>
      <c r="E18" s="16" t="n">
        <v>2977</v>
      </c>
      <c r="F18" s="16" t="n">
        <v>2363</v>
      </c>
    </row>
    <row r="19">
      <c r="A19" s="15" t="inlineStr">
        <is>
          <t>Gns. antal medarbejdere</t>
        </is>
      </c>
      <c r="B19" s="16" t="n">
        <v>12</v>
      </c>
      <c r="C19" s="16" t="n">
        <v>13</v>
      </c>
      <c r="D19" s="16" t="n">
        <v>13</v>
      </c>
      <c r="E19" s="16" t="n">
        <v>14</v>
      </c>
      <c r="F19" s="16" t="n">
        <v>15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Svaneke Bryghus A/S (CVR 28669070)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13769</v>
      </c>
      <c r="C2" s="16" t="n">
        <v>13412</v>
      </c>
      <c r="D2" s="16" t="n">
        <v>13747</v>
      </c>
      <c r="E2" s="16" t="n">
        <v>13427</v>
      </c>
      <c r="F2" s="16" t="n">
        <v>12963</v>
      </c>
    </row>
    <row r="3">
      <c r="A3" s="15" t="inlineStr">
        <is>
          <t>Produktionsanlæg og maskiner</t>
        </is>
      </c>
      <c r="B3" s="16" t="n">
        <v>15431</v>
      </c>
      <c r="C3" s="16" t="n">
        <v>13280</v>
      </c>
      <c r="D3" s="16" t="n">
        <v>12984</v>
      </c>
      <c r="E3" s="16" t="n">
        <v>11959</v>
      </c>
      <c r="F3" s="16" t="n">
        <v>10772</v>
      </c>
    </row>
    <row r="4">
      <c r="A4" s="15" t="inlineStr">
        <is>
          <t>Driftsmateriel og inventar</t>
        </is>
      </c>
      <c r="B4" s="16" t="n">
        <v>1778</v>
      </c>
      <c r="C4" s="16" t="n">
        <v>2838</v>
      </c>
      <c r="D4" s="16" t="n">
        <v>2551</v>
      </c>
      <c r="E4" s="16" t="n">
        <v>2820</v>
      </c>
      <c r="F4" s="16" t="n">
        <v>3249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559</v>
      </c>
      <c r="C6" s="16" t="n">
        <v>581</v>
      </c>
      <c r="D6" s="16" t="n">
        <v>0</v>
      </c>
      <c r="E6" s="16" t="n"/>
      <c r="F6" s="16" t="n"/>
    </row>
    <row r="7">
      <c r="A7" s="17" t="inlineStr">
        <is>
          <t>Materielle anlægsaktiver</t>
        </is>
      </c>
      <c r="B7" s="16" t="n">
        <v>31537</v>
      </c>
      <c r="C7" s="16" t="n">
        <v>30111</v>
      </c>
      <c r="D7" s="16" t="n">
        <v>29282</v>
      </c>
      <c r="E7" s="16" t="n">
        <v>28207</v>
      </c>
      <c r="F7" s="16" t="n">
        <v>26984</v>
      </c>
    </row>
    <row r="8">
      <c r="A8" s="17" t="inlineStr">
        <is>
          <t>Anlægsaktiver</t>
        </is>
      </c>
      <c r="B8" s="16" t="n">
        <v>31537</v>
      </c>
      <c r="C8" s="16" t="n">
        <v>30111</v>
      </c>
      <c r="D8" s="16" t="n">
        <v>29282</v>
      </c>
      <c r="E8" s="16" t="n">
        <v>28207</v>
      </c>
      <c r="F8" s="16" t="n">
        <v>26984</v>
      </c>
    </row>
    <row r="9">
      <c r="A9" s="15" t="inlineStr">
        <is>
          <t>Råvarer og hjælpematerialer</t>
        </is>
      </c>
      <c r="B9" s="16" t="n">
        <v>3639</v>
      </c>
      <c r="C9" s="16" t="n">
        <v>4884</v>
      </c>
      <c r="D9" s="16" t="n">
        <v>4108</v>
      </c>
      <c r="E9" s="16" t="n">
        <v>3747</v>
      </c>
      <c r="F9" s="16" t="n">
        <v>3345</v>
      </c>
    </row>
    <row r="10">
      <c r="A10" s="15" t="inlineStr">
        <is>
          <t>Varer under fremstilling</t>
        </is>
      </c>
      <c r="B10" s="16" t="n">
        <v>614</v>
      </c>
      <c r="C10" s="16" t="n">
        <v>735</v>
      </c>
      <c r="D10" s="16" t="n">
        <v>913</v>
      </c>
      <c r="E10" s="16" t="n">
        <v>923</v>
      </c>
      <c r="F10" s="16" t="n">
        <v>807</v>
      </c>
    </row>
    <row r="11">
      <c r="A11" s="15" t="inlineStr">
        <is>
          <t>Færdigvarer og handelsvarer</t>
        </is>
      </c>
      <c r="B11" s="16" t="n">
        <v>1445</v>
      </c>
      <c r="C11" s="16" t="n">
        <v>1658</v>
      </c>
      <c r="D11" s="16" t="n">
        <v>1366</v>
      </c>
      <c r="E11" s="16" t="n">
        <v>1951</v>
      </c>
      <c r="F11" s="16" t="n">
        <v>2077</v>
      </c>
    </row>
    <row r="12">
      <c r="A12" s="17" t="inlineStr">
        <is>
          <t>Varebeholdninger</t>
        </is>
      </c>
      <c r="B12" s="16" t="n">
        <v>5698</v>
      </c>
      <c r="C12" s="16" t="n">
        <v>7276</v>
      </c>
      <c r="D12" s="16" t="n">
        <v>6387</v>
      </c>
      <c r="E12" s="16" t="n">
        <v>6621</v>
      </c>
      <c r="F12" s="16" t="n">
        <v>6229</v>
      </c>
    </row>
    <row r="13">
      <c r="A13" s="15" t="inlineStr">
        <is>
          <t>Tilgodehavender fra salg og tjenesteydelser</t>
        </is>
      </c>
      <c r="B13" s="16" t="n">
        <v>3190</v>
      </c>
      <c r="C13" s="16" t="n">
        <v>3107</v>
      </c>
      <c r="D13" s="16" t="n">
        <v>3434</v>
      </c>
      <c r="E13" s="16" t="n">
        <v>4054</v>
      </c>
      <c r="F13" s="16" t="n">
        <v>5135</v>
      </c>
    </row>
    <row r="14">
      <c r="A14" s="15" t="inlineStr">
        <is>
          <t>Tilgodehavender hos tilknyttede virksomheder</t>
        </is>
      </c>
      <c r="B14" s="16" t="n">
        <v>2</v>
      </c>
      <c r="C14" s="16" t="n">
        <v>2</v>
      </c>
      <c r="D14" s="16" t="n">
        <v>3</v>
      </c>
      <c r="E14" s="16" t="n">
        <v>0</v>
      </c>
      <c r="F14" s="16" t="n">
        <v>25</v>
      </c>
    </row>
    <row r="15">
      <c r="A15" s="15" t="inlineStr">
        <is>
          <t>Andre tilgodehavender</t>
        </is>
      </c>
      <c r="B15" s="16" t="n">
        <v>5150</v>
      </c>
      <c r="C15" s="16" t="n">
        <v>5</v>
      </c>
      <c r="D15" s="16" t="n">
        <v>22</v>
      </c>
      <c r="E15" s="16" t="n">
        <v>2</v>
      </c>
      <c r="F15" s="16" t="n">
        <v>54</v>
      </c>
    </row>
    <row r="16">
      <c r="A16" s="15" t="inlineStr">
        <is>
          <t>Periodeafgrænsningsposter (aktiver)</t>
        </is>
      </c>
      <c r="B16" s="16" t="n">
        <v>315</v>
      </c>
      <c r="C16" s="16" t="n">
        <v>158</v>
      </c>
      <c r="D16" s="16" t="n">
        <v>78</v>
      </c>
      <c r="E16" s="16" t="n">
        <v>339</v>
      </c>
      <c r="F16" s="16" t="n">
        <v>209</v>
      </c>
    </row>
    <row r="17">
      <c r="A17" s="15" t="inlineStr">
        <is>
          <t>Udskudt skatteaktiv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 skat hos tilknyttede virksomheder</t>
        </is>
      </c>
      <c r="B18" s="16" t="n">
        <v>61</v>
      </c>
      <c r="C18" s="16" t="n">
        <v>0</v>
      </c>
      <c r="D18" s="16" t="n">
        <v>157</v>
      </c>
      <c r="E18" s="16" t="n">
        <v>0</v>
      </c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>
        <v>122</v>
      </c>
    </row>
    <row r="20">
      <c r="A20" s="17" t="inlineStr">
        <is>
          <t>Tilgodehavender</t>
        </is>
      </c>
      <c r="B20" s="16" t="n">
        <v>8717</v>
      </c>
      <c r="C20" s="16" t="n">
        <v>3271</v>
      </c>
      <c r="D20" s="16" t="n">
        <v>3693</v>
      </c>
      <c r="E20" s="16" t="n">
        <v>4396</v>
      </c>
      <c r="F20" s="16" t="n">
        <v>5544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2054</v>
      </c>
      <c r="C22" s="16" t="n">
        <v>4086</v>
      </c>
      <c r="D22" s="16" t="n">
        <v>3774</v>
      </c>
      <c r="E22" s="16" t="n">
        <v>6383</v>
      </c>
      <c r="F22" s="16" t="n">
        <v>8740</v>
      </c>
    </row>
    <row r="23">
      <c r="A23" s="17" t="inlineStr">
        <is>
          <t>Omsætningsaktiver</t>
        </is>
      </c>
      <c r="B23" s="16" t="n">
        <v>16469</v>
      </c>
      <c r="C23" s="16" t="n">
        <v>14633</v>
      </c>
      <c r="D23" s="16" t="n">
        <v>13854</v>
      </c>
      <c r="E23" s="16" t="n">
        <v>17399</v>
      </c>
      <c r="F23" s="16" t="n">
        <v>20514</v>
      </c>
    </row>
    <row r="24">
      <c r="A24" s="17" t="inlineStr">
        <is>
          <t>Aktiver</t>
        </is>
      </c>
      <c r="B24" s="16" t="n">
        <v>48006</v>
      </c>
      <c r="C24" s="16" t="n">
        <v>44745</v>
      </c>
      <c r="D24" s="16" t="n">
        <v>43136</v>
      </c>
      <c r="E24" s="16" t="n">
        <v>45606</v>
      </c>
      <c r="F24" s="16" t="n">
        <v>47497</v>
      </c>
    </row>
    <row r="25">
      <c r="A25" s="15" t="inlineStr">
        <is>
          <t>Selskabskapital</t>
        </is>
      </c>
      <c r="B25" s="16" t="n">
        <v>15000</v>
      </c>
      <c r="C25" s="16" t="n">
        <v>15000</v>
      </c>
      <c r="D25" s="16" t="n">
        <v>15000</v>
      </c>
      <c r="E25" s="16" t="n">
        <v>15000</v>
      </c>
      <c r="F25" s="16" t="n">
        <v>15000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11162</v>
      </c>
      <c r="C30" s="16" t="n">
        <v>12332</v>
      </c>
      <c r="D30" s="16" t="n">
        <v>13077</v>
      </c>
      <c r="E30" s="16" t="n">
        <v>14574</v>
      </c>
      <c r="F30" s="16" t="n">
        <v>16437</v>
      </c>
    </row>
    <row r="31">
      <c r="A31" s="17" t="inlineStr">
        <is>
          <t>Egenkapital i alt</t>
        </is>
      </c>
      <c r="B31" s="16" t="n">
        <v>27662</v>
      </c>
      <c r="C31" s="16" t="n">
        <v>27332</v>
      </c>
      <c r="D31" s="16" t="n">
        <v>28577</v>
      </c>
      <c r="E31" s="16" t="n">
        <v>31054</v>
      </c>
      <c r="F31" s="16" t="n">
        <v>31937</v>
      </c>
    </row>
    <row r="32">
      <c r="A32" s="15" t="inlineStr">
        <is>
          <t>Hensættelse til udskudt skat</t>
        </is>
      </c>
      <c r="B32" s="16" t="n">
        <v>2850</v>
      </c>
      <c r="C32" s="16" t="n">
        <v>2769</v>
      </c>
      <c r="D32" s="16" t="n">
        <v>2768</v>
      </c>
      <c r="E32" s="16" t="n">
        <v>2858</v>
      </c>
      <c r="F32" s="16" t="n">
        <v>2840</v>
      </c>
    </row>
    <row r="33">
      <c r="A33" s="17" t="inlineStr">
        <is>
          <t>Hensatte forpligtelser</t>
        </is>
      </c>
      <c r="B33" s="16" t="n">
        <v>2850</v>
      </c>
      <c r="C33" s="16" t="n">
        <v>2769</v>
      </c>
      <c r="D33" s="16" t="n">
        <v>2768</v>
      </c>
      <c r="E33" s="16" t="n">
        <v>2858</v>
      </c>
      <c r="F33" s="16" t="n">
        <v>2840</v>
      </c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>
        <v>2122</v>
      </c>
      <c r="C35" s="16" t="n">
        <v>1701</v>
      </c>
      <c r="D35" s="16" t="n">
        <v>1277</v>
      </c>
      <c r="E35" s="16" t="n">
        <v>851</v>
      </c>
      <c r="F35" s="16" t="n">
        <v>424</v>
      </c>
    </row>
    <row r="36">
      <c r="A36" s="15" t="inlineStr">
        <is>
          <t>Leasingforpligtelser (langfristet)</t>
        </is>
      </c>
      <c r="B36" s="16" t="n">
        <v>4845</v>
      </c>
      <c r="C36" s="16" t="n">
        <v>4866</v>
      </c>
      <c r="D36" s="16" t="n">
        <v>4239</v>
      </c>
      <c r="E36" s="16" t="n">
        <v>3800</v>
      </c>
      <c r="F36" s="16" t="n">
        <v>3139</v>
      </c>
    </row>
    <row r="37">
      <c r="A37" s="15" t="inlineStr">
        <is>
          <t>Anden gæld (langfristet)</t>
        </is>
      </c>
      <c r="B37" s="16" t="n">
        <v>173</v>
      </c>
      <c r="C37" s="16" t="n">
        <v>0</v>
      </c>
      <c r="D37" s="16" t="n"/>
      <c r="E37" s="16" t="n"/>
      <c r="F37" s="16" t="n"/>
    </row>
    <row r="38">
      <c r="A38" s="17" t="inlineStr">
        <is>
          <t>Langfristede gældsforpligtelser</t>
        </is>
      </c>
      <c r="B38" s="16" t="n">
        <v>7438</v>
      </c>
      <c r="C38" s="16" t="n">
        <v>6566</v>
      </c>
      <c r="D38" s="16" t="n">
        <v>5517</v>
      </c>
      <c r="E38" s="16" t="n">
        <v>4651</v>
      </c>
      <c r="F38" s="16" t="n">
        <v>3563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>
        <v>2200</v>
      </c>
      <c r="C40" s="16" t="n">
        <v>1604</v>
      </c>
      <c r="D40" s="16" t="n">
        <v>1095</v>
      </c>
      <c r="E40" s="16" t="n">
        <v>871</v>
      </c>
      <c r="F40" s="16" t="n">
        <v>995</v>
      </c>
    </row>
    <row r="41">
      <c r="A41" s="15" t="inlineStr">
        <is>
          <t>Kreditinstitutter</t>
        </is>
      </c>
      <c r="B41" s="16" t="n"/>
      <c r="C41" s="16" t="n"/>
      <c r="D41" s="16" t="n"/>
      <c r="E41" s="16" t="n">
        <v>3</v>
      </c>
      <c r="F41" s="16" t="n">
        <v>328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1532</v>
      </c>
      <c r="C43" s="16" t="n">
        <v>3017</v>
      </c>
      <c r="D43" s="16" t="n">
        <v>2282</v>
      </c>
      <c r="E43" s="16" t="n">
        <v>1484</v>
      </c>
      <c r="F43" s="16" t="n">
        <v>3191</v>
      </c>
    </row>
    <row r="44">
      <c r="A44" s="15" t="inlineStr">
        <is>
          <t>Gæld til tilknyttede virksomheder</t>
        </is>
      </c>
      <c r="B44" s="16" t="n">
        <v>38</v>
      </c>
      <c r="C44" s="16" t="n">
        <v>106</v>
      </c>
      <c r="D44" s="16" t="n">
        <v>92</v>
      </c>
      <c r="E44" s="16" t="n">
        <v>456</v>
      </c>
      <c r="F44" s="16" t="n">
        <v>107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0</v>
      </c>
      <c r="C46" s="16" t="n">
        <v>392</v>
      </c>
      <c r="D46" s="16" t="n">
        <v>0</v>
      </c>
      <c r="E46" s="16" t="n">
        <v>110</v>
      </c>
      <c r="F46" s="16" t="n">
        <v>0</v>
      </c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6286</v>
      </c>
      <c r="C48" s="16" t="n">
        <v>2958</v>
      </c>
      <c r="D48" s="16" t="n">
        <v>2806</v>
      </c>
      <c r="E48" s="16" t="n">
        <v>4118</v>
      </c>
      <c r="F48" s="16" t="n">
        <v>4538</v>
      </c>
    </row>
    <row r="49">
      <c r="A49" s="15" t="inlineStr">
        <is>
          <t>Periodeafgrænsningsposter (passiver)</t>
        </is>
      </c>
      <c r="B49" s="16" t="n"/>
      <c r="C49" s="16" t="n"/>
      <c r="D49" s="16" t="n"/>
      <c r="E49" s="16" t="n"/>
      <c r="F49" s="16" t="n"/>
    </row>
    <row r="50">
      <c r="A50" s="17" t="inlineStr">
        <is>
          <t>Kortfristede gældsforpligtelser</t>
        </is>
      </c>
      <c r="B50" s="16" t="n">
        <v>10057</v>
      </c>
      <c r="C50" s="16" t="n">
        <v>8077</v>
      </c>
      <c r="D50" s="16" t="n">
        <v>6274</v>
      </c>
      <c r="E50" s="16" t="n">
        <v>7042</v>
      </c>
      <c r="F50" s="16" t="n">
        <v>9157</v>
      </c>
    </row>
    <row r="51">
      <c r="A51" s="17" t="inlineStr">
        <is>
          <t>Gældsforpligtelser</t>
        </is>
      </c>
      <c r="B51" s="16" t="n">
        <v>17494</v>
      </c>
      <c r="C51" s="16" t="n">
        <v>14643</v>
      </c>
      <c r="D51" s="16" t="n">
        <v>11791</v>
      </c>
      <c r="E51" s="16" t="n">
        <v>11693</v>
      </c>
      <c r="F51" s="16" t="n">
        <v>12720</v>
      </c>
    </row>
    <row r="52">
      <c r="A52" s="17" t="inlineStr">
        <is>
          <t>Passiver</t>
        </is>
      </c>
      <c r="B52" s="16" t="n">
        <v>48006</v>
      </c>
      <c r="C52" s="16" t="n">
        <v>44745</v>
      </c>
      <c r="D52" s="16" t="n">
        <v>43136</v>
      </c>
      <c r="E52" s="16" t="n">
        <v>45606</v>
      </c>
      <c r="F52" s="16" t="n">
        <v>47497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Svaneke Bryghus A/S (CVR 28669070) — Regnskabs- og nøgletal (CVR: 28669070)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'res_raw_28669070'!$F$2</f>
        <v/>
      </c>
      <c r="C5" s="24">
        <f>'res_raw_28669070'!$E$2</f>
        <v/>
      </c>
      <c r="D5" s="24">
        <f>'res_raw_28669070'!$D$2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'res_raw_28669070'!$F$3</f>
        <v/>
      </c>
      <c r="C6" s="24">
        <f>'res_raw_28669070'!$E$3</f>
        <v/>
      </c>
      <c r="D6" s="24">
        <f>'res_raw_28669070'!$D$3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-'res_raw_28669070'!$F$4</f>
        <v/>
      </c>
      <c r="C7" s="24">
        <f>-'res_raw_28669070'!$E$4</f>
        <v/>
      </c>
      <c r="D7" s="24">
        <f>-'res_raw_28669070'!$D$4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-'res_raw_28669070'!$F$5</f>
        <v/>
      </c>
      <c r="C8" s="24">
        <f>-'res_raw_28669070'!$E$5</f>
        <v/>
      </c>
      <c r="D8" s="24">
        <f>-'res_raw_28669070'!$D$5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-'res_raw_28669070'!$F$7</f>
        <v/>
      </c>
      <c r="C10" s="24">
        <f>-'res_raw_28669070'!$E$7</f>
        <v/>
      </c>
      <c r="D10" s="24">
        <f>-'res_raw_28669070'!$D$7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-'res_raw_28669070'!$F$9</f>
        <v/>
      </c>
      <c r="C11" s="24">
        <f>-'res_raw_28669070'!$E$9</f>
        <v/>
      </c>
      <c r="D11" s="24">
        <f>-'res_raw_28669070'!$D$9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-'res_raw_28669070'!$F$10</f>
        <v/>
      </c>
      <c r="C12" s="24">
        <f>-'res_raw_28669070'!$E$10</f>
        <v/>
      </c>
      <c r="D12" s="24">
        <f>-'res_raw_28669070'!$D$10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N('res_raw_28669070'!$F$12)+N('res_raw_28669070'!$F$13)</f>
        <v/>
      </c>
      <c r="C14" s="24">
        <f>N('res_raw_28669070'!$E$12)+N('res_raw_28669070'!$E$13)</f>
        <v/>
      </c>
      <c r="D14" s="24">
        <f>N('res_raw_28669070'!$D$12)+N('res_raw_28669070'!$D$13)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-'res_raw_28669070'!$F$14</f>
        <v/>
      </c>
      <c r="C15" s="24">
        <f>-'res_raw_28669070'!$E$14</f>
        <v/>
      </c>
      <c r="D15" s="24">
        <f>-'res_raw_28669070'!$D$14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'balance_raw_28669070'!$F$8</f>
        <v/>
      </c>
      <c r="C19" s="24">
        <f>'balance_raw_28669070'!$E$8</f>
        <v/>
      </c>
      <c r="D19" s="24">
        <f>'balance_raw_28669070'!$D$8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'balance_raw_28669070'!$F$23</f>
        <v/>
      </c>
      <c r="C20" s="24">
        <f>'balance_raw_28669070'!$E$23</f>
        <v/>
      </c>
      <c r="D20" s="24">
        <f>'balance_raw_28669070'!$D$23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'balance_raw_28669070'!$F$31</f>
        <v/>
      </c>
      <c r="C23" s="24">
        <f>'balance_raw_28669070'!$E$31</f>
        <v/>
      </c>
      <c r="D23" s="24">
        <f>'balance_raw_28669070'!$D$31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'balance_raw_28669070'!$F$52-'balance_raw_28669070'!$F$31</f>
        <v/>
      </c>
      <c r="C24" s="24">
        <f>'balance_raw_28669070'!$E$52-'balance_raw_28669070'!$E$31</f>
        <v/>
      </c>
      <c r="D24" s="24">
        <f>'balance_raw_28669070'!$D$52-'balance_raw_28669070'!$D$31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'balance_raw_28669070'!$F$12</f>
        <v/>
      </c>
      <c r="C28" s="24">
        <f>'balance_raw_28669070'!$E$12</f>
        <v/>
      </c>
      <c r="D28" s="24">
        <f>'balance_raw_28669070'!$D$12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'balance_raw_28669070'!$F$13</f>
        <v/>
      </c>
      <c r="C29" s="24">
        <f>'balance_raw_28669070'!$E$13</f>
        <v/>
      </c>
      <c r="D29" s="24">
        <f>'balance_raw_28669070'!$D$13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'balance_raw_28669070'!$F$50</f>
        <v/>
      </c>
      <c r="C30" s="24">
        <f>'balance_raw_28669070'!$E$50</f>
        <v/>
      </c>
      <c r="D30" s="24">
        <f>'balance_raw_28669070'!$D$50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IF('balance_raw_28669070'!$F$24="","—",IF(ABS(B21-'balance_raw_28669070'!$F$24)&lt;=1,"✓ OK","❌ "&amp;TEXT(B21-'balance_raw_28669070'!$F$24,"+#,##0;-#,##0")&amp;" t.kr."))</f>
        <v/>
      </c>
      <c r="C61" s="29">
        <f>IF('balance_raw_28669070'!$E$24="","—",IF(ABS(C21-'balance_raw_28669070'!$E$24)&lt;=1,"✓ OK","❌ "&amp;TEXT(C21-'balance_raw_28669070'!$E$24,"+#,##0;-#,##0")&amp;" t.kr."))</f>
        <v/>
      </c>
      <c r="D61" s="29">
        <f>IF('balance_raw_28669070'!$D$24="","—",IF(ABS(D21-'balance_raw_28669070'!$D$24)&lt;=1,"✓ OK","❌ "&amp;TEXT(D21-'balance_raw_28669070'!$D$24,"+#,##0;-#,##0")&amp;"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IF('balance_raw_28669070'!$F$52="","—",IF(ABS(B25-'balance_raw_28669070'!$F$52)&lt;=1,"✓ OK","❌ "&amp;TEXT(B25-'balance_raw_28669070'!$F$52,"+#,##0;-#,##0")&amp;" t.kr."))</f>
        <v/>
      </c>
      <c r="C62" s="29">
        <f>IF('balance_raw_28669070'!$E$52="","—",IF(ABS(C25-'balance_raw_28669070'!$E$52)&lt;=1,"✓ OK","❌ "&amp;TEXT(C25-'balance_raw_28669070'!$E$52,"+#,##0;-#,##0")&amp;" t.kr."))</f>
        <v/>
      </c>
      <c r="D62" s="29">
        <f>IF('balance_raw_28669070'!$D$52="","—",IF(ABS(D25-'balance_raw_28669070'!$D$52)&lt;=1,"✓ OK","❌ "&amp;TEXT(D25-'balance_raw_28669070'!$D$52,"+#,##0;-#,##0")&amp;"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IF('res_raw_28669070'!$F$6="","—",IF(ABS(B9-'res_raw_28669070'!$F$6)&lt;=1,"✓ OK","❌ "&amp;TEXT(B9-'res_raw_28669070'!$F$6,"+#,##0;-#,##0")&amp;" t.kr."))</f>
        <v/>
      </c>
      <c r="C64" s="29">
        <f>IF('res_raw_28669070'!$E$6="","—",IF(ABS(C9-'res_raw_28669070'!$E$6)&lt;=1,"✓ OK","❌ "&amp;TEXT(C9-'res_raw_28669070'!$E$6,"+#,##0;-#,##0")&amp;" t.kr."))</f>
        <v/>
      </c>
      <c r="D64" s="29">
        <f>IF('res_raw_28669070'!$D$6="","—",IF(ABS(D9-'res_raw_28669070'!$D$6)&lt;=1,"✓ OK","❌ "&amp;TEXT(D9-'res_raw_28669070'!$D$6,"+#,##0;-#,##0")&amp;"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IF('res_raw_28669070'!$F$11="","—",IF(ABS(B13-'res_raw_28669070'!$F$11)&lt;=1,"✓ OK","❌ "&amp;TEXT(B13-'res_raw_28669070'!$F$11,"+#,##0;-#,##0")&amp;" t.kr."))</f>
        <v/>
      </c>
      <c r="C65" s="29">
        <f>IF('res_raw_28669070'!$E$11="","—",IF(ABS(C13-'res_raw_28669070'!$E$11)&lt;=1,"✓ OK","❌ "&amp;TEXT(C13-'res_raw_28669070'!$E$11,"+#,##0;-#,##0")&amp;" t.kr."))</f>
        <v/>
      </c>
      <c r="D65" s="29">
        <f>IF('res_raw_28669070'!$D$11="","—",IF(ABS(D13-'res_raw_28669070'!$D$11)&lt;=1,"✓ OK","❌ "&amp;TEXT(D13-'res_raw_28669070'!$D$11,"+#,##0;-#,##0")&amp;"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IF('res_raw_28669070'!$F$16="","—",IF(ABS(B16-'res_raw_28669070'!$F$16)&lt;=1,"✓ OK","❌ "&amp;TEXT(B16-'res_raw_28669070'!$F$16,"+#,##0;-#,##0")&amp;" t.kr."))</f>
        <v/>
      </c>
      <c r="C66" s="29">
        <f>IF('res_raw_28669070'!$E$16="","—",IF(ABS(C16-'res_raw_28669070'!$E$16)&lt;=1,"✓ OK","❌ "&amp;TEXT(C16-'res_raw_28669070'!$E$16,"+#,##0;-#,##0")&amp;" t.kr."))</f>
        <v/>
      </c>
      <c r="D66" s="29">
        <f>IF('res_raw_28669070'!$D$16="","—",IF(ABS(D16-'res_raw_28669070'!$D$16)&lt;=1,"✓ OK","❌ "&amp;TEXT(D16-'res_raw_28669070'!$D$16,"+#,##0;-#,##0")&amp;"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Svaneke Bryghus A/S (CVR 28669070)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>
        <v>527</v>
      </c>
      <c r="E3" s="35" t="n"/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2026-09-11T07:38:05Z</dcterms:created>
  <dcterms:modified xmlns:dcterms="http://purl.org/dc/terms/" xmlns:xsi="http://www.w3.org/2001/XMLSchema-instance" xsi:type="dcterms:W3CDTF">2026-09-11T07:38:05Z</dcterms:modified>
</cp:coreProperties>
</file>