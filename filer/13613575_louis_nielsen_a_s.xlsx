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3613575" sheetId="1" state="visible" r:id="rId1"/>
    <sheet xmlns:r="http://schemas.openxmlformats.org/officeDocument/2006/relationships" name="res_raw_13613575" sheetId="2" state="visible" r:id="rId2"/>
    <sheet xmlns:r="http://schemas.openxmlformats.org/officeDocument/2006/relationships" name="balance_raw_13613575" sheetId="3" state="visible" r:id="rId3"/>
    <sheet xmlns:r="http://schemas.openxmlformats.org/officeDocument/2006/relationships" name="pengestrom_raw_13613575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Louis Nielsen A/S (CVR 13613575) — Regnskabsanalyse – Resultatopgørelse &amp; Balance (t.kr.) · Klasse C-stor · Revision · Regnskabsår 1/3–28/2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(2022=100)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s="3" t="n">
        <v>2026</v>
      </c>
      <c r="G3" t="inlineStr"/>
      <c r="H3" s="3" t="n">
        <v>2022</v>
      </c>
      <c r="I3" s="3" t="n">
        <v>2023</v>
      </c>
      <c r="J3" s="3" t="n">
        <v>2024</v>
      </c>
      <c r="K3" s="3" t="n">
        <v>2025</v>
      </c>
      <c r="L3" s="3" t="n">
        <v>2026</v>
      </c>
    </row>
    <row r="4" ht="16" customHeight="1">
      <c r="A4" s="4" t="inlineStr">
        <is>
          <t>Nettoomsætning</t>
        </is>
      </c>
      <c r="B4" s="5">
        <f>'res_raw_13613575'!$B$2</f>
        <v/>
      </c>
      <c r="C4" s="5">
        <f>'res_raw_13613575'!$C$2</f>
        <v/>
      </c>
      <c r="D4" s="5">
        <f>'res_raw_13613575'!$D$2</f>
        <v/>
      </c>
      <c r="E4" s="5">
        <f>'res_raw_13613575'!$E$2</f>
        <v/>
      </c>
      <c r="F4" s="5">
        <f>'res_raw_13613575'!$F$2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'res_raw_13613575'!$B$3</f>
        <v/>
      </c>
      <c r="C5" s="8">
        <f>'res_raw_13613575'!$C$3</f>
        <v/>
      </c>
      <c r="D5" s="8">
        <f>'res_raw_13613575'!$D$3</f>
        <v/>
      </c>
      <c r="E5" s="8">
        <f>'res_raw_13613575'!$E$3</f>
        <v/>
      </c>
      <c r="F5" s="8">
        <f>'res_raw_13613575'!$F$3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'res_raw_13613575'!$B$4</f>
        <v/>
      </c>
      <c r="C6" s="5">
        <f>'res_raw_13613575'!$C$4</f>
        <v/>
      </c>
      <c r="D6" s="5">
        <f>'res_raw_13613575'!$D$4</f>
        <v/>
      </c>
      <c r="E6" s="5">
        <f>'res_raw_13613575'!$E$4</f>
        <v/>
      </c>
      <c r="F6" s="5">
        <f>'res_raw_13613575'!$F$4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'res_raw_13613575'!$B$5</f>
        <v/>
      </c>
      <c r="C7" s="8">
        <f>'res_raw_13613575'!$C$5</f>
        <v/>
      </c>
      <c r="D7" s="8">
        <f>'res_raw_13613575'!$D$5</f>
        <v/>
      </c>
      <c r="E7" s="8">
        <f>'res_raw_13613575'!$E$5</f>
        <v/>
      </c>
      <c r="F7" s="8">
        <f>'res_raw_13613575'!$F$5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'res_raw_13613575'!$B$6</f>
        <v/>
      </c>
      <c r="C8" s="11">
        <f>'res_raw_13613575'!$C$6</f>
        <v/>
      </c>
      <c r="D8" s="11">
        <f>'res_raw_13613575'!$D$6</f>
        <v/>
      </c>
      <c r="E8" s="11">
        <f>'res_raw_13613575'!$E$6</f>
        <v/>
      </c>
      <c r="F8" s="11">
        <f>'res_raw_13613575'!$F$6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'res_raw_13613575'!$B$7</f>
        <v/>
      </c>
      <c r="C9" s="8">
        <f>'res_raw_13613575'!$C$7</f>
        <v/>
      </c>
      <c r="D9" s="8">
        <f>'res_raw_13613575'!$D$7</f>
        <v/>
      </c>
      <c r="E9" s="8">
        <f>'res_raw_13613575'!$E$7</f>
        <v/>
      </c>
      <c r="F9" s="8">
        <f>'res_raw_13613575'!$F$7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'res_raw_13613575'!$B$9</f>
        <v/>
      </c>
      <c r="C11" s="8">
        <f>'res_raw_13613575'!$C$9</f>
        <v/>
      </c>
      <c r="D11" s="8">
        <f>'res_raw_13613575'!$D$9</f>
        <v/>
      </c>
      <c r="E11" s="8">
        <f>'res_raw_13613575'!$E$9</f>
        <v/>
      </c>
      <c r="F11" s="8">
        <f>'res_raw_13613575'!$F$9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'res_raw_13613575'!$B$10</f>
        <v/>
      </c>
      <c r="C12" s="5">
        <f>'res_raw_13613575'!$C$10</f>
        <v/>
      </c>
      <c r="D12" s="5">
        <f>'res_raw_13613575'!$D$10</f>
        <v/>
      </c>
      <c r="E12" s="5">
        <f>'res_raw_13613575'!$E$10</f>
        <v/>
      </c>
      <c r="F12" s="5">
        <f>'res_raw_13613575'!$F$10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'res_raw_13613575'!$B$11</f>
        <v/>
      </c>
      <c r="C13" s="11">
        <f>'res_raw_13613575'!$C$11</f>
        <v/>
      </c>
      <c r="D13" s="11">
        <f>'res_raw_13613575'!$D$11</f>
        <v/>
      </c>
      <c r="E13" s="11">
        <f>'res_raw_13613575'!$E$11</f>
        <v/>
      </c>
      <c r="F13" s="11">
        <f>'res_raw_13613575'!$F$11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'res_raw_13613575'!$B$12</f>
        <v/>
      </c>
      <c r="C14" s="5">
        <f>'res_raw_13613575'!$C$12</f>
        <v/>
      </c>
      <c r="D14" s="5">
        <f>'res_raw_13613575'!$D$12</f>
        <v/>
      </c>
      <c r="E14" s="5">
        <f>'res_raw_13613575'!$E$12</f>
        <v/>
      </c>
      <c r="F14" s="5">
        <f>'res_raw_13613575'!$F$12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'res_raw_13613575'!$B$13</f>
        <v/>
      </c>
      <c r="C15" s="8">
        <f>'res_raw_13613575'!$C$13</f>
        <v/>
      </c>
      <c r="D15" s="8">
        <f>'res_raw_13613575'!$D$13</f>
        <v/>
      </c>
      <c r="E15" s="8">
        <f>'res_raw_13613575'!$E$13</f>
        <v/>
      </c>
      <c r="F15" s="8">
        <f>'res_raw_13613575'!$F$13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'res_raw_13613575'!$B$14</f>
        <v/>
      </c>
      <c r="C16" s="5">
        <f>'res_raw_13613575'!$C$14</f>
        <v/>
      </c>
      <c r="D16" s="5">
        <f>'res_raw_13613575'!$D$14</f>
        <v/>
      </c>
      <c r="E16" s="5">
        <f>'res_raw_13613575'!$E$14</f>
        <v/>
      </c>
      <c r="F16" s="5">
        <f>'res_raw_13613575'!$F$14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'res_raw_13613575'!$B$15</f>
        <v/>
      </c>
      <c r="C17" s="11">
        <f>'res_raw_13613575'!$C$15</f>
        <v/>
      </c>
      <c r="D17" s="11">
        <f>'res_raw_13613575'!$D$15</f>
        <v/>
      </c>
      <c r="E17" s="11">
        <f>'res_raw_13613575'!$E$15</f>
        <v/>
      </c>
      <c r="F17" s="11">
        <f>'res_raw_13613575'!$F$15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'res_raw_13613575'!$B$16</f>
        <v/>
      </c>
      <c r="C18" s="11">
        <f>'res_raw_13613575'!$C$16</f>
        <v/>
      </c>
      <c r="D18" s="11">
        <f>'res_raw_13613575'!$D$16</f>
        <v/>
      </c>
      <c r="E18" s="11">
        <f>'res_raw_13613575'!$E$16</f>
        <v/>
      </c>
      <c r="F18" s="11">
        <f>'res_raw_13613575'!$F$16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'res_raw_13613575'!$B$17</f>
        <v/>
      </c>
      <c r="C19" s="8">
        <f>'res_raw_13613575'!$C$17</f>
        <v/>
      </c>
      <c r="D19" s="8">
        <f>'res_raw_13613575'!$D$17</f>
        <v/>
      </c>
      <c r="E19" s="8">
        <f>'res_raw_13613575'!$E$17</f>
        <v/>
      </c>
      <c r="F19" s="8">
        <f>'res_raw_13613575'!$F$17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'res_raw_13613575'!$B$18</f>
        <v/>
      </c>
      <c r="C20" s="11">
        <f>'res_raw_13613575'!$C$18</f>
        <v/>
      </c>
      <c r="D20" s="11">
        <f>'res_raw_13613575'!$D$18</f>
        <v/>
      </c>
      <c r="E20" s="11">
        <f>'res_raw_13613575'!$E$18</f>
        <v/>
      </c>
      <c r="F20" s="11">
        <f>'res_raw_13613575'!$F$18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s="3" t="n">
        <v>2026</v>
      </c>
      <c r="G22" t="inlineStr"/>
      <c r="H22" s="3" t="n">
        <v>2022</v>
      </c>
      <c r="I22" s="3" t="n">
        <v>2023</v>
      </c>
      <c r="J22" s="3" t="n">
        <v>2024</v>
      </c>
      <c r="K22" s="3" t="n">
        <v>2025</v>
      </c>
      <c r="L22" s="3" t="n">
        <v>2026</v>
      </c>
    </row>
    <row r="23" ht="16" customHeight="1">
      <c r="A23" s="7" t="inlineStr">
        <is>
          <t>Udviklingsprojekter</t>
        </is>
      </c>
      <c r="B23" s="8">
        <f>'balance_raw_13613575'!$B$2</f>
        <v/>
      </c>
      <c r="C23" s="8">
        <f>'balance_raw_13613575'!$C$2</f>
        <v/>
      </c>
      <c r="D23" s="8">
        <f>'balance_raw_13613575'!$D$2</f>
        <v/>
      </c>
      <c r="E23" s="8">
        <f>'balance_raw_13613575'!$E$2</f>
        <v/>
      </c>
      <c r="F23" s="8">
        <f>'balance_raw_13613575'!$F$2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'balance_raw_13613575'!$B$3</f>
        <v/>
      </c>
      <c r="C24" s="5">
        <f>'balance_raw_13613575'!$C$3</f>
        <v/>
      </c>
      <c r="D24" s="5">
        <f>'balance_raw_13613575'!$D$3</f>
        <v/>
      </c>
      <c r="E24" s="5">
        <f>'balance_raw_13613575'!$E$3</f>
        <v/>
      </c>
      <c r="F24" s="5">
        <f>'balance_raw_13613575'!$F$3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'balance_raw_13613575'!$B$4</f>
        <v/>
      </c>
      <c r="C25" s="8">
        <f>'balance_raw_13613575'!$C$4</f>
        <v/>
      </c>
      <c r="D25" s="8">
        <f>'balance_raw_13613575'!$D$4</f>
        <v/>
      </c>
      <c r="E25" s="8">
        <f>'balance_raw_13613575'!$E$4</f>
        <v/>
      </c>
      <c r="F25" s="8">
        <f>'balance_raw_13613575'!$F$4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'balance_raw_13613575'!$B$5</f>
        <v/>
      </c>
      <c r="C26" s="11">
        <f>'balance_raw_13613575'!$C$5</f>
        <v/>
      </c>
      <c r="D26" s="11">
        <f>'balance_raw_13613575'!$D$5</f>
        <v/>
      </c>
      <c r="E26" s="11">
        <f>'balance_raw_13613575'!$E$5</f>
        <v/>
      </c>
      <c r="F26" s="11">
        <f>'balance_raw_13613575'!$F$5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'balance_raw_13613575'!$B$6</f>
        <v/>
      </c>
      <c r="C27" s="8">
        <f>'balance_raw_13613575'!$C$6</f>
        <v/>
      </c>
      <c r="D27" s="8">
        <f>'balance_raw_13613575'!$D$6</f>
        <v/>
      </c>
      <c r="E27" s="8">
        <f>'balance_raw_13613575'!$E$6</f>
        <v/>
      </c>
      <c r="F27" s="8">
        <f>'balance_raw_13613575'!$F$6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'balance_raw_13613575'!$B$7</f>
        <v/>
      </c>
      <c r="C28" s="5">
        <f>'balance_raw_13613575'!$C$7</f>
        <v/>
      </c>
      <c r="D28" s="5">
        <f>'balance_raw_13613575'!$D$7</f>
        <v/>
      </c>
      <c r="E28" s="5">
        <f>'balance_raw_13613575'!$E$7</f>
        <v/>
      </c>
      <c r="F28" s="5">
        <f>'balance_raw_13613575'!$F$7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'balance_raw_13613575'!$B$8</f>
        <v/>
      </c>
      <c r="C29" s="8">
        <f>'balance_raw_13613575'!$C$8</f>
        <v/>
      </c>
      <c r="D29" s="8">
        <f>'balance_raw_13613575'!$D$8</f>
        <v/>
      </c>
      <c r="E29" s="8">
        <f>'balance_raw_13613575'!$E$8</f>
        <v/>
      </c>
      <c r="F29" s="8">
        <f>'balance_raw_13613575'!$F$8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'balance_raw_13613575'!$B$9</f>
        <v/>
      </c>
      <c r="C30" s="5">
        <f>'balance_raw_13613575'!$C$9</f>
        <v/>
      </c>
      <c r="D30" s="5">
        <f>'balance_raw_13613575'!$D$9</f>
        <v/>
      </c>
      <c r="E30" s="5">
        <f>'balance_raw_13613575'!$E$9</f>
        <v/>
      </c>
      <c r="F30" s="5">
        <f>'balance_raw_13613575'!$F$9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'balance_raw_13613575'!$B$10</f>
        <v/>
      </c>
      <c r="C31" s="8">
        <f>'balance_raw_13613575'!$C$10</f>
        <v/>
      </c>
      <c r="D31" s="8">
        <f>'balance_raw_13613575'!$D$10</f>
        <v/>
      </c>
      <c r="E31" s="8">
        <f>'balance_raw_13613575'!$E$10</f>
        <v/>
      </c>
      <c r="F31" s="8">
        <f>'balance_raw_13613575'!$F$10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'balance_raw_13613575'!$B$11</f>
        <v/>
      </c>
      <c r="C32" s="11">
        <f>'balance_raw_13613575'!$C$11</f>
        <v/>
      </c>
      <c r="D32" s="11">
        <f>'balance_raw_13613575'!$D$11</f>
        <v/>
      </c>
      <c r="E32" s="11">
        <f>'balance_raw_13613575'!$E$11</f>
        <v/>
      </c>
      <c r="F32" s="11">
        <f>'balance_raw_13613575'!$F$11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'balance_raw_13613575'!$B$12</f>
        <v/>
      </c>
      <c r="C33" s="8">
        <f>'balance_raw_13613575'!$C$12</f>
        <v/>
      </c>
      <c r="D33" s="8">
        <f>'balance_raw_13613575'!$D$12</f>
        <v/>
      </c>
      <c r="E33" s="8">
        <f>'balance_raw_13613575'!$E$12</f>
        <v/>
      </c>
      <c r="F33" s="8">
        <f>'balance_raw_13613575'!$F$12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'balance_raw_13613575'!$B$13</f>
        <v/>
      </c>
      <c r="C34" s="5">
        <f>'balance_raw_13613575'!$C$13</f>
        <v/>
      </c>
      <c r="D34" s="5">
        <f>'balance_raw_13613575'!$D$13</f>
        <v/>
      </c>
      <c r="E34" s="5">
        <f>'balance_raw_13613575'!$E$13</f>
        <v/>
      </c>
      <c r="F34" s="5">
        <f>'balance_raw_13613575'!$F$13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'balance_raw_13613575'!$B$14</f>
        <v/>
      </c>
      <c r="C35" s="11">
        <f>'balance_raw_13613575'!$C$14</f>
        <v/>
      </c>
      <c r="D35" s="11">
        <f>'balance_raw_13613575'!$D$14</f>
        <v/>
      </c>
      <c r="E35" s="11">
        <f>'balance_raw_13613575'!$E$14</f>
        <v/>
      </c>
      <c r="F35" s="11">
        <f>'balance_raw_13613575'!$F$14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'balance_raw_13613575'!$B$15</f>
        <v/>
      </c>
      <c r="C36" s="11">
        <f>'balance_raw_13613575'!$C$15</f>
        <v/>
      </c>
      <c r="D36" s="11">
        <f>'balance_raw_13613575'!$D$15</f>
        <v/>
      </c>
      <c r="E36" s="11">
        <f>'balance_raw_13613575'!$E$15</f>
        <v/>
      </c>
      <c r="F36" s="11">
        <f>'balance_raw_13613575'!$F$15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'balance_raw_13613575'!$B$16</f>
        <v/>
      </c>
      <c r="C37" s="8">
        <f>'balance_raw_13613575'!$C$16</f>
        <v/>
      </c>
      <c r="D37" s="8">
        <f>'balance_raw_13613575'!$D$16</f>
        <v/>
      </c>
      <c r="E37" s="8">
        <f>'balance_raw_13613575'!$E$16</f>
        <v/>
      </c>
      <c r="F37" s="8">
        <f>'balance_raw_13613575'!$F$16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'balance_raw_13613575'!$B$17</f>
        <v/>
      </c>
      <c r="C38" s="5">
        <f>'balance_raw_13613575'!$C$17</f>
        <v/>
      </c>
      <c r="D38" s="5">
        <f>'balance_raw_13613575'!$D$17</f>
        <v/>
      </c>
      <c r="E38" s="5">
        <f>'balance_raw_13613575'!$E$17</f>
        <v/>
      </c>
      <c r="F38" s="5">
        <f>'balance_raw_13613575'!$F$17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'balance_raw_13613575'!$B$18</f>
        <v/>
      </c>
      <c r="C39" s="8">
        <f>'balance_raw_13613575'!$C$18</f>
        <v/>
      </c>
      <c r="D39" s="8">
        <f>'balance_raw_13613575'!$D$18</f>
        <v/>
      </c>
      <c r="E39" s="8">
        <f>'balance_raw_13613575'!$E$18</f>
        <v/>
      </c>
      <c r="F39" s="8">
        <f>'balance_raw_13613575'!$F$18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'balance_raw_13613575'!$B$19</f>
        <v/>
      </c>
      <c r="C40" s="11">
        <f>'balance_raw_13613575'!$C$19</f>
        <v/>
      </c>
      <c r="D40" s="11">
        <f>'balance_raw_13613575'!$D$19</f>
        <v/>
      </c>
      <c r="E40" s="11">
        <f>'balance_raw_13613575'!$E$19</f>
        <v/>
      </c>
      <c r="F40" s="11">
        <f>'balance_raw_13613575'!$F$19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'balance_raw_13613575'!$B$20</f>
        <v/>
      </c>
      <c r="C41" s="8">
        <f>'balance_raw_13613575'!$C$20</f>
        <v/>
      </c>
      <c r="D41" s="8">
        <f>'balance_raw_13613575'!$D$20</f>
        <v/>
      </c>
      <c r="E41" s="8">
        <f>'balance_raw_13613575'!$E$20</f>
        <v/>
      </c>
      <c r="F41" s="8">
        <f>'balance_raw_13613575'!$F$20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'balance_raw_13613575'!$B$21</f>
        <v/>
      </c>
      <c r="C42" s="5">
        <f>'balance_raw_13613575'!$C$21</f>
        <v/>
      </c>
      <c r="D42" s="5">
        <f>'balance_raw_13613575'!$D$21</f>
        <v/>
      </c>
      <c r="E42" s="5">
        <f>'balance_raw_13613575'!$E$21</f>
        <v/>
      </c>
      <c r="F42" s="5">
        <f>'balance_raw_13613575'!$F$21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'balance_raw_13613575'!$B$22</f>
        <v/>
      </c>
      <c r="C43" s="8">
        <f>'balance_raw_13613575'!$C$22</f>
        <v/>
      </c>
      <c r="D43" s="8">
        <f>'balance_raw_13613575'!$D$22</f>
        <v/>
      </c>
      <c r="E43" s="8">
        <f>'balance_raw_13613575'!$E$22</f>
        <v/>
      </c>
      <c r="F43" s="8">
        <f>'balance_raw_13613575'!$F$22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'balance_raw_13613575'!$B$23</f>
        <v/>
      </c>
      <c r="C44" s="5">
        <f>'balance_raw_13613575'!$C$23</f>
        <v/>
      </c>
      <c r="D44" s="5">
        <f>'balance_raw_13613575'!$D$23</f>
        <v/>
      </c>
      <c r="E44" s="5">
        <f>'balance_raw_13613575'!$E$23</f>
        <v/>
      </c>
      <c r="F44" s="5">
        <f>'balance_raw_13613575'!$F$23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'balance_raw_13613575'!$B$24</f>
        <v/>
      </c>
      <c r="C45" s="8">
        <f>'balance_raw_13613575'!$C$24</f>
        <v/>
      </c>
      <c r="D45" s="8">
        <f>'balance_raw_13613575'!$D$24</f>
        <v/>
      </c>
      <c r="E45" s="8">
        <f>'balance_raw_13613575'!$E$24</f>
        <v/>
      </c>
      <c r="F45" s="8">
        <f>'balance_raw_13613575'!$F$24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'balance_raw_13613575'!$B$25</f>
        <v/>
      </c>
      <c r="C46" s="5">
        <f>'balance_raw_13613575'!$C$25</f>
        <v/>
      </c>
      <c r="D46" s="5">
        <f>'balance_raw_13613575'!$D$25</f>
        <v/>
      </c>
      <c r="E46" s="5">
        <f>'balance_raw_13613575'!$E$25</f>
        <v/>
      </c>
      <c r="F46" s="5">
        <f>'balance_raw_13613575'!$F$25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'balance_raw_13613575'!$B$26</f>
        <v/>
      </c>
      <c r="C47" s="8">
        <f>'balance_raw_13613575'!$C$26</f>
        <v/>
      </c>
      <c r="D47" s="8">
        <f>'balance_raw_13613575'!$D$26</f>
        <v/>
      </c>
      <c r="E47" s="8">
        <f>'balance_raw_13613575'!$E$26</f>
        <v/>
      </c>
      <c r="F47" s="8">
        <f>'balance_raw_13613575'!$F$26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'balance_raw_13613575'!$B$27</f>
        <v/>
      </c>
      <c r="C48" s="11">
        <f>'balance_raw_13613575'!$C$27</f>
        <v/>
      </c>
      <c r="D48" s="11">
        <f>'balance_raw_13613575'!$D$27</f>
        <v/>
      </c>
      <c r="E48" s="11">
        <f>'balance_raw_13613575'!$E$27</f>
        <v/>
      </c>
      <c r="F48" s="11">
        <f>'balance_raw_13613575'!$F$27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'balance_raw_13613575'!$B$28</f>
        <v/>
      </c>
      <c r="C49" s="8">
        <f>'balance_raw_13613575'!$C$28</f>
        <v/>
      </c>
      <c r="D49" s="8">
        <f>'balance_raw_13613575'!$D$28</f>
        <v/>
      </c>
      <c r="E49" s="8">
        <f>'balance_raw_13613575'!$E$28</f>
        <v/>
      </c>
      <c r="F49" s="8">
        <f>'balance_raw_13613575'!$F$28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'balance_raw_13613575'!$B$29</f>
        <v/>
      </c>
      <c r="C50" s="5">
        <f>'balance_raw_13613575'!$C$29</f>
        <v/>
      </c>
      <c r="D50" s="5">
        <f>'balance_raw_13613575'!$D$29</f>
        <v/>
      </c>
      <c r="E50" s="5">
        <f>'balance_raw_13613575'!$E$29</f>
        <v/>
      </c>
      <c r="F50" s="5">
        <f>'balance_raw_13613575'!$F$29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'balance_raw_13613575'!$B$30</f>
        <v/>
      </c>
      <c r="C51" s="11">
        <f>'balance_raw_13613575'!$C$30</f>
        <v/>
      </c>
      <c r="D51" s="11">
        <f>'balance_raw_13613575'!$D$30</f>
        <v/>
      </c>
      <c r="E51" s="11">
        <f>'balance_raw_13613575'!$E$30</f>
        <v/>
      </c>
      <c r="F51" s="11">
        <f>'balance_raw_13613575'!$F$30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'balance_raw_13613575'!$B$31</f>
        <v/>
      </c>
      <c r="C52" s="11">
        <f>'balance_raw_13613575'!$C$31</f>
        <v/>
      </c>
      <c r="D52" s="11">
        <f>'balance_raw_13613575'!$D$31</f>
        <v/>
      </c>
      <c r="E52" s="11">
        <f>'balance_raw_13613575'!$E$31</f>
        <v/>
      </c>
      <c r="F52" s="11">
        <f>'balance_raw_13613575'!$F$31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2022</v>
      </c>
      <c r="C54" s="3" t="n">
        <v>2023</v>
      </c>
      <c r="D54" s="3" t="n">
        <v>2024</v>
      </c>
      <c r="E54" s="3" t="n">
        <v>2025</v>
      </c>
      <c r="F54" s="3" t="n">
        <v>2026</v>
      </c>
      <c r="G54" t="inlineStr"/>
      <c r="H54" s="3" t="n">
        <v>2022</v>
      </c>
      <c r="I54" s="3" t="n">
        <v>2023</v>
      </c>
      <c r="J54" s="3" t="n">
        <v>2024</v>
      </c>
      <c r="K54" s="3" t="n">
        <v>2025</v>
      </c>
      <c r="L54" s="3" t="n">
        <v>2026</v>
      </c>
    </row>
    <row r="55" ht="16" customHeight="1">
      <c r="A55" s="7" t="inlineStr">
        <is>
          <t>Selskabskapital</t>
        </is>
      </c>
      <c r="B55" s="8">
        <f>'balance_raw_13613575'!$B$32</f>
        <v/>
      </c>
      <c r="C55" s="8">
        <f>'balance_raw_13613575'!$C$32</f>
        <v/>
      </c>
      <c r="D55" s="8">
        <f>'balance_raw_13613575'!$D$32</f>
        <v/>
      </c>
      <c r="E55" s="8">
        <f>'balance_raw_13613575'!$E$32</f>
        <v/>
      </c>
      <c r="F55" s="8">
        <f>'balance_raw_13613575'!$F$32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'balance_raw_13613575'!$B$33</f>
        <v/>
      </c>
      <c r="C56" s="5">
        <f>'balance_raw_13613575'!$C$33</f>
        <v/>
      </c>
      <c r="D56" s="5">
        <f>'balance_raw_13613575'!$D$33</f>
        <v/>
      </c>
      <c r="E56" s="5">
        <f>'balance_raw_13613575'!$E$33</f>
        <v/>
      </c>
      <c r="F56" s="5">
        <f>'balance_raw_13613575'!$F$33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'balance_raw_13613575'!$B$34</f>
        <v/>
      </c>
      <c r="C57" s="8">
        <f>'balance_raw_13613575'!$C$34</f>
        <v/>
      </c>
      <c r="D57" s="8">
        <f>'balance_raw_13613575'!$D$34</f>
        <v/>
      </c>
      <c r="E57" s="8">
        <f>'balance_raw_13613575'!$E$34</f>
        <v/>
      </c>
      <c r="F57" s="8">
        <f>'balance_raw_13613575'!$F$34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'balance_raw_13613575'!$B$35</f>
        <v/>
      </c>
      <c r="C58" s="5">
        <f>'balance_raw_13613575'!$C$35</f>
        <v/>
      </c>
      <c r="D58" s="5">
        <f>'balance_raw_13613575'!$D$35</f>
        <v/>
      </c>
      <c r="E58" s="5">
        <f>'balance_raw_13613575'!$E$35</f>
        <v/>
      </c>
      <c r="F58" s="5">
        <f>'balance_raw_13613575'!$F$35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'balance_raw_13613575'!$B$36</f>
        <v/>
      </c>
      <c r="C59" s="8">
        <f>'balance_raw_13613575'!$C$36</f>
        <v/>
      </c>
      <c r="D59" s="8">
        <f>'balance_raw_13613575'!$D$36</f>
        <v/>
      </c>
      <c r="E59" s="8">
        <f>'balance_raw_13613575'!$E$36</f>
        <v/>
      </c>
      <c r="F59" s="8">
        <f>'balance_raw_13613575'!$F$36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'balance_raw_13613575'!$B$37</f>
        <v/>
      </c>
      <c r="C60" s="5">
        <f>'balance_raw_13613575'!$C$37</f>
        <v/>
      </c>
      <c r="D60" s="5">
        <f>'balance_raw_13613575'!$D$37</f>
        <v/>
      </c>
      <c r="E60" s="5">
        <f>'balance_raw_13613575'!$E$37</f>
        <v/>
      </c>
      <c r="F60" s="5">
        <f>'balance_raw_13613575'!$F$37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'balance_raw_13613575'!$B$38</f>
        <v/>
      </c>
      <c r="C61" s="11">
        <f>'balance_raw_13613575'!$C$38</f>
        <v/>
      </c>
      <c r="D61" s="11">
        <f>'balance_raw_13613575'!$D$38</f>
        <v/>
      </c>
      <c r="E61" s="11">
        <f>'balance_raw_13613575'!$E$38</f>
        <v/>
      </c>
      <c r="F61" s="11">
        <f>'balance_raw_13613575'!$F$38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'balance_raw_13613575'!$B$39</f>
        <v/>
      </c>
      <c r="C62" s="5">
        <f>'balance_raw_13613575'!$C$39</f>
        <v/>
      </c>
      <c r="D62" s="5">
        <f>'balance_raw_13613575'!$D$39</f>
        <v/>
      </c>
      <c r="E62" s="5">
        <f>'balance_raw_13613575'!$E$39</f>
        <v/>
      </c>
      <c r="F62" s="5">
        <f>'balance_raw_13613575'!$F$39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'balance_raw_13613575'!$B$40</f>
        <v/>
      </c>
      <c r="C63" s="11">
        <f>'balance_raw_13613575'!$C$40</f>
        <v/>
      </c>
      <c r="D63" s="11">
        <f>'balance_raw_13613575'!$D$40</f>
        <v/>
      </c>
      <c r="E63" s="11">
        <f>'balance_raw_13613575'!$E$40</f>
        <v/>
      </c>
      <c r="F63" s="11">
        <f>'balance_raw_13613575'!$F$40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'balance_raw_13613575'!$B$41</f>
        <v/>
      </c>
      <c r="C64" s="5">
        <f>'balance_raw_13613575'!$C$41</f>
        <v/>
      </c>
      <c r="D64" s="5">
        <f>'balance_raw_13613575'!$D$41</f>
        <v/>
      </c>
      <c r="E64" s="5">
        <f>'balance_raw_13613575'!$E$41</f>
        <v/>
      </c>
      <c r="F64" s="5">
        <f>'balance_raw_13613575'!$F$41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'balance_raw_13613575'!$B$42</f>
        <v/>
      </c>
      <c r="C65" s="8">
        <f>'balance_raw_13613575'!$C$42</f>
        <v/>
      </c>
      <c r="D65" s="8">
        <f>'balance_raw_13613575'!$D$42</f>
        <v/>
      </c>
      <c r="E65" s="8">
        <f>'balance_raw_13613575'!$E$42</f>
        <v/>
      </c>
      <c r="F65" s="8">
        <f>'balance_raw_13613575'!$F$42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'balance_raw_13613575'!$B$43</f>
        <v/>
      </c>
      <c r="C66" s="5">
        <f>'balance_raw_13613575'!$C$43</f>
        <v/>
      </c>
      <c r="D66" s="5">
        <f>'balance_raw_13613575'!$D$43</f>
        <v/>
      </c>
      <c r="E66" s="5">
        <f>'balance_raw_13613575'!$E$43</f>
        <v/>
      </c>
      <c r="F66" s="5">
        <f>'balance_raw_13613575'!$F$43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'balance_raw_13613575'!$B$44</f>
        <v/>
      </c>
      <c r="C67" s="8">
        <f>'balance_raw_13613575'!$C$44</f>
        <v/>
      </c>
      <c r="D67" s="8">
        <f>'balance_raw_13613575'!$D$44</f>
        <v/>
      </c>
      <c r="E67" s="8">
        <f>'balance_raw_13613575'!$E$44</f>
        <v/>
      </c>
      <c r="F67" s="8">
        <f>'balance_raw_13613575'!$F$44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'balance_raw_13613575'!$B$45</f>
        <v/>
      </c>
      <c r="C68" s="11">
        <f>'balance_raw_13613575'!$C$45</f>
        <v/>
      </c>
      <c r="D68" s="11">
        <f>'balance_raw_13613575'!$D$45</f>
        <v/>
      </c>
      <c r="E68" s="11">
        <f>'balance_raw_13613575'!$E$45</f>
        <v/>
      </c>
      <c r="F68" s="11">
        <f>'balance_raw_13613575'!$F$45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'balance_raw_13613575'!$B$46</f>
        <v/>
      </c>
      <c r="C69" s="8">
        <f>'balance_raw_13613575'!$C$46</f>
        <v/>
      </c>
      <c r="D69" s="8">
        <f>'balance_raw_13613575'!$D$46</f>
        <v/>
      </c>
      <c r="E69" s="8">
        <f>'balance_raw_13613575'!$E$46</f>
        <v/>
      </c>
      <c r="F69" s="8">
        <f>'balance_raw_13613575'!$F$46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'balance_raw_13613575'!$B$47</f>
        <v/>
      </c>
      <c r="C70" s="5">
        <f>'balance_raw_13613575'!$C$47</f>
        <v/>
      </c>
      <c r="D70" s="5">
        <f>'balance_raw_13613575'!$D$47</f>
        <v/>
      </c>
      <c r="E70" s="5">
        <f>'balance_raw_13613575'!$E$47</f>
        <v/>
      </c>
      <c r="F70" s="5">
        <f>'balance_raw_13613575'!$F$47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'balance_raw_13613575'!$B$48</f>
        <v/>
      </c>
      <c r="C71" s="8">
        <f>'balance_raw_13613575'!$C$48</f>
        <v/>
      </c>
      <c r="D71" s="8">
        <f>'balance_raw_13613575'!$D$48</f>
        <v/>
      </c>
      <c r="E71" s="8">
        <f>'balance_raw_13613575'!$E$48</f>
        <v/>
      </c>
      <c r="F71" s="8">
        <f>'balance_raw_13613575'!$F$48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'balance_raw_13613575'!$B$49</f>
        <v/>
      </c>
      <c r="C72" s="5">
        <f>'balance_raw_13613575'!$C$49</f>
        <v/>
      </c>
      <c r="D72" s="5">
        <f>'balance_raw_13613575'!$D$49</f>
        <v/>
      </c>
      <c r="E72" s="5">
        <f>'balance_raw_13613575'!$E$49</f>
        <v/>
      </c>
      <c r="F72" s="5">
        <f>'balance_raw_13613575'!$F$49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'balance_raw_13613575'!$B$50</f>
        <v/>
      </c>
      <c r="C73" s="8">
        <f>'balance_raw_13613575'!$C$50</f>
        <v/>
      </c>
      <c r="D73" s="8">
        <f>'balance_raw_13613575'!$D$50</f>
        <v/>
      </c>
      <c r="E73" s="8">
        <f>'balance_raw_13613575'!$E$50</f>
        <v/>
      </c>
      <c r="F73" s="8">
        <f>'balance_raw_13613575'!$F$50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'balance_raw_13613575'!$B$51</f>
        <v/>
      </c>
      <c r="C74" s="5">
        <f>'balance_raw_13613575'!$C$51</f>
        <v/>
      </c>
      <c r="D74" s="5">
        <f>'balance_raw_13613575'!$D$51</f>
        <v/>
      </c>
      <c r="E74" s="5">
        <f>'balance_raw_13613575'!$E$51</f>
        <v/>
      </c>
      <c r="F74" s="5">
        <f>'balance_raw_13613575'!$F$51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'balance_raw_13613575'!$B$52</f>
        <v/>
      </c>
      <c r="C75" s="8">
        <f>'balance_raw_13613575'!$C$52</f>
        <v/>
      </c>
      <c r="D75" s="8">
        <f>'balance_raw_13613575'!$D$52</f>
        <v/>
      </c>
      <c r="E75" s="8">
        <f>'balance_raw_13613575'!$E$52</f>
        <v/>
      </c>
      <c r="F75" s="8">
        <f>'balance_raw_13613575'!$F$52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'balance_raw_13613575'!$B$53</f>
        <v/>
      </c>
      <c r="C76" s="5">
        <f>'balance_raw_13613575'!$C$53</f>
        <v/>
      </c>
      <c r="D76" s="5">
        <f>'balance_raw_13613575'!$D$53</f>
        <v/>
      </c>
      <c r="E76" s="5">
        <f>'balance_raw_13613575'!$E$53</f>
        <v/>
      </c>
      <c r="F76" s="5">
        <f>'balance_raw_13613575'!$F$53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'balance_raw_13613575'!$B$54</f>
        <v/>
      </c>
      <c r="C77" s="8">
        <f>'balance_raw_13613575'!$C$54</f>
        <v/>
      </c>
      <c r="D77" s="8">
        <f>'balance_raw_13613575'!$D$54</f>
        <v/>
      </c>
      <c r="E77" s="8">
        <f>'balance_raw_13613575'!$E$54</f>
        <v/>
      </c>
      <c r="F77" s="8">
        <f>'balance_raw_13613575'!$F$54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'balance_raw_13613575'!$B$55</f>
        <v/>
      </c>
      <c r="C78" s="5">
        <f>'balance_raw_13613575'!$C$55</f>
        <v/>
      </c>
      <c r="D78" s="5">
        <f>'balance_raw_13613575'!$D$55</f>
        <v/>
      </c>
      <c r="E78" s="5">
        <f>'balance_raw_13613575'!$E$55</f>
        <v/>
      </c>
      <c r="F78" s="5">
        <f>'balance_raw_13613575'!$F$55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'balance_raw_13613575'!$B$56</f>
        <v/>
      </c>
      <c r="C79" s="8">
        <f>'balance_raw_13613575'!$C$56</f>
        <v/>
      </c>
      <c r="D79" s="8">
        <f>'balance_raw_13613575'!$D$56</f>
        <v/>
      </c>
      <c r="E79" s="8">
        <f>'balance_raw_13613575'!$E$56</f>
        <v/>
      </c>
      <c r="F79" s="8">
        <f>'balance_raw_13613575'!$F$56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'balance_raw_13613575'!$B$57</f>
        <v/>
      </c>
      <c r="C80" s="11">
        <f>'balance_raw_13613575'!$C$57</f>
        <v/>
      </c>
      <c r="D80" s="11">
        <f>'balance_raw_13613575'!$D$57</f>
        <v/>
      </c>
      <c r="E80" s="11">
        <f>'balance_raw_13613575'!$E$57</f>
        <v/>
      </c>
      <c r="F80" s="11">
        <f>'balance_raw_13613575'!$F$57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'balance_raw_13613575'!$B$58</f>
        <v/>
      </c>
      <c r="C81" s="11">
        <f>'balance_raw_13613575'!$C$58</f>
        <v/>
      </c>
      <c r="D81" s="11">
        <f>'balance_raw_13613575'!$D$58</f>
        <v/>
      </c>
      <c r="E81" s="11">
        <f>'balance_raw_13613575'!$E$58</f>
        <v/>
      </c>
      <c r="F81" s="11">
        <f>'balance_raw_13613575'!$F$58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'balance_raw_13613575'!$B$59</f>
        <v/>
      </c>
      <c r="C82" s="11">
        <f>'balance_raw_13613575'!$C$59</f>
        <v/>
      </c>
      <c r="D82" s="11">
        <f>'balance_raw_13613575'!$D$59</f>
        <v/>
      </c>
      <c r="E82" s="11">
        <f>'balance_raw_13613575'!$E$59</f>
        <v/>
      </c>
      <c r="F82" s="11">
        <f>'balance_raw_13613575'!$F$59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2022</v>
      </c>
      <c r="C84" s="3" t="n">
        <v>2023</v>
      </c>
      <c r="D84" s="3" t="n">
        <v>2024</v>
      </c>
      <c r="E84" s="3" t="n">
        <v>2025</v>
      </c>
      <c r="F84" s="3" t="n">
        <v>2026</v>
      </c>
    </row>
    <row r="85" ht="16" customHeight="1">
      <c r="A85" s="7" t="inlineStr">
        <is>
          <t>Gns. antal medarbejdere</t>
        </is>
      </c>
      <c r="B85" s="8">
        <f>'res_raw_13613575'!$B$19</f>
        <v/>
      </c>
      <c r="C85" s="8">
        <f>'res_raw_13613575'!$C$19</f>
        <v/>
      </c>
      <c r="D85" s="8">
        <f>'res_raw_13613575'!$D$19</f>
        <v/>
      </c>
      <c r="E85" s="8">
        <f>'res_raw_13613575'!$E$19</f>
        <v/>
      </c>
      <c r="F85" s="8">
        <f>'res_raw_13613575'!$F$19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'res_raw_13613575'!$B$20</f>
        <v/>
      </c>
      <c r="C86" s="5">
        <f>'res_raw_13613575'!$C$20</f>
        <v/>
      </c>
      <c r="D86" s="5">
        <f>'res_raw_13613575'!$D$20</f>
        <v/>
      </c>
      <c r="E86" s="5">
        <f>'res_raw_13613575'!$E$20</f>
        <v/>
      </c>
      <c r="F86" s="5">
        <f>'res_raw_13613575'!$F$20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2022</v>
      </c>
      <c r="C88" s="3" t="n">
        <v>2023</v>
      </c>
      <c r="D88" s="3" t="n">
        <v>2024</v>
      </c>
      <c r="E88" s="3" t="n">
        <v>2025</v>
      </c>
      <c r="F88" s="3" t="n">
        <v>2026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'pengestrom_raw_13613575'!$B$2</f>
        <v/>
      </c>
      <c r="C102" s="17">
        <f>'pengestrom_raw_13613575'!$C$2</f>
        <v/>
      </c>
      <c r="D102" s="17">
        <f>'pengestrom_raw_13613575'!$D$2</f>
        <v/>
      </c>
      <c r="E102" s="17">
        <f>'pengestrom_raw_13613575'!$E$2</f>
        <v/>
      </c>
      <c r="F102" s="17">
        <f>'pengestrom_raw_13613575'!$F$2</f>
        <v/>
      </c>
    </row>
    <row r="103">
      <c r="A103" s="16" t="inlineStr">
        <is>
          <t>Pengestrømme fra investeringsaktivitet</t>
        </is>
      </c>
      <c r="B103" s="17">
        <f>'pengestrom_raw_13613575'!$B$3</f>
        <v/>
      </c>
      <c r="C103" s="17">
        <f>'pengestrom_raw_13613575'!$C$3</f>
        <v/>
      </c>
      <c r="D103" s="17">
        <f>'pengestrom_raw_13613575'!$D$3</f>
        <v/>
      </c>
      <c r="E103" s="17">
        <f>'pengestrom_raw_13613575'!$E$3</f>
        <v/>
      </c>
      <c r="F103" s="17">
        <f>'pengestrom_raw_13613575'!$F$3</f>
        <v/>
      </c>
    </row>
    <row r="104">
      <c r="A104" s="16" t="inlineStr">
        <is>
          <t>Pengestrømme fra finansieringsaktivitet</t>
        </is>
      </c>
      <c r="B104" s="17">
        <f>'pengestrom_raw_13613575'!$B$4</f>
        <v/>
      </c>
      <c r="C104" s="17">
        <f>'pengestrom_raw_13613575'!$C$4</f>
        <v/>
      </c>
      <c r="D104" s="17">
        <f>'pengestrom_raw_13613575'!$D$4</f>
        <v/>
      </c>
      <c r="E104" s="17">
        <f>'pengestrom_raw_13613575'!$E$4</f>
        <v/>
      </c>
      <c r="F104" s="17">
        <f>'pengestrom_raw_13613575'!$F$4</f>
        <v/>
      </c>
    </row>
    <row r="105">
      <c r="A105" s="16" t="inlineStr">
        <is>
          <t>Årets pengestrøm (rapporteret)</t>
        </is>
      </c>
      <c r="B105" s="17">
        <f>'pengestrom_raw_13613575'!$B$5</f>
        <v/>
      </c>
      <c r="C105" s="17">
        <f>'pengestrom_raw_13613575'!$C$5</f>
        <v/>
      </c>
      <c r="D105" s="17">
        <f>'pengestrom_raw_13613575'!$D$5</f>
        <v/>
      </c>
      <c r="E105" s="17">
        <f>'pengestrom_raw_13613575'!$E$5</f>
        <v/>
      </c>
      <c r="F105" s="17">
        <f>'pengestrom_raw_13613575'!$F$5</f>
        <v/>
      </c>
    </row>
    <row r="106">
      <c r="A106" s="16" t="inlineStr">
        <is>
          <t>Krydstjek: drift + inv. + fin. = årets pengestrøm</t>
        </is>
      </c>
      <c r="B106">
        <f>IF(ABS(('pengestrom_raw_13613575'!$B$2+'pengestrom_raw_13613575'!$B$3+'pengestrom_raw_13613575'!$B$4)-'pengestrom_raw_13613575'!$B$5)&lt;=2,"✓","⚠ "&amp;TEXT(('pengestrom_raw_13613575'!$B$2+'pengestrom_raw_13613575'!$B$3+'pengestrom_raw_13613575'!$B$4)-'pengestrom_raw_13613575'!$B$5,"+#,##0;-#,##0"))</f>
        <v/>
      </c>
      <c r="C106">
        <f>IF(ABS(('pengestrom_raw_13613575'!$C$2+'pengestrom_raw_13613575'!$C$3+'pengestrom_raw_13613575'!$C$4)-'pengestrom_raw_13613575'!$C$5)&lt;=2,"✓","⚠ "&amp;TEXT(('pengestrom_raw_13613575'!$C$2+'pengestrom_raw_13613575'!$C$3+'pengestrom_raw_13613575'!$C$4)-'pengestrom_raw_13613575'!$C$5,"+#,##0;-#,##0"))</f>
        <v/>
      </c>
      <c r="D106">
        <f>IF(ABS(('pengestrom_raw_13613575'!$D$2+'pengestrom_raw_13613575'!$D$3+'pengestrom_raw_13613575'!$D$4)-'pengestrom_raw_13613575'!$D$5)&lt;=2,"✓","⚠ "&amp;TEXT(('pengestrom_raw_13613575'!$D$2+'pengestrom_raw_13613575'!$D$3+'pengestrom_raw_13613575'!$D$4)-'pengestrom_raw_13613575'!$D$5,"+#,##0;-#,##0"))</f>
        <v/>
      </c>
      <c r="E106">
        <f>IF(ABS(('pengestrom_raw_13613575'!$E$2+'pengestrom_raw_13613575'!$E$3+'pengestrom_raw_13613575'!$E$4)-'pengestrom_raw_13613575'!$E$5)&lt;=2,"✓","⚠ "&amp;TEXT(('pengestrom_raw_13613575'!$E$2+'pengestrom_raw_13613575'!$E$3+'pengestrom_raw_13613575'!$E$4)-'pengestrom_raw_13613575'!$E$5,"+#,##0;-#,##0"))</f>
        <v/>
      </c>
      <c r="F106">
        <f>IF(ABS(('pengestrom_raw_13613575'!$F$2+'pengestrom_raw_13613575'!$F$3+'pengestrom_raw_13613575'!$F$4)-'pengestrom_raw_13613575'!$F$5)&lt;=2,"✓","⚠ "&amp;TEXT(('pengestrom_raw_13613575'!$F$2+'pengestrom_raw_13613575'!$F$3+'pengestrom_raw_13613575'!$F$4)-'pengestrom_raw_13613575'!$F$5,"+#,##0;-#,##0"))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Louis Nielsen A/S (CVR 13613575) — 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Nettoomsætning</t>
        </is>
      </c>
      <c r="B2" s="17" t="n">
        <v>1317404</v>
      </c>
      <c r="C2" s="17" t="n">
        <v>1289938</v>
      </c>
      <c r="D2" s="17" t="n">
        <v>1312519</v>
      </c>
      <c r="E2" s="17" t="n">
        <v>1423</v>
      </c>
      <c r="F2" s="17" t="n"/>
    </row>
    <row r="3">
      <c r="A3" s="16" t="inlineStr">
        <is>
          <t>Andre driftsindtægter</t>
        </is>
      </c>
      <c r="B3" s="17" t="n">
        <v>272159</v>
      </c>
      <c r="C3" s="17" t="n">
        <v>292974</v>
      </c>
      <c r="D3" s="17" t="n">
        <v>324431</v>
      </c>
      <c r="E3" s="17" t="n">
        <v>355</v>
      </c>
      <c r="F3" s="17" t="n">
        <v>369144</v>
      </c>
    </row>
    <row r="4">
      <c r="A4" s="16" t="inlineStr">
        <is>
          <t>Vareforbrug</t>
        </is>
      </c>
      <c r="B4" s="17" t="n">
        <v>437219</v>
      </c>
      <c r="C4" s="17" t="n">
        <v>441374</v>
      </c>
      <c r="D4" s="17" t="n">
        <v>452422</v>
      </c>
      <c r="E4" s="17" t="n">
        <v>487</v>
      </c>
      <c r="F4" s="17" t="n">
        <v>521381</v>
      </c>
    </row>
    <row r="5">
      <c r="A5" s="16" t="inlineStr">
        <is>
          <t>Andre eksterne omkostninger</t>
        </is>
      </c>
      <c r="B5" s="17" t="n">
        <v>432260</v>
      </c>
      <c r="C5" s="17" t="n">
        <v>430792</v>
      </c>
      <c r="D5" s="17" t="n">
        <v>424923</v>
      </c>
      <c r="E5" s="17" t="n">
        <v>462</v>
      </c>
      <c r="F5" s="17" t="n">
        <v>483353</v>
      </c>
    </row>
    <row r="6">
      <c r="A6" s="15" t="inlineStr">
        <is>
          <t>Bruttoresultat</t>
        </is>
      </c>
      <c r="B6" s="17" t="n">
        <v>720084</v>
      </c>
      <c r="C6" s="17" t="n">
        <v>710746</v>
      </c>
      <c r="D6" s="17" t="n">
        <v>759605</v>
      </c>
      <c r="E6" s="17" t="n">
        <v>828</v>
      </c>
      <c r="F6" s="17" t="n">
        <v>842722</v>
      </c>
    </row>
    <row r="7">
      <c r="A7" s="16" t="inlineStr">
        <is>
          <t>Personaleomkostninger</t>
        </is>
      </c>
      <c r="B7" s="17" t="n">
        <v>484857</v>
      </c>
      <c r="C7" s="17" t="n">
        <v>532488</v>
      </c>
      <c r="D7" s="17" t="n">
        <v>572424</v>
      </c>
      <c r="E7" s="17" t="n">
        <v>620</v>
      </c>
      <c r="F7" s="17" t="n">
        <v>645075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37663</v>
      </c>
      <c r="C9" s="17" t="n">
        <v>45376</v>
      </c>
      <c r="D9" s="17" t="n">
        <v>50242</v>
      </c>
      <c r="E9" s="17" t="n">
        <v>50</v>
      </c>
      <c r="F9" s="17" t="n">
        <v>39832</v>
      </c>
    </row>
    <row r="10">
      <c r="A10" s="16" t="inlineStr">
        <is>
          <t>Andre driftsomkostninger</t>
        </is>
      </c>
      <c r="B10" s="17" t="n">
        <v>1133</v>
      </c>
      <c r="C10" s="17" t="n">
        <v>861</v>
      </c>
      <c r="D10" s="17" t="n">
        <v>1623</v>
      </c>
      <c r="E10" s="17" t="n">
        <v>1</v>
      </c>
      <c r="F10" s="17" t="n">
        <v>1283</v>
      </c>
    </row>
    <row r="11">
      <c r="A11" s="15" t="inlineStr">
        <is>
          <t>Resultat af primær drift</t>
        </is>
      </c>
      <c r="B11" s="17" t="n">
        <v>196431</v>
      </c>
      <c r="C11" s="17" t="n">
        <v>132021</v>
      </c>
      <c r="D11" s="17" t="n">
        <v>135316</v>
      </c>
      <c r="E11" s="17" t="n">
        <v>158</v>
      </c>
      <c r="F11" s="17" t="n">
        <v>156532</v>
      </c>
    </row>
    <row r="12">
      <c r="A12" s="16" t="inlineStr">
        <is>
          <t>Indtægter af kapitalandele, dattervirksomheder</t>
        </is>
      </c>
      <c r="B12" s="17" t="n">
        <v>-9527</v>
      </c>
      <c r="C12" s="17" t="n">
        <v>-13276</v>
      </c>
      <c r="D12" s="17" t="n">
        <v>-12132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41</v>
      </c>
      <c r="C13" s="17" t="n">
        <v>721</v>
      </c>
      <c r="D13" s="17" t="n">
        <v>3656</v>
      </c>
      <c r="E13" s="17" t="n">
        <v>12</v>
      </c>
      <c r="F13" s="17" t="n">
        <v>7949</v>
      </c>
    </row>
    <row r="14">
      <c r="A14" s="16" t="inlineStr">
        <is>
          <t>Finansielle omkostninger</t>
        </is>
      </c>
      <c r="B14" s="17" t="n">
        <v>1550</v>
      </c>
      <c r="C14" s="17" t="n">
        <v>789</v>
      </c>
      <c r="D14" s="17" t="n">
        <v>271</v>
      </c>
      <c r="E14" s="17" t="n">
        <v>1</v>
      </c>
      <c r="F14" s="17" t="n">
        <v>250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195000</v>
      </c>
      <c r="C16" s="17" t="n">
        <v>131999</v>
      </c>
      <c r="D16" s="17" t="n">
        <v>141860</v>
      </c>
      <c r="E16" s="17" t="n">
        <v>170</v>
      </c>
      <c r="F16" s="17" t="n">
        <v>165358</v>
      </c>
    </row>
    <row r="17">
      <c r="A17" s="16" t="inlineStr">
        <is>
          <t>Skat af årets resultat</t>
        </is>
      </c>
      <c r="B17" s="17" t="n">
        <v>46084</v>
      </c>
      <c r="C17" s="17" t="n">
        <v>32011</v>
      </c>
      <c r="D17" s="17" t="n">
        <v>34197</v>
      </c>
      <c r="E17" s="17" t="n">
        <v>39</v>
      </c>
      <c r="F17" s="17" t="n">
        <v>36229</v>
      </c>
    </row>
    <row r="18">
      <c r="A18" s="15" t="inlineStr">
        <is>
          <t>Årets resultat</t>
        </is>
      </c>
      <c r="B18" s="17" t="n">
        <v>148916</v>
      </c>
      <c r="C18" s="17" t="n">
        <v>99988</v>
      </c>
      <c r="D18" s="17" t="n">
        <v>107663</v>
      </c>
      <c r="E18" s="17" t="n">
        <v>27</v>
      </c>
      <c r="F18" s="17" t="n">
        <v>129129</v>
      </c>
    </row>
    <row r="19">
      <c r="A19" s="16" t="inlineStr">
        <is>
          <t>Gns. antal medarbejdere</t>
        </is>
      </c>
      <c r="B19" s="17" t="n">
        <v>920</v>
      </c>
      <c r="C19" s="17" t="n">
        <v>983</v>
      </c>
      <c r="D19" s="17" t="n">
        <v>989</v>
      </c>
      <c r="E19" s="17" t="n">
        <v>1025</v>
      </c>
      <c r="F19" s="17" t="n">
        <v>1041</v>
      </c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Louis Nielsen A/S (CVR 13613575) — 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39183</v>
      </c>
      <c r="C4" s="17" t="n">
        <v>24556</v>
      </c>
      <c r="D4" s="17" t="n">
        <v>9928</v>
      </c>
      <c r="E4" s="17" t="n">
        <v>0</v>
      </c>
      <c r="F4" s="17" t="n">
        <v>19</v>
      </c>
    </row>
    <row r="5">
      <c r="A5" s="15" t="inlineStr">
        <is>
          <t>Immaterielle anlægsaktiver</t>
        </is>
      </c>
      <c r="B5" s="17" t="n">
        <v>39183</v>
      </c>
      <c r="C5" s="17" t="n">
        <v>24556</v>
      </c>
      <c r="D5" s="17" t="n">
        <v>9928</v>
      </c>
      <c r="E5" s="17" t="n">
        <v>0</v>
      </c>
      <c r="F5" s="17" t="n">
        <v>19</v>
      </c>
    </row>
    <row r="6">
      <c r="A6" s="16" t="inlineStr">
        <is>
          <t>Grunde og bygninger</t>
        </is>
      </c>
      <c r="B6" s="17" t="n">
        <v>7842</v>
      </c>
      <c r="C6" s="17" t="n">
        <v>7650</v>
      </c>
      <c r="D6" s="17" t="n">
        <v>8297</v>
      </c>
      <c r="E6" s="17" t="n">
        <v>8</v>
      </c>
      <c r="F6" s="17" t="n">
        <v>6979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27432</v>
      </c>
      <c r="C8" s="17" t="n">
        <v>35999</v>
      </c>
      <c r="D8" s="17" t="n">
        <v>54576</v>
      </c>
      <c r="E8" s="17" t="n">
        <v>62</v>
      </c>
      <c r="F8" s="17" t="n">
        <v>55993</v>
      </c>
    </row>
    <row r="9">
      <c r="A9" s="16" t="inlineStr">
        <is>
          <t>Indretning af lejede lokaler</t>
        </is>
      </c>
      <c r="B9" s="17" t="n">
        <v>53191</v>
      </c>
      <c r="C9" s="17" t="n">
        <v>68521</v>
      </c>
      <c r="D9" s="17" t="n">
        <v>65927</v>
      </c>
      <c r="E9" s="17" t="n">
        <v>51</v>
      </c>
      <c r="F9" s="17" t="n">
        <v>37698</v>
      </c>
    </row>
    <row r="10">
      <c r="A10" s="16" t="inlineStr">
        <is>
          <t>Forudbetaling og anlægsaktiver under opførelse</t>
        </is>
      </c>
      <c r="B10" s="17" t="n">
        <v>3070</v>
      </c>
      <c r="C10" s="17" t="n">
        <v>6315</v>
      </c>
      <c r="D10" s="17" t="n">
        <v>2200</v>
      </c>
      <c r="E10" s="17" t="n">
        <v>2</v>
      </c>
      <c r="F10" s="17" t="n">
        <v>0</v>
      </c>
    </row>
    <row r="11">
      <c r="A11" s="15" t="inlineStr">
        <is>
          <t>Materielle anlægsaktiver</t>
        </is>
      </c>
      <c r="B11" s="17" t="n">
        <v>91535</v>
      </c>
      <c r="C11" s="17" t="n">
        <v>118485</v>
      </c>
      <c r="D11" s="17" t="n">
        <v>131000</v>
      </c>
      <c r="E11" s="17" t="n">
        <v>123</v>
      </c>
      <c r="F11" s="17" t="n">
        <v>100670</v>
      </c>
    </row>
    <row r="12">
      <c r="A12" s="16" t="inlineStr">
        <is>
          <t>Kapitalandele, dattervirksomheder</t>
        </is>
      </c>
      <c r="B12" s="17" t="n">
        <v>46834</v>
      </c>
      <c r="C12" s="17" t="n">
        <v>30604</v>
      </c>
      <c r="D12" s="17" t="n">
        <v>16828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17860</v>
      </c>
      <c r="C13" s="17" t="n">
        <v>19481</v>
      </c>
      <c r="D13" s="17" t="n">
        <v>24483</v>
      </c>
      <c r="E13" s="17" t="n">
        <v>0</v>
      </c>
      <c r="F13" s="17" t="n">
        <v>0</v>
      </c>
    </row>
    <row r="14">
      <c r="A14" s="15" t="inlineStr">
        <is>
          <t>Finansielle anlægsaktiver</t>
        </is>
      </c>
      <c r="B14" s="17" t="n">
        <v>17860</v>
      </c>
      <c r="C14" s="17" t="n">
        <v>19481</v>
      </c>
      <c r="D14" s="17" t="n">
        <v>24483</v>
      </c>
      <c r="E14" s="17" t="n">
        <v>26</v>
      </c>
      <c r="F14" s="17" t="n">
        <v>24710</v>
      </c>
    </row>
    <row r="15">
      <c r="A15" s="15" t="inlineStr">
        <is>
          <t>Anlægsaktiver</t>
        </is>
      </c>
      <c r="B15" s="17" t="n">
        <v>148578</v>
      </c>
      <c r="C15" s="17" t="n">
        <v>162522</v>
      </c>
      <c r="D15" s="17" t="n">
        <v>165411</v>
      </c>
      <c r="E15" s="17" t="n">
        <v>149</v>
      </c>
      <c r="F15" s="17" t="n">
        <v>125399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20397</v>
      </c>
      <c r="C18" s="17" t="n">
        <v>17620</v>
      </c>
      <c r="D18" s="17" t="n">
        <v>19449</v>
      </c>
      <c r="E18" s="17" t="n">
        <v>20</v>
      </c>
      <c r="F18" s="17" t="n">
        <v>19723</v>
      </c>
    </row>
    <row r="19">
      <c r="A19" s="15" t="inlineStr">
        <is>
          <t>Varebeholdninger</t>
        </is>
      </c>
      <c r="B19" s="17" t="n">
        <v>20397</v>
      </c>
      <c r="C19" s="17" t="n">
        <v>17620</v>
      </c>
      <c r="D19" s="17" t="n">
        <v>19449</v>
      </c>
      <c r="E19" s="17" t="n">
        <v>20</v>
      </c>
      <c r="F19" s="17" t="n">
        <v>19723</v>
      </c>
    </row>
    <row r="20">
      <c r="A20" s="16" t="inlineStr">
        <is>
          <t>Tilgodehavender fra salg og tjenesteydelser</t>
        </is>
      </c>
      <c r="B20" s="17" t="n">
        <v>11962</v>
      </c>
      <c r="C20" s="17" t="n">
        <v>14272</v>
      </c>
      <c r="D20" s="17" t="n">
        <v>15452</v>
      </c>
      <c r="E20" s="17" t="n">
        <v>14</v>
      </c>
      <c r="F20" s="17" t="n">
        <v>14602</v>
      </c>
    </row>
    <row r="21">
      <c r="A21" s="16" t="inlineStr">
        <is>
          <t>Tilgodehavender hos tilknyttede virksomheder</t>
        </is>
      </c>
      <c r="B21" s="17" t="n">
        <v>252480</v>
      </c>
      <c r="C21" s="17" t="n">
        <v>225676</v>
      </c>
      <c r="D21" s="17" t="n">
        <v>247454</v>
      </c>
      <c r="E21" s="17" t="n">
        <v>434</v>
      </c>
      <c r="F21" s="17" t="n">
        <v>432059</v>
      </c>
    </row>
    <row r="22">
      <c r="A22" s="16" t="inlineStr">
        <is>
          <t>Andre tilgodehavender</t>
        </is>
      </c>
      <c r="B22" s="17" t="n">
        <v>5235</v>
      </c>
      <c r="C22" s="17" t="n">
        <v>7424</v>
      </c>
      <c r="D22" s="17" t="n">
        <v>5974</v>
      </c>
      <c r="E22" s="17" t="n">
        <v>8</v>
      </c>
      <c r="F22" s="17" t="n">
        <v>10137</v>
      </c>
    </row>
    <row r="23">
      <c r="A23" s="16" t="inlineStr">
        <is>
          <t>Periodeafgrænsningsposter (aktiver)</t>
        </is>
      </c>
      <c r="B23" s="17" t="n">
        <v>34371</v>
      </c>
      <c r="C23" s="17" t="n">
        <v>41126</v>
      </c>
      <c r="D23" s="17" t="n">
        <v>44779</v>
      </c>
      <c r="E23" s="17" t="n">
        <v>47</v>
      </c>
      <c r="F23" s="17" t="n">
        <v>56713</v>
      </c>
    </row>
    <row r="24">
      <c r="A24" s="16" t="inlineStr">
        <is>
          <t>Udskudt skatteaktiv</t>
        </is>
      </c>
      <c r="B24" s="17" t="n">
        <v>1299</v>
      </c>
      <c r="C24" s="17" t="n">
        <v>1426</v>
      </c>
      <c r="D24" s="17" t="n">
        <v>579</v>
      </c>
      <c r="E24" s="17" t="n">
        <v>0</v>
      </c>
      <c r="F24" s="17" t="n">
        <v>0</v>
      </c>
    </row>
    <row r="25">
      <c r="A25" s="16" t="inlineStr">
        <is>
          <t>Tilgodehavende skat hos tilknyttede virksomheder</t>
        </is>
      </c>
      <c r="B25" s="17" t="n">
        <v>1413</v>
      </c>
      <c r="C25" s="17" t="n">
        <v>3116</v>
      </c>
      <c r="D25" s="17" t="n">
        <v>967</v>
      </c>
      <c r="E25" s="17" t="n">
        <v>0</v>
      </c>
      <c r="F25" s="17" t="n">
        <v>0</v>
      </c>
    </row>
    <row r="26">
      <c r="A26" s="16" t="inlineStr">
        <is>
          <t>Kortfristede skattetilgodehavender</t>
        </is>
      </c>
      <c r="B26" s="17" t="n">
        <v>2625</v>
      </c>
      <c r="C26" s="17" t="n">
        <v>0</v>
      </c>
      <c r="D26" s="17" t="n">
        <v>2160</v>
      </c>
      <c r="E26" s="17" t="n">
        <v>0</v>
      </c>
      <c r="F26" s="17" t="n">
        <v>2962</v>
      </c>
    </row>
    <row r="27">
      <c r="A27" s="15" t="inlineStr">
        <is>
          <t>Tilgodehavender</t>
        </is>
      </c>
      <c r="B27" s="17" t="n">
        <v>306673</v>
      </c>
      <c r="C27" s="17" t="n">
        <v>288498</v>
      </c>
      <c r="D27" s="17" t="n">
        <v>315819</v>
      </c>
      <c r="E27" s="17" t="n">
        <v>503</v>
      </c>
      <c r="F27" s="17" t="n">
        <v>516473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166759</v>
      </c>
      <c r="C29" s="17" t="n">
        <v>132672</v>
      </c>
      <c r="D29" s="17" t="n">
        <v>128310</v>
      </c>
      <c r="E29" s="17" t="n">
        <v>156</v>
      </c>
      <c r="F29" s="17" t="n">
        <v>146408</v>
      </c>
    </row>
    <row r="30">
      <c r="A30" s="15" t="inlineStr">
        <is>
          <t>Omsætningsaktiver</t>
        </is>
      </c>
      <c r="B30" s="17" t="n">
        <v>493829</v>
      </c>
      <c r="C30" s="17" t="n">
        <v>438790</v>
      </c>
      <c r="D30" s="17" t="n">
        <v>463578</v>
      </c>
      <c r="E30" s="17" t="n">
        <v>829</v>
      </c>
      <c r="F30" s="17" t="n">
        <v>682604</v>
      </c>
    </row>
    <row r="31">
      <c r="A31" s="15" t="inlineStr">
        <is>
          <t>Aktiver</t>
        </is>
      </c>
      <c r="B31" s="17" t="n">
        <v>642407</v>
      </c>
      <c r="C31" s="17" t="n">
        <v>601312</v>
      </c>
      <c r="D31" s="17" t="n">
        <v>628989</v>
      </c>
      <c r="E31" s="17" t="n">
        <v>829</v>
      </c>
      <c r="F31" s="17" t="n">
        <v>808003</v>
      </c>
    </row>
    <row r="32">
      <c r="A32" s="16" t="inlineStr">
        <is>
          <t>Selskabskapital</t>
        </is>
      </c>
      <c r="B32" s="17" t="n">
        <v>20100</v>
      </c>
      <c r="C32" s="17" t="n">
        <v>20100</v>
      </c>
      <c r="D32" s="17" t="n">
        <v>20100</v>
      </c>
      <c r="E32" s="17" t="n">
        <v>20</v>
      </c>
      <c r="F32" s="17" t="n">
        <v>20100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303160</v>
      </c>
      <c r="C37" s="17" t="n">
        <v>315583</v>
      </c>
      <c r="D37" s="17" t="n">
        <v>325965</v>
      </c>
      <c r="E37" s="17" t="n">
        <v>355</v>
      </c>
      <c r="F37" s="17" t="n">
        <v>387555</v>
      </c>
    </row>
    <row r="38">
      <c r="A38" s="15" t="inlineStr">
        <is>
          <t>Egenkapital i alt</t>
        </is>
      </c>
      <c r="B38" s="17" t="n">
        <v>414655</v>
      </c>
      <c r="C38" s="17" t="n">
        <v>413636</v>
      </c>
      <c r="D38" s="17" t="n">
        <v>423740</v>
      </c>
      <c r="E38" s="17" t="n">
        <v>467</v>
      </c>
      <c r="F38" s="17" t="n">
        <v>493175</v>
      </c>
    </row>
    <row r="39">
      <c r="A39" s="16" t="inlineStr">
        <is>
          <t>Hensættelse til udskudt skat</t>
        </is>
      </c>
      <c r="B39" s="17" t="n">
        <v>2412</v>
      </c>
      <c r="C39" s="17" t="n">
        <v>2952</v>
      </c>
      <c r="D39" s="17" t="n">
        <v>4264</v>
      </c>
      <c r="E39" s="17" t="n">
        <v>4</v>
      </c>
      <c r="F39" s="17" t="n">
        <v>5242</v>
      </c>
    </row>
    <row r="40">
      <c r="A40" s="15" t="inlineStr">
        <is>
          <t>Hensatte forpligtelser</t>
        </is>
      </c>
      <c r="B40" s="17" t="n">
        <v>2412</v>
      </c>
      <c r="C40" s="17" t="n">
        <v>2952</v>
      </c>
      <c r="D40" s="17" t="n">
        <v>4264</v>
      </c>
      <c r="E40" s="17" t="n">
        <v>4</v>
      </c>
      <c r="F40" s="17" t="n">
        <v>5242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442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4248</v>
      </c>
      <c r="C45" s="17" t="n">
        <v>4212</v>
      </c>
      <c r="D45" s="17" t="n">
        <v>4383</v>
      </c>
      <c r="E45" s="17" t="n">
        <v>2</v>
      </c>
      <c r="F45" s="17" t="n">
        <v>1271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47751</v>
      </c>
      <c r="C50" s="17" t="n">
        <v>43413</v>
      </c>
      <c r="D50" s="17" t="n">
        <v>43107</v>
      </c>
      <c r="E50" s="17" t="n">
        <v>46</v>
      </c>
      <c r="F50" s="17" t="n">
        <v>44569</v>
      </c>
    </row>
    <row r="51">
      <c r="A51" s="16" t="inlineStr">
        <is>
          <t>Gæld til tilknyttede virksomheder</t>
        </is>
      </c>
      <c r="B51" s="17" t="n">
        <v>36354</v>
      </c>
      <c r="C51" s="17" t="n">
        <v>957</v>
      </c>
      <c r="D51" s="17" t="n">
        <v>1638</v>
      </c>
      <c r="E51" s="17" t="n">
        <v>138</v>
      </c>
      <c r="F51" s="17" t="n">
        <v>98369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0</v>
      </c>
      <c r="C53" s="17" t="n">
        <v>1821</v>
      </c>
      <c r="D53" s="17" t="n">
        <v>0</v>
      </c>
      <c r="E53" s="17" t="n">
        <v>3</v>
      </c>
      <c r="F53" s="17" t="n">
        <v>0</v>
      </c>
    </row>
    <row r="54">
      <c r="A54" s="16" t="inlineStr">
        <is>
          <t>Gæld til tilknyttede virksomheder vedr. selskabsskat</t>
        </is>
      </c>
      <c r="B54" s="17" t="n">
        <v>3382</v>
      </c>
      <c r="C54" s="17" t="n">
        <v>1340</v>
      </c>
      <c r="D54" s="17" t="n">
        <v>2673</v>
      </c>
      <c r="E54" s="17" t="n">
        <v>0</v>
      </c>
      <c r="F54" s="17" t="n">
        <v>0</v>
      </c>
    </row>
    <row r="55">
      <c r="A55" s="16" t="inlineStr">
        <is>
          <t>Anden gæld (kortfristet)</t>
        </is>
      </c>
      <c r="B55" s="17" t="n">
        <v>100585</v>
      </c>
      <c r="C55" s="17" t="n">
        <v>105832</v>
      </c>
      <c r="D55" s="17" t="n">
        <v>114772</v>
      </c>
      <c r="E55" s="17" t="n">
        <v>129</v>
      </c>
      <c r="F55" s="17" t="n">
        <v>123061</v>
      </c>
    </row>
    <row r="56">
      <c r="A56" s="16" t="inlineStr">
        <is>
          <t>Periodeafgrænsningsposter (passiver)</t>
        </is>
      </c>
      <c r="B56" s="17" t="n">
        <v>36402</v>
      </c>
      <c r="C56" s="17" t="n">
        <v>28489</v>
      </c>
      <c r="D56" s="17" t="n">
        <v>37085</v>
      </c>
      <c r="E56" s="17" t="n">
        <v>39</v>
      </c>
      <c r="F56" s="17" t="n">
        <v>42316</v>
      </c>
    </row>
    <row r="57">
      <c r="A57" s="15" t="inlineStr">
        <is>
          <t>Kortfristede gældsforpligtelser</t>
        </is>
      </c>
      <c r="B57" s="17" t="n">
        <v>221092</v>
      </c>
      <c r="C57" s="17" t="n">
        <v>180512</v>
      </c>
      <c r="D57" s="17" t="n">
        <v>196602</v>
      </c>
      <c r="E57" s="17" t="n">
        <v>354</v>
      </c>
      <c r="F57" s="17" t="n">
        <v>308315</v>
      </c>
    </row>
    <row r="58">
      <c r="A58" s="15" t="inlineStr">
        <is>
          <t>Gældsforpligtelser</t>
        </is>
      </c>
      <c r="B58" s="17" t="n">
        <v>225340</v>
      </c>
      <c r="C58" s="17" t="n">
        <v>184724</v>
      </c>
      <c r="D58" s="17" t="n">
        <v>200985</v>
      </c>
      <c r="E58" s="17" t="n">
        <v>357</v>
      </c>
      <c r="F58" s="17" t="n">
        <v>309586</v>
      </c>
    </row>
    <row r="59">
      <c r="A59" s="15" t="inlineStr">
        <is>
          <t>Passiver</t>
        </is>
      </c>
      <c r="B59" s="17" t="n">
        <v>642407</v>
      </c>
      <c r="C59" s="17" t="n">
        <v>601312</v>
      </c>
      <c r="D59" s="17" t="n">
        <v>628989</v>
      </c>
      <c r="E59" s="17" t="n">
        <v>829</v>
      </c>
      <c r="F59" s="17" t="n">
        <v>808003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Louis Nielsen A/S (CVR 13613575) — Pengestrømsopgørelse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Pengestrømme fra driftsaktivitet</t>
        </is>
      </c>
      <c r="B2" s="17" t="n">
        <v>201882</v>
      </c>
      <c r="C2" s="17" t="n">
        <v>151703</v>
      </c>
      <c r="D2" s="17" t="n">
        <v>182490</v>
      </c>
      <c r="E2" s="17" t="n">
        <v>183</v>
      </c>
      <c r="F2" s="17" t="n">
        <v>152273</v>
      </c>
    </row>
    <row r="3">
      <c r="A3" s="16" t="inlineStr">
        <is>
          <t>Pengestrømme fra investeringsaktivitet</t>
        </is>
      </c>
      <c r="B3" s="17" t="n">
        <v>-53543</v>
      </c>
      <c r="C3" s="17" t="n">
        <v>-55334</v>
      </c>
      <c r="D3" s="17" t="n">
        <v>-59748</v>
      </c>
      <c r="E3" s="17" t="n">
        <v>-32</v>
      </c>
      <c r="F3" s="17" t="n">
        <v>-13085</v>
      </c>
    </row>
    <row r="4">
      <c r="A4" s="16" t="inlineStr">
        <is>
          <t>Pengestrømme fra finansieringsaktivitet</t>
        </is>
      </c>
      <c r="B4" s="17" t="n">
        <v>-156733</v>
      </c>
      <c r="C4" s="17" t="n">
        <v>-103431</v>
      </c>
      <c r="D4" s="17" t="n">
        <v>-90238</v>
      </c>
      <c r="E4" s="17" t="n">
        <v>-88</v>
      </c>
      <c r="F4" s="17" t="n">
        <v>-107942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Louis Nielsen A/S (CVR 13613575) — Regnskabs- og nøgletal (CVR: 13613575) — artsopdelt</t>
        </is>
      </c>
    </row>
    <row r="3">
      <c r="A3" s="19" t="inlineStr">
        <is>
          <t>Beløb i 1.000 kr.</t>
        </is>
      </c>
      <c r="B3" s="20" t="n">
        <v>2026</v>
      </c>
      <c r="C3" s="20" t="n">
        <v>2025</v>
      </c>
      <c r="D3" s="20" t="n">
        <v>2024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'res_raw_13613575'!$F$2</f>
        <v/>
      </c>
      <c r="C5" s="24">
        <f>'res_raw_13613575'!$E$2</f>
        <v/>
      </c>
      <c r="D5" s="24">
        <f>'res_raw_13613575'!$D$2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'res_raw_13613575'!$F$3</f>
        <v/>
      </c>
      <c r="C6" s="24">
        <f>'res_raw_13613575'!$E$3</f>
        <v/>
      </c>
      <c r="D6" s="24">
        <f>'res_raw_13613575'!$D$3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-'res_raw_13613575'!$F$4</f>
        <v/>
      </c>
      <c r="C7" s="24">
        <f>-'res_raw_13613575'!$E$4</f>
        <v/>
      </c>
      <c r="D7" s="24">
        <f>-'res_raw_13613575'!$D$4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-'res_raw_13613575'!$F$5</f>
        <v/>
      </c>
      <c r="C8" s="24">
        <f>-'res_raw_13613575'!$E$5</f>
        <v/>
      </c>
      <c r="D8" s="24">
        <f>-'res_raw_13613575'!$D$5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-'res_raw_13613575'!$F$7</f>
        <v/>
      </c>
      <c r="C10" s="24">
        <f>-'res_raw_13613575'!$E$7</f>
        <v/>
      </c>
      <c r="D10" s="24">
        <f>-'res_raw_13613575'!$D$7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-'res_raw_13613575'!$F$9</f>
        <v/>
      </c>
      <c r="C11" s="24">
        <f>-'res_raw_13613575'!$E$9</f>
        <v/>
      </c>
      <c r="D11" s="24">
        <f>-'res_raw_13613575'!$D$9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-'res_raw_13613575'!$F$10</f>
        <v/>
      </c>
      <c r="C12" s="24">
        <f>-'res_raw_13613575'!$E$10</f>
        <v/>
      </c>
      <c r="D12" s="24">
        <f>-'res_raw_13613575'!$D$10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N('res_raw_13613575'!$F$12)+N('res_raw_13613575'!$F$13)</f>
        <v/>
      </c>
      <c r="C14" s="24">
        <f>N('res_raw_13613575'!$E$12)+N('res_raw_13613575'!$E$13)</f>
        <v/>
      </c>
      <c r="D14" s="24">
        <f>N('res_raw_13613575'!$D$12)+N('res_raw_13613575'!$D$13)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-'res_raw_13613575'!$F$14</f>
        <v/>
      </c>
      <c r="C15" s="24">
        <f>-'res_raw_13613575'!$E$14</f>
        <v/>
      </c>
      <c r="D15" s="24">
        <f>-'res_raw_13613575'!$D$14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'balance_raw_13613575'!$F$15</f>
        <v/>
      </c>
      <c r="C19" s="24">
        <f>'balance_raw_13613575'!$E$15</f>
        <v/>
      </c>
      <c r="D19" s="24">
        <f>'balance_raw_13613575'!$D$15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'balance_raw_13613575'!$F$30</f>
        <v/>
      </c>
      <c r="C20" s="24">
        <f>'balance_raw_13613575'!$E$30</f>
        <v/>
      </c>
      <c r="D20" s="24">
        <f>'balance_raw_13613575'!$D$30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'balance_raw_13613575'!$F$38</f>
        <v/>
      </c>
      <c r="C23" s="24">
        <f>'balance_raw_13613575'!$E$38</f>
        <v/>
      </c>
      <c r="D23" s="24">
        <f>'balance_raw_13613575'!$D$38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'balance_raw_13613575'!$F$59-'balance_raw_13613575'!$F$38</f>
        <v/>
      </c>
      <c r="C24" s="24">
        <f>'balance_raw_13613575'!$E$59-'balance_raw_13613575'!$E$38</f>
        <v/>
      </c>
      <c r="D24" s="24">
        <f>'balance_raw_13613575'!$D$59-'balance_raw_13613575'!$D$38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'balance_raw_13613575'!$F$19</f>
        <v/>
      </c>
      <c r="C28" s="24">
        <f>'balance_raw_13613575'!$E$19</f>
        <v/>
      </c>
      <c r="D28" s="24">
        <f>'balance_raw_13613575'!$D$19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'balance_raw_13613575'!$F$20</f>
        <v/>
      </c>
      <c r="C29" s="24">
        <f>'balance_raw_13613575'!$E$20</f>
        <v/>
      </c>
      <c r="D29" s="24">
        <f>'balance_raw_13613575'!$D$20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'balance_raw_13613575'!$F$57</f>
        <v/>
      </c>
      <c r="C30" s="24">
        <f>'balance_raw_13613575'!$E$57</f>
        <v/>
      </c>
      <c r="D30" s="24">
        <f>'balance_raw_13613575'!$D$57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(2024=100)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(2024=100)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2024-2026.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IF('balance_raw_13613575'!$F$31="","—",IF(ABS(B21-'balance_raw_13613575'!$F$31)&lt;=1,"✓ OK","❌ "&amp;TEXT(B21-'balance_raw_13613575'!$F$31,"+#,##0;-#,##0")&amp;" t.kr."))</f>
        <v/>
      </c>
      <c r="C61" s="29">
        <f>IF('balance_raw_13613575'!$E$31="","—",IF(ABS(C21-'balance_raw_13613575'!$E$31)&lt;=1,"✓ OK","❌ "&amp;TEXT(C21-'balance_raw_13613575'!$E$31,"+#,##0;-#,##0")&amp;" t.kr."))</f>
        <v/>
      </c>
      <c r="D61" s="29">
        <f>IF('balance_raw_13613575'!$D$31="","—",IF(ABS(D21-'balance_raw_13613575'!$D$31)&lt;=1,"✓ OK","❌ "&amp;TEXT(D21-'balance_raw_13613575'!$D$31,"+#,##0;-#,##0")&amp;"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IF('balance_raw_13613575'!$F$59="","—",IF(ABS(B25-'balance_raw_13613575'!$F$59)&lt;=1,"✓ OK","❌ "&amp;TEXT(B25-'balance_raw_13613575'!$F$59,"+#,##0;-#,##0")&amp;" t.kr."))</f>
        <v/>
      </c>
      <c r="C62" s="29">
        <f>IF('balance_raw_13613575'!$E$59="","—",IF(ABS(C25-'balance_raw_13613575'!$E$59)&lt;=1,"✓ OK","❌ "&amp;TEXT(C25-'balance_raw_13613575'!$E$59,"+#,##0;-#,##0")&amp;" t.kr."))</f>
        <v/>
      </c>
      <c r="D62" s="29">
        <f>IF('balance_raw_13613575'!$D$59="","—",IF(ABS(D25-'balance_raw_13613575'!$D$59)&lt;=1,"✓ OK","❌ "&amp;TEXT(D25-'balance_raw_13613575'!$D$59,"+#,##0;-#,##0")&amp;"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IF('res_raw_13613575'!$F$6="","—",IF(ABS(B9-'res_raw_13613575'!$F$6)&lt;=1,"✓ OK","❌ "&amp;TEXT(B9-'res_raw_13613575'!$F$6,"+#,##0;-#,##0")&amp;" t.kr."))</f>
        <v/>
      </c>
      <c r="C64" s="29">
        <f>IF('res_raw_13613575'!$E$6="","—",IF(ABS(C9-'res_raw_13613575'!$E$6)&lt;=1,"✓ OK","❌ "&amp;TEXT(C9-'res_raw_13613575'!$E$6,"+#,##0;-#,##0")&amp;" t.kr."))</f>
        <v/>
      </c>
      <c r="D64" s="29">
        <f>IF('res_raw_13613575'!$D$6="","—",IF(ABS(D9-'res_raw_13613575'!$D$6)&lt;=1,"✓ OK","❌ "&amp;TEXT(D9-'res_raw_13613575'!$D$6,"+#,##0;-#,##0")&amp;"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IF('res_raw_13613575'!$F$11="","—",IF(ABS(B13-'res_raw_13613575'!$F$11)&lt;=1,"✓ OK","❌ "&amp;TEXT(B13-'res_raw_13613575'!$F$11,"+#,##0;-#,##0")&amp;" t.kr."))</f>
        <v/>
      </c>
      <c r="C65" s="29">
        <f>IF('res_raw_13613575'!$E$11="","—",IF(ABS(C13-'res_raw_13613575'!$E$11)&lt;=1,"✓ OK","❌ "&amp;TEXT(C13-'res_raw_13613575'!$E$11,"+#,##0;-#,##0")&amp;" t.kr."))</f>
        <v/>
      </c>
      <c r="D65" s="29">
        <f>IF('res_raw_13613575'!$D$11="","—",IF(ABS(D13-'res_raw_13613575'!$D$11)&lt;=1,"✓ OK","❌ "&amp;TEXT(D13-'res_raw_13613575'!$D$11,"+#,##0;-#,##0")&amp;"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IF('res_raw_13613575'!$F$16="","—",IF(ABS(B16-'res_raw_13613575'!$F$16)&lt;=1,"✓ OK","❌ "&amp;TEXT(B16-'res_raw_13613575'!$F$16,"+#,##0;-#,##0")&amp;" t.kr."))</f>
        <v/>
      </c>
      <c r="C66" s="29">
        <f>IF('res_raw_13613575'!$E$16="","—",IF(ABS(C16-'res_raw_13613575'!$E$16)&lt;=1,"✓ OK","❌ "&amp;TEXT(C16-'res_raw_13613575'!$E$16,"+#,##0;-#,##0")&amp;" t.kr."))</f>
        <v/>
      </c>
      <c r="D66" s="29">
        <f>IF('res_raw_13613575'!$D$16="","—",IF(ABS(D16-'res_raw_13613575'!$D$16)&lt;=1,"✓ OK","❌ "&amp;TEXT(D16-'res_raw_13613575'!$D$16,"+#,##0;-#,##0")&amp;"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Louis Nielsen A/S (CVR 13613575)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2026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fsa:IncomeFromOtherLongtermInvestmentsAndReceivables</t>
        </is>
      </c>
      <c r="C3" s="34" t="inlineStr">
        <is>
          <t>fsa:IncomeFromOtherLongtermInvestmentsAndReceivables</t>
        </is>
      </c>
      <c r="D3" s="35" t="n">
        <v>78</v>
      </c>
      <c r="E3" s="35" t="n">
        <v>46</v>
      </c>
      <c r="F3" s="35" t="n">
        <v>331</v>
      </c>
      <c r="G3" s="35" t="n">
        <v>0</v>
      </c>
      <c r="H3" s="35" t="n">
        <v>1127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fsa:Loans</t>
        </is>
      </c>
      <c r="C4" s="37" t="inlineStr">
        <is>
          <t>fsa:Loans</t>
        </is>
      </c>
      <c r="D4" s="38" t="n"/>
      <c r="E4" s="38" t="n">
        <v>3737</v>
      </c>
      <c r="F4" s="38" t="n">
        <v>8031</v>
      </c>
      <c r="G4" s="38" t="n">
        <v>-2</v>
      </c>
      <c r="H4" s="38" t="n">
        <v>-2503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fsa:LongtermDeferredIncome</t>
        </is>
      </c>
      <c r="C5" s="34" t="inlineStr">
        <is>
          <t>fsa:LongtermDeferredIncome</t>
        </is>
      </c>
      <c r="D5" s="35" t="n">
        <v>3806</v>
      </c>
      <c r="E5" s="35" t="n">
        <v>4212</v>
      </c>
      <c r="F5" s="35" t="n">
        <v>4383</v>
      </c>
      <c r="G5" s="35" t="n">
        <v>2</v>
      </c>
      <c r="H5" s="35" t="n">
        <v>1271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fsa:PurchaseOfMinorityShares</t>
        </is>
      </c>
      <c r="C6" s="37" t="inlineStr">
        <is>
          <t>fsa:PurchaseOfMinorityShares</t>
        </is>
      </c>
      <c r="D6" s="38" t="n"/>
      <c r="E6" s="38" t="n"/>
      <c r="F6" s="38" t="n"/>
      <c r="G6" s="38" t="n">
        <v>0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fsa:SaleOfMinorityShares</t>
        </is>
      </c>
      <c r="C7" s="34" t="inlineStr">
        <is>
          <t>fsa:SaleOfMinorityShares</t>
        </is>
      </c>
      <c r="D7" s="35" t="n"/>
      <c r="E7" s="35" t="n"/>
      <c r="F7" s="35" t="n"/>
      <c r="G7" s="35" t="n">
        <v>0</v>
      </c>
      <c r="H7" s="35" t="n">
        <v>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fsa:TransferredToFromMinorityInterests</t>
        </is>
      </c>
      <c r="C8" s="37" t="inlineStr">
        <is>
          <t>fsa:TransferredToFromMinorityInterests</t>
        </is>
      </c>
      <c r="D8" s="38" t="n"/>
      <c r="E8" s="38" t="n">
        <v>-91118</v>
      </c>
      <c r="F8" s="38" t="n">
        <v>-93014</v>
      </c>
      <c r="G8" s="38" t="n">
        <v>-104</v>
      </c>
      <c r="H8" s="38" t="n">
        <v>-99886</v>
      </c>
      <c r="I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2026-09-09T19:23:06Z</dcterms:created>
  <dcterms:modified xmlns:dcterms="http://purl.org/dc/terms/" xmlns:xsi="http://www.w3.org/2001/XMLSchema-instance" xsi:type="dcterms:W3CDTF">2026-09-09T19:23:07Z</dcterms:modified>
</cp:coreProperties>
</file>