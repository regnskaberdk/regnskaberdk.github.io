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652991" sheetId="1" state="visible" r:id="rId1"/>
    <sheet xmlns:r="http://schemas.openxmlformats.org/officeDocument/2006/relationships" name="res_raw_25652991" sheetId="2" state="visible" r:id="rId2"/>
    <sheet xmlns:r="http://schemas.openxmlformats.org/officeDocument/2006/relationships" name="balance_raw_2565299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'res_raw_25652991'!$B$2</f>
        <v/>
      </c>
      <c r="C4" s="5">
        <f>'res_raw_25652991'!$C$2</f>
        <v/>
      </c>
      <c r="D4" s="5">
        <f>'res_raw_25652991'!$D$2</f>
        <v/>
      </c>
      <c r="E4" s="5">
        <f>'res_raw_25652991'!$E$2</f>
        <v/>
      </c>
      <c r="F4" s="5">
        <f>'res_raw_25652991'!$F$2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'res_raw_25652991'!$B$3</f>
        <v/>
      </c>
      <c r="C5" s="8">
        <f>'res_raw_25652991'!$C$3</f>
        <v/>
      </c>
      <c r="D5" s="8">
        <f>'res_raw_25652991'!$D$3</f>
        <v/>
      </c>
      <c r="E5" s="8">
        <f>'res_raw_25652991'!$E$3</f>
        <v/>
      </c>
      <c r="F5" s="8">
        <f>'res_raw_25652991'!$F$3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'res_raw_25652991'!$B$4</f>
        <v/>
      </c>
      <c r="C6" s="5">
        <f>'res_raw_25652991'!$C$4</f>
        <v/>
      </c>
      <c r="D6" s="5">
        <f>'res_raw_25652991'!$D$4</f>
        <v/>
      </c>
      <c r="E6" s="5">
        <f>'res_raw_25652991'!$E$4</f>
        <v/>
      </c>
      <c r="F6" s="5">
        <f>'res_raw_25652991'!$F$4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'res_raw_25652991'!$B$5</f>
        <v/>
      </c>
      <c r="C7" s="8">
        <f>'res_raw_25652991'!$C$5</f>
        <v/>
      </c>
      <c r="D7" s="8">
        <f>'res_raw_25652991'!$D$5</f>
        <v/>
      </c>
      <c r="E7" s="8">
        <f>'res_raw_25652991'!$E$5</f>
        <v/>
      </c>
      <c r="F7" s="8">
        <f>'res_raw_25652991'!$F$5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'res_raw_25652991'!$B$6</f>
        <v/>
      </c>
      <c r="C8" s="11">
        <f>'res_raw_25652991'!$C$6</f>
        <v/>
      </c>
      <c r="D8" s="11">
        <f>'res_raw_25652991'!$D$6</f>
        <v/>
      </c>
      <c r="E8" s="11">
        <f>'res_raw_25652991'!$E$6</f>
        <v/>
      </c>
      <c r="F8" s="11">
        <f>'res_raw_25652991'!$F$6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'res_raw_25652991'!$B$7</f>
        <v/>
      </c>
      <c r="C9" s="8">
        <f>'res_raw_25652991'!$C$7</f>
        <v/>
      </c>
      <c r="D9" s="8">
        <f>'res_raw_25652991'!$D$7</f>
        <v/>
      </c>
      <c r="E9" s="8">
        <f>'res_raw_25652991'!$E$7</f>
        <v/>
      </c>
      <c r="F9" s="8">
        <f>'res_raw_25652991'!$F$7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'res_raw_25652991'!$B$9</f>
        <v/>
      </c>
      <c r="C11" s="8">
        <f>'res_raw_25652991'!$C$9</f>
        <v/>
      </c>
      <c r="D11" s="8">
        <f>'res_raw_25652991'!$D$9</f>
        <v/>
      </c>
      <c r="E11" s="8">
        <f>'res_raw_25652991'!$E$9</f>
        <v/>
      </c>
      <c r="F11" s="8">
        <f>'res_raw_25652991'!$F$9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'res_raw_25652991'!$B$10</f>
        <v/>
      </c>
      <c r="C12" s="5">
        <f>'res_raw_25652991'!$C$10</f>
        <v/>
      </c>
      <c r="D12" s="5">
        <f>'res_raw_25652991'!$D$10</f>
        <v/>
      </c>
      <c r="E12" s="5">
        <f>'res_raw_25652991'!$E$10</f>
        <v/>
      </c>
      <c r="F12" s="5">
        <f>'res_raw_25652991'!$F$10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'res_raw_25652991'!$B$11</f>
        <v/>
      </c>
      <c r="C13" s="11">
        <f>'res_raw_25652991'!$C$11</f>
        <v/>
      </c>
      <c r="D13" s="11">
        <f>'res_raw_25652991'!$D$11</f>
        <v/>
      </c>
      <c r="E13" s="11">
        <f>'res_raw_25652991'!$E$11</f>
        <v/>
      </c>
      <c r="F13" s="11">
        <f>'res_raw_25652991'!$F$11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'res_raw_25652991'!$B$12</f>
        <v/>
      </c>
      <c r="C14" s="5">
        <f>'res_raw_25652991'!$C$12</f>
        <v/>
      </c>
      <c r="D14" s="5">
        <f>'res_raw_25652991'!$D$12</f>
        <v/>
      </c>
      <c r="E14" s="5">
        <f>'res_raw_25652991'!$E$12</f>
        <v/>
      </c>
      <c r="F14" s="5">
        <f>'res_raw_25652991'!$F$12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'res_raw_25652991'!$B$13</f>
        <v/>
      </c>
      <c r="C15" s="8">
        <f>'res_raw_25652991'!$C$13</f>
        <v/>
      </c>
      <c r="D15" s="8">
        <f>'res_raw_25652991'!$D$13</f>
        <v/>
      </c>
      <c r="E15" s="8">
        <f>'res_raw_25652991'!$E$13</f>
        <v/>
      </c>
      <c r="F15" s="8">
        <f>'res_raw_25652991'!$F$13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'res_raw_25652991'!$B$14</f>
        <v/>
      </c>
      <c r="C16" s="5">
        <f>'res_raw_25652991'!$C$14</f>
        <v/>
      </c>
      <c r="D16" s="5">
        <f>'res_raw_25652991'!$D$14</f>
        <v/>
      </c>
      <c r="E16" s="5">
        <f>'res_raw_25652991'!$E$14</f>
        <v/>
      </c>
      <c r="F16" s="5">
        <f>'res_raw_25652991'!$F$14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'res_raw_25652991'!$B$15</f>
        <v/>
      </c>
      <c r="C17" s="11">
        <f>'res_raw_25652991'!$C$15</f>
        <v/>
      </c>
      <c r="D17" s="11">
        <f>'res_raw_25652991'!$D$15</f>
        <v/>
      </c>
      <c r="E17" s="11">
        <f>'res_raw_25652991'!$E$15</f>
        <v/>
      </c>
      <c r="F17" s="11">
        <f>'res_raw_25652991'!$F$15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'res_raw_25652991'!$B$16</f>
        <v/>
      </c>
      <c r="C18" s="11">
        <f>'res_raw_25652991'!$C$16</f>
        <v/>
      </c>
      <c r="D18" s="11">
        <f>'res_raw_25652991'!$D$16</f>
        <v/>
      </c>
      <c r="E18" s="11">
        <f>'res_raw_25652991'!$E$16</f>
        <v/>
      </c>
      <c r="F18" s="11">
        <f>'res_raw_25652991'!$F$16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'res_raw_25652991'!$B$17</f>
        <v/>
      </c>
      <c r="C19" s="8">
        <f>'res_raw_25652991'!$C$17</f>
        <v/>
      </c>
      <c r="D19" s="8">
        <f>'res_raw_25652991'!$D$17</f>
        <v/>
      </c>
      <c r="E19" s="8">
        <f>'res_raw_25652991'!$E$17</f>
        <v/>
      </c>
      <c r="F19" s="8">
        <f>'res_raw_25652991'!$F$17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'res_raw_25652991'!$B$18</f>
        <v/>
      </c>
      <c r="C20" s="11">
        <f>'res_raw_25652991'!$C$18</f>
        <v/>
      </c>
      <c r="D20" s="11">
        <f>'res_raw_25652991'!$D$18</f>
        <v/>
      </c>
      <c r="E20" s="11">
        <f>'res_raw_25652991'!$E$18</f>
        <v/>
      </c>
      <c r="F20" s="11">
        <f>'res_raw_25652991'!$F$18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'balance_raw_25652991'!$B$2</f>
        <v/>
      </c>
      <c r="C23" s="8">
        <f>'balance_raw_25652991'!$C$2</f>
        <v/>
      </c>
      <c r="D23" s="8">
        <f>'balance_raw_25652991'!$D$2</f>
        <v/>
      </c>
      <c r="E23" s="8">
        <f>'balance_raw_25652991'!$E$2</f>
        <v/>
      </c>
      <c r="F23" s="8">
        <f>'balance_raw_25652991'!$F$2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'balance_raw_25652991'!$B$3</f>
        <v/>
      </c>
      <c r="C24" s="5">
        <f>'balance_raw_25652991'!$C$3</f>
        <v/>
      </c>
      <c r="D24" s="5">
        <f>'balance_raw_25652991'!$D$3</f>
        <v/>
      </c>
      <c r="E24" s="5">
        <f>'balance_raw_25652991'!$E$3</f>
        <v/>
      </c>
      <c r="F24" s="5">
        <f>'balance_raw_25652991'!$F$3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'balance_raw_25652991'!$B$4</f>
        <v/>
      </c>
      <c r="C25" s="8">
        <f>'balance_raw_25652991'!$C$4</f>
        <v/>
      </c>
      <c r="D25" s="8">
        <f>'balance_raw_25652991'!$D$4</f>
        <v/>
      </c>
      <c r="E25" s="8">
        <f>'balance_raw_25652991'!$E$4</f>
        <v/>
      </c>
      <c r="F25" s="8">
        <f>'balance_raw_25652991'!$F$4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'balance_raw_25652991'!$B$5</f>
        <v/>
      </c>
      <c r="C26" s="11">
        <f>'balance_raw_25652991'!$C$5</f>
        <v/>
      </c>
      <c r="D26" s="11">
        <f>'balance_raw_25652991'!$D$5</f>
        <v/>
      </c>
      <c r="E26" s="11">
        <f>'balance_raw_25652991'!$E$5</f>
        <v/>
      </c>
      <c r="F26" s="11">
        <f>'balance_raw_25652991'!$F$5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'balance_raw_25652991'!$B$6</f>
        <v/>
      </c>
      <c r="C27" s="8">
        <f>'balance_raw_25652991'!$C$6</f>
        <v/>
      </c>
      <c r="D27" s="8">
        <f>'balance_raw_25652991'!$D$6</f>
        <v/>
      </c>
      <c r="E27" s="8">
        <f>'balance_raw_25652991'!$E$6</f>
        <v/>
      </c>
      <c r="F27" s="8">
        <f>'balance_raw_25652991'!$F$6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'balance_raw_25652991'!$B$7</f>
        <v/>
      </c>
      <c r="C28" s="5">
        <f>'balance_raw_25652991'!$C$7</f>
        <v/>
      </c>
      <c r="D28" s="5">
        <f>'balance_raw_25652991'!$D$7</f>
        <v/>
      </c>
      <c r="E28" s="5">
        <f>'balance_raw_25652991'!$E$7</f>
        <v/>
      </c>
      <c r="F28" s="5">
        <f>'balance_raw_25652991'!$F$7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'balance_raw_25652991'!$B$8</f>
        <v/>
      </c>
      <c r="C29" s="8">
        <f>'balance_raw_25652991'!$C$8</f>
        <v/>
      </c>
      <c r="D29" s="8">
        <f>'balance_raw_25652991'!$D$8</f>
        <v/>
      </c>
      <c r="E29" s="8">
        <f>'balance_raw_25652991'!$E$8</f>
        <v/>
      </c>
      <c r="F29" s="8">
        <f>'balance_raw_25652991'!$F$8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'balance_raw_25652991'!$B$9</f>
        <v/>
      </c>
      <c r="C30" s="5">
        <f>'balance_raw_25652991'!$C$9</f>
        <v/>
      </c>
      <c r="D30" s="5">
        <f>'balance_raw_25652991'!$D$9</f>
        <v/>
      </c>
      <c r="E30" s="5">
        <f>'balance_raw_25652991'!$E$9</f>
        <v/>
      </c>
      <c r="F30" s="5">
        <f>'balance_raw_25652991'!$F$9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'balance_raw_25652991'!$B$10</f>
        <v/>
      </c>
      <c r="C31" s="8">
        <f>'balance_raw_25652991'!$C$10</f>
        <v/>
      </c>
      <c r="D31" s="8">
        <f>'balance_raw_25652991'!$D$10</f>
        <v/>
      </c>
      <c r="E31" s="8">
        <f>'balance_raw_25652991'!$E$10</f>
        <v/>
      </c>
      <c r="F31" s="8">
        <f>'balance_raw_25652991'!$F$10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'balance_raw_25652991'!$B$11</f>
        <v/>
      </c>
      <c r="C32" s="11">
        <f>'balance_raw_25652991'!$C$11</f>
        <v/>
      </c>
      <c r="D32" s="11">
        <f>'balance_raw_25652991'!$D$11</f>
        <v/>
      </c>
      <c r="E32" s="11">
        <f>'balance_raw_25652991'!$E$11</f>
        <v/>
      </c>
      <c r="F32" s="11">
        <f>'balance_raw_25652991'!$F$11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'balance_raw_25652991'!$B$12</f>
        <v/>
      </c>
      <c r="C33" s="8">
        <f>'balance_raw_25652991'!$C$12</f>
        <v/>
      </c>
      <c r="D33" s="8">
        <f>'balance_raw_25652991'!$D$12</f>
        <v/>
      </c>
      <c r="E33" s="8">
        <f>'balance_raw_25652991'!$E$12</f>
        <v/>
      </c>
      <c r="F33" s="8">
        <f>'balance_raw_25652991'!$F$12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'balance_raw_25652991'!$B$13</f>
        <v/>
      </c>
      <c r="C34" s="5">
        <f>'balance_raw_25652991'!$C$13</f>
        <v/>
      </c>
      <c r="D34" s="5">
        <f>'balance_raw_25652991'!$D$13</f>
        <v/>
      </c>
      <c r="E34" s="5">
        <f>'balance_raw_25652991'!$E$13</f>
        <v/>
      </c>
      <c r="F34" s="5">
        <f>'balance_raw_25652991'!$F$13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'balance_raw_25652991'!$B$14</f>
        <v/>
      </c>
      <c r="C35" s="11">
        <f>'balance_raw_25652991'!$C$14</f>
        <v/>
      </c>
      <c r="D35" s="11">
        <f>'balance_raw_25652991'!$D$14</f>
        <v/>
      </c>
      <c r="E35" s="11">
        <f>'balance_raw_25652991'!$E$14</f>
        <v/>
      </c>
      <c r="F35" s="11">
        <f>'balance_raw_25652991'!$F$14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'balance_raw_25652991'!$B$15</f>
        <v/>
      </c>
      <c r="C36" s="11">
        <f>'balance_raw_25652991'!$C$15</f>
        <v/>
      </c>
      <c r="D36" s="11">
        <f>'balance_raw_25652991'!$D$15</f>
        <v/>
      </c>
      <c r="E36" s="11">
        <f>'balance_raw_25652991'!$E$15</f>
        <v/>
      </c>
      <c r="F36" s="11">
        <f>'balance_raw_25652991'!$F$15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'balance_raw_25652991'!$B$16</f>
        <v/>
      </c>
      <c r="C37" s="8">
        <f>'balance_raw_25652991'!$C$16</f>
        <v/>
      </c>
      <c r="D37" s="8">
        <f>'balance_raw_25652991'!$D$16</f>
        <v/>
      </c>
      <c r="E37" s="8">
        <f>'balance_raw_25652991'!$E$16</f>
        <v/>
      </c>
      <c r="F37" s="8">
        <f>'balance_raw_25652991'!$F$16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'balance_raw_25652991'!$B$17</f>
        <v/>
      </c>
      <c r="C38" s="5">
        <f>'balance_raw_25652991'!$C$17</f>
        <v/>
      </c>
      <c r="D38" s="5">
        <f>'balance_raw_25652991'!$D$17</f>
        <v/>
      </c>
      <c r="E38" s="5">
        <f>'balance_raw_25652991'!$E$17</f>
        <v/>
      </c>
      <c r="F38" s="5">
        <f>'balance_raw_25652991'!$F$17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'balance_raw_25652991'!$B$18</f>
        <v/>
      </c>
      <c r="C39" s="8">
        <f>'balance_raw_25652991'!$C$18</f>
        <v/>
      </c>
      <c r="D39" s="8">
        <f>'balance_raw_25652991'!$D$18</f>
        <v/>
      </c>
      <c r="E39" s="8">
        <f>'balance_raw_25652991'!$E$18</f>
        <v/>
      </c>
      <c r="F39" s="8">
        <f>'balance_raw_25652991'!$F$18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'balance_raw_25652991'!$B$19</f>
        <v/>
      </c>
      <c r="C40" s="11">
        <f>'balance_raw_25652991'!$C$19</f>
        <v/>
      </c>
      <c r="D40" s="11">
        <f>'balance_raw_25652991'!$D$19</f>
        <v/>
      </c>
      <c r="E40" s="11">
        <f>'balance_raw_25652991'!$E$19</f>
        <v/>
      </c>
      <c r="F40" s="11">
        <f>'balance_raw_25652991'!$F$19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'balance_raw_25652991'!$B$20</f>
        <v/>
      </c>
      <c r="C41" s="8">
        <f>'balance_raw_25652991'!$C$20</f>
        <v/>
      </c>
      <c r="D41" s="8">
        <f>'balance_raw_25652991'!$D$20</f>
        <v/>
      </c>
      <c r="E41" s="8">
        <f>'balance_raw_25652991'!$E$20</f>
        <v/>
      </c>
      <c r="F41" s="8">
        <f>'balance_raw_25652991'!$F$20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'balance_raw_25652991'!$B$21</f>
        <v/>
      </c>
      <c r="C42" s="5">
        <f>'balance_raw_25652991'!$C$21</f>
        <v/>
      </c>
      <c r="D42" s="5">
        <f>'balance_raw_25652991'!$D$21</f>
        <v/>
      </c>
      <c r="E42" s="5">
        <f>'balance_raw_25652991'!$E$21</f>
        <v/>
      </c>
      <c r="F42" s="5">
        <f>'balance_raw_25652991'!$F$21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'balance_raw_25652991'!$B$22</f>
        <v/>
      </c>
      <c r="C43" s="8">
        <f>'balance_raw_25652991'!$C$22</f>
        <v/>
      </c>
      <c r="D43" s="8">
        <f>'balance_raw_25652991'!$D$22</f>
        <v/>
      </c>
      <c r="E43" s="8">
        <f>'balance_raw_25652991'!$E$22</f>
        <v/>
      </c>
      <c r="F43" s="8">
        <f>'balance_raw_25652991'!$F$22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'balance_raw_25652991'!$B$23</f>
        <v/>
      </c>
      <c r="C44" s="5">
        <f>'balance_raw_25652991'!$C$23</f>
        <v/>
      </c>
      <c r="D44" s="5">
        <f>'balance_raw_25652991'!$D$23</f>
        <v/>
      </c>
      <c r="E44" s="5">
        <f>'balance_raw_25652991'!$E$23</f>
        <v/>
      </c>
      <c r="F44" s="5">
        <f>'balance_raw_25652991'!$F$23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'balance_raw_25652991'!$B$24</f>
        <v/>
      </c>
      <c r="C45" s="8">
        <f>'balance_raw_25652991'!$C$24</f>
        <v/>
      </c>
      <c r="D45" s="8">
        <f>'balance_raw_25652991'!$D$24</f>
        <v/>
      </c>
      <c r="E45" s="8">
        <f>'balance_raw_25652991'!$E$24</f>
        <v/>
      </c>
      <c r="F45" s="8">
        <f>'balance_raw_25652991'!$F$24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'balance_raw_25652991'!$B$25</f>
        <v/>
      </c>
      <c r="C46" s="5">
        <f>'balance_raw_25652991'!$C$25</f>
        <v/>
      </c>
      <c r="D46" s="5">
        <f>'balance_raw_25652991'!$D$25</f>
        <v/>
      </c>
      <c r="E46" s="5">
        <f>'balance_raw_25652991'!$E$25</f>
        <v/>
      </c>
      <c r="F46" s="5">
        <f>'balance_raw_25652991'!$F$25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'balance_raw_25652991'!$B$26</f>
        <v/>
      </c>
      <c r="C47" s="8">
        <f>'balance_raw_25652991'!$C$26</f>
        <v/>
      </c>
      <c r="D47" s="8">
        <f>'balance_raw_25652991'!$D$26</f>
        <v/>
      </c>
      <c r="E47" s="8">
        <f>'balance_raw_25652991'!$E$26</f>
        <v/>
      </c>
      <c r="F47" s="8">
        <f>'balance_raw_25652991'!$F$26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'balance_raw_25652991'!$B$27</f>
        <v/>
      </c>
      <c r="C48" s="11">
        <f>'balance_raw_25652991'!$C$27</f>
        <v/>
      </c>
      <c r="D48" s="11">
        <f>'balance_raw_25652991'!$D$27</f>
        <v/>
      </c>
      <c r="E48" s="11">
        <f>'balance_raw_25652991'!$E$27</f>
        <v/>
      </c>
      <c r="F48" s="11">
        <f>'balance_raw_25652991'!$F$27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'balance_raw_25652991'!$B$28</f>
        <v/>
      </c>
      <c r="C49" s="8">
        <f>'balance_raw_25652991'!$C$28</f>
        <v/>
      </c>
      <c r="D49" s="8">
        <f>'balance_raw_25652991'!$D$28</f>
        <v/>
      </c>
      <c r="E49" s="8">
        <f>'balance_raw_25652991'!$E$28</f>
        <v/>
      </c>
      <c r="F49" s="8">
        <f>'balance_raw_25652991'!$F$28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'balance_raw_25652991'!$B$29</f>
        <v/>
      </c>
      <c r="C50" s="5">
        <f>'balance_raw_25652991'!$C$29</f>
        <v/>
      </c>
      <c r="D50" s="5">
        <f>'balance_raw_25652991'!$D$29</f>
        <v/>
      </c>
      <c r="E50" s="5">
        <f>'balance_raw_25652991'!$E$29</f>
        <v/>
      </c>
      <c r="F50" s="5">
        <f>'balance_raw_25652991'!$F$29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'balance_raw_25652991'!$B$30</f>
        <v/>
      </c>
      <c r="C51" s="11">
        <f>'balance_raw_25652991'!$C$30</f>
        <v/>
      </c>
      <c r="D51" s="11">
        <f>'balance_raw_25652991'!$D$30</f>
        <v/>
      </c>
      <c r="E51" s="11">
        <f>'balance_raw_25652991'!$E$30</f>
        <v/>
      </c>
      <c r="F51" s="11">
        <f>'balance_raw_25652991'!$F$30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'balance_raw_25652991'!$B$31</f>
        <v/>
      </c>
      <c r="C52" s="11">
        <f>'balance_raw_25652991'!$C$31</f>
        <v/>
      </c>
      <c r="D52" s="11">
        <f>'balance_raw_25652991'!$D$31</f>
        <v/>
      </c>
      <c r="E52" s="11">
        <f>'balance_raw_25652991'!$E$31</f>
        <v/>
      </c>
      <c r="F52" s="11">
        <f>'balance_raw_25652991'!$F$31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'balance_raw_25652991'!$B$32</f>
        <v/>
      </c>
      <c r="C55" s="8">
        <f>'balance_raw_25652991'!$C$32</f>
        <v/>
      </c>
      <c r="D55" s="8">
        <f>'balance_raw_25652991'!$D$32</f>
        <v/>
      </c>
      <c r="E55" s="8">
        <f>'balance_raw_25652991'!$E$32</f>
        <v/>
      </c>
      <c r="F55" s="8">
        <f>'balance_raw_25652991'!$F$32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'balance_raw_25652991'!$B$33</f>
        <v/>
      </c>
      <c r="C56" s="5">
        <f>'balance_raw_25652991'!$C$33</f>
        <v/>
      </c>
      <c r="D56" s="5">
        <f>'balance_raw_25652991'!$D$33</f>
        <v/>
      </c>
      <c r="E56" s="5">
        <f>'balance_raw_25652991'!$E$33</f>
        <v/>
      </c>
      <c r="F56" s="5">
        <f>'balance_raw_25652991'!$F$33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'balance_raw_25652991'!$B$34</f>
        <v/>
      </c>
      <c r="C57" s="8">
        <f>'balance_raw_25652991'!$C$34</f>
        <v/>
      </c>
      <c r="D57" s="8">
        <f>'balance_raw_25652991'!$D$34</f>
        <v/>
      </c>
      <c r="E57" s="8">
        <f>'balance_raw_25652991'!$E$34</f>
        <v/>
      </c>
      <c r="F57" s="8">
        <f>'balance_raw_25652991'!$F$34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'balance_raw_25652991'!$B$35</f>
        <v/>
      </c>
      <c r="C58" s="5">
        <f>'balance_raw_25652991'!$C$35</f>
        <v/>
      </c>
      <c r="D58" s="5">
        <f>'balance_raw_25652991'!$D$35</f>
        <v/>
      </c>
      <c r="E58" s="5">
        <f>'balance_raw_25652991'!$E$35</f>
        <v/>
      </c>
      <c r="F58" s="5">
        <f>'balance_raw_25652991'!$F$35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'balance_raw_25652991'!$B$36</f>
        <v/>
      </c>
      <c r="C59" s="8">
        <f>'balance_raw_25652991'!$C$36</f>
        <v/>
      </c>
      <c r="D59" s="8">
        <f>'balance_raw_25652991'!$D$36</f>
        <v/>
      </c>
      <c r="E59" s="8">
        <f>'balance_raw_25652991'!$E$36</f>
        <v/>
      </c>
      <c r="F59" s="8">
        <f>'balance_raw_25652991'!$F$36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'balance_raw_25652991'!$B$37</f>
        <v/>
      </c>
      <c r="C60" s="5">
        <f>'balance_raw_25652991'!$C$37</f>
        <v/>
      </c>
      <c r="D60" s="5">
        <f>'balance_raw_25652991'!$D$37</f>
        <v/>
      </c>
      <c r="E60" s="5">
        <f>'balance_raw_25652991'!$E$37</f>
        <v/>
      </c>
      <c r="F60" s="5">
        <f>'balance_raw_25652991'!$F$37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'balance_raw_25652991'!$B$38</f>
        <v/>
      </c>
      <c r="C61" s="11">
        <f>'balance_raw_25652991'!$C$38</f>
        <v/>
      </c>
      <c r="D61" s="11">
        <f>'balance_raw_25652991'!$D$38</f>
        <v/>
      </c>
      <c r="E61" s="11">
        <f>'balance_raw_25652991'!$E$38</f>
        <v/>
      </c>
      <c r="F61" s="11">
        <f>'balance_raw_25652991'!$F$38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'balance_raw_25652991'!$B$39</f>
        <v/>
      </c>
      <c r="C62" s="11">
        <f>'balance_raw_25652991'!$C$39</f>
        <v/>
      </c>
      <c r="D62" s="11">
        <f>'balance_raw_25652991'!$D$39</f>
        <v/>
      </c>
      <c r="E62" s="11">
        <f>'balance_raw_25652991'!$E$39</f>
        <v/>
      </c>
      <c r="F62" s="11">
        <f>'balance_raw_25652991'!$F$39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'balance_raw_25652991'!$B$40</f>
        <v/>
      </c>
      <c r="C63" s="8">
        <f>'balance_raw_25652991'!$C$40</f>
        <v/>
      </c>
      <c r="D63" s="8">
        <f>'balance_raw_25652991'!$D$40</f>
        <v/>
      </c>
      <c r="E63" s="8">
        <f>'balance_raw_25652991'!$E$40</f>
        <v/>
      </c>
      <c r="F63" s="8">
        <f>'balance_raw_25652991'!$F$40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'balance_raw_25652991'!$B$41</f>
        <v/>
      </c>
      <c r="C64" s="5">
        <f>'balance_raw_25652991'!$C$41</f>
        <v/>
      </c>
      <c r="D64" s="5">
        <f>'balance_raw_25652991'!$D$41</f>
        <v/>
      </c>
      <c r="E64" s="5">
        <f>'balance_raw_25652991'!$E$41</f>
        <v/>
      </c>
      <c r="F64" s="5">
        <f>'balance_raw_25652991'!$F$41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'balance_raw_25652991'!$B$42</f>
        <v/>
      </c>
      <c r="C65" s="8">
        <f>'balance_raw_25652991'!$C$42</f>
        <v/>
      </c>
      <c r="D65" s="8">
        <f>'balance_raw_25652991'!$D$42</f>
        <v/>
      </c>
      <c r="E65" s="8">
        <f>'balance_raw_25652991'!$E$42</f>
        <v/>
      </c>
      <c r="F65" s="8">
        <f>'balance_raw_25652991'!$F$42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'balance_raw_25652991'!$B$43</f>
        <v/>
      </c>
      <c r="C66" s="5">
        <f>'balance_raw_25652991'!$C$43</f>
        <v/>
      </c>
      <c r="D66" s="5">
        <f>'balance_raw_25652991'!$D$43</f>
        <v/>
      </c>
      <c r="E66" s="5">
        <f>'balance_raw_25652991'!$E$43</f>
        <v/>
      </c>
      <c r="F66" s="5">
        <f>'balance_raw_25652991'!$F$43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'balance_raw_25652991'!$B$44</f>
        <v/>
      </c>
      <c r="C67" s="11">
        <f>'balance_raw_25652991'!$C$44</f>
        <v/>
      </c>
      <c r="D67" s="11">
        <f>'balance_raw_25652991'!$D$44</f>
        <v/>
      </c>
      <c r="E67" s="11">
        <f>'balance_raw_25652991'!$E$44</f>
        <v/>
      </c>
      <c r="F67" s="11">
        <f>'balance_raw_25652991'!$F$44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'balance_raw_25652991'!$B$45</f>
        <v/>
      </c>
      <c r="C68" s="5">
        <f>'balance_raw_25652991'!$C$45</f>
        <v/>
      </c>
      <c r="D68" s="5">
        <f>'balance_raw_25652991'!$D$45</f>
        <v/>
      </c>
      <c r="E68" s="5">
        <f>'balance_raw_25652991'!$E$45</f>
        <v/>
      </c>
      <c r="F68" s="5">
        <f>'balance_raw_25652991'!$F$45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'balance_raw_25652991'!$B$46</f>
        <v/>
      </c>
      <c r="C69" s="8">
        <f>'balance_raw_25652991'!$C$46</f>
        <v/>
      </c>
      <c r="D69" s="8">
        <f>'balance_raw_25652991'!$D$46</f>
        <v/>
      </c>
      <c r="E69" s="8">
        <f>'balance_raw_25652991'!$E$46</f>
        <v/>
      </c>
      <c r="F69" s="8">
        <f>'balance_raw_25652991'!$F$46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'balance_raw_25652991'!$B$47</f>
        <v/>
      </c>
      <c r="C70" s="5">
        <f>'balance_raw_25652991'!$C$47</f>
        <v/>
      </c>
      <c r="D70" s="5">
        <f>'balance_raw_25652991'!$D$47</f>
        <v/>
      </c>
      <c r="E70" s="5">
        <f>'balance_raw_25652991'!$E$47</f>
        <v/>
      </c>
      <c r="F70" s="5">
        <f>'balance_raw_25652991'!$F$47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'balance_raw_25652991'!$B$48</f>
        <v/>
      </c>
      <c r="C71" s="8">
        <f>'balance_raw_25652991'!$C$48</f>
        <v/>
      </c>
      <c r="D71" s="8">
        <f>'balance_raw_25652991'!$D$48</f>
        <v/>
      </c>
      <c r="E71" s="8">
        <f>'balance_raw_25652991'!$E$48</f>
        <v/>
      </c>
      <c r="F71" s="8">
        <f>'balance_raw_25652991'!$F$48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'balance_raw_25652991'!$B$49</f>
        <v/>
      </c>
      <c r="C72" s="5">
        <f>'balance_raw_25652991'!$C$49</f>
        <v/>
      </c>
      <c r="D72" s="5">
        <f>'balance_raw_25652991'!$D$49</f>
        <v/>
      </c>
      <c r="E72" s="5">
        <f>'balance_raw_25652991'!$E$49</f>
        <v/>
      </c>
      <c r="F72" s="5">
        <f>'balance_raw_25652991'!$F$49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'balance_raw_25652991'!$B$50</f>
        <v/>
      </c>
      <c r="C73" s="8">
        <f>'balance_raw_25652991'!$C$50</f>
        <v/>
      </c>
      <c r="D73" s="8">
        <f>'balance_raw_25652991'!$D$50</f>
        <v/>
      </c>
      <c r="E73" s="8">
        <f>'balance_raw_25652991'!$E$50</f>
        <v/>
      </c>
      <c r="F73" s="8">
        <f>'balance_raw_25652991'!$F$50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'balance_raw_25652991'!$B$51</f>
        <v/>
      </c>
      <c r="C74" s="5">
        <f>'balance_raw_25652991'!$C$51</f>
        <v/>
      </c>
      <c r="D74" s="5">
        <f>'balance_raw_25652991'!$D$51</f>
        <v/>
      </c>
      <c r="E74" s="5">
        <f>'balance_raw_25652991'!$E$51</f>
        <v/>
      </c>
      <c r="F74" s="5">
        <f>'balance_raw_25652991'!$F$51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'balance_raw_25652991'!$B$52</f>
        <v/>
      </c>
      <c r="C75" s="8">
        <f>'balance_raw_25652991'!$C$52</f>
        <v/>
      </c>
      <c r="D75" s="8">
        <f>'balance_raw_25652991'!$D$52</f>
        <v/>
      </c>
      <c r="E75" s="8">
        <f>'balance_raw_25652991'!$E$52</f>
        <v/>
      </c>
      <c r="F75" s="8">
        <f>'balance_raw_25652991'!$F$52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'balance_raw_25652991'!$B$53</f>
        <v/>
      </c>
      <c r="C76" s="5">
        <f>'balance_raw_25652991'!$C$53</f>
        <v/>
      </c>
      <c r="D76" s="5">
        <f>'balance_raw_25652991'!$D$53</f>
        <v/>
      </c>
      <c r="E76" s="5">
        <f>'balance_raw_25652991'!$E$53</f>
        <v/>
      </c>
      <c r="F76" s="5">
        <f>'balance_raw_25652991'!$F$53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'balance_raw_25652991'!$B$54</f>
        <v/>
      </c>
      <c r="C77" s="8">
        <f>'balance_raw_25652991'!$C$54</f>
        <v/>
      </c>
      <c r="D77" s="8">
        <f>'balance_raw_25652991'!$D$54</f>
        <v/>
      </c>
      <c r="E77" s="8">
        <f>'balance_raw_25652991'!$E$54</f>
        <v/>
      </c>
      <c r="F77" s="8">
        <f>'balance_raw_25652991'!$F$54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'balance_raw_25652991'!$B$55</f>
        <v/>
      </c>
      <c r="C78" s="5">
        <f>'balance_raw_25652991'!$C$55</f>
        <v/>
      </c>
      <c r="D78" s="5">
        <f>'balance_raw_25652991'!$D$55</f>
        <v/>
      </c>
      <c r="E78" s="5">
        <f>'balance_raw_25652991'!$E$55</f>
        <v/>
      </c>
      <c r="F78" s="5">
        <f>'balance_raw_25652991'!$F$55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'balance_raw_25652991'!$B$56</f>
        <v/>
      </c>
      <c r="C79" s="11">
        <f>'balance_raw_25652991'!$C$56</f>
        <v/>
      </c>
      <c r="D79" s="11">
        <f>'balance_raw_25652991'!$D$56</f>
        <v/>
      </c>
      <c r="E79" s="11">
        <f>'balance_raw_25652991'!$E$56</f>
        <v/>
      </c>
      <c r="F79" s="11">
        <f>'balance_raw_25652991'!$F$56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'balance_raw_25652991'!$B$57</f>
        <v/>
      </c>
      <c r="C80" s="11">
        <f>'balance_raw_25652991'!$C$57</f>
        <v/>
      </c>
      <c r="D80" s="11">
        <f>'balance_raw_25652991'!$D$57</f>
        <v/>
      </c>
      <c r="E80" s="11">
        <f>'balance_raw_25652991'!$E$57</f>
        <v/>
      </c>
      <c r="F80" s="11">
        <f>'balance_raw_25652991'!$F$57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'balance_raw_25652991'!$B$58</f>
        <v/>
      </c>
      <c r="C81" s="11">
        <f>'balance_raw_25652991'!$C$58</f>
        <v/>
      </c>
      <c r="D81" s="11">
        <f>'balance_raw_25652991'!$D$58</f>
        <v/>
      </c>
      <c r="E81" s="11">
        <f>'balance_raw_25652991'!$E$58</f>
        <v/>
      </c>
      <c r="F81" s="11">
        <f>'balance_raw_25652991'!$F$58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Gns. antal medarbejdere</t>
        </is>
      </c>
      <c r="B84" s="5">
        <f>'res_raw_25652991'!$B$19</f>
        <v/>
      </c>
      <c r="C84" s="5">
        <f>'res_raw_25652991'!$C$19</f>
        <v/>
      </c>
      <c r="D84" s="5">
        <f>'res_raw_25652991'!$D$19</f>
        <v/>
      </c>
      <c r="E84" s="5">
        <f>'res_raw_25652991'!$E$19</f>
        <v/>
      </c>
      <c r="F84" s="5">
        <f>'res_raw_25652991'!$F$19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'res_raw_25652991'!$B$20</f>
        <v/>
      </c>
      <c r="C85" s="8">
        <f>'res_raw_25652991'!$C$20</f>
        <v/>
      </c>
      <c r="D85" s="8">
        <f>'res_raw_25652991'!$D$20</f>
        <v/>
      </c>
      <c r="E85" s="8">
        <f>'res_raw_25652991'!$E$20</f>
        <v/>
      </c>
      <c r="F85" s="8">
        <f>'res_raw_25652991'!$F$20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2020</v>
      </c>
      <c r="C87" s="3" t="n">
        <v>2021</v>
      </c>
      <c r="D87" s="3" t="n">
        <v>2022</v>
      </c>
      <c r="E87" s="3" t="n">
        <v>2023</v>
      </c>
      <c r="F87" s="3" t="n">
        <v>2024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914953</v>
      </c>
      <c r="C2" s="16" t="n">
        <v>768149</v>
      </c>
      <c r="D2" s="16" t="n">
        <v>1189258</v>
      </c>
      <c r="E2" s="16" t="n">
        <v>1195178</v>
      </c>
      <c r="F2" s="16" t="n">
        <v>1187681</v>
      </c>
    </row>
    <row r="3">
      <c r="A3" s="15" t="inlineStr">
        <is>
          <t>Andre driftsindtægter</t>
        </is>
      </c>
      <c r="B3" s="16" t="n">
        <v>184186</v>
      </c>
      <c r="C3" s="16" t="n">
        <v>206076</v>
      </c>
      <c r="D3" s="16" t="n">
        <v>485</v>
      </c>
      <c r="E3" s="16" t="n">
        <v>997</v>
      </c>
      <c r="F3" s="16" t="n">
        <v>13484</v>
      </c>
    </row>
    <row r="4">
      <c r="A4" s="15" t="inlineStr">
        <is>
          <t>Vareforbrug</t>
        </is>
      </c>
      <c r="B4" s="16" t="n">
        <v>75647</v>
      </c>
      <c r="C4" s="16" t="n">
        <v>50576</v>
      </c>
      <c r="D4" s="16" t="n">
        <v>77900</v>
      </c>
      <c r="E4" s="16" t="n">
        <v>80912</v>
      </c>
      <c r="F4" s="16" t="n">
        <v>70230</v>
      </c>
    </row>
    <row r="5">
      <c r="A5" s="15" t="inlineStr">
        <is>
          <t>Andre eksterne omkostninger</t>
        </is>
      </c>
      <c r="B5" s="16" t="n">
        <v>706838</v>
      </c>
      <c r="C5" s="16" t="n">
        <v>630891</v>
      </c>
      <c r="D5" s="16" t="n">
        <v>677139</v>
      </c>
      <c r="E5" s="16" t="n">
        <v>693318</v>
      </c>
      <c r="F5" s="16" t="n">
        <v>655035</v>
      </c>
    </row>
    <row r="6">
      <c r="A6" s="17" t="inlineStr">
        <is>
          <t>Bruttoresultat</t>
        </is>
      </c>
      <c r="B6" s="16" t="n">
        <v>316654</v>
      </c>
      <c r="C6" s="16" t="n">
        <v>292758</v>
      </c>
      <c r="D6" s="16" t="n">
        <v>434704</v>
      </c>
      <c r="E6" s="16" t="n">
        <v>421945</v>
      </c>
      <c r="F6" s="16" t="n">
        <v>475900</v>
      </c>
    </row>
    <row r="7">
      <c r="A7" s="15" t="inlineStr">
        <is>
          <t>Personaleomkostninger</t>
        </is>
      </c>
      <c r="B7" s="16" t="n">
        <v>388570</v>
      </c>
      <c r="C7" s="16" t="n">
        <v>394008</v>
      </c>
      <c r="D7" s="16" t="n">
        <v>318034</v>
      </c>
      <c r="E7" s="16" t="n">
        <v>313685</v>
      </c>
      <c r="F7" s="16" t="n">
        <v>285536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271012</v>
      </c>
      <c r="C9" s="16" t="n">
        <v>158360</v>
      </c>
      <c r="D9" s="16" t="n">
        <v>177726</v>
      </c>
      <c r="E9" s="16" t="n">
        <v>145299</v>
      </c>
      <c r="F9" s="16" t="n">
        <v>156670</v>
      </c>
    </row>
    <row r="10">
      <c r="A10" s="15" t="inlineStr">
        <is>
          <t>Andre driftsomkostninger</t>
        </is>
      </c>
      <c r="B10" s="16" t="n"/>
      <c r="C10" s="16" t="n">
        <v>11035</v>
      </c>
      <c r="D10" s="16" t="n">
        <v>6158</v>
      </c>
      <c r="E10" s="16" t="n">
        <v>10389</v>
      </c>
      <c r="F10" s="16" t="n">
        <v>5550</v>
      </c>
    </row>
    <row r="11">
      <c r="A11" s="17" t="inlineStr">
        <is>
          <t>Resultat af primær drift</t>
        </is>
      </c>
      <c r="B11" s="16" t="n">
        <v>-342928</v>
      </c>
      <c r="C11" s="16" t="n">
        <v>-270645</v>
      </c>
      <c r="D11" s="16" t="n">
        <v>-67214</v>
      </c>
      <c r="E11" s="16" t="n">
        <v>-47428</v>
      </c>
      <c r="F11" s="16" t="n">
        <v>28144</v>
      </c>
    </row>
    <row r="12">
      <c r="A12" s="15" t="inlineStr">
        <is>
          <t>Indtægter af kapitalandele, dattervirksomheder</t>
        </is>
      </c>
      <c r="B12" s="16" t="n">
        <v>-33194</v>
      </c>
      <c r="C12" s="16" t="n">
        <v>0</v>
      </c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159</v>
      </c>
      <c r="C13" s="16" t="n">
        <v>1501</v>
      </c>
      <c r="D13" s="16" t="n">
        <v>5103</v>
      </c>
      <c r="E13" s="16" t="n">
        <v>2472</v>
      </c>
      <c r="F13" s="16" t="n">
        <v>3132</v>
      </c>
    </row>
    <row r="14">
      <c r="A14" s="15" t="inlineStr">
        <is>
          <t>Finansielle omkostninger</t>
        </is>
      </c>
      <c r="B14" s="16" t="n">
        <v>9051</v>
      </c>
      <c r="C14" s="16" t="n">
        <v>9571</v>
      </c>
      <c r="D14" s="16" t="n">
        <v>9819</v>
      </c>
      <c r="E14" s="16" t="n">
        <v>9055</v>
      </c>
      <c r="F14" s="16" t="n">
        <v>17594</v>
      </c>
    </row>
    <row r="15">
      <c r="A15" s="17" t="inlineStr">
        <is>
          <t>Finansielle poster, netto</t>
        </is>
      </c>
      <c r="B15" s="16" t="n">
        <v>-8892</v>
      </c>
      <c r="C15" s="16" t="n">
        <v>-8070</v>
      </c>
      <c r="D15" s="16" t="n">
        <v>-4716</v>
      </c>
      <c r="E15" s="16" t="n">
        <v>-6583</v>
      </c>
      <c r="F15" s="16" t="n">
        <v>-14462</v>
      </c>
    </row>
    <row r="16">
      <c r="A16" s="17" t="inlineStr">
        <is>
          <t>Resultat før skat</t>
        </is>
      </c>
      <c r="B16" s="16" t="n">
        <v>-385014</v>
      </c>
      <c r="C16" s="16" t="n">
        <v>-278715</v>
      </c>
      <c r="D16" s="16" t="n">
        <v>-71930</v>
      </c>
      <c r="E16" s="16" t="n">
        <v>-54011</v>
      </c>
      <c r="F16" s="16" t="n">
        <v>13682</v>
      </c>
    </row>
    <row r="17">
      <c r="A17" s="15" t="inlineStr">
        <is>
          <t>Skat af årets resultat</t>
        </is>
      </c>
      <c r="B17" s="16" t="n">
        <v>-55478</v>
      </c>
      <c r="C17" s="16" t="n">
        <v>-57262</v>
      </c>
      <c r="D17" s="16" t="n">
        <v>-48866</v>
      </c>
      <c r="E17" s="16" t="n">
        <v>-4649</v>
      </c>
      <c r="F17" s="16" t="n">
        <v>4690</v>
      </c>
    </row>
    <row r="18">
      <c r="A18" s="17" t="inlineStr">
        <is>
          <t>Årets resultat</t>
        </is>
      </c>
      <c r="B18" s="16" t="n">
        <v>-329536</v>
      </c>
      <c r="C18" s="16" t="n">
        <v>-221453</v>
      </c>
      <c r="D18" s="16" t="n">
        <v>-23064</v>
      </c>
      <c r="E18" s="16" t="n">
        <v>-49362</v>
      </c>
      <c r="F18" s="16" t="n">
        <v>8992</v>
      </c>
    </row>
    <row r="19">
      <c r="A19" s="15" t="inlineStr">
        <is>
          <t>Gns. antal medarbejdere</t>
        </is>
      </c>
      <c r="B19" s="16" t="n">
        <v>1</v>
      </c>
      <c r="C19" s="16" t="n">
        <v>1036</v>
      </c>
      <c r="D19" s="16" t="n">
        <v>678</v>
      </c>
      <c r="E19" s="16" t="n">
        <v>630</v>
      </c>
      <c r="F19" s="16" t="n">
        <v>597</v>
      </c>
    </row>
    <row r="20">
      <c r="A20" s="15" t="inlineStr">
        <is>
          <t>Investering i materielle anlægsaktiver</t>
        </is>
      </c>
      <c r="B20" s="16" t="n">
        <v>47800</v>
      </c>
      <c r="C20" s="16" t="n">
        <v>17014</v>
      </c>
      <c r="D20" s="16" t="n">
        <v>158086</v>
      </c>
      <c r="E20" s="16" t="n">
        <v>105166</v>
      </c>
      <c r="F20" s="16" t="n">
        <v>311010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30256</v>
      </c>
      <c r="C2" s="16" t="n">
        <v>4315</v>
      </c>
      <c r="D2" s="16" t="n">
        <v>2556</v>
      </c>
      <c r="E2" s="16" t="n">
        <v>4583</v>
      </c>
      <c r="F2" s="16" t="n">
        <v>1742</v>
      </c>
    </row>
    <row r="3">
      <c r="A3" s="15" t="inlineStr">
        <is>
          <t>Patenter, varemærker mv.</t>
        </is>
      </c>
      <c r="B3" s="16" t="n">
        <v>480</v>
      </c>
      <c r="C3" s="16" t="n">
        <v>18654</v>
      </c>
      <c r="D3" s="16" t="n">
        <v>8775</v>
      </c>
      <c r="E3" s="16" t="n">
        <v>1215</v>
      </c>
      <c r="F3" s="16" t="n">
        <v>0</v>
      </c>
    </row>
    <row r="4">
      <c r="A4" s="15" t="inlineStr">
        <is>
          <t>Goodwill</t>
        </is>
      </c>
      <c r="B4" s="16" t="n">
        <v>84692</v>
      </c>
      <c r="C4" s="16" t="n">
        <v>59734</v>
      </c>
      <c r="D4" s="16" t="n">
        <v>39641</v>
      </c>
      <c r="E4" s="16" t="n">
        <v>23151</v>
      </c>
      <c r="F4" s="16" t="n">
        <v>7297</v>
      </c>
    </row>
    <row r="5">
      <c r="A5" s="17" t="inlineStr">
        <is>
          <t>Immaterielle anlægsaktiver</t>
        </is>
      </c>
      <c r="B5" s="16" t="n">
        <v>145720</v>
      </c>
      <c r="C5" s="16" t="n">
        <v>83063</v>
      </c>
      <c r="D5" s="16" t="n">
        <v>51212</v>
      </c>
      <c r="E5" s="16" t="n">
        <v>29069</v>
      </c>
      <c r="F5" s="16" t="n">
        <v>22825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216896</v>
      </c>
      <c r="C8" s="16" t="n">
        <v>161850</v>
      </c>
      <c r="D8" s="16" t="n">
        <v>119267</v>
      </c>
      <c r="E8" s="16" t="n">
        <v>112490</v>
      </c>
      <c r="F8" s="16" t="n">
        <v>250770</v>
      </c>
    </row>
    <row r="9">
      <c r="A9" s="15" t="inlineStr">
        <is>
          <t>Indretning af lejede lokaler</t>
        </is>
      </c>
      <c r="B9" s="16" t="n">
        <v>144420</v>
      </c>
      <c r="C9" s="16" t="n">
        <v>133150</v>
      </c>
      <c r="D9" s="16" t="n">
        <v>170396</v>
      </c>
      <c r="E9" s="16" t="n">
        <v>149834</v>
      </c>
      <c r="F9" s="16" t="n">
        <v>179935</v>
      </c>
    </row>
    <row r="10">
      <c r="A10" s="15" t="inlineStr">
        <is>
          <t>Forudbetaling og anlægsaktiver under opførelse</t>
        </is>
      </c>
      <c r="B10" s="16" t="n">
        <v>27762</v>
      </c>
      <c r="C10" s="16" t="n">
        <v>2884</v>
      </c>
      <c r="D10" s="16" t="n">
        <v>7592</v>
      </c>
      <c r="E10" s="16" t="n">
        <v>8336</v>
      </c>
      <c r="F10" s="16" t="n">
        <v>3604</v>
      </c>
    </row>
    <row r="11">
      <c r="A11" s="17" t="inlineStr">
        <is>
          <t>Materielle anlægsaktiver</t>
        </is>
      </c>
      <c r="B11" s="16" t="n">
        <v>389078</v>
      </c>
      <c r="C11" s="16" t="n">
        <v>297884</v>
      </c>
      <c r="D11" s="16" t="n">
        <v>297255</v>
      </c>
      <c r="E11" s="16" t="n">
        <v>270660</v>
      </c>
      <c r="F11" s="16" t="n">
        <v>434309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48476</v>
      </c>
      <c r="C13" s="16" t="n">
        <v>52140</v>
      </c>
      <c r="D13" s="16" t="n">
        <v>48692</v>
      </c>
      <c r="E13" s="16" t="n">
        <v>51771</v>
      </c>
      <c r="F13" s="16" t="n">
        <v>51728</v>
      </c>
    </row>
    <row r="14">
      <c r="A14" s="17" t="inlineStr">
        <is>
          <t>Finansielle anlægsaktiver</t>
        </is>
      </c>
      <c r="B14" s="16" t="n">
        <v>48476</v>
      </c>
      <c r="C14" s="16" t="n">
        <v>52140</v>
      </c>
      <c r="D14" s="16" t="n">
        <v>48692</v>
      </c>
      <c r="E14" s="16" t="n">
        <v>51771</v>
      </c>
      <c r="F14" s="16" t="n">
        <v>51728</v>
      </c>
    </row>
    <row r="15">
      <c r="A15" s="17" t="inlineStr">
        <is>
          <t>Anlægsaktiver</t>
        </is>
      </c>
      <c r="B15" s="16" t="n">
        <v>583274</v>
      </c>
      <c r="C15" s="16" t="n">
        <v>433087</v>
      </c>
      <c r="D15" s="16" t="n">
        <v>397159</v>
      </c>
      <c r="E15" s="16" t="n">
        <v>351500</v>
      </c>
      <c r="F15" s="16" t="n">
        <v>508862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>
        <v>10734</v>
      </c>
      <c r="D18" s="16" t="n">
        <v>15332</v>
      </c>
      <c r="E18" s="16" t="n">
        <v>9392</v>
      </c>
      <c r="F18" s="16" t="n">
        <v>9023</v>
      </c>
    </row>
    <row r="19">
      <c r="A19" s="17" t="inlineStr">
        <is>
          <t>Varebeholdninger</t>
        </is>
      </c>
      <c r="B19" s="16" t="n">
        <v>12123</v>
      </c>
      <c r="C19" s="16" t="n">
        <v>10734</v>
      </c>
      <c r="D19" s="16" t="n">
        <v>15332</v>
      </c>
      <c r="E19" s="16" t="n">
        <v>9392</v>
      </c>
      <c r="F19" s="16" t="n">
        <v>9023</v>
      </c>
    </row>
    <row r="20">
      <c r="A20" s="15" t="inlineStr">
        <is>
          <t>Tilgodehavender fra salg og tjenesteydelser</t>
        </is>
      </c>
      <c r="B20" s="16" t="n">
        <v>12452</v>
      </c>
      <c r="C20" s="16" t="n">
        <v>21590</v>
      </c>
      <c r="D20" s="16" t="n">
        <v>19296</v>
      </c>
      <c r="E20" s="16" t="n">
        <v>11127</v>
      </c>
      <c r="F20" s="16" t="n">
        <v>8465</v>
      </c>
    </row>
    <row r="21">
      <c r="A21" s="15" t="inlineStr">
        <is>
          <t>Tilgodehavender hos tilknyttede virksomheder</t>
        </is>
      </c>
      <c r="B21" s="16" t="n">
        <v>15145</v>
      </c>
      <c r="C21" s="16" t="n">
        <v>9392</v>
      </c>
      <c r="D21" s="16" t="n">
        <v>8678</v>
      </c>
      <c r="E21" s="16" t="n">
        <v>17499</v>
      </c>
      <c r="F21" s="16" t="n">
        <v>1812</v>
      </c>
    </row>
    <row r="22">
      <c r="A22" s="15" t="inlineStr">
        <is>
          <t>Andre tilgodehavender</t>
        </is>
      </c>
      <c r="B22" s="16" t="n">
        <v>28465</v>
      </c>
      <c r="C22" s="16" t="n">
        <v>4231</v>
      </c>
      <c r="D22" s="16" t="n">
        <v>4876</v>
      </c>
      <c r="E22" s="16" t="n">
        <v>6106</v>
      </c>
      <c r="F22" s="16" t="n">
        <v>4320</v>
      </c>
    </row>
    <row r="23">
      <c r="A23" s="15" t="inlineStr">
        <is>
          <t>Periodeafgrænsningsposter (aktiver)</t>
        </is>
      </c>
      <c r="B23" s="16" t="n">
        <v>8763</v>
      </c>
      <c r="C23" s="16" t="n">
        <v>9056</v>
      </c>
      <c r="D23" s="16" t="n">
        <v>11315</v>
      </c>
      <c r="E23" s="16" t="n">
        <v>19506</v>
      </c>
      <c r="F23" s="16" t="n">
        <v>23352</v>
      </c>
    </row>
    <row r="24">
      <c r="A24" s="15" t="inlineStr">
        <is>
          <t>Udskudt skatteaktiv</t>
        </is>
      </c>
      <c r="B24" s="16" t="n">
        <v>26558</v>
      </c>
      <c r="C24" s="16" t="n">
        <v>76371</v>
      </c>
      <c r="D24" s="16" t="n">
        <v>122460</v>
      </c>
      <c r="E24" s="16" t="n">
        <v>129869</v>
      </c>
      <c r="F24" s="16" t="n">
        <v>124991</v>
      </c>
    </row>
    <row r="25">
      <c r="A25" s="15" t="inlineStr">
        <is>
          <t>Tilgodehavende skat hos tilknyttede virksomheder</t>
        </is>
      </c>
      <c r="B25" s="16" t="n"/>
      <c r="C25" s="16" t="n">
        <v>751</v>
      </c>
      <c r="D25" s="16" t="n">
        <v>508</v>
      </c>
      <c r="E25" s="16" t="n">
        <v>0</v>
      </c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91383</v>
      </c>
      <c r="C27" s="16" t="n">
        <v>121391</v>
      </c>
      <c r="D27" s="16" t="n">
        <v>167133</v>
      </c>
      <c r="E27" s="16" t="n">
        <v>184107</v>
      </c>
      <c r="F27" s="16" t="n">
        <v>162940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11577</v>
      </c>
      <c r="C29" s="16" t="n">
        <v>95597</v>
      </c>
      <c r="D29" s="16" t="n">
        <v>13668</v>
      </c>
      <c r="E29" s="16" t="n">
        <v>94904</v>
      </c>
      <c r="F29" s="16" t="n">
        <v>74359</v>
      </c>
    </row>
    <row r="30">
      <c r="A30" s="17" t="inlineStr">
        <is>
          <t>Omsætningsaktiver</t>
        </is>
      </c>
      <c r="B30" s="16" t="n">
        <v>115083</v>
      </c>
      <c r="C30" s="16" t="n">
        <v>227722</v>
      </c>
      <c r="D30" s="16" t="n">
        <v>196133</v>
      </c>
      <c r="E30" s="16" t="n">
        <v>288403</v>
      </c>
      <c r="F30" s="16" t="n">
        <v>246322</v>
      </c>
    </row>
    <row r="31">
      <c r="A31" s="17" t="inlineStr">
        <is>
          <t>Aktiver</t>
        </is>
      </c>
      <c r="B31" s="16" t="n">
        <v>698357</v>
      </c>
      <c r="C31" s="16" t="n">
        <v>660809</v>
      </c>
      <c r="D31" s="16" t="n">
        <v>593292</v>
      </c>
      <c r="E31" s="16" t="n">
        <v>639903</v>
      </c>
      <c r="F31" s="16" t="n">
        <v>755184</v>
      </c>
    </row>
    <row r="32">
      <c r="A32" s="15" t="inlineStr">
        <is>
          <t>Selskabskapital</t>
        </is>
      </c>
      <c r="B32" s="16" t="n">
        <v>891</v>
      </c>
      <c r="C32" s="16" t="n">
        <v>891</v>
      </c>
      <c r="D32" s="16" t="n">
        <v>891</v>
      </c>
      <c r="E32" s="16" t="n">
        <v>891</v>
      </c>
      <c r="F32" s="16" t="n">
        <v>891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18751</v>
      </c>
      <c r="C34" s="16" t="n">
        <v>3749</v>
      </c>
      <c r="D34" s="16" t="n">
        <v>773</v>
      </c>
      <c r="E34" s="16" t="n">
        <v>0</v>
      </c>
      <c r="F34" s="16" t="n">
        <v>10382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57</v>
      </c>
      <c r="C37" s="16" t="n">
        <v>-206393</v>
      </c>
      <c r="D37" s="16" t="n">
        <v>23519</v>
      </c>
      <c r="E37" s="16" t="n">
        <v>74930</v>
      </c>
      <c r="F37" s="16" t="n">
        <v>49695</v>
      </c>
    </row>
    <row r="38">
      <c r="A38" s="17" t="inlineStr">
        <is>
          <t>Egenkapital i alt</t>
        </is>
      </c>
      <c r="B38" s="16" t="n">
        <v>19699</v>
      </c>
      <c r="C38" s="16" t="n">
        <v>-201753</v>
      </c>
      <c r="D38" s="16" t="n">
        <v>25183</v>
      </c>
      <c r="E38" s="16" t="n">
        <v>75821</v>
      </c>
      <c r="F38" s="16" t="n">
        <v>60968</v>
      </c>
    </row>
    <row r="39">
      <c r="A39" s="17" t="inlineStr">
        <is>
          <t>Hensatte forpligtelser</t>
        </is>
      </c>
      <c r="B39" s="16" t="n">
        <v>82851</v>
      </c>
      <c r="C39" s="16" t="n">
        <v>60073</v>
      </c>
      <c r="D39" s="16" t="n">
        <v>103961</v>
      </c>
      <c r="E39" s="16" t="n">
        <v>131334</v>
      </c>
      <c r="F39" s="16" t="n">
        <v>124804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>
        <v>70578</v>
      </c>
      <c r="C42" s="16" t="n">
        <v>35994</v>
      </c>
      <c r="D42" s="16" t="n">
        <v>17227</v>
      </c>
      <c r="E42" s="16" t="n">
        <v>6270</v>
      </c>
      <c r="F42" s="16" t="n">
        <v>916</v>
      </c>
    </row>
    <row r="43">
      <c r="A43" s="15" t="inlineStr">
        <is>
          <t>Anden gæld (langfristet)</t>
        </is>
      </c>
      <c r="B43" s="16" t="n">
        <v>27153</v>
      </c>
      <c r="C43" s="16" t="n">
        <v>44983</v>
      </c>
      <c r="D43" s="16" t="n">
        <v>19942</v>
      </c>
      <c r="E43" s="16" t="n">
        <v>144813</v>
      </c>
      <c r="F43" s="16" t="n">
        <v>151278</v>
      </c>
    </row>
    <row r="44">
      <c r="A44" s="17" t="inlineStr">
        <is>
          <t>Langfristede gældsforpligtelser</t>
        </is>
      </c>
      <c r="B44" s="16" t="n">
        <v>179662</v>
      </c>
      <c r="C44" s="16" t="n">
        <v>166565</v>
      </c>
      <c r="D44" s="16" t="n">
        <v>126578</v>
      </c>
      <c r="E44" s="16" t="n">
        <v>169387</v>
      </c>
      <c r="F44" s="16" t="n">
        <v>187443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/>
      <c r="C46" s="16" t="n">
        <v>35447</v>
      </c>
      <c r="D46" s="16" t="n">
        <v>18769</v>
      </c>
      <c r="E46" s="16" t="n">
        <v>10957</v>
      </c>
      <c r="F46" s="16" t="n">
        <v>8131</v>
      </c>
    </row>
    <row r="47">
      <c r="A47" s="15" t="inlineStr">
        <is>
          <t>Kreditinstitutter</t>
        </is>
      </c>
      <c r="B47" s="16" t="n">
        <v>0</v>
      </c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>
        <v>36658</v>
      </c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108306</v>
      </c>
      <c r="C49" s="16" t="n">
        <v>81355</v>
      </c>
      <c r="D49" s="16" t="n">
        <v>80173</v>
      </c>
      <c r="E49" s="16" t="n">
        <v>84865</v>
      </c>
      <c r="F49" s="16" t="n">
        <v>209725</v>
      </c>
    </row>
    <row r="50">
      <c r="A50" s="15" t="inlineStr">
        <is>
          <t>Gæld til tilknyttede virksomheder</t>
        </is>
      </c>
      <c r="B50" s="16" t="n">
        <v>59543</v>
      </c>
      <c r="C50" s="16" t="n">
        <v>379266</v>
      </c>
      <c r="D50" s="16" t="n">
        <v>208768</v>
      </c>
      <c r="E50" s="16" t="n">
        <v>116050</v>
      </c>
      <c r="F50" s="16" t="n">
        <v>110127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Gæld til tilknyttede virksomheder vedr. selskabsskat</t>
        </is>
      </c>
      <c r="B53" s="16" t="n">
        <v>7850</v>
      </c>
      <c r="C53" s="16" t="n">
        <v>0</v>
      </c>
      <c r="D53" s="16" t="n"/>
      <c r="E53" s="16" t="n">
        <v>163</v>
      </c>
      <c r="F53" s="16" t="n">
        <v>0</v>
      </c>
    </row>
    <row r="54">
      <c r="A54" s="15" t="inlineStr">
        <is>
          <t>Anden gæld (kortfristet)</t>
        </is>
      </c>
      <c r="B54" s="16" t="n">
        <v>60919</v>
      </c>
      <c r="C54" s="16" t="n">
        <v>67816</v>
      </c>
      <c r="D54" s="16" t="n">
        <v>17252</v>
      </c>
      <c r="E54" s="16" t="n">
        <v>40026</v>
      </c>
      <c r="F54" s="16" t="n">
        <v>44128</v>
      </c>
    </row>
    <row r="55">
      <c r="A55" s="15" t="inlineStr">
        <is>
          <t>Periodeafgrænsningsposter (passiver)</t>
        </is>
      </c>
      <c r="B55" s="16" t="n">
        <v>142869</v>
      </c>
      <c r="C55" s="16" t="n">
        <v>72040</v>
      </c>
      <c r="D55" s="16" t="n">
        <v>12608</v>
      </c>
      <c r="E55" s="16" t="n">
        <v>11300</v>
      </c>
      <c r="F55" s="16" t="n">
        <v>9858</v>
      </c>
    </row>
    <row r="56">
      <c r="A56" s="17" t="inlineStr">
        <is>
          <t>Kortfristede gældsforpligtelser</t>
        </is>
      </c>
      <c r="B56" s="16" t="n">
        <v>416145</v>
      </c>
      <c r="C56" s="16" t="n">
        <v>635924</v>
      </c>
      <c r="D56" s="16" t="n">
        <v>337570</v>
      </c>
      <c r="E56" s="16" t="n">
        <v>263361</v>
      </c>
      <c r="F56" s="16" t="n">
        <v>381969</v>
      </c>
    </row>
    <row r="57">
      <c r="A57" s="17" t="inlineStr">
        <is>
          <t>Gældsforpligtelser</t>
        </is>
      </c>
      <c r="B57" s="16" t="n">
        <v>595807</v>
      </c>
      <c r="C57" s="16" t="n">
        <v>802489</v>
      </c>
      <c r="D57" s="16" t="n">
        <v>464148</v>
      </c>
      <c r="E57" s="16" t="n">
        <v>432748</v>
      </c>
      <c r="F57" s="16" t="n">
        <v>569412</v>
      </c>
    </row>
    <row r="58">
      <c r="A58" s="17" t="inlineStr">
        <is>
          <t>Passiver</t>
        </is>
      </c>
      <c r="B58" s="16" t="n">
        <v>698357</v>
      </c>
      <c r="C58" s="16" t="n">
        <v>660809</v>
      </c>
      <c r="D58" s="16" t="n">
        <v>593292</v>
      </c>
      <c r="E58" s="16" t="n">
        <v>639903</v>
      </c>
      <c r="F58" s="16" t="n">
        <v>755184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25652991)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'res_raw_25652991'!$F$2</f>
        <v/>
      </c>
      <c r="C5" s="24">
        <f>'res_raw_25652991'!$E$2</f>
        <v/>
      </c>
      <c r="D5" s="24">
        <f>'res_raw_25652991'!$D$2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'res_raw_25652991'!$F$3</f>
        <v/>
      </c>
      <c r="C6" s="24">
        <f>'res_raw_25652991'!$E$3</f>
        <v/>
      </c>
      <c r="D6" s="24">
        <f>'res_raw_25652991'!$D$3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-'res_raw_25652991'!$F$4</f>
        <v/>
      </c>
      <c r="C7" s="24">
        <f>-'res_raw_25652991'!$E$4</f>
        <v/>
      </c>
      <c r="D7" s="24">
        <f>-'res_raw_25652991'!$D$4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-'res_raw_25652991'!$F$5</f>
        <v/>
      </c>
      <c r="C8" s="24">
        <f>-'res_raw_25652991'!$E$5</f>
        <v/>
      </c>
      <c r="D8" s="24">
        <f>-'res_raw_25652991'!$D$5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-'res_raw_25652991'!$F$7</f>
        <v/>
      </c>
      <c r="C10" s="24">
        <f>-'res_raw_25652991'!$E$7</f>
        <v/>
      </c>
      <c r="D10" s="24">
        <f>-'res_raw_25652991'!$D$7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-'res_raw_25652991'!$F$9</f>
        <v/>
      </c>
      <c r="C11" s="24">
        <f>-'res_raw_25652991'!$E$9</f>
        <v/>
      </c>
      <c r="D11" s="24">
        <f>-'res_raw_25652991'!$D$9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-'res_raw_25652991'!$F$10</f>
        <v/>
      </c>
      <c r="C12" s="24">
        <f>-'res_raw_25652991'!$E$10</f>
        <v/>
      </c>
      <c r="D12" s="24">
        <f>-'res_raw_25652991'!$D$10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N('res_raw_25652991'!$F$12)+N('res_raw_25652991'!$F$13)</f>
        <v/>
      </c>
      <c r="C14" s="24">
        <f>N('res_raw_25652991'!$E$12)+N('res_raw_25652991'!$E$13)</f>
        <v/>
      </c>
      <c r="D14" s="24">
        <f>N('res_raw_25652991'!$D$12)+N('res_raw_25652991'!$D$13)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-'res_raw_25652991'!$F$14</f>
        <v/>
      </c>
      <c r="C15" s="24">
        <f>-'res_raw_25652991'!$E$14</f>
        <v/>
      </c>
      <c r="D15" s="24">
        <f>-'res_raw_25652991'!$D$14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'balance_raw_25652991'!$F$15</f>
        <v/>
      </c>
      <c r="C19" s="24">
        <f>'balance_raw_25652991'!$E$15</f>
        <v/>
      </c>
      <c r="D19" s="24">
        <f>'balance_raw_25652991'!$D$15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'balance_raw_25652991'!$F$30</f>
        <v/>
      </c>
      <c r="C20" s="24">
        <f>'balance_raw_25652991'!$E$30</f>
        <v/>
      </c>
      <c r="D20" s="24">
        <f>'balance_raw_25652991'!$D$30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'balance_raw_25652991'!$F$38</f>
        <v/>
      </c>
      <c r="C23" s="24">
        <f>'balance_raw_25652991'!$E$38</f>
        <v/>
      </c>
      <c r="D23" s="24">
        <f>'balance_raw_25652991'!$D$38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'balance_raw_25652991'!$F$58-'balance_raw_25652991'!$F$38</f>
        <v/>
      </c>
      <c r="C24" s="24">
        <f>'balance_raw_25652991'!$E$58-'balance_raw_25652991'!$E$38</f>
        <v/>
      </c>
      <c r="D24" s="24">
        <f>'balance_raw_25652991'!$D$58-'balance_raw_25652991'!$D$38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'balance_raw_25652991'!$F$19</f>
        <v/>
      </c>
      <c r="C28" s="24">
        <f>'balance_raw_25652991'!$E$19</f>
        <v/>
      </c>
      <c r="D28" s="24">
        <f>'balance_raw_25652991'!$D$19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'balance_raw_25652991'!$F$20</f>
        <v/>
      </c>
      <c r="C29" s="24">
        <f>'balance_raw_25652991'!$E$20</f>
        <v/>
      </c>
      <c r="D29" s="24">
        <f>'balance_raw_25652991'!$D$20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'balance_raw_25652991'!$F$56</f>
        <v/>
      </c>
      <c r="C30" s="24">
        <f>'balance_raw_25652991'!$E$56</f>
        <v/>
      </c>
      <c r="D30" s="24">
        <f>'balance_raw_25652991'!$D$56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IF('balance_raw_25652991'!$F$31="","—",IF(ABS(B21-'balance_raw_25652991'!$F$31)&lt;=1,"✓ OK","❌ "&amp;TEXT(B21-'balance_raw_25652991'!$F$31,"+#,##0;-#,##0")&amp;" t.kr."))</f>
        <v/>
      </c>
      <c r="C61" s="29">
        <f>IF('balance_raw_25652991'!$E$31="","—",IF(ABS(C21-'balance_raw_25652991'!$E$31)&lt;=1,"✓ OK","❌ "&amp;TEXT(C21-'balance_raw_25652991'!$E$31,"+#,##0;-#,##0")&amp;" t.kr."))</f>
        <v/>
      </c>
      <c r="D61" s="29">
        <f>IF('balance_raw_25652991'!$D$31="","—",IF(ABS(D21-'balance_raw_25652991'!$D$31)&lt;=1,"✓ OK","❌ "&amp;TEXT(D21-'balance_raw_25652991'!$D$31,"+#,##0;-#,##0")&amp;"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IF('balance_raw_25652991'!$F$58="","—",IF(ABS(B25-'balance_raw_25652991'!$F$58)&lt;=1,"✓ OK","❌ "&amp;TEXT(B25-'balance_raw_25652991'!$F$58,"+#,##0;-#,##0")&amp;" t.kr."))</f>
        <v/>
      </c>
      <c r="C62" s="29">
        <f>IF('balance_raw_25652991'!$E$58="","—",IF(ABS(C25-'balance_raw_25652991'!$E$58)&lt;=1,"✓ OK","❌ "&amp;TEXT(C25-'balance_raw_25652991'!$E$58,"+#,##0;-#,##0")&amp;" t.kr."))</f>
        <v/>
      </c>
      <c r="D62" s="29">
        <f>IF('balance_raw_25652991'!$D$58="","—",IF(ABS(D25-'balance_raw_25652991'!$D$58)&lt;=1,"✓ OK","❌ "&amp;TEXT(D25-'balance_raw_25652991'!$D$58,"+#,##0;-#,##0")&amp;"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IF('res_raw_25652991'!$F$6="","—",IF(ABS(B9-'res_raw_25652991'!$F$6)&lt;=1,"✓ OK","❌ "&amp;TEXT(B9-'res_raw_25652991'!$F$6,"+#,##0;-#,##0")&amp;" t.kr."))</f>
        <v/>
      </c>
      <c r="C64" s="29">
        <f>IF('res_raw_25652991'!$E$6="","—",IF(ABS(C9-'res_raw_25652991'!$E$6)&lt;=1,"✓ OK","❌ "&amp;TEXT(C9-'res_raw_25652991'!$E$6,"+#,##0;-#,##0")&amp;" t.kr."))</f>
        <v/>
      </c>
      <c r="D64" s="29">
        <f>IF('res_raw_25652991'!$D$6="","—",IF(ABS(D9-'res_raw_25652991'!$D$6)&lt;=1,"✓ OK","❌ "&amp;TEXT(D9-'res_raw_25652991'!$D$6,"+#,##0;-#,##0")&amp;"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IF('res_raw_25652991'!$F$11="","—",IF(ABS(B13-'res_raw_25652991'!$F$11)&lt;=1,"✓ OK","❌ "&amp;TEXT(B13-'res_raw_25652991'!$F$11,"+#,##0;-#,##0")&amp;" t.kr."))</f>
        <v/>
      </c>
      <c r="C65" s="29">
        <f>IF('res_raw_25652991'!$E$11="","—",IF(ABS(C13-'res_raw_25652991'!$E$11)&lt;=1,"✓ OK","❌ "&amp;TEXT(C13-'res_raw_25652991'!$E$11,"+#,##0;-#,##0")&amp;" t.kr."))</f>
        <v/>
      </c>
      <c r="D65" s="29">
        <f>IF('res_raw_25652991'!$D$11="","—",IF(ABS(D13-'res_raw_25652991'!$D$11)&lt;=1,"✓ OK","❌ "&amp;TEXT(D13-'res_raw_25652991'!$D$11,"+#,##0;-#,##0")&amp;"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IF('res_raw_25652991'!$F$16="","—",IF(ABS(B16-'res_raw_25652991'!$F$16)&lt;=1,"✓ OK","❌ "&amp;TEXT(B16-'res_raw_25652991'!$F$16,"+#,##0;-#,##0")&amp;" t.kr."))</f>
        <v/>
      </c>
      <c r="C66" s="29">
        <f>IF('res_raw_25652991'!$E$16="","—",IF(ABS(C16-'res_raw_25652991'!$E$16)&lt;=1,"✓ OK","❌ "&amp;TEXT(C16-'res_raw_25652991'!$E$16,"+#,##0;-#,##0")&amp;" t.kr."))</f>
        <v/>
      </c>
      <c r="D66" s="29">
        <f>IF('res_raw_25652991'!$D$16="","—",IF(ABS(D16-'res_raw_25652991'!$D$16)&lt;=1,"✓ OK","❌ "&amp;TEXT(D16-'res_raw_25652991'!$D$16,"+#,##0;-#,##0")&amp;"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/>
      <c r="E3" s="35" t="n">
        <v>120500</v>
      </c>
      <c r="F3" s="35" t="n">
        <v>0</v>
      </c>
      <c r="G3" s="35" t="n">
        <v>-16766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fsa:InterestExpenseToParticipatingInterests</t>
        </is>
      </c>
      <c r="C4" s="37" t="inlineStr">
        <is>
          <t>fsa:InterestExpenseToParticipatingInterests</t>
        </is>
      </c>
      <c r="D4" s="38" t="n"/>
      <c r="E4" s="38" t="n">
        <v>3657</v>
      </c>
      <c r="F4" s="38" t="n">
        <v>3820</v>
      </c>
      <c r="G4" s="38" t="n">
        <v>5405</v>
      </c>
      <c r="H4" s="38" t="n">
        <v>7384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fsa:LongtermTradePayables</t>
        </is>
      </c>
      <c r="C5" s="34" t="inlineStr">
        <is>
          <t>fsa:LongtermTradePayables</t>
        </is>
      </c>
      <c r="D5" s="35" t="n"/>
      <c r="E5" s="35" t="n"/>
      <c r="F5" s="35" t="n"/>
      <c r="G5" s="35" t="n"/>
      <c r="H5" s="35" t="n">
        <v>16946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fsa:RefundInJointAssessment</t>
        </is>
      </c>
      <c r="C6" s="37" t="inlineStr">
        <is>
          <t>fsa:RefundInJointAssessment</t>
        </is>
      </c>
      <c r="D6" s="38" t="n"/>
      <c r="E6" s="38" t="n"/>
      <c r="F6" s="38" t="n">
        <v>-508</v>
      </c>
      <c r="G6" s="38" t="n">
        <v>163</v>
      </c>
      <c r="H6" s="38" t="n">
        <v>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2026-09-07T18:22:29Z</dcterms:created>
  <dcterms:modified xmlns:dcterms="http://purl.org/dc/terms/" xmlns:xsi="http://www.w3.org/2001/XMLSchema-instance" xsi:type="dcterms:W3CDTF">2026-09-07T18:22:29Z</dcterms:modified>
</cp:coreProperties>
</file>