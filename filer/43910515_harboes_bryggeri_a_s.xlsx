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harboe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'balance_raw'!$B$2</f>
        <v/>
      </c>
      <c r="C21" s="8">
        <f>'balance_raw'!$C$2</f>
        <v/>
      </c>
      <c r="D21" s="8">
        <f>'balance_raw'!$D$2</f>
        <v/>
      </c>
      <c r="E21" s="8">
        <f>'balance_raw'!$E$2</f>
        <v/>
      </c>
      <c r="F21" s="8">
        <f>'balance_raw'!$F$2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'balance_raw'!$B$3</f>
        <v/>
      </c>
      <c r="C22" s="8">
        <f>'balance_raw'!$C$3</f>
        <v/>
      </c>
      <c r="D22" s="8">
        <f>'balance_raw'!$D$3</f>
        <v/>
      </c>
      <c r="E22" s="8">
        <f>'balance_raw'!$E$3</f>
        <v/>
      </c>
      <c r="F22" s="8">
        <f>'balance_raw'!$F$3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'balance_raw'!$B$5</f>
        <v/>
      </c>
      <c r="C24" s="5">
        <f>'balance_raw'!$C$5</f>
        <v/>
      </c>
      <c r="D24" s="5">
        <f>'balance_raw'!$D$5</f>
        <v/>
      </c>
      <c r="E24" s="5">
        <f>'balance_raw'!$E$5</f>
        <v/>
      </c>
      <c r="F24" s="5">
        <f>'balance_raw'!$F$5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  <row r="88">
      <c r="A88" s="15" t="inlineStr">
        <is>
          <t>PENGESTRØMSOPGØRELSE t.kr.</t>
        </is>
      </c>
    </row>
    <row r="89">
      <c r="A89" s="16" t="inlineStr">
        <is>
          <t>Pengestrømme fra driftsaktivitet</t>
        </is>
      </c>
      <c r="B89" s="17">
        <f>'pengestrom_raw'!$B$2</f>
        <v/>
      </c>
      <c r="C89" s="17">
        <f>'pengestrom_raw'!$C$2</f>
        <v/>
      </c>
      <c r="D89" s="17">
        <f>'pengestrom_raw'!$D$2</f>
        <v/>
      </c>
      <c r="E89" s="17">
        <f>'pengestrom_raw'!$E$2</f>
        <v/>
      </c>
      <c r="F89" s="17">
        <f>'pengestrom_raw'!$F$2</f>
        <v/>
      </c>
    </row>
    <row r="90">
      <c r="A90" s="16" t="inlineStr">
        <is>
          <t>Pengestrømme fra investeringsaktivitet</t>
        </is>
      </c>
      <c r="B90" s="17">
        <f>'pengestrom_raw'!$B$3</f>
        <v/>
      </c>
      <c r="C90" s="17">
        <f>'pengestrom_raw'!$C$3</f>
        <v/>
      </c>
      <c r="D90" s="17">
        <f>'pengestrom_raw'!$D$3</f>
        <v/>
      </c>
      <c r="E90" s="17">
        <f>'pengestrom_raw'!$E$3</f>
        <v/>
      </c>
      <c r="F90" s="17">
        <f>'pengestrom_raw'!$F$3</f>
        <v/>
      </c>
    </row>
    <row r="91">
      <c r="A91" s="16" t="inlineStr">
        <is>
          <t>Pengestrømme fra finansieringsaktivitet</t>
        </is>
      </c>
      <c r="B91" s="17">
        <f>'pengestrom_raw'!$B$4</f>
        <v/>
      </c>
      <c r="C91" s="17">
        <f>'pengestrom_raw'!$C$4</f>
        <v/>
      </c>
      <c r="D91" s="17">
        <f>'pengestrom_raw'!$D$4</f>
        <v/>
      </c>
      <c r="E91" s="17">
        <f>'pengestrom_raw'!$E$4</f>
        <v/>
      </c>
      <c r="F91" s="17">
        <f>'pengestrom_raw'!$F$4</f>
        <v/>
      </c>
    </row>
    <row r="92">
      <c r="A92" s="16" t="inlineStr">
        <is>
          <t>Årets pengestrøm (rapporteret)</t>
        </is>
      </c>
      <c r="B92" s="17">
        <f>'pengestrom_raw'!$B$5</f>
        <v/>
      </c>
      <c r="C92" s="17">
        <f>'pengestrom_raw'!$C$5</f>
        <v/>
      </c>
      <c r="D92" s="17">
        <f>'pengestrom_raw'!$D$5</f>
        <v/>
      </c>
      <c r="E92" s="17">
        <f>'pengestrom_raw'!$E$5</f>
        <v/>
      </c>
      <c r="F92" s="17">
        <f>'pengestrom_raw'!$F$5</f>
        <v/>
      </c>
    </row>
    <row r="93">
      <c r="A93" s="16" t="inlineStr">
        <is>
          <t>Krydstjek: drift + inv. + fin. = årets pengestrøm</t>
        </is>
      </c>
      <c r="B93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3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3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3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3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harboe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1328184</v>
      </c>
      <c r="C2" s="17" t="n">
        <v>1419353</v>
      </c>
      <c r="D2" s="17" t="n">
        <v>1621066</v>
      </c>
      <c r="E2" s="17" t="n">
        <v>1817069</v>
      </c>
      <c r="F2" s="17" t="n">
        <v>1822588</v>
      </c>
    </row>
    <row r="3">
      <c r="A3" s="16" t="inlineStr">
        <is>
          <t>Produktionsomkostninger</t>
        </is>
      </c>
      <c r="B3" s="17" t="n">
        <v>1105266</v>
      </c>
      <c r="C3" s="17" t="n">
        <v>1161534</v>
      </c>
      <c r="D3" s="17" t="n">
        <v>1349830</v>
      </c>
      <c r="E3" s="17" t="n">
        <v>1464255</v>
      </c>
      <c r="F3" s="17" t="n">
        <v>1466556</v>
      </c>
    </row>
    <row r="4">
      <c r="A4" s="15" t="inlineStr">
        <is>
          <t>Bruttoresultat</t>
        </is>
      </c>
      <c r="B4" s="17" t="n">
        <v>222918</v>
      </c>
      <c r="C4" s="17" t="n">
        <v>257819</v>
      </c>
      <c r="D4" s="17" t="n">
        <v>271236</v>
      </c>
      <c r="E4" s="17" t="n">
        <v>352814</v>
      </c>
      <c r="F4" s="17" t="n">
        <v>356032</v>
      </c>
    </row>
    <row r="5">
      <c r="A5" s="16" t="inlineStr">
        <is>
          <t>Salgs- og distributionsomkostninger</t>
        </is>
      </c>
      <c r="B5" s="17" t="n">
        <v>165277</v>
      </c>
      <c r="C5" s="17" t="n">
        <v>202934</v>
      </c>
      <c r="D5" s="17" t="n">
        <v>212175</v>
      </c>
      <c r="E5" s="17" t="n">
        <v>197982</v>
      </c>
      <c r="F5" s="17" t="n">
        <v>211238</v>
      </c>
    </row>
    <row r="6">
      <c r="A6" s="16" t="inlineStr">
        <is>
          <t>Administrationsomkostninger</t>
        </is>
      </c>
      <c r="B6" s="17" t="n">
        <v>57658</v>
      </c>
      <c r="C6" s="17" t="n">
        <v>60161</v>
      </c>
      <c r="D6" s="17" t="n">
        <v>65099</v>
      </c>
      <c r="E6" s="17" t="n">
        <v>81369</v>
      </c>
      <c r="F6" s="17" t="n">
        <v>90693</v>
      </c>
    </row>
    <row r="7">
      <c r="A7" s="16" t="inlineStr">
        <is>
          <t>Andre driftsindtægter</t>
        </is>
      </c>
      <c r="B7" s="17" t="n">
        <v>13323</v>
      </c>
      <c r="C7" s="17" t="n">
        <v>10802</v>
      </c>
      <c r="D7" s="17" t="n">
        <v>10811</v>
      </c>
      <c r="E7" s="17" t="n">
        <v>9805</v>
      </c>
      <c r="F7" s="17" t="n">
        <v>15851</v>
      </c>
    </row>
    <row r="8">
      <c r="A8" s="16" t="inlineStr">
        <is>
          <t>Andre driftsomkostninger</t>
        </is>
      </c>
      <c r="B8" s="17" t="n">
        <v>3280</v>
      </c>
      <c r="C8" s="17" t="n">
        <v>6322</v>
      </c>
      <c r="D8" s="17" t="n">
        <v>7736</v>
      </c>
      <c r="E8" s="17" t="n">
        <v>6165</v>
      </c>
      <c r="F8" s="17" t="n">
        <v>6184</v>
      </c>
    </row>
    <row r="9">
      <c r="A9" s="15" t="inlineStr">
        <is>
          <t>Resultat af primær drift</t>
        </is>
      </c>
      <c r="B9" s="17" t="n">
        <v>10026</v>
      </c>
      <c r="C9" s="17" t="n">
        <v>-796</v>
      </c>
      <c r="D9" s="17" t="n">
        <v>-2963</v>
      </c>
      <c r="E9" s="17" t="n">
        <v>77103</v>
      </c>
      <c r="F9" s="17" t="n">
        <v>63768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138</v>
      </c>
      <c r="C11" s="17" t="n">
        <v>206</v>
      </c>
      <c r="D11" s="17" t="n">
        <v>1957</v>
      </c>
      <c r="E11" s="17" t="n">
        <v>806</v>
      </c>
      <c r="F11" s="17" t="n">
        <v>1875</v>
      </c>
    </row>
    <row r="12">
      <c r="A12" s="16" t="inlineStr">
        <is>
          <t>Finansielle omkostninger</t>
        </is>
      </c>
      <c r="B12" s="17" t="n">
        <v>6921</v>
      </c>
      <c r="C12" s="17" t="n">
        <v>6367</v>
      </c>
      <c r="D12" s="17" t="n">
        <v>8015</v>
      </c>
      <c r="E12" s="17" t="n">
        <v>10037</v>
      </c>
      <c r="F12" s="17" t="n">
        <v>9497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3243</v>
      </c>
      <c r="C14" s="17" t="n">
        <v>-6957</v>
      </c>
      <c r="D14" s="17" t="n">
        <v>-9021</v>
      </c>
      <c r="E14" s="17" t="n">
        <v>67872</v>
      </c>
      <c r="F14" s="17" t="n">
        <v>56146</v>
      </c>
    </row>
    <row r="15">
      <c r="A15" s="16" t="inlineStr">
        <is>
          <t>Skat af årets resultat</t>
        </is>
      </c>
      <c r="B15" s="17" t="n">
        <v>1584</v>
      </c>
      <c r="C15" s="17" t="n">
        <v>-2730</v>
      </c>
      <c r="D15" s="17" t="n">
        <v>-4683</v>
      </c>
      <c r="E15" s="17" t="n">
        <v>13111</v>
      </c>
      <c r="F15" s="17" t="n">
        <v>11350</v>
      </c>
    </row>
    <row r="16">
      <c r="A16" s="15" t="inlineStr">
        <is>
          <t>Årets resultat</t>
        </is>
      </c>
      <c r="B16" s="17" t="n">
        <v>1659</v>
      </c>
      <c r="C16" s="17" t="n">
        <v>-4227</v>
      </c>
      <c r="D16" s="17" t="n">
        <v>-4338</v>
      </c>
      <c r="E16" s="17" t="n">
        <v>54761</v>
      </c>
      <c r="F16" s="17" t="n">
        <v>44796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45400</v>
      </c>
      <c r="C18" s="17" t="n">
        <v>49452</v>
      </c>
      <c r="D18" s="17" t="n">
        <v>61517</v>
      </c>
      <c r="E18" s="17" t="n">
        <v>129245</v>
      </c>
      <c r="F18" s="17" t="n">
        <v>115705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harboe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13421</v>
      </c>
      <c r="C2" s="17" t="n">
        <v>6218</v>
      </c>
      <c r="D2" s="17" t="n">
        <v>4202</v>
      </c>
      <c r="E2" s="17" t="n">
        <v>3982</v>
      </c>
      <c r="F2" s="17" t="n">
        <v>3783</v>
      </c>
    </row>
    <row r="3">
      <c r="A3" s="15" t="inlineStr">
        <is>
          <t>Materielle anlægsaktiver</t>
        </is>
      </c>
      <c r="B3" s="17" t="n">
        <v>667947</v>
      </c>
      <c r="C3" s="17" t="n">
        <v>613578</v>
      </c>
      <c r="D3" s="17" t="n">
        <v>589011</v>
      </c>
      <c r="E3" s="17" t="n">
        <v>636873</v>
      </c>
      <c r="F3" s="17" t="n">
        <v>739302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5885</v>
      </c>
      <c r="C5" s="17" t="n">
        <v>2363</v>
      </c>
      <c r="D5" s="17" t="n">
        <v>1538</v>
      </c>
      <c r="E5" s="17" t="n">
        <v>1538</v>
      </c>
      <c r="F5" s="17" t="n">
        <v>1538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706954</v>
      </c>
      <c r="C7" s="17" t="n">
        <v>653619</v>
      </c>
      <c r="D7" s="17" t="n">
        <v>622801</v>
      </c>
      <c r="E7" s="17" t="n">
        <v>667650</v>
      </c>
      <c r="F7" s="17" t="n">
        <v>766712</v>
      </c>
    </row>
    <row r="8">
      <c r="A8" s="15" t="inlineStr">
        <is>
          <t>Varebeholdninger</t>
        </is>
      </c>
      <c r="B8" s="17" t="n">
        <v>144726</v>
      </c>
      <c r="C8" s="17" t="n">
        <v>164926</v>
      </c>
      <c r="D8" s="17" t="n">
        <v>205368</v>
      </c>
      <c r="E8" s="17" t="n">
        <v>194416</v>
      </c>
      <c r="F8" s="17" t="n">
        <v>199459</v>
      </c>
    </row>
    <row r="9">
      <c r="A9" s="16" t="inlineStr">
        <is>
          <t>Tilgodehavender fra salg og tjenesteydelser</t>
        </is>
      </c>
      <c r="B9" s="17" t="n">
        <v>264396</v>
      </c>
      <c r="C9" s="17" t="n">
        <v>271883</v>
      </c>
      <c r="D9" s="17" t="n">
        <v>355541</v>
      </c>
      <c r="E9" s="17" t="n">
        <v>418227</v>
      </c>
      <c r="F9" s="17" t="n">
        <v>419674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/>
      <c r="C12" s="17" t="n">
        <v>6504</v>
      </c>
      <c r="D12" s="17" t="n">
        <v>6572</v>
      </c>
      <c r="E12" s="17" t="n">
        <v>4573</v>
      </c>
      <c r="F12" s="17" t="n">
        <v>4757</v>
      </c>
    </row>
    <row r="13">
      <c r="A13" s="16" t="inlineStr">
        <is>
          <t>Udskudt skatteaktiv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16642</v>
      </c>
      <c r="C18" s="17" t="n">
        <v>46090</v>
      </c>
      <c r="D18" s="17" t="n">
        <v>9365</v>
      </c>
      <c r="E18" s="17" t="n">
        <v>33132</v>
      </c>
      <c r="F18" s="17" t="n">
        <v>30441</v>
      </c>
    </row>
    <row r="19">
      <c r="A19" s="15" t="inlineStr">
        <is>
          <t>Omsætningsaktiver</t>
        </is>
      </c>
      <c r="B19" s="17" t="n">
        <v>434115</v>
      </c>
      <c r="C19" s="17" t="n">
        <v>489403</v>
      </c>
      <c r="D19" s="17" t="n">
        <v>576846</v>
      </c>
      <c r="E19" s="17" t="n">
        <v>652776</v>
      </c>
      <c r="F19" s="17" t="n">
        <v>654331</v>
      </c>
    </row>
    <row r="20">
      <c r="A20" s="15" t="inlineStr">
        <is>
          <t>Aktiver</t>
        </is>
      </c>
      <c r="B20" s="17" t="n">
        <v>1141069</v>
      </c>
      <c r="C20" s="17" t="n">
        <v>1143022</v>
      </c>
      <c r="D20" s="17" t="n">
        <v>1199647</v>
      </c>
      <c r="E20" s="17" t="n">
        <v>1320426</v>
      </c>
      <c r="F20" s="17" t="n">
        <v>1421043</v>
      </c>
    </row>
    <row r="21">
      <c r="A21" s="16" t="inlineStr">
        <is>
          <t>Selskabskapital</t>
        </is>
      </c>
      <c r="B21" s="17" t="n">
        <v>60000</v>
      </c>
      <c r="C21" s="17" t="n">
        <v>60000</v>
      </c>
      <c r="D21" s="17" t="n">
        <v>60000</v>
      </c>
      <c r="E21" s="17" t="n">
        <v>60000</v>
      </c>
      <c r="F21" s="17" t="n">
        <v>60000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-1275</v>
      </c>
      <c r="C25" s="17" t="n">
        <v>-225</v>
      </c>
      <c r="D25" s="17" t="n">
        <v>-180</v>
      </c>
      <c r="E25" s="17" t="n">
        <v>-9</v>
      </c>
      <c r="F25" s="17" t="n">
        <v>224</v>
      </c>
    </row>
    <row r="26">
      <c r="A26" s="16" t="inlineStr">
        <is>
          <t>Overført resultat</t>
        </is>
      </c>
      <c r="B26" s="17" t="n">
        <v>621067</v>
      </c>
      <c r="C26" s="17" t="n">
        <v>621128</v>
      </c>
      <c r="D26" s="17" t="n">
        <v>616814</v>
      </c>
      <c r="E26" s="17" t="n">
        <v>659575</v>
      </c>
      <c r="F26" s="17" t="n">
        <v>695926</v>
      </c>
    </row>
    <row r="27">
      <c r="A27" s="15" t="inlineStr">
        <is>
          <t>Egenkapital i alt</t>
        </is>
      </c>
      <c r="B27" s="17" t="n">
        <v>679792</v>
      </c>
      <c r="C27" s="17" t="n">
        <v>680903</v>
      </c>
      <c r="D27" s="17" t="n">
        <v>676634</v>
      </c>
      <c r="E27" s="17" t="n">
        <v>731566</v>
      </c>
      <c r="F27" s="17" t="n">
        <v>768150</v>
      </c>
    </row>
    <row r="28">
      <c r="A28" s="16" t="inlineStr">
        <is>
          <t>Hensættelse til udskudt skat</t>
        </is>
      </c>
      <c r="B28" s="17" t="n">
        <v>44629</v>
      </c>
      <c r="C28" s="17" t="n">
        <v>46453</v>
      </c>
      <c r="D28" s="17" t="n">
        <v>43380</v>
      </c>
      <c r="E28" s="17" t="n">
        <v>42656</v>
      </c>
      <c r="F28" s="17" t="n">
        <v>47729</v>
      </c>
    </row>
    <row r="29">
      <c r="A29" s="15" t="inlineStr">
        <is>
          <t>Hensatte forpligtelser</t>
        </is>
      </c>
      <c r="B29" s="17" t="n">
        <v>44629</v>
      </c>
      <c r="C29" s="17" t="n">
        <v>46453</v>
      </c>
      <c r="D29" s="17" t="n">
        <v>43380</v>
      </c>
      <c r="E29" s="17" t="n">
        <v>42656</v>
      </c>
      <c r="F29" s="17" t="n">
        <v>47729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39907</v>
      </c>
      <c r="C32" s="17" t="n">
        <v>33029</v>
      </c>
      <c r="D32" s="17" t="n">
        <v>35342</v>
      </c>
      <c r="E32" s="17" t="n">
        <v>33435</v>
      </c>
      <c r="F32" s="17" t="n">
        <v>31999</v>
      </c>
    </row>
    <row r="33">
      <c r="A33" s="16" t="inlineStr">
        <is>
          <t>Anden gæld (langfristet)</t>
        </is>
      </c>
      <c r="B33" s="17" t="n">
        <v>86301</v>
      </c>
      <c r="C33" s="17" t="n">
        <v>70318</v>
      </c>
      <c r="D33" s="17" t="n">
        <v>54175</v>
      </c>
      <c r="E33" s="17" t="n">
        <v>36441</v>
      </c>
      <c r="F33" s="17" t="n">
        <v>67153</v>
      </c>
    </row>
    <row r="34">
      <c r="A34" s="15" t="inlineStr">
        <is>
          <t>Langfristede gældsforpligtelser</t>
        </is>
      </c>
      <c r="B34" s="17" t="n">
        <v>191687</v>
      </c>
      <c r="C34" s="17" t="n">
        <v>167172</v>
      </c>
      <c r="D34" s="17" t="n">
        <v>0</v>
      </c>
      <c r="E34" s="17" t="n">
        <v>54757</v>
      </c>
      <c r="F34" s="17" t="n">
        <v>178075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16199</v>
      </c>
      <c r="C37" s="17" t="n">
        <v>0</v>
      </c>
      <c r="D37" s="17" t="n">
        <v>91427</v>
      </c>
      <c r="E37" s="17" t="n">
        <v>23316</v>
      </c>
      <c r="F37" s="17" t="n">
        <v>73933</v>
      </c>
    </row>
    <row r="38">
      <c r="A38" s="16" t="inlineStr">
        <is>
          <t>Leasingforpligtelser (kortfristet)</t>
        </is>
      </c>
      <c r="B38" s="17" t="n">
        <v>9996</v>
      </c>
      <c r="C38" s="17" t="n">
        <v>9683</v>
      </c>
      <c r="D38" s="17" t="n">
        <v>10813</v>
      </c>
      <c r="E38" s="17" t="n">
        <v>10886</v>
      </c>
      <c r="F38" s="17" t="n">
        <v>12135</v>
      </c>
    </row>
    <row r="39">
      <c r="A39" s="16" t="inlineStr">
        <is>
          <t>Leverandører af varer og tjenesteydelser</t>
        </is>
      </c>
      <c r="B39" s="17" t="n">
        <v>117908</v>
      </c>
      <c r="C39" s="17" t="n">
        <v>158597</v>
      </c>
      <c r="D39" s="17" t="n">
        <v>145121</v>
      </c>
      <c r="E39" s="17" t="n">
        <v>244505</v>
      </c>
      <c r="F39" s="17" t="n">
        <v>254769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122044</v>
      </c>
      <c r="C44" s="17" t="n">
        <v>107808</v>
      </c>
      <c r="D44" s="17" t="n">
        <v>109402</v>
      </c>
      <c r="E44" s="17" t="n">
        <v>110011</v>
      </c>
      <c r="F44" s="17" t="n">
        <v>115928</v>
      </c>
    </row>
    <row r="45">
      <c r="A45" s="16" t="inlineStr">
        <is>
          <t>Periodeafgrænsningsposter (passiver)</t>
        </is>
      </c>
      <c r="B45" s="17" t="n"/>
      <c r="C45" s="17" t="n">
        <v>2869</v>
      </c>
      <c r="D45" s="17" t="n">
        <v>2426</v>
      </c>
      <c r="E45" s="17" t="n">
        <v>2121</v>
      </c>
      <c r="F45" s="17" t="n">
        <v>1833</v>
      </c>
    </row>
    <row r="46">
      <c r="A46" s="15" t="inlineStr">
        <is>
          <t>Kortfristede gældsforpligtelser</t>
        </is>
      </c>
      <c r="B46" s="17" t="n">
        <v>269590</v>
      </c>
      <c r="C46" s="17" t="n">
        <v>294947</v>
      </c>
      <c r="D46" s="17" t="n">
        <v>375332</v>
      </c>
      <c r="E46" s="17" t="n">
        <v>408645</v>
      </c>
      <c r="F46" s="17" t="n">
        <v>474818</v>
      </c>
    </row>
    <row r="47">
      <c r="A47" s="15" t="inlineStr">
        <is>
          <t>Gældsforpligtelser</t>
        </is>
      </c>
      <c r="B47" s="17" t="n">
        <v>461277</v>
      </c>
      <c r="C47" s="17" t="n">
        <v>462119</v>
      </c>
      <c r="D47" s="17" t="n">
        <v>523013</v>
      </c>
      <c r="E47" s="17" t="n">
        <v>588860</v>
      </c>
      <c r="F47" s="17" t="n">
        <v>652893</v>
      </c>
    </row>
    <row r="48">
      <c r="A48" s="15" t="inlineStr">
        <is>
          <t>Passiver</t>
        </is>
      </c>
      <c r="B48" s="17" t="n">
        <v>1141069</v>
      </c>
      <c r="C48" s="17" t="n">
        <v>1143022</v>
      </c>
      <c r="D48" s="17" t="n">
        <v>1199647</v>
      </c>
      <c r="E48" s="17" t="n">
        <v>1320426</v>
      </c>
      <c r="F48" s="17" t="n">
        <v>1421043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harboe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21402</v>
      </c>
      <c r="C2" s="17" t="n">
        <v>100134</v>
      </c>
      <c r="D2" s="17" t="n">
        <v>-58785</v>
      </c>
      <c r="E2" s="17" t="n">
        <v>182011</v>
      </c>
      <c r="F2" s="17" t="n">
        <v>86120</v>
      </c>
    </row>
    <row r="3">
      <c r="A3" s="16" t="inlineStr">
        <is>
          <t>Pengestrømme fra investeringsaktivitet</t>
        </is>
      </c>
      <c r="B3" s="17" t="n">
        <v>-36256</v>
      </c>
      <c r="C3" s="17" t="n">
        <v>-47119</v>
      </c>
      <c r="D3" s="17" t="n">
        <v>-57066</v>
      </c>
      <c r="E3" s="17" t="n">
        <v>-127041</v>
      </c>
      <c r="F3" s="17" t="n">
        <v>-99591</v>
      </c>
    </row>
    <row r="4">
      <c r="A4" s="16" t="inlineStr">
        <is>
          <t>Pengestrømme fra finansieringsaktivitet</t>
        </is>
      </c>
      <c r="B4" s="17" t="n">
        <v>-14180</v>
      </c>
      <c r="C4" s="17" t="n">
        <v>-23384</v>
      </c>
      <c r="D4" s="17" t="n">
        <v>78838</v>
      </c>
      <c r="E4" s="17" t="n">
        <v>-31257</v>
      </c>
      <c r="F4" s="17" t="n">
        <v>10725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harboe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2026-09-10T15:35:27Z</dcterms:created>
  <dcterms:modified xmlns:dcterms="http://purl.org/dc/terms/" xmlns:xsi="http://www.w3.org/2001/XMLSchema-instance" xsi:type="dcterms:W3CDTF">2026-09-10T15:35:28Z</dcterms:modified>
</cp:coreProperties>
</file>