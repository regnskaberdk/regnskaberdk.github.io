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4137414" sheetId="1" state="visible" r:id="rId1"/>
    <sheet xmlns:r="http://schemas.openxmlformats.org/officeDocument/2006/relationships" name="res_raw_24137414" sheetId="2" state="visible" r:id="rId2"/>
    <sheet xmlns:r="http://schemas.openxmlformats.org/officeDocument/2006/relationships" name="balance_raw_24137414" sheetId="3" state="visible" r:id="rId3"/>
    <sheet xmlns:r="http://schemas.openxmlformats.org/officeDocument/2006/relationships" name="Simpel_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'res_raw_24137414'!$B$2</f>
        <v/>
      </c>
      <c r="C4" s="5">
        <f>'res_raw_24137414'!$C$2</f>
        <v/>
      </c>
      <c r="D4" s="5">
        <f>'res_raw_24137414'!$D$2</f>
        <v/>
      </c>
      <c r="E4" s="5">
        <f>'res_raw_24137414'!$E$2</f>
        <v/>
      </c>
      <c r="F4" s="5">
        <f>'res_raw_24137414'!$F$2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'res_raw_24137414'!$B$3</f>
        <v/>
      </c>
      <c r="C5" s="8">
        <f>'res_raw_24137414'!$C$3</f>
        <v/>
      </c>
      <c r="D5" s="8">
        <f>'res_raw_24137414'!$D$3</f>
        <v/>
      </c>
      <c r="E5" s="8">
        <f>'res_raw_24137414'!$E$3</f>
        <v/>
      </c>
      <c r="F5" s="8">
        <f>'res_raw_24137414'!$F$3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'res_raw_24137414'!$B$4</f>
        <v/>
      </c>
      <c r="C6" s="5">
        <f>'res_raw_24137414'!$C$4</f>
        <v/>
      </c>
      <c r="D6" s="5">
        <f>'res_raw_24137414'!$D$4</f>
        <v/>
      </c>
      <c r="E6" s="5">
        <f>'res_raw_24137414'!$E$4</f>
        <v/>
      </c>
      <c r="F6" s="5">
        <f>'res_raw_24137414'!$F$4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'res_raw_24137414'!$B$5</f>
        <v/>
      </c>
      <c r="C7" s="8">
        <f>'res_raw_24137414'!$C$5</f>
        <v/>
      </c>
      <c r="D7" s="8">
        <f>'res_raw_24137414'!$D$5</f>
        <v/>
      </c>
      <c r="E7" s="8">
        <f>'res_raw_24137414'!$E$5</f>
        <v/>
      </c>
      <c r="F7" s="8">
        <f>'res_raw_24137414'!$F$5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'res_raw_24137414'!$B$6</f>
        <v/>
      </c>
      <c r="C8" s="11">
        <f>'res_raw_24137414'!$C$6</f>
        <v/>
      </c>
      <c r="D8" s="11">
        <f>'res_raw_24137414'!$D$6</f>
        <v/>
      </c>
      <c r="E8" s="11">
        <f>'res_raw_24137414'!$E$6</f>
        <v/>
      </c>
      <c r="F8" s="11">
        <f>'res_raw_24137414'!$F$6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'res_raw_24137414'!$B$7</f>
        <v/>
      </c>
      <c r="C9" s="8">
        <f>'res_raw_24137414'!$C$7</f>
        <v/>
      </c>
      <c r="D9" s="8">
        <f>'res_raw_24137414'!$D$7</f>
        <v/>
      </c>
      <c r="E9" s="8">
        <f>'res_raw_24137414'!$E$7</f>
        <v/>
      </c>
      <c r="F9" s="8">
        <f>'res_raw_24137414'!$F$7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'res_raw_24137414'!$B$9</f>
        <v/>
      </c>
      <c r="C11" s="8">
        <f>'res_raw_24137414'!$C$9</f>
        <v/>
      </c>
      <c r="D11" s="8">
        <f>'res_raw_24137414'!$D$9</f>
        <v/>
      </c>
      <c r="E11" s="8">
        <f>'res_raw_24137414'!$E$9</f>
        <v/>
      </c>
      <c r="F11" s="8">
        <f>'res_raw_24137414'!$F$9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'res_raw_24137414'!$B$10</f>
        <v/>
      </c>
      <c r="C12" s="5">
        <f>'res_raw_24137414'!$C$10</f>
        <v/>
      </c>
      <c r="D12" s="5">
        <f>'res_raw_24137414'!$D$10</f>
        <v/>
      </c>
      <c r="E12" s="5">
        <f>'res_raw_24137414'!$E$10</f>
        <v/>
      </c>
      <c r="F12" s="5">
        <f>'res_raw_24137414'!$F$10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'res_raw_24137414'!$B$11</f>
        <v/>
      </c>
      <c r="C13" s="11">
        <f>'res_raw_24137414'!$C$11</f>
        <v/>
      </c>
      <c r="D13" s="11">
        <f>'res_raw_24137414'!$D$11</f>
        <v/>
      </c>
      <c r="E13" s="11">
        <f>'res_raw_24137414'!$E$11</f>
        <v/>
      </c>
      <c r="F13" s="11">
        <f>'res_raw_24137414'!$F$11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'res_raw_24137414'!$B$12</f>
        <v/>
      </c>
      <c r="C14" s="5">
        <f>'res_raw_24137414'!$C$12</f>
        <v/>
      </c>
      <c r="D14" s="5">
        <f>'res_raw_24137414'!$D$12</f>
        <v/>
      </c>
      <c r="E14" s="5">
        <f>'res_raw_24137414'!$E$12</f>
        <v/>
      </c>
      <c r="F14" s="5">
        <f>'res_raw_24137414'!$F$12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'res_raw_24137414'!$B$13</f>
        <v/>
      </c>
      <c r="C15" s="8">
        <f>'res_raw_24137414'!$C$13</f>
        <v/>
      </c>
      <c r="D15" s="8">
        <f>'res_raw_24137414'!$D$13</f>
        <v/>
      </c>
      <c r="E15" s="8">
        <f>'res_raw_24137414'!$E$13</f>
        <v/>
      </c>
      <c r="F15" s="8">
        <f>'res_raw_24137414'!$F$13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'res_raw_24137414'!$B$14</f>
        <v/>
      </c>
      <c r="C16" s="5">
        <f>'res_raw_24137414'!$C$14</f>
        <v/>
      </c>
      <c r="D16" s="5">
        <f>'res_raw_24137414'!$D$14</f>
        <v/>
      </c>
      <c r="E16" s="5">
        <f>'res_raw_24137414'!$E$14</f>
        <v/>
      </c>
      <c r="F16" s="5">
        <f>'res_raw_24137414'!$F$14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'res_raw_24137414'!$B$15</f>
        <v/>
      </c>
      <c r="C17" s="11">
        <f>'res_raw_24137414'!$C$15</f>
        <v/>
      </c>
      <c r="D17" s="11">
        <f>'res_raw_24137414'!$D$15</f>
        <v/>
      </c>
      <c r="E17" s="11">
        <f>'res_raw_24137414'!$E$15</f>
        <v/>
      </c>
      <c r="F17" s="11">
        <f>'res_raw_24137414'!$F$15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'res_raw_24137414'!$B$16</f>
        <v/>
      </c>
      <c r="C18" s="11">
        <f>'res_raw_24137414'!$C$16</f>
        <v/>
      </c>
      <c r="D18" s="11">
        <f>'res_raw_24137414'!$D$16</f>
        <v/>
      </c>
      <c r="E18" s="11">
        <f>'res_raw_24137414'!$E$16</f>
        <v/>
      </c>
      <c r="F18" s="11">
        <f>'res_raw_24137414'!$F$16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'res_raw_24137414'!$B$17</f>
        <v/>
      </c>
      <c r="C19" s="8">
        <f>'res_raw_24137414'!$C$17</f>
        <v/>
      </c>
      <c r="D19" s="8">
        <f>'res_raw_24137414'!$D$17</f>
        <v/>
      </c>
      <c r="E19" s="8">
        <f>'res_raw_24137414'!$E$17</f>
        <v/>
      </c>
      <c r="F19" s="8">
        <f>'res_raw_24137414'!$F$17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'res_raw_24137414'!$B$18</f>
        <v/>
      </c>
      <c r="C20" s="11">
        <f>'res_raw_24137414'!$C$18</f>
        <v/>
      </c>
      <c r="D20" s="11">
        <f>'res_raw_24137414'!$D$18</f>
        <v/>
      </c>
      <c r="E20" s="11">
        <f>'res_raw_24137414'!$E$18</f>
        <v/>
      </c>
      <c r="F20" s="11">
        <f>'res_raw_24137414'!$F$18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Grunde og bygninger</t>
        </is>
      </c>
      <c r="B23" s="8">
        <f>'balance_raw_24137414'!$B$2</f>
        <v/>
      </c>
      <c r="C23" s="8">
        <f>'balance_raw_24137414'!$C$2</f>
        <v/>
      </c>
      <c r="D23" s="8">
        <f>'balance_raw_24137414'!$D$2</f>
        <v/>
      </c>
      <c r="E23" s="8">
        <f>'balance_raw_24137414'!$E$2</f>
        <v/>
      </c>
      <c r="F23" s="8">
        <f>'balance_raw_24137414'!$F$2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'balance_raw_24137414'!$B$3</f>
        <v/>
      </c>
      <c r="C24" s="5">
        <f>'balance_raw_24137414'!$C$3</f>
        <v/>
      </c>
      <c r="D24" s="5">
        <f>'balance_raw_24137414'!$D$3</f>
        <v/>
      </c>
      <c r="E24" s="5">
        <f>'balance_raw_24137414'!$E$3</f>
        <v/>
      </c>
      <c r="F24" s="5">
        <f>'balance_raw_24137414'!$F$3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'balance_raw_24137414'!$B$4</f>
        <v/>
      </c>
      <c r="C25" s="8">
        <f>'balance_raw_24137414'!$C$4</f>
        <v/>
      </c>
      <c r="D25" s="8">
        <f>'balance_raw_24137414'!$D$4</f>
        <v/>
      </c>
      <c r="E25" s="8">
        <f>'balance_raw_24137414'!$E$4</f>
        <v/>
      </c>
      <c r="F25" s="8">
        <f>'balance_raw_24137414'!$F$4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'balance_raw_24137414'!$B$5</f>
        <v/>
      </c>
      <c r="C26" s="5">
        <f>'balance_raw_24137414'!$C$5</f>
        <v/>
      </c>
      <c r="D26" s="5">
        <f>'balance_raw_24137414'!$D$5</f>
        <v/>
      </c>
      <c r="E26" s="5">
        <f>'balance_raw_24137414'!$E$5</f>
        <v/>
      </c>
      <c r="F26" s="5">
        <f>'balance_raw_24137414'!$F$5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'balance_raw_24137414'!$B$6</f>
        <v/>
      </c>
      <c r="C27" s="8">
        <f>'balance_raw_24137414'!$C$6</f>
        <v/>
      </c>
      <c r="D27" s="8">
        <f>'balance_raw_24137414'!$D$6</f>
        <v/>
      </c>
      <c r="E27" s="8">
        <f>'balance_raw_24137414'!$E$6</f>
        <v/>
      </c>
      <c r="F27" s="8">
        <f>'balance_raw_24137414'!$F$6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'balance_raw_24137414'!$B$7</f>
        <v/>
      </c>
      <c r="C28" s="11">
        <f>'balance_raw_24137414'!$C$7</f>
        <v/>
      </c>
      <c r="D28" s="11">
        <f>'balance_raw_24137414'!$D$7</f>
        <v/>
      </c>
      <c r="E28" s="11">
        <f>'balance_raw_24137414'!$E$7</f>
        <v/>
      </c>
      <c r="F28" s="11">
        <f>'balance_raw_24137414'!$F$7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'balance_raw_24137414'!$B$8</f>
        <v/>
      </c>
      <c r="C29" s="8">
        <f>'balance_raw_24137414'!$C$8</f>
        <v/>
      </c>
      <c r="D29" s="8">
        <f>'balance_raw_24137414'!$D$8</f>
        <v/>
      </c>
      <c r="E29" s="8">
        <f>'balance_raw_24137414'!$E$8</f>
        <v/>
      </c>
      <c r="F29" s="8">
        <f>'balance_raw_24137414'!$F$8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'balance_raw_24137414'!$B$9</f>
        <v/>
      </c>
      <c r="C30" s="5">
        <f>'balance_raw_24137414'!$C$9</f>
        <v/>
      </c>
      <c r="D30" s="5">
        <f>'balance_raw_24137414'!$D$9</f>
        <v/>
      </c>
      <c r="E30" s="5">
        <f>'balance_raw_24137414'!$E$9</f>
        <v/>
      </c>
      <c r="F30" s="5">
        <f>'balance_raw_24137414'!$F$9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'balance_raw_24137414'!$B$10</f>
        <v/>
      </c>
      <c r="C31" s="11">
        <f>'balance_raw_24137414'!$C$10</f>
        <v/>
      </c>
      <c r="D31" s="11">
        <f>'balance_raw_24137414'!$D$10</f>
        <v/>
      </c>
      <c r="E31" s="11">
        <f>'balance_raw_24137414'!$E$10</f>
        <v/>
      </c>
      <c r="F31" s="11">
        <f>'balance_raw_24137414'!$F$10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'balance_raw_24137414'!$B$11</f>
        <v/>
      </c>
      <c r="C32" s="11">
        <f>'balance_raw_24137414'!$C$11</f>
        <v/>
      </c>
      <c r="D32" s="11">
        <f>'balance_raw_24137414'!$D$11</f>
        <v/>
      </c>
      <c r="E32" s="11">
        <f>'balance_raw_24137414'!$E$11</f>
        <v/>
      </c>
      <c r="F32" s="11">
        <f>'balance_raw_24137414'!$F$11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'balance_raw_24137414'!$B$12</f>
        <v/>
      </c>
      <c r="C33" s="8">
        <f>'balance_raw_24137414'!$C$12</f>
        <v/>
      </c>
      <c r="D33" s="8">
        <f>'balance_raw_24137414'!$D$12</f>
        <v/>
      </c>
      <c r="E33" s="8">
        <f>'balance_raw_24137414'!$E$12</f>
        <v/>
      </c>
      <c r="F33" s="8">
        <f>'balance_raw_24137414'!$F$12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'balance_raw_24137414'!$B$13</f>
        <v/>
      </c>
      <c r="C34" s="5">
        <f>'balance_raw_24137414'!$C$13</f>
        <v/>
      </c>
      <c r="D34" s="5">
        <f>'balance_raw_24137414'!$D$13</f>
        <v/>
      </c>
      <c r="E34" s="5">
        <f>'balance_raw_24137414'!$E$13</f>
        <v/>
      </c>
      <c r="F34" s="5">
        <f>'balance_raw_24137414'!$F$13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'balance_raw_24137414'!$B$14</f>
        <v/>
      </c>
      <c r="C35" s="8">
        <f>'balance_raw_24137414'!$C$14</f>
        <v/>
      </c>
      <c r="D35" s="8">
        <f>'balance_raw_24137414'!$D$14</f>
        <v/>
      </c>
      <c r="E35" s="8">
        <f>'balance_raw_24137414'!$E$14</f>
        <v/>
      </c>
      <c r="F35" s="8">
        <f>'balance_raw_24137414'!$F$14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'balance_raw_24137414'!$B$15</f>
        <v/>
      </c>
      <c r="C36" s="5">
        <f>'balance_raw_24137414'!$C$15</f>
        <v/>
      </c>
      <c r="D36" s="5">
        <f>'balance_raw_24137414'!$D$15</f>
        <v/>
      </c>
      <c r="E36" s="5">
        <f>'balance_raw_24137414'!$E$15</f>
        <v/>
      </c>
      <c r="F36" s="5">
        <f>'balance_raw_24137414'!$F$15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'balance_raw_24137414'!$B$16</f>
        <v/>
      </c>
      <c r="C37" s="8">
        <f>'balance_raw_24137414'!$C$16</f>
        <v/>
      </c>
      <c r="D37" s="8">
        <f>'balance_raw_24137414'!$D$16</f>
        <v/>
      </c>
      <c r="E37" s="8">
        <f>'balance_raw_24137414'!$E$16</f>
        <v/>
      </c>
      <c r="F37" s="8">
        <f>'balance_raw_24137414'!$F$16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'balance_raw_24137414'!$B$17</f>
        <v/>
      </c>
      <c r="C38" s="5">
        <f>'balance_raw_24137414'!$C$17</f>
        <v/>
      </c>
      <c r="D38" s="5">
        <f>'balance_raw_24137414'!$D$17</f>
        <v/>
      </c>
      <c r="E38" s="5">
        <f>'balance_raw_24137414'!$E$17</f>
        <v/>
      </c>
      <c r="F38" s="5">
        <f>'balance_raw_24137414'!$F$17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'balance_raw_24137414'!$B$18</f>
        <v/>
      </c>
      <c r="C39" s="8">
        <f>'balance_raw_24137414'!$C$18</f>
        <v/>
      </c>
      <c r="D39" s="8">
        <f>'balance_raw_24137414'!$D$18</f>
        <v/>
      </c>
      <c r="E39" s="8">
        <f>'balance_raw_24137414'!$E$18</f>
        <v/>
      </c>
      <c r="F39" s="8">
        <f>'balance_raw_24137414'!$F$18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'balance_raw_24137414'!$B$19</f>
        <v/>
      </c>
      <c r="C40" s="11">
        <f>'balance_raw_24137414'!$C$19</f>
        <v/>
      </c>
      <c r="D40" s="11">
        <f>'balance_raw_24137414'!$D$19</f>
        <v/>
      </c>
      <c r="E40" s="11">
        <f>'balance_raw_24137414'!$E$19</f>
        <v/>
      </c>
      <c r="F40" s="11">
        <f>'balance_raw_24137414'!$F$19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'balance_raw_24137414'!$B$20</f>
        <v/>
      </c>
      <c r="C41" s="8">
        <f>'balance_raw_24137414'!$C$20</f>
        <v/>
      </c>
      <c r="D41" s="8">
        <f>'balance_raw_24137414'!$D$20</f>
        <v/>
      </c>
      <c r="E41" s="8">
        <f>'balance_raw_24137414'!$E$20</f>
        <v/>
      </c>
      <c r="F41" s="8">
        <f>'balance_raw_24137414'!$F$20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'balance_raw_24137414'!$B$21</f>
        <v/>
      </c>
      <c r="C42" s="5">
        <f>'balance_raw_24137414'!$C$21</f>
        <v/>
      </c>
      <c r="D42" s="5">
        <f>'balance_raw_24137414'!$D$21</f>
        <v/>
      </c>
      <c r="E42" s="5">
        <f>'balance_raw_24137414'!$E$21</f>
        <v/>
      </c>
      <c r="F42" s="5">
        <f>'balance_raw_24137414'!$F$21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'balance_raw_24137414'!$B$22</f>
        <v/>
      </c>
      <c r="C43" s="11">
        <f>'balance_raw_24137414'!$C$22</f>
        <v/>
      </c>
      <c r="D43" s="11">
        <f>'balance_raw_24137414'!$D$22</f>
        <v/>
      </c>
      <c r="E43" s="11">
        <f>'balance_raw_24137414'!$E$22</f>
        <v/>
      </c>
      <c r="F43" s="11">
        <f>'balance_raw_24137414'!$F$22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'balance_raw_24137414'!$B$23</f>
        <v/>
      </c>
      <c r="C44" s="11">
        <f>'balance_raw_24137414'!$C$23</f>
        <v/>
      </c>
      <c r="D44" s="11">
        <f>'balance_raw_24137414'!$D$23</f>
        <v/>
      </c>
      <c r="E44" s="11">
        <f>'balance_raw_24137414'!$E$23</f>
        <v/>
      </c>
      <c r="F44" s="11">
        <f>'balance_raw_24137414'!$F$23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2020</v>
      </c>
      <c r="C46" s="3" t="n">
        <v>2021</v>
      </c>
      <c r="D46" s="3" t="n">
        <v>2022</v>
      </c>
      <c r="E46" s="3" t="n">
        <v>2023</v>
      </c>
      <c r="F46" s="3" t="n">
        <v>2024</v>
      </c>
      <c r="G46" t="inlineStr"/>
      <c r="H46" s="3" t="n">
        <v>2020</v>
      </c>
      <c r="I46" s="3" t="n">
        <v>2021</v>
      </c>
      <c r="J46" s="3" t="n">
        <v>2022</v>
      </c>
      <c r="K46" s="3" t="n">
        <v>2023</v>
      </c>
      <c r="L46" s="3" t="n">
        <v>2024</v>
      </c>
    </row>
    <row r="47" ht="16" customHeight="1">
      <c r="A47" s="7" t="inlineStr">
        <is>
          <t>Selskabskapital</t>
        </is>
      </c>
      <c r="B47" s="8">
        <f>'balance_raw_24137414'!$B$24</f>
        <v/>
      </c>
      <c r="C47" s="8">
        <f>'balance_raw_24137414'!$C$24</f>
        <v/>
      </c>
      <c r="D47" s="8">
        <f>'balance_raw_24137414'!$D$24</f>
        <v/>
      </c>
      <c r="E47" s="8">
        <f>'balance_raw_24137414'!$E$24</f>
        <v/>
      </c>
      <c r="F47" s="8">
        <f>'balance_raw_24137414'!$F$24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'balance_raw_24137414'!$B$25</f>
        <v/>
      </c>
      <c r="C48" s="5">
        <f>'balance_raw_24137414'!$C$25</f>
        <v/>
      </c>
      <c r="D48" s="5">
        <f>'balance_raw_24137414'!$D$25</f>
        <v/>
      </c>
      <c r="E48" s="5">
        <f>'balance_raw_24137414'!$E$25</f>
        <v/>
      </c>
      <c r="F48" s="5">
        <f>'balance_raw_24137414'!$F$25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'balance_raw_24137414'!$B$26</f>
        <v/>
      </c>
      <c r="C49" s="8">
        <f>'balance_raw_24137414'!$C$26</f>
        <v/>
      </c>
      <c r="D49" s="8">
        <f>'balance_raw_24137414'!$D$26</f>
        <v/>
      </c>
      <c r="E49" s="8">
        <f>'balance_raw_24137414'!$E$26</f>
        <v/>
      </c>
      <c r="F49" s="8">
        <f>'balance_raw_24137414'!$F$26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'balance_raw_24137414'!$B$27</f>
        <v/>
      </c>
      <c r="C50" s="5">
        <f>'balance_raw_24137414'!$C$27</f>
        <v/>
      </c>
      <c r="D50" s="5">
        <f>'balance_raw_24137414'!$D$27</f>
        <v/>
      </c>
      <c r="E50" s="5">
        <f>'balance_raw_24137414'!$E$27</f>
        <v/>
      </c>
      <c r="F50" s="5">
        <f>'balance_raw_24137414'!$F$27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'balance_raw_24137414'!$B$28</f>
        <v/>
      </c>
      <c r="C51" s="8">
        <f>'balance_raw_24137414'!$C$28</f>
        <v/>
      </c>
      <c r="D51" s="8">
        <f>'balance_raw_24137414'!$D$28</f>
        <v/>
      </c>
      <c r="E51" s="8">
        <f>'balance_raw_24137414'!$E$28</f>
        <v/>
      </c>
      <c r="F51" s="8">
        <f>'balance_raw_24137414'!$F$28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'balance_raw_24137414'!$B$29</f>
        <v/>
      </c>
      <c r="C52" s="5">
        <f>'balance_raw_24137414'!$C$29</f>
        <v/>
      </c>
      <c r="D52" s="5">
        <f>'balance_raw_24137414'!$D$29</f>
        <v/>
      </c>
      <c r="E52" s="5">
        <f>'balance_raw_24137414'!$E$29</f>
        <v/>
      </c>
      <c r="F52" s="5">
        <f>'balance_raw_24137414'!$F$29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'balance_raw_24137414'!$B$30</f>
        <v/>
      </c>
      <c r="C53" s="11">
        <f>'balance_raw_24137414'!$C$30</f>
        <v/>
      </c>
      <c r="D53" s="11">
        <f>'balance_raw_24137414'!$D$30</f>
        <v/>
      </c>
      <c r="E53" s="11">
        <f>'balance_raw_24137414'!$E$30</f>
        <v/>
      </c>
      <c r="F53" s="11">
        <f>'balance_raw_24137414'!$F$30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10" t="inlineStr">
        <is>
          <t>Hensatte forpligtelser</t>
        </is>
      </c>
      <c r="B54" s="11">
        <f>'balance_raw_24137414'!$B$31</f>
        <v/>
      </c>
      <c r="C54" s="11">
        <f>'balance_raw_24137414'!$C$31</f>
        <v/>
      </c>
      <c r="D54" s="11">
        <f>'balance_raw_24137414'!$D$31</f>
        <v/>
      </c>
      <c r="E54" s="11">
        <f>'balance_raw_24137414'!$E$31</f>
        <v/>
      </c>
      <c r="F54" s="11">
        <f>'balance_raw_24137414'!$F$31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(kortfristet)</t>
        </is>
      </c>
      <c r="B55" s="8">
        <f>'balance_raw_24137414'!$B$32</f>
        <v/>
      </c>
      <c r="C55" s="8">
        <f>'balance_raw_24137414'!$C$32</f>
        <v/>
      </c>
      <c r="D55" s="8">
        <f>'balance_raw_24137414'!$D$32</f>
        <v/>
      </c>
      <c r="E55" s="8">
        <f>'balance_raw_24137414'!$E$32</f>
        <v/>
      </c>
      <c r="F55" s="8">
        <f>'balance_raw_24137414'!$F$32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Kortfristet del af langfristede gældsforpligtelser</t>
        </is>
      </c>
      <c r="B56" s="5">
        <f>'balance_raw_24137414'!$B$33</f>
        <v/>
      </c>
      <c r="C56" s="5">
        <f>'balance_raw_24137414'!$C$33</f>
        <v/>
      </c>
      <c r="D56" s="5">
        <f>'balance_raw_24137414'!$D$33</f>
        <v/>
      </c>
      <c r="E56" s="5">
        <f>'balance_raw_24137414'!$E$33</f>
        <v/>
      </c>
      <c r="F56" s="5">
        <f>'balance_raw_24137414'!$F$33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Kreditinstitutter</t>
        </is>
      </c>
      <c r="B57" s="8">
        <f>'balance_raw_24137414'!$B$34</f>
        <v/>
      </c>
      <c r="C57" s="8">
        <f>'balance_raw_24137414'!$C$34</f>
        <v/>
      </c>
      <c r="D57" s="8">
        <f>'balance_raw_24137414'!$D$34</f>
        <v/>
      </c>
      <c r="E57" s="8">
        <f>'balance_raw_24137414'!$E$34</f>
        <v/>
      </c>
      <c r="F57" s="8">
        <f>'balance_raw_24137414'!$F$34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Leasingforpligtelser (kortfristet)</t>
        </is>
      </c>
      <c r="B58" s="5">
        <f>'balance_raw_24137414'!$B$35</f>
        <v/>
      </c>
      <c r="C58" s="5">
        <f>'balance_raw_24137414'!$C$35</f>
        <v/>
      </c>
      <c r="D58" s="5">
        <f>'balance_raw_24137414'!$D$35</f>
        <v/>
      </c>
      <c r="E58" s="5">
        <f>'balance_raw_24137414'!$E$35</f>
        <v/>
      </c>
      <c r="F58" s="5">
        <f>'balance_raw_24137414'!$F$35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Leverandører af varer og tjenesteydelser</t>
        </is>
      </c>
      <c r="B59" s="8">
        <f>'balance_raw_24137414'!$B$36</f>
        <v/>
      </c>
      <c r="C59" s="8">
        <f>'balance_raw_24137414'!$C$36</f>
        <v/>
      </c>
      <c r="D59" s="8">
        <f>'balance_raw_24137414'!$D$36</f>
        <v/>
      </c>
      <c r="E59" s="8">
        <f>'balance_raw_24137414'!$E$36</f>
        <v/>
      </c>
      <c r="F59" s="8">
        <f>'balance_raw_24137414'!$F$36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Gæld til tilknyttede virksomheder</t>
        </is>
      </c>
      <c r="B60" s="5">
        <f>'balance_raw_24137414'!$B$37</f>
        <v/>
      </c>
      <c r="C60" s="5">
        <f>'balance_raw_24137414'!$C$37</f>
        <v/>
      </c>
      <c r="D60" s="5">
        <f>'balance_raw_24137414'!$D$37</f>
        <v/>
      </c>
      <c r="E60" s="5">
        <f>'balance_raw_24137414'!$E$37</f>
        <v/>
      </c>
      <c r="F60" s="5">
        <f>'balance_raw_24137414'!$F$37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Gæld til selskabsdeltagere og ledelse</t>
        </is>
      </c>
      <c r="B61" s="8">
        <f>'balance_raw_24137414'!$B$38</f>
        <v/>
      </c>
      <c r="C61" s="8">
        <f>'balance_raw_24137414'!$C$38</f>
        <v/>
      </c>
      <c r="D61" s="8">
        <f>'balance_raw_24137414'!$D$38</f>
        <v/>
      </c>
      <c r="E61" s="8">
        <f>'balance_raw_24137414'!$E$38</f>
        <v/>
      </c>
      <c r="F61" s="8">
        <f>'balance_raw_24137414'!$F$38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Selskabsskat</t>
        </is>
      </c>
      <c r="B62" s="5">
        <f>'balance_raw_24137414'!$B$39</f>
        <v/>
      </c>
      <c r="C62" s="5">
        <f>'balance_raw_24137414'!$C$39</f>
        <v/>
      </c>
      <c r="D62" s="5">
        <f>'balance_raw_24137414'!$D$39</f>
        <v/>
      </c>
      <c r="E62" s="5">
        <f>'balance_raw_24137414'!$E$39</f>
        <v/>
      </c>
      <c r="F62" s="5">
        <f>'balance_raw_24137414'!$F$39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 vedr. selskabsskat</t>
        </is>
      </c>
      <c r="B63" s="8">
        <f>'balance_raw_24137414'!$B$40</f>
        <v/>
      </c>
      <c r="C63" s="8">
        <f>'balance_raw_24137414'!$C$40</f>
        <v/>
      </c>
      <c r="D63" s="8">
        <f>'balance_raw_24137414'!$D$40</f>
        <v/>
      </c>
      <c r="E63" s="8">
        <f>'balance_raw_24137414'!$E$40</f>
        <v/>
      </c>
      <c r="F63" s="8">
        <f>'balance_raw_24137414'!$F$40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Anden gæld (kortfristet)</t>
        </is>
      </c>
      <c r="B64" s="5">
        <f>'balance_raw_24137414'!$B$41</f>
        <v/>
      </c>
      <c r="C64" s="5">
        <f>'balance_raw_24137414'!$C$41</f>
        <v/>
      </c>
      <c r="D64" s="5">
        <f>'balance_raw_24137414'!$D$41</f>
        <v/>
      </c>
      <c r="E64" s="5">
        <f>'balance_raw_24137414'!$E$41</f>
        <v/>
      </c>
      <c r="F64" s="5">
        <f>'balance_raw_24137414'!$F$41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Periodeafgrænsningsposter (passiver)</t>
        </is>
      </c>
      <c r="B65" s="8">
        <f>'balance_raw_24137414'!$B$42</f>
        <v/>
      </c>
      <c r="C65" s="8">
        <f>'balance_raw_24137414'!$C$42</f>
        <v/>
      </c>
      <c r="D65" s="8">
        <f>'balance_raw_24137414'!$D$42</f>
        <v/>
      </c>
      <c r="E65" s="8">
        <f>'balance_raw_24137414'!$E$42</f>
        <v/>
      </c>
      <c r="F65" s="8">
        <f>'balance_raw_24137414'!$F$42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10" t="inlineStr">
        <is>
          <t>Kortfristede gældsforpligtelser</t>
        </is>
      </c>
      <c r="B66" s="11">
        <f>'balance_raw_24137414'!$B$43</f>
        <v/>
      </c>
      <c r="C66" s="11">
        <f>'balance_raw_24137414'!$C$43</f>
        <v/>
      </c>
      <c r="D66" s="11">
        <f>'balance_raw_24137414'!$D$43</f>
        <v/>
      </c>
      <c r="E66" s="11">
        <f>'balance_raw_24137414'!$E$43</f>
        <v/>
      </c>
      <c r="F66" s="11">
        <f>'balance_raw_24137414'!$F$43</f>
        <v/>
      </c>
      <c r="G66" t="inlineStr"/>
      <c r="H66" s="12">
        <f>IFERROR(B66/$B$66*100,"")</f>
        <v/>
      </c>
      <c r="I66" s="12">
        <f>IFERROR(C66/$B$66*100,"")</f>
        <v/>
      </c>
      <c r="J66" s="12">
        <f>IFERROR(D66/$B$66*100,"")</f>
        <v/>
      </c>
      <c r="K66" s="12">
        <f>IFERROR(E66/$B$66*100,"")</f>
        <v/>
      </c>
      <c r="L66" s="12">
        <f>IFERROR(F66/$B$66*100,"")</f>
        <v/>
      </c>
    </row>
    <row r="67" ht="16" customHeight="1">
      <c r="A67" s="10" t="inlineStr">
        <is>
          <t>Gældsforpligtelser</t>
        </is>
      </c>
      <c r="B67" s="11">
        <f>'balance_raw_24137414'!$B$44</f>
        <v/>
      </c>
      <c r="C67" s="11">
        <f>'balance_raw_24137414'!$C$44</f>
        <v/>
      </c>
      <c r="D67" s="11">
        <f>'balance_raw_24137414'!$D$44</f>
        <v/>
      </c>
      <c r="E67" s="11">
        <f>'balance_raw_24137414'!$E$44</f>
        <v/>
      </c>
      <c r="F67" s="11">
        <f>'balance_raw_24137414'!$F$44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10" t="inlineStr">
        <is>
          <t>Passiver</t>
        </is>
      </c>
      <c r="B68" s="11">
        <f>'balance_raw_24137414'!$B$45</f>
        <v/>
      </c>
      <c r="C68" s="11">
        <f>'balance_raw_24137414'!$C$45</f>
        <v/>
      </c>
      <c r="D68" s="11">
        <f>'balance_raw_24137414'!$D$45</f>
        <v/>
      </c>
      <c r="E68" s="11">
        <f>'balance_raw_24137414'!$E$45</f>
        <v/>
      </c>
      <c r="F68" s="11">
        <f>'balance_raw_24137414'!$F$45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70" ht="22" customHeight="1">
      <c r="A70" s="3" t="inlineStr">
        <is>
          <t>NØGLEOPLYSNINGER</t>
        </is>
      </c>
      <c r="B70" s="3" t="n">
        <v>2020</v>
      </c>
      <c r="C70" s="3" t="n">
        <v>2021</v>
      </c>
      <c r="D70" s="3" t="n">
        <v>2022</v>
      </c>
      <c r="E70" s="3" t="n">
        <v>2023</v>
      </c>
      <c r="F70" s="3" t="n">
        <v>2024</v>
      </c>
    </row>
    <row r="71" ht="16" customHeight="1">
      <c r="A71" s="7" t="inlineStr">
        <is>
          <t>Gns. antal medarbejdere</t>
        </is>
      </c>
      <c r="B71" s="8">
        <f>'res_raw_24137414'!$B$19</f>
        <v/>
      </c>
      <c r="C71" s="8">
        <f>'res_raw_24137414'!$C$19</f>
        <v/>
      </c>
      <c r="D71" s="8">
        <f>'res_raw_24137414'!$D$19</f>
        <v/>
      </c>
      <c r="E71" s="8">
        <f>'res_raw_24137414'!$E$19</f>
        <v/>
      </c>
      <c r="F71" s="8">
        <f>'res_raw_24137414'!$F$19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Investering i materielle anlægsaktiver</t>
        </is>
      </c>
      <c r="B72" s="5">
        <f>'res_raw_24137414'!$B$20</f>
        <v/>
      </c>
      <c r="C72" s="5">
        <f>'res_raw_24137414'!$C$20</f>
        <v/>
      </c>
      <c r="D72" s="5">
        <f>'res_raw_24137414'!$D$20</f>
        <v/>
      </c>
      <c r="E72" s="5">
        <f>'res_raw_24137414'!$E$20</f>
        <v/>
      </c>
      <c r="F72" s="5">
        <f>'res_raw_24137414'!$F$20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4" ht="22" customHeight="1">
      <c r="A74" s="3" t="inlineStr">
        <is>
          <t>NØGLETAL</t>
        </is>
      </c>
      <c r="B74" s="3" t="n">
        <v>2020</v>
      </c>
      <c r="C74" s="3" t="n">
        <v>2021</v>
      </c>
      <c r="D74" s="3" t="n">
        <v>2022</v>
      </c>
      <c r="E74" s="3" t="n">
        <v>2023</v>
      </c>
      <c r="F74" s="3" t="n">
        <v>2024</v>
      </c>
    </row>
    <row r="75" ht="16" customHeight="1">
      <c r="A75" s="7" t="inlineStr">
        <is>
          <t>Afkastningsgrad, %</t>
        </is>
      </c>
      <c r="B75" s="13">
        <f>IFERROR(($B$13+$B$15+$B$14)/$B$44*100,"")</f>
        <v/>
      </c>
      <c r="C75" s="13">
        <f>IFERROR(($C$13+$C$15+$C$14)/$C$44*100,"")</f>
        <v/>
      </c>
      <c r="D75" s="13">
        <f>IFERROR(($D$13+$D$15+$D$14)/$D$44*100,"")</f>
        <v/>
      </c>
      <c r="E75" s="13">
        <f>IFERROR(($E$13+$E$15+$E$14)/$E$44*100,"")</f>
        <v/>
      </c>
      <c r="F75" s="13">
        <f>IFERROR(($F$13+$F$15+$F$14)/$F$44*100,"")</f>
        <v/>
      </c>
    </row>
    <row r="76" ht="16" customHeight="1">
      <c r="A76" s="4" t="inlineStr">
        <is>
          <t>Overskudsgrad, %</t>
        </is>
      </c>
      <c r="B76" s="14">
        <f>IFERROR(($B$13+$B$15+$B$14)/$B$4*100,"")</f>
        <v/>
      </c>
      <c r="C76" s="14">
        <f>IFERROR(($C$13+$C$15+$C$14)/$C$4*100,"")</f>
        <v/>
      </c>
      <c r="D76" s="14">
        <f>IFERROR(($D$13+$D$15+$D$14)/$D$4*100,"")</f>
        <v/>
      </c>
      <c r="E76" s="14">
        <f>IFERROR(($E$13+$E$15+$E$14)/$E$4*100,"")</f>
        <v/>
      </c>
      <c r="F76" s="14">
        <f>IFERROR(($F$13+$F$15+$F$14)/$F$4*100,"")</f>
        <v/>
      </c>
    </row>
    <row r="77" ht="16" customHeight="1">
      <c r="A77" s="7" t="inlineStr">
        <is>
          <t>Aktivernes omsætningshastighed, gange</t>
        </is>
      </c>
      <c r="B77" s="13">
        <f>IFERROR($B$4/$B$44,"")</f>
        <v/>
      </c>
      <c r="C77" s="13">
        <f>IFERROR($C$4/$C$44,"")</f>
        <v/>
      </c>
      <c r="D77" s="13">
        <f>IFERROR($D$4/$D$44,"")</f>
        <v/>
      </c>
      <c r="E77" s="13">
        <f>IFERROR($E$4/$E$44,"")</f>
        <v/>
      </c>
      <c r="F77" s="13">
        <f>IFERROR($F$4/$F$44,"")</f>
        <v/>
      </c>
    </row>
    <row r="78" ht="16" customHeight="1">
      <c r="A78" s="4" t="inlineStr">
        <is>
          <t>Egenkapitalens forrentning, %</t>
        </is>
      </c>
      <c r="B78" s="14">
        <f>IFERROR($B$18/$B$53*100,"")</f>
        <v/>
      </c>
      <c r="C78" s="14">
        <f>IFERROR($C$18/$C$53*100,"")</f>
        <v/>
      </c>
      <c r="D78" s="14">
        <f>IFERROR($D$18/$D$53*100,"")</f>
        <v/>
      </c>
      <c r="E78" s="14">
        <f>IFERROR($E$18/$E$53*100,"")</f>
        <v/>
      </c>
      <c r="F78" s="14">
        <f>IFERROR($F$18/$F$53*100,"")</f>
        <v/>
      </c>
    </row>
    <row r="79" ht="16" customHeight="1">
      <c r="A79" s="7" t="inlineStr">
        <is>
          <t>Gældsrente, %</t>
        </is>
      </c>
      <c r="B79" s="13">
        <f>IFERROR($B$16/($B$68-$B$53)*100,"")</f>
        <v/>
      </c>
      <c r="C79" s="13">
        <f>IFERROR($C$16/($C$68-$C$53)*100,"")</f>
        <v/>
      </c>
      <c r="D79" s="13">
        <f>IFERROR($D$16/($D$68-$D$53)*100,"")</f>
        <v/>
      </c>
      <c r="E79" s="13">
        <f>IFERROR($E$16/($E$68-$E$53)*100,"")</f>
        <v/>
      </c>
      <c r="F79" s="13">
        <f>IFERROR($F$16/($F$68-$F$53)*100,"")</f>
        <v/>
      </c>
    </row>
    <row r="80" ht="16" customHeight="1">
      <c r="A80" s="4" t="inlineStr">
        <is>
          <t>Soliditetsgrad, %</t>
        </is>
      </c>
      <c r="B80" s="14">
        <f>IFERROR($B$53/$B$44*100,"")</f>
        <v/>
      </c>
      <c r="C80" s="14">
        <f>IFERROR($C$53/$C$44*100,"")</f>
        <v/>
      </c>
      <c r="D80" s="14">
        <f>IFERROR($D$53/$D$44*100,"")</f>
        <v/>
      </c>
      <c r="E80" s="14">
        <f>IFERROR($E$53/$E$44*100,"")</f>
        <v/>
      </c>
      <c r="F80" s="14">
        <f>IFERROR($F$53/$F$44*100,"")</f>
        <v/>
      </c>
    </row>
    <row r="81" ht="16" customHeight="1">
      <c r="A81" s="7" t="inlineStr">
        <is>
          <t>Gearing</t>
        </is>
      </c>
      <c r="B81" s="13">
        <f>IFERROR(($B$68-$B$53)/$B$53,"")</f>
        <v/>
      </c>
      <c r="C81" s="13">
        <f>IFERROR(($C$68-$C$53)/$C$53,"")</f>
        <v/>
      </c>
      <c r="D81" s="13">
        <f>IFERROR(($D$68-$D$53)/$D$53,"")</f>
        <v/>
      </c>
      <c r="E81" s="13">
        <f>IFERROR(($E$68-$E$53)/$E$53,"")</f>
        <v/>
      </c>
      <c r="F81" s="13">
        <f>IFERROR(($F$68-$F$53)/$F$53,"")</f>
        <v/>
      </c>
    </row>
    <row r="82" ht="16" customHeight="1">
      <c r="A82" s="4" t="inlineStr">
        <is>
          <t>Likviditetsgrad, %</t>
        </is>
      </c>
      <c r="B82" s="14">
        <f>IFERROR($B$43/$B$66*100,"")</f>
        <v/>
      </c>
      <c r="C82" s="14">
        <f>IFERROR($C$43/$C$66*100,"")</f>
        <v/>
      </c>
      <c r="D82" s="14">
        <f>IFERROR($D$43/$D$66*100,"")</f>
        <v/>
      </c>
      <c r="E82" s="14">
        <f>IFERROR($E$43/$E$66*100,"")</f>
        <v/>
      </c>
      <c r="F82" s="14">
        <f>IFERROR($F$43/$F$66*100,"")</f>
        <v/>
      </c>
    </row>
    <row r="83" ht="16" customHeight="1">
      <c r="A83" s="7" t="inlineStr">
        <is>
          <t>Rentemarginal, %</t>
        </is>
      </c>
      <c r="B83" s="13">
        <f>IFERROR(B75-B79,"")</f>
        <v/>
      </c>
      <c r="C83" s="13">
        <f>IFERROR(C75-C79,"")</f>
        <v/>
      </c>
      <c r="D83" s="13">
        <f>IFERROR(D75-D79,"")</f>
        <v/>
      </c>
      <c r="E83" s="13">
        <f>IFERROR(E75-E79,"")</f>
        <v/>
      </c>
      <c r="F83" s="13">
        <f>IFERROR(F75-F79,"")</f>
        <v/>
      </c>
    </row>
    <row r="84" ht="16" customHeight="1">
      <c r="A84" s="4" t="inlineStr">
        <is>
          <t>Gældsandel, %</t>
        </is>
      </c>
      <c r="B84" s="14">
        <f>IFERROR(($B$68-$B$53)/$B$44*100,"")</f>
        <v/>
      </c>
      <c r="C84" s="14">
        <f>IFERROR(($C$68-$C$53)/$C$44*100,"")</f>
        <v/>
      </c>
      <c r="D84" s="14">
        <f>IFERROR(($D$68-$D$53)/$D$44*100,"")</f>
        <v/>
      </c>
      <c r="E84" s="14">
        <f>IFERROR(($E$68-$E$53)/$E$44*100,"")</f>
        <v/>
      </c>
      <c r="F84" s="14">
        <f>IFERROR(($F$68-$F$53)/$F$44*100,"")</f>
        <v/>
      </c>
    </row>
    <row r="85" ht="16" customHeight="1">
      <c r="A85" s="7" t="inlineStr">
        <is>
          <t>Kapitalbindingsgrad, %</t>
        </is>
      </c>
      <c r="B85" s="13">
        <f>IFERROR($B$32/($B$53+0)*100,"")</f>
        <v/>
      </c>
      <c r="C85" s="13">
        <f>IFERROR($C$32/($C$53+0)*100,"")</f>
        <v/>
      </c>
      <c r="D85" s="13">
        <f>IFERROR($D$32/($D$53+0)*100,"")</f>
        <v/>
      </c>
      <c r="E85" s="13">
        <f>IFERROR($E$32/($E$53+0)*100,"")</f>
        <v/>
      </c>
      <c r="F85" s="13">
        <f>IFERROR($F$32/($F$53+0)*100,"")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661135</v>
      </c>
      <c r="C2" s="16" t="n">
        <v>618509</v>
      </c>
      <c r="D2" s="16" t="n">
        <v>1757606</v>
      </c>
      <c r="E2" s="16" t="n">
        <v>1887988</v>
      </c>
      <c r="F2" s="16" t="n">
        <v>1984026</v>
      </c>
    </row>
    <row r="3">
      <c r="A3" s="15" t="inlineStr">
        <is>
          <t>Andre driftsindtægter</t>
        </is>
      </c>
      <c r="B3" s="16" t="n"/>
      <c r="C3" s="16" t="n">
        <v>35126</v>
      </c>
      <c r="D3" s="16" t="n">
        <v>5572</v>
      </c>
      <c r="E3" s="16" t="n">
        <v>13660</v>
      </c>
      <c r="F3" s="16" t="n">
        <v>15422</v>
      </c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>
        <v>674413</v>
      </c>
      <c r="D5" s="16" t="n">
        <v>1681535</v>
      </c>
      <c r="E5" s="16" t="n">
        <v>1847897</v>
      </c>
      <c r="F5" s="16" t="n">
        <v>1920192</v>
      </c>
    </row>
    <row r="6">
      <c r="A6" s="17" t="inlineStr">
        <is>
          <t>Bruttoresultat</t>
        </is>
      </c>
      <c r="B6" s="16" t="n"/>
      <c r="C6" s="16" t="n">
        <v>-20778</v>
      </c>
      <c r="D6" s="16" t="n">
        <v>81643</v>
      </c>
      <c r="E6" s="16" t="n">
        <v>53751</v>
      </c>
      <c r="F6" s="16" t="n">
        <v>79256</v>
      </c>
    </row>
    <row r="7">
      <c r="A7" s="15" t="inlineStr">
        <is>
          <t>Personaleomkostninger</t>
        </is>
      </c>
      <c r="B7" s="16" t="n"/>
      <c r="C7" s="16" t="n">
        <v>26903</v>
      </c>
      <c r="D7" s="16" t="n">
        <v>33286</v>
      </c>
      <c r="E7" s="16" t="n">
        <v>40415</v>
      </c>
      <c r="F7" s="16" t="n">
        <v>41815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/>
      <c r="C9" s="16" t="n">
        <v>34</v>
      </c>
      <c r="D9" s="16" t="n">
        <v>34</v>
      </c>
      <c r="E9" s="16" t="n">
        <v>34</v>
      </c>
      <c r="F9" s="16" t="n">
        <v>29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-53638</v>
      </c>
      <c r="C11" s="16" t="n">
        <v>-47715</v>
      </c>
      <c r="D11" s="16" t="n">
        <v>48323</v>
      </c>
      <c r="E11" s="16" t="n">
        <v>13302</v>
      </c>
      <c r="F11" s="16" t="n">
        <v>37412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/>
      <c r="C13" s="16" t="n"/>
      <c r="D13" s="16" t="n"/>
      <c r="E13" s="16" t="n"/>
      <c r="F13" s="16" t="n">
        <v>20273</v>
      </c>
    </row>
    <row r="14">
      <c r="A14" s="15" t="inlineStr">
        <is>
          <t>Finansielle omkostninger</t>
        </is>
      </c>
      <c r="B14" s="16" t="n"/>
      <c r="C14" s="16" t="n">
        <v>10268</v>
      </c>
      <c r="D14" s="16" t="n">
        <v>15703</v>
      </c>
      <c r="E14" s="16" t="n">
        <v>19032</v>
      </c>
      <c r="F14" s="16" t="n">
        <v>32261</v>
      </c>
    </row>
    <row r="15">
      <c r="A15" s="17" t="inlineStr">
        <is>
          <t>Finansielle poster, netto</t>
        </is>
      </c>
      <c r="B15" s="16" t="n">
        <v>-9311</v>
      </c>
      <c r="C15" s="16" t="n">
        <v>-10268</v>
      </c>
      <c r="D15" s="16" t="n">
        <v>-15703</v>
      </c>
      <c r="E15" s="16" t="n"/>
      <c r="F15" s="16" t="n"/>
    </row>
    <row r="16">
      <c r="A16" s="17" t="inlineStr">
        <is>
          <t>Resultat før skat</t>
        </is>
      </c>
      <c r="B16" s="16" t="n"/>
      <c r="C16" s="16" t="n">
        <v>-57983</v>
      </c>
      <c r="D16" s="16" t="n">
        <v>32620</v>
      </c>
      <c r="E16" s="16" t="n">
        <v>-5730</v>
      </c>
      <c r="F16" s="16" t="n">
        <v>25424</v>
      </c>
    </row>
    <row r="17">
      <c r="A17" s="15" t="inlineStr">
        <is>
          <t>Skat af årets resultat</t>
        </is>
      </c>
      <c r="B17" s="16" t="n"/>
      <c r="C17" s="16" t="n">
        <v>-11760</v>
      </c>
      <c r="D17" s="16" t="n">
        <v>-9566</v>
      </c>
      <c r="E17" s="16" t="n">
        <v>2582</v>
      </c>
      <c r="F17" s="16" t="n">
        <v>7380</v>
      </c>
    </row>
    <row r="18">
      <c r="A18" s="17" t="inlineStr">
        <is>
          <t>Årets resultat</t>
        </is>
      </c>
      <c r="B18" s="16" t="n">
        <v>-49127</v>
      </c>
      <c r="C18" s="16" t="n">
        <v>-46223</v>
      </c>
      <c r="D18" s="16" t="n">
        <v>42186</v>
      </c>
      <c r="E18" s="16" t="n">
        <v>-8312</v>
      </c>
      <c r="F18" s="16" t="n">
        <v>18044</v>
      </c>
    </row>
    <row r="19">
      <c r="A19" s="15" t="inlineStr">
        <is>
          <t>Gns. antal medarbejdere</t>
        </is>
      </c>
      <c r="B19" s="16" t="n">
        <v>78</v>
      </c>
      <c r="C19" s="16" t="n">
        <v>49</v>
      </c>
      <c r="D19" s="16" t="n">
        <v>61</v>
      </c>
      <c r="E19" s="16" t="n">
        <v>76</v>
      </c>
      <c r="F19" s="16" t="n">
        <v>67</v>
      </c>
    </row>
    <row r="20">
      <c r="A20" s="15" t="inlineStr">
        <is>
          <t>Investering i materielle anlægsaktiver</t>
        </is>
      </c>
      <c r="B20" s="16" t="n">
        <v>-158</v>
      </c>
      <c r="C20" s="16" t="n">
        <v>0</v>
      </c>
      <c r="D20" s="16" t="n">
        <v>0</v>
      </c>
      <c r="E20" s="16" t="n"/>
      <c r="F20" s="16" t="n">
        <v>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/>
      <c r="C4" s="16" t="n">
        <v>0</v>
      </c>
      <c r="D4" s="16" t="n">
        <v>0</v>
      </c>
      <c r="E4" s="16" t="n">
        <v>0</v>
      </c>
      <c r="F4" s="16" t="n">
        <v>380</v>
      </c>
    </row>
    <row r="5">
      <c r="A5" s="15" t="inlineStr">
        <is>
          <t>Indretning af lejede lokaler</t>
        </is>
      </c>
      <c r="B5" s="16" t="n"/>
      <c r="C5" s="16" t="n">
        <v>90</v>
      </c>
      <c r="D5" s="16" t="n">
        <v>56</v>
      </c>
      <c r="E5" s="16" t="n">
        <v>22</v>
      </c>
      <c r="F5" s="16" t="n">
        <v>0</v>
      </c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/>
      <c r="C7" s="16" t="n">
        <v>90</v>
      </c>
      <c r="D7" s="16" t="n">
        <v>56</v>
      </c>
      <c r="E7" s="16" t="n">
        <v>22</v>
      </c>
      <c r="F7" s="16" t="n">
        <v>380</v>
      </c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/>
      <c r="C9" s="16" t="n">
        <v>807</v>
      </c>
      <c r="D9" s="16" t="n">
        <v>853</v>
      </c>
      <c r="E9" s="16" t="n">
        <v>917</v>
      </c>
      <c r="F9" s="16" t="n">
        <v>917</v>
      </c>
    </row>
    <row r="10">
      <c r="A10" s="17" t="inlineStr">
        <is>
          <t>Finansielle anlægsaktiver</t>
        </is>
      </c>
      <c r="B10" s="16" t="n"/>
      <c r="C10" s="16" t="n">
        <v>807</v>
      </c>
      <c r="D10" s="16" t="n">
        <v>853</v>
      </c>
      <c r="E10" s="16" t="n">
        <v>917</v>
      </c>
      <c r="F10" s="16" t="n">
        <v>917</v>
      </c>
    </row>
    <row r="11">
      <c r="A11" s="17" t="inlineStr">
        <is>
          <t>Anlægsaktiver</t>
        </is>
      </c>
      <c r="B11" s="16" t="n"/>
      <c r="C11" s="16" t="n">
        <v>897</v>
      </c>
      <c r="D11" s="16" t="n">
        <v>909</v>
      </c>
      <c r="E11" s="16" t="n">
        <v>939</v>
      </c>
      <c r="F11" s="16" t="n">
        <v>1297</v>
      </c>
    </row>
    <row r="12">
      <c r="A12" s="15" t="inlineStr">
        <is>
          <t>Tilgodehavender fra salg og tjenesteydelser</t>
        </is>
      </c>
      <c r="B12" s="16" t="n"/>
      <c r="C12" s="16" t="n">
        <v>27661</v>
      </c>
      <c r="D12" s="16" t="n">
        <v>22436</v>
      </c>
      <c r="E12" s="16" t="n">
        <v>29587</v>
      </c>
      <c r="F12" s="16" t="n">
        <v>41927</v>
      </c>
    </row>
    <row r="13">
      <c r="A13" s="15" t="inlineStr">
        <is>
          <t>Tilgodehavender hos tilknyttede virksomheder</t>
        </is>
      </c>
      <c r="B13" s="16" t="n"/>
      <c r="C13" s="16" t="n">
        <v>331912</v>
      </c>
      <c r="D13" s="16" t="n">
        <v>310627</v>
      </c>
      <c r="E13" s="16" t="n">
        <v>238464</v>
      </c>
      <c r="F13" s="16" t="n">
        <v>263685</v>
      </c>
    </row>
    <row r="14">
      <c r="A14" s="15" t="inlineStr">
        <is>
          <t>Andre tilgodehavender</t>
        </is>
      </c>
      <c r="B14" s="16" t="n"/>
      <c r="C14" s="16" t="n">
        <v>226</v>
      </c>
      <c r="D14" s="16" t="n">
        <v>4991</v>
      </c>
      <c r="E14" s="16" t="n">
        <v>1288</v>
      </c>
      <c r="F14" s="16" t="n">
        <v>6788</v>
      </c>
    </row>
    <row r="15">
      <c r="A15" s="15" t="inlineStr">
        <is>
          <t>Periodeafgrænsningsposter (aktiver)</t>
        </is>
      </c>
      <c r="B15" s="16" t="n"/>
      <c r="C15" s="16" t="n">
        <v>714</v>
      </c>
      <c r="D15" s="16" t="n">
        <v>1263</v>
      </c>
      <c r="E15" s="16" t="n">
        <v>2862</v>
      </c>
      <c r="F15" s="16" t="n">
        <v>9274</v>
      </c>
    </row>
    <row r="16">
      <c r="A16" s="15" t="inlineStr">
        <is>
          <t>Udskudt skatteaktiv</t>
        </is>
      </c>
      <c r="B16" s="16" t="n"/>
      <c r="C16" s="16" t="n">
        <v>26212</v>
      </c>
      <c r="D16" s="16" t="n">
        <v>24826</v>
      </c>
      <c r="E16" s="16" t="n">
        <v>15084</v>
      </c>
      <c r="F16" s="16" t="n">
        <v>10623</v>
      </c>
    </row>
    <row r="17">
      <c r="A17" s="15" t="inlineStr">
        <is>
          <t>Tilgodehavende skat hos tilknyttede virksomheder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Kortfristede skattetilgodehavender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Tilgodehavender</t>
        </is>
      </c>
      <c r="B19" s="16" t="n"/>
      <c r="C19" s="16" t="n">
        <v>386725</v>
      </c>
      <c r="D19" s="16" t="n">
        <v>364143</v>
      </c>
      <c r="E19" s="16" t="n">
        <v>287285</v>
      </c>
      <c r="F19" s="16" t="n">
        <v>332297</v>
      </c>
    </row>
    <row r="20">
      <c r="A20" s="15" t="inlineStr">
        <is>
          <t>Værdipapirer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Likvide beholdninger</t>
        </is>
      </c>
      <c r="B21" s="16" t="n"/>
      <c r="C21" s="16" t="n">
        <v>47700</v>
      </c>
      <c r="D21" s="16" t="n">
        <v>134700</v>
      </c>
      <c r="E21" s="16" t="n">
        <v>135700</v>
      </c>
      <c r="F21" s="16" t="n">
        <v>185700</v>
      </c>
    </row>
    <row r="22">
      <c r="A22" s="17" t="inlineStr">
        <is>
          <t>Omsætningsaktiver</t>
        </is>
      </c>
      <c r="B22" s="16" t="n"/>
      <c r="C22" s="16" t="n">
        <v>434425</v>
      </c>
      <c r="D22" s="16" t="n">
        <v>498843</v>
      </c>
      <c r="E22" s="16" t="n">
        <v>422985</v>
      </c>
      <c r="F22" s="16" t="n">
        <v>517997</v>
      </c>
    </row>
    <row r="23">
      <c r="A23" s="17" t="inlineStr">
        <is>
          <t>Aktiver</t>
        </is>
      </c>
      <c r="B23" s="16" t="n">
        <v>62017</v>
      </c>
      <c r="C23" s="16" t="n">
        <v>435322</v>
      </c>
      <c r="D23" s="16" t="n">
        <v>499752</v>
      </c>
      <c r="E23" s="16" t="n">
        <v>423924</v>
      </c>
      <c r="F23" s="16" t="n">
        <v>519294</v>
      </c>
    </row>
    <row r="24">
      <c r="A24" s="15" t="inlineStr">
        <is>
          <t>Selskabskapital</t>
        </is>
      </c>
      <c r="B24" s="16" t="n"/>
      <c r="C24" s="16" t="n">
        <v>36000</v>
      </c>
      <c r="D24" s="16" t="n">
        <v>36000</v>
      </c>
      <c r="E24" s="16" t="n">
        <v>36000</v>
      </c>
      <c r="F24" s="16" t="n">
        <v>36000</v>
      </c>
    </row>
    <row r="25">
      <c r="A25" s="15" t="inlineStr">
        <is>
          <t>Reserve for nettoopskrivning (indre værdis metode)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Reserve for udviklingsomkostninger</t>
        </is>
      </c>
      <c r="B26" s="16" t="n"/>
      <c r="C26" s="16" t="n"/>
      <c r="D26" s="16" t="n"/>
      <c r="E26" s="16" t="n"/>
      <c r="F26" s="16" t="n"/>
    </row>
    <row r="27">
      <c r="A27" s="15" t="inlineStr">
        <is>
          <t>Reserve for sikringstransaktioner</t>
        </is>
      </c>
      <c r="B27" s="16" t="n"/>
      <c r="C27" s="16" t="n"/>
      <c r="D27" s="16" t="n"/>
      <c r="E27" s="16" t="n"/>
      <c r="F27" s="16" t="n"/>
    </row>
    <row r="28">
      <c r="A28" s="15" t="inlineStr">
        <is>
          <t>Andre reserver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Overført resultat</t>
        </is>
      </c>
      <c r="B29" s="16" t="n"/>
      <c r="C29" s="16" t="n">
        <v>-8823</v>
      </c>
      <c r="D29" s="16" t="n">
        <v>3363</v>
      </c>
      <c r="E29" s="16" t="n">
        <v>-4949</v>
      </c>
      <c r="F29" s="16" t="n">
        <v>13095</v>
      </c>
    </row>
    <row r="30">
      <c r="A30" s="17" t="inlineStr">
        <is>
          <t>Egenkapital i alt</t>
        </is>
      </c>
      <c r="B30" s="16" t="n">
        <v>-126600</v>
      </c>
      <c r="C30" s="16" t="n">
        <v>27177</v>
      </c>
      <c r="D30" s="16" t="n">
        <v>69363</v>
      </c>
      <c r="E30" s="16" t="n">
        <v>31051</v>
      </c>
      <c r="F30" s="16" t="n">
        <v>49095</v>
      </c>
    </row>
    <row r="31">
      <c r="A31" s="17" t="inlineStr">
        <is>
          <t>Hensatte forpligtelser</t>
        </is>
      </c>
      <c r="B31" s="16" t="n"/>
      <c r="C31" s="16" t="n">
        <v>642</v>
      </c>
      <c r="D31" s="16" t="n">
        <v>642</v>
      </c>
      <c r="E31" s="16" t="n">
        <v>800</v>
      </c>
      <c r="F31" s="16" t="n">
        <v>800</v>
      </c>
    </row>
    <row r="32">
      <c r="A32" s="15" t="inlineStr">
        <is>
          <t>Ansvarlig lånekapital (kortfristet)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Kortfristet del af langfristede gældsforpligtelser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Kreditinstitutter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Leasingforpligtelser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Leverandører af varer og tjenesteydelser</t>
        </is>
      </c>
      <c r="B36" s="16" t="n"/>
      <c r="C36" s="16" t="n">
        <v>6109</v>
      </c>
      <c r="D36" s="16" t="n">
        <v>4519</v>
      </c>
      <c r="E36" s="16" t="n">
        <v>7269</v>
      </c>
      <c r="F36" s="16" t="n">
        <v>2603</v>
      </c>
    </row>
    <row r="37">
      <c r="A37" s="15" t="inlineStr">
        <is>
          <t>Gæld til tilknyttede virksomheder</t>
        </is>
      </c>
      <c r="B37" s="16" t="n"/>
      <c r="C37" s="16" t="n">
        <v>73597</v>
      </c>
      <c r="D37" s="16" t="n">
        <v>115346</v>
      </c>
      <c r="E37" s="16" t="n">
        <v>51154</v>
      </c>
      <c r="F37" s="16" t="n">
        <v>99542</v>
      </c>
    </row>
    <row r="38">
      <c r="A38" s="15" t="inlineStr">
        <is>
          <t>Gæld til selskabsdeltagere og ledelse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Selskabsskat</t>
        </is>
      </c>
      <c r="B39" s="16" t="n"/>
      <c r="C39" s="16" t="n">
        <v>17464</v>
      </c>
      <c r="D39" s="16" t="n">
        <v>0</v>
      </c>
      <c r="E39" s="16" t="n"/>
      <c r="F39" s="16" t="n"/>
    </row>
    <row r="40">
      <c r="A40" s="15" t="inlineStr">
        <is>
          <t>Gæld til tilknyttede virksomheder vedr. selskabsskat</t>
        </is>
      </c>
      <c r="B40" s="16" t="n"/>
      <c r="C40" s="16" t="n">
        <v>631</v>
      </c>
      <c r="D40" s="16" t="n">
        <v>7160</v>
      </c>
      <c r="E40" s="16" t="n">
        <v>0</v>
      </c>
      <c r="F40" s="16" t="n">
        <v>2919</v>
      </c>
    </row>
    <row r="41">
      <c r="A41" s="15" t="inlineStr">
        <is>
          <t>Anden gæld (kortfristet)</t>
        </is>
      </c>
      <c r="B41" s="16" t="n"/>
      <c r="C41" s="16" t="n">
        <v>8302</v>
      </c>
      <c r="D41" s="16" t="n">
        <v>7067</v>
      </c>
      <c r="E41" s="16" t="n">
        <v>5247</v>
      </c>
      <c r="F41" s="16" t="n">
        <v>4309</v>
      </c>
    </row>
    <row r="42">
      <c r="A42" s="15" t="inlineStr">
        <is>
          <t>Periodeafgrænsningsposter (passiver)</t>
        </is>
      </c>
      <c r="B42" s="16" t="n"/>
      <c r="C42" s="16" t="n">
        <v>301400</v>
      </c>
      <c r="D42" s="16" t="n">
        <v>295655</v>
      </c>
      <c r="E42" s="16" t="n">
        <v>328403</v>
      </c>
      <c r="F42" s="16" t="n">
        <v>360026</v>
      </c>
    </row>
    <row r="43">
      <c r="A43" s="17" t="inlineStr">
        <is>
          <t>Kortfristede gældsforpligtelser</t>
        </is>
      </c>
      <c r="B43" s="16" t="n"/>
      <c r="C43" s="16" t="n">
        <v>407503</v>
      </c>
      <c r="D43" s="16" t="n">
        <v>429747</v>
      </c>
      <c r="E43" s="16" t="n">
        <v>392073</v>
      </c>
      <c r="F43" s="16" t="n">
        <v>469399</v>
      </c>
    </row>
    <row r="44">
      <c r="A44" s="17" t="inlineStr">
        <is>
          <t>Gældsforpligtelser</t>
        </is>
      </c>
      <c r="B44" s="16" t="n"/>
      <c r="C44" s="16" t="n">
        <v>407503</v>
      </c>
      <c r="D44" s="16" t="n">
        <v>429747</v>
      </c>
      <c r="E44" s="16" t="n">
        <v>392073</v>
      </c>
      <c r="F44" s="16" t="n">
        <v>469399</v>
      </c>
    </row>
    <row r="45">
      <c r="A45" s="17" t="inlineStr">
        <is>
          <t>Passiver</t>
        </is>
      </c>
      <c r="B45" s="16" t="n">
        <v>62017</v>
      </c>
      <c r="C45" s="16" t="n">
        <v>435322</v>
      </c>
      <c r="D45" s="16" t="n">
        <v>499752</v>
      </c>
      <c r="E45" s="16" t="n">
        <v>423924</v>
      </c>
      <c r="F45" s="16" t="n">
        <v>519294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24137414)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'res_raw_24137414'!$F$2</f>
        <v/>
      </c>
      <c r="C5" s="24">
        <f>'res_raw_24137414'!$E$2</f>
        <v/>
      </c>
      <c r="D5" s="24">
        <f>'res_raw_24137414'!$D$2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'res_raw_24137414'!$F$3</f>
        <v/>
      </c>
      <c r="C6" s="24">
        <f>'res_raw_24137414'!$E$3</f>
        <v/>
      </c>
      <c r="D6" s="24">
        <f>'res_raw_24137414'!$D$3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-'res_raw_24137414'!$F$4</f>
        <v/>
      </c>
      <c r="C7" s="24">
        <f>-'res_raw_24137414'!$E$4</f>
        <v/>
      </c>
      <c r="D7" s="24">
        <f>-'res_raw_24137414'!$D$4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-'res_raw_24137414'!$F$5</f>
        <v/>
      </c>
      <c r="C8" s="24">
        <f>-'res_raw_24137414'!$E$5</f>
        <v/>
      </c>
      <c r="D8" s="24">
        <f>-'res_raw_24137414'!$D$5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-'res_raw_24137414'!$F$7</f>
        <v/>
      </c>
      <c r="C10" s="24">
        <f>-'res_raw_24137414'!$E$7</f>
        <v/>
      </c>
      <c r="D10" s="24">
        <f>-'res_raw_24137414'!$D$7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-'res_raw_24137414'!$F$9</f>
        <v/>
      </c>
      <c r="C11" s="24">
        <f>-'res_raw_24137414'!$E$9</f>
        <v/>
      </c>
      <c r="D11" s="24">
        <f>-'res_raw_24137414'!$D$9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-'res_raw_24137414'!$F$10</f>
        <v/>
      </c>
      <c r="C12" s="24">
        <f>-'res_raw_24137414'!$E$10</f>
        <v/>
      </c>
      <c r="D12" s="24">
        <f>-'res_raw_24137414'!$D$10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N('res_raw_24137414'!$F$12)+N('res_raw_24137414'!$F$13)</f>
        <v/>
      </c>
      <c r="C14" s="24">
        <f>N('res_raw_24137414'!$E$12)+N('res_raw_24137414'!$E$13)</f>
        <v/>
      </c>
      <c r="D14" s="24">
        <f>N('res_raw_24137414'!$D$12)+N('res_raw_24137414'!$D$13)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-'res_raw_24137414'!$F$14</f>
        <v/>
      </c>
      <c r="C15" s="24">
        <f>-'res_raw_24137414'!$E$14</f>
        <v/>
      </c>
      <c r="D15" s="24">
        <f>-'res_raw_24137414'!$D$14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'balance_raw_24137414'!$F$11</f>
        <v/>
      </c>
      <c r="C19" s="24">
        <f>'balance_raw_24137414'!$E$11</f>
        <v/>
      </c>
      <c r="D19" s="24">
        <f>'balance_raw_24137414'!$D$11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'balance_raw_24137414'!$F$22</f>
        <v/>
      </c>
      <c r="C20" s="24">
        <f>'balance_raw_24137414'!$E$22</f>
        <v/>
      </c>
      <c r="D20" s="24">
        <f>'balance_raw_24137414'!$D$22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'balance_raw_24137414'!$F$30</f>
        <v/>
      </c>
      <c r="C23" s="24">
        <f>'balance_raw_24137414'!$E$30</f>
        <v/>
      </c>
      <c r="D23" s="24">
        <f>'balance_raw_24137414'!$D$30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'balance_raw_24137414'!$F$45-'balance_raw_24137414'!$F$30</f>
        <v/>
      </c>
      <c r="C24" s="24">
        <f>'balance_raw_24137414'!$E$45-'balance_raw_24137414'!$E$30</f>
        <v/>
      </c>
      <c r="D24" s="24">
        <f>'balance_raw_24137414'!$D$45-'balance_raw_24137414'!$D$30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9" t="n"/>
      <c r="C28" s="29" t="n"/>
      <c r="D28" s="29" t="n"/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'balance_raw_24137414'!$F$12</f>
        <v/>
      </c>
      <c r="C29" s="24">
        <f>'balance_raw_24137414'!$E$12</f>
        <v/>
      </c>
      <c r="D29" s="24">
        <f>'balance_raw_24137414'!$D$12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'balance_raw_24137414'!$F$43</f>
        <v/>
      </c>
      <c r="C30" s="24">
        <f>'balance_raw_24137414'!$E$43</f>
        <v/>
      </c>
      <c r="D30" s="24">
        <f>'balance_raw_24137414'!$D$43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IF('balance_raw_24137414'!$F$23="","—",IF(ABS(B21-'balance_raw_24137414'!$F$23)&lt;=1,"✓ OK","❌ "&amp;TEXT(B21-'balance_raw_24137414'!$F$23,"+#,##0;-#,##0")&amp;" t.kr."))</f>
        <v/>
      </c>
      <c r="C61" s="29">
        <f>IF('balance_raw_24137414'!$E$23="","—",IF(ABS(C21-'balance_raw_24137414'!$E$23)&lt;=1,"✓ OK","❌ "&amp;TEXT(C21-'balance_raw_24137414'!$E$23,"+#,##0;-#,##0")&amp;" t.kr."))</f>
        <v/>
      </c>
      <c r="D61" s="29">
        <f>IF('balance_raw_24137414'!$D$23="","—",IF(ABS(D21-'balance_raw_24137414'!$D$23)&lt;=1,"✓ OK","❌ "&amp;TEXT(D21-'balance_raw_24137414'!$D$23,"+#,##0;-#,##0")&amp;"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IF('balance_raw_24137414'!$F$45="","—",IF(ABS(B25-'balance_raw_24137414'!$F$45)&lt;=1,"✓ OK","❌ "&amp;TEXT(B25-'balance_raw_24137414'!$F$45,"+#,##0;-#,##0")&amp;" t.kr."))</f>
        <v/>
      </c>
      <c r="C62" s="29">
        <f>IF('balance_raw_24137414'!$E$45="","—",IF(ABS(C25-'balance_raw_24137414'!$E$45)&lt;=1,"✓ OK","❌ "&amp;TEXT(C25-'balance_raw_24137414'!$E$45,"+#,##0;-#,##0")&amp;" t.kr."))</f>
        <v/>
      </c>
      <c r="D62" s="29">
        <f>IF('balance_raw_24137414'!$D$45="","—",IF(ABS(D25-'balance_raw_24137414'!$D$45)&lt;=1,"✓ OK","❌ "&amp;TEXT(D25-'balance_raw_24137414'!$D$45,"+#,##0;-#,##0")&amp;"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IF('res_raw_24137414'!$F$6="","—",IF(ABS(B9-'res_raw_24137414'!$F$6)&lt;=1,"✓ OK","❌ "&amp;TEXT(B9-'res_raw_24137414'!$F$6,"+#,##0;-#,##0")&amp;" t.kr."))</f>
        <v/>
      </c>
      <c r="C64" s="29">
        <f>IF('res_raw_24137414'!$E$6="","—",IF(ABS(C9-'res_raw_24137414'!$E$6)&lt;=1,"✓ OK","❌ "&amp;TEXT(C9-'res_raw_24137414'!$E$6,"+#,##0;-#,##0")&amp;" t.kr."))</f>
        <v/>
      </c>
      <c r="D64" s="29">
        <f>IF('res_raw_24137414'!$D$6="","—",IF(ABS(D9-'res_raw_24137414'!$D$6)&lt;=1,"✓ OK","❌ "&amp;TEXT(D9-'res_raw_24137414'!$D$6,"+#,##0;-#,##0")&amp;"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IF('res_raw_24137414'!$F$11="","—",IF(ABS(B13-'res_raw_24137414'!$F$11)&lt;=1,"✓ OK","❌ "&amp;TEXT(B13-'res_raw_24137414'!$F$11,"+#,##0;-#,##0")&amp;" t.kr."))</f>
        <v/>
      </c>
      <c r="C65" s="29">
        <f>IF('res_raw_24137414'!$E$11="","—",IF(ABS(C13-'res_raw_24137414'!$E$11)&lt;=1,"✓ OK","❌ "&amp;TEXT(C13-'res_raw_24137414'!$E$11,"+#,##0;-#,##0")&amp;" t.kr."))</f>
        <v/>
      </c>
      <c r="D65" s="29">
        <f>IF('res_raw_24137414'!$D$11="","—",IF(ABS(D13-'res_raw_24137414'!$D$11)&lt;=1,"✓ OK","❌ "&amp;TEXT(D13-'res_raw_24137414'!$D$11,"+#,##0;-#,##0")&amp;"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IF('res_raw_24137414'!$F$16="","—",IF(ABS(B16-'res_raw_24137414'!$F$16)&lt;=1,"✓ OK","❌ "&amp;TEXT(B16-'res_raw_24137414'!$F$16,"+#,##0;-#,##0")&amp;" t.kr."))</f>
        <v/>
      </c>
      <c r="C66" s="29">
        <f>IF('res_raw_24137414'!$E$16="","—",IF(ABS(C16-'res_raw_24137414'!$E$16)&lt;=1,"✓ OK","❌ "&amp;TEXT(C16-'res_raw_24137414'!$E$16,"+#,##0;-#,##0")&amp;" t.kr."))</f>
        <v/>
      </c>
      <c r="D66" s="29">
        <f>IF('res_raw_24137414'!$D$16="","—",IF(ABS(D16-'res_raw_24137414'!$D$16)&lt;=1,"✓ OK","❌ "&amp;TEXT(D16-'res_raw_24137414'!$D$16,"+#,##0;-#,##0")&amp;"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2026-09-07T18:22:39Z</dcterms:created>
  <dcterms:modified xmlns:dcterms="http://purl.org/dc/terms/" xmlns:xsi="http://www.w3.org/2001/XMLSchema-instance" xsi:type="dcterms:W3CDTF">2026-09-07T18:22:39Z</dcterms:modified>
</cp:coreProperties>
</file>