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2931499" sheetId="1" state="visible" r:id="rId1"/>
    <sheet xmlns:r="http://schemas.openxmlformats.org/officeDocument/2006/relationships" name="res_raw_32931499" sheetId="2" state="visible" r:id="rId2"/>
    <sheet xmlns:r="http://schemas.openxmlformats.org/officeDocument/2006/relationships" name="balance_raw_3293149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Sunweb Group Scandinavia A/S (CVR 32931499) — Regnskabsanalyse – Resultatopgørelse &amp; Balance (t.kr.) · Klasse B · Udvidet gennemgang · Regnskabsår 1/11–31/10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'res_raw_32931499'!$B$2</f>
        <v/>
      </c>
      <c r="C4" s="5">
        <f>'res_raw_32931499'!$C$2</f>
        <v/>
      </c>
      <c r="D4" s="5">
        <f>'res_raw_32931499'!$D$2</f>
        <v/>
      </c>
      <c r="E4" s="5">
        <f>'res_raw_32931499'!$E$2</f>
        <v/>
      </c>
      <c r="F4" s="5">
        <f>'res_raw_32931499'!$F$2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'res_raw_32931499'!$B$3</f>
        <v/>
      </c>
      <c r="C5" s="8">
        <f>'res_raw_32931499'!$C$3</f>
        <v/>
      </c>
      <c r="D5" s="8">
        <f>'res_raw_32931499'!$D$3</f>
        <v/>
      </c>
      <c r="E5" s="8">
        <f>'res_raw_32931499'!$E$3</f>
        <v/>
      </c>
      <c r="F5" s="8">
        <f>'res_raw_32931499'!$F$3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'res_raw_32931499'!$B$4</f>
        <v/>
      </c>
      <c r="C6" s="5">
        <f>'res_raw_32931499'!$C$4</f>
        <v/>
      </c>
      <c r="D6" s="5">
        <f>'res_raw_32931499'!$D$4</f>
        <v/>
      </c>
      <c r="E6" s="5">
        <f>'res_raw_32931499'!$E$4</f>
        <v/>
      </c>
      <c r="F6" s="5">
        <f>'res_raw_32931499'!$F$4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'res_raw_32931499'!$B$5</f>
        <v/>
      </c>
      <c r="C7" s="8">
        <f>'res_raw_32931499'!$C$5</f>
        <v/>
      </c>
      <c r="D7" s="8">
        <f>'res_raw_32931499'!$D$5</f>
        <v/>
      </c>
      <c r="E7" s="8">
        <f>'res_raw_32931499'!$E$5</f>
        <v/>
      </c>
      <c r="F7" s="8">
        <f>'res_raw_32931499'!$F$5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'res_raw_32931499'!$B$6</f>
        <v/>
      </c>
      <c r="C8" s="11">
        <f>'res_raw_32931499'!$C$6</f>
        <v/>
      </c>
      <c r="D8" s="11">
        <f>'res_raw_32931499'!$D$6</f>
        <v/>
      </c>
      <c r="E8" s="11">
        <f>'res_raw_32931499'!$E$6</f>
        <v/>
      </c>
      <c r="F8" s="11">
        <f>'res_raw_32931499'!$F$6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'res_raw_32931499'!$B$7</f>
        <v/>
      </c>
      <c r="C9" s="8">
        <f>'res_raw_32931499'!$C$7</f>
        <v/>
      </c>
      <c r="D9" s="8">
        <f>'res_raw_32931499'!$D$7</f>
        <v/>
      </c>
      <c r="E9" s="8">
        <f>'res_raw_32931499'!$E$7</f>
        <v/>
      </c>
      <c r="F9" s="8">
        <f>'res_raw_32931499'!$F$7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'res_raw_32931499'!$B$9</f>
        <v/>
      </c>
      <c r="C11" s="8">
        <f>'res_raw_32931499'!$C$9</f>
        <v/>
      </c>
      <c r="D11" s="8">
        <f>'res_raw_32931499'!$D$9</f>
        <v/>
      </c>
      <c r="E11" s="8">
        <f>'res_raw_32931499'!$E$9</f>
        <v/>
      </c>
      <c r="F11" s="8">
        <f>'res_raw_32931499'!$F$9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'res_raw_32931499'!$B$10</f>
        <v/>
      </c>
      <c r="C12" s="5">
        <f>'res_raw_32931499'!$C$10</f>
        <v/>
      </c>
      <c r="D12" s="5">
        <f>'res_raw_32931499'!$D$10</f>
        <v/>
      </c>
      <c r="E12" s="5">
        <f>'res_raw_32931499'!$E$10</f>
        <v/>
      </c>
      <c r="F12" s="5">
        <f>'res_raw_32931499'!$F$10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'res_raw_32931499'!$B$11</f>
        <v/>
      </c>
      <c r="C13" s="11">
        <f>'res_raw_32931499'!$C$11</f>
        <v/>
      </c>
      <c r="D13" s="11">
        <f>'res_raw_32931499'!$D$11</f>
        <v/>
      </c>
      <c r="E13" s="11">
        <f>'res_raw_32931499'!$E$11</f>
        <v/>
      </c>
      <c r="F13" s="11">
        <f>'res_raw_32931499'!$F$11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'res_raw_32931499'!$B$12</f>
        <v/>
      </c>
      <c r="C14" s="5">
        <f>'res_raw_32931499'!$C$12</f>
        <v/>
      </c>
      <c r="D14" s="5">
        <f>'res_raw_32931499'!$D$12</f>
        <v/>
      </c>
      <c r="E14" s="5">
        <f>'res_raw_32931499'!$E$12</f>
        <v/>
      </c>
      <c r="F14" s="5">
        <f>'res_raw_32931499'!$F$12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'res_raw_32931499'!$B$13</f>
        <v/>
      </c>
      <c r="C15" s="8">
        <f>'res_raw_32931499'!$C$13</f>
        <v/>
      </c>
      <c r="D15" s="8">
        <f>'res_raw_32931499'!$D$13</f>
        <v/>
      </c>
      <c r="E15" s="8">
        <f>'res_raw_32931499'!$E$13</f>
        <v/>
      </c>
      <c r="F15" s="8">
        <f>'res_raw_32931499'!$F$13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'res_raw_32931499'!$B$14</f>
        <v/>
      </c>
      <c r="C16" s="5">
        <f>'res_raw_32931499'!$C$14</f>
        <v/>
      </c>
      <c r="D16" s="5">
        <f>'res_raw_32931499'!$D$14</f>
        <v/>
      </c>
      <c r="E16" s="5">
        <f>'res_raw_32931499'!$E$14</f>
        <v/>
      </c>
      <c r="F16" s="5">
        <f>'res_raw_32931499'!$F$14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'res_raw_32931499'!$B$15</f>
        <v/>
      </c>
      <c r="C17" s="11">
        <f>'res_raw_32931499'!$C$15</f>
        <v/>
      </c>
      <c r="D17" s="11">
        <f>'res_raw_32931499'!$D$15</f>
        <v/>
      </c>
      <c r="E17" s="11">
        <f>'res_raw_32931499'!$E$15</f>
        <v/>
      </c>
      <c r="F17" s="11">
        <f>'res_raw_32931499'!$F$15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'res_raw_32931499'!$B$16</f>
        <v/>
      </c>
      <c r="C18" s="11">
        <f>'res_raw_32931499'!$C$16</f>
        <v/>
      </c>
      <c r="D18" s="11">
        <f>'res_raw_32931499'!$D$16</f>
        <v/>
      </c>
      <c r="E18" s="11">
        <f>'res_raw_32931499'!$E$16</f>
        <v/>
      </c>
      <c r="F18" s="11">
        <f>'res_raw_32931499'!$F$16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'res_raw_32931499'!$B$17</f>
        <v/>
      </c>
      <c r="C19" s="8">
        <f>'res_raw_32931499'!$C$17</f>
        <v/>
      </c>
      <c r="D19" s="8">
        <f>'res_raw_32931499'!$D$17</f>
        <v/>
      </c>
      <c r="E19" s="8">
        <f>'res_raw_32931499'!$E$17</f>
        <v/>
      </c>
      <c r="F19" s="8">
        <f>'res_raw_32931499'!$F$17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'res_raw_32931499'!$B$18</f>
        <v/>
      </c>
      <c r="C20" s="11">
        <f>'res_raw_32931499'!$C$18</f>
        <v/>
      </c>
      <c r="D20" s="11">
        <f>'res_raw_32931499'!$D$18</f>
        <v/>
      </c>
      <c r="E20" s="11">
        <f>'res_raw_32931499'!$E$18</f>
        <v/>
      </c>
      <c r="F20" s="11">
        <f>'res_raw_32931499'!$F$18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'balance_raw_32931499'!$B$2</f>
        <v/>
      </c>
      <c r="C23" s="8">
        <f>'balance_raw_32931499'!$C$2</f>
        <v/>
      </c>
      <c r="D23" s="8">
        <f>'balance_raw_32931499'!$D$2</f>
        <v/>
      </c>
      <c r="E23" s="8">
        <f>'balance_raw_32931499'!$E$2</f>
        <v/>
      </c>
      <c r="F23" s="8">
        <f>'balance_raw_32931499'!$F$2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'balance_raw_32931499'!$B$3</f>
        <v/>
      </c>
      <c r="C24" s="5">
        <f>'balance_raw_32931499'!$C$3</f>
        <v/>
      </c>
      <c r="D24" s="5">
        <f>'balance_raw_32931499'!$D$3</f>
        <v/>
      </c>
      <c r="E24" s="5">
        <f>'balance_raw_32931499'!$E$3</f>
        <v/>
      </c>
      <c r="F24" s="5">
        <f>'balance_raw_32931499'!$F$3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'balance_raw_32931499'!$B$4</f>
        <v/>
      </c>
      <c r="C25" s="8">
        <f>'balance_raw_32931499'!$C$4</f>
        <v/>
      </c>
      <c r="D25" s="8">
        <f>'balance_raw_32931499'!$D$4</f>
        <v/>
      </c>
      <c r="E25" s="8">
        <f>'balance_raw_32931499'!$E$4</f>
        <v/>
      </c>
      <c r="F25" s="8">
        <f>'balance_raw_32931499'!$F$4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'balance_raw_32931499'!$B$5</f>
        <v/>
      </c>
      <c r="C26" s="5">
        <f>'balance_raw_32931499'!$C$5</f>
        <v/>
      </c>
      <c r="D26" s="5">
        <f>'balance_raw_32931499'!$D$5</f>
        <v/>
      </c>
      <c r="E26" s="5">
        <f>'balance_raw_32931499'!$E$5</f>
        <v/>
      </c>
      <c r="F26" s="5">
        <f>'balance_raw_32931499'!$F$5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'balance_raw_32931499'!$B$6</f>
        <v/>
      </c>
      <c r="C27" s="8">
        <f>'balance_raw_32931499'!$C$6</f>
        <v/>
      </c>
      <c r="D27" s="8">
        <f>'balance_raw_32931499'!$D$6</f>
        <v/>
      </c>
      <c r="E27" s="8">
        <f>'balance_raw_32931499'!$E$6</f>
        <v/>
      </c>
      <c r="F27" s="8">
        <f>'balance_raw_32931499'!$F$6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'balance_raw_32931499'!$B$7</f>
        <v/>
      </c>
      <c r="C28" s="11">
        <f>'balance_raw_32931499'!$C$7</f>
        <v/>
      </c>
      <c r="D28" s="11">
        <f>'balance_raw_32931499'!$D$7</f>
        <v/>
      </c>
      <c r="E28" s="11">
        <f>'balance_raw_32931499'!$E$7</f>
        <v/>
      </c>
      <c r="F28" s="11">
        <f>'balance_raw_32931499'!$F$7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'balance_raw_32931499'!$B$8</f>
        <v/>
      </c>
      <c r="C29" s="11">
        <f>'balance_raw_32931499'!$C$8</f>
        <v/>
      </c>
      <c r="D29" s="11">
        <f>'balance_raw_32931499'!$D$8</f>
        <v/>
      </c>
      <c r="E29" s="11">
        <f>'balance_raw_32931499'!$E$8</f>
        <v/>
      </c>
      <c r="F29" s="11">
        <f>'balance_raw_32931499'!$F$8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'balance_raw_32931499'!$B$9</f>
        <v/>
      </c>
      <c r="C30" s="5">
        <f>'balance_raw_32931499'!$C$9</f>
        <v/>
      </c>
      <c r="D30" s="5">
        <f>'balance_raw_32931499'!$D$9</f>
        <v/>
      </c>
      <c r="E30" s="5">
        <f>'balance_raw_32931499'!$E$9</f>
        <v/>
      </c>
      <c r="F30" s="5">
        <f>'balance_raw_32931499'!$F$9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'balance_raw_32931499'!$B$10</f>
        <v/>
      </c>
      <c r="C31" s="8">
        <f>'balance_raw_32931499'!$C$10</f>
        <v/>
      </c>
      <c r="D31" s="8">
        <f>'balance_raw_32931499'!$D$10</f>
        <v/>
      </c>
      <c r="E31" s="8">
        <f>'balance_raw_32931499'!$E$10</f>
        <v/>
      </c>
      <c r="F31" s="8">
        <f>'balance_raw_32931499'!$F$10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'balance_raw_32931499'!$B$11</f>
        <v/>
      </c>
      <c r="C32" s="5">
        <f>'balance_raw_32931499'!$C$11</f>
        <v/>
      </c>
      <c r="D32" s="5">
        <f>'balance_raw_32931499'!$D$11</f>
        <v/>
      </c>
      <c r="E32" s="5">
        <f>'balance_raw_32931499'!$E$11</f>
        <v/>
      </c>
      <c r="F32" s="5">
        <f>'balance_raw_32931499'!$F$11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'balance_raw_32931499'!$B$12</f>
        <v/>
      </c>
      <c r="C33" s="8">
        <f>'balance_raw_32931499'!$C$12</f>
        <v/>
      </c>
      <c r="D33" s="8">
        <f>'balance_raw_32931499'!$D$12</f>
        <v/>
      </c>
      <c r="E33" s="8">
        <f>'balance_raw_32931499'!$E$12</f>
        <v/>
      </c>
      <c r="F33" s="8">
        <f>'balance_raw_32931499'!$F$12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'balance_raw_32931499'!$B$13</f>
        <v/>
      </c>
      <c r="C34" s="5">
        <f>'balance_raw_32931499'!$C$13</f>
        <v/>
      </c>
      <c r="D34" s="5">
        <f>'balance_raw_32931499'!$D$13</f>
        <v/>
      </c>
      <c r="E34" s="5">
        <f>'balance_raw_32931499'!$E$13</f>
        <v/>
      </c>
      <c r="F34" s="5">
        <f>'balance_raw_32931499'!$F$13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'balance_raw_32931499'!$B$14</f>
        <v/>
      </c>
      <c r="C35" s="8">
        <f>'balance_raw_32931499'!$C$14</f>
        <v/>
      </c>
      <c r="D35" s="8">
        <f>'balance_raw_32931499'!$D$14</f>
        <v/>
      </c>
      <c r="E35" s="8">
        <f>'balance_raw_32931499'!$E$14</f>
        <v/>
      </c>
      <c r="F35" s="8">
        <f>'balance_raw_32931499'!$F$14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'balance_raw_32931499'!$B$15</f>
        <v/>
      </c>
      <c r="C36" s="5">
        <f>'balance_raw_32931499'!$C$15</f>
        <v/>
      </c>
      <c r="D36" s="5">
        <f>'balance_raw_32931499'!$D$15</f>
        <v/>
      </c>
      <c r="E36" s="5">
        <f>'balance_raw_32931499'!$E$15</f>
        <v/>
      </c>
      <c r="F36" s="5">
        <f>'balance_raw_32931499'!$F$15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'balance_raw_32931499'!$B$16</f>
        <v/>
      </c>
      <c r="C37" s="11">
        <f>'balance_raw_32931499'!$C$16</f>
        <v/>
      </c>
      <c r="D37" s="11">
        <f>'balance_raw_32931499'!$D$16</f>
        <v/>
      </c>
      <c r="E37" s="11">
        <f>'balance_raw_32931499'!$E$16</f>
        <v/>
      </c>
      <c r="F37" s="11">
        <f>'balance_raw_32931499'!$F$16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'balance_raw_32931499'!$B$17</f>
        <v/>
      </c>
      <c r="C38" s="5">
        <f>'balance_raw_32931499'!$C$17</f>
        <v/>
      </c>
      <c r="D38" s="5">
        <f>'balance_raw_32931499'!$D$17</f>
        <v/>
      </c>
      <c r="E38" s="5">
        <f>'balance_raw_32931499'!$E$17</f>
        <v/>
      </c>
      <c r="F38" s="5">
        <f>'balance_raw_32931499'!$F$17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'balance_raw_32931499'!$B$18</f>
        <v/>
      </c>
      <c r="C39" s="8">
        <f>'balance_raw_32931499'!$C$18</f>
        <v/>
      </c>
      <c r="D39" s="8">
        <f>'balance_raw_32931499'!$D$18</f>
        <v/>
      </c>
      <c r="E39" s="8">
        <f>'balance_raw_32931499'!$E$18</f>
        <v/>
      </c>
      <c r="F39" s="8">
        <f>'balance_raw_32931499'!$F$18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'balance_raw_32931499'!$B$19</f>
        <v/>
      </c>
      <c r="C40" s="11">
        <f>'balance_raw_32931499'!$C$19</f>
        <v/>
      </c>
      <c r="D40" s="11">
        <f>'balance_raw_32931499'!$D$19</f>
        <v/>
      </c>
      <c r="E40" s="11">
        <f>'balance_raw_32931499'!$E$19</f>
        <v/>
      </c>
      <c r="F40" s="11">
        <f>'balance_raw_32931499'!$F$19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'balance_raw_32931499'!$B$20</f>
        <v/>
      </c>
      <c r="C41" s="11">
        <f>'balance_raw_32931499'!$C$20</f>
        <v/>
      </c>
      <c r="D41" s="11">
        <f>'balance_raw_32931499'!$D$20</f>
        <v/>
      </c>
      <c r="E41" s="11">
        <f>'balance_raw_32931499'!$E$20</f>
        <v/>
      </c>
      <c r="F41" s="11">
        <f>'balance_raw_32931499'!$F$20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t.kr.</t>
        </is>
      </c>
      <c r="B43" s="3" t="n">
        <v>2021</v>
      </c>
      <c r="C43" s="3" t="n">
        <v>2022</v>
      </c>
      <c r="D43" s="3" t="n">
        <v>2023</v>
      </c>
      <c r="E43" s="3" t="n">
        <v>2024</v>
      </c>
      <c r="F43" s="3" t="n">
        <v>2025</v>
      </c>
      <c r="G43" t="inlineStr"/>
      <c r="H43" s="3" t="n">
        <v>2021</v>
      </c>
      <c r="I43" s="3" t="n">
        <v>2022</v>
      </c>
      <c r="J43" s="3" t="n">
        <v>2023</v>
      </c>
      <c r="K43" s="3" t="n">
        <v>2024</v>
      </c>
      <c r="L43" s="3" t="n">
        <v>2025</v>
      </c>
    </row>
    <row r="44" ht="16" customHeight="1">
      <c r="A44" s="4" t="inlineStr">
        <is>
          <t>Selskabskapital</t>
        </is>
      </c>
      <c r="B44" s="5">
        <f>'balance_raw_32931499'!$B$21</f>
        <v/>
      </c>
      <c r="C44" s="5">
        <f>'balance_raw_32931499'!$C$21</f>
        <v/>
      </c>
      <c r="D44" s="5">
        <f>'balance_raw_32931499'!$D$21</f>
        <v/>
      </c>
      <c r="E44" s="5">
        <f>'balance_raw_32931499'!$E$21</f>
        <v/>
      </c>
      <c r="F44" s="5">
        <f>'balance_raw_32931499'!$F$21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'balance_raw_32931499'!$B$22</f>
        <v/>
      </c>
      <c r="C45" s="8">
        <f>'balance_raw_32931499'!$C$22</f>
        <v/>
      </c>
      <c r="D45" s="8">
        <f>'balance_raw_32931499'!$D$22</f>
        <v/>
      </c>
      <c r="E45" s="8">
        <f>'balance_raw_32931499'!$E$22</f>
        <v/>
      </c>
      <c r="F45" s="8">
        <f>'balance_raw_32931499'!$F$22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'balance_raw_32931499'!$B$23</f>
        <v/>
      </c>
      <c r="C46" s="5">
        <f>'balance_raw_32931499'!$C$23</f>
        <v/>
      </c>
      <c r="D46" s="5">
        <f>'balance_raw_32931499'!$D$23</f>
        <v/>
      </c>
      <c r="E46" s="5">
        <f>'balance_raw_32931499'!$E$23</f>
        <v/>
      </c>
      <c r="F46" s="5">
        <f>'balance_raw_32931499'!$F$23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'balance_raw_32931499'!$B$24</f>
        <v/>
      </c>
      <c r="C47" s="8">
        <f>'balance_raw_32931499'!$C$24</f>
        <v/>
      </c>
      <c r="D47" s="8">
        <f>'balance_raw_32931499'!$D$24</f>
        <v/>
      </c>
      <c r="E47" s="8">
        <f>'balance_raw_32931499'!$E$24</f>
        <v/>
      </c>
      <c r="F47" s="8">
        <f>'balance_raw_32931499'!$F$24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'balance_raw_32931499'!$B$25</f>
        <v/>
      </c>
      <c r="C48" s="5">
        <f>'balance_raw_32931499'!$C$25</f>
        <v/>
      </c>
      <c r="D48" s="5">
        <f>'balance_raw_32931499'!$D$25</f>
        <v/>
      </c>
      <c r="E48" s="5">
        <f>'balance_raw_32931499'!$E$25</f>
        <v/>
      </c>
      <c r="F48" s="5">
        <f>'balance_raw_32931499'!$F$25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'balance_raw_32931499'!$B$26</f>
        <v/>
      </c>
      <c r="C49" s="8">
        <f>'balance_raw_32931499'!$C$26</f>
        <v/>
      </c>
      <c r="D49" s="8">
        <f>'balance_raw_32931499'!$D$26</f>
        <v/>
      </c>
      <c r="E49" s="8">
        <f>'balance_raw_32931499'!$E$26</f>
        <v/>
      </c>
      <c r="F49" s="8">
        <f>'balance_raw_32931499'!$F$26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'balance_raw_32931499'!$B$27</f>
        <v/>
      </c>
      <c r="C50" s="11">
        <f>'balance_raw_32931499'!$C$27</f>
        <v/>
      </c>
      <c r="D50" s="11">
        <f>'balance_raw_32931499'!$D$27</f>
        <v/>
      </c>
      <c r="E50" s="11">
        <f>'balance_raw_32931499'!$E$27</f>
        <v/>
      </c>
      <c r="F50" s="11">
        <f>'balance_raw_32931499'!$F$27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Hensættelse til udskudt skat</t>
        </is>
      </c>
      <c r="B51" s="8">
        <f>'balance_raw_32931499'!$B$28</f>
        <v/>
      </c>
      <c r="C51" s="8">
        <f>'balance_raw_32931499'!$C$28</f>
        <v/>
      </c>
      <c r="D51" s="8">
        <f>'balance_raw_32931499'!$D$28</f>
        <v/>
      </c>
      <c r="E51" s="8">
        <f>'balance_raw_32931499'!$E$28</f>
        <v/>
      </c>
      <c r="F51" s="8">
        <f>'balance_raw_32931499'!$F$28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10" t="inlineStr">
        <is>
          <t>Hensatte forpligtelser</t>
        </is>
      </c>
      <c r="B52" s="11">
        <f>'balance_raw_32931499'!$B$29</f>
        <v/>
      </c>
      <c r="C52" s="11">
        <f>'balance_raw_32931499'!$C$29</f>
        <v/>
      </c>
      <c r="D52" s="11">
        <f>'balance_raw_32931499'!$D$29</f>
        <v/>
      </c>
      <c r="E52" s="11">
        <f>'balance_raw_32931499'!$E$29</f>
        <v/>
      </c>
      <c r="F52" s="11">
        <f>'balance_raw_32931499'!$F$29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3" ht="16" customHeight="1">
      <c r="A53" s="10" t="inlineStr">
        <is>
          <t>Langfristede gældsforpligtelser</t>
        </is>
      </c>
      <c r="B53" s="11">
        <f>'balance_raw_32931499'!$B$30</f>
        <v/>
      </c>
      <c r="C53" s="11">
        <f>'balance_raw_32931499'!$C$30</f>
        <v/>
      </c>
      <c r="D53" s="11">
        <f>'balance_raw_32931499'!$D$30</f>
        <v/>
      </c>
      <c r="E53" s="11">
        <f>'balance_raw_32931499'!$E$30</f>
        <v/>
      </c>
      <c r="F53" s="11">
        <f>'balance_raw_32931499'!$F$30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Ansvarlig lånekapital (kortfristet)</t>
        </is>
      </c>
      <c r="B54" s="5">
        <f>'balance_raw_32931499'!$B$31</f>
        <v/>
      </c>
      <c r="C54" s="5">
        <f>'balance_raw_32931499'!$C$31</f>
        <v/>
      </c>
      <c r="D54" s="5">
        <f>'balance_raw_32931499'!$D$31</f>
        <v/>
      </c>
      <c r="E54" s="5">
        <f>'balance_raw_32931499'!$E$31</f>
        <v/>
      </c>
      <c r="F54" s="5">
        <f>'balance_raw_32931499'!$F$31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Kortfristet del af langfristede gældsforpligtelser</t>
        </is>
      </c>
      <c r="B55" s="8">
        <f>'balance_raw_32931499'!$B$32</f>
        <v/>
      </c>
      <c r="C55" s="8">
        <f>'balance_raw_32931499'!$C$32</f>
        <v/>
      </c>
      <c r="D55" s="8">
        <f>'balance_raw_32931499'!$D$32</f>
        <v/>
      </c>
      <c r="E55" s="8">
        <f>'balance_raw_32931499'!$E$32</f>
        <v/>
      </c>
      <c r="F55" s="8">
        <f>'balance_raw_32931499'!$F$32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Kreditinstitutter</t>
        </is>
      </c>
      <c r="B56" s="5">
        <f>'balance_raw_32931499'!$B$33</f>
        <v/>
      </c>
      <c r="C56" s="5">
        <f>'balance_raw_32931499'!$C$33</f>
        <v/>
      </c>
      <c r="D56" s="5">
        <f>'balance_raw_32931499'!$D$33</f>
        <v/>
      </c>
      <c r="E56" s="5">
        <f>'balance_raw_32931499'!$E$33</f>
        <v/>
      </c>
      <c r="F56" s="5">
        <f>'balance_raw_32931499'!$F$33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Leasingforpligtelser (kortfristet)</t>
        </is>
      </c>
      <c r="B57" s="8">
        <f>'balance_raw_32931499'!$B$34</f>
        <v/>
      </c>
      <c r="C57" s="8">
        <f>'balance_raw_32931499'!$C$34</f>
        <v/>
      </c>
      <c r="D57" s="8">
        <f>'balance_raw_32931499'!$D$34</f>
        <v/>
      </c>
      <c r="E57" s="8">
        <f>'balance_raw_32931499'!$E$34</f>
        <v/>
      </c>
      <c r="F57" s="8">
        <f>'balance_raw_32931499'!$F$34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Leverandører af varer og tjenesteydelser</t>
        </is>
      </c>
      <c r="B58" s="5">
        <f>'balance_raw_32931499'!$B$35</f>
        <v/>
      </c>
      <c r="C58" s="5">
        <f>'balance_raw_32931499'!$C$35</f>
        <v/>
      </c>
      <c r="D58" s="5">
        <f>'balance_raw_32931499'!$D$35</f>
        <v/>
      </c>
      <c r="E58" s="5">
        <f>'balance_raw_32931499'!$E$35</f>
        <v/>
      </c>
      <c r="F58" s="5">
        <f>'balance_raw_32931499'!$F$35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tilknyttede virksomheder</t>
        </is>
      </c>
      <c r="B59" s="8">
        <f>'balance_raw_32931499'!$B$36</f>
        <v/>
      </c>
      <c r="C59" s="8">
        <f>'balance_raw_32931499'!$C$36</f>
        <v/>
      </c>
      <c r="D59" s="8">
        <f>'balance_raw_32931499'!$D$36</f>
        <v/>
      </c>
      <c r="E59" s="8">
        <f>'balance_raw_32931499'!$E$36</f>
        <v/>
      </c>
      <c r="F59" s="8">
        <f>'balance_raw_32931499'!$F$36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selskabsdeltagere og ledelse</t>
        </is>
      </c>
      <c r="B60" s="5">
        <f>'balance_raw_32931499'!$B$37</f>
        <v/>
      </c>
      <c r="C60" s="5">
        <f>'balance_raw_32931499'!$C$37</f>
        <v/>
      </c>
      <c r="D60" s="5">
        <f>'balance_raw_32931499'!$D$37</f>
        <v/>
      </c>
      <c r="E60" s="5">
        <f>'balance_raw_32931499'!$E$37</f>
        <v/>
      </c>
      <c r="F60" s="5">
        <f>'balance_raw_32931499'!$F$37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Selskabsskat</t>
        </is>
      </c>
      <c r="B61" s="8">
        <f>'balance_raw_32931499'!$B$38</f>
        <v/>
      </c>
      <c r="C61" s="8">
        <f>'balance_raw_32931499'!$C$38</f>
        <v/>
      </c>
      <c r="D61" s="8">
        <f>'balance_raw_32931499'!$D$38</f>
        <v/>
      </c>
      <c r="E61" s="8">
        <f>'balance_raw_32931499'!$E$38</f>
        <v/>
      </c>
      <c r="F61" s="8">
        <f>'balance_raw_32931499'!$F$38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Gæld til tilknyttede virksomheder vedr. selskabsskat</t>
        </is>
      </c>
      <c r="B62" s="5">
        <f>'balance_raw_32931499'!$B$39</f>
        <v/>
      </c>
      <c r="C62" s="5">
        <f>'balance_raw_32931499'!$C$39</f>
        <v/>
      </c>
      <c r="D62" s="5">
        <f>'balance_raw_32931499'!$D$39</f>
        <v/>
      </c>
      <c r="E62" s="5">
        <f>'balance_raw_32931499'!$E$39</f>
        <v/>
      </c>
      <c r="F62" s="5">
        <f>'balance_raw_32931499'!$F$39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(kortfristet)</t>
        </is>
      </c>
      <c r="B63" s="8">
        <f>'balance_raw_32931499'!$B$40</f>
        <v/>
      </c>
      <c r="C63" s="8">
        <f>'balance_raw_32931499'!$C$40</f>
        <v/>
      </c>
      <c r="D63" s="8">
        <f>'balance_raw_32931499'!$D$40</f>
        <v/>
      </c>
      <c r="E63" s="8">
        <f>'balance_raw_32931499'!$E$40</f>
        <v/>
      </c>
      <c r="F63" s="8">
        <f>'balance_raw_32931499'!$F$40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Periodeafgrænsningsposter (passiver)</t>
        </is>
      </c>
      <c r="B64" s="5">
        <f>'balance_raw_32931499'!$B$41</f>
        <v/>
      </c>
      <c r="C64" s="5">
        <f>'balance_raw_32931499'!$C$41</f>
        <v/>
      </c>
      <c r="D64" s="5">
        <f>'balance_raw_32931499'!$D$41</f>
        <v/>
      </c>
      <c r="E64" s="5">
        <f>'balance_raw_32931499'!$E$41</f>
        <v/>
      </c>
      <c r="F64" s="5">
        <f>'balance_raw_32931499'!$F$41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Kortfristede gældsforpligtelser</t>
        </is>
      </c>
      <c r="B65" s="11">
        <f>'balance_raw_32931499'!$B$42</f>
        <v/>
      </c>
      <c r="C65" s="11">
        <f>'balance_raw_32931499'!$C$42</f>
        <v/>
      </c>
      <c r="D65" s="11">
        <f>'balance_raw_32931499'!$D$42</f>
        <v/>
      </c>
      <c r="E65" s="11">
        <f>'balance_raw_32931499'!$E$42</f>
        <v/>
      </c>
      <c r="F65" s="11">
        <f>'balance_raw_32931499'!$F$42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10" t="inlineStr">
        <is>
          <t>Gældsforpligtelser</t>
        </is>
      </c>
      <c r="B66" s="11">
        <f>'balance_raw_32931499'!$B$43</f>
        <v/>
      </c>
      <c r="C66" s="11">
        <f>'balance_raw_32931499'!$C$43</f>
        <v/>
      </c>
      <c r="D66" s="11">
        <f>'balance_raw_32931499'!$D$43</f>
        <v/>
      </c>
      <c r="E66" s="11">
        <f>'balance_raw_32931499'!$E$43</f>
        <v/>
      </c>
      <c r="F66" s="11">
        <f>'balance_raw_32931499'!$F$43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Passiver</t>
        </is>
      </c>
      <c r="B67" s="11">
        <f>'balance_raw_32931499'!$B$44</f>
        <v/>
      </c>
      <c r="C67" s="11">
        <f>'balance_raw_32931499'!$C$44</f>
        <v/>
      </c>
      <c r="D67" s="11">
        <f>'balance_raw_32931499'!$D$44</f>
        <v/>
      </c>
      <c r="E67" s="11">
        <f>'balance_raw_32931499'!$E$44</f>
        <v/>
      </c>
      <c r="F67" s="11">
        <f>'balance_raw_32931499'!$F$44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9" ht="22" customHeight="1">
      <c r="A69" s="3" t="inlineStr">
        <is>
          <t>NØGLEOPLYSNINGER</t>
        </is>
      </c>
      <c r="B69" s="3" t="n">
        <v>2021</v>
      </c>
      <c r="C69" s="3" t="n">
        <v>2022</v>
      </c>
      <c r="D69" s="3" t="n">
        <v>2023</v>
      </c>
      <c r="E69" s="3" t="n">
        <v>2024</v>
      </c>
      <c r="F69" s="3" t="n">
        <v>2025</v>
      </c>
    </row>
    <row r="70" ht="16" customHeight="1">
      <c r="A70" s="4" t="inlineStr">
        <is>
          <t>Gns. antal medarbejdere</t>
        </is>
      </c>
      <c r="B70" s="5">
        <f>'res_raw_32931499'!$B$19</f>
        <v/>
      </c>
      <c r="C70" s="5">
        <f>'res_raw_32931499'!$C$19</f>
        <v/>
      </c>
      <c r="D70" s="5">
        <f>'res_raw_32931499'!$D$19</f>
        <v/>
      </c>
      <c r="E70" s="5">
        <f>'res_raw_32931499'!$E$19</f>
        <v/>
      </c>
      <c r="F70" s="5">
        <f>'res_raw_32931499'!$F$19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Investering i materielle anlægsaktiver</t>
        </is>
      </c>
      <c r="B71" s="8">
        <f>'res_raw_32931499'!$B$20</f>
        <v/>
      </c>
      <c r="C71" s="8">
        <f>'res_raw_32931499'!$C$20</f>
        <v/>
      </c>
      <c r="D71" s="8">
        <f>'res_raw_32931499'!$D$20</f>
        <v/>
      </c>
      <c r="E71" s="8">
        <f>'res_raw_32931499'!$E$20</f>
        <v/>
      </c>
      <c r="F71" s="8">
        <f>'res_raw_32931499'!$F$20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3" ht="22" customHeight="1">
      <c r="A73" s="3" t="inlineStr">
        <is>
          <t>NØGLETAL</t>
        </is>
      </c>
      <c r="B73" s="3" t="n">
        <v>2021</v>
      </c>
      <c r="C73" s="3" t="n">
        <v>2022</v>
      </c>
      <c r="D73" s="3" t="n">
        <v>2023</v>
      </c>
      <c r="E73" s="3" t="n">
        <v>2024</v>
      </c>
      <c r="F73" s="3" t="n">
        <v>2025</v>
      </c>
    </row>
    <row r="74" ht="16" customHeight="1">
      <c r="A74" s="4" t="inlineStr">
        <is>
          <t>Afkastningsgrad, %</t>
        </is>
      </c>
      <c r="B74" s="13">
        <f>IFERROR(($B$13+$B$15+$B$14)/$B$41*100,"")</f>
        <v/>
      </c>
      <c r="C74" s="13">
        <f>IFERROR(($C$13+$C$15+$C$14)/$C$41*100,"")</f>
        <v/>
      </c>
      <c r="D74" s="13">
        <f>IFERROR(($D$13+$D$15+$D$14)/$D$41*100,"")</f>
        <v/>
      </c>
      <c r="E74" s="13">
        <f>IFERROR(($E$13+$E$15+$E$14)/$E$41*100,"")</f>
        <v/>
      </c>
      <c r="F74" s="13">
        <f>IFERROR(($F$13+$F$15+$F$14)/$F$41*100,"")</f>
        <v/>
      </c>
    </row>
    <row r="75" ht="16" customHeight="1">
      <c r="A75" s="7" t="inlineStr">
        <is>
          <t>Overskudsgrad, %</t>
        </is>
      </c>
      <c r="B75" s="14">
        <f>IFERROR(($B$13+$B$15+$B$14)/$B$4*100,"")</f>
        <v/>
      </c>
      <c r="C75" s="14">
        <f>IFERROR(($C$13+$C$15+$C$14)/$C$4*100,"")</f>
        <v/>
      </c>
      <c r="D75" s="14">
        <f>IFERROR(($D$13+$D$15+$D$14)/$D$4*100,"")</f>
        <v/>
      </c>
      <c r="E75" s="14">
        <f>IFERROR(($E$13+$E$15+$E$14)/$E$4*100,"")</f>
        <v/>
      </c>
      <c r="F75" s="14">
        <f>IFERROR(($F$13+$F$15+$F$14)/$F$4*100,"")</f>
        <v/>
      </c>
    </row>
    <row r="76" ht="16" customHeight="1">
      <c r="A76" s="4" t="inlineStr">
        <is>
          <t>Aktivernes omsætningshastighed, gange</t>
        </is>
      </c>
      <c r="B76" s="13">
        <f>IFERROR($B$4/$B$41,"")</f>
        <v/>
      </c>
      <c r="C76" s="13">
        <f>IFERROR($C$4/$C$41,"")</f>
        <v/>
      </c>
      <c r="D76" s="13">
        <f>IFERROR($D$4/$D$41,"")</f>
        <v/>
      </c>
      <c r="E76" s="13">
        <f>IFERROR($E$4/$E$41,"")</f>
        <v/>
      </c>
      <c r="F76" s="13">
        <f>IFERROR($F$4/$F$41,"")</f>
        <v/>
      </c>
    </row>
    <row r="77" ht="16" customHeight="1">
      <c r="A77" s="7" t="inlineStr">
        <is>
          <t>Egenkapitalens forrentning, %</t>
        </is>
      </c>
      <c r="B77" s="14">
        <f>IFERROR($B$18/$B$50*100,"")</f>
        <v/>
      </c>
      <c r="C77" s="14">
        <f>IFERROR($C$18/$C$50*100,"")</f>
        <v/>
      </c>
      <c r="D77" s="14">
        <f>IFERROR($D$18/$D$50*100,"")</f>
        <v/>
      </c>
      <c r="E77" s="14">
        <f>IFERROR($E$18/$E$50*100,"")</f>
        <v/>
      </c>
      <c r="F77" s="14">
        <f>IFERROR($F$18/$F$50*100,"")</f>
        <v/>
      </c>
    </row>
    <row r="78" ht="16" customHeight="1">
      <c r="A78" s="4" t="inlineStr">
        <is>
          <t>Gældsrente, %</t>
        </is>
      </c>
      <c r="B78" s="13">
        <f>IFERROR($B$16/($B$67-$B$50)*100,"")</f>
        <v/>
      </c>
      <c r="C78" s="13">
        <f>IFERROR($C$16/($C$67-$C$50)*100,"")</f>
        <v/>
      </c>
      <c r="D78" s="13">
        <f>IFERROR($D$16/($D$67-$D$50)*100,"")</f>
        <v/>
      </c>
      <c r="E78" s="13">
        <f>IFERROR($E$16/($E$67-$E$50)*100,"")</f>
        <v/>
      </c>
      <c r="F78" s="13">
        <f>IFERROR($F$16/($F$67-$F$50)*100,"")</f>
        <v/>
      </c>
    </row>
    <row r="79" ht="16" customHeight="1">
      <c r="A79" s="7" t="inlineStr">
        <is>
          <t>Soliditetsgrad, %</t>
        </is>
      </c>
      <c r="B79" s="14">
        <f>IFERROR($B$50/$B$41*100,"")</f>
        <v/>
      </c>
      <c r="C79" s="14">
        <f>IFERROR($C$50/$C$41*100,"")</f>
        <v/>
      </c>
      <c r="D79" s="14">
        <f>IFERROR($D$50/$D$41*100,"")</f>
        <v/>
      </c>
      <c r="E79" s="14">
        <f>IFERROR($E$50/$E$41*100,"")</f>
        <v/>
      </c>
      <c r="F79" s="14">
        <f>IFERROR($F$50/$F$41*100,"")</f>
        <v/>
      </c>
    </row>
    <row r="80" ht="16" customHeight="1">
      <c r="A80" s="4" t="inlineStr">
        <is>
          <t>Gearing</t>
        </is>
      </c>
      <c r="B80" s="13">
        <f>IFERROR(($B$67-$B$50)/$B$50,"")</f>
        <v/>
      </c>
      <c r="C80" s="13">
        <f>IFERROR(($C$67-$C$50)/$C$50,"")</f>
        <v/>
      </c>
      <c r="D80" s="13">
        <f>IFERROR(($D$67-$D$50)/$D$50,"")</f>
        <v/>
      </c>
      <c r="E80" s="13">
        <f>IFERROR(($E$67-$E$50)/$E$50,"")</f>
        <v/>
      </c>
      <c r="F80" s="13">
        <f>IFERROR(($F$67-$F$50)/$F$50,"")</f>
        <v/>
      </c>
    </row>
    <row r="81" ht="16" customHeight="1">
      <c r="A81" s="7" t="inlineStr">
        <is>
          <t>Likviditetsgrad, %</t>
        </is>
      </c>
      <c r="B81" s="14">
        <f>IFERROR($B$40/$B$65*100,"")</f>
        <v/>
      </c>
      <c r="C81" s="14">
        <f>IFERROR($C$40/$C$65*100,"")</f>
        <v/>
      </c>
      <c r="D81" s="14">
        <f>IFERROR($D$40/$D$65*100,"")</f>
        <v/>
      </c>
      <c r="E81" s="14">
        <f>IFERROR($E$40/$E$65*100,"")</f>
        <v/>
      </c>
      <c r="F81" s="14">
        <f>IFERROR($F$40/$F$65*100,"")</f>
        <v/>
      </c>
    </row>
    <row r="82" ht="16" customHeight="1">
      <c r="A82" s="4" t="inlineStr">
        <is>
          <t>Rentemarginal, %</t>
        </is>
      </c>
      <c r="B82" s="13">
        <f>IFERROR(B74-B78,"")</f>
        <v/>
      </c>
      <c r="C82" s="13">
        <f>IFERROR(C74-C78,"")</f>
        <v/>
      </c>
      <c r="D82" s="13">
        <f>IFERROR(D74-D78,"")</f>
        <v/>
      </c>
      <c r="E82" s="13">
        <f>IFERROR(E74-E78,"")</f>
        <v/>
      </c>
      <c r="F82" s="13">
        <f>IFERROR(F74-F78,"")</f>
        <v/>
      </c>
    </row>
    <row r="83" ht="16" customHeight="1">
      <c r="A83" s="7" t="inlineStr">
        <is>
          <t>Gældsandel, %</t>
        </is>
      </c>
      <c r="B83" s="14">
        <f>IFERROR(($B$67-$B$50)/$B$41*100,"")</f>
        <v/>
      </c>
      <c r="C83" s="14">
        <f>IFERROR(($C$67-$C$50)/$C$41*100,"")</f>
        <v/>
      </c>
      <c r="D83" s="14">
        <f>IFERROR(($D$67-$D$50)/$D$41*100,"")</f>
        <v/>
      </c>
      <c r="E83" s="14">
        <f>IFERROR(($E$67-$E$50)/$E$41*100,"")</f>
        <v/>
      </c>
      <c r="F83" s="14">
        <f>IFERROR(($F$67-$F$50)/$F$41*100,"")</f>
        <v/>
      </c>
    </row>
    <row r="84" ht="16" customHeight="1">
      <c r="A84" s="4" t="inlineStr">
        <is>
          <t>Kapitalbindingsgrad, %</t>
        </is>
      </c>
      <c r="B84" s="13">
        <f>IFERROR($B$29/($B$50+$B$53)*100,"")</f>
        <v/>
      </c>
      <c r="C84" s="13">
        <f>IFERROR($C$29/($C$50+$C$53)*100,"")</f>
        <v/>
      </c>
      <c r="D84" s="13">
        <f>IFERROR($D$29/($D$50+$D$53)*100,"")</f>
        <v/>
      </c>
      <c r="E84" s="13">
        <f>IFERROR($E$29/($E$50+$E$53)*100,"")</f>
        <v/>
      </c>
      <c r="F84" s="13">
        <f>IFERROR($F$29/($F$50+$F$53)*100,"")</f>
        <v/>
      </c>
    </row>
    <row r="86">
      <c r="A8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Sunweb Group Scandinavia A/S (CVR 32931499)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12322</v>
      </c>
      <c r="C6" s="16" t="n">
        <v>19587</v>
      </c>
      <c r="D6" s="16" t="n">
        <v>24223</v>
      </c>
      <c r="E6" s="16" t="n">
        <v>30278</v>
      </c>
      <c r="F6" s="16" t="n">
        <v>22885</v>
      </c>
    </row>
    <row r="7">
      <c r="A7" s="15" t="inlineStr">
        <is>
          <t>Personaleomkostninger</t>
        </is>
      </c>
      <c r="B7" s="16" t="n">
        <v>7044</v>
      </c>
      <c r="C7" s="16" t="n">
        <v>8383</v>
      </c>
      <c r="D7" s="16" t="n">
        <v>10904</v>
      </c>
      <c r="E7" s="16" t="n">
        <v>11593</v>
      </c>
      <c r="F7" s="16" t="n">
        <v>15782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0</v>
      </c>
      <c r="C9" s="16" t="n">
        <v>0</v>
      </c>
      <c r="D9" s="16" t="n">
        <v>12</v>
      </c>
      <c r="E9" s="16" t="n">
        <v>32</v>
      </c>
      <c r="F9" s="16" t="n">
        <v>35</v>
      </c>
    </row>
    <row r="10">
      <c r="A10" s="15" t="inlineStr">
        <is>
          <t>Andre driftsomkostninger</t>
        </is>
      </c>
      <c r="B10" s="16" t="n"/>
      <c r="C10" s="16" t="n">
        <v>0</v>
      </c>
      <c r="D10" s="16" t="n">
        <v>15</v>
      </c>
      <c r="E10" s="16" t="n">
        <v>0</v>
      </c>
      <c r="F10" s="16" t="n"/>
    </row>
    <row r="11">
      <c r="A11" s="17" t="inlineStr">
        <is>
          <t>Resultat af primær drift</t>
        </is>
      </c>
      <c r="B11" s="16" t="n">
        <v>5279</v>
      </c>
      <c r="C11" s="16" t="n">
        <v>11204</v>
      </c>
      <c r="D11" s="16" t="n">
        <v>13292</v>
      </c>
      <c r="E11" s="16" t="n">
        <v>18653</v>
      </c>
      <c r="F11" s="16" t="n">
        <v>7067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145</v>
      </c>
      <c r="C13" s="16" t="n">
        <v>601</v>
      </c>
      <c r="D13" s="16" t="n">
        <v>3158</v>
      </c>
      <c r="E13" s="16" t="n">
        <v>6033</v>
      </c>
      <c r="F13" s="16" t="n">
        <v>1418</v>
      </c>
    </row>
    <row r="14">
      <c r="A14" s="15" t="inlineStr">
        <is>
          <t>Finansielle omkostninger</t>
        </is>
      </c>
      <c r="B14" s="16" t="n">
        <v>2806</v>
      </c>
      <c r="C14" s="16" t="n">
        <v>3471</v>
      </c>
      <c r="D14" s="16" t="n">
        <v>3778</v>
      </c>
      <c r="E14" s="16" t="n">
        <v>5803</v>
      </c>
      <c r="F14" s="16" t="n">
        <v>5619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2600</v>
      </c>
      <c r="C16" s="16" t="n">
        <v>8334</v>
      </c>
      <c r="D16" s="16" t="n">
        <v>12583</v>
      </c>
      <c r="E16" s="16" t="n">
        <v>18877</v>
      </c>
      <c r="F16" s="16" t="n">
        <v>2866</v>
      </c>
    </row>
    <row r="17">
      <c r="A17" s="15" t="inlineStr">
        <is>
          <t>Skat af årets resultat</t>
        </is>
      </c>
      <c r="B17" s="16" t="n">
        <v>103</v>
      </c>
      <c r="C17" s="16" t="n">
        <v>1883</v>
      </c>
      <c r="D17" s="16" t="n">
        <v>2757</v>
      </c>
      <c r="E17" s="16" t="n">
        <v>4177</v>
      </c>
      <c r="F17" s="16" t="n">
        <v>650</v>
      </c>
    </row>
    <row r="18">
      <c r="A18" s="17" t="inlineStr">
        <is>
          <t>Årets resultat</t>
        </is>
      </c>
      <c r="B18" s="16" t="n">
        <v>2497</v>
      </c>
      <c r="C18" s="16" t="n">
        <v>6451</v>
      </c>
      <c r="D18" s="16" t="n">
        <v>9826</v>
      </c>
      <c r="E18" s="16" t="n">
        <v>14699</v>
      </c>
      <c r="F18" s="16" t="n">
        <v>2216</v>
      </c>
    </row>
    <row r="19">
      <c r="A19" s="15" t="inlineStr">
        <is>
          <t>Gns. antal medarbejdere</t>
        </is>
      </c>
      <c r="B19" s="16" t="n">
        <v>18</v>
      </c>
      <c r="C19" s="16" t="n">
        <v>23</v>
      </c>
      <c r="D19" s="16" t="n">
        <v>30</v>
      </c>
      <c r="E19" s="16" t="n">
        <v>35</v>
      </c>
      <c r="F19" s="16" t="n">
        <v>36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Sunweb Group Scandinavia A/S (CVR 32931499)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0</v>
      </c>
      <c r="C4" s="16" t="n">
        <v>0</v>
      </c>
      <c r="D4" s="16" t="n">
        <v>139</v>
      </c>
      <c r="E4" s="16" t="n">
        <v>116</v>
      </c>
      <c r="F4" s="16" t="n">
        <v>81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0</v>
      </c>
      <c r="C7" s="16" t="n">
        <v>0</v>
      </c>
      <c r="D7" s="16" t="n">
        <v>139</v>
      </c>
      <c r="E7" s="16" t="n">
        <v>116</v>
      </c>
      <c r="F7" s="16" t="n">
        <v>81</v>
      </c>
    </row>
    <row r="8">
      <c r="A8" s="17" t="inlineStr">
        <is>
          <t>Anlægsaktiver</t>
        </is>
      </c>
      <c r="B8" s="16" t="n">
        <v>0</v>
      </c>
      <c r="C8" s="16" t="n">
        <v>0</v>
      </c>
      <c r="D8" s="16" t="n">
        <v>139</v>
      </c>
      <c r="E8" s="16" t="n">
        <v>116</v>
      </c>
      <c r="F8" s="16" t="n">
        <v>81</v>
      </c>
    </row>
    <row r="9">
      <c r="A9" s="15" t="inlineStr">
        <is>
          <t>Tilgodehavender fra salg og tjenesteydelser</t>
        </is>
      </c>
      <c r="B9" s="16" t="n">
        <v>0</v>
      </c>
      <c r="C9" s="16" t="n"/>
      <c r="D9" s="16" t="n">
        <v>0</v>
      </c>
      <c r="E9" s="16" t="n">
        <v>0</v>
      </c>
      <c r="F9" s="16" t="n"/>
    </row>
    <row r="10">
      <c r="A10" s="15" t="inlineStr">
        <is>
          <t>Tilgodehavender hos tilknyttede virksomheder</t>
        </is>
      </c>
      <c r="B10" s="16" t="n">
        <v>55552</v>
      </c>
      <c r="C10" s="16" t="n">
        <v>55804</v>
      </c>
      <c r="D10" s="16" t="n">
        <v>62007</v>
      </c>
      <c r="E10" s="16" t="n">
        <v>64981</v>
      </c>
      <c r="F10" s="16" t="n">
        <v>29399</v>
      </c>
    </row>
    <row r="11">
      <c r="A11" s="15" t="inlineStr">
        <is>
          <t>Andre tilgodehavender</t>
        </is>
      </c>
      <c r="B11" s="16" t="n">
        <v>1046</v>
      </c>
      <c r="C11" s="16" t="n">
        <v>1346</v>
      </c>
      <c r="D11" s="16" t="n">
        <v>1195</v>
      </c>
      <c r="E11" s="16" t="n">
        <v>2419</v>
      </c>
      <c r="F11" s="16" t="n">
        <v>3109</v>
      </c>
    </row>
    <row r="12">
      <c r="A12" s="15" t="inlineStr">
        <is>
          <t>Periodeafgrænsningsposter (aktiver)</t>
        </is>
      </c>
      <c r="B12" s="16" t="n">
        <v>39</v>
      </c>
      <c r="C12" s="16" t="n">
        <v>118</v>
      </c>
      <c r="D12" s="16" t="n">
        <v>70</v>
      </c>
      <c r="E12" s="16" t="n">
        <v>35</v>
      </c>
      <c r="F12" s="16" t="n">
        <v>6597</v>
      </c>
    </row>
    <row r="13">
      <c r="A13" s="15" t="inlineStr">
        <is>
          <t>Udskudt skatteaktiv</t>
        </is>
      </c>
      <c r="B13" s="16" t="n">
        <v>6</v>
      </c>
      <c r="C13" s="16" t="n">
        <v>0</v>
      </c>
      <c r="D13" s="16" t="n">
        <v>6</v>
      </c>
      <c r="E13" s="16" t="n">
        <v>0</v>
      </c>
      <c r="F13" s="16" t="n"/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Tilgodehavender</t>
        </is>
      </c>
      <c r="B16" s="16" t="n">
        <v>56643</v>
      </c>
      <c r="C16" s="16" t="n">
        <v>57268</v>
      </c>
      <c r="D16" s="16" t="n">
        <v>63278</v>
      </c>
      <c r="E16" s="16" t="n">
        <v>67435</v>
      </c>
      <c r="F16" s="16" t="n">
        <v>39105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8284</v>
      </c>
      <c r="C18" s="16" t="n">
        <v>6280</v>
      </c>
      <c r="D18" s="16" t="n">
        <v>4989</v>
      </c>
      <c r="E18" s="16" t="n">
        <v>2677</v>
      </c>
      <c r="F18" s="16" t="n">
        <v>1352</v>
      </c>
    </row>
    <row r="19">
      <c r="A19" s="17" t="inlineStr">
        <is>
          <t>Omsætningsaktiver</t>
        </is>
      </c>
      <c r="B19" s="16" t="n">
        <v>64927</v>
      </c>
      <c r="C19" s="16" t="n">
        <v>63548</v>
      </c>
      <c r="D19" s="16" t="n">
        <v>68267</v>
      </c>
      <c r="E19" s="16" t="n">
        <v>70111</v>
      </c>
      <c r="F19" s="16" t="n">
        <v>40457</v>
      </c>
    </row>
    <row r="20">
      <c r="A20" s="17" t="inlineStr">
        <is>
          <t>Aktiver</t>
        </is>
      </c>
      <c r="B20" s="16" t="n">
        <v>64927</v>
      </c>
      <c r="C20" s="16" t="n">
        <v>63548</v>
      </c>
      <c r="D20" s="16" t="n">
        <v>68406</v>
      </c>
      <c r="E20" s="16" t="n">
        <v>70228</v>
      </c>
      <c r="F20" s="16" t="n">
        <v>40538</v>
      </c>
    </row>
    <row r="21">
      <c r="A21" s="15" t="inlineStr">
        <is>
          <t>Selskabskapital</t>
        </is>
      </c>
      <c r="B21" s="16" t="n">
        <v>500</v>
      </c>
      <c r="C21" s="16" t="n">
        <v>500</v>
      </c>
      <c r="D21" s="16" t="n">
        <v>500</v>
      </c>
      <c r="E21" s="16" t="n">
        <v>500</v>
      </c>
      <c r="F21" s="16" t="n">
        <v>500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Overført resultat</t>
        </is>
      </c>
      <c r="B26" s="16" t="n">
        <v>30770</v>
      </c>
      <c r="C26" s="16" t="n">
        <v>37221</v>
      </c>
      <c r="D26" s="16" t="n">
        <v>47047</v>
      </c>
      <c r="E26" s="16" t="n">
        <v>1746</v>
      </c>
      <c r="F26" s="16" t="n">
        <v>3962</v>
      </c>
    </row>
    <row r="27">
      <c r="A27" s="17" t="inlineStr">
        <is>
          <t>Egenkapital i alt</t>
        </is>
      </c>
      <c r="B27" s="16" t="n">
        <v>31270</v>
      </c>
      <c r="C27" s="16" t="n">
        <v>37721</v>
      </c>
      <c r="D27" s="16" t="n">
        <v>47547</v>
      </c>
      <c r="E27" s="16" t="n">
        <v>62246</v>
      </c>
      <c r="F27" s="16" t="n">
        <v>4462</v>
      </c>
    </row>
    <row r="28">
      <c r="A28" s="15" t="inlineStr">
        <is>
          <t>Hensættelse til udskudt skat</t>
        </is>
      </c>
      <c r="B28" s="16" t="n"/>
      <c r="C28" s="16" t="n"/>
      <c r="D28" s="16" t="n">
        <v>0</v>
      </c>
      <c r="E28" s="16" t="n">
        <v>5</v>
      </c>
      <c r="F28" s="16" t="n">
        <v>3</v>
      </c>
    </row>
    <row r="29">
      <c r="A29" s="17" t="inlineStr">
        <is>
          <t>Hensatte forpligtelser</t>
        </is>
      </c>
      <c r="B29" s="16" t="n">
        <v>0</v>
      </c>
      <c r="C29" s="16" t="n"/>
      <c r="D29" s="16" t="n">
        <v>0</v>
      </c>
      <c r="E29" s="16" t="n">
        <v>5</v>
      </c>
      <c r="F29" s="16" t="n">
        <v>231</v>
      </c>
    </row>
    <row r="30">
      <c r="A30" s="17" t="inlineStr">
        <is>
          <t>Langfristede gældsforpligtelser</t>
        </is>
      </c>
      <c r="B30" s="16" t="n">
        <v>0</v>
      </c>
      <c r="C30" s="16" t="n">
        <v>1473</v>
      </c>
      <c r="D30" s="16" t="n">
        <v>2467</v>
      </c>
      <c r="E30" s="16" t="n">
        <v>3856</v>
      </c>
      <c r="F30" s="16" t="n">
        <v>259</v>
      </c>
    </row>
    <row r="31">
      <c r="A31" s="15" t="inlineStr">
        <is>
          <t>Ansvarlig lånekapital (kortfristet)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Kortfristet del af langfristede gældsforpligtelser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Kreditinstitutter</t>
        </is>
      </c>
      <c r="B33" s="16" t="n">
        <v>274</v>
      </c>
      <c r="C33" s="16" t="n">
        <v>18620</v>
      </c>
      <c r="D33" s="16" t="n"/>
      <c r="E33" s="16" t="n"/>
      <c r="F33" s="16" t="n">
        <v>16</v>
      </c>
    </row>
    <row r="34">
      <c r="A34" s="15" t="inlineStr">
        <is>
          <t>Leasingforpligtelser (kortfristet)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Leverandører af varer og tjenesteydelser</t>
        </is>
      </c>
      <c r="B35" s="16" t="n">
        <v>49</v>
      </c>
      <c r="C35" s="16" t="n">
        <v>535</v>
      </c>
      <c r="D35" s="16" t="n">
        <v>1155</v>
      </c>
      <c r="E35" s="16" t="n">
        <v>140</v>
      </c>
      <c r="F35" s="16" t="n">
        <v>139</v>
      </c>
    </row>
    <row r="36">
      <c r="A36" s="15" t="inlineStr">
        <is>
          <t>Gæld til tilknyttede virksomheder</t>
        </is>
      </c>
      <c r="B36" s="16" t="n">
        <v>30338</v>
      </c>
      <c r="C36" s="16" t="n">
        <v>4223</v>
      </c>
      <c r="D36" s="16" t="n">
        <v>12530</v>
      </c>
      <c r="E36" s="16" t="n">
        <v>2541</v>
      </c>
      <c r="F36" s="16" t="n">
        <v>34678</v>
      </c>
    </row>
    <row r="37">
      <c r="A37" s="15" t="inlineStr">
        <is>
          <t>Gæld til selskabsdeltagere og ledelse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Selskabsskat</t>
        </is>
      </c>
      <c r="B38" s="16" t="n">
        <v>1284</v>
      </c>
      <c r="C38" s="16" t="n">
        <v>0</v>
      </c>
      <c r="D38" s="16" t="n">
        <v>1069</v>
      </c>
      <c r="E38" s="16" t="n">
        <v>0</v>
      </c>
      <c r="F38" s="16" t="n">
        <v>38</v>
      </c>
    </row>
    <row r="39">
      <c r="A39" s="15" t="inlineStr">
        <is>
          <t>Gæld til tilknyttede virksomheder vedr. selskabsskat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(kortfristet)</t>
        </is>
      </c>
      <c r="B40" s="16" t="n">
        <v>1631</v>
      </c>
      <c r="C40" s="16" t="n">
        <v>900</v>
      </c>
      <c r="D40" s="16" t="n">
        <v>3566</v>
      </c>
      <c r="E40" s="16" t="n">
        <v>1240</v>
      </c>
      <c r="F40" s="16" t="n">
        <v>715</v>
      </c>
    </row>
    <row r="41">
      <c r="A41" s="15" t="inlineStr">
        <is>
          <t>Periodeafgrænsningsposter (passiver)</t>
        </is>
      </c>
      <c r="B41" s="16" t="n">
        <v>81</v>
      </c>
      <c r="C41" s="16" t="n">
        <v>76</v>
      </c>
      <c r="D41" s="16" t="n">
        <v>0</v>
      </c>
      <c r="E41" s="16" t="n">
        <v>170</v>
      </c>
      <c r="F41" s="16" t="n">
        <v>0</v>
      </c>
    </row>
    <row r="42">
      <c r="A42" s="17" t="inlineStr">
        <is>
          <t>Kortfristede gældsforpligtelser</t>
        </is>
      </c>
      <c r="B42" s="16" t="n">
        <v>33656</v>
      </c>
      <c r="C42" s="16" t="n">
        <v>24354</v>
      </c>
      <c r="D42" s="16" t="n">
        <v>18392</v>
      </c>
      <c r="E42" s="16" t="n">
        <v>4120</v>
      </c>
      <c r="F42" s="16" t="n">
        <v>35586</v>
      </c>
    </row>
    <row r="43">
      <c r="A43" s="17" t="inlineStr">
        <is>
          <t>Gældsforpligtelser</t>
        </is>
      </c>
      <c r="B43" s="16" t="n">
        <v>33656</v>
      </c>
      <c r="C43" s="16" t="n">
        <v>25827</v>
      </c>
      <c r="D43" s="16" t="n">
        <v>20859</v>
      </c>
      <c r="E43" s="16" t="n">
        <v>7976</v>
      </c>
      <c r="F43" s="16" t="n">
        <v>35845</v>
      </c>
    </row>
    <row r="44">
      <c r="A44" s="17" t="inlineStr">
        <is>
          <t>Passiver</t>
        </is>
      </c>
      <c r="B44" s="16" t="n">
        <v>64927</v>
      </c>
      <c r="C44" s="16" t="n">
        <v>63548</v>
      </c>
      <c r="D44" s="16" t="n">
        <v>68406</v>
      </c>
      <c r="E44" s="16" t="n">
        <v>70228</v>
      </c>
      <c r="F44" s="16" t="n">
        <v>40538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Sunweb Group Scandinavia A/S (CVR 32931499) — Regnskabs- og nøgletal (CVR: 32931499)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'res_raw_32931499'!$F$2</f>
        <v/>
      </c>
      <c r="C5" s="24">
        <f>'res_raw_32931499'!$E$2</f>
        <v/>
      </c>
      <c r="D5" s="24">
        <f>'res_raw_32931499'!$D$2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'res_raw_32931499'!$F$3</f>
        <v/>
      </c>
      <c r="C6" s="24">
        <f>'res_raw_32931499'!$E$3</f>
        <v/>
      </c>
      <c r="D6" s="24">
        <f>'res_raw_32931499'!$D$3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-'res_raw_32931499'!$F$4</f>
        <v/>
      </c>
      <c r="C7" s="24">
        <f>-'res_raw_32931499'!$E$4</f>
        <v/>
      </c>
      <c r="D7" s="24">
        <f>-'res_raw_32931499'!$D$4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-'res_raw_32931499'!$F$5</f>
        <v/>
      </c>
      <c r="C8" s="24">
        <f>-'res_raw_32931499'!$E$5</f>
        <v/>
      </c>
      <c r="D8" s="24">
        <f>-'res_raw_32931499'!$D$5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-'res_raw_32931499'!$F$7</f>
        <v/>
      </c>
      <c r="C10" s="24">
        <f>-'res_raw_32931499'!$E$7</f>
        <v/>
      </c>
      <c r="D10" s="24">
        <f>-'res_raw_32931499'!$D$7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-'res_raw_32931499'!$F$9</f>
        <v/>
      </c>
      <c r="C11" s="24">
        <f>-'res_raw_32931499'!$E$9</f>
        <v/>
      </c>
      <c r="D11" s="24">
        <f>-'res_raw_32931499'!$D$9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-'res_raw_32931499'!$F$10</f>
        <v/>
      </c>
      <c r="C12" s="24">
        <f>-'res_raw_32931499'!$E$10</f>
        <v/>
      </c>
      <c r="D12" s="24">
        <f>-'res_raw_32931499'!$D$10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N('res_raw_32931499'!$F$12)+N('res_raw_32931499'!$F$13)</f>
        <v/>
      </c>
      <c r="C14" s="24">
        <f>N('res_raw_32931499'!$E$12)+N('res_raw_32931499'!$E$13)</f>
        <v/>
      </c>
      <c r="D14" s="24">
        <f>N('res_raw_32931499'!$D$12)+N('res_raw_32931499'!$D$13)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-'res_raw_32931499'!$F$14</f>
        <v/>
      </c>
      <c r="C15" s="24">
        <f>-'res_raw_32931499'!$E$14</f>
        <v/>
      </c>
      <c r="D15" s="24">
        <f>-'res_raw_32931499'!$D$14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'balance_raw_32931499'!$F$8</f>
        <v/>
      </c>
      <c r="C19" s="24">
        <f>'balance_raw_32931499'!$E$8</f>
        <v/>
      </c>
      <c r="D19" s="24">
        <f>'balance_raw_32931499'!$D$8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'balance_raw_32931499'!$F$19</f>
        <v/>
      </c>
      <c r="C20" s="24">
        <f>'balance_raw_32931499'!$E$19</f>
        <v/>
      </c>
      <c r="D20" s="24">
        <f>'balance_raw_32931499'!$D$19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'balance_raw_32931499'!$F$27</f>
        <v/>
      </c>
      <c r="C23" s="24">
        <f>'balance_raw_32931499'!$E$27</f>
        <v/>
      </c>
      <c r="D23" s="24">
        <f>'balance_raw_32931499'!$D$27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'balance_raw_32931499'!$F$44-'balance_raw_32931499'!$F$27</f>
        <v/>
      </c>
      <c r="C24" s="24">
        <f>'balance_raw_32931499'!$E$44-'balance_raw_32931499'!$E$27</f>
        <v/>
      </c>
      <c r="D24" s="24">
        <f>'balance_raw_32931499'!$D$44-'balance_raw_32931499'!$D$27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'balance_raw_32931499'!$F$9</f>
        <v/>
      </c>
      <c r="C29" s="24">
        <f>'balance_raw_32931499'!$E$9</f>
        <v/>
      </c>
      <c r="D29" s="24">
        <f>'balance_raw_32931499'!$D$9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'balance_raw_32931499'!$F$42</f>
        <v/>
      </c>
      <c r="C30" s="24">
        <f>'balance_raw_32931499'!$E$42</f>
        <v/>
      </c>
      <c r="D30" s="24">
        <f>'balance_raw_32931499'!$D$42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IF('balance_raw_32931499'!$F$20="","—",IF(ABS(B21-'balance_raw_32931499'!$F$20)&lt;=1,"✓ OK","❌ "&amp;TEXT(B21-'balance_raw_32931499'!$F$20,"+#,##0;-#,##0")&amp;" t.kr."))</f>
        <v/>
      </c>
      <c r="C61" s="29">
        <f>IF('balance_raw_32931499'!$E$20="","—",IF(ABS(C21-'balance_raw_32931499'!$E$20)&lt;=1,"✓ OK","❌ "&amp;TEXT(C21-'balance_raw_32931499'!$E$20,"+#,##0;-#,##0")&amp;" t.kr."))</f>
        <v/>
      </c>
      <c r="D61" s="29">
        <f>IF('balance_raw_32931499'!$D$20="","—",IF(ABS(D21-'balance_raw_32931499'!$D$20)&lt;=1,"✓ OK","❌ "&amp;TEXT(D21-'balance_raw_32931499'!$D$20,"+#,##0;-#,##0")&amp;"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IF('balance_raw_32931499'!$F$44="","—",IF(ABS(B25-'balance_raw_32931499'!$F$44)&lt;=1,"✓ OK","❌ "&amp;TEXT(B25-'balance_raw_32931499'!$F$44,"+#,##0;-#,##0")&amp;" t.kr."))</f>
        <v/>
      </c>
      <c r="C62" s="29">
        <f>IF('balance_raw_32931499'!$E$44="","—",IF(ABS(C25-'balance_raw_32931499'!$E$44)&lt;=1,"✓ OK","❌ "&amp;TEXT(C25-'balance_raw_32931499'!$E$44,"+#,##0;-#,##0")&amp;" t.kr."))</f>
        <v/>
      </c>
      <c r="D62" s="29">
        <f>IF('balance_raw_32931499'!$D$44="","—",IF(ABS(D25-'balance_raw_32931499'!$D$44)&lt;=1,"✓ OK","❌ "&amp;TEXT(D25-'balance_raw_32931499'!$D$44,"+#,##0;-#,##0")&amp;"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IF('res_raw_32931499'!$F$6="","—",IF(ABS(B9-'res_raw_32931499'!$F$6)&lt;=1,"✓ OK","❌ "&amp;TEXT(B9-'res_raw_32931499'!$F$6,"+#,##0;-#,##0")&amp;" t.kr."))</f>
        <v/>
      </c>
      <c r="C64" s="29">
        <f>IF('res_raw_32931499'!$E$6="","—",IF(ABS(C9-'res_raw_32931499'!$E$6)&lt;=1,"✓ OK","❌ "&amp;TEXT(C9-'res_raw_32931499'!$E$6,"+#,##0;-#,##0")&amp;" t.kr."))</f>
        <v/>
      </c>
      <c r="D64" s="29">
        <f>IF('res_raw_32931499'!$D$6="","—",IF(ABS(D9-'res_raw_32931499'!$D$6)&lt;=1,"✓ OK","❌ "&amp;TEXT(D9-'res_raw_32931499'!$D$6,"+#,##0;-#,##0")&amp;"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IF('res_raw_32931499'!$F$11="","—",IF(ABS(B13-'res_raw_32931499'!$F$11)&lt;=1,"✓ OK","❌ "&amp;TEXT(B13-'res_raw_32931499'!$F$11,"+#,##0;-#,##0")&amp;" t.kr."))</f>
        <v/>
      </c>
      <c r="C65" s="29">
        <f>IF('res_raw_32931499'!$E$11="","—",IF(ABS(C13-'res_raw_32931499'!$E$11)&lt;=1,"✓ OK","❌ "&amp;TEXT(C13-'res_raw_32931499'!$E$11,"+#,##0;-#,##0")&amp;" t.kr."))</f>
        <v/>
      </c>
      <c r="D65" s="29">
        <f>IF('res_raw_32931499'!$D$11="","—",IF(ABS(D13-'res_raw_32931499'!$D$11)&lt;=1,"✓ OK","❌ "&amp;TEXT(D13-'res_raw_32931499'!$D$11,"+#,##0;-#,##0")&amp;"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IF('res_raw_32931499'!$F$16="","—",IF(ABS(B16-'res_raw_32931499'!$F$16)&lt;=1,"✓ OK","❌ "&amp;TEXT(B16-'res_raw_32931499'!$F$16,"+#,##0;-#,##0")&amp;" t.kr."))</f>
        <v/>
      </c>
      <c r="C66" s="29">
        <f>IF('res_raw_32931499'!$E$16="","—",IF(ABS(C16-'res_raw_32931499'!$E$16)&lt;=1,"✓ OK","❌ "&amp;TEXT(C16-'res_raw_32931499'!$E$16,"+#,##0;-#,##0")&amp;" t.kr."))</f>
        <v/>
      </c>
      <c r="D66" s="29">
        <f>IF('res_raw_32931499'!$D$16="","—",IF(ABS(D16-'res_raw_32931499'!$D$16)&lt;=1,"✓ OK","❌ "&amp;TEXT(D16-'res_raw_32931499'!$D$16,"+#,##0;-#,##0")&amp;"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Sunweb Group Scandinavia A/S (CVR 32931499)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fsa:FinanceExpensesArisingFromGroupEnterprises</t>
        </is>
      </c>
      <c r="C3" s="34" t="inlineStr">
        <is>
          <t>fsa:FinanceExpensesArisingFromGroupEnterprises</t>
        </is>
      </c>
      <c r="D3" s="35" t="n">
        <v>17</v>
      </c>
      <c r="E3" s="35" t="n">
        <v>0</v>
      </c>
      <c r="F3" s="35" t="n">
        <v>89</v>
      </c>
      <c r="G3" s="35" t="n">
        <v>6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>
        <v>0</v>
      </c>
      <c r="E4" s="38" t="n">
        <v>1473</v>
      </c>
      <c r="F4" s="38" t="n">
        <v>2467</v>
      </c>
      <c r="G4" s="38" t="n">
        <v>3856</v>
      </c>
      <c r="H4" s="38" t="n">
        <v>259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2026-09-09T19:23:36Z</dcterms:created>
  <dcterms:modified xmlns:dcterms="http://purl.org/dc/terms/" xmlns:xsi="http://www.w3.org/2001/XMLSchema-instance" xsi:type="dcterms:W3CDTF">2026-09-09T19:23:37Z</dcterms:modified>
</cp:coreProperties>
</file>