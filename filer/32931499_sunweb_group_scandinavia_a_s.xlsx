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Sunweb Group Scandinavia A/S (CVR 32931499) — Regnskabsanalyse – Resultatopgørelse &amp; Balance (t.kr.) · Klasse B · Udvidet gennemgang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Overskudsgrad, %</t>
        </is>
      </c>
      <c r="B75" s="14">
        <f>IFERROR(($B$13+$B$15+$B$14)/$B$4*100,"")</f>
        <v/>
      </c>
      <c r="C75" s="14">
        <f>IFERROR(($C$13+$C$15+$C$14)/$C$4*100,"")</f>
        <v/>
      </c>
      <c r="D75" s="14">
        <f>IFERROR(($D$13+$D$15+$D$14)/$D$4*100,"")</f>
        <v/>
      </c>
      <c r="E75" s="14">
        <f>IFERROR(($E$13+$E$15+$E$14)/$E$4*100,"")</f>
        <v/>
      </c>
      <c r="F75" s="14">
        <f>IFERROR(($F$13+$F$15+$F$14)/$F$4*100,"")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IFERROR($B$4/$B$41,"")</f>
        <v/>
      </c>
      <c r="C76" s="13">
        <f>IFERROR($C$4/$C$41,"")</f>
        <v/>
      </c>
      <c r="D76" s="13">
        <f>IFERROR($D$4/$D$41,"")</f>
        <v/>
      </c>
      <c r="E76" s="13">
        <f>IFERROR($E$4/$E$41,"")</f>
        <v/>
      </c>
      <c r="F76" s="13">
        <f>IFERROR($F$4/$F$41,"")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  <row r="86">
      <c r="A8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12322</v>
      </c>
      <c r="C6" s="16" t="n">
        <v>19587</v>
      </c>
      <c r="D6" s="16" t="n">
        <v>24223</v>
      </c>
      <c r="E6" s="16" t="n">
        <v>30278</v>
      </c>
      <c r="F6" s="16" t="n">
        <v>22885</v>
      </c>
    </row>
    <row r="7">
      <c r="A7" s="15" t="inlineStr">
        <is>
          <t>Personaleomkostninger</t>
        </is>
      </c>
      <c r="B7" s="16" t="n">
        <v>7044</v>
      </c>
      <c r="C7" s="16" t="n">
        <v>8383</v>
      </c>
      <c r="D7" s="16" t="n">
        <v>10904</v>
      </c>
      <c r="E7" s="16" t="n">
        <v>11593</v>
      </c>
      <c r="F7" s="16" t="n">
        <v>15782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0</v>
      </c>
      <c r="C9" s="16" t="n">
        <v>0</v>
      </c>
      <c r="D9" s="16" t="n">
        <v>12</v>
      </c>
      <c r="E9" s="16" t="n">
        <v>32</v>
      </c>
      <c r="F9" s="16" t="n">
        <v>35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15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5279</v>
      </c>
      <c r="C11" s="16" t="n">
        <v>11204</v>
      </c>
      <c r="D11" s="16" t="n">
        <v>13292</v>
      </c>
      <c r="E11" s="16" t="n">
        <v>18653</v>
      </c>
      <c r="F11" s="16" t="n">
        <v>7067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145</v>
      </c>
      <c r="C13" s="16" t="n">
        <v>601</v>
      </c>
      <c r="D13" s="16" t="n">
        <v>3158</v>
      </c>
      <c r="E13" s="16" t="n">
        <v>6033</v>
      </c>
      <c r="F13" s="16" t="n">
        <v>1418</v>
      </c>
    </row>
    <row r="14">
      <c r="A14" s="15" t="inlineStr">
        <is>
          <t>Finansielle omkostninger</t>
        </is>
      </c>
      <c r="B14" s="16" t="n">
        <v>2806</v>
      </c>
      <c r="C14" s="16" t="n">
        <v>3471</v>
      </c>
      <c r="D14" s="16" t="n">
        <v>3778</v>
      </c>
      <c r="E14" s="16" t="n">
        <v>5803</v>
      </c>
      <c r="F14" s="16" t="n">
        <v>5619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2600</v>
      </c>
      <c r="C16" s="16" t="n">
        <v>8334</v>
      </c>
      <c r="D16" s="16" t="n">
        <v>12583</v>
      </c>
      <c r="E16" s="16" t="n">
        <v>18877</v>
      </c>
      <c r="F16" s="16" t="n">
        <v>2866</v>
      </c>
    </row>
    <row r="17">
      <c r="A17" s="15" t="inlineStr">
        <is>
          <t>Skat af årets resultat</t>
        </is>
      </c>
      <c r="B17" s="16" t="n">
        <v>103</v>
      </c>
      <c r="C17" s="16" t="n">
        <v>1883</v>
      </c>
      <c r="D17" s="16" t="n">
        <v>2757</v>
      </c>
      <c r="E17" s="16" t="n">
        <v>4177</v>
      </c>
      <c r="F17" s="16" t="n">
        <v>650</v>
      </c>
    </row>
    <row r="18">
      <c r="A18" s="17" t="inlineStr">
        <is>
          <t>Årets resultat</t>
        </is>
      </c>
      <c r="B18" s="16" t="n">
        <v>2497</v>
      </c>
      <c r="C18" s="16" t="n">
        <v>6451</v>
      </c>
      <c r="D18" s="16" t="n">
        <v>9826</v>
      </c>
      <c r="E18" s="16" t="n">
        <v>14699</v>
      </c>
      <c r="F18" s="16" t="n">
        <v>2216</v>
      </c>
    </row>
    <row r="19">
      <c r="A19" s="15" t="inlineStr">
        <is>
          <t>Gns. antal medarbejdere</t>
        </is>
      </c>
      <c r="B19" s="16" t="n">
        <v>18</v>
      </c>
      <c r="C19" s="16" t="n">
        <v>23</v>
      </c>
      <c r="D19" s="16" t="n">
        <v>30</v>
      </c>
      <c r="E19" s="16" t="n">
        <v>35</v>
      </c>
      <c r="F19" s="16" t="n">
        <v>36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Sunweb Group Scandinavia A/S (CVR 32931499)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139</v>
      </c>
      <c r="E4" s="16" t="n">
        <v>116</v>
      </c>
      <c r="F4" s="16" t="n">
        <v>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139</v>
      </c>
      <c r="E7" s="16" t="n">
        <v>116</v>
      </c>
      <c r="F7" s="16" t="n">
        <v>81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139</v>
      </c>
      <c r="E8" s="16" t="n">
        <v>116</v>
      </c>
      <c r="F8" s="16" t="n">
        <v>81</v>
      </c>
    </row>
    <row r="9">
      <c r="A9" s="15" t="inlineStr">
        <is>
          <t>Tilgodehavender fra salg og tjenesteydelser</t>
        </is>
      </c>
      <c r="B9" s="16" t="n">
        <v>0</v>
      </c>
      <c r="C9" s="16" t="n"/>
      <c r="D9" s="16" t="n">
        <v>0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>
        <v>55552</v>
      </c>
      <c r="C10" s="16" t="n">
        <v>55804</v>
      </c>
      <c r="D10" s="16" t="n">
        <v>62007</v>
      </c>
      <c r="E10" s="16" t="n">
        <v>64981</v>
      </c>
      <c r="F10" s="16" t="n">
        <v>29399</v>
      </c>
    </row>
    <row r="11">
      <c r="A11" s="15" t="inlineStr">
        <is>
          <t>Andre tilgodehavender</t>
        </is>
      </c>
      <c r="B11" s="16" t="n">
        <v>1046</v>
      </c>
      <c r="C11" s="16" t="n">
        <v>1346</v>
      </c>
      <c r="D11" s="16" t="n">
        <v>1195</v>
      </c>
      <c r="E11" s="16" t="n">
        <v>2419</v>
      </c>
      <c r="F11" s="16" t="n">
        <v>3109</v>
      </c>
    </row>
    <row r="12">
      <c r="A12" s="15" t="inlineStr">
        <is>
          <t>Periodeafgrænsningsposter (aktiver)</t>
        </is>
      </c>
      <c r="B12" s="16" t="n">
        <v>39</v>
      </c>
      <c r="C12" s="16" t="n">
        <v>118</v>
      </c>
      <c r="D12" s="16" t="n">
        <v>70</v>
      </c>
      <c r="E12" s="16" t="n">
        <v>35</v>
      </c>
      <c r="F12" s="16" t="n">
        <v>6597</v>
      </c>
    </row>
    <row r="13">
      <c r="A13" s="15" t="inlineStr">
        <is>
          <t>Udskudt skatteaktiv</t>
        </is>
      </c>
      <c r="B13" s="16" t="n">
        <v>6</v>
      </c>
      <c r="C13" s="16" t="n">
        <v>0</v>
      </c>
      <c r="D13" s="16" t="n">
        <v>6</v>
      </c>
      <c r="E13" s="16" t="n">
        <v>0</v>
      </c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56643</v>
      </c>
      <c r="C16" s="16" t="n">
        <v>57268</v>
      </c>
      <c r="D16" s="16" t="n">
        <v>63278</v>
      </c>
      <c r="E16" s="16" t="n">
        <v>67435</v>
      </c>
      <c r="F16" s="16" t="n">
        <v>39105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8284</v>
      </c>
      <c r="C18" s="16" t="n">
        <v>6280</v>
      </c>
      <c r="D18" s="16" t="n">
        <v>4989</v>
      </c>
      <c r="E18" s="16" t="n">
        <v>2677</v>
      </c>
      <c r="F18" s="16" t="n">
        <v>1352</v>
      </c>
    </row>
    <row r="19">
      <c r="A19" s="17" t="inlineStr">
        <is>
          <t>Omsætningsaktiver</t>
        </is>
      </c>
      <c r="B19" s="16" t="n">
        <v>64927</v>
      </c>
      <c r="C19" s="16" t="n">
        <v>63548</v>
      </c>
      <c r="D19" s="16" t="n">
        <v>68267</v>
      </c>
      <c r="E19" s="16" t="n">
        <v>70111</v>
      </c>
      <c r="F19" s="16" t="n">
        <v>40457</v>
      </c>
    </row>
    <row r="20">
      <c r="A20" s="17" t="inlineStr">
        <is>
          <t>Aktiver</t>
        </is>
      </c>
      <c r="B20" s="16" t="n">
        <v>64927</v>
      </c>
      <c r="C20" s="16" t="n">
        <v>63548</v>
      </c>
      <c r="D20" s="16" t="n">
        <v>68406</v>
      </c>
      <c r="E20" s="16" t="n">
        <v>70228</v>
      </c>
      <c r="F20" s="16" t="n">
        <v>40538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30770</v>
      </c>
      <c r="C26" s="16" t="n">
        <v>37221</v>
      </c>
      <c r="D26" s="16" t="n">
        <v>47047</v>
      </c>
      <c r="E26" s="16" t="n">
        <v>1746</v>
      </c>
      <c r="F26" s="16" t="n">
        <v>3962</v>
      </c>
    </row>
    <row r="27">
      <c r="A27" s="17" t="inlineStr">
        <is>
          <t>Egenkapital i alt</t>
        </is>
      </c>
      <c r="B27" s="16" t="n">
        <v>31270</v>
      </c>
      <c r="C27" s="16" t="n">
        <v>37721</v>
      </c>
      <c r="D27" s="16" t="n">
        <v>47547</v>
      </c>
      <c r="E27" s="16" t="n">
        <v>62246</v>
      </c>
      <c r="F27" s="16" t="n">
        <v>4462</v>
      </c>
    </row>
    <row r="28">
      <c r="A28" s="15" t="inlineStr">
        <is>
          <t>Hensættelse til udskudt skat</t>
        </is>
      </c>
      <c r="B28" s="16" t="n"/>
      <c r="C28" s="16" t="n"/>
      <c r="D28" s="16" t="n">
        <v>0</v>
      </c>
      <c r="E28" s="16" t="n">
        <v>5</v>
      </c>
      <c r="F28" s="16" t="n">
        <v>3</v>
      </c>
    </row>
    <row r="29">
      <c r="A29" s="17" t="inlineStr">
        <is>
          <t>Hensatte forpligtelser</t>
        </is>
      </c>
      <c r="B29" s="16" t="n">
        <v>0</v>
      </c>
      <c r="C29" s="16" t="n"/>
      <c r="D29" s="16" t="n">
        <v>0</v>
      </c>
      <c r="E29" s="16" t="n">
        <v>5</v>
      </c>
      <c r="F29" s="16" t="n">
        <v>231</v>
      </c>
    </row>
    <row r="30">
      <c r="A30" s="17" t="inlineStr">
        <is>
          <t>Langfristede gældsforpligtelser</t>
        </is>
      </c>
      <c r="B30" s="16" t="n">
        <v>0</v>
      </c>
      <c r="C30" s="16" t="n">
        <v>1473</v>
      </c>
      <c r="D30" s="16" t="n">
        <v>2467</v>
      </c>
      <c r="E30" s="16" t="n">
        <v>3856</v>
      </c>
      <c r="F30" s="16" t="n">
        <v>259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>
        <v>274</v>
      </c>
      <c r="C33" s="16" t="n">
        <v>18620</v>
      </c>
      <c r="D33" s="16" t="n"/>
      <c r="E33" s="16" t="n"/>
      <c r="F33" s="16" t="n">
        <v>16</v>
      </c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49</v>
      </c>
      <c r="C35" s="16" t="n">
        <v>535</v>
      </c>
      <c r="D35" s="16" t="n">
        <v>1155</v>
      </c>
      <c r="E35" s="16" t="n">
        <v>140</v>
      </c>
      <c r="F35" s="16" t="n">
        <v>139</v>
      </c>
    </row>
    <row r="36">
      <c r="A36" s="15" t="inlineStr">
        <is>
          <t>Gæld til tilknyttede virksomheder</t>
        </is>
      </c>
      <c r="B36" s="16" t="n">
        <v>30338</v>
      </c>
      <c r="C36" s="16" t="n">
        <v>4223</v>
      </c>
      <c r="D36" s="16" t="n">
        <v>12530</v>
      </c>
      <c r="E36" s="16" t="n">
        <v>2541</v>
      </c>
      <c r="F36" s="16" t="n">
        <v>34678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1284</v>
      </c>
      <c r="C38" s="16" t="n">
        <v>0</v>
      </c>
      <c r="D38" s="16" t="n">
        <v>1069</v>
      </c>
      <c r="E38" s="16" t="n">
        <v>0</v>
      </c>
      <c r="F38" s="16" t="n">
        <v>38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1631</v>
      </c>
      <c r="C40" s="16" t="n">
        <v>900</v>
      </c>
      <c r="D40" s="16" t="n">
        <v>3566</v>
      </c>
      <c r="E40" s="16" t="n">
        <v>1240</v>
      </c>
      <c r="F40" s="16" t="n">
        <v>715</v>
      </c>
    </row>
    <row r="41">
      <c r="A41" s="15" t="inlineStr">
        <is>
          <t>Periodeafgrænsningsposter (passiver)</t>
        </is>
      </c>
      <c r="B41" s="16" t="n">
        <v>81</v>
      </c>
      <c r="C41" s="16" t="n">
        <v>76</v>
      </c>
      <c r="D41" s="16" t="n">
        <v>0</v>
      </c>
      <c r="E41" s="16" t="n">
        <v>170</v>
      </c>
      <c r="F41" s="16" t="n">
        <v>0</v>
      </c>
    </row>
    <row r="42">
      <c r="A42" s="17" t="inlineStr">
        <is>
          <t>Kortfristede gældsforpligtelser</t>
        </is>
      </c>
      <c r="B42" s="16" t="n">
        <v>33656</v>
      </c>
      <c r="C42" s="16" t="n">
        <v>24354</v>
      </c>
      <c r="D42" s="16" t="n">
        <v>18392</v>
      </c>
      <c r="E42" s="16" t="n">
        <v>4120</v>
      </c>
      <c r="F42" s="16" t="n">
        <v>35586</v>
      </c>
    </row>
    <row r="43">
      <c r="A43" s="17" t="inlineStr">
        <is>
          <t>Gældsforpligtelser</t>
        </is>
      </c>
      <c r="B43" s="16" t="n">
        <v>33656</v>
      </c>
      <c r="C43" s="16" t="n">
        <v>25827</v>
      </c>
      <c r="D43" s="16" t="n">
        <v>20859</v>
      </c>
      <c r="E43" s="16" t="n">
        <v>7976</v>
      </c>
      <c r="F43" s="16" t="n">
        <v>35845</v>
      </c>
    </row>
    <row r="44">
      <c r="A44" s="17" t="inlineStr">
        <is>
          <t>Passiver</t>
        </is>
      </c>
      <c r="B44" s="16" t="n">
        <v>64927</v>
      </c>
      <c r="C44" s="16" t="n">
        <v>63548</v>
      </c>
      <c r="D44" s="16" t="n">
        <v>68406</v>
      </c>
      <c r="E44" s="16" t="n">
        <v>70228</v>
      </c>
      <c r="F44" s="16" t="n">
        <v>40538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Sunweb Group Scandinavia A/S (CVR 32931499) — Regnskabs- og nøgletal (CVR: 32931499)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Sunweb Group Scandinavia A/S (CVR 32931499)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17</v>
      </c>
      <c r="E3" s="35" t="n">
        <v>0</v>
      </c>
      <c r="F3" s="35" t="n">
        <v>89</v>
      </c>
      <c r="G3" s="35" t="n">
        <v>6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0</v>
      </c>
      <c r="E4" s="38" t="n">
        <v>1473</v>
      </c>
      <c r="F4" s="38" t="n">
        <v>2467</v>
      </c>
      <c r="G4" s="38" t="n">
        <v>3856</v>
      </c>
      <c r="H4" s="38" t="n">
        <v>259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2026-09-11T07:38:04Z</dcterms:created>
  <dcterms:modified xmlns:dcterms="http://purl.org/dc/terms/" xmlns:xsi="http://www.w3.org/2001/XMLSchema-instance" xsi:type="dcterms:W3CDTF">2026-09-11T07:38:04Z</dcterms:modified>
</cp:coreProperties>
</file>