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8841297" sheetId="1" state="visible" r:id="rId1"/>
    <sheet xmlns:r="http://schemas.openxmlformats.org/officeDocument/2006/relationships" name="res_raw_38841297" sheetId="2" state="visible" r:id="rId2"/>
    <sheet xmlns:r="http://schemas.openxmlformats.org/officeDocument/2006/relationships" name="balance_raw_38841297" sheetId="3" state="visible" r:id="rId3"/>
    <sheet xmlns:r="http://schemas.openxmlformats.org/officeDocument/2006/relationships" name="pengestrom_raw_38841297" sheetId="4" state="visible" r:id="rId4"/>
    <sheet xmlns:r="http://schemas.openxmlformats.org/officeDocument/2006/relationships" name="Simpel_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Silvan A/S (CVR 38841297) — Regnskabsanalyse – Resultatopgørelse &amp; Balance (valuta pr. år - se kolonneoverskrifter)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valuta pr. år - se kolonneoverskrifter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'res_raw_38841297'!$B$2</f>
        <v/>
      </c>
      <c r="C4" s="5">
        <f>'res_raw_38841297'!$C$2</f>
        <v/>
      </c>
      <c r="D4" s="5">
        <f>'res_raw_38841297'!$D$2</f>
        <v/>
      </c>
      <c r="E4" s="5">
        <f>'res_raw_38841297'!$E$2</f>
        <v/>
      </c>
      <c r="F4" s="5">
        <f>'res_raw_38841297'!$F$2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'res_raw_38841297'!$B$3</f>
        <v/>
      </c>
      <c r="C5" s="8">
        <f>'res_raw_38841297'!$C$3</f>
        <v/>
      </c>
      <c r="D5" s="8">
        <f>'res_raw_38841297'!$D$3</f>
        <v/>
      </c>
      <c r="E5" s="8">
        <f>'res_raw_38841297'!$E$3</f>
        <v/>
      </c>
      <c r="F5" s="8">
        <f>'res_raw_38841297'!$F$3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'res_raw_38841297'!$B$4</f>
        <v/>
      </c>
      <c r="C6" s="5">
        <f>'res_raw_38841297'!$C$4</f>
        <v/>
      </c>
      <c r="D6" s="5">
        <f>'res_raw_38841297'!$D$4</f>
        <v/>
      </c>
      <c r="E6" s="5">
        <f>'res_raw_38841297'!$E$4</f>
        <v/>
      </c>
      <c r="F6" s="5">
        <f>'res_raw_38841297'!$F$4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'res_raw_38841297'!$B$5</f>
        <v/>
      </c>
      <c r="C7" s="8">
        <f>'res_raw_38841297'!$C$5</f>
        <v/>
      </c>
      <c r="D7" s="8">
        <f>'res_raw_38841297'!$D$5</f>
        <v/>
      </c>
      <c r="E7" s="8">
        <f>'res_raw_38841297'!$E$5</f>
        <v/>
      </c>
      <c r="F7" s="8">
        <f>'res_raw_38841297'!$F$5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'res_raw_38841297'!$B$6</f>
        <v/>
      </c>
      <c r="C8" s="11">
        <f>'res_raw_38841297'!$C$6</f>
        <v/>
      </c>
      <c r="D8" s="11">
        <f>'res_raw_38841297'!$D$6</f>
        <v/>
      </c>
      <c r="E8" s="11">
        <f>'res_raw_38841297'!$E$6</f>
        <v/>
      </c>
      <c r="F8" s="11">
        <f>'res_raw_38841297'!$F$6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'res_raw_38841297'!$B$7</f>
        <v/>
      </c>
      <c r="C9" s="8">
        <f>'res_raw_38841297'!$C$7</f>
        <v/>
      </c>
      <c r="D9" s="8">
        <f>'res_raw_38841297'!$D$7</f>
        <v/>
      </c>
      <c r="E9" s="8">
        <f>'res_raw_38841297'!$E$7</f>
        <v/>
      </c>
      <c r="F9" s="8">
        <f>'res_raw_38841297'!$F$7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'res_raw_38841297'!$B$9</f>
        <v/>
      </c>
      <c r="C11" s="8">
        <f>'res_raw_38841297'!$C$9</f>
        <v/>
      </c>
      <c r="D11" s="8">
        <f>'res_raw_38841297'!$D$9</f>
        <v/>
      </c>
      <c r="E11" s="8">
        <f>'res_raw_38841297'!$E$9</f>
        <v/>
      </c>
      <c r="F11" s="8">
        <f>'res_raw_38841297'!$F$9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'res_raw_38841297'!$B$10</f>
        <v/>
      </c>
      <c r="C12" s="5">
        <f>'res_raw_38841297'!$C$10</f>
        <v/>
      </c>
      <c r="D12" s="5">
        <f>'res_raw_38841297'!$D$10</f>
        <v/>
      </c>
      <c r="E12" s="5">
        <f>'res_raw_38841297'!$E$10</f>
        <v/>
      </c>
      <c r="F12" s="5">
        <f>'res_raw_38841297'!$F$10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'res_raw_38841297'!$B$11</f>
        <v/>
      </c>
      <c r="C13" s="11">
        <f>'res_raw_38841297'!$C$11</f>
        <v/>
      </c>
      <c r="D13" s="11">
        <f>'res_raw_38841297'!$D$11</f>
        <v/>
      </c>
      <c r="E13" s="11">
        <f>'res_raw_38841297'!$E$11</f>
        <v/>
      </c>
      <c r="F13" s="11">
        <f>'res_raw_38841297'!$F$11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'res_raw_38841297'!$B$12</f>
        <v/>
      </c>
      <c r="C14" s="5">
        <f>'res_raw_38841297'!$C$12</f>
        <v/>
      </c>
      <c r="D14" s="5">
        <f>'res_raw_38841297'!$D$12</f>
        <v/>
      </c>
      <c r="E14" s="5">
        <f>'res_raw_38841297'!$E$12</f>
        <v/>
      </c>
      <c r="F14" s="5">
        <f>'res_raw_38841297'!$F$12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'res_raw_38841297'!$B$13</f>
        <v/>
      </c>
      <c r="C15" s="8">
        <f>'res_raw_38841297'!$C$13</f>
        <v/>
      </c>
      <c r="D15" s="8">
        <f>'res_raw_38841297'!$D$13</f>
        <v/>
      </c>
      <c r="E15" s="8">
        <f>'res_raw_38841297'!$E$13</f>
        <v/>
      </c>
      <c r="F15" s="8">
        <f>'res_raw_38841297'!$F$13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'res_raw_38841297'!$B$14</f>
        <v/>
      </c>
      <c r="C16" s="5">
        <f>'res_raw_38841297'!$C$14</f>
        <v/>
      </c>
      <c r="D16" s="5">
        <f>'res_raw_38841297'!$D$14</f>
        <v/>
      </c>
      <c r="E16" s="5">
        <f>'res_raw_38841297'!$E$14</f>
        <v/>
      </c>
      <c r="F16" s="5">
        <f>'res_raw_38841297'!$F$14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'res_raw_38841297'!$B$15</f>
        <v/>
      </c>
      <c r="C17" s="11">
        <f>'res_raw_38841297'!$C$15</f>
        <v/>
      </c>
      <c r="D17" s="11">
        <f>'res_raw_38841297'!$D$15</f>
        <v/>
      </c>
      <c r="E17" s="11">
        <f>'res_raw_38841297'!$E$15</f>
        <v/>
      </c>
      <c r="F17" s="11">
        <f>'res_raw_38841297'!$F$15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'res_raw_38841297'!$B$16</f>
        <v/>
      </c>
      <c r="C18" s="11">
        <f>'res_raw_38841297'!$C$16</f>
        <v/>
      </c>
      <c r="D18" s="11">
        <f>'res_raw_38841297'!$D$16</f>
        <v/>
      </c>
      <c r="E18" s="11">
        <f>'res_raw_38841297'!$E$16</f>
        <v/>
      </c>
      <c r="F18" s="11">
        <f>'res_raw_38841297'!$F$16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'res_raw_38841297'!$B$17</f>
        <v/>
      </c>
      <c r="C19" s="8">
        <f>'res_raw_38841297'!$C$17</f>
        <v/>
      </c>
      <c r="D19" s="8">
        <f>'res_raw_38841297'!$D$17</f>
        <v/>
      </c>
      <c r="E19" s="8">
        <f>'res_raw_38841297'!$E$17</f>
        <v/>
      </c>
      <c r="F19" s="8">
        <f>'res_raw_38841297'!$F$17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'res_raw_38841297'!$B$18</f>
        <v/>
      </c>
      <c r="C20" s="11">
        <f>'res_raw_38841297'!$C$18</f>
        <v/>
      </c>
      <c r="D20" s="11">
        <f>'res_raw_38841297'!$D$18</f>
        <v/>
      </c>
      <c r="E20" s="11">
        <f>'res_raw_38841297'!$E$18</f>
        <v/>
      </c>
      <c r="F20" s="11">
        <f>'res_raw_38841297'!$F$18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valuta pr. år - se kolonneoverskrifter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'balance_raw_38841297'!$B$2</f>
        <v/>
      </c>
      <c r="C23" s="8">
        <f>'balance_raw_38841297'!$C$2</f>
        <v/>
      </c>
      <c r="D23" s="8">
        <f>'balance_raw_38841297'!$D$2</f>
        <v/>
      </c>
      <c r="E23" s="8">
        <f>'balance_raw_38841297'!$E$2</f>
        <v/>
      </c>
      <c r="F23" s="8">
        <f>'balance_raw_38841297'!$F$2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'balance_raw_38841297'!$B$3</f>
        <v/>
      </c>
      <c r="C24" s="5">
        <f>'balance_raw_38841297'!$C$3</f>
        <v/>
      </c>
      <c r="D24" s="5">
        <f>'balance_raw_38841297'!$D$3</f>
        <v/>
      </c>
      <c r="E24" s="5">
        <f>'balance_raw_38841297'!$E$3</f>
        <v/>
      </c>
      <c r="F24" s="5">
        <f>'balance_raw_38841297'!$F$3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'balance_raw_38841297'!$B$4</f>
        <v/>
      </c>
      <c r="C25" s="8">
        <f>'balance_raw_38841297'!$C$4</f>
        <v/>
      </c>
      <c r="D25" s="8">
        <f>'balance_raw_38841297'!$D$4</f>
        <v/>
      </c>
      <c r="E25" s="8">
        <f>'balance_raw_38841297'!$E$4</f>
        <v/>
      </c>
      <c r="F25" s="8">
        <f>'balance_raw_38841297'!$F$4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'balance_raw_38841297'!$B$5</f>
        <v/>
      </c>
      <c r="C26" s="11">
        <f>'balance_raw_38841297'!$C$5</f>
        <v/>
      </c>
      <c r="D26" s="11">
        <f>'balance_raw_38841297'!$D$5</f>
        <v/>
      </c>
      <c r="E26" s="11">
        <f>'balance_raw_38841297'!$E$5</f>
        <v/>
      </c>
      <c r="F26" s="11">
        <f>'balance_raw_38841297'!$F$5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'balance_raw_38841297'!$B$6</f>
        <v/>
      </c>
      <c r="C27" s="8">
        <f>'balance_raw_38841297'!$C$6</f>
        <v/>
      </c>
      <c r="D27" s="8">
        <f>'balance_raw_38841297'!$D$6</f>
        <v/>
      </c>
      <c r="E27" s="8">
        <f>'balance_raw_38841297'!$E$6</f>
        <v/>
      </c>
      <c r="F27" s="8">
        <f>'balance_raw_38841297'!$F$6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'balance_raw_38841297'!$B$7</f>
        <v/>
      </c>
      <c r="C28" s="5">
        <f>'balance_raw_38841297'!$C$7</f>
        <v/>
      </c>
      <c r="D28" s="5">
        <f>'balance_raw_38841297'!$D$7</f>
        <v/>
      </c>
      <c r="E28" s="5">
        <f>'balance_raw_38841297'!$E$7</f>
        <v/>
      </c>
      <c r="F28" s="5">
        <f>'balance_raw_38841297'!$F$7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'balance_raw_38841297'!$B$8</f>
        <v/>
      </c>
      <c r="C29" s="8">
        <f>'balance_raw_38841297'!$C$8</f>
        <v/>
      </c>
      <c r="D29" s="8">
        <f>'balance_raw_38841297'!$D$8</f>
        <v/>
      </c>
      <c r="E29" s="8">
        <f>'balance_raw_38841297'!$E$8</f>
        <v/>
      </c>
      <c r="F29" s="8">
        <f>'balance_raw_38841297'!$F$8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'balance_raw_38841297'!$B$9</f>
        <v/>
      </c>
      <c r="C30" s="5">
        <f>'balance_raw_38841297'!$C$9</f>
        <v/>
      </c>
      <c r="D30" s="5">
        <f>'balance_raw_38841297'!$D$9</f>
        <v/>
      </c>
      <c r="E30" s="5">
        <f>'balance_raw_38841297'!$E$9</f>
        <v/>
      </c>
      <c r="F30" s="5">
        <f>'balance_raw_38841297'!$F$9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'balance_raw_38841297'!$B$10</f>
        <v/>
      </c>
      <c r="C31" s="8">
        <f>'balance_raw_38841297'!$C$10</f>
        <v/>
      </c>
      <c r="D31" s="8">
        <f>'balance_raw_38841297'!$D$10</f>
        <v/>
      </c>
      <c r="E31" s="8">
        <f>'balance_raw_38841297'!$E$10</f>
        <v/>
      </c>
      <c r="F31" s="8">
        <f>'balance_raw_38841297'!$F$10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'balance_raw_38841297'!$B$11</f>
        <v/>
      </c>
      <c r="C32" s="11">
        <f>'balance_raw_38841297'!$C$11</f>
        <v/>
      </c>
      <c r="D32" s="11">
        <f>'balance_raw_38841297'!$D$11</f>
        <v/>
      </c>
      <c r="E32" s="11">
        <f>'balance_raw_38841297'!$E$11</f>
        <v/>
      </c>
      <c r="F32" s="11">
        <f>'balance_raw_38841297'!$F$11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'balance_raw_38841297'!$B$12</f>
        <v/>
      </c>
      <c r="C33" s="8">
        <f>'balance_raw_38841297'!$C$12</f>
        <v/>
      </c>
      <c r="D33" s="8">
        <f>'balance_raw_38841297'!$D$12</f>
        <v/>
      </c>
      <c r="E33" s="8">
        <f>'balance_raw_38841297'!$E$12</f>
        <v/>
      </c>
      <c r="F33" s="8">
        <f>'balance_raw_38841297'!$F$12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'balance_raw_38841297'!$B$13</f>
        <v/>
      </c>
      <c r="C34" s="5">
        <f>'balance_raw_38841297'!$C$13</f>
        <v/>
      </c>
      <c r="D34" s="5">
        <f>'balance_raw_38841297'!$D$13</f>
        <v/>
      </c>
      <c r="E34" s="5">
        <f>'balance_raw_38841297'!$E$13</f>
        <v/>
      </c>
      <c r="F34" s="5">
        <f>'balance_raw_38841297'!$F$13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'balance_raw_38841297'!$B$14</f>
        <v/>
      </c>
      <c r="C35" s="11">
        <f>'balance_raw_38841297'!$C$14</f>
        <v/>
      </c>
      <c r="D35" s="11">
        <f>'balance_raw_38841297'!$D$14</f>
        <v/>
      </c>
      <c r="E35" s="11">
        <f>'balance_raw_38841297'!$E$14</f>
        <v/>
      </c>
      <c r="F35" s="11">
        <f>'balance_raw_38841297'!$F$14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'balance_raw_38841297'!$B$15</f>
        <v/>
      </c>
      <c r="C36" s="11">
        <f>'balance_raw_38841297'!$C$15</f>
        <v/>
      </c>
      <c r="D36" s="11">
        <f>'balance_raw_38841297'!$D$15</f>
        <v/>
      </c>
      <c r="E36" s="11">
        <f>'balance_raw_38841297'!$E$15</f>
        <v/>
      </c>
      <c r="F36" s="11">
        <f>'balance_raw_38841297'!$F$15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'balance_raw_38841297'!$B$16</f>
        <v/>
      </c>
      <c r="C37" s="8">
        <f>'balance_raw_38841297'!$C$16</f>
        <v/>
      </c>
      <c r="D37" s="8">
        <f>'balance_raw_38841297'!$D$16</f>
        <v/>
      </c>
      <c r="E37" s="8">
        <f>'balance_raw_38841297'!$E$16</f>
        <v/>
      </c>
      <c r="F37" s="8">
        <f>'balance_raw_38841297'!$F$16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'balance_raw_38841297'!$B$17</f>
        <v/>
      </c>
      <c r="C38" s="5">
        <f>'balance_raw_38841297'!$C$17</f>
        <v/>
      </c>
      <c r="D38" s="5">
        <f>'balance_raw_38841297'!$D$17</f>
        <v/>
      </c>
      <c r="E38" s="5">
        <f>'balance_raw_38841297'!$E$17</f>
        <v/>
      </c>
      <c r="F38" s="5">
        <f>'balance_raw_38841297'!$F$17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'balance_raw_38841297'!$B$18</f>
        <v/>
      </c>
      <c r="C39" s="8">
        <f>'balance_raw_38841297'!$C$18</f>
        <v/>
      </c>
      <c r="D39" s="8">
        <f>'balance_raw_38841297'!$D$18</f>
        <v/>
      </c>
      <c r="E39" s="8">
        <f>'balance_raw_38841297'!$E$18</f>
        <v/>
      </c>
      <c r="F39" s="8">
        <f>'balance_raw_38841297'!$F$18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'balance_raw_38841297'!$B$19</f>
        <v/>
      </c>
      <c r="C40" s="11">
        <f>'balance_raw_38841297'!$C$19</f>
        <v/>
      </c>
      <c r="D40" s="11">
        <f>'balance_raw_38841297'!$D$19</f>
        <v/>
      </c>
      <c r="E40" s="11">
        <f>'balance_raw_38841297'!$E$19</f>
        <v/>
      </c>
      <c r="F40" s="11">
        <f>'balance_raw_38841297'!$F$19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'balance_raw_38841297'!$B$20</f>
        <v/>
      </c>
      <c r="C41" s="8">
        <f>'balance_raw_38841297'!$C$20</f>
        <v/>
      </c>
      <c r="D41" s="8">
        <f>'balance_raw_38841297'!$D$20</f>
        <v/>
      </c>
      <c r="E41" s="8">
        <f>'balance_raw_38841297'!$E$20</f>
        <v/>
      </c>
      <c r="F41" s="8">
        <f>'balance_raw_38841297'!$F$20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'balance_raw_38841297'!$B$21</f>
        <v/>
      </c>
      <c r="C42" s="5">
        <f>'balance_raw_38841297'!$C$21</f>
        <v/>
      </c>
      <c r="D42" s="5">
        <f>'balance_raw_38841297'!$D$21</f>
        <v/>
      </c>
      <c r="E42" s="5">
        <f>'balance_raw_38841297'!$E$21</f>
        <v/>
      </c>
      <c r="F42" s="5">
        <f>'balance_raw_38841297'!$F$21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'balance_raw_38841297'!$B$22</f>
        <v/>
      </c>
      <c r="C43" s="8">
        <f>'balance_raw_38841297'!$C$22</f>
        <v/>
      </c>
      <c r="D43" s="8">
        <f>'balance_raw_38841297'!$D$22</f>
        <v/>
      </c>
      <c r="E43" s="8">
        <f>'balance_raw_38841297'!$E$22</f>
        <v/>
      </c>
      <c r="F43" s="8">
        <f>'balance_raw_38841297'!$F$22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'balance_raw_38841297'!$B$23</f>
        <v/>
      </c>
      <c r="C44" s="5">
        <f>'balance_raw_38841297'!$C$23</f>
        <v/>
      </c>
      <c r="D44" s="5">
        <f>'balance_raw_38841297'!$D$23</f>
        <v/>
      </c>
      <c r="E44" s="5">
        <f>'balance_raw_38841297'!$E$23</f>
        <v/>
      </c>
      <c r="F44" s="5">
        <f>'balance_raw_38841297'!$F$23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'balance_raw_38841297'!$B$24</f>
        <v/>
      </c>
      <c r="C45" s="8">
        <f>'balance_raw_38841297'!$C$24</f>
        <v/>
      </c>
      <c r="D45" s="8">
        <f>'balance_raw_38841297'!$D$24</f>
        <v/>
      </c>
      <c r="E45" s="8">
        <f>'balance_raw_38841297'!$E$24</f>
        <v/>
      </c>
      <c r="F45" s="8">
        <f>'balance_raw_38841297'!$F$24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'balance_raw_38841297'!$B$25</f>
        <v/>
      </c>
      <c r="C46" s="5">
        <f>'balance_raw_38841297'!$C$25</f>
        <v/>
      </c>
      <c r="D46" s="5">
        <f>'balance_raw_38841297'!$D$25</f>
        <v/>
      </c>
      <c r="E46" s="5">
        <f>'balance_raw_38841297'!$E$25</f>
        <v/>
      </c>
      <c r="F46" s="5">
        <f>'balance_raw_38841297'!$F$25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'balance_raw_38841297'!$B$26</f>
        <v/>
      </c>
      <c r="C47" s="8">
        <f>'balance_raw_38841297'!$C$26</f>
        <v/>
      </c>
      <c r="D47" s="8">
        <f>'balance_raw_38841297'!$D$26</f>
        <v/>
      </c>
      <c r="E47" s="8">
        <f>'balance_raw_38841297'!$E$26</f>
        <v/>
      </c>
      <c r="F47" s="8">
        <f>'balance_raw_38841297'!$F$26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'balance_raw_38841297'!$B$27</f>
        <v/>
      </c>
      <c r="C48" s="11">
        <f>'balance_raw_38841297'!$C$27</f>
        <v/>
      </c>
      <c r="D48" s="11">
        <f>'balance_raw_38841297'!$D$27</f>
        <v/>
      </c>
      <c r="E48" s="11">
        <f>'balance_raw_38841297'!$E$27</f>
        <v/>
      </c>
      <c r="F48" s="11">
        <f>'balance_raw_38841297'!$F$27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'balance_raw_38841297'!$B$28</f>
        <v/>
      </c>
      <c r="C49" s="8">
        <f>'balance_raw_38841297'!$C$28</f>
        <v/>
      </c>
      <c r="D49" s="8">
        <f>'balance_raw_38841297'!$D$28</f>
        <v/>
      </c>
      <c r="E49" s="8">
        <f>'balance_raw_38841297'!$E$28</f>
        <v/>
      </c>
      <c r="F49" s="8">
        <f>'balance_raw_38841297'!$F$28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'balance_raw_38841297'!$B$29</f>
        <v/>
      </c>
      <c r="C50" s="5">
        <f>'balance_raw_38841297'!$C$29</f>
        <v/>
      </c>
      <c r="D50" s="5">
        <f>'balance_raw_38841297'!$D$29</f>
        <v/>
      </c>
      <c r="E50" s="5">
        <f>'balance_raw_38841297'!$E$29</f>
        <v/>
      </c>
      <c r="F50" s="5">
        <f>'balance_raw_38841297'!$F$29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'balance_raw_38841297'!$B$30</f>
        <v/>
      </c>
      <c r="C51" s="11">
        <f>'balance_raw_38841297'!$C$30</f>
        <v/>
      </c>
      <c r="D51" s="11">
        <f>'balance_raw_38841297'!$D$30</f>
        <v/>
      </c>
      <c r="E51" s="11">
        <f>'balance_raw_38841297'!$E$30</f>
        <v/>
      </c>
      <c r="F51" s="11">
        <f>'balance_raw_38841297'!$F$30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'balance_raw_38841297'!$B$31</f>
        <v/>
      </c>
      <c r="C52" s="11">
        <f>'balance_raw_38841297'!$C$31</f>
        <v/>
      </c>
      <c r="D52" s="11">
        <f>'balance_raw_38841297'!$D$31</f>
        <v/>
      </c>
      <c r="E52" s="11">
        <f>'balance_raw_38841297'!$E$31</f>
        <v/>
      </c>
      <c r="F52" s="11">
        <f>'balance_raw_38841297'!$F$31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valuta pr. år - se kolonneoverskrifter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'balance_raw_38841297'!$B$32</f>
        <v/>
      </c>
      <c r="C55" s="8">
        <f>'balance_raw_38841297'!$C$32</f>
        <v/>
      </c>
      <c r="D55" s="8">
        <f>'balance_raw_38841297'!$D$32</f>
        <v/>
      </c>
      <c r="E55" s="8">
        <f>'balance_raw_38841297'!$E$32</f>
        <v/>
      </c>
      <c r="F55" s="8">
        <f>'balance_raw_38841297'!$F$32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'balance_raw_38841297'!$B$33</f>
        <v/>
      </c>
      <c r="C56" s="5">
        <f>'balance_raw_38841297'!$C$33</f>
        <v/>
      </c>
      <c r="D56" s="5">
        <f>'balance_raw_38841297'!$D$33</f>
        <v/>
      </c>
      <c r="E56" s="5">
        <f>'balance_raw_38841297'!$E$33</f>
        <v/>
      </c>
      <c r="F56" s="5">
        <f>'balance_raw_38841297'!$F$33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'balance_raw_38841297'!$B$34</f>
        <v/>
      </c>
      <c r="C57" s="8">
        <f>'balance_raw_38841297'!$C$34</f>
        <v/>
      </c>
      <c r="D57" s="8">
        <f>'balance_raw_38841297'!$D$34</f>
        <v/>
      </c>
      <c r="E57" s="8">
        <f>'balance_raw_38841297'!$E$34</f>
        <v/>
      </c>
      <c r="F57" s="8">
        <f>'balance_raw_38841297'!$F$34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'balance_raw_38841297'!$B$35</f>
        <v/>
      </c>
      <c r="C58" s="5">
        <f>'balance_raw_38841297'!$C$35</f>
        <v/>
      </c>
      <c r="D58" s="5">
        <f>'balance_raw_38841297'!$D$35</f>
        <v/>
      </c>
      <c r="E58" s="5">
        <f>'balance_raw_38841297'!$E$35</f>
        <v/>
      </c>
      <c r="F58" s="5">
        <f>'balance_raw_38841297'!$F$35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'balance_raw_38841297'!$B$36</f>
        <v/>
      </c>
      <c r="C59" s="8">
        <f>'balance_raw_38841297'!$C$36</f>
        <v/>
      </c>
      <c r="D59" s="8">
        <f>'balance_raw_38841297'!$D$36</f>
        <v/>
      </c>
      <c r="E59" s="8">
        <f>'balance_raw_38841297'!$E$36</f>
        <v/>
      </c>
      <c r="F59" s="8">
        <f>'balance_raw_38841297'!$F$36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'balance_raw_38841297'!$B$37</f>
        <v/>
      </c>
      <c r="C60" s="5">
        <f>'balance_raw_38841297'!$C$37</f>
        <v/>
      </c>
      <c r="D60" s="5">
        <f>'balance_raw_38841297'!$D$37</f>
        <v/>
      </c>
      <c r="E60" s="5">
        <f>'balance_raw_38841297'!$E$37</f>
        <v/>
      </c>
      <c r="F60" s="5">
        <f>'balance_raw_38841297'!$F$37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'balance_raw_38841297'!$B$38</f>
        <v/>
      </c>
      <c r="C61" s="11">
        <f>'balance_raw_38841297'!$C$38</f>
        <v/>
      </c>
      <c r="D61" s="11">
        <f>'balance_raw_38841297'!$D$38</f>
        <v/>
      </c>
      <c r="E61" s="11">
        <f>'balance_raw_38841297'!$E$38</f>
        <v/>
      </c>
      <c r="F61" s="11">
        <f>'balance_raw_38841297'!$F$38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10" t="inlineStr">
        <is>
          <t>Hensatte forpligtelser</t>
        </is>
      </c>
      <c r="B62" s="11">
        <f>'balance_raw_38841297'!$B$39</f>
        <v/>
      </c>
      <c r="C62" s="11">
        <f>'balance_raw_38841297'!$C$39</f>
        <v/>
      </c>
      <c r="D62" s="11">
        <f>'balance_raw_38841297'!$D$39</f>
        <v/>
      </c>
      <c r="E62" s="11">
        <f>'balance_raw_38841297'!$E$39</f>
        <v/>
      </c>
      <c r="F62" s="11">
        <f>'balance_raw_38841297'!$F$39</f>
        <v/>
      </c>
      <c r="G62" t="inlineStr"/>
      <c r="H62" s="12">
        <f>IFERROR(B62/$B$62*100,"")</f>
        <v/>
      </c>
      <c r="I62" s="12">
        <f>IFERROR(C62/$B$62*100,"")</f>
        <v/>
      </c>
      <c r="J62" s="12">
        <f>IFERROR(D62/$B$62*100,"")</f>
        <v/>
      </c>
      <c r="K62" s="12">
        <f>IFERROR(E62/$B$62*100,"")</f>
        <v/>
      </c>
      <c r="L62" s="12">
        <f>IFERROR(F62/$B$62*100,"")</f>
        <v/>
      </c>
    </row>
    <row r="63" ht="16" customHeight="1">
      <c r="A63" s="7" t="inlineStr">
        <is>
          <t>Ansvarlig lånekapital (langfristet)</t>
        </is>
      </c>
      <c r="B63" s="8">
        <f>'balance_raw_38841297'!$B$40</f>
        <v/>
      </c>
      <c r="C63" s="8">
        <f>'balance_raw_38841297'!$C$40</f>
        <v/>
      </c>
      <c r="D63" s="8">
        <f>'balance_raw_38841297'!$D$40</f>
        <v/>
      </c>
      <c r="E63" s="8">
        <f>'balance_raw_38841297'!$E$40</f>
        <v/>
      </c>
      <c r="F63" s="8">
        <f>'balance_raw_38841297'!$F$40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Langfristede lån</t>
        </is>
      </c>
      <c r="B64" s="5">
        <f>'balance_raw_38841297'!$B$41</f>
        <v/>
      </c>
      <c r="C64" s="5">
        <f>'balance_raw_38841297'!$C$41</f>
        <v/>
      </c>
      <c r="D64" s="5">
        <f>'balance_raw_38841297'!$D$41</f>
        <v/>
      </c>
      <c r="E64" s="5">
        <f>'balance_raw_38841297'!$E$41</f>
        <v/>
      </c>
      <c r="F64" s="5">
        <f>'balance_raw_38841297'!$F$41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Leasingforpligtelser (langfristet)</t>
        </is>
      </c>
      <c r="B65" s="8">
        <f>'balance_raw_38841297'!$B$42</f>
        <v/>
      </c>
      <c r="C65" s="8">
        <f>'balance_raw_38841297'!$C$42</f>
        <v/>
      </c>
      <c r="D65" s="8">
        <f>'balance_raw_38841297'!$D$42</f>
        <v/>
      </c>
      <c r="E65" s="8">
        <f>'balance_raw_38841297'!$E$42</f>
        <v/>
      </c>
      <c r="F65" s="8">
        <f>'balance_raw_38841297'!$F$42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Anden gæld (langfristet)</t>
        </is>
      </c>
      <c r="B66" s="5">
        <f>'balance_raw_38841297'!$B$43</f>
        <v/>
      </c>
      <c r="C66" s="5">
        <f>'balance_raw_38841297'!$C$43</f>
        <v/>
      </c>
      <c r="D66" s="5">
        <f>'balance_raw_38841297'!$D$43</f>
        <v/>
      </c>
      <c r="E66" s="5">
        <f>'balance_raw_38841297'!$E$43</f>
        <v/>
      </c>
      <c r="F66" s="5">
        <f>'balance_raw_38841297'!$F$43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Langfristede gældsforpligtelser</t>
        </is>
      </c>
      <c r="B67" s="11">
        <f>'balance_raw_38841297'!$B$44</f>
        <v/>
      </c>
      <c r="C67" s="11">
        <f>'balance_raw_38841297'!$C$44</f>
        <v/>
      </c>
      <c r="D67" s="11">
        <f>'balance_raw_38841297'!$D$44</f>
        <v/>
      </c>
      <c r="E67" s="11">
        <f>'balance_raw_38841297'!$E$44</f>
        <v/>
      </c>
      <c r="F67" s="11">
        <f>'balance_raw_38841297'!$F$44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Ansvarlig lånekapital (kortfristet)</t>
        </is>
      </c>
      <c r="B68" s="5">
        <f>'balance_raw_38841297'!$B$45</f>
        <v/>
      </c>
      <c r="C68" s="5">
        <f>'balance_raw_38841297'!$C$45</f>
        <v/>
      </c>
      <c r="D68" s="5">
        <f>'balance_raw_38841297'!$D$45</f>
        <v/>
      </c>
      <c r="E68" s="5">
        <f>'balance_raw_38841297'!$E$45</f>
        <v/>
      </c>
      <c r="F68" s="5">
        <f>'balance_raw_38841297'!$F$45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Kortfristet del af langfristede gældsforpligtelser</t>
        </is>
      </c>
      <c r="B69" s="8">
        <f>'balance_raw_38841297'!$B$46</f>
        <v/>
      </c>
      <c r="C69" s="8">
        <f>'balance_raw_38841297'!$C$46</f>
        <v/>
      </c>
      <c r="D69" s="8">
        <f>'balance_raw_38841297'!$D$46</f>
        <v/>
      </c>
      <c r="E69" s="8">
        <f>'balance_raw_38841297'!$E$46</f>
        <v/>
      </c>
      <c r="F69" s="8">
        <f>'balance_raw_38841297'!$F$46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Kreditinstitutter</t>
        </is>
      </c>
      <c r="B70" s="5">
        <f>'balance_raw_38841297'!$B$47</f>
        <v/>
      </c>
      <c r="C70" s="5">
        <f>'balance_raw_38841297'!$C$47</f>
        <v/>
      </c>
      <c r="D70" s="5">
        <f>'balance_raw_38841297'!$D$47</f>
        <v/>
      </c>
      <c r="E70" s="5">
        <f>'balance_raw_38841297'!$E$47</f>
        <v/>
      </c>
      <c r="F70" s="5">
        <f>'balance_raw_38841297'!$F$47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Leasingforpligtelser (kortfristet)</t>
        </is>
      </c>
      <c r="B71" s="8">
        <f>'balance_raw_38841297'!$B$48</f>
        <v/>
      </c>
      <c r="C71" s="8">
        <f>'balance_raw_38841297'!$C$48</f>
        <v/>
      </c>
      <c r="D71" s="8">
        <f>'balance_raw_38841297'!$D$48</f>
        <v/>
      </c>
      <c r="E71" s="8">
        <f>'balance_raw_38841297'!$E$48</f>
        <v/>
      </c>
      <c r="F71" s="8">
        <f>'balance_raw_38841297'!$F$48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Leverandører af varer og tjenesteydelser</t>
        </is>
      </c>
      <c r="B72" s="5">
        <f>'balance_raw_38841297'!$B$49</f>
        <v/>
      </c>
      <c r="C72" s="5">
        <f>'balance_raw_38841297'!$C$49</f>
        <v/>
      </c>
      <c r="D72" s="5">
        <f>'balance_raw_38841297'!$D$49</f>
        <v/>
      </c>
      <c r="E72" s="5">
        <f>'balance_raw_38841297'!$E$49</f>
        <v/>
      </c>
      <c r="F72" s="5">
        <f>'balance_raw_38841297'!$F$49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tilknyttede virksomheder</t>
        </is>
      </c>
      <c r="B73" s="8">
        <f>'balance_raw_38841297'!$B$50</f>
        <v/>
      </c>
      <c r="C73" s="8">
        <f>'balance_raw_38841297'!$C$50</f>
        <v/>
      </c>
      <c r="D73" s="8">
        <f>'balance_raw_38841297'!$D$50</f>
        <v/>
      </c>
      <c r="E73" s="8">
        <f>'balance_raw_38841297'!$E$50</f>
        <v/>
      </c>
      <c r="F73" s="8">
        <f>'balance_raw_38841297'!$F$50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selskabsdeltagere og ledelse</t>
        </is>
      </c>
      <c r="B74" s="5">
        <f>'balance_raw_38841297'!$B$51</f>
        <v/>
      </c>
      <c r="C74" s="5">
        <f>'balance_raw_38841297'!$C$51</f>
        <v/>
      </c>
      <c r="D74" s="5">
        <f>'balance_raw_38841297'!$D$51</f>
        <v/>
      </c>
      <c r="E74" s="5">
        <f>'balance_raw_38841297'!$E$51</f>
        <v/>
      </c>
      <c r="F74" s="5">
        <f>'balance_raw_38841297'!$F$51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Selskabsskat</t>
        </is>
      </c>
      <c r="B75" s="8">
        <f>'balance_raw_38841297'!$B$52</f>
        <v/>
      </c>
      <c r="C75" s="8">
        <f>'balance_raw_38841297'!$C$52</f>
        <v/>
      </c>
      <c r="D75" s="8">
        <f>'balance_raw_38841297'!$D$52</f>
        <v/>
      </c>
      <c r="E75" s="8">
        <f>'balance_raw_38841297'!$E$52</f>
        <v/>
      </c>
      <c r="F75" s="8">
        <f>'balance_raw_38841297'!$F$52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Gæld til tilknyttede virksomheder vedr. selskabsskat</t>
        </is>
      </c>
      <c r="B76" s="5">
        <f>'balance_raw_38841297'!$B$53</f>
        <v/>
      </c>
      <c r="C76" s="5">
        <f>'balance_raw_38841297'!$C$53</f>
        <v/>
      </c>
      <c r="D76" s="5">
        <f>'balance_raw_38841297'!$D$53</f>
        <v/>
      </c>
      <c r="E76" s="5">
        <f>'balance_raw_38841297'!$E$53</f>
        <v/>
      </c>
      <c r="F76" s="5">
        <f>'balance_raw_38841297'!$F$53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Anden gæld (kortfristet)</t>
        </is>
      </c>
      <c r="B77" s="8">
        <f>'balance_raw_38841297'!$B$54</f>
        <v/>
      </c>
      <c r="C77" s="8">
        <f>'balance_raw_38841297'!$C$54</f>
        <v/>
      </c>
      <c r="D77" s="8">
        <f>'balance_raw_38841297'!$D$54</f>
        <v/>
      </c>
      <c r="E77" s="8">
        <f>'balance_raw_38841297'!$E$54</f>
        <v/>
      </c>
      <c r="F77" s="8">
        <f>'balance_raw_38841297'!$F$54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Periodeafgrænsningsposter (passiver)</t>
        </is>
      </c>
      <c r="B78" s="5">
        <f>'balance_raw_38841297'!$B$55</f>
        <v/>
      </c>
      <c r="C78" s="5">
        <f>'balance_raw_38841297'!$C$55</f>
        <v/>
      </c>
      <c r="D78" s="5">
        <f>'balance_raw_38841297'!$D$55</f>
        <v/>
      </c>
      <c r="E78" s="5">
        <f>'balance_raw_38841297'!$E$55</f>
        <v/>
      </c>
      <c r="F78" s="5">
        <f>'balance_raw_38841297'!$F$55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10" t="inlineStr">
        <is>
          <t>Kortfristede gældsforpligtelser</t>
        </is>
      </c>
      <c r="B79" s="11">
        <f>'balance_raw_38841297'!$B$56</f>
        <v/>
      </c>
      <c r="C79" s="11">
        <f>'balance_raw_38841297'!$C$56</f>
        <v/>
      </c>
      <c r="D79" s="11">
        <f>'balance_raw_38841297'!$D$56</f>
        <v/>
      </c>
      <c r="E79" s="11">
        <f>'balance_raw_38841297'!$E$56</f>
        <v/>
      </c>
      <c r="F79" s="11">
        <f>'balance_raw_38841297'!$F$56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0" ht="16" customHeight="1">
      <c r="A80" s="10" t="inlineStr">
        <is>
          <t>Gældsforpligtelser</t>
        </is>
      </c>
      <c r="B80" s="11">
        <f>'balance_raw_38841297'!$B$57</f>
        <v/>
      </c>
      <c r="C80" s="11">
        <f>'balance_raw_38841297'!$C$57</f>
        <v/>
      </c>
      <c r="D80" s="11">
        <f>'balance_raw_38841297'!$D$57</f>
        <v/>
      </c>
      <c r="E80" s="11">
        <f>'balance_raw_38841297'!$E$57</f>
        <v/>
      </c>
      <c r="F80" s="11">
        <f>'balance_raw_38841297'!$F$57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Passiver</t>
        </is>
      </c>
      <c r="B81" s="11">
        <f>'balance_raw_38841297'!$B$58</f>
        <v/>
      </c>
      <c r="C81" s="11">
        <f>'balance_raw_38841297'!$C$58</f>
        <v/>
      </c>
      <c r="D81" s="11">
        <f>'balance_raw_38841297'!$D$58</f>
        <v/>
      </c>
      <c r="E81" s="11">
        <f>'balance_raw_38841297'!$E$58</f>
        <v/>
      </c>
      <c r="F81" s="11">
        <f>'balance_raw_38841297'!$F$58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3" ht="22" customHeight="1">
      <c r="A83" s="3" t="inlineStr">
        <is>
          <t>NØGLEOPLYSNINGER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Gns. antal medarbejdere</t>
        </is>
      </c>
      <c r="B84" s="5">
        <f>'res_raw_38841297'!$B$19</f>
        <v/>
      </c>
      <c r="C84" s="5">
        <f>'res_raw_38841297'!$C$19</f>
        <v/>
      </c>
      <c r="D84" s="5">
        <f>'res_raw_38841297'!$D$19</f>
        <v/>
      </c>
      <c r="E84" s="5">
        <f>'res_raw_38841297'!$E$19</f>
        <v/>
      </c>
      <c r="F84" s="5">
        <f>'res_raw_38841297'!$F$19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5" ht="16" customHeight="1">
      <c r="A85" s="7" t="inlineStr">
        <is>
          <t>Investering i materielle anlægsaktiver</t>
        </is>
      </c>
      <c r="B85" s="8">
        <f>'res_raw_38841297'!$B$20</f>
        <v/>
      </c>
      <c r="C85" s="8">
        <f>'res_raw_38841297'!$C$20</f>
        <v/>
      </c>
      <c r="D85" s="8">
        <f>'res_raw_38841297'!$D$20</f>
        <v/>
      </c>
      <c r="E85" s="8">
        <f>'res_raw_38841297'!$E$20</f>
        <v/>
      </c>
      <c r="F85" s="8">
        <f>'res_raw_38841297'!$F$20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7" ht="22" customHeight="1">
      <c r="A87" s="3" t="inlineStr">
        <is>
          <t>NØGLETAL</t>
        </is>
      </c>
      <c r="B87" s="3" t="n">
        <v>2021</v>
      </c>
      <c r="C87" s="3" t="n">
        <v>2022</v>
      </c>
      <c r="D87" s="3" t="n">
        <v>2023</v>
      </c>
      <c r="E87" s="3" t="n">
        <v>2024</v>
      </c>
      <c r="F87" s="3" t="n">
        <v>2025</v>
      </c>
    </row>
    <row r="88" ht="16" customHeight="1">
      <c r="A88" s="4" t="inlineStr">
        <is>
          <t>Afkastningsgrad, %</t>
        </is>
      </c>
      <c r="B88" s="13">
        <f>IFERROR(($B$13+$B$15+$B$14)/$B$52*100,"")</f>
        <v/>
      </c>
      <c r="C88" s="13">
        <f>IFERROR(($C$13+$C$15+$C$14)/$C$52*100,"")</f>
        <v/>
      </c>
      <c r="D88" s="13">
        <f>IFERROR(($D$13+$D$15+$D$14)/$D$52*100,"")</f>
        <v/>
      </c>
      <c r="E88" s="13">
        <f>IFERROR(($E$13+$E$15+$E$14)/$E$52*100,"")</f>
        <v/>
      </c>
      <c r="F88" s="13">
        <f>IFERROR(($F$13+$F$15+$F$14)/$F$52*100,"")</f>
        <v/>
      </c>
    </row>
    <row r="89" ht="16" customHeight="1">
      <c r="A89" s="7" t="inlineStr">
        <is>
          <t>Overskudsgrad, %</t>
        </is>
      </c>
      <c r="B89" s="14">
        <f>IFERROR(($B$13+$B$15+$B$14)/$B$4*100,"")</f>
        <v/>
      </c>
      <c r="C89" s="14">
        <f>IFERROR(($C$13+$C$15+$C$14)/$C$4*100,"")</f>
        <v/>
      </c>
      <c r="D89" s="14">
        <f>IFERROR(($D$13+$D$15+$D$14)/$D$4*100,"")</f>
        <v/>
      </c>
      <c r="E89" s="14">
        <f>IFERROR(($E$13+$E$15+$E$14)/$E$4*100,"")</f>
        <v/>
      </c>
      <c r="F89" s="14">
        <f>IFERROR(($F$13+$F$15+$F$14)/$F$4*100,"")</f>
        <v/>
      </c>
    </row>
    <row r="90" ht="16" customHeight="1">
      <c r="A90" s="4" t="inlineStr">
        <is>
          <t>Aktivernes omsætningshastighed, gange</t>
        </is>
      </c>
      <c r="B90" s="13">
        <f>IFERROR($B$4/$B$52,"")</f>
        <v/>
      </c>
      <c r="C90" s="13">
        <f>IFERROR($C$4/$C$52,"")</f>
        <v/>
      </c>
      <c r="D90" s="13">
        <f>IFERROR($D$4/$D$52,"")</f>
        <v/>
      </c>
      <c r="E90" s="13">
        <f>IFERROR($E$4/$E$52,"")</f>
        <v/>
      </c>
      <c r="F90" s="13">
        <f>IFERROR($F$4/$F$52,"")</f>
        <v/>
      </c>
    </row>
    <row r="91" ht="16" customHeight="1">
      <c r="A91" s="7" t="inlineStr">
        <is>
          <t>Egenkapitalens forrentning, %</t>
        </is>
      </c>
      <c r="B91" s="14">
        <f>IFERROR($B$18/$B$61*100,"")</f>
        <v/>
      </c>
      <c r="C91" s="14">
        <f>IFERROR($C$18/$C$61*100,"")</f>
        <v/>
      </c>
      <c r="D91" s="14">
        <f>IFERROR($D$18/$D$61*100,"")</f>
        <v/>
      </c>
      <c r="E91" s="14">
        <f>IFERROR($E$18/$E$61*100,"")</f>
        <v/>
      </c>
      <c r="F91" s="14">
        <f>IFERROR($F$18/$F$61*100,"")</f>
        <v/>
      </c>
    </row>
    <row r="92" ht="16" customHeight="1">
      <c r="A92" s="4" t="inlineStr">
        <is>
          <t>Gældsrente, %</t>
        </is>
      </c>
      <c r="B92" s="13">
        <f>IFERROR($B$16/($B$81-$B$61)*100,"")</f>
        <v/>
      </c>
      <c r="C92" s="13">
        <f>IFERROR($C$16/($C$81-$C$61)*100,"")</f>
        <v/>
      </c>
      <c r="D92" s="13">
        <f>IFERROR($D$16/($D$81-$D$61)*100,"")</f>
        <v/>
      </c>
      <c r="E92" s="13">
        <f>IFERROR($E$16/($E$81-$E$61)*100,"")</f>
        <v/>
      </c>
      <c r="F92" s="13">
        <f>IFERROR($F$16/($F$81-$F$61)*100,"")</f>
        <v/>
      </c>
    </row>
    <row r="93" ht="16" customHeight="1">
      <c r="A93" s="7" t="inlineStr">
        <is>
          <t>Soliditetsgrad, %</t>
        </is>
      </c>
      <c r="B93" s="14">
        <f>IFERROR($B$61/$B$52*100,"")</f>
        <v/>
      </c>
      <c r="C93" s="14">
        <f>IFERROR($C$61/$C$52*100,"")</f>
        <v/>
      </c>
      <c r="D93" s="14">
        <f>IFERROR($D$61/$D$52*100,"")</f>
        <v/>
      </c>
      <c r="E93" s="14">
        <f>IFERROR($E$61/$E$52*100,"")</f>
        <v/>
      </c>
      <c r="F93" s="14">
        <f>IFERROR($F$61/$F$52*100,"")</f>
        <v/>
      </c>
    </row>
    <row r="94" ht="16" customHeight="1">
      <c r="A94" s="4" t="inlineStr">
        <is>
          <t>Gearing</t>
        </is>
      </c>
      <c r="B94" s="13">
        <f>IFERROR(($B$81-$B$61)/$B$61,"")</f>
        <v/>
      </c>
      <c r="C94" s="13">
        <f>IFERROR(($C$81-$C$61)/$C$61,"")</f>
        <v/>
      </c>
      <c r="D94" s="13">
        <f>IFERROR(($D$81-$D$61)/$D$61,"")</f>
        <v/>
      </c>
      <c r="E94" s="13">
        <f>IFERROR(($E$81-$E$61)/$E$61,"")</f>
        <v/>
      </c>
      <c r="F94" s="13">
        <f>IFERROR(($F$81-$F$61)/$F$61,"")</f>
        <v/>
      </c>
    </row>
    <row r="95" ht="16" customHeight="1">
      <c r="A95" s="7" t="inlineStr">
        <is>
          <t>Likviditetsgrad, %</t>
        </is>
      </c>
      <c r="B95" s="14">
        <f>IFERROR($B$51/$B$79*100,"")</f>
        <v/>
      </c>
      <c r="C95" s="14">
        <f>IFERROR($C$51/$C$79*100,"")</f>
        <v/>
      </c>
      <c r="D95" s="14">
        <f>IFERROR($D$51/$D$79*100,"")</f>
        <v/>
      </c>
      <c r="E95" s="14">
        <f>IFERROR($E$51/$E$79*100,"")</f>
        <v/>
      </c>
      <c r="F95" s="14">
        <f>IFERROR($F$51/$F$79*100,"")</f>
        <v/>
      </c>
    </row>
    <row r="96" ht="16" customHeight="1">
      <c r="A96" s="4" t="inlineStr">
        <is>
          <t>Rentemarginal, %</t>
        </is>
      </c>
      <c r="B96" s="13">
        <f>IFERROR(B88-B92,"")</f>
        <v/>
      </c>
      <c r="C96" s="13">
        <f>IFERROR(C88-C92,"")</f>
        <v/>
      </c>
      <c r="D96" s="13">
        <f>IFERROR(D88-D92,"")</f>
        <v/>
      </c>
      <c r="E96" s="13">
        <f>IFERROR(E88-E92,"")</f>
        <v/>
      </c>
      <c r="F96" s="13">
        <f>IFERROR(F88-F92,"")</f>
        <v/>
      </c>
    </row>
    <row r="97" ht="16" customHeight="1">
      <c r="A97" s="7" t="inlineStr">
        <is>
          <t>Gældsandel, %</t>
        </is>
      </c>
      <c r="B97" s="14">
        <f>IFERROR(($B$81-$B$61)/$B$52*100,"")</f>
        <v/>
      </c>
      <c r="C97" s="14">
        <f>IFERROR(($C$81-$C$61)/$C$52*100,"")</f>
        <v/>
      </c>
      <c r="D97" s="14">
        <f>IFERROR(($D$81-$D$61)/$D$52*100,"")</f>
        <v/>
      </c>
      <c r="E97" s="14">
        <f>IFERROR(($E$81-$E$61)/$E$52*100,"")</f>
        <v/>
      </c>
      <c r="F97" s="14">
        <f>IFERROR(($F$81-$F$61)/$F$52*100,"")</f>
        <v/>
      </c>
    </row>
    <row r="98" ht="16" customHeight="1">
      <c r="A98" s="4" t="inlineStr">
        <is>
          <t>Kapitalbindingsgrad, %</t>
        </is>
      </c>
      <c r="B98" s="13">
        <f>IFERROR($B$36/($B$61+$B$67)*100,"")</f>
        <v/>
      </c>
      <c r="C98" s="13">
        <f>IFERROR($C$36/($C$61+$C$67)*100,"")</f>
        <v/>
      </c>
      <c r="D98" s="13">
        <f>IFERROR($D$36/($D$61+$D$67)*100,"")</f>
        <v/>
      </c>
      <c r="E98" s="13">
        <f>IFERROR($E$36/($E$61+$E$67)*100,"")</f>
        <v/>
      </c>
      <c r="F98" s="13">
        <f>IFERROR($F$36/($F$61+$F$67)*100,"")</f>
        <v/>
      </c>
    </row>
    <row r="100">
      <c r="A100" s="15" t="inlineStr">
        <is>
          <t>PENGESTRØMSOPGØRELSE valuta pr. år - se kolonneoverskrifter</t>
        </is>
      </c>
    </row>
    <row r="101">
      <c r="A101" s="16" t="inlineStr">
        <is>
          <t>Pengestrømme fra driftsaktivitet</t>
        </is>
      </c>
      <c r="B101" s="17">
        <f>'pengestrom_raw_38841297'!$B$2</f>
        <v/>
      </c>
      <c r="C101" s="17">
        <f>'pengestrom_raw_38841297'!$C$2</f>
        <v/>
      </c>
      <c r="D101" s="17">
        <f>'pengestrom_raw_38841297'!$D$2</f>
        <v/>
      </c>
      <c r="E101" s="17">
        <f>'pengestrom_raw_38841297'!$E$2</f>
        <v/>
      </c>
      <c r="F101" s="17">
        <f>'pengestrom_raw_38841297'!$F$2</f>
        <v/>
      </c>
    </row>
    <row r="102">
      <c r="A102" s="16" t="inlineStr">
        <is>
          <t>Pengestrømme fra investeringsaktivitet</t>
        </is>
      </c>
      <c r="B102" s="17">
        <f>'pengestrom_raw_38841297'!$B$3</f>
        <v/>
      </c>
      <c r="C102" s="17">
        <f>'pengestrom_raw_38841297'!$C$3</f>
        <v/>
      </c>
      <c r="D102" s="17">
        <f>'pengestrom_raw_38841297'!$D$3</f>
        <v/>
      </c>
      <c r="E102" s="17">
        <f>'pengestrom_raw_38841297'!$E$3</f>
        <v/>
      </c>
      <c r="F102" s="17">
        <f>'pengestrom_raw_38841297'!$F$3</f>
        <v/>
      </c>
    </row>
    <row r="103">
      <c r="A103" s="16" t="inlineStr">
        <is>
          <t>Pengestrømme fra finansieringsaktivitet</t>
        </is>
      </c>
      <c r="B103" s="17">
        <f>'pengestrom_raw_38841297'!$B$4</f>
        <v/>
      </c>
      <c r="C103" s="17">
        <f>'pengestrom_raw_38841297'!$C$4</f>
        <v/>
      </c>
      <c r="D103" s="17">
        <f>'pengestrom_raw_38841297'!$D$4</f>
        <v/>
      </c>
      <c r="E103" s="17">
        <f>'pengestrom_raw_38841297'!$E$4</f>
        <v/>
      </c>
      <c r="F103" s="17">
        <f>'pengestrom_raw_38841297'!$F$4</f>
        <v/>
      </c>
    </row>
    <row r="104">
      <c r="A104" s="16" t="inlineStr">
        <is>
          <t>Årets pengestrøm (rapporteret)</t>
        </is>
      </c>
      <c r="B104" s="17">
        <f>'pengestrom_raw_38841297'!$B$5</f>
        <v/>
      </c>
      <c r="C104" s="17">
        <f>'pengestrom_raw_38841297'!$C$5</f>
        <v/>
      </c>
      <c r="D104" s="17">
        <f>'pengestrom_raw_38841297'!$D$5</f>
        <v/>
      </c>
      <c r="E104" s="17">
        <f>'pengestrom_raw_38841297'!$E$5</f>
        <v/>
      </c>
      <c r="F104" s="17">
        <f>'pengestrom_raw_38841297'!$F$5</f>
        <v/>
      </c>
    </row>
    <row r="105">
      <c r="A105" s="16" t="inlineStr">
        <is>
          <t>Krydstjek: drift + inv. + fin. = årets pengestrøm</t>
        </is>
      </c>
      <c r="B105">
        <f>IF(ABS(('pengestrom_raw_38841297'!$B$2+'pengestrom_raw_38841297'!$B$3+'pengestrom_raw_38841297'!$B$4)-'pengestrom_raw_38841297'!$B$5)&lt;=2,"✓","⚠ "&amp;TEXT(('pengestrom_raw_38841297'!$B$2+'pengestrom_raw_38841297'!$B$3+'pengestrom_raw_38841297'!$B$4)-'pengestrom_raw_38841297'!$B$5,"+#,##0;-#,##0"))</f>
        <v/>
      </c>
      <c r="C105">
        <f>IF(ABS(('pengestrom_raw_38841297'!$C$2+'pengestrom_raw_38841297'!$C$3+'pengestrom_raw_38841297'!$C$4)-'pengestrom_raw_38841297'!$C$5)&lt;=2,"✓","⚠ "&amp;TEXT(('pengestrom_raw_38841297'!$C$2+'pengestrom_raw_38841297'!$C$3+'pengestrom_raw_38841297'!$C$4)-'pengestrom_raw_38841297'!$C$5,"+#,##0;-#,##0"))</f>
        <v/>
      </c>
      <c r="D105">
        <f>IF(ABS(('pengestrom_raw_38841297'!$D$2+'pengestrom_raw_38841297'!$D$3+'pengestrom_raw_38841297'!$D$4)-'pengestrom_raw_38841297'!$D$5)&lt;=2,"✓","⚠ "&amp;TEXT(('pengestrom_raw_38841297'!$D$2+'pengestrom_raw_38841297'!$D$3+'pengestrom_raw_38841297'!$D$4)-'pengestrom_raw_38841297'!$D$5,"+#,##0;-#,##0"))</f>
        <v/>
      </c>
      <c r="E105">
        <f>IF(ABS(('pengestrom_raw_38841297'!$E$2+'pengestrom_raw_38841297'!$E$3+'pengestrom_raw_38841297'!$E$4)-'pengestrom_raw_38841297'!$E$5)&lt;=2,"✓","⚠ "&amp;TEXT(('pengestrom_raw_38841297'!$E$2+'pengestrom_raw_38841297'!$E$3+'pengestrom_raw_38841297'!$E$4)-'pengestrom_raw_38841297'!$E$5,"+#,##0;-#,##0"))</f>
        <v/>
      </c>
      <c r="F105">
        <f>IF(ABS(('pengestrom_raw_38841297'!$F$2+'pengestrom_raw_38841297'!$F$3+'pengestrom_raw_38841297'!$F$4)-'pengestrom_raw_38841297'!$F$5)&lt;=2,"✓","⚠ "&amp;TEXT(('pengestrom_raw_38841297'!$F$2+'pengestrom_raw_38841297'!$F$3+'pengestrom_raw_38841297'!$F$4)-'pengestrom_raw_38841297'!$F$5,"+#,##0;-#,##0"))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Silvan A/S (CVR 38841297) — Resultatopgørelse &amp; nøgleoplysninger (valuta pr. år - se kolonneoverskrifter)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1241751</v>
      </c>
      <c r="C2" s="17" t="n">
        <v>1327494</v>
      </c>
      <c r="D2" s="17" t="n">
        <v>1365446</v>
      </c>
      <c r="E2" s="17" t="n">
        <v>1394619</v>
      </c>
      <c r="F2" s="17" t="n">
        <v>1527139</v>
      </c>
    </row>
    <row r="3">
      <c r="A3" s="16" t="inlineStr">
        <is>
          <t>Andre driftsindtægter</t>
        </is>
      </c>
      <c r="B3" s="17" t="n">
        <v>11965</v>
      </c>
      <c r="C3" s="17" t="n">
        <v>13830</v>
      </c>
      <c r="D3" s="17" t="n">
        <v>15709</v>
      </c>
      <c r="E3" s="17" t="n">
        <v>17433</v>
      </c>
      <c r="F3" s="17" t="n">
        <v>19440</v>
      </c>
    </row>
    <row r="4">
      <c r="A4" s="16" t="inlineStr">
        <is>
          <t>Vareforbrug</t>
        </is>
      </c>
      <c r="B4" s="17" t="n">
        <v>733061</v>
      </c>
      <c r="C4" s="17" t="n">
        <v>783500</v>
      </c>
      <c r="D4" s="17" t="n">
        <v>832963</v>
      </c>
      <c r="E4" s="17" t="n">
        <v>864923</v>
      </c>
      <c r="F4" s="17" t="n">
        <v>967616</v>
      </c>
    </row>
    <row r="5">
      <c r="A5" s="16" t="inlineStr">
        <is>
          <t>Andre eksterne omkostninger</t>
        </is>
      </c>
      <c r="B5" s="17" t="n">
        <v>184335</v>
      </c>
      <c r="C5" s="17" t="n">
        <v>215883</v>
      </c>
      <c r="D5" s="17" t="n">
        <v>232917</v>
      </c>
      <c r="E5" s="17" t="n">
        <v>238503</v>
      </c>
      <c r="F5" s="17" t="n">
        <v>235837</v>
      </c>
    </row>
    <row r="6">
      <c r="A6" s="15" t="inlineStr">
        <is>
          <t>Bruttoresultat</t>
        </is>
      </c>
      <c r="B6" s="17" t="n">
        <v>520655</v>
      </c>
      <c r="C6" s="17" t="n">
        <v>557824</v>
      </c>
      <c r="D6" s="17" t="n">
        <v>548192</v>
      </c>
      <c r="E6" s="17" t="n">
        <v>308626</v>
      </c>
      <c r="F6" s="17" t="n">
        <v>343126</v>
      </c>
    </row>
    <row r="7">
      <c r="A7" s="16" t="inlineStr">
        <is>
          <t>Personaleomkostninger</t>
        </is>
      </c>
      <c r="B7" s="17" t="n">
        <v>239224</v>
      </c>
      <c r="C7" s="17" t="n">
        <v>249467</v>
      </c>
      <c r="D7" s="17" t="n">
        <v>273658</v>
      </c>
      <c r="E7" s="17" t="n">
        <v>262539</v>
      </c>
      <c r="F7" s="17" t="n">
        <v>267701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24546</v>
      </c>
      <c r="C9" s="17" t="n">
        <v>25260</v>
      </c>
      <c r="D9" s="17" t="n">
        <v>32334</v>
      </c>
      <c r="E9" s="17" t="n">
        <v>31278</v>
      </c>
      <c r="F9" s="17" t="n">
        <v>37059</v>
      </c>
    </row>
    <row r="10">
      <c r="A10" s="16" t="inlineStr">
        <is>
          <t>Andre driftsomkostninger</t>
        </is>
      </c>
      <c r="B10" s="17" t="n">
        <v>6</v>
      </c>
      <c r="C10" s="17" t="n">
        <v>-25</v>
      </c>
      <c r="D10" s="17" t="n">
        <v>450</v>
      </c>
      <c r="E10" s="17" t="n">
        <v>0</v>
      </c>
      <c r="F10" s="17" t="n"/>
    </row>
    <row r="11">
      <c r="A11" s="15" t="inlineStr">
        <is>
          <t>Resultat af primær drift</t>
        </is>
      </c>
      <c r="B11" s="17" t="n">
        <v>72544</v>
      </c>
      <c r="C11" s="17" t="n">
        <v>67239</v>
      </c>
      <c r="D11" s="17" t="n">
        <v>8833</v>
      </c>
      <c r="E11" s="17" t="n">
        <v>14809</v>
      </c>
      <c r="F11" s="17" t="n">
        <v>38366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392</v>
      </c>
      <c r="C13" s="17" t="n">
        <v>4617</v>
      </c>
      <c r="D13" s="17" t="n">
        <v>6536</v>
      </c>
      <c r="E13" s="17" t="n">
        <v>7150</v>
      </c>
      <c r="F13" s="17" t="n">
        <v>10327</v>
      </c>
    </row>
    <row r="14">
      <c r="A14" s="16" t="inlineStr">
        <is>
          <t>Finansielle omkostninger</t>
        </is>
      </c>
      <c r="B14" s="17" t="n">
        <v>6347</v>
      </c>
      <c r="C14" s="17" t="n">
        <v>8082</v>
      </c>
      <c r="D14" s="17" t="n">
        <v>13138</v>
      </c>
      <c r="E14" s="17" t="n">
        <v>16722</v>
      </c>
      <c r="F14" s="17" t="n">
        <v>11845</v>
      </c>
    </row>
    <row r="15">
      <c r="A15" s="15" t="inlineStr">
        <is>
          <t>Finansielle poster, netto</t>
        </is>
      </c>
      <c r="B15" s="17" t="n"/>
      <c r="C15" s="17" t="n">
        <v>-23161</v>
      </c>
      <c r="D15" s="17" t="n"/>
      <c r="E15" s="17" t="n"/>
      <c r="F15" s="17" t="n"/>
    </row>
    <row r="16">
      <c r="A16" s="15" t="inlineStr">
        <is>
          <t>Resultat før skat</t>
        </is>
      </c>
      <c r="B16" s="17" t="n">
        <v>66589</v>
      </c>
      <c r="C16" s="17" t="n">
        <v>63774</v>
      </c>
      <c r="D16" s="17" t="n">
        <v>2231</v>
      </c>
      <c r="E16" s="17" t="n">
        <v>5237</v>
      </c>
      <c r="F16" s="17" t="n">
        <v>36848</v>
      </c>
    </row>
    <row r="17">
      <c r="A17" s="16" t="inlineStr">
        <is>
          <t>Skat af årets resultat</t>
        </is>
      </c>
      <c r="B17" s="17" t="n">
        <v>15116</v>
      </c>
      <c r="C17" s="17" t="n">
        <v>14234</v>
      </c>
      <c r="D17" s="17" t="n">
        <v>-1844</v>
      </c>
      <c r="E17" s="17" t="n">
        <v>2179</v>
      </c>
      <c r="F17" s="17" t="n">
        <v>8782</v>
      </c>
    </row>
    <row r="18">
      <c r="A18" s="15" t="inlineStr">
        <is>
          <t>Årets resultat</t>
        </is>
      </c>
      <c r="B18" s="17" t="n">
        <v>51473</v>
      </c>
      <c r="C18" s="17" t="n">
        <v>49540</v>
      </c>
      <c r="D18" s="17" t="n">
        <v>4075</v>
      </c>
      <c r="E18" s="17" t="n">
        <v>3058</v>
      </c>
      <c r="F18" s="17" t="n">
        <v>28066</v>
      </c>
    </row>
    <row r="19">
      <c r="A19" s="16" t="inlineStr">
        <is>
          <t>Gns. antal medarbejdere</t>
        </is>
      </c>
      <c r="B19" s="17" t="n">
        <v>597</v>
      </c>
      <c r="C19" s="17" t="n">
        <v>624</v>
      </c>
      <c r="D19" s="17" t="n">
        <v>639</v>
      </c>
      <c r="E19" s="17" t="n">
        <v>599</v>
      </c>
      <c r="F19" s="17" t="n">
        <v>565</v>
      </c>
    </row>
    <row r="20">
      <c r="A20" s="16" t="inlineStr">
        <is>
          <t>Investering i materielle anlægsaktiver</t>
        </is>
      </c>
      <c r="B20" s="17" t="n">
        <v>36344</v>
      </c>
      <c r="C20" s="17" t="n"/>
      <c r="D20" s="17" t="n"/>
      <c r="E20" s="17" t="n"/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Silvan A/S (CVR 38841297) — Balance (valuta pr. år - se kolonneoverskrifter)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7356</v>
      </c>
      <c r="C4" s="17" t="n">
        <v>6058</v>
      </c>
      <c r="D4" s="17" t="n">
        <v>4760</v>
      </c>
      <c r="E4" s="17" t="n">
        <v>3462</v>
      </c>
      <c r="F4" s="17" t="n">
        <v>2164</v>
      </c>
    </row>
    <row r="5">
      <c r="A5" s="15" t="inlineStr">
        <is>
          <t>Immaterielle anlægsaktiver</t>
        </is>
      </c>
      <c r="B5" s="17" t="n">
        <v>7356</v>
      </c>
      <c r="C5" s="17" t="n"/>
      <c r="D5" s="17" t="n"/>
      <c r="E5" s="17" t="n"/>
      <c r="F5" s="17" t="n">
        <v>2164</v>
      </c>
    </row>
    <row r="6">
      <c r="A6" s="16" t="inlineStr">
        <is>
          <t>Grunde og bygninger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Produktionsanlæg og maskiner</t>
        </is>
      </c>
      <c r="B7" s="17" t="n">
        <v>1789</v>
      </c>
      <c r="C7" s="17" t="n">
        <v>3285</v>
      </c>
      <c r="D7" s="17" t="n">
        <v>3001</v>
      </c>
      <c r="E7" s="17" t="n">
        <v>3024</v>
      </c>
      <c r="F7" s="17" t="n">
        <v>3735</v>
      </c>
    </row>
    <row r="8">
      <c r="A8" s="16" t="inlineStr">
        <is>
          <t>Driftsmateriel og inventar</t>
        </is>
      </c>
      <c r="B8" s="17" t="n">
        <v>47666</v>
      </c>
      <c r="C8" s="17" t="n">
        <v>82198</v>
      </c>
      <c r="D8" s="17" t="n">
        <v>98543</v>
      </c>
      <c r="E8" s="17" t="n">
        <v>139900</v>
      </c>
      <c r="F8" s="17" t="n">
        <v>127254</v>
      </c>
    </row>
    <row r="9">
      <c r="A9" s="16" t="inlineStr">
        <is>
          <t>Indretning af lejede lokaler</t>
        </is>
      </c>
      <c r="B9" s="17" t="n">
        <v>15586</v>
      </c>
      <c r="C9" s="17" t="n">
        <v>16266</v>
      </c>
      <c r="D9" s="17" t="n">
        <v>30717</v>
      </c>
      <c r="E9" s="17" t="n">
        <v>13660</v>
      </c>
      <c r="F9" s="17" t="n">
        <v>12043</v>
      </c>
    </row>
    <row r="10">
      <c r="A10" s="16" t="inlineStr">
        <is>
          <t>Forudbetaling og anlægsaktiver under opførelse</t>
        </is>
      </c>
      <c r="B10" s="17" t="n">
        <v>971</v>
      </c>
      <c r="C10" s="17" t="n">
        <v>186</v>
      </c>
      <c r="D10" s="17" t="n">
        <v>8967</v>
      </c>
      <c r="E10" s="17" t="n">
        <v>4046</v>
      </c>
      <c r="F10" s="17" t="n">
        <v>13363</v>
      </c>
    </row>
    <row r="11">
      <c r="A11" s="15" t="inlineStr">
        <is>
          <t>Materielle anlægsaktiver</t>
        </is>
      </c>
      <c r="B11" s="17" t="n">
        <v>66012</v>
      </c>
      <c r="C11" s="17" t="n">
        <v>101935</v>
      </c>
      <c r="D11" s="17" t="n">
        <v>141228</v>
      </c>
      <c r="E11" s="17" t="n">
        <v>160630</v>
      </c>
      <c r="F11" s="17" t="n">
        <v>156395</v>
      </c>
    </row>
    <row r="12">
      <c r="A12" s="16" t="inlineStr">
        <is>
          <t>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Deposita</t>
        </is>
      </c>
      <c r="B13" s="17" t="n">
        <v>17522</v>
      </c>
      <c r="C13" s="17" t="n">
        <v>17582</v>
      </c>
      <c r="D13" s="17" t="n">
        <v>15976</v>
      </c>
      <c r="E13" s="17" t="n">
        <v>17083</v>
      </c>
      <c r="F13" s="17" t="n">
        <v>14991</v>
      </c>
    </row>
    <row r="14">
      <c r="A14" s="15" t="inlineStr">
        <is>
          <t>Finansielle anlægsaktiver</t>
        </is>
      </c>
      <c r="B14" s="17" t="n"/>
      <c r="C14" s="17" t="n"/>
      <c r="D14" s="17" t="n"/>
      <c r="E14" s="17" t="n"/>
      <c r="F14" s="17" t="n">
        <v>14991</v>
      </c>
    </row>
    <row r="15">
      <c r="A15" s="15" t="inlineStr">
        <is>
          <t>Anlægsaktiver</t>
        </is>
      </c>
      <c r="B15" s="17" t="n">
        <v>90890</v>
      </c>
      <c r="C15" s="17" t="n">
        <v>125575</v>
      </c>
      <c r="D15" s="17" t="n">
        <v>161964</v>
      </c>
      <c r="E15" s="17" t="n">
        <v>181175</v>
      </c>
      <c r="F15" s="17" t="n">
        <v>173550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>
        <v>284091</v>
      </c>
      <c r="C18" s="17" t="n"/>
      <c r="D18" s="17" t="n"/>
      <c r="E18" s="17" t="n"/>
      <c r="F18" s="17" t="n">
        <v>333976</v>
      </c>
    </row>
    <row r="19">
      <c r="A19" s="15" t="inlineStr">
        <is>
          <t>Varebeholdninger</t>
        </is>
      </c>
      <c r="B19" s="17" t="n">
        <v>284091</v>
      </c>
      <c r="C19" s="17" t="n">
        <v>356595</v>
      </c>
      <c r="D19" s="17" t="n">
        <v>315841</v>
      </c>
      <c r="E19" s="17" t="n">
        <v>342973</v>
      </c>
      <c r="F19" s="17" t="n">
        <v>333976</v>
      </c>
    </row>
    <row r="20">
      <c r="A20" s="16" t="inlineStr">
        <is>
          <t>Tilgodehavender fra salg og tjenesteydelser</t>
        </is>
      </c>
      <c r="B20" s="17" t="n">
        <v>5479</v>
      </c>
      <c r="C20" s="17" t="n">
        <v>5610</v>
      </c>
      <c r="D20" s="17" t="n">
        <v>14966</v>
      </c>
      <c r="E20" s="17" t="n">
        <v>16499</v>
      </c>
      <c r="F20" s="17" t="n">
        <v>7310</v>
      </c>
    </row>
    <row r="21">
      <c r="A21" s="16" t="inlineStr">
        <is>
          <t>Tilgodehavender hos tilknyttede virksomheder</t>
        </is>
      </c>
      <c r="B21" s="17" t="n">
        <v>40367</v>
      </c>
      <c r="C21" s="17" t="n">
        <v>129480</v>
      </c>
      <c r="D21" s="17" t="n">
        <v>136125</v>
      </c>
      <c r="E21" s="17" t="n">
        <v>117811</v>
      </c>
      <c r="F21" s="17" t="n">
        <v>127951</v>
      </c>
    </row>
    <row r="22">
      <c r="A22" s="16" t="inlineStr">
        <is>
          <t>Andre tilgodehavender</t>
        </is>
      </c>
      <c r="B22" s="17" t="n">
        <v>5838</v>
      </c>
      <c r="C22" s="17" t="n">
        <v>4648</v>
      </c>
      <c r="D22" s="17" t="n">
        <v>855</v>
      </c>
      <c r="E22" s="17" t="n">
        <v>3149</v>
      </c>
      <c r="F22" s="17" t="n">
        <v>3306</v>
      </c>
    </row>
    <row r="23">
      <c r="A23" s="16" t="inlineStr">
        <is>
          <t>Periodeafgrænsningsposter (aktiver)</t>
        </is>
      </c>
      <c r="B23" s="17" t="n">
        <v>13187</v>
      </c>
      <c r="C23" s="17" t="n"/>
      <c r="D23" s="17" t="n"/>
      <c r="E23" s="17" t="n"/>
      <c r="F23" s="17" t="n"/>
    </row>
    <row r="24">
      <c r="A24" s="16" t="inlineStr">
        <is>
          <t>Udskudt skatteaktiv</t>
        </is>
      </c>
      <c r="B24" s="17" t="n">
        <v>15246</v>
      </c>
      <c r="C24" s="17" t="n">
        <v>0</v>
      </c>
      <c r="D24" s="17" t="n">
        <v>1858</v>
      </c>
      <c r="E24" s="17" t="n">
        <v>0</v>
      </c>
      <c r="F24" s="17" t="n"/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/>
      <c r="C26" s="17" t="n"/>
      <c r="D26" s="17" t="n"/>
      <c r="E26" s="17" t="n"/>
      <c r="F26" s="17" t="n"/>
    </row>
    <row r="27">
      <c r="A27" s="15" t="inlineStr">
        <is>
          <t>Tilgodehavender</t>
        </is>
      </c>
      <c r="B27" s="17" t="n">
        <v>80117</v>
      </c>
      <c r="C27" s="17" t="n">
        <v>154691</v>
      </c>
      <c r="D27" s="17" t="n">
        <v>173180</v>
      </c>
      <c r="E27" s="17" t="n">
        <v>145537</v>
      </c>
      <c r="F27" s="17" t="n">
        <v>154657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51064</v>
      </c>
      <c r="C29" s="17" t="n">
        <v>27903</v>
      </c>
      <c r="D29" s="17" t="n">
        <v>28345</v>
      </c>
      <c r="E29" s="17" t="n">
        <v>26146</v>
      </c>
      <c r="F29" s="17" t="n">
        <v>18027</v>
      </c>
    </row>
    <row r="30">
      <c r="A30" s="15" t="inlineStr">
        <is>
          <t>Omsætningsaktiver</t>
        </is>
      </c>
      <c r="B30" s="17" t="n">
        <v>415272</v>
      </c>
      <c r="C30" s="17" t="n">
        <v>539189</v>
      </c>
      <c r="D30" s="17" t="n">
        <v>517366</v>
      </c>
      <c r="E30" s="17" t="n">
        <v>514656</v>
      </c>
      <c r="F30" s="17" t="n">
        <v>506660</v>
      </c>
    </row>
    <row r="31">
      <c r="A31" s="15" t="inlineStr">
        <is>
          <t>Aktiver</t>
        </is>
      </c>
      <c r="B31" s="17" t="n">
        <v>506162</v>
      </c>
      <c r="C31" s="17" t="n">
        <v>664764</v>
      </c>
      <c r="D31" s="17" t="n">
        <v>679330</v>
      </c>
      <c r="E31" s="17" t="n">
        <v>695831</v>
      </c>
      <c r="F31" s="17" t="n">
        <v>680210</v>
      </c>
    </row>
    <row r="32">
      <c r="A32" s="16" t="inlineStr">
        <is>
          <t>Selskabskapital</t>
        </is>
      </c>
      <c r="B32" s="17" t="n">
        <v>1000</v>
      </c>
      <c r="C32" s="17" t="n">
        <v>1000</v>
      </c>
      <c r="D32" s="17" t="n">
        <v>1000</v>
      </c>
      <c r="E32" s="17" t="n">
        <v>1000</v>
      </c>
      <c r="F32" s="17" t="n">
        <v>1000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73577</v>
      </c>
      <c r="C37" s="17" t="n">
        <v>98617</v>
      </c>
      <c r="D37" s="17" t="n">
        <v>77692</v>
      </c>
      <c r="E37" s="17" t="n">
        <v>80750</v>
      </c>
      <c r="F37" s="17" t="n">
        <v>38816</v>
      </c>
    </row>
    <row r="38">
      <c r="A38" s="15" t="inlineStr">
        <is>
          <t>Egenkapital i alt</t>
        </is>
      </c>
      <c r="B38" s="17" t="n">
        <v>74577</v>
      </c>
      <c r="C38" s="17" t="n">
        <v>124117</v>
      </c>
      <c r="D38" s="17" t="n">
        <v>103692</v>
      </c>
      <c r="E38" s="17" t="n">
        <v>81750</v>
      </c>
      <c r="F38" s="17" t="n">
        <v>109816</v>
      </c>
    </row>
    <row r="39">
      <c r="A39" s="15" t="inlineStr">
        <is>
          <t>Hensatte forpligtelser</t>
        </is>
      </c>
      <c r="B39" s="17" t="n">
        <v>1120</v>
      </c>
      <c r="C39" s="17" t="n">
        <v>1070</v>
      </c>
      <c r="D39" s="17" t="n">
        <v>1656</v>
      </c>
      <c r="E39" s="17" t="n">
        <v>4850</v>
      </c>
      <c r="F39" s="17" t="n">
        <v>4821</v>
      </c>
    </row>
    <row r="40">
      <c r="A40" s="16" t="inlineStr">
        <is>
          <t>Ansvarlig lånekapital (langfristet)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Langfristede lån</t>
        </is>
      </c>
      <c r="B41" s="17" t="n">
        <v>10000</v>
      </c>
      <c r="C41" s="17" t="n">
        <v>115096</v>
      </c>
      <c r="D41" s="17" t="n">
        <v>105000</v>
      </c>
      <c r="E41" s="17" t="n">
        <v>105000</v>
      </c>
      <c r="F41" s="17" t="n">
        <v>45000</v>
      </c>
    </row>
    <row r="42">
      <c r="A42" s="16" t="inlineStr">
        <is>
          <t>Leasingforpligtelser (langfristet)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Anden gæld (langfristet)</t>
        </is>
      </c>
      <c r="B43" s="17" t="n"/>
      <c r="C43" s="17" t="n"/>
      <c r="D43" s="17" t="n"/>
      <c r="E43" s="17" t="n"/>
      <c r="F43" s="17" t="n"/>
    </row>
    <row r="44">
      <c r="A44" s="15" t="inlineStr">
        <is>
          <t>Langfristede gældsforpligtelser</t>
        </is>
      </c>
      <c r="B44" s="17" t="n"/>
      <c r="C44" s="17" t="n"/>
      <c r="D44" s="17" t="n">
        <v>124379</v>
      </c>
      <c r="E44" s="17" t="n">
        <v>125022</v>
      </c>
      <c r="F44" s="17" t="n">
        <v>65815</v>
      </c>
    </row>
    <row r="45">
      <c r="A45" s="16" t="inlineStr">
        <is>
          <t>Ansvarlig lånekapital (kortfristet)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Kortfristet del af langfristede gældsforpligtelser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Kreditinstitutter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Leasingforpligtelser (kortfristet)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Leverandører af varer og tjenesteydelser</t>
        </is>
      </c>
      <c r="B49" s="17" t="n">
        <v>291617</v>
      </c>
      <c r="C49" s="17" t="n">
        <v>318330</v>
      </c>
      <c r="D49" s="17" t="n">
        <v>339898</v>
      </c>
      <c r="E49" s="17" t="n">
        <v>404135</v>
      </c>
      <c r="F49" s="17" t="n">
        <v>411206</v>
      </c>
    </row>
    <row r="50">
      <c r="A50" s="16" t="inlineStr">
        <is>
          <t>Gæld til tilknyttede virksomheder</t>
        </is>
      </c>
      <c r="B50" s="17" t="n">
        <v>65</v>
      </c>
      <c r="C50" s="17" t="n">
        <v>0</v>
      </c>
      <c r="D50" s="17" t="n"/>
      <c r="E50" s="17" t="n"/>
      <c r="F50" s="17" t="n">
        <v>575</v>
      </c>
    </row>
    <row r="51">
      <c r="A51" s="16" t="inlineStr">
        <is>
          <t>Gæld til selskabsdeltagere og ledelse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Selskabsskat</t>
        </is>
      </c>
      <c r="B52" s="17" t="n"/>
      <c r="C52" s="17" t="n">
        <v>762</v>
      </c>
      <c r="D52" s="17" t="n">
        <v>0</v>
      </c>
      <c r="E52" s="17" t="n"/>
      <c r="F52" s="17" t="n"/>
    </row>
    <row r="53">
      <c r="A53" s="16" t="inlineStr">
        <is>
          <t>Gæld til tilknyttede virksomheder vedr. selskabsskat</t>
        </is>
      </c>
      <c r="B53" s="17" t="n"/>
      <c r="C53" s="17" t="n"/>
      <c r="D53" s="17" t="n"/>
      <c r="E53" s="17" t="n"/>
      <c r="F53" s="17" t="n"/>
    </row>
    <row r="54">
      <c r="A54" s="16" t="inlineStr">
        <is>
          <t>Anden gæld (kortfristet)</t>
        </is>
      </c>
      <c r="B54" s="17" t="n">
        <v>121062</v>
      </c>
      <c r="C54" s="17" t="n">
        <v>97446</v>
      </c>
      <c r="D54" s="17" t="n">
        <v>104504</v>
      </c>
      <c r="E54" s="17" t="n">
        <v>74748</v>
      </c>
      <c r="F54" s="17" t="n">
        <v>83197</v>
      </c>
    </row>
    <row r="55">
      <c r="A55" s="16" t="inlineStr">
        <is>
          <t>Periodeafgrænsningsposter (passiver)</t>
        </is>
      </c>
      <c r="B55" s="17" t="n">
        <v>7721</v>
      </c>
      <c r="C55" s="17" t="n">
        <v>7943</v>
      </c>
      <c r="D55" s="17" t="n">
        <v>5201</v>
      </c>
      <c r="E55" s="17" t="n">
        <v>5326</v>
      </c>
      <c r="F55" s="17" t="n">
        <v>4780</v>
      </c>
    </row>
    <row r="56">
      <c r="A56" s="15" t="inlineStr">
        <is>
          <t>Kortfristede gældsforpligtelser</t>
        </is>
      </c>
      <c r="B56" s="17" t="n">
        <v>420465</v>
      </c>
      <c r="C56" s="17" t="n">
        <v>424481</v>
      </c>
      <c r="D56" s="17" t="n">
        <v>449603</v>
      </c>
      <c r="E56" s="17" t="n">
        <v>484209</v>
      </c>
      <c r="F56" s="17" t="n">
        <v>499758</v>
      </c>
    </row>
    <row r="57">
      <c r="A57" s="15" t="inlineStr">
        <is>
          <t>Gældsforpligtelser</t>
        </is>
      </c>
      <c r="B57" s="17" t="n">
        <v>430465</v>
      </c>
      <c r="C57" s="17" t="n">
        <v>539577</v>
      </c>
      <c r="D57" s="17" t="n">
        <v>573982</v>
      </c>
      <c r="E57" s="17" t="n">
        <v>609231</v>
      </c>
      <c r="F57" s="17" t="n">
        <v>565573</v>
      </c>
    </row>
    <row r="58">
      <c r="A58" s="15" t="inlineStr">
        <is>
          <t>Passiver</t>
        </is>
      </c>
      <c r="B58" s="17" t="n">
        <v>506162</v>
      </c>
      <c r="C58" s="17" t="n">
        <v>664764</v>
      </c>
      <c r="D58" s="17" t="n">
        <v>679330</v>
      </c>
      <c r="E58" s="17" t="n">
        <v>695831</v>
      </c>
      <c r="F58" s="17" t="n">
        <v>680210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Silvan A/S (CVR 38841297) — Pengestrømsopgørelse (valuta pr. år - se kolonneoverskrifter)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100529</v>
      </c>
      <c r="C2" s="17" t="n">
        <v>16649</v>
      </c>
      <c r="D2" s="17" t="n">
        <v>104139</v>
      </c>
      <c r="E2" s="17" t="n">
        <v>48289</v>
      </c>
      <c r="F2" s="17" t="n">
        <v>81172</v>
      </c>
    </row>
    <row r="3">
      <c r="A3" s="16" t="inlineStr">
        <is>
          <t>Pengestrømme fra investeringsaktivitet</t>
        </is>
      </c>
      <c r="B3" s="17" t="n">
        <v>-36042</v>
      </c>
      <c r="C3" s="17" t="n">
        <v>-60264</v>
      </c>
      <c r="D3" s="17" t="n">
        <v>-68727</v>
      </c>
      <c r="E3" s="17" t="n">
        <v>-50488</v>
      </c>
      <c r="F3" s="17" t="n">
        <v>-29291</v>
      </c>
    </row>
    <row r="4">
      <c r="A4" s="16" t="inlineStr">
        <is>
          <t>Pengestrømme fra finansieringsaktivitet</t>
        </is>
      </c>
      <c r="B4" s="17" t="n">
        <v>-170000</v>
      </c>
      <c r="C4" s="17" t="n">
        <v>20454</v>
      </c>
      <c r="D4" s="17" t="n">
        <v>-34970</v>
      </c>
      <c r="E4" s="17" t="n">
        <v>0</v>
      </c>
      <c r="F4" s="17" t="n">
        <v>-60000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Silvan A/S (CVR 38841297) — Regnskabs- og nøgletal (CVR: 38841297)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'res_raw_38841297'!$F$2</f>
        <v/>
      </c>
      <c r="C5" s="24">
        <f>'res_raw_38841297'!$E$2</f>
        <v/>
      </c>
      <c r="D5" s="24">
        <f>'res_raw_38841297'!$D$2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'res_raw_38841297'!$F$3</f>
        <v/>
      </c>
      <c r="C6" s="24">
        <f>'res_raw_38841297'!$E$3</f>
        <v/>
      </c>
      <c r="D6" s="24">
        <f>'res_raw_38841297'!$D$3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-'res_raw_38841297'!$F$4</f>
        <v/>
      </c>
      <c r="C7" s="24">
        <f>-'res_raw_38841297'!$E$4</f>
        <v/>
      </c>
      <c r="D7" s="24">
        <f>-'res_raw_38841297'!$D$4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-'res_raw_38841297'!$F$5</f>
        <v/>
      </c>
      <c r="C8" s="24">
        <f>-'res_raw_38841297'!$E$5</f>
        <v/>
      </c>
      <c r="D8" s="24">
        <f>-'res_raw_38841297'!$D$5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-'res_raw_38841297'!$F$7</f>
        <v/>
      </c>
      <c r="C10" s="24">
        <f>-'res_raw_38841297'!$E$7</f>
        <v/>
      </c>
      <c r="D10" s="24">
        <f>-'res_raw_38841297'!$D$7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-'res_raw_38841297'!$F$9</f>
        <v/>
      </c>
      <c r="C11" s="24">
        <f>-'res_raw_38841297'!$E$9</f>
        <v/>
      </c>
      <c r="D11" s="24">
        <f>-'res_raw_38841297'!$D$9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-'res_raw_38841297'!$F$10</f>
        <v/>
      </c>
      <c r="C12" s="24">
        <f>-'res_raw_38841297'!$E$10</f>
        <v/>
      </c>
      <c r="D12" s="24">
        <f>-'res_raw_38841297'!$D$10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N('res_raw_38841297'!$F$12)+N('res_raw_38841297'!$F$13)</f>
        <v/>
      </c>
      <c r="C14" s="24">
        <f>N('res_raw_38841297'!$E$12)+N('res_raw_38841297'!$E$13)</f>
        <v/>
      </c>
      <c r="D14" s="24">
        <f>N('res_raw_38841297'!$D$12)+N('res_raw_38841297'!$D$13)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-'res_raw_38841297'!$F$14</f>
        <v/>
      </c>
      <c r="C15" s="24">
        <f>-'res_raw_38841297'!$E$14</f>
        <v/>
      </c>
      <c r="D15" s="24">
        <f>-'res_raw_38841297'!$D$14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'balance_raw_38841297'!$F$15</f>
        <v/>
      </c>
      <c r="C19" s="24">
        <f>'balance_raw_38841297'!$E$15</f>
        <v/>
      </c>
      <c r="D19" s="24">
        <f>'balance_raw_38841297'!$D$15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'balance_raw_38841297'!$F$30</f>
        <v/>
      </c>
      <c r="C20" s="24">
        <f>'balance_raw_38841297'!$E$30</f>
        <v/>
      </c>
      <c r="D20" s="24">
        <f>'balance_raw_38841297'!$D$30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'balance_raw_38841297'!$F$38</f>
        <v/>
      </c>
      <c r="C23" s="24">
        <f>'balance_raw_38841297'!$E$38</f>
        <v/>
      </c>
      <c r="D23" s="24">
        <f>'balance_raw_38841297'!$D$38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'balance_raw_38841297'!$F$58-'balance_raw_38841297'!$F$38</f>
        <v/>
      </c>
      <c r="C24" s="24">
        <f>'balance_raw_38841297'!$E$58-'balance_raw_38841297'!$E$38</f>
        <v/>
      </c>
      <c r="D24" s="24">
        <f>'balance_raw_38841297'!$D$58-'balance_raw_38841297'!$D$38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'balance_raw_38841297'!$F$19</f>
        <v/>
      </c>
      <c r="C28" s="24">
        <f>'balance_raw_38841297'!$E$19</f>
        <v/>
      </c>
      <c r="D28" s="24">
        <f>'balance_raw_38841297'!$D$19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'balance_raw_38841297'!$F$20</f>
        <v/>
      </c>
      <c r="C29" s="24">
        <f>'balance_raw_38841297'!$E$20</f>
        <v/>
      </c>
      <c r="D29" s="24">
        <f>'balance_raw_38841297'!$D$20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'balance_raw_38841297'!$F$56</f>
        <v/>
      </c>
      <c r="C30" s="24">
        <f>'balance_raw_38841297'!$E$56</f>
        <v/>
      </c>
      <c r="D30" s="24">
        <f>'balance_raw_38841297'!$D$56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IF('balance_raw_38841297'!$F$31="","—",IF(ABS(B21-'balance_raw_38841297'!$F$31)&lt;=1,"✓ OK","❌ "&amp;TEXT(B21-'balance_raw_38841297'!$F$31,"+#,##0;-#,##0")&amp;" valuta pr. år - se kolonneoverskrifter"))</f>
        <v/>
      </c>
      <c r="C61" s="29">
        <f>IF('balance_raw_38841297'!$E$31="","—",IF(ABS(C21-'balance_raw_38841297'!$E$31)&lt;=1,"✓ OK","❌ "&amp;TEXT(C21-'balance_raw_38841297'!$E$31,"+#,##0;-#,##0")&amp;" valuta pr. år - se kolonneoverskrifter"))</f>
        <v/>
      </c>
      <c r="D61" s="29">
        <f>IF('balance_raw_38841297'!$D$31="","—",IF(ABS(D21-'balance_raw_38841297'!$D$31)&lt;=1,"✓ OK","❌ "&amp;TEXT(D21-'balance_raw_38841297'!$D$31,"+#,##0;-#,##0")&amp;" valuta pr. år - se kolonneoverskrifter"))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IF('balance_raw_38841297'!$F$58="","—",IF(ABS(B25-'balance_raw_38841297'!$F$58)&lt;=1,"✓ OK","❌ "&amp;TEXT(B25-'balance_raw_38841297'!$F$58,"+#,##0;-#,##0")&amp;" valuta pr. år - se kolonneoverskrifter"))</f>
        <v/>
      </c>
      <c r="C62" s="29">
        <f>IF('balance_raw_38841297'!$E$58="","—",IF(ABS(C25-'balance_raw_38841297'!$E$58)&lt;=1,"✓ OK","❌ "&amp;TEXT(C25-'balance_raw_38841297'!$E$58,"+#,##0;-#,##0")&amp;" valuta pr. år - se kolonneoverskrifter"))</f>
        <v/>
      </c>
      <c r="D62" s="29">
        <f>IF('balance_raw_38841297'!$D$58="","—",IF(ABS(D25-'balance_raw_38841297'!$D$58)&lt;=1,"✓ OK","❌ "&amp;TEXT(D25-'balance_raw_38841297'!$D$58,"+#,##0;-#,##0")&amp;" valuta pr. år - se kolonneoverskrifter"))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valuta pr. år - se kolonneoverskrifter")</f>
        <v/>
      </c>
      <c r="C63" s="29">
        <f>IF(ABS(C21-C25)&lt;=1,"✓ OK","❌ "&amp;TEXT(C21-C25,"+#,##0;-#,##0")&amp;" valuta pr. år - se kolonneoverskrifter")</f>
        <v/>
      </c>
      <c r="D63" s="29">
        <f>IF(ABS(D21-D25)&lt;=1,"✓ OK","❌ "&amp;TEXT(D21-D25,"+#,##0;-#,##0")&amp;" valuta pr. år - se kolonneoverskrifter")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IF('res_raw_38841297'!$F$6="","—",IF(ABS(B9-'res_raw_38841297'!$F$6)&lt;=1,"✓ OK","❌ "&amp;TEXT(B9-'res_raw_38841297'!$F$6,"+#,##0;-#,##0")&amp;" valuta pr. år - se kolonneoverskrifter"))</f>
        <v/>
      </c>
      <c r="C64" s="29">
        <f>IF('res_raw_38841297'!$E$6="","—",IF(ABS(C9-'res_raw_38841297'!$E$6)&lt;=1,"✓ OK","❌ "&amp;TEXT(C9-'res_raw_38841297'!$E$6,"+#,##0;-#,##0")&amp;" valuta pr. år - se kolonneoverskrifter"))</f>
        <v/>
      </c>
      <c r="D64" s="29">
        <f>IF('res_raw_38841297'!$D$6="","—",IF(ABS(D9-'res_raw_38841297'!$D$6)&lt;=1,"✓ OK","❌ "&amp;TEXT(D9-'res_raw_38841297'!$D$6,"+#,##0;-#,##0")&amp;" valuta pr. år - se kolonneoverskrifter"))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IF('res_raw_38841297'!$F$11="","—",IF(ABS(B13-'res_raw_38841297'!$F$11)&lt;=1,"✓ OK","❌ "&amp;TEXT(B13-'res_raw_38841297'!$F$11,"+#,##0;-#,##0")&amp;" valuta pr. år - se kolonneoverskrifter"))</f>
        <v/>
      </c>
      <c r="C65" s="29">
        <f>IF('res_raw_38841297'!$E$11="","—",IF(ABS(C13-'res_raw_38841297'!$E$11)&lt;=1,"✓ OK","❌ "&amp;TEXT(C13-'res_raw_38841297'!$E$11,"+#,##0;-#,##0")&amp;" valuta pr. år - se kolonneoverskrifter"))</f>
        <v/>
      </c>
      <c r="D65" s="29">
        <f>IF('res_raw_38841297'!$D$11="","—",IF(ABS(D13-'res_raw_38841297'!$D$11)&lt;=1,"✓ OK","❌ "&amp;TEXT(D13-'res_raw_38841297'!$D$11,"+#,##0;-#,##0")&amp;" valuta pr. år - se kolonneoverskrifter"))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IF('res_raw_38841297'!$F$16="","—",IF(ABS(B16-'res_raw_38841297'!$F$16)&lt;=1,"✓ OK","❌ "&amp;TEXT(B16-'res_raw_38841297'!$F$16,"+#,##0;-#,##0")&amp;" valuta pr. år - se kolonneoverskrifter"))</f>
        <v/>
      </c>
      <c r="C66" s="29">
        <f>IF('res_raw_38841297'!$E$16="","—",IF(ABS(C16-'res_raw_38841297'!$E$16)&lt;=1,"✓ OK","❌ "&amp;TEXT(C16-'res_raw_38841297'!$E$16,"+#,##0;-#,##0")&amp;" valuta pr. år - se kolonneoverskrifter"))</f>
        <v/>
      </c>
      <c r="D66" s="29">
        <f>IF('res_raw_38841297'!$D$16="","—",IF(ABS(D16-'res_raw_38841297'!$D$16)&lt;=1,"✓ OK","❌ "&amp;TEXT(D16-'res_raw_38841297'!$D$16,"+#,##0;-#,##0")&amp;" valuta pr. år - se kolonneoverskrifter"))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2026-09-11T07:37:57Z</dcterms:created>
  <dcterms:modified xmlns:dcterms="http://purl.org/dc/terms/" xmlns:xsi="http://www.w3.org/2001/XMLSchema-instance" xsi:type="dcterms:W3CDTF">2026-09-11T07:37:58Z</dcterms:modified>
</cp:coreProperties>
</file>