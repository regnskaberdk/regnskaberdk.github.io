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'balance_raw'!$B$2</f>
        <v/>
      </c>
      <c r="C21" s="8">
        <f>'balance_raw'!$C$2</f>
        <v/>
      </c>
      <c r="D21" s="8">
        <f>'balance_raw'!$D$2</f>
        <v/>
      </c>
      <c r="E21" s="8">
        <f>'balance_raw'!$E$2</f>
        <v/>
      </c>
      <c r="F21" s="8">
        <f>'balance_raw'!$F$2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7" t="inlineStr">
        <is>
          <t>Materielle anlægsaktiver</t>
        </is>
      </c>
      <c r="B22" s="8">
        <f>'balance_raw'!$B$3</f>
        <v/>
      </c>
      <c r="C22" s="8">
        <f>'balance_raw'!$C$3</f>
        <v/>
      </c>
      <c r="D22" s="8">
        <f>'balance_raw'!$D$3</f>
        <v/>
      </c>
      <c r="E22" s="8">
        <f>'balance_raw'!$E$3</f>
        <v/>
      </c>
      <c r="F22" s="8">
        <f>'balance_raw'!$F$3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Kapitalandele, dattervirksomheder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Deposita</t>
        </is>
      </c>
      <c r="B24" s="5">
        <f>'balance_raw'!$B$5</f>
        <v/>
      </c>
      <c r="C24" s="5">
        <f>'balance_raw'!$C$5</f>
        <v/>
      </c>
      <c r="D24" s="5">
        <f>'balance_raw'!$D$5</f>
        <v/>
      </c>
      <c r="E24" s="5">
        <f>'balance_raw'!$E$5</f>
        <v/>
      </c>
      <c r="F24" s="5">
        <f>'balance_raw'!$F$5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Finansielle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Anlægsaktiver</t>
        </is>
      </c>
      <c r="B26" s="8">
        <f>'balance_raw'!$B$7</f>
        <v/>
      </c>
      <c r="C26" s="8">
        <f>'balance_raw'!$C$7</f>
        <v/>
      </c>
      <c r="D26" s="8">
        <f>'balance_raw'!$D$7</f>
        <v/>
      </c>
      <c r="E26" s="8">
        <f>'balance_raw'!$E$7</f>
        <v/>
      </c>
      <c r="F26" s="8">
        <f>'balance_raw'!$F$7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Varebeholdninger</t>
        </is>
      </c>
      <c r="B27" s="8">
        <f>'balance_raw'!$B$8</f>
        <v/>
      </c>
      <c r="C27" s="8">
        <f>'balance_raw'!$C$8</f>
        <v/>
      </c>
      <c r="D27" s="8">
        <f>'balance_raw'!$D$8</f>
        <v/>
      </c>
      <c r="E27" s="8">
        <f>'balance_raw'!$E$8</f>
        <v/>
      </c>
      <c r="F27" s="8">
        <f>'balance_raw'!$F$8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Tilgodehavender hos tilknyttede virksomheder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'balance_raw'!$B$11</f>
        <v/>
      </c>
      <c r="C30" s="5">
        <f>'balance_raw'!$C$11</f>
        <v/>
      </c>
      <c r="D30" s="5">
        <f>'balance_raw'!$D$11</f>
        <v/>
      </c>
      <c r="E30" s="5">
        <f>'balance_raw'!$E$11</f>
        <v/>
      </c>
      <c r="F30" s="5">
        <f>'balance_raw'!$F$11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Periodeafgrænsningsposter (aktiver)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 skat hos tilknyttede virksomheder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</t>
        </is>
      </c>
      <c r="B35" s="8">
        <f>'balance_raw'!$B$16</f>
        <v/>
      </c>
      <c r="C35" s="8">
        <f>'balance_raw'!$C$16</f>
        <v/>
      </c>
      <c r="D35" s="8">
        <f>'balance_raw'!$D$16</f>
        <v/>
      </c>
      <c r="E35" s="8">
        <f>'balance_raw'!$E$16</f>
        <v/>
      </c>
      <c r="F35" s="8">
        <f>'balance_raw'!$F$16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Værdipapirer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Likvide beholdninger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Omsætningsaktiver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Aktiver</t>
        </is>
      </c>
      <c r="B39" s="8">
        <f>'balance_raw'!$B$20</f>
        <v/>
      </c>
      <c r="C39" s="8">
        <f>'balance_raw'!$C$20</f>
        <v/>
      </c>
      <c r="D39" s="8">
        <f>'balance_raw'!$D$20</f>
        <v/>
      </c>
      <c r="E39" s="8">
        <f>'balance_raw'!$E$20</f>
        <v/>
      </c>
      <c r="F39" s="8">
        <f>'balance_raw'!$F$20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1" ht="22" customHeight="1">
      <c r="A41" s="3" t="inlineStr">
        <is>
          <t>PASSIVER t.kr.</t>
        </is>
      </c>
      <c r="B41" s="3" t="n">
        <v>2021</v>
      </c>
      <c r="C41" s="3" t="n">
        <v>2022</v>
      </c>
      <c r="D41" s="3" t="n">
        <v>2023</v>
      </c>
      <c r="E41" s="3" t="n">
        <v>2024</v>
      </c>
      <c r="F41" s="3" t="n">
        <v>2025</v>
      </c>
      <c r="G41" t="inlineStr"/>
      <c r="H41" s="3" t="n">
        <v>2021</v>
      </c>
      <c r="I41" s="3" t="n">
        <v>2022</v>
      </c>
      <c r="J41" s="3" t="n">
        <v>2023</v>
      </c>
      <c r="K41" s="3" t="n">
        <v>2024</v>
      </c>
      <c r="L41" s="3" t="n">
        <v>2025</v>
      </c>
    </row>
    <row r="42" ht="16" customHeight="1">
      <c r="A42" s="4" t="inlineStr">
        <is>
          <t>Selskabskapital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Reserve for nettoopskrivning (indre værdis metode)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sikringstransaktioner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Andre reserver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Overført resultat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7" t="inlineStr">
        <is>
          <t>Egenkapital i alt</t>
        </is>
      </c>
      <c r="B48" s="8">
        <f>'balance_raw'!$B$27</f>
        <v/>
      </c>
      <c r="C48" s="8">
        <f>'balance_raw'!$C$27</f>
        <v/>
      </c>
      <c r="D48" s="8">
        <f>'balance_raw'!$D$27</f>
        <v/>
      </c>
      <c r="E48" s="8">
        <f>'balance_raw'!$E$27</f>
        <v/>
      </c>
      <c r="F48" s="8">
        <f>'balance_raw'!$F$27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49" ht="16" customHeight="1">
      <c r="A49" s="10" t="inlineStr">
        <is>
          <t>Hensættelse til udskudt skat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Hensatte forpligtelser</t>
        </is>
      </c>
      <c r="B50" s="8">
        <f>'balance_raw'!$B$29</f>
        <v/>
      </c>
      <c r="C50" s="8">
        <f>'balance_raw'!$C$29</f>
        <v/>
      </c>
      <c r="D50" s="8">
        <f>'balance_raw'!$D$29</f>
        <v/>
      </c>
      <c r="E50" s="8">
        <f>'balance_raw'!$E$29</f>
        <v/>
      </c>
      <c r="F50" s="8">
        <f>'balance_raw'!$F$29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Ansvarlig lånekapital (langfristet)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Langfristede lån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Leasingforpligtelser (langfristet)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'balance_raw'!$B$46</f>
        <v/>
      </c>
      <c r="C67" s="8">
        <f>'balance_raw'!$C$46</f>
        <v/>
      </c>
      <c r="D67" s="8">
        <f>'balance_raw'!$D$46</f>
        <v/>
      </c>
      <c r="E67" s="8">
        <f>'balance_raw'!$E$46</f>
        <v/>
      </c>
      <c r="F67" s="8">
        <f>'balance_raw'!$F$46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'balance_raw'!$B$47</f>
        <v/>
      </c>
      <c r="C68" s="8">
        <f>'balance_raw'!$C$47</f>
        <v/>
      </c>
      <c r="D68" s="8">
        <f>'balance_raw'!$D$47</f>
        <v/>
      </c>
      <c r="E68" s="8">
        <f>'balance_raw'!$E$47</f>
        <v/>
      </c>
      <c r="F68" s="8">
        <f>'balance_raw'!$F$47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'balance_raw'!$B$48</f>
        <v/>
      </c>
      <c r="C69" s="8">
        <f>'balance_raw'!$C$48</f>
        <v/>
      </c>
      <c r="D69" s="8">
        <f>'balance_raw'!$D$48</f>
        <v/>
      </c>
      <c r="E69" s="8">
        <f>'balance_raw'!$E$48</f>
        <v/>
      </c>
      <c r="F69" s="8">
        <f>'balance_raw'!$F$48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'res_raw'!$B$17</f>
        <v/>
      </c>
      <c r="C72" s="5">
        <f>'res_raw'!$C$17</f>
        <v/>
      </c>
      <c r="D72" s="5">
        <f>'res_raw'!$D$17</f>
        <v/>
      </c>
      <c r="E72" s="5">
        <f>'res_raw'!$E$17</f>
        <v/>
      </c>
      <c r="F72" s="5">
        <f>'res_raw'!$F$17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IFERROR(($B$11+$B$13+$B$12)/$B$39*100,"")</f>
        <v/>
      </c>
      <c r="C76" s="13">
        <f>IFERROR(($C$11+$C$13+$C$12)/$C$39*100,"")</f>
        <v/>
      </c>
      <c r="D76" s="13">
        <f>IFERROR(($D$11+$D$13+$D$12)/$D$39*100,"")</f>
        <v/>
      </c>
      <c r="E76" s="13">
        <f>IFERROR(($E$11+$E$13+$E$12)/$E$39*100,"")</f>
        <v/>
      </c>
      <c r="F76" s="13">
        <f>IFERROR(($F$11+$F$13+$F$12)/$F$39*100,"")</f>
        <v/>
      </c>
    </row>
    <row r="77" ht="16" customHeight="1">
      <c r="A77" s="10" t="inlineStr">
        <is>
          <t>Overskudsgrad, %</t>
        </is>
      </c>
      <c r="B77" s="14">
        <f>IFERROR(($B$11+$B$13+$B$12)/$B$4*100,"")</f>
        <v/>
      </c>
      <c r="C77" s="14">
        <f>IFERROR(($C$11+$C$13+$C$12)/$C$4*100,"")</f>
        <v/>
      </c>
      <c r="D77" s="14">
        <f>IFERROR(($D$11+$D$13+$D$12)/$D$4*100,"")</f>
        <v/>
      </c>
      <c r="E77" s="14">
        <f>IFERROR(($E$11+$E$13+$E$12)/$E$4*100,"")</f>
        <v/>
      </c>
      <c r="F77" s="14">
        <f>IFERROR(($F$11+$F$13+$F$12)/$F$4*100,"")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IFERROR($B$4/$B$39,"")</f>
        <v/>
      </c>
      <c r="C78" s="13">
        <f>IFERROR($C$4/$C$39,"")</f>
        <v/>
      </c>
      <c r="D78" s="13">
        <f>IFERROR($D$4/$D$39,"")</f>
        <v/>
      </c>
      <c r="E78" s="13">
        <f>IFERROR($E$4/$E$39,"")</f>
        <v/>
      </c>
      <c r="F78" s="13">
        <f>IFERROR($F$4/$F$39,"")</f>
        <v/>
      </c>
    </row>
    <row r="79" ht="16" customHeight="1">
      <c r="A79" s="10" t="inlineStr">
        <is>
          <t>Egenkapitalens forrentning, %</t>
        </is>
      </c>
      <c r="B79" s="14">
        <f>IFERROR($B$16/$B$48*100,"")</f>
        <v/>
      </c>
      <c r="C79" s="14">
        <f>IFERROR($C$16/$C$48*100,"")</f>
        <v/>
      </c>
      <c r="D79" s="14">
        <f>IFERROR($D$16/$D$48*100,"")</f>
        <v/>
      </c>
      <c r="E79" s="14">
        <f>IFERROR($E$16/$E$48*100,"")</f>
        <v/>
      </c>
      <c r="F79" s="14">
        <f>IFERROR($F$16/$F$48*100,"")</f>
        <v/>
      </c>
    </row>
    <row r="80" ht="16" customHeight="1">
      <c r="A80" s="4" t="inlineStr">
        <is>
          <t>Gældsrente, %</t>
        </is>
      </c>
      <c r="B80" s="13">
        <f>IFERROR($B$14/($B$69-$B$48)*100,"")</f>
        <v/>
      </c>
      <c r="C80" s="13">
        <f>IFERROR($C$14/($C$69-$C$48)*100,"")</f>
        <v/>
      </c>
      <c r="D80" s="13">
        <f>IFERROR($D$14/($D$69-$D$48)*100,"")</f>
        <v/>
      </c>
      <c r="E80" s="13">
        <f>IFERROR($E$14/($E$69-$E$48)*100,"")</f>
        <v/>
      </c>
      <c r="F80" s="13">
        <f>IFERROR($F$14/($F$69-$F$48)*100,"")</f>
        <v/>
      </c>
    </row>
    <row r="81" ht="16" customHeight="1">
      <c r="A81" s="10" t="inlineStr">
        <is>
          <t>Soliditetsgrad, %</t>
        </is>
      </c>
      <c r="B81" s="14">
        <f>IFERROR($B$48/$B$39*100,"")</f>
        <v/>
      </c>
      <c r="C81" s="14">
        <f>IFERROR($C$48/$C$39*100,"")</f>
        <v/>
      </c>
      <c r="D81" s="14">
        <f>IFERROR($D$48/$D$39*100,"")</f>
        <v/>
      </c>
      <c r="E81" s="14">
        <f>IFERROR($E$48/$E$39*100,"")</f>
        <v/>
      </c>
      <c r="F81" s="14">
        <f>IFERROR($F$48/$F$39*100,"")</f>
        <v/>
      </c>
    </row>
    <row r="82" ht="16" customHeight="1">
      <c r="A82" s="4" t="inlineStr">
        <is>
          <t>Gearing</t>
        </is>
      </c>
      <c r="B82" s="13">
        <f>IFERROR(($B$69-$B$48)/$B$48,"")</f>
        <v/>
      </c>
      <c r="C82" s="13">
        <f>IFERROR(($C$69-$C$48)/$C$48,"")</f>
        <v/>
      </c>
      <c r="D82" s="13">
        <f>IFERROR(($D$69-$D$48)/$D$48,"")</f>
        <v/>
      </c>
      <c r="E82" s="13">
        <f>IFERROR(($E$69-$E$48)/$E$48,"")</f>
        <v/>
      </c>
      <c r="F82" s="13">
        <f>IFERROR(($F$69-$F$48)/$F$48,"")</f>
        <v/>
      </c>
    </row>
    <row r="83" ht="16" customHeight="1">
      <c r="A83" s="10" t="inlineStr">
        <is>
          <t>Likviditetsgrad, %</t>
        </is>
      </c>
      <c r="B83" s="14">
        <f>IFERROR($B$38/$B$67*100,"")</f>
        <v/>
      </c>
      <c r="C83" s="14">
        <f>IFERROR($C$38/$C$67*100,"")</f>
        <v/>
      </c>
      <c r="D83" s="14">
        <f>IFERROR($D$38/$D$67*100,"")</f>
        <v/>
      </c>
      <c r="E83" s="14">
        <f>IFERROR($E$38/$E$67*100,"")</f>
        <v/>
      </c>
      <c r="F83" s="14">
        <f>IFERROR($F$38/$F$67*100,"")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IFERROR(($B$69-$B$48)/$B$39*100,"")</f>
        <v/>
      </c>
      <c r="C85" s="14">
        <f>IFERROR(($C$69-$C$48)/$C$39*100,"")</f>
        <v/>
      </c>
      <c r="D85" s="14">
        <f>IFERROR(($D$69-$D$48)/$D$39*100,"")</f>
        <v/>
      </c>
      <c r="E85" s="14">
        <f>IFERROR(($E$69-$E$48)/$E$39*100,"")</f>
        <v/>
      </c>
      <c r="F85" s="14">
        <f>IFERROR(($F$69-$F$48)/$F$39*100,"")</f>
        <v/>
      </c>
    </row>
    <row r="86" ht="16" customHeight="1">
      <c r="A86" s="4" t="inlineStr">
        <is>
          <t>Kapitalbindingsgrad, %</t>
        </is>
      </c>
      <c r="B86" s="13">
        <f>IFERROR($B$26/($B$48+$B$55)*100,"")</f>
        <v/>
      </c>
      <c r="C86" s="13">
        <f>IFERROR($C$26/($C$48+$C$55)*100,"")</f>
        <v/>
      </c>
      <c r="D86" s="13">
        <f>IFERROR($D$26/($D$48+$D$55)*100,"")</f>
        <v/>
      </c>
      <c r="E86" s="13">
        <f>IFERROR($E$26/($E$48+$E$55)*100,"")</f>
        <v/>
      </c>
      <c r="F86" s="13">
        <f>IFERROR($F$26/($F$48+$F$55)*100,"")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12354000</v>
      </c>
      <c r="C2" s="16" t="n">
        <v>13863000</v>
      </c>
      <c r="D2" s="16" t="n">
        <v>13031000</v>
      </c>
      <c r="E2" s="16" t="n">
        <v>12223000</v>
      </c>
      <c r="F2" s="16" t="n">
        <v>12171000</v>
      </c>
    </row>
    <row r="3">
      <c r="A3" s="15" t="inlineStr">
        <is>
          <t>Produktionsomkostninger</t>
        </is>
      </c>
      <c r="B3" s="16" t="n">
        <v>9581000</v>
      </c>
      <c r="C3" s="16" t="n">
        <v>10618000</v>
      </c>
      <c r="D3" s="16" t="n">
        <v>10101000</v>
      </c>
      <c r="E3" s="16" t="n">
        <v>9702000</v>
      </c>
      <c r="F3" s="16" t="n">
        <v>9692000</v>
      </c>
    </row>
    <row r="4">
      <c r="A4" s="17" t="inlineStr">
        <is>
          <t>Bruttoresultat</t>
        </is>
      </c>
      <c r="B4" s="16" t="n">
        <v>2773000</v>
      </c>
      <c r="C4" s="16" t="n">
        <v>3245000</v>
      </c>
      <c r="D4" s="16" t="n">
        <v>2930000</v>
      </c>
      <c r="E4" s="16" t="n">
        <v>2521000</v>
      </c>
      <c r="F4" s="16" t="n">
        <v>2479000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Andre driftsindtægter</t>
        </is>
      </c>
      <c r="B7" s="16" t="n">
        <v>7000</v>
      </c>
      <c r="C7" s="16" t="n"/>
      <c r="D7" s="16" t="n">
        <v>0</v>
      </c>
      <c r="E7" s="16" t="n">
        <v>88000</v>
      </c>
      <c r="F7" s="16" t="n">
        <v>76000</v>
      </c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672000</v>
      </c>
      <c r="C9" s="16" t="n">
        <v>909000</v>
      </c>
      <c r="D9" s="16" t="n">
        <v>558000</v>
      </c>
      <c r="E9" s="16" t="n">
        <v>278000</v>
      </c>
      <c r="F9" s="16" t="n">
        <v>155000</v>
      </c>
    </row>
    <row r="10">
      <c r="A10" s="15" t="inlineStr">
        <is>
          <t>Indtægter af kapitalandele, dattervirksomheder</t>
        </is>
      </c>
      <c r="B10" s="16" t="n">
        <v>-2000</v>
      </c>
      <c r="C10" s="16" t="n">
        <v>-1000</v>
      </c>
      <c r="D10" s="16" t="n">
        <v>0</v>
      </c>
      <c r="E10" s="16" t="n">
        <v>-1000</v>
      </c>
      <c r="F10" s="16" t="n">
        <v>0</v>
      </c>
    </row>
    <row r="11">
      <c r="A11" s="15" t="inlineStr">
        <is>
          <t>Finansielle indtægter</t>
        </is>
      </c>
      <c r="B11" s="16" t="n">
        <v>41000</v>
      </c>
      <c r="C11" s="16" t="n">
        <v>53000</v>
      </c>
      <c r="D11" s="16" t="n">
        <v>65000</v>
      </c>
      <c r="E11" s="16" t="n">
        <v>63000</v>
      </c>
      <c r="F11" s="16" t="n">
        <v>51000</v>
      </c>
    </row>
    <row r="12">
      <c r="A12" s="15" t="inlineStr">
        <is>
          <t>Finansielle omkostninger</t>
        </is>
      </c>
      <c r="B12" s="16" t="n">
        <v>89000</v>
      </c>
      <c r="C12" s="16" t="n">
        <v>103000</v>
      </c>
      <c r="D12" s="16" t="n">
        <v>155000</v>
      </c>
      <c r="E12" s="16" t="n">
        <v>148000</v>
      </c>
      <c r="F12" s="16" t="n">
        <v>122000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622000</v>
      </c>
      <c r="C14" s="16" t="n">
        <v>858000</v>
      </c>
      <c r="D14" s="16" t="n">
        <v>468000</v>
      </c>
      <c r="E14" s="16" t="n">
        <v>192000</v>
      </c>
      <c r="F14" s="16" t="n">
        <v>84000</v>
      </c>
    </row>
    <row r="15">
      <c r="A15" s="15" t="inlineStr">
        <is>
          <t>Skat af årets resultat</t>
        </is>
      </c>
      <c r="B15" s="16" t="n">
        <v>91000</v>
      </c>
      <c r="C15" s="16" t="n">
        <v>198000</v>
      </c>
      <c r="D15" s="16" t="n">
        <v>120000</v>
      </c>
      <c r="E15" s="16" t="n">
        <v>44000</v>
      </c>
      <c r="F15" s="16" t="n">
        <v>10000</v>
      </c>
    </row>
    <row r="16">
      <c r="A16" s="17" t="inlineStr">
        <is>
          <t>Årets resultat</t>
        </is>
      </c>
      <c r="B16" s="16" t="n">
        <v>531000</v>
      </c>
      <c r="C16" s="16" t="n">
        <v>660000</v>
      </c>
      <c r="D16" s="16" t="n">
        <v>348000</v>
      </c>
      <c r="E16" s="16" t="n">
        <v>148000</v>
      </c>
      <c r="F16" s="16" t="n">
        <v>74000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143000</v>
      </c>
      <c r="C18" s="16" t="n">
        <v>167000</v>
      </c>
      <c r="D18" s="16" t="n">
        <v>170000</v>
      </c>
      <c r="E18" s="16" t="n">
        <v>162000</v>
      </c>
      <c r="F18" s="16" t="n">
        <v>420000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>
        <v>159000</v>
      </c>
      <c r="C2" s="16" t="n">
        <v>173000</v>
      </c>
      <c r="D2" s="16" t="n">
        <v>348000</v>
      </c>
      <c r="E2" s="16" t="n">
        <v>381000</v>
      </c>
      <c r="F2" s="16" t="n">
        <v>651000</v>
      </c>
    </row>
    <row r="3">
      <c r="A3" s="17" t="inlineStr">
        <is>
          <t>Materielle anlægsaktiver</t>
        </is>
      </c>
      <c r="B3" s="16" t="n">
        <v>885000</v>
      </c>
      <c r="C3" s="16" t="n">
        <v>963000</v>
      </c>
      <c r="D3" s="16" t="n">
        <v>1066000</v>
      </c>
      <c r="E3" s="16" t="n">
        <v>1070000</v>
      </c>
      <c r="F3" s="16" t="n">
        <v>1347000</v>
      </c>
    </row>
    <row r="4">
      <c r="A4" s="15" t="inlineStr">
        <is>
          <t>Kapitalandele, dattervirksomheder</t>
        </is>
      </c>
      <c r="B4" s="16" t="n">
        <v>5000</v>
      </c>
      <c r="C4" s="16" t="n">
        <v>4000</v>
      </c>
      <c r="D4" s="16" t="n">
        <v>4000</v>
      </c>
      <c r="E4" s="16" t="n">
        <v>3000</v>
      </c>
      <c r="F4" s="16" t="n">
        <v>3000</v>
      </c>
    </row>
    <row r="5">
      <c r="A5" s="15" t="inlineStr">
        <is>
          <t>Deposita</t>
        </is>
      </c>
      <c r="B5" s="16" t="n">
        <v>53000</v>
      </c>
      <c r="C5" s="16" t="n">
        <v>32000</v>
      </c>
      <c r="D5" s="16" t="n">
        <v>28000</v>
      </c>
      <c r="E5" s="16" t="n">
        <v>27000</v>
      </c>
      <c r="F5" s="16" t="n">
        <v>22000</v>
      </c>
    </row>
    <row r="6">
      <c r="A6" s="17" t="inlineStr">
        <is>
          <t>Finansielle anlægsaktiver</t>
        </is>
      </c>
      <c r="B6" s="16" t="n"/>
      <c r="C6" s="16" t="n"/>
      <c r="D6" s="16" t="n"/>
      <c r="E6" s="16" t="n"/>
      <c r="F6" s="16" t="n"/>
    </row>
    <row r="7">
      <c r="A7" s="17" t="inlineStr">
        <is>
          <t>Anlægsaktiver</t>
        </is>
      </c>
      <c r="B7" s="16" t="n">
        <v>1415000</v>
      </c>
      <c r="C7" s="16" t="n">
        <v>1564000</v>
      </c>
      <c r="D7" s="16" t="n">
        <v>1893000</v>
      </c>
      <c r="E7" s="16" t="n">
        <v>1900000</v>
      </c>
      <c r="F7" s="16" t="n">
        <v>2486000</v>
      </c>
    </row>
    <row r="8">
      <c r="A8" s="17" t="inlineStr">
        <is>
          <t>Varebeholdninger</t>
        </is>
      </c>
      <c r="B8" s="16" t="n">
        <v>1855000</v>
      </c>
      <c r="C8" s="16" t="n">
        <v>2248000</v>
      </c>
      <c r="D8" s="16" t="n">
        <v>2029000</v>
      </c>
      <c r="E8" s="16" t="n">
        <v>1888000</v>
      </c>
      <c r="F8" s="16" t="n">
        <v>1871000</v>
      </c>
    </row>
    <row r="9">
      <c r="A9" s="15" t="inlineStr">
        <is>
          <t>Tilgodehavender fra salg og tjenesteydelser</t>
        </is>
      </c>
      <c r="B9" s="16" t="n">
        <v>1502000</v>
      </c>
      <c r="C9" s="16" t="n">
        <v>1859000</v>
      </c>
      <c r="D9" s="16" t="n">
        <v>1648000</v>
      </c>
      <c r="E9" s="16" t="n">
        <v>1657000</v>
      </c>
      <c r="F9" s="16" t="n">
        <v>1714000</v>
      </c>
    </row>
    <row r="10">
      <c r="A10" s="15" t="inlineStr">
        <is>
          <t>Tilgodehavender hos tilknyttede 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Andre tilgodehavender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Periodeafgrænsningsposter (aktiver)</t>
        </is>
      </c>
      <c r="B12" s="16" t="n">
        <v>46000</v>
      </c>
      <c r="C12" s="16" t="n">
        <v>42000</v>
      </c>
      <c r="D12" s="16" t="n">
        <v>0</v>
      </c>
      <c r="E12" s="16" t="n">
        <v>4000</v>
      </c>
      <c r="F12" s="16" t="n">
        <v>5000</v>
      </c>
    </row>
    <row r="13">
      <c r="A13" s="15" t="inlineStr">
        <is>
          <t>Udskudt skatteaktiv</t>
        </is>
      </c>
      <c r="B13" s="16" t="n">
        <v>13000</v>
      </c>
      <c r="C13" s="16" t="n">
        <v>9000</v>
      </c>
      <c r="D13" s="16" t="n">
        <v>7000</v>
      </c>
      <c r="E13" s="16" t="n">
        <v>11000</v>
      </c>
      <c r="F13" s="16" t="n">
        <v>36000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>
        <v>0</v>
      </c>
      <c r="C15" s="16" t="n">
        <v>13000</v>
      </c>
      <c r="D15" s="16" t="n">
        <v>25000</v>
      </c>
      <c r="E15" s="16" t="n">
        <v>20000</v>
      </c>
      <c r="F15" s="16" t="n">
        <v>11000</v>
      </c>
    </row>
    <row r="16">
      <c r="A16" s="17" t="inlineStr">
        <is>
          <t>Tilgodehavender</t>
        </is>
      </c>
      <c r="B16" s="16" t="n">
        <v>6000</v>
      </c>
      <c r="C16" s="16" t="n">
        <v>9000</v>
      </c>
      <c r="D16" s="16" t="n">
        <v>17000</v>
      </c>
      <c r="E16" s="16" t="n">
        <v>107000</v>
      </c>
      <c r="F16" s="16" t="n">
        <v>13000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481000</v>
      </c>
      <c r="C18" s="16" t="n">
        <v>166000</v>
      </c>
      <c r="D18" s="16" t="n">
        <v>441000</v>
      </c>
      <c r="E18" s="16" t="n">
        <v>459000</v>
      </c>
      <c r="F18" s="16" t="n">
        <v>133000</v>
      </c>
    </row>
    <row r="19">
      <c r="A19" s="17" t="inlineStr">
        <is>
          <t>Omsætningsaktiver</t>
        </is>
      </c>
      <c r="B19" s="16" t="n">
        <v>3890000</v>
      </c>
      <c r="C19" s="16" t="n">
        <v>4337000</v>
      </c>
      <c r="D19" s="16" t="n">
        <v>4219000</v>
      </c>
      <c r="E19" s="16" t="n">
        <v>4208000</v>
      </c>
      <c r="F19" s="16" t="n">
        <v>3810000</v>
      </c>
    </row>
    <row r="20">
      <c r="A20" s="17" t="inlineStr">
        <is>
          <t>Aktiver</t>
        </is>
      </c>
      <c r="B20" s="16" t="n">
        <v>5305000</v>
      </c>
      <c r="C20" s="16" t="n">
        <v>5901000</v>
      </c>
      <c r="D20" s="16" t="n">
        <v>6112000</v>
      </c>
      <c r="E20" s="16" t="n">
        <v>6108000</v>
      </c>
      <c r="F20" s="16" t="n">
        <v>6296000</v>
      </c>
    </row>
    <row r="21">
      <c r="A21" s="15" t="inlineStr">
        <is>
          <t>Selskabskapital</t>
        </is>
      </c>
      <c r="B21" s="16" t="n">
        <v>736000</v>
      </c>
      <c r="C21" s="16" t="n">
        <v>736000</v>
      </c>
      <c r="D21" s="16" t="n">
        <v>736000</v>
      </c>
      <c r="E21" s="16" t="n">
        <v>736000</v>
      </c>
      <c r="F21" s="16" t="n">
        <v>801000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>
        <v>-158000</v>
      </c>
      <c r="C25" s="16" t="n">
        <v>-181000</v>
      </c>
      <c r="D25" s="16" t="n">
        <v>-198000</v>
      </c>
      <c r="E25" s="16" t="n">
        <v>-234000</v>
      </c>
      <c r="F25" s="16" t="n">
        <v>-196000</v>
      </c>
    </row>
    <row r="26">
      <c r="A26" s="15" t="inlineStr">
        <is>
          <t>Overført resultat</t>
        </is>
      </c>
      <c r="B26" s="16" t="n">
        <v>1045000</v>
      </c>
      <c r="C26" s="16" t="n">
        <v>1047000</v>
      </c>
      <c r="D26" s="16" t="n">
        <v>1175000</v>
      </c>
      <c r="E26" s="16" t="n">
        <v>1216000</v>
      </c>
      <c r="F26" s="16" t="n">
        <v>1345000</v>
      </c>
    </row>
    <row r="27">
      <c r="A27" s="17" t="inlineStr">
        <is>
          <t>Egenkapital i alt</t>
        </is>
      </c>
      <c r="B27" s="16" t="n">
        <v>1952000</v>
      </c>
      <c r="C27" s="16" t="n">
        <v>1931000</v>
      </c>
      <c r="D27" s="16" t="n">
        <v>1982000</v>
      </c>
      <c r="E27" s="16" t="n">
        <v>1874000</v>
      </c>
      <c r="F27" s="16" t="n">
        <v>1996000</v>
      </c>
    </row>
    <row r="28">
      <c r="A28" s="15" t="inlineStr">
        <is>
          <t>Hensættelse til udskudt skat</t>
        </is>
      </c>
      <c r="B28" s="16" t="n">
        <v>101000</v>
      </c>
      <c r="C28" s="16" t="n">
        <v>133000</v>
      </c>
      <c r="D28" s="16" t="n">
        <v>143000</v>
      </c>
      <c r="E28" s="16" t="n">
        <v>157000</v>
      </c>
      <c r="F28" s="16" t="n">
        <v>148000</v>
      </c>
    </row>
    <row r="29">
      <c r="A29" s="17" t="inlineStr">
        <is>
          <t>Hensatte forpligtelser</t>
        </is>
      </c>
      <c r="B29" s="16" t="n">
        <v>11000</v>
      </c>
      <c r="C29" s="16" t="n">
        <v>9000</v>
      </c>
      <c r="D29" s="16" t="n">
        <v>11000</v>
      </c>
      <c r="E29" s="16" t="n">
        <v>12000</v>
      </c>
      <c r="F29" s="16" t="n">
        <v>0</v>
      </c>
    </row>
    <row r="30">
      <c r="A30" s="15" t="inlineStr">
        <is>
          <t>Ansvarlig lånekapital (langfristet)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Langfristede lån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Leasingforpligtelser (langfristet)</t>
        </is>
      </c>
      <c r="B32" s="16" t="n">
        <v>203000</v>
      </c>
      <c r="C32" s="16" t="n">
        <v>274000</v>
      </c>
      <c r="D32" s="16" t="n">
        <v>320000</v>
      </c>
      <c r="E32" s="16" t="n">
        <v>284000</v>
      </c>
      <c r="F32" s="16" t="n">
        <v>290000</v>
      </c>
    </row>
    <row r="33">
      <c r="A33" s="15" t="inlineStr">
        <is>
          <t>Anden gæld (langfristet)</t>
        </is>
      </c>
      <c r="B33" s="16" t="n"/>
      <c r="C33" s="16" t="n"/>
      <c r="D33" s="16" t="n"/>
      <c r="E33" s="16" t="n"/>
      <c r="F33" s="16" t="n"/>
    </row>
    <row r="34">
      <c r="A34" s="17" t="inlineStr">
        <is>
          <t>Langfristede gældsforpligtelser</t>
        </is>
      </c>
      <c r="B34" s="16" t="n">
        <v>120000</v>
      </c>
      <c r="C34" s="16" t="n">
        <v>293000</v>
      </c>
      <c r="D34" s="16" t="n">
        <v>434000</v>
      </c>
      <c r="E34" s="16" t="n">
        <v>425000</v>
      </c>
      <c r="F34" s="16" t="n">
        <v>664000</v>
      </c>
    </row>
    <row r="35">
      <c r="A35" s="15" t="inlineStr">
        <is>
          <t>Ansvarlig lånekapital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Kortfristet del af langfristede gældsforpligtelser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Kreditinstitutter</t>
        </is>
      </c>
      <c r="B37" s="16" t="n">
        <v>19000</v>
      </c>
      <c r="C37" s="16" t="n">
        <v>556000</v>
      </c>
      <c r="D37" s="16" t="n">
        <v>714000</v>
      </c>
      <c r="E37" s="16" t="n">
        <v>841000</v>
      </c>
      <c r="F37" s="16" t="n">
        <v>650000</v>
      </c>
    </row>
    <row r="38">
      <c r="A38" s="15" t="inlineStr">
        <is>
          <t>Leasingforpligtelser (kortfristet)</t>
        </is>
      </c>
      <c r="B38" s="16" t="n">
        <v>102000</v>
      </c>
      <c r="C38" s="16" t="n">
        <v>117000</v>
      </c>
      <c r="D38" s="16" t="n">
        <v>130000</v>
      </c>
      <c r="E38" s="16" t="n">
        <v>141000</v>
      </c>
      <c r="F38" s="16" t="n">
        <v>154000</v>
      </c>
    </row>
    <row r="39">
      <c r="A39" s="15" t="inlineStr">
        <is>
          <t>Leverandører af varer og tjenesteydelser</t>
        </is>
      </c>
      <c r="B39" s="16" t="n">
        <v>2098000</v>
      </c>
      <c r="C39" s="16" t="n">
        <v>1902000</v>
      </c>
      <c r="D39" s="16" t="n">
        <v>1770000</v>
      </c>
      <c r="E39" s="16" t="n">
        <v>1852000</v>
      </c>
      <c r="F39" s="16" t="n">
        <v>1937000</v>
      </c>
    </row>
    <row r="40">
      <c r="A40" s="15" t="inlineStr">
        <is>
          <t>Gæld til tilknyttede virksomheder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Gæld til selskabsdeltagere og ledelse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Selskabsskat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Gæld til tilknyttede virksomheder vedr. selskabsskat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(kortfristet)</t>
        </is>
      </c>
      <c r="B44" s="16" t="n">
        <v>644000</v>
      </c>
      <c r="C44" s="16" t="n">
        <v>604000</v>
      </c>
      <c r="D44" s="16" t="n">
        <v>520000</v>
      </c>
      <c r="E44" s="16" t="n">
        <v>462000</v>
      </c>
      <c r="F44" s="16" t="n">
        <v>387000</v>
      </c>
    </row>
    <row r="45">
      <c r="A45" s="15" t="inlineStr">
        <is>
          <t>Periodeafgrænsningsposter (passiver)</t>
        </is>
      </c>
      <c r="B45" s="16" t="n">
        <v>1000</v>
      </c>
      <c r="C45" s="16" t="n">
        <v>2000</v>
      </c>
      <c r="D45" s="16" t="n">
        <v>0</v>
      </c>
      <c r="E45" s="16" t="n">
        <v>35000</v>
      </c>
      <c r="F45" s="16" t="n">
        <v>17000</v>
      </c>
    </row>
    <row r="46">
      <c r="A46" s="17" t="inlineStr">
        <is>
          <t>Kortfristede gældsforpligtelser</t>
        </is>
      </c>
      <c r="B46" s="16" t="n">
        <v>2918000</v>
      </c>
      <c r="C46" s="16" t="n">
        <v>3261000</v>
      </c>
      <c r="D46" s="16" t="n">
        <v>3222000</v>
      </c>
      <c r="E46" s="16" t="n">
        <v>3356000</v>
      </c>
      <c r="F46" s="16" t="n">
        <v>3187000</v>
      </c>
    </row>
    <row r="47">
      <c r="A47" s="17" t="inlineStr">
        <is>
          <t>Gældsforpligtelser</t>
        </is>
      </c>
      <c r="B47" s="16" t="n">
        <v>3353000</v>
      </c>
      <c r="C47" s="16" t="n">
        <v>3970000</v>
      </c>
      <c r="D47" s="16" t="n">
        <v>4130000</v>
      </c>
      <c r="E47" s="16" t="n">
        <v>4234000</v>
      </c>
      <c r="F47" s="16" t="n">
        <v>4300000</v>
      </c>
    </row>
    <row r="48">
      <c r="A48" s="17" t="inlineStr">
        <is>
          <t>Passiver</t>
        </is>
      </c>
      <c r="B48" s="16" t="n">
        <v>5305000</v>
      </c>
      <c r="C48" s="16" t="n">
        <v>5901000</v>
      </c>
      <c r="D48" s="16" t="n">
        <v>6112000</v>
      </c>
      <c r="E48" s="16" t="n">
        <v>6108000</v>
      </c>
      <c r="F48" s="16" t="n">
        <v>6296000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'balance_raw'!$F$7</f>
        <v/>
      </c>
      <c r="C18" s="24">
        <f>'balance_raw'!$E$7</f>
        <v/>
      </c>
      <c r="D18" s="24">
        <f>'balance_raw'!$D$7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'balance_raw'!$F$19</f>
        <v/>
      </c>
      <c r="C19" s="24">
        <f>'balance_raw'!$E$19</f>
        <v/>
      </c>
      <c r="D19" s="24">
        <f>'balance_raw'!$D$19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'balance_raw'!$F$27</f>
        <v/>
      </c>
      <c r="C22" s="24">
        <f>'balance_raw'!$E$27</f>
        <v/>
      </c>
      <c r="D22" s="24">
        <f>'balance_raw'!$D$27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'balance_raw'!$F$48-'balance_raw'!$F$27</f>
        <v/>
      </c>
      <c r="C23" s="24">
        <f>'balance_raw'!$E$48-'balance_raw'!$E$27</f>
        <v/>
      </c>
      <c r="D23" s="24">
        <f>'balance_raw'!$D$48-'balance_raw'!$D$27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'balance_raw'!$F$8</f>
        <v/>
      </c>
      <c r="C27" s="24">
        <f>'balance_raw'!$E$8</f>
        <v/>
      </c>
      <c r="D27" s="24">
        <f>'balance_raw'!$D$8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'balance_raw'!$F$9</f>
        <v/>
      </c>
      <c r="C28" s="24">
        <f>'balance_raw'!$E$9</f>
        <v/>
      </c>
      <c r="D28" s="24">
        <f>'balance_raw'!$D$9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'balance_raw'!$F$46</f>
        <v/>
      </c>
      <c r="C29" s="24">
        <f>'balance_raw'!$E$46</f>
        <v/>
      </c>
      <c r="D29" s="24">
        <f>'balance_raw'!$D$46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IF('balance_raw'!$F$20="","—",IF(ABS(B20-'balance_raw'!$F$20)&lt;=1,"✓ OK","❌ "&amp;TEXT(B20-'balance_raw'!$F$20,"+#,##0;-#,##0")&amp;" t.kr."))</f>
        <v/>
      </c>
      <c r="C60" s="29">
        <f>IF('balance_raw'!$E$20="","—",IF(ABS(C20-'balance_raw'!$E$20)&lt;=1,"✓ OK","❌ "&amp;TEXT(C20-'balance_raw'!$E$20,"+#,##0;-#,##0")&amp;" t.kr."))</f>
        <v/>
      </c>
      <c r="D60" s="29">
        <f>IF('balance_raw'!$D$20="","—",IF(ABS(D20-'balance_raw'!$D$20)&lt;=1,"✓ OK","❌ "&amp;TEXT(D20-'balance_raw'!$D$20,"+#,##0;-#,##0")&amp;"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IF('balance_raw'!$F$48="","—",IF(ABS(B24-'balance_raw'!$F$48)&lt;=1,"✓ OK","❌ "&amp;TEXT(B24-'balance_raw'!$F$48,"+#,##0;-#,##0")&amp;" t.kr."))</f>
        <v/>
      </c>
      <c r="C61" s="29">
        <f>IF('balance_raw'!$E$48="","—",IF(ABS(C24-'balance_raw'!$E$48)&lt;=1,"✓ OK","❌ "&amp;TEXT(C24-'balance_raw'!$E$48,"+#,##0;-#,##0")&amp;" t.kr."))</f>
        <v/>
      </c>
      <c r="D61" s="29">
        <f>IF('balance_raw'!$D$48="","—",IF(ABS(D24-'balance_raw'!$D$48)&lt;=1,"✓ OK","❌ "&amp;TEXT(D24-'balance_raw'!$D$48,"+#,##0;-#,##0")&amp;"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ifrs-full:AccrualsAndDeferredIncomeClassifiedAsCurrent</t>
        </is>
      </c>
      <c r="C3" s="34" t="inlineStr">
        <is>
          <t>ifrs-full:AccrualsAndDeferredIncomeClassifiedAsCurrent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ifrs-full:AdjustmentsForFinanceIncomeCost</t>
        </is>
      </c>
      <c r="C4" s="37" t="inlineStr">
        <is>
          <t>ifrs-full:AdjustmentsForFinanceIncomeCost</t>
        </is>
      </c>
      <c r="D4" s="38" t="n">
        <v>-48000</v>
      </c>
      <c r="E4" s="38" t="n">
        <v>-50000</v>
      </c>
      <c r="F4" s="38" t="n">
        <v>-90000</v>
      </c>
      <c r="G4" s="38" t="n">
        <v>-85000</v>
      </c>
      <c r="H4" s="38" t="n">
        <v>-71000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ifrs-full:AdjustmentsForIncomeTaxExpense</t>
        </is>
      </c>
      <c r="C5" s="34" t="inlineStr">
        <is>
          <t>ifrs-full:AdjustmentsForIncomeTaxExpense</t>
        </is>
      </c>
      <c r="D5" s="35" t="n">
        <v>91000</v>
      </c>
      <c r="E5" s="35" t="n">
        <v>198000</v>
      </c>
      <c r="F5" s="35" t="n">
        <v>120000</v>
      </c>
      <c r="G5" s="35" t="n">
        <v>44000</v>
      </c>
      <c r="H5" s="35" t="n">
        <v>11000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ifrs-full:AdjustmentsForUndistributedProfitsOfAssociates</t>
        </is>
      </c>
      <c r="C6" s="37" t="inlineStr">
        <is>
          <t>ifrs-full:AdjustmentsForUndistributedProfitsOfAssociates</t>
        </is>
      </c>
      <c r="D6" s="38" t="n">
        <v>-2000</v>
      </c>
      <c r="E6" s="38" t="n">
        <v>-1000</v>
      </c>
      <c r="F6" s="38" t="n">
        <v>0</v>
      </c>
      <c r="G6" s="38" t="n">
        <v>-1000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ifrs-full:CashAndCashEquivalentsInSubsidiaryOrBusinessesAcquiredOrDisposed2013</t>
        </is>
      </c>
      <c r="C7" s="34" t="inlineStr">
        <is>
          <t>ifrs-full:CashAndCashEquivalentsInSubsidiaryOrBusinessesAcquiredOrDisposed2013</t>
        </is>
      </c>
      <c r="D7" s="35" t="n">
        <v>0</v>
      </c>
      <c r="E7" s="35" t="n"/>
      <c r="F7" s="35" t="n"/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ifrs-full:DividendsRecognisedAsDistributionsToNoncontrollingInterests</t>
        </is>
      </c>
      <c r="C8" s="37" t="inlineStr">
        <is>
          <t>ifrs-full:DividendsRecognisedAsDistributionsToNoncontrollingInterests</t>
        </is>
      </c>
      <c r="D8" s="38" t="n"/>
      <c r="E8" s="38" t="n"/>
      <c r="F8" s="38" t="n"/>
      <c r="G8" s="38" t="n">
        <v>1000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ifrs-full:DividendsRecognisedAsDistributionsToOwnersOfParentRelatingToPriorYears</t>
        </is>
      </c>
      <c r="C9" s="34" t="inlineStr">
        <is>
          <t>ifrs-full:DividendsRecognisedAsDistributionsToOwnersOfParentRelatingToPriorYears</t>
        </is>
      </c>
      <c r="D9" s="35" t="n">
        <v>204000</v>
      </c>
      <c r="E9" s="35" t="n">
        <v>329000</v>
      </c>
      <c r="F9" s="35" t="n">
        <v>329000</v>
      </c>
      <c r="G9" s="35" t="n">
        <v>219000</v>
      </c>
      <c r="H9" s="35" t="n">
        <v>110000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ifrs-full:DividendsRecognisedAsDistributionsToOwnersPerShare</t>
        </is>
      </c>
      <c r="C10" s="37" t="inlineStr">
        <is>
          <t>ifrs-full:DividendsRecognisedAsDistributionsToOwnersPerShare</t>
        </is>
      </c>
      <c r="D10" s="38" t="n"/>
      <c r="E10" s="38" t="n">
        <v>0</v>
      </c>
      <c r="F10" s="38" t="n">
        <v>0</v>
      </c>
      <c r="G10" s="38" t="n">
        <v>0</v>
      </c>
      <c r="H10" s="38" t="n">
        <v>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ifrs-full:GainsLossesOnExchangeDifferencesOnTranslationNetOfTax</t>
        </is>
      </c>
      <c r="C11" s="34" t="inlineStr">
        <is>
          <t>ifrs-full:GainsLossesOnExchangeDifferencesOnTranslationNetOfTax</t>
        </is>
      </c>
      <c r="D11" s="35" t="n"/>
      <c r="E11" s="35" t="n"/>
      <c r="F11" s="35" t="n"/>
      <c r="G11" s="35" t="n"/>
      <c r="H11" s="35" t="n">
        <v>33000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ifrs-full:ImpairmentLossRecognisedInProfitOrLossTradeReceivables</t>
        </is>
      </c>
      <c r="C12" s="37" t="inlineStr">
        <is>
          <t>ifrs-full:ImpairmentLossRecognisedInProfitOrLossTradeReceivables</t>
        </is>
      </c>
      <c r="D12" s="38" t="n">
        <v>20000</v>
      </c>
      <c r="E12" s="38" t="n">
        <v>28000</v>
      </c>
      <c r="F12" s="38" t="n">
        <v>17000</v>
      </c>
      <c r="G12" s="38" t="n">
        <v>14000</v>
      </c>
      <c r="H12" s="38" t="n">
        <v>11000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2026-09-07T19:38:29Z</dcterms:created>
  <dcterms:modified xmlns:dcterms="http://purl.org/dc/terms/" xmlns:xsi="http://www.w3.org/2001/XMLSchema-instance" xsi:type="dcterms:W3CDTF">2026-09-07T19:38:30Z</dcterms:modified>
</cp:coreProperties>
</file>