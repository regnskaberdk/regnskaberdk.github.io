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4596077" sheetId="1" state="visible" r:id="rId1"/>
    <sheet xmlns:r="http://schemas.openxmlformats.org/officeDocument/2006/relationships" name="res_raw_34596077" sheetId="2" state="visible" r:id="rId2"/>
    <sheet xmlns:r="http://schemas.openxmlformats.org/officeDocument/2006/relationships" name="balance_raw_3459607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GOG Sport A/S (CVR 34596077) — Regnskabsanalyse – Resultatopgørelse &amp; Balance (t.kr.) · Klasse B · Revision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'res_raw_34596077'!$B$2</f>
        <v/>
      </c>
      <c r="C4" s="5">
        <f>'res_raw_34596077'!$C$2</f>
        <v/>
      </c>
      <c r="D4" s="5">
        <f>'res_raw_34596077'!$D$2</f>
        <v/>
      </c>
      <c r="E4" s="5">
        <f>'res_raw_34596077'!$E$2</f>
        <v/>
      </c>
      <c r="F4" s="5">
        <f>'res_raw_34596077'!$F$2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'res_raw_34596077'!$B$3</f>
        <v/>
      </c>
      <c r="C5" s="8">
        <f>'res_raw_34596077'!$C$3</f>
        <v/>
      </c>
      <c r="D5" s="8">
        <f>'res_raw_34596077'!$D$3</f>
        <v/>
      </c>
      <c r="E5" s="8">
        <f>'res_raw_34596077'!$E$3</f>
        <v/>
      </c>
      <c r="F5" s="8">
        <f>'res_raw_34596077'!$F$3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'res_raw_34596077'!$B$4</f>
        <v/>
      </c>
      <c r="C6" s="5">
        <f>'res_raw_34596077'!$C$4</f>
        <v/>
      </c>
      <c r="D6" s="5">
        <f>'res_raw_34596077'!$D$4</f>
        <v/>
      </c>
      <c r="E6" s="5">
        <f>'res_raw_34596077'!$E$4</f>
        <v/>
      </c>
      <c r="F6" s="5">
        <f>'res_raw_34596077'!$F$4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'res_raw_34596077'!$B$5</f>
        <v/>
      </c>
      <c r="C7" s="8">
        <f>'res_raw_34596077'!$C$5</f>
        <v/>
      </c>
      <c r="D7" s="8">
        <f>'res_raw_34596077'!$D$5</f>
        <v/>
      </c>
      <c r="E7" s="8">
        <f>'res_raw_34596077'!$E$5</f>
        <v/>
      </c>
      <c r="F7" s="8">
        <f>'res_raw_34596077'!$F$5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'res_raw_34596077'!$B$6</f>
        <v/>
      </c>
      <c r="C8" s="11">
        <f>'res_raw_34596077'!$C$6</f>
        <v/>
      </c>
      <c r="D8" s="11">
        <f>'res_raw_34596077'!$D$6</f>
        <v/>
      </c>
      <c r="E8" s="11">
        <f>'res_raw_34596077'!$E$6</f>
        <v/>
      </c>
      <c r="F8" s="11">
        <f>'res_raw_34596077'!$F$6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'res_raw_34596077'!$B$7</f>
        <v/>
      </c>
      <c r="C9" s="8">
        <f>'res_raw_34596077'!$C$7</f>
        <v/>
      </c>
      <c r="D9" s="8">
        <f>'res_raw_34596077'!$D$7</f>
        <v/>
      </c>
      <c r="E9" s="8">
        <f>'res_raw_34596077'!$E$7</f>
        <v/>
      </c>
      <c r="F9" s="8">
        <f>'res_raw_34596077'!$F$7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'res_raw_34596077'!$B$9</f>
        <v/>
      </c>
      <c r="C11" s="8">
        <f>'res_raw_34596077'!$C$9</f>
        <v/>
      </c>
      <c r="D11" s="8">
        <f>'res_raw_34596077'!$D$9</f>
        <v/>
      </c>
      <c r="E11" s="8">
        <f>'res_raw_34596077'!$E$9</f>
        <v/>
      </c>
      <c r="F11" s="8">
        <f>'res_raw_34596077'!$F$9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'res_raw_34596077'!$B$10</f>
        <v/>
      </c>
      <c r="C12" s="5">
        <f>'res_raw_34596077'!$C$10</f>
        <v/>
      </c>
      <c r="D12" s="5">
        <f>'res_raw_34596077'!$D$10</f>
        <v/>
      </c>
      <c r="E12" s="5">
        <f>'res_raw_34596077'!$E$10</f>
        <v/>
      </c>
      <c r="F12" s="5">
        <f>'res_raw_34596077'!$F$10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'res_raw_34596077'!$B$11</f>
        <v/>
      </c>
      <c r="C13" s="11">
        <f>'res_raw_34596077'!$C$11</f>
        <v/>
      </c>
      <c r="D13" s="11">
        <f>'res_raw_34596077'!$D$11</f>
        <v/>
      </c>
      <c r="E13" s="11">
        <f>'res_raw_34596077'!$E$11</f>
        <v/>
      </c>
      <c r="F13" s="11">
        <f>'res_raw_34596077'!$F$11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'res_raw_34596077'!$B$12</f>
        <v/>
      </c>
      <c r="C14" s="5">
        <f>'res_raw_34596077'!$C$12</f>
        <v/>
      </c>
      <c r="D14" s="5">
        <f>'res_raw_34596077'!$D$12</f>
        <v/>
      </c>
      <c r="E14" s="5">
        <f>'res_raw_34596077'!$E$12</f>
        <v/>
      </c>
      <c r="F14" s="5">
        <f>'res_raw_34596077'!$F$12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'res_raw_34596077'!$B$13</f>
        <v/>
      </c>
      <c r="C15" s="8">
        <f>'res_raw_34596077'!$C$13</f>
        <v/>
      </c>
      <c r="D15" s="8">
        <f>'res_raw_34596077'!$D$13</f>
        <v/>
      </c>
      <c r="E15" s="8">
        <f>'res_raw_34596077'!$E$13</f>
        <v/>
      </c>
      <c r="F15" s="8">
        <f>'res_raw_34596077'!$F$13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'res_raw_34596077'!$B$14</f>
        <v/>
      </c>
      <c r="C16" s="5">
        <f>'res_raw_34596077'!$C$14</f>
        <v/>
      </c>
      <c r="D16" s="5">
        <f>'res_raw_34596077'!$D$14</f>
        <v/>
      </c>
      <c r="E16" s="5">
        <f>'res_raw_34596077'!$E$14</f>
        <v/>
      </c>
      <c r="F16" s="5">
        <f>'res_raw_34596077'!$F$14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'res_raw_34596077'!$B$15</f>
        <v/>
      </c>
      <c r="C17" s="11">
        <f>'res_raw_34596077'!$C$15</f>
        <v/>
      </c>
      <c r="D17" s="11">
        <f>'res_raw_34596077'!$D$15</f>
        <v/>
      </c>
      <c r="E17" s="11">
        <f>'res_raw_34596077'!$E$15</f>
        <v/>
      </c>
      <c r="F17" s="11">
        <f>'res_raw_34596077'!$F$15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'res_raw_34596077'!$B$16</f>
        <v/>
      </c>
      <c r="C18" s="11">
        <f>'res_raw_34596077'!$C$16</f>
        <v/>
      </c>
      <c r="D18" s="11">
        <f>'res_raw_34596077'!$D$16</f>
        <v/>
      </c>
      <c r="E18" s="11">
        <f>'res_raw_34596077'!$E$16</f>
        <v/>
      </c>
      <c r="F18" s="11">
        <f>'res_raw_34596077'!$F$16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'res_raw_34596077'!$B$17</f>
        <v/>
      </c>
      <c r="C19" s="8">
        <f>'res_raw_34596077'!$C$17</f>
        <v/>
      </c>
      <c r="D19" s="8">
        <f>'res_raw_34596077'!$D$17</f>
        <v/>
      </c>
      <c r="E19" s="8">
        <f>'res_raw_34596077'!$E$17</f>
        <v/>
      </c>
      <c r="F19" s="8">
        <f>'res_raw_34596077'!$F$17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'res_raw_34596077'!$B$18</f>
        <v/>
      </c>
      <c r="C20" s="11">
        <f>'res_raw_34596077'!$C$18</f>
        <v/>
      </c>
      <c r="D20" s="11">
        <f>'res_raw_34596077'!$D$18</f>
        <v/>
      </c>
      <c r="E20" s="11">
        <f>'res_raw_34596077'!$E$18</f>
        <v/>
      </c>
      <c r="F20" s="11">
        <f>'res_raw_34596077'!$F$18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'balance_raw_34596077'!$B$2</f>
        <v/>
      </c>
      <c r="C23" s="8">
        <f>'balance_raw_34596077'!$C$2</f>
        <v/>
      </c>
      <c r="D23" s="8">
        <f>'balance_raw_34596077'!$D$2</f>
        <v/>
      </c>
      <c r="E23" s="8">
        <f>'balance_raw_34596077'!$E$2</f>
        <v/>
      </c>
      <c r="F23" s="8">
        <f>'balance_raw_34596077'!$F$2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'balance_raw_34596077'!$B$3</f>
        <v/>
      </c>
      <c r="C24" s="5">
        <f>'balance_raw_34596077'!$C$3</f>
        <v/>
      </c>
      <c r="D24" s="5">
        <f>'balance_raw_34596077'!$D$3</f>
        <v/>
      </c>
      <c r="E24" s="5">
        <f>'balance_raw_34596077'!$E$3</f>
        <v/>
      </c>
      <c r="F24" s="5">
        <f>'balance_raw_34596077'!$F$3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'balance_raw_34596077'!$B$4</f>
        <v/>
      </c>
      <c r="C25" s="8">
        <f>'balance_raw_34596077'!$C$4</f>
        <v/>
      </c>
      <c r="D25" s="8">
        <f>'balance_raw_34596077'!$D$4</f>
        <v/>
      </c>
      <c r="E25" s="8">
        <f>'balance_raw_34596077'!$E$4</f>
        <v/>
      </c>
      <c r="F25" s="8">
        <f>'balance_raw_34596077'!$F$4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'balance_raw_34596077'!$B$5</f>
        <v/>
      </c>
      <c r="C26" s="5">
        <f>'balance_raw_34596077'!$C$5</f>
        <v/>
      </c>
      <c r="D26" s="5">
        <f>'balance_raw_34596077'!$D$5</f>
        <v/>
      </c>
      <c r="E26" s="5">
        <f>'balance_raw_34596077'!$E$5</f>
        <v/>
      </c>
      <c r="F26" s="5">
        <f>'balance_raw_34596077'!$F$5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'balance_raw_34596077'!$B$6</f>
        <v/>
      </c>
      <c r="C27" s="8">
        <f>'balance_raw_34596077'!$C$6</f>
        <v/>
      </c>
      <c r="D27" s="8">
        <f>'balance_raw_34596077'!$D$6</f>
        <v/>
      </c>
      <c r="E27" s="8">
        <f>'balance_raw_34596077'!$E$6</f>
        <v/>
      </c>
      <c r="F27" s="8">
        <f>'balance_raw_34596077'!$F$6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'balance_raw_34596077'!$B$7</f>
        <v/>
      </c>
      <c r="C28" s="11">
        <f>'balance_raw_34596077'!$C$7</f>
        <v/>
      </c>
      <c r="D28" s="11">
        <f>'balance_raw_34596077'!$D$7</f>
        <v/>
      </c>
      <c r="E28" s="11">
        <f>'balance_raw_34596077'!$E$7</f>
        <v/>
      </c>
      <c r="F28" s="11">
        <f>'balance_raw_34596077'!$F$7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'balance_raw_34596077'!$B$8</f>
        <v/>
      </c>
      <c r="C29" s="8">
        <f>'balance_raw_34596077'!$C$8</f>
        <v/>
      </c>
      <c r="D29" s="8">
        <f>'balance_raw_34596077'!$D$8</f>
        <v/>
      </c>
      <c r="E29" s="8">
        <f>'balance_raw_34596077'!$E$8</f>
        <v/>
      </c>
      <c r="F29" s="8">
        <f>'balance_raw_34596077'!$F$8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'balance_raw_34596077'!$B$9</f>
        <v/>
      </c>
      <c r="C30" s="5">
        <f>'balance_raw_34596077'!$C$9</f>
        <v/>
      </c>
      <c r="D30" s="5">
        <f>'balance_raw_34596077'!$D$9</f>
        <v/>
      </c>
      <c r="E30" s="5">
        <f>'balance_raw_34596077'!$E$9</f>
        <v/>
      </c>
      <c r="F30" s="5">
        <f>'balance_raw_34596077'!$F$9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'balance_raw_34596077'!$B$10</f>
        <v/>
      </c>
      <c r="C31" s="11">
        <f>'balance_raw_34596077'!$C$10</f>
        <v/>
      </c>
      <c r="D31" s="11">
        <f>'balance_raw_34596077'!$D$10</f>
        <v/>
      </c>
      <c r="E31" s="11">
        <f>'balance_raw_34596077'!$E$10</f>
        <v/>
      </c>
      <c r="F31" s="11">
        <f>'balance_raw_34596077'!$F$10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'balance_raw_34596077'!$B$11</f>
        <v/>
      </c>
      <c r="C32" s="11">
        <f>'balance_raw_34596077'!$C$11</f>
        <v/>
      </c>
      <c r="D32" s="11">
        <f>'balance_raw_34596077'!$D$11</f>
        <v/>
      </c>
      <c r="E32" s="11">
        <f>'balance_raw_34596077'!$E$11</f>
        <v/>
      </c>
      <c r="F32" s="11">
        <f>'balance_raw_34596077'!$F$11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'balance_raw_34596077'!$B$12</f>
        <v/>
      </c>
      <c r="C33" s="8">
        <f>'balance_raw_34596077'!$C$12</f>
        <v/>
      </c>
      <c r="D33" s="8">
        <f>'balance_raw_34596077'!$D$12</f>
        <v/>
      </c>
      <c r="E33" s="8">
        <f>'balance_raw_34596077'!$E$12</f>
        <v/>
      </c>
      <c r="F33" s="8">
        <f>'balance_raw_34596077'!$F$12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'balance_raw_34596077'!$B$13</f>
        <v/>
      </c>
      <c r="C34" s="5">
        <f>'balance_raw_34596077'!$C$13</f>
        <v/>
      </c>
      <c r="D34" s="5">
        <f>'balance_raw_34596077'!$D$13</f>
        <v/>
      </c>
      <c r="E34" s="5">
        <f>'balance_raw_34596077'!$E$13</f>
        <v/>
      </c>
      <c r="F34" s="5">
        <f>'balance_raw_34596077'!$F$13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'balance_raw_34596077'!$B$14</f>
        <v/>
      </c>
      <c r="C35" s="8">
        <f>'balance_raw_34596077'!$C$14</f>
        <v/>
      </c>
      <c r="D35" s="8">
        <f>'balance_raw_34596077'!$D$14</f>
        <v/>
      </c>
      <c r="E35" s="8">
        <f>'balance_raw_34596077'!$E$14</f>
        <v/>
      </c>
      <c r="F35" s="8">
        <f>'balance_raw_34596077'!$F$14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'balance_raw_34596077'!$B$15</f>
        <v/>
      </c>
      <c r="C36" s="11">
        <f>'balance_raw_34596077'!$C$15</f>
        <v/>
      </c>
      <c r="D36" s="11">
        <f>'balance_raw_34596077'!$D$15</f>
        <v/>
      </c>
      <c r="E36" s="11">
        <f>'balance_raw_34596077'!$E$15</f>
        <v/>
      </c>
      <c r="F36" s="11">
        <f>'balance_raw_34596077'!$F$15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'balance_raw_34596077'!$B$16</f>
        <v/>
      </c>
      <c r="C37" s="8">
        <f>'balance_raw_34596077'!$C$16</f>
        <v/>
      </c>
      <c r="D37" s="8">
        <f>'balance_raw_34596077'!$D$16</f>
        <v/>
      </c>
      <c r="E37" s="8">
        <f>'balance_raw_34596077'!$E$16</f>
        <v/>
      </c>
      <c r="F37" s="8">
        <f>'balance_raw_34596077'!$F$16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'balance_raw_34596077'!$B$17</f>
        <v/>
      </c>
      <c r="C38" s="5">
        <f>'balance_raw_34596077'!$C$17</f>
        <v/>
      </c>
      <c r="D38" s="5">
        <f>'balance_raw_34596077'!$D$17</f>
        <v/>
      </c>
      <c r="E38" s="5">
        <f>'balance_raw_34596077'!$E$17</f>
        <v/>
      </c>
      <c r="F38" s="5">
        <f>'balance_raw_34596077'!$F$17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'balance_raw_34596077'!$B$18</f>
        <v/>
      </c>
      <c r="C39" s="8">
        <f>'balance_raw_34596077'!$C$18</f>
        <v/>
      </c>
      <c r="D39" s="8">
        <f>'balance_raw_34596077'!$D$18</f>
        <v/>
      </c>
      <c r="E39" s="8">
        <f>'balance_raw_34596077'!$E$18</f>
        <v/>
      </c>
      <c r="F39" s="8">
        <f>'balance_raw_34596077'!$F$18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'balance_raw_34596077'!$B$19</f>
        <v/>
      </c>
      <c r="C40" s="5">
        <f>'balance_raw_34596077'!$C$19</f>
        <v/>
      </c>
      <c r="D40" s="5">
        <f>'balance_raw_34596077'!$D$19</f>
        <v/>
      </c>
      <c r="E40" s="5">
        <f>'balance_raw_34596077'!$E$19</f>
        <v/>
      </c>
      <c r="F40" s="5">
        <f>'balance_raw_34596077'!$F$19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'balance_raw_34596077'!$B$20</f>
        <v/>
      </c>
      <c r="C41" s="8">
        <f>'balance_raw_34596077'!$C$20</f>
        <v/>
      </c>
      <c r="D41" s="8">
        <f>'balance_raw_34596077'!$D$20</f>
        <v/>
      </c>
      <c r="E41" s="8">
        <f>'balance_raw_34596077'!$E$20</f>
        <v/>
      </c>
      <c r="F41" s="8">
        <f>'balance_raw_34596077'!$F$20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'balance_raw_34596077'!$B$21</f>
        <v/>
      </c>
      <c r="C42" s="5">
        <f>'balance_raw_34596077'!$C$21</f>
        <v/>
      </c>
      <c r="D42" s="5">
        <f>'balance_raw_34596077'!$D$21</f>
        <v/>
      </c>
      <c r="E42" s="5">
        <f>'balance_raw_34596077'!$E$21</f>
        <v/>
      </c>
      <c r="F42" s="5">
        <f>'balance_raw_34596077'!$F$21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'balance_raw_34596077'!$B$22</f>
        <v/>
      </c>
      <c r="C43" s="8">
        <f>'balance_raw_34596077'!$C$22</f>
        <v/>
      </c>
      <c r="D43" s="8">
        <f>'balance_raw_34596077'!$D$22</f>
        <v/>
      </c>
      <c r="E43" s="8">
        <f>'balance_raw_34596077'!$E$22</f>
        <v/>
      </c>
      <c r="F43" s="8">
        <f>'balance_raw_34596077'!$F$22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'balance_raw_34596077'!$B$23</f>
        <v/>
      </c>
      <c r="C44" s="11">
        <f>'balance_raw_34596077'!$C$23</f>
        <v/>
      </c>
      <c r="D44" s="11">
        <f>'balance_raw_34596077'!$D$23</f>
        <v/>
      </c>
      <c r="E44" s="11">
        <f>'balance_raw_34596077'!$E$23</f>
        <v/>
      </c>
      <c r="F44" s="11">
        <f>'balance_raw_34596077'!$F$23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'balance_raw_34596077'!$B$24</f>
        <v/>
      </c>
      <c r="C45" s="8">
        <f>'balance_raw_34596077'!$C$24</f>
        <v/>
      </c>
      <c r="D45" s="8">
        <f>'balance_raw_34596077'!$D$24</f>
        <v/>
      </c>
      <c r="E45" s="8">
        <f>'balance_raw_34596077'!$E$24</f>
        <v/>
      </c>
      <c r="F45" s="8">
        <f>'balance_raw_34596077'!$F$24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'balance_raw_34596077'!$B$25</f>
        <v/>
      </c>
      <c r="C46" s="5">
        <f>'balance_raw_34596077'!$C$25</f>
        <v/>
      </c>
      <c r="D46" s="5">
        <f>'balance_raw_34596077'!$D$25</f>
        <v/>
      </c>
      <c r="E46" s="5">
        <f>'balance_raw_34596077'!$E$25</f>
        <v/>
      </c>
      <c r="F46" s="5">
        <f>'balance_raw_34596077'!$F$25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'balance_raw_34596077'!$B$26</f>
        <v/>
      </c>
      <c r="C47" s="11">
        <f>'balance_raw_34596077'!$C$26</f>
        <v/>
      </c>
      <c r="D47" s="11">
        <f>'balance_raw_34596077'!$D$26</f>
        <v/>
      </c>
      <c r="E47" s="11">
        <f>'balance_raw_34596077'!$E$26</f>
        <v/>
      </c>
      <c r="F47" s="11">
        <f>'balance_raw_34596077'!$F$26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'balance_raw_34596077'!$B$27</f>
        <v/>
      </c>
      <c r="C48" s="11">
        <f>'balance_raw_34596077'!$C$27</f>
        <v/>
      </c>
      <c r="D48" s="11">
        <f>'balance_raw_34596077'!$D$27</f>
        <v/>
      </c>
      <c r="E48" s="11">
        <f>'balance_raw_34596077'!$E$27</f>
        <v/>
      </c>
      <c r="F48" s="11">
        <f>'balance_raw_34596077'!$F$27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'balance_raw_34596077'!$B$28</f>
        <v/>
      </c>
      <c r="C51" s="8">
        <f>'balance_raw_34596077'!$C$28</f>
        <v/>
      </c>
      <c r="D51" s="8">
        <f>'balance_raw_34596077'!$D$28</f>
        <v/>
      </c>
      <c r="E51" s="8">
        <f>'balance_raw_34596077'!$E$28</f>
        <v/>
      </c>
      <c r="F51" s="8">
        <f>'balance_raw_34596077'!$F$28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'balance_raw_34596077'!$B$29</f>
        <v/>
      </c>
      <c r="C52" s="5">
        <f>'balance_raw_34596077'!$C$29</f>
        <v/>
      </c>
      <c r="D52" s="5">
        <f>'balance_raw_34596077'!$D$29</f>
        <v/>
      </c>
      <c r="E52" s="5">
        <f>'balance_raw_34596077'!$E$29</f>
        <v/>
      </c>
      <c r="F52" s="5">
        <f>'balance_raw_34596077'!$F$29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'balance_raw_34596077'!$B$30</f>
        <v/>
      </c>
      <c r="C53" s="8">
        <f>'balance_raw_34596077'!$C$30</f>
        <v/>
      </c>
      <c r="D53" s="8">
        <f>'balance_raw_34596077'!$D$30</f>
        <v/>
      </c>
      <c r="E53" s="8">
        <f>'balance_raw_34596077'!$E$30</f>
        <v/>
      </c>
      <c r="F53" s="8">
        <f>'balance_raw_34596077'!$F$30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'balance_raw_34596077'!$B$31</f>
        <v/>
      </c>
      <c r="C54" s="5">
        <f>'balance_raw_34596077'!$C$31</f>
        <v/>
      </c>
      <c r="D54" s="5">
        <f>'balance_raw_34596077'!$D$31</f>
        <v/>
      </c>
      <c r="E54" s="5">
        <f>'balance_raw_34596077'!$E$31</f>
        <v/>
      </c>
      <c r="F54" s="5">
        <f>'balance_raw_34596077'!$F$31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'balance_raw_34596077'!$B$32</f>
        <v/>
      </c>
      <c r="C55" s="8">
        <f>'balance_raw_34596077'!$C$32</f>
        <v/>
      </c>
      <c r="D55" s="8">
        <f>'balance_raw_34596077'!$D$32</f>
        <v/>
      </c>
      <c r="E55" s="8">
        <f>'balance_raw_34596077'!$E$32</f>
        <v/>
      </c>
      <c r="F55" s="8">
        <f>'balance_raw_34596077'!$F$32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'balance_raw_34596077'!$B$33</f>
        <v/>
      </c>
      <c r="C56" s="5">
        <f>'balance_raw_34596077'!$C$33</f>
        <v/>
      </c>
      <c r="D56" s="5">
        <f>'balance_raw_34596077'!$D$33</f>
        <v/>
      </c>
      <c r="E56" s="5">
        <f>'balance_raw_34596077'!$E$33</f>
        <v/>
      </c>
      <c r="F56" s="5">
        <f>'balance_raw_34596077'!$F$33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'balance_raw_34596077'!$B$34</f>
        <v/>
      </c>
      <c r="C57" s="11">
        <f>'balance_raw_34596077'!$C$34</f>
        <v/>
      </c>
      <c r="D57" s="11">
        <f>'balance_raw_34596077'!$D$34</f>
        <v/>
      </c>
      <c r="E57" s="11">
        <f>'balance_raw_34596077'!$E$34</f>
        <v/>
      </c>
      <c r="F57" s="11">
        <f>'balance_raw_34596077'!$F$34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'balance_raw_34596077'!$B$35</f>
        <v/>
      </c>
      <c r="C58" s="5">
        <f>'balance_raw_34596077'!$C$35</f>
        <v/>
      </c>
      <c r="D58" s="5">
        <f>'balance_raw_34596077'!$D$35</f>
        <v/>
      </c>
      <c r="E58" s="5">
        <f>'balance_raw_34596077'!$E$35</f>
        <v/>
      </c>
      <c r="F58" s="5">
        <f>'balance_raw_34596077'!$F$35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'balance_raw_34596077'!$B$36</f>
        <v/>
      </c>
      <c r="C59" s="11">
        <f>'balance_raw_34596077'!$C$36</f>
        <v/>
      </c>
      <c r="D59" s="11">
        <f>'balance_raw_34596077'!$D$36</f>
        <v/>
      </c>
      <c r="E59" s="11">
        <f>'balance_raw_34596077'!$E$36</f>
        <v/>
      </c>
      <c r="F59" s="11">
        <f>'balance_raw_34596077'!$F$36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'balance_raw_34596077'!$B$37</f>
        <v/>
      </c>
      <c r="C60" s="5">
        <f>'balance_raw_34596077'!$C$37</f>
        <v/>
      </c>
      <c r="D60" s="5">
        <f>'balance_raw_34596077'!$D$37</f>
        <v/>
      </c>
      <c r="E60" s="5">
        <f>'balance_raw_34596077'!$E$37</f>
        <v/>
      </c>
      <c r="F60" s="5">
        <f>'balance_raw_34596077'!$F$37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'balance_raw_34596077'!$B$38</f>
        <v/>
      </c>
      <c r="C61" s="8">
        <f>'balance_raw_34596077'!$C$38</f>
        <v/>
      </c>
      <c r="D61" s="8">
        <f>'balance_raw_34596077'!$D$38</f>
        <v/>
      </c>
      <c r="E61" s="8">
        <f>'balance_raw_34596077'!$E$38</f>
        <v/>
      </c>
      <c r="F61" s="8">
        <f>'balance_raw_34596077'!$F$38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'balance_raw_34596077'!$B$39</f>
        <v/>
      </c>
      <c r="C62" s="5">
        <f>'balance_raw_34596077'!$C$39</f>
        <v/>
      </c>
      <c r="D62" s="5">
        <f>'balance_raw_34596077'!$D$39</f>
        <v/>
      </c>
      <c r="E62" s="5">
        <f>'balance_raw_34596077'!$E$39</f>
        <v/>
      </c>
      <c r="F62" s="5">
        <f>'balance_raw_34596077'!$F$39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'balance_raw_34596077'!$B$40</f>
        <v/>
      </c>
      <c r="C63" s="8">
        <f>'balance_raw_34596077'!$C$40</f>
        <v/>
      </c>
      <c r="D63" s="8">
        <f>'balance_raw_34596077'!$D$40</f>
        <v/>
      </c>
      <c r="E63" s="8">
        <f>'balance_raw_34596077'!$E$40</f>
        <v/>
      </c>
      <c r="F63" s="8">
        <f>'balance_raw_34596077'!$F$40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'balance_raw_34596077'!$B$41</f>
        <v/>
      </c>
      <c r="C64" s="11">
        <f>'balance_raw_34596077'!$C$41</f>
        <v/>
      </c>
      <c r="D64" s="11">
        <f>'balance_raw_34596077'!$D$41</f>
        <v/>
      </c>
      <c r="E64" s="11">
        <f>'balance_raw_34596077'!$E$41</f>
        <v/>
      </c>
      <c r="F64" s="11">
        <f>'balance_raw_34596077'!$F$41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'balance_raw_34596077'!$B$42</f>
        <v/>
      </c>
      <c r="C65" s="8">
        <f>'balance_raw_34596077'!$C$42</f>
        <v/>
      </c>
      <c r="D65" s="8">
        <f>'balance_raw_34596077'!$D$42</f>
        <v/>
      </c>
      <c r="E65" s="8">
        <f>'balance_raw_34596077'!$E$42</f>
        <v/>
      </c>
      <c r="F65" s="8">
        <f>'balance_raw_34596077'!$F$42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'balance_raw_34596077'!$B$43</f>
        <v/>
      </c>
      <c r="C66" s="5">
        <f>'balance_raw_34596077'!$C$43</f>
        <v/>
      </c>
      <c r="D66" s="5">
        <f>'balance_raw_34596077'!$D$43</f>
        <v/>
      </c>
      <c r="E66" s="5">
        <f>'balance_raw_34596077'!$E$43</f>
        <v/>
      </c>
      <c r="F66" s="5">
        <f>'balance_raw_34596077'!$F$43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'balance_raw_34596077'!$B$44</f>
        <v/>
      </c>
      <c r="C67" s="8">
        <f>'balance_raw_34596077'!$C$44</f>
        <v/>
      </c>
      <c r="D67" s="8">
        <f>'balance_raw_34596077'!$D$44</f>
        <v/>
      </c>
      <c r="E67" s="8">
        <f>'balance_raw_34596077'!$E$44</f>
        <v/>
      </c>
      <c r="F67" s="8">
        <f>'balance_raw_34596077'!$F$44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'balance_raw_34596077'!$B$45</f>
        <v/>
      </c>
      <c r="C68" s="5">
        <f>'balance_raw_34596077'!$C$45</f>
        <v/>
      </c>
      <c r="D68" s="5">
        <f>'balance_raw_34596077'!$D$45</f>
        <v/>
      </c>
      <c r="E68" s="5">
        <f>'balance_raw_34596077'!$E$45</f>
        <v/>
      </c>
      <c r="F68" s="5">
        <f>'balance_raw_34596077'!$F$45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'balance_raw_34596077'!$B$46</f>
        <v/>
      </c>
      <c r="C69" s="8">
        <f>'balance_raw_34596077'!$C$46</f>
        <v/>
      </c>
      <c r="D69" s="8">
        <f>'balance_raw_34596077'!$D$46</f>
        <v/>
      </c>
      <c r="E69" s="8">
        <f>'balance_raw_34596077'!$E$46</f>
        <v/>
      </c>
      <c r="F69" s="8">
        <f>'balance_raw_34596077'!$F$46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'balance_raw_34596077'!$B$47</f>
        <v/>
      </c>
      <c r="C70" s="5">
        <f>'balance_raw_34596077'!$C$47</f>
        <v/>
      </c>
      <c r="D70" s="5">
        <f>'balance_raw_34596077'!$D$47</f>
        <v/>
      </c>
      <c r="E70" s="5">
        <f>'balance_raw_34596077'!$E$47</f>
        <v/>
      </c>
      <c r="F70" s="5">
        <f>'balance_raw_34596077'!$F$47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'balance_raw_34596077'!$B$48</f>
        <v/>
      </c>
      <c r="C71" s="8">
        <f>'balance_raw_34596077'!$C$48</f>
        <v/>
      </c>
      <c r="D71" s="8">
        <f>'balance_raw_34596077'!$D$48</f>
        <v/>
      </c>
      <c r="E71" s="8">
        <f>'balance_raw_34596077'!$E$48</f>
        <v/>
      </c>
      <c r="F71" s="8">
        <f>'balance_raw_34596077'!$F$48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'balance_raw_34596077'!$B$49</f>
        <v/>
      </c>
      <c r="C72" s="5">
        <f>'balance_raw_34596077'!$C$49</f>
        <v/>
      </c>
      <c r="D72" s="5">
        <f>'balance_raw_34596077'!$D$49</f>
        <v/>
      </c>
      <c r="E72" s="5">
        <f>'balance_raw_34596077'!$E$49</f>
        <v/>
      </c>
      <c r="F72" s="5">
        <f>'balance_raw_34596077'!$F$49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'balance_raw_34596077'!$B$50</f>
        <v/>
      </c>
      <c r="C73" s="8">
        <f>'balance_raw_34596077'!$C$50</f>
        <v/>
      </c>
      <c r="D73" s="8">
        <f>'balance_raw_34596077'!$D$50</f>
        <v/>
      </c>
      <c r="E73" s="8">
        <f>'balance_raw_34596077'!$E$50</f>
        <v/>
      </c>
      <c r="F73" s="8">
        <f>'balance_raw_34596077'!$F$50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'balance_raw_34596077'!$B$51</f>
        <v/>
      </c>
      <c r="C74" s="5">
        <f>'balance_raw_34596077'!$C$51</f>
        <v/>
      </c>
      <c r="D74" s="5">
        <f>'balance_raw_34596077'!$D$51</f>
        <v/>
      </c>
      <c r="E74" s="5">
        <f>'balance_raw_34596077'!$E$51</f>
        <v/>
      </c>
      <c r="F74" s="5">
        <f>'balance_raw_34596077'!$F$51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'balance_raw_34596077'!$B$52</f>
        <v/>
      </c>
      <c r="C75" s="8">
        <f>'balance_raw_34596077'!$C$52</f>
        <v/>
      </c>
      <c r="D75" s="8">
        <f>'balance_raw_34596077'!$D$52</f>
        <v/>
      </c>
      <c r="E75" s="8">
        <f>'balance_raw_34596077'!$E$52</f>
        <v/>
      </c>
      <c r="F75" s="8">
        <f>'balance_raw_34596077'!$F$52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'balance_raw_34596077'!$B$53</f>
        <v/>
      </c>
      <c r="C76" s="11">
        <f>'balance_raw_34596077'!$C$53</f>
        <v/>
      </c>
      <c r="D76" s="11">
        <f>'balance_raw_34596077'!$D$53</f>
        <v/>
      </c>
      <c r="E76" s="11">
        <f>'balance_raw_34596077'!$E$53</f>
        <v/>
      </c>
      <c r="F76" s="11">
        <f>'balance_raw_34596077'!$F$53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'balance_raw_34596077'!$B$54</f>
        <v/>
      </c>
      <c r="C77" s="11">
        <f>'balance_raw_34596077'!$C$54</f>
        <v/>
      </c>
      <c r="D77" s="11">
        <f>'balance_raw_34596077'!$D$54</f>
        <v/>
      </c>
      <c r="E77" s="11">
        <f>'balance_raw_34596077'!$E$54</f>
        <v/>
      </c>
      <c r="F77" s="11">
        <f>'balance_raw_34596077'!$F$54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'balance_raw_34596077'!$B$55</f>
        <v/>
      </c>
      <c r="C78" s="11">
        <f>'balance_raw_34596077'!$C$55</f>
        <v/>
      </c>
      <c r="D78" s="11">
        <f>'balance_raw_34596077'!$D$55</f>
        <v/>
      </c>
      <c r="E78" s="11">
        <f>'balance_raw_34596077'!$E$55</f>
        <v/>
      </c>
      <c r="F78" s="11">
        <f>'balance_raw_34596077'!$F$55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'res_raw_34596077'!$B$19</f>
        <v/>
      </c>
      <c r="C81" s="8">
        <f>'res_raw_34596077'!$C$19</f>
        <v/>
      </c>
      <c r="D81" s="8">
        <f>'res_raw_34596077'!$D$19</f>
        <v/>
      </c>
      <c r="E81" s="8">
        <f>'res_raw_34596077'!$E$19</f>
        <v/>
      </c>
      <c r="F81" s="8">
        <f>'res_raw_34596077'!$F$19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'res_raw_34596077'!$B$20</f>
        <v/>
      </c>
      <c r="C82" s="5">
        <f>'res_raw_34596077'!$C$20</f>
        <v/>
      </c>
      <c r="D82" s="5">
        <f>'res_raw_34596077'!$D$20</f>
        <v/>
      </c>
      <c r="E82" s="5">
        <f>'res_raw_34596077'!$E$20</f>
        <v/>
      </c>
      <c r="F82" s="5">
        <f>'res_raw_34596077'!$F$20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GOG Sport A/S (CVR 34596077)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9131</v>
      </c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>
        <v>519</v>
      </c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6365</v>
      </c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10338</v>
      </c>
      <c r="C6" s="16" t="n">
        <v>14855</v>
      </c>
      <c r="D6" s="16" t="n">
        <v>19591</v>
      </c>
      <c r="E6" s="16" t="n">
        <v>15896</v>
      </c>
      <c r="F6" s="16" t="n">
        <v>17858</v>
      </c>
    </row>
    <row r="7">
      <c r="A7" s="15" t="inlineStr">
        <is>
          <t>Personaleomkostninger</t>
        </is>
      </c>
      <c r="B7" s="16" t="n">
        <v>11482</v>
      </c>
      <c r="C7" s="16" t="n">
        <v>14706</v>
      </c>
      <c r="D7" s="16" t="n">
        <v>15909</v>
      </c>
      <c r="E7" s="16" t="n">
        <v>17515</v>
      </c>
      <c r="F7" s="16" t="n">
        <v>17949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229</v>
      </c>
      <c r="C9" s="16" t="n">
        <v>356</v>
      </c>
      <c r="D9" s="16" t="n">
        <v>358</v>
      </c>
      <c r="E9" s="16" t="n">
        <v>503</v>
      </c>
      <c r="F9" s="16" t="n">
        <v>488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-1372</v>
      </c>
      <c r="C11" s="16" t="n">
        <v>-207</v>
      </c>
      <c r="D11" s="16" t="n">
        <v>3324</v>
      </c>
      <c r="E11" s="16" t="n">
        <v>-2122</v>
      </c>
      <c r="F11" s="16" t="n">
        <v>-579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2</v>
      </c>
      <c r="D13" s="16" t="n">
        <v>0</v>
      </c>
      <c r="E13" s="16" t="n">
        <v>0</v>
      </c>
      <c r="F13" s="16" t="n">
        <v>0</v>
      </c>
    </row>
    <row r="14">
      <c r="A14" s="15" t="inlineStr">
        <is>
          <t>Finansielle omkostninger</t>
        </is>
      </c>
      <c r="B14" s="16" t="n">
        <v>8</v>
      </c>
      <c r="C14" s="16" t="n">
        <v>37</v>
      </c>
      <c r="D14" s="16" t="n">
        <v>13</v>
      </c>
      <c r="E14" s="16" t="n">
        <v>22</v>
      </c>
      <c r="F14" s="16" t="n">
        <v>73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-1380</v>
      </c>
      <c r="C16" s="16" t="n">
        <v>-242</v>
      </c>
      <c r="D16" s="16" t="n">
        <v>3261</v>
      </c>
      <c r="E16" s="16" t="n">
        <v>-2144</v>
      </c>
      <c r="F16" s="16" t="n">
        <v>-652</v>
      </c>
    </row>
    <row r="17">
      <c r="A17" s="15" t="inlineStr">
        <is>
          <t>Skat af årets resultat</t>
        </is>
      </c>
      <c r="B17" s="16" t="n">
        <v>-303</v>
      </c>
      <c r="C17" s="16" t="n">
        <v>-61</v>
      </c>
      <c r="D17" s="16" t="n">
        <v>718</v>
      </c>
      <c r="E17" s="16" t="n">
        <v>-471</v>
      </c>
      <c r="F17" s="16" t="n">
        <v>-147</v>
      </c>
    </row>
    <row r="18">
      <c r="A18" s="17" t="inlineStr">
        <is>
          <t>Årets resultat</t>
        </is>
      </c>
      <c r="B18" s="16" t="n">
        <v>-1076</v>
      </c>
      <c r="C18" s="16" t="n">
        <v>-181</v>
      </c>
      <c r="D18" s="16" t="n">
        <v>2542</v>
      </c>
      <c r="E18" s="16" t="n">
        <v>-1673</v>
      </c>
      <c r="F18" s="16" t="n">
        <v>-505</v>
      </c>
    </row>
    <row r="19">
      <c r="A19" s="15" t="inlineStr">
        <is>
          <t>Gns. antal medarbejdere</t>
        </is>
      </c>
      <c r="B19" s="16" t="n">
        <v>20</v>
      </c>
      <c r="C19" s="16" t="n">
        <v>22</v>
      </c>
      <c r="D19" s="16" t="n">
        <v>23</v>
      </c>
      <c r="E19" s="16" t="n">
        <v>25</v>
      </c>
      <c r="F19" s="16" t="n">
        <v>28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GOG Sport A/S (CVR 34596077)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514</v>
      </c>
      <c r="C4" s="16" t="n">
        <v>530</v>
      </c>
      <c r="D4" s="16" t="n">
        <v>297</v>
      </c>
      <c r="E4" s="16" t="n">
        <v>404</v>
      </c>
      <c r="F4" s="16" t="n">
        <v>477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/>
      <c r="C7" s="16" t="n"/>
      <c r="D7" s="16" t="n"/>
      <c r="E7" s="16" t="n"/>
      <c r="F7" s="16" t="n"/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500</v>
      </c>
      <c r="C9" s="16" t="n">
        <v>500</v>
      </c>
      <c r="D9" s="16" t="n">
        <v>500</v>
      </c>
      <c r="E9" s="16" t="n">
        <v>500</v>
      </c>
      <c r="F9" s="16" t="n">
        <v>500</v>
      </c>
    </row>
    <row r="10">
      <c r="A10" s="17" t="inlineStr">
        <is>
          <t>Finansielle anlægsaktiver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Anlægsaktiver</t>
        </is>
      </c>
      <c r="B11" s="16" t="n">
        <v>1189</v>
      </c>
      <c r="C11" s="16" t="n">
        <v>1155</v>
      </c>
      <c r="D11" s="16" t="n">
        <v>1047</v>
      </c>
      <c r="E11" s="16" t="n">
        <v>1954</v>
      </c>
      <c r="F11" s="16" t="n">
        <v>1727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60</v>
      </c>
      <c r="C14" s="16" t="n">
        <v>74</v>
      </c>
      <c r="D14" s="16" t="n">
        <v>78</v>
      </c>
      <c r="E14" s="16" t="n">
        <v>94</v>
      </c>
      <c r="F14" s="16" t="n">
        <v>88</v>
      </c>
    </row>
    <row r="15">
      <c r="A15" s="17" t="inlineStr">
        <is>
          <t>Varebeholdninger</t>
        </is>
      </c>
      <c r="B15" s="16" t="n">
        <v>60</v>
      </c>
      <c r="C15" s="16" t="n">
        <v>74</v>
      </c>
      <c r="D15" s="16" t="n">
        <v>78</v>
      </c>
      <c r="E15" s="16" t="n">
        <v>94</v>
      </c>
      <c r="F15" s="16" t="n">
        <v>88</v>
      </c>
    </row>
    <row r="16">
      <c r="A16" s="15" t="inlineStr">
        <is>
          <t>Tilgodehavender fra salg og tjenesteydelser</t>
        </is>
      </c>
      <c r="B16" s="16" t="n">
        <v>178</v>
      </c>
      <c r="C16" s="16" t="n">
        <v>1022</v>
      </c>
      <c r="D16" s="16" t="n">
        <v>1627</v>
      </c>
      <c r="E16" s="16" t="n">
        <v>2515</v>
      </c>
      <c r="F16" s="16" t="n">
        <v>2850</v>
      </c>
    </row>
    <row r="17">
      <c r="A17" s="15" t="inlineStr">
        <is>
          <t>Tilgodehavender hos tilknyttede virksomheder</t>
        </is>
      </c>
      <c r="B17" s="16" t="n"/>
      <c r="C17" s="16" t="n">
        <v>1594</v>
      </c>
      <c r="D17" s="16" t="n">
        <v>438</v>
      </c>
      <c r="E17" s="16" t="n">
        <v>899</v>
      </c>
      <c r="F17" s="16" t="n">
        <v>1065</v>
      </c>
    </row>
    <row r="18">
      <c r="A18" s="15" t="inlineStr">
        <is>
          <t>Andre tilgodehavender</t>
        </is>
      </c>
      <c r="B18" s="16" t="n">
        <v>8362</v>
      </c>
      <c r="C18" s="16" t="n">
        <v>475</v>
      </c>
      <c r="D18" s="16" t="n">
        <v>3521</v>
      </c>
      <c r="E18" s="16" t="n">
        <v>1182</v>
      </c>
      <c r="F18" s="16" t="n">
        <v>1387</v>
      </c>
    </row>
    <row r="19">
      <c r="A19" s="15" t="inlineStr">
        <is>
          <t>Periodeafgrænsningsposter (aktiver)</t>
        </is>
      </c>
      <c r="B19" s="16" t="n">
        <v>0</v>
      </c>
      <c r="C19" s="16" t="n">
        <v>215</v>
      </c>
      <c r="D19" s="16" t="n">
        <v>241</v>
      </c>
      <c r="E19" s="16" t="n">
        <v>152</v>
      </c>
      <c r="F19" s="16" t="n">
        <v>174</v>
      </c>
    </row>
    <row r="20">
      <c r="A20" s="15" t="inlineStr">
        <is>
          <t>Udskudt skatteaktiv</t>
        </is>
      </c>
      <c r="B20" s="16" t="n">
        <v>421</v>
      </c>
      <c r="C20" s="16" t="n">
        <v>482</v>
      </c>
      <c r="D20" s="16" t="n">
        <v>0</v>
      </c>
      <c r="E20" s="16" t="n">
        <v>383</v>
      </c>
      <c r="F20" s="16" t="n">
        <v>531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/>
      <c r="C23" s="16" t="n"/>
      <c r="D23" s="16" t="n"/>
      <c r="E23" s="16" t="n"/>
      <c r="F23" s="16" t="n">
        <v>6006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875</v>
      </c>
      <c r="C25" s="16" t="n">
        <v>1516</v>
      </c>
      <c r="D25" s="16" t="n">
        <v>1391</v>
      </c>
      <c r="E25" s="16" t="n">
        <v>7</v>
      </c>
      <c r="F25" s="16" t="n">
        <v>22</v>
      </c>
    </row>
    <row r="26">
      <c r="A26" s="17" t="inlineStr">
        <is>
          <t>Omsætningsaktiver</t>
        </is>
      </c>
      <c r="B26" s="16" t="n">
        <v>9896</v>
      </c>
      <c r="C26" s="16" t="n">
        <v>5379</v>
      </c>
      <c r="D26" s="16" t="n">
        <v>7295</v>
      </c>
      <c r="E26" s="16" t="n">
        <v>5233</v>
      </c>
      <c r="F26" s="16" t="n">
        <v>6116</v>
      </c>
    </row>
    <row r="27">
      <c r="A27" s="17" t="inlineStr">
        <is>
          <t>Aktiver</t>
        </is>
      </c>
      <c r="B27" s="16" t="n">
        <v>11085</v>
      </c>
      <c r="C27" s="16" t="n">
        <v>6535</v>
      </c>
      <c r="D27" s="16" t="n">
        <v>8343</v>
      </c>
      <c r="E27" s="16" t="n">
        <v>7187</v>
      </c>
      <c r="F27" s="16" t="n">
        <v>7843</v>
      </c>
    </row>
    <row r="28">
      <c r="A28" s="15" t="inlineStr">
        <is>
          <t>Selskabskapital</t>
        </is>
      </c>
      <c r="B28" s="16" t="n">
        <v>1000</v>
      </c>
      <c r="C28" s="16" t="n">
        <v>1000</v>
      </c>
      <c r="D28" s="16" t="n">
        <v>1000</v>
      </c>
      <c r="E28" s="16" t="n">
        <v>1000</v>
      </c>
      <c r="F28" s="16" t="n">
        <v>1000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311</v>
      </c>
      <c r="C33" s="16" t="n">
        <v>130</v>
      </c>
      <c r="D33" s="16" t="n">
        <v>2673</v>
      </c>
      <c r="E33" s="16" t="n">
        <v>1000</v>
      </c>
      <c r="F33" s="16" t="n">
        <v>495</v>
      </c>
    </row>
    <row r="34">
      <c r="A34" s="17" t="inlineStr">
        <is>
          <t>Egenkapital i alt</t>
        </is>
      </c>
      <c r="B34" s="16" t="n">
        <v>1311</v>
      </c>
      <c r="C34" s="16" t="n">
        <v>1130</v>
      </c>
      <c r="D34" s="16" t="n">
        <v>3673</v>
      </c>
      <c r="E34" s="16" t="n">
        <v>2000</v>
      </c>
      <c r="F34" s="16" t="n">
        <v>1495</v>
      </c>
    </row>
    <row r="35">
      <c r="A35" s="15" t="inlineStr">
        <is>
          <t>Hensættelse til udskudt skat</t>
        </is>
      </c>
      <c r="B35" s="16" t="n">
        <v>0</v>
      </c>
      <c r="C35" s="16" t="n">
        <v>0</v>
      </c>
      <c r="D35" s="16" t="n">
        <v>87</v>
      </c>
      <c r="E35" s="16" t="n">
        <v>0</v>
      </c>
      <c r="F35" s="16" t="n">
        <v>0</v>
      </c>
    </row>
    <row r="36">
      <c r="A36" s="17" t="inlineStr">
        <is>
          <t>Hensatte forpligtelser</t>
        </is>
      </c>
      <c r="B36" s="16" t="n">
        <v>0</v>
      </c>
      <c r="C36" s="16" t="n">
        <v>0</v>
      </c>
      <c r="D36" s="16" t="n">
        <v>87</v>
      </c>
      <c r="E36" s="16" t="n">
        <v>0</v>
      </c>
      <c r="F36" s="16" t="n">
        <v>0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>
        <v>245</v>
      </c>
      <c r="E40" s="16" t="n">
        <v>253</v>
      </c>
      <c r="F40" s="16" t="n"/>
    </row>
    <row r="41">
      <c r="A41" s="17" t="inlineStr">
        <is>
          <t>Langfristede gældsforpligtelser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/>
      <c r="C44" s="16" t="n"/>
      <c r="D44" s="16" t="n"/>
      <c r="E44" s="16" t="n">
        <v>762</v>
      </c>
      <c r="F44" s="16" t="n">
        <v>850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4832</v>
      </c>
      <c r="C46" s="16" t="n">
        <v>598</v>
      </c>
      <c r="D46" s="16" t="n">
        <v>2406</v>
      </c>
      <c r="E46" s="16" t="n">
        <v>2217</v>
      </c>
      <c r="F46" s="16" t="n">
        <v>1021</v>
      </c>
    </row>
    <row r="47">
      <c r="A47" s="15" t="inlineStr">
        <is>
          <t>Gæld til tilknyttede virksomheder</t>
        </is>
      </c>
      <c r="B47" s="16" t="n">
        <v>251</v>
      </c>
      <c r="C47" s="16" t="n">
        <v>52</v>
      </c>
      <c r="D47" s="16" t="n">
        <v>102</v>
      </c>
      <c r="E47" s="16" t="n">
        <v>199</v>
      </c>
      <c r="F47" s="16" t="n">
        <v>179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>
        <v>0</v>
      </c>
      <c r="F50" s="16" t="n">
        <v>0</v>
      </c>
    </row>
    <row r="51">
      <c r="A51" s="15" t="inlineStr">
        <is>
          <t>Anden gæld (kortfristet)</t>
        </is>
      </c>
      <c r="B51" s="16" t="n">
        <v>4359</v>
      </c>
      <c r="C51" s="16" t="n">
        <v>3054</v>
      </c>
      <c r="D51" s="16" t="n">
        <v>980</v>
      </c>
      <c r="E51" s="16" t="n">
        <v>875</v>
      </c>
      <c r="F51" s="16" t="n">
        <v>2716</v>
      </c>
    </row>
    <row r="52">
      <c r="A52" s="15" t="inlineStr">
        <is>
          <t>Periodeafgrænsningsposter (passiver)</t>
        </is>
      </c>
      <c r="B52" s="16" t="n">
        <v>102</v>
      </c>
      <c r="C52" s="16" t="n">
        <v>1463</v>
      </c>
      <c r="D52" s="16" t="n">
        <v>700</v>
      </c>
      <c r="E52" s="16" t="n">
        <v>882</v>
      </c>
      <c r="F52" s="16" t="n">
        <v>1320</v>
      </c>
    </row>
    <row r="53">
      <c r="A53" s="17" t="inlineStr">
        <is>
          <t>Kortfristede gældsforpligtelser</t>
        </is>
      </c>
      <c r="B53" s="16" t="n">
        <v>9544</v>
      </c>
      <c r="C53" s="16" t="n">
        <v>5167</v>
      </c>
      <c r="D53" s="16" t="n">
        <v>4338</v>
      </c>
      <c r="E53" s="16" t="n">
        <v>4934</v>
      </c>
      <c r="F53" s="16" t="n">
        <v>6085</v>
      </c>
    </row>
    <row r="54">
      <c r="A54" s="17" t="inlineStr">
        <is>
          <t>Gældsforpligtelser</t>
        </is>
      </c>
      <c r="B54" s="16" t="n">
        <v>9774</v>
      </c>
      <c r="C54" s="16" t="n">
        <v>5404</v>
      </c>
      <c r="D54" s="16" t="n">
        <v>4583</v>
      </c>
      <c r="E54" s="16" t="n">
        <v>5187</v>
      </c>
      <c r="F54" s="16" t="n">
        <v>6348</v>
      </c>
    </row>
    <row r="55">
      <c r="A55" s="17" t="inlineStr">
        <is>
          <t>Passiver</t>
        </is>
      </c>
      <c r="B55" s="16" t="n">
        <v>11085</v>
      </c>
      <c r="C55" s="16" t="n">
        <v>6535</v>
      </c>
      <c r="D55" s="16" t="n">
        <v>8343</v>
      </c>
      <c r="E55" s="16" t="n">
        <v>7187</v>
      </c>
      <c r="F55" s="16" t="n">
        <v>7843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GOG Sport A/S (CVR 34596077) — Regnskabs- og nøgletal (CVR: 34596077)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'res_raw_34596077'!$F$2</f>
        <v/>
      </c>
      <c r="C5" s="24">
        <f>'res_raw_34596077'!$E$2</f>
        <v/>
      </c>
      <c r="D5" s="24">
        <f>'res_raw_34596077'!$D$2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'res_raw_34596077'!$F$3</f>
        <v/>
      </c>
      <c r="C6" s="24">
        <f>'res_raw_34596077'!$E$3</f>
        <v/>
      </c>
      <c r="D6" s="24">
        <f>'res_raw_34596077'!$D$3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-'res_raw_34596077'!$F$4</f>
        <v/>
      </c>
      <c r="C7" s="24">
        <f>-'res_raw_34596077'!$E$4</f>
        <v/>
      </c>
      <c r="D7" s="24">
        <f>-'res_raw_34596077'!$D$4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-'res_raw_34596077'!$F$5</f>
        <v/>
      </c>
      <c r="C8" s="24">
        <f>-'res_raw_34596077'!$E$5</f>
        <v/>
      </c>
      <c r="D8" s="24">
        <f>-'res_raw_34596077'!$D$5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-'res_raw_34596077'!$F$7</f>
        <v/>
      </c>
      <c r="C10" s="24">
        <f>-'res_raw_34596077'!$E$7</f>
        <v/>
      </c>
      <c r="D10" s="24">
        <f>-'res_raw_34596077'!$D$7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-'res_raw_34596077'!$F$9</f>
        <v/>
      </c>
      <c r="C11" s="24">
        <f>-'res_raw_34596077'!$E$9</f>
        <v/>
      </c>
      <c r="D11" s="24">
        <f>-'res_raw_34596077'!$D$9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-'res_raw_34596077'!$F$10</f>
        <v/>
      </c>
      <c r="C12" s="24">
        <f>-'res_raw_34596077'!$E$10</f>
        <v/>
      </c>
      <c r="D12" s="24">
        <f>-'res_raw_34596077'!$D$10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N('res_raw_34596077'!$F$12)+N('res_raw_34596077'!$F$13)</f>
        <v/>
      </c>
      <c r="C14" s="24">
        <f>N('res_raw_34596077'!$E$12)+N('res_raw_34596077'!$E$13)</f>
        <v/>
      </c>
      <c r="D14" s="24">
        <f>N('res_raw_34596077'!$D$12)+N('res_raw_34596077'!$D$13)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-'res_raw_34596077'!$F$14</f>
        <v/>
      </c>
      <c r="C15" s="24">
        <f>-'res_raw_34596077'!$E$14</f>
        <v/>
      </c>
      <c r="D15" s="24">
        <f>-'res_raw_34596077'!$D$14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'balance_raw_34596077'!$F$11</f>
        <v/>
      </c>
      <c r="C19" s="24">
        <f>'balance_raw_34596077'!$E$11</f>
        <v/>
      </c>
      <c r="D19" s="24">
        <f>'balance_raw_34596077'!$D$11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'balance_raw_34596077'!$F$26</f>
        <v/>
      </c>
      <c r="C20" s="24">
        <f>'balance_raw_34596077'!$E$26</f>
        <v/>
      </c>
      <c r="D20" s="24">
        <f>'balance_raw_34596077'!$D$26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'balance_raw_34596077'!$F$34</f>
        <v/>
      </c>
      <c r="C23" s="24">
        <f>'balance_raw_34596077'!$E$34</f>
        <v/>
      </c>
      <c r="D23" s="24">
        <f>'balance_raw_34596077'!$D$34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'balance_raw_34596077'!$F$55-'balance_raw_34596077'!$F$34</f>
        <v/>
      </c>
      <c r="C24" s="24">
        <f>'balance_raw_34596077'!$E$55-'balance_raw_34596077'!$E$34</f>
        <v/>
      </c>
      <c r="D24" s="24">
        <f>'balance_raw_34596077'!$D$55-'balance_raw_34596077'!$D$34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'balance_raw_34596077'!$F$15</f>
        <v/>
      </c>
      <c r="C28" s="24">
        <f>'balance_raw_34596077'!$E$15</f>
        <v/>
      </c>
      <c r="D28" s="24">
        <f>'balance_raw_34596077'!$D$15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'balance_raw_34596077'!$F$16</f>
        <v/>
      </c>
      <c r="C29" s="24">
        <f>'balance_raw_34596077'!$E$16</f>
        <v/>
      </c>
      <c r="D29" s="24">
        <f>'balance_raw_34596077'!$D$16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'balance_raw_34596077'!$F$53</f>
        <v/>
      </c>
      <c r="C30" s="24">
        <f>'balance_raw_34596077'!$E$53</f>
        <v/>
      </c>
      <c r="D30" s="24">
        <f>'balance_raw_34596077'!$D$53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IF('balance_raw_34596077'!$F$27="","—",IF(ABS(B21-'balance_raw_34596077'!$F$27)&lt;=1,"✓ OK","❌ "&amp;TEXT(B21-'balance_raw_34596077'!$F$27,"+#,##0;-#,##0")&amp;" t.kr."))</f>
        <v/>
      </c>
      <c r="C61" s="29">
        <f>IF('balance_raw_34596077'!$E$27="","—",IF(ABS(C21-'balance_raw_34596077'!$E$27)&lt;=1,"✓ OK","❌ "&amp;TEXT(C21-'balance_raw_34596077'!$E$27,"+#,##0;-#,##0")&amp;" t.kr."))</f>
        <v/>
      </c>
      <c r="D61" s="29">
        <f>IF('balance_raw_34596077'!$D$27="","—",IF(ABS(D21-'balance_raw_34596077'!$D$27)&lt;=1,"✓ OK","❌ "&amp;TEXT(D21-'balance_raw_34596077'!$D$27,"+#,##0;-#,##0")&amp;"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IF('balance_raw_34596077'!$F$55="","—",IF(ABS(B25-'balance_raw_34596077'!$F$55)&lt;=1,"✓ OK","❌ "&amp;TEXT(B25-'balance_raw_34596077'!$F$55,"+#,##0;-#,##0")&amp;" t.kr."))</f>
        <v/>
      </c>
      <c r="C62" s="29">
        <f>IF('balance_raw_34596077'!$E$55="","—",IF(ABS(C25-'balance_raw_34596077'!$E$55)&lt;=1,"✓ OK","❌ "&amp;TEXT(C25-'balance_raw_34596077'!$E$55,"+#,##0;-#,##0")&amp;" t.kr."))</f>
        <v/>
      </c>
      <c r="D62" s="29">
        <f>IF('balance_raw_34596077'!$D$55="","—",IF(ABS(D25-'balance_raw_34596077'!$D$55)&lt;=1,"✓ OK","❌ "&amp;TEXT(D25-'balance_raw_34596077'!$D$55,"+#,##0;-#,##0")&amp;"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IF('res_raw_34596077'!$F$6="","—",IF(ABS(B9-'res_raw_34596077'!$F$6)&lt;=1,"✓ OK","❌ "&amp;TEXT(B9-'res_raw_34596077'!$F$6,"+#,##0;-#,##0")&amp;" t.kr."))</f>
        <v/>
      </c>
      <c r="C64" s="29">
        <f>IF('res_raw_34596077'!$E$6="","—",IF(ABS(C9-'res_raw_34596077'!$E$6)&lt;=1,"✓ OK","❌ "&amp;TEXT(C9-'res_raw_34596077'!$E$6,"+#,##0;-#,##0")&amp;" t.kr."))</f>
        <v/>
      </c>
      <c r="D64" s="29">
        <f>IF('res_raw_34596077'!$D$6="","—",IF(ABS(D9-'res_raw_34596077'!$D$6)&lt;=1,"✓ OK","❌ "&amp;TEXT(D9-'res_raw_34596077'!$D$6,"+#,##0;-#,##0")&amp;"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IF('res_raw_34596077'!$F$11="","—",IF(ABS(B13-'res_raw_34596077'!$F$11)&lt;=1,"✓ OK","❌ "&amp;TEXT(B13-'res_raw_34596077'!$F$11,"+#,##0;-#,##0")&amp;" t.kr."))</f>
        <v/>
      </c>
      <c r="C65" s="29">
        <f>IF('res_raw_34596077'!$E$11="","—",IF(ABS(C13-'res_raw_34596077'!$E$11)&lt;=1,"✓ OK","❌ "&amp;TEXT(C13-'res_raw_34596077'!$E$11,"+#,##0;-#,##0")&amp;" t.kr."))</f>
        <v/>
      </c>
      <c r="D65" s="29">
        <f>IF('res_raw_34596077'!$D$11="","—",IF(ABS(D13-'res_raw_34596077'!$D$11)&lt;=1,"✓ OK","❌ "&amp;TEXT(D13-'res_raw_34596077'!$D$11,"+#,##0;-#,##0")&amp;"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IF('res_raw_34596077'!$F$16="","—",IF(ABS(B16-'res_raw_34596077'!$F$16)&lt;=1,"✓ OK","❌ "&amp;TEXT(B16-'res_raw_34596077'!$F$16,"+#,##0;-#,##0")&amp;" t.kr."))</f>
        <v/>
      </c>
      <c r="C66" s="29">
        <f>IF('res_raw_34596077'!$E$16="","—",IF(ABS(C16-'res_raw_34596077'!$E$16)&lt;=1,"✓ OK","❌ "&amp;TEXT(C16-'res_raw_34596077'!$E$16,"+#,##0;-#,##0")&amp;" t.kr."))</f>
        <v/>
      </c>
      <c r="D66" s="29">
        <f>IF('res_raw_34596077'!$D$16="","—",IF(ABS(D16-'res_raw_34596077'!$D$16)&lt;=1,"✓ OK","❌ "&amp;TEXT(D16-'res_raw_34596077'!$D$16,"+#,##0;-#,##0")&amp;"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GOG Sport A/S (CVR 34596077)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/>
      <c r="E3" s="35" t="n"/>
      <c r="F3" s="35" t="n">
        <v>50</v>
      </c>
      <c r="G3" s="35" t="n">
        <v>0</v>
      </c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2026-09-11T07:36:38Z</dcterms:created>
  <dcterms:modified xmlns:dcterms="http://purl.org/dc/terms/" xmlns:xsi="http://www.w3.org/2001/XMLSchema-instance" xsi:type="dcterms:W3CDTF">2026-09-11T07:36:38Z</dcterms:modified>
</cp:coreProperties>
</file>