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(2021=100)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t="inlineStr"/>
      <c r="G3" s="3" t="n">
        <v>2021</v>
      </c>
      <c r="H3" s="3" t="n">
        <v>2022</v>
      </c>
      <c r="I3" s="3" t="n">
        <v>2023</v>
      </c>
      <c r="J3" s="3" t="n">
        <v>2024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t="inlineStr"/>
      <c r="G22" s="3" t="n">
        <v>2021</v>
      </c>
      <c r="H22" s="3" t="n">
        <v>2022</v>
      </c>
      <c r="I22" s="3" t="n">
        <v>2023</v>
      </c>
      <c r="J22" s="3" t="n">
        <v>2024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t="inlineStr"/>
      <c r="G50" s="3" t="n">
        <v>2021</v>
      </c>
      <c r="H50" s="3" t="n">
        <v>2022</v>
      </c>
      <c r="I50" s="3" t="n">
        <v>2023</v>
      </c>
      <c r="J50" s="3" t="n">
        <v>2024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41792019)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'res_raw_41792019'!$E$2</f>
        <v/>
      </c>
      <c r="C5" s="24">
        <f>'res_raw_41792019'!$D$2</f>
        <v/>
      </c>
      <c r="D5" s="24">
        <f>'res_raw_41792019'!$C$2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'res_raw_41792019'!$E$3</f>
        <v/>
      </c>
      <c r="C6" s="24">
        <f>'res_raw_41792019'!$D$3</f>
        <v/>
      </c>
      <c r="D6" s="24">
        <f>'res_raw_41792019'!$C$3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-'res_raw_41792019'!$E$4</f>
        <v/>
      </c>
      <c r="C7" s="24">
        <f>-'res_raw_41792019'!$D$4</f>
        <v/>
      </c>
      <c r="D7" s="24">
        <f>-'res_raw_41792019'!$C$4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-'res_raw_41792019'!$E$5</f>
        <v/>
      </c>
      <c r="C8" s="24">
        <f>-'res_raw_41792019'!$D$5</f>
        <v/>
      </c>
      <c r="D8" s="24">
        <f>-'res_raw_41792019'!$C$5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-'res_raw_41792019'!$E$7</f>
        <v/>
      </c>
      <c r="C10" s="24">
        <f>-'res_raw_41792019'!$D$7</f>
        <v/>
      </c>
      <c r="D10" s="24">
        <f>-'res_raw_41792019'!$C$7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-'res_raw_41792019'!$E$9</f>
        <v/>
      </c>
      <c r="C11" s="24">
        <f>-'res_raw_41792019'!$D$9</f>
        <v/>
      </c>
      <c r="D11" s="24">
        <f>-'res_raw_41792019'!$C$9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-'res_raw_41792019'!$E$10</f>
        <v/>
      </c>
      <c r="C12" s="24">
        <f>-'res_raw_41792019'!$D$10</f>
        <v/>
      </c>
      <c r="D12" s="24">
        <f>-'res_raw_41792019'!$C$10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N('res_raw_41792019'!$E$12)+N('res_raw_41792019'!$E$13)</f>
        <v/>
      </c>
      <c r="C14" s="24">
        <f>N('res_raw_41792019'!$D$12)+N('res_raw_41792019'!$D$13)</f>
        <v/>
      </c>
      <c r="D14" s="24">
        <f>N('res_raw_41792019'!$C$12)+N('res_raw_41792019'!$C$13)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-'res_raw_41792019'!$E$14</f>
        <v/>
      </c>
      <c r="C15" s="24">
        <f>-'res_raw_41792019'!$D$14</f>
        <v/>
      </c>
      <c r="D15" s="24">
        <f>-'res_raw_41792019'!$C$14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'balance_raw_41792019'!$E$15</f>
        <v/>
      </c>
      <c r="C19" s="24">
        <f>'balance_raw_41792019'!$D$15</f>
        <v/>
      </c>
      <c r="D19" s="24">
        <f>'balance_raw_41792019'!$C$15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'balance_raw_41792019'!$E$26</f>
        <v/>
      </c>
      <c r="C20" s="24">
        <f>'balance_raw_41792019'!$D$26</f>
        <v/>
      </c>
      <c r="D20" s="24">
        <f>'balance_raw_41792019'!$C$26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'balance_raw_41792019'!$E$34</f>
        <v/>
      </c>
      <c r="C23" s="24">
        <f>'balance_raw_41792019'!$D$34</f>
        <v/>
      </c>
      <c r="D23" s="24">
        <f>'balance_raw_41792019'!$C$34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'balance_raw_41792019'!$E$55-'balance_raw_41792019'!$E$34</f>
        <v/>
      </c>
      <c r="C24" s="24">
        <f>'balance_raw_41792019'!$D$55-'balance_raw_41792019'!$D$34</f>
        <v/>
      </c>
      <c r="D24" s="24">
        <f>'balance_raw_41792019'!$C$55-'balance_raw_41792019'!$C$34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'balance_raw_41792019'!$E$16</f>
        <v/>
      </c>
      <c r="C29" s="24">
        <f>'balance_raw_41792019'!$D$16</f>
        <v/>
      </c>
      <c r="D29" s="24">
        <f>'balance_raw_41792019'!$C$16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'balance_raw_41792019'!$E$53</f>
        <v/>
      </c>
      <c r="C30" s="24">
        <f>'balance_raw_41792019'!$D$53</f>
        <v/>
      </c>
      <c r="D30" s="24">
        <f>'balance_raw_41792019'!$C$53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IF('balance_raw_41792019'!$E$27="","—",IF(ABS(B21-'balance_raw_41792019'!$E$27)&lt;=1,"✓ OK","❌ "&amp;TEXT(B21-'balance_raw_41792019'!$E$27,"+#,##0;-#,##0")&amp;" t.kr."))</f>
        <v/>
      </c>
      <c r="C61" s="29">
        <f>IF('balance_raw_41792019'!$D$27="","—",IF(ABS(C21-'balance_raw_41792019'!$D$27)&lt;=1,"✓ OK","❌ "&amp;TEXT(C21-'balance_raw_41792019'!$D$27,"+#,##0;-#,##0")&amp;" t.kr."))</f>
        <v/>
      </c>
      <c r="D61" s="29">
        <f>IF('balance_raw_41792019'!$C$27="","—",IF(ABS(D21-'balance_raw_41792019'!$C$27)&lt;=1,"✓ OK","❌ "&amp;TEXT(D21-'balance_raw_41792019'!$C$27,"+#,##0;-#,##0")&amp;"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IF('balance_raw_41792019'!$E$55="","—",IF(ABS(B25-'balance_raw_41792019'!$E$55)&lt;=1,"✓ OK","❌ "&amp;TEXT(B25-'balance_raw_41792019'!$E$55,"+#,##0;-#,##0")&amp;" t.kr."))</f>
        <v/>
      </c>
      <c r="C62" s="29">
        <f>IF('balance_raw_41792019'!$D$55="","—",IF(ABS(C25-'balance_raw_41792019'!$D$55)&lt;=1,"✓ OK","❌ "&amp;TEXT(C25-'balance_raw_41792019'!$D$55,"+#,##0;-#,##0")&amp;" t.kr."))</f>
        <v/>
      </c>
      <c r="D62" s="29">
        <f>IF('balance_raw_41792019'!$C$55="","—",IF(ABS(D25-'balance_raw_41792019'!$C$55)&lt;=1,"✓ OK","❌ "&amp;TEXT(D25-'balance_raw_41792019'!$C$55,"+#,##0;-#,##0")&amp;"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IF('res_raw_41792019'!$E$6="","—",IF(ABS(B9-'res_raw_41792019'!$E$6)&lt;=1,"✓ OK","❌ "&amp;TEXT(B9-'res_raw_41792019'!$E$6,"+#,##0;-#,##0")&amp;" t.kr."))</f>
        <v/>
      </c>
      <c r="C64" s="29">
        <f>IF('res_raw_41792019'!$D$6="","—",IF(ABS(C9-'res_raw_41792019'!$D$6)&lt;=1,"✓ OK","❌ "&amp;TEXT(C9-'res_raw_41792019'!$D$6,"+#,##0;-#,##0")&amp;" t.kr."))</f>
        <v/>
      </c>
      <c r="D64" s="29">
        <f>IF('res_raw_41792019'!$C$6="","—",IF(ABS(D9-'res_raw_41792019'!$C$6)&lt;=1,"✓ OK","❌ "&amp;TEXT(D9-'res_raw_41792019'!$C$6,"+#,##0;-#,##0")&amp;"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IF('res_raw_41792019'!$E$11="","—",IF(ABS(B13-'res_raw_41792019'!$E$11)&lt;=1,"✓ OK","❌ "&amp;TEXT(B13-'res_raw_41792019'!$E$11,"+#,##0;-#,##0")&amp;" t.kr."))</f>
        <v/>
      </c>
      <c r="C65" s="29">
        <f>IF('res_raw_41792019'!$D$11="","—",IF(ABS(C13-'res_raw_41792019'!$D$11)&lt;=1,"✓ OK","❌ "&amp;TEXT(C13-'res_raw_41792019'!$D$11,"+#,##0;-#,##0")&amp;" t.kr."))</f>
        <v/>
      </c>
      <c r="D65" s="29">
        <f>IF('res_raw_41792019'!$C$11="","—",IF(ABS(D13-'res_raw_41792019'!$C$11)&lt;=1,"✓ OK","❌ "&amp;TEXT(D13-'res_raw_41792019'!$C$11,"+#,##0;-#,##0")&amp;"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IF('res_raw_41792019'!$E$16="","—",IF(ABS(B16-'res_raw_41792019'!$E$16)&lt;=1,"✓ OK","❌ "&amp;TEXT(B16-'res_raw_41792019'!$E$16,"+#,##0;-#,##0")&amp;" t.kr."))</f>
        <v/>
      </c>
      <c r="C66" s="29">
        <f>IF('res_raw_41792019'!$D$16="","—",IF(ABS(C16-'res_raw_41792019'!$D$16)&lt;=1,"✓ OK","❌ "&amp;TEXT(C16-'res_raw_41792019'!$D$16,"+#,##0;-#,##0")&amp;" t.kr."))</f>
        <v/>
      </c>
      <c r="D66" s="29">
        <f>IF('res_raw_41792019'!$C$16="","—",IF(ABS(D16-'res_raw_41792019'!$C$16)&lt;=1,"✓ OK","❌ "&amp;TEXT(D16-'res_raw_41792019'!$C$16,"+#,##0;-#,##0")&amp;"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2026-08-28T20:15:33Z</dcterms:created>
  <dcterms:modified xmlns:dcterms="http://purl.org/dc/terms/" xmlns:xsi="http://www.w3.org/2001/XMLSchema-instance" xsi:type="dcterms:W3CDTF">2026-08-28T20:15:33Z</dcterms:modified>
</cp:coreProperties>
</file>