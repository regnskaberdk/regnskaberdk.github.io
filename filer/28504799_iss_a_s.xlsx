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iss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'balance_raw'!$B$2</f>
        <v/>
      </c>
      <c r="C23" s="11">
        <f>'balance_raw'!$C$2</f>
        <v/>
      </c>
      <c r="D23" s="11">
        <f>'balance_raw'!$D$2</f>
        <v/>
      </c>
      <c r="E23" s="11">
        <f>'balance_raw'!$E$2</f>
        <v/>
      </c>
      <c r="F23" s="11">
        <f>'balance_raw'!$F$2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10" t="inlineStr">
        <is>
          <t>Materielle anlægsaktiver</t>
        </is>
      </c>
      <c r="B24" s="11">
        <f>'balance_raw'!$B$3</f>
        <v/>
      </c>
      <c r="C24" s="11">
        <f>'balance_raw'!$C$3</f>
        <v/>
      </c>
      <c r="D24" s="11">
        <f>'balance_raw'!$D$3</f>
        <v/>
      </c>
      <c r="E24" s="11">
        <f>'balance_raw'!$E$3</f>
        <v/>
      </c>
      <c r="F24" s="11">
        <f>'balance_raw'!$F$3</f>
        <v/>
      </c>
      <c r="G24" t="inlineStr"/>
      <c r="H24" s="12">
        <f>IFERROR(B24/$B$24*100,"")</f>
        <v/>
      </c>
      <c r="I24" s="12">
        <f>IFERROR(C24/$B$24*100,"")</f>
        <v/>
      </c>
      <c r="J24" s="12">
        <f>IFERROR(D24/$B$24*100,"")</f>
        <v/>
      </c>
      <c r="K24" s="12">
        <f>IFERROR(E24/$B$24*100,"")</f>
        <v/>
      </c>
      <c r="L24" s="12">
        <f>IFERROR(F24/$B$24*100,"")</f>
        <v/>
      </c>
    </row>
    <row r="25" ht="16" customHeight="1">
      <c r="A25" s="7" t="inlineStr">
        <is>
          <t>Kapitalandele, dattervirksomheder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Deposita</t>
        </is>
      </c>
      <c r="B26" s="5">
        <f>'balance_raw'!$B$5</f>
        <v/>
      </c>
      <c r="C26" s="5">
        <f>'balance_raw'!$C$5</f>
        <v/>
      </c>
      <c r="D26" s="5">
        <f>'balance_raw'!$D$5</f>
        <v/>
      </c>
      <c r="E26" s="5">
        <f>'balance_raw'!$E$5</f>
        <v/>
      </c>
      <c r="F26" s="5">
        <f>'balance_raw'!$F$5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Finansielle anlægsaktiver</t>
        </is>
      </c>
      <c r="B27" s="11">
        <f>'balance_raw'!$B$6</f>
        <v/>
      </c>
      <c r="C27" s="11">
        <f>'balance_raw'!$C$6</f>
        <v/>
      </c>
      <c r="D27" s="11">
        <f>'balance_raw'!$D$6</f>
        <v/>
      </c>
      <c r="E27" s="11">
        <f>'balance_raw'!$E$6</f>
        <v/>
      </c>
      <c r="F27" s="11">
        <f>'balance_raw'!$F$6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10" t="inlineStr">
        <is>
          <t>Anlægsaktiver</t>
        </is>
      </c>
      <c r="B28" s="11">
        <f>'balance_raw'!$B$7</f>
        <v/>
      </c>
      <c r="C28" s="11">
        <f>'balance_raw'!$C$7</f>
        <v/>
      </c>
      <c r="D28" s="11">
        <f>'balance_raw'!$D$7</f>
        <v/>
      </c>
      <c r="E28" s="11">
        <f>'balance_raw'!$E$7</f>
        <v/>
      </c>
      <c r="F28" s="11">
        <f>'balance_raw'!$F$7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Råvarer og hjælpematerialer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Varer under fremstilling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Færdigvarer og handelsvarer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Varebeholdninger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Tilgodehavender fra salg og tjenesteydelser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Andre tilgodehavender</t>
        </is>
      </c>
      <c r="B35" s="8">
        <f>'balance_raw'!$B$14</f>
        <v/>
      </c>
      <c r="C35" s="8">
        <f>'balance_raw'!$C$14</f>
        <v/>
      </c>
      <c r="D35" s="8">
        <f>'balance_raw'!$D$14</f>
        <v/>
      </c>
      <c r="E35" s="8">
        <f>'balance_raw'!$E$14</f>
        <v/>
      </c>
      <c r="F35" s="8">
        <f>'balance_raw'!$F$14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'balance_raw'!$B$15</f>
        <v/>
      </c>
      <c r="C36" s="5">
        <f>'balance_raw'!$C$15</f>
        <v/>
      </c>
      <c r="D36" s="5">
        <f>'balance_raw'!$D$15</f>
        <v/>
      </c>
      <c r="E36" s="5">
        <f>'balance_raw'!$E$15</f>
        <v/>
      </c>
      <c r="F36" s="5">
        <f>'balance_raw'!$F$15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Udskudt skatteaktiv</t>
        </is>
      </c>
      <c r="B37" s="8">
        <f>'balance_raw'!$B$16</f>
        <v/>
      </c>
      <c r="C37" s="8">
        <f>'balance_raw'!$C$16</f>
        <v/>
      </c>
      <c r="D37" s="8">
        <f>'balance_raw'!$D$16</f>
        <v/>
      </c>
      <c r="E37" s="8">
        <f>'balance_raw'!$E$16</f>
        <v/>
      </c>
      <c r="F37" s="8">
        <f>'balance_raw'!$F$16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Kortfristede skattetilgodehavender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Tilgodehavender</t>
        </is>
      </c>
      <c r="B40" s="11">
        <f>'balance_raw'!$B$19</f>
        <v/>
      </c>
      <c r="C40" s="11">
        <f>'balance_raw'!$C$19</f>
        <v/>
      </c>
      <c r="D40" s="11">
        <f>'balance_raw'!$D$19</f>
        <v/>
      </c>
      <c r="E40" s="11">
        <f>'balance_raw'!$E$19</f>
        <v/>
      </c>
      <c r="F40" s="11">
        <f>'balance_raw'!$F$19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Værdipapirer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Omsætningsaktiver</t>
        </is>
      </c>
      <c r="B43" s="11">
        <f>'balance_raw'!$B$22</f>
        <v/>
      </c>
      <c r="C43" s="11">
        <f>'balance_raw'!$C$22</f>
        <v/>
      </c>
      <c r="D43" s="11">
        <f>'balance_raw'!$D$22</f>
        <v/>
      </c>
      <c r="E43" s="11">
        <f>'balance_raw'!$E$22</f>
        <v/>
      </c>
      <c r="F43" s="11">
        <f>'balance_raw'!$F$22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10" t="inlineStr">
        <is>
          <t>Aktiver</t>
        </is>
      </c>
      <c r="B44" s="11">
        <f>'balance_raw'!$B$23</f>
        <v/>
      </c>
      <c r="C44" s="11">
        <f>'balance_raw'!$C$23</f>
        <v/>
      </c>
      <c r="D44" s="11">
        <f>'balance_raw'!$D$23</f>
        <v/>
      </c>
      <c r="E44" s="11">
        <f>'balance_raw'!$E$23</f>
        <v/>
      </c>
      <c r="F44" s="11">
        <f>'balance_raw'!$F$23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10" t="inlineStr">
        <is>
          <t>Egenkapital i alt</t>
        </is>
      </c>
      <c r="B47" s="11">
        <f>'balance_raw'!$B$24</f>
        <v/>
      </c>
      <c r="C47" s="11">
        <f>'balance_raw'!$C$24</f>
        <v/>
      </c>
      <c r="D47" s="11">
        <f>'balance_raw'!$D$24</f>
        <v/>
      </c>
      <c r="E47" s="11">
        <f>'balance_raw'!$E$24</f>
        <v/>
      </c>
      <c r="F47" s="11">
        <f>'balance_raw'!$F$24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Hensættelse til udskudt skat</t>
        </is>
      </c>
      <c r="B48" s="5">
        <f>'balance_raw'!$B$25</f>
        <v/>
      </c>
      <c r="C48" s="5">
        <f>'balance_raw'!$C$25</f>
        <v/>
      </c>
      <c r="D48" s="5">
        <f>'balance_raw'!$D$25</f>
        <v/>
      </c>
      <c r="E48" s="5">
        <f>'balance_raw'!$E$25</f>
        <v/>
      </c>
      <c r="F48" s="5">
        <f>'balance_raw'!$F$25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Hensatte forpligtelser</t>
        </is>
      </c>
      <c r="B49" s="11">
        <f>'balance_raw'!$B$26</f>
        <v/>
      </c>
      <c r="C49" s="11">
        <f>'balance_raw'!$C$26</f>
        <v/>
      </c>
      <c r="D49" s="11">
        <f>'balance_raw'!$D$26</f>
        <v/>
      </c>
      <c r="E49" s="11">
        <f>'balance_raw'!$E$26</f>
        <v/>
      </c>
      <c r="F49" s="11">
        <f>'balance_raw'!$F$26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10" t="inlineStr">
        <is>
          <t>Langfristede gældsforpligtelser</t>
        </is>
      </c>
      <c r="B50" s="11">
        <f>'balance_raw'!$B$27</f>
        <v/>
      </c>
      <c r="C50" s="11">
        <f>'balance_raw'!$C$27</f>
        <v/>
      </c>
      <c r="D50" s="11">
        <f>'balance_raw'!$D$27</f>
        <v/>
      </c>
      <c r="E50" s="11">
        <f>'balance_raw'!$E$27</f>
        <v/>
      </c>
      <c r="F50" s="11">
        <f>'balance_raw'!$F$27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7" t="inlineStr">
        <is>
          <t>Ansvarlig lånekapital (kortfristet)</t>
        </is>
      </c>
      <c r="B51" s="8">
        <f>'balance_raw'!$B$28</f>
        <v/>
      </c>
      <c r="C51" s="8">
        <f>'balance_raw'!$C$28</f>
        <v/>
      </c>
      <c r="D51" s="8">
        <f>'balance_raw'!$D$28</f>
        <v/>
      </c>
      <c r="E51" s="8">
        <f>'balance_raw'!$E$28</f>
        <v/>
      </c>
      <c r="F51" s="8">
        <f>'balance_raw'!$F$28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Kortfristet del af langfristede gældsforpligtelser</t>
        </is>
      </c>
      <c r="B52" s="5">
        <f>'balance_raw'!$B$29</f>
        <v/>
      </c>
      <c r="C52" s="5">
        <f>'balance_raw'!$C$29</f>
        <v/>
      </c>
      <c r="D52" s="5">
        <f>'balance_raw'!$D$29</f>
        <v/>
      </c>
      <c r="E52" s="5">
        <f>'balance_raw'!$E$29</f>
        <v/>
      </c>
      <c r="F52" s="5">
        <f>'balance_raw'!$F$29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Kreditinstitutter</t>
        </is>
      </c>
      <c r="B53" s="8">
        <f>'balance_raw'!$B$30</f>
        <v/>
      </c>
      <c r="C53" s="8">
        <f>'balance_raw'!$C$30</f>
        <v/>
      </c>
      <c r="D53" s="8">
        <f>'balance_raw'!$D$30</f>
        <v/>
      </c>
      <c r="E53" s="8">
        <f>'balance_raw'!$E$30</f>
        <v/>
      </c>
      <c r="F53" s="8">
        <f>'balance_raw'!$F$30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Leasingforpligtelser (kortfristet)</t>
        </is>
      </c>
      <c r="B54" s="5">
        <f>'balance_raw'!$B$31</f>
        <v/>
      </c>
      <c r="C54" s="5">
        <f>'balance_raw'!$C$31</f>
        <v/>
      </c>
      <c r="D54" s="5">
        <f>'balance_raw'!$D$31</f>
        <v/>
      </c>
      <c r="E54" s="5">
        <f>'balance_raw'!$E$31</f>
        <v/>
      </c>
      <c r="F54" s="5">
        <f>'balance_raw'!$F$31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Leverandører af varer og tjenesteydelser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Gæld til tilknyttede virksomheder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Gæld til selskabsdeltagere og ledelse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Selskabsskat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Gæld til tilknyttede virksomheder vedr. selskabsskat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(kortfristet)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Periodeafgrænsningsposter (passiver)</t>
        </is>
      </c>
      <c r="B61" s="8">
        <f>'balance_raw'!$B$38</f>
        <v/>
      </c>
      <c r="C61" s="8">
        <f>'balance_raw'!$C$38</f>
        <v/>
      </c>
      <c r="D61" s="8">
        <f>'balance_raw'!$D$38</f>
        <v/>
      </c>
      <c r="E61" s="8">
        <f>'balance_raw'!$E$38</f>
        <v/>
      </c>
      <c r="F61" s="8">
        <f>'balance_raw'!$F$38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Kortfristede gældsforpligtelser</t>
        </is>
      </c>
      <c r="B62" s="11">
        <f>'balance_raw'!$B$39</f>
        <v/>
      </c>
      <c r="C62" s="11">
        <f>'balance_raw'!$C$39</f>
        <v/>
      </c>
      <c r="D62" s="11">
        <f>'balance_raw'!$D$39</f>
        <v/>
      </c>
      <c r="E62" s="11">
        <f>'balance_raw'!$E$39</f>
        <v/>
      </c>
      <c r="F62" s="11">
        <f>'balance_raw'!$F$39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10" t="inlineStr">
        <is>
          <t>Gældsforpligtelser</t>
        </is>
      </c>
      <c r="B63" s="11">
        <f>'balance_raw'!$B$40</f>
        <v/>
      </c>
      <c r="C63" s="11">
        <f>'balance_raw'!$C$40</f>
        <v/>
      </c>
      <c r="D63" s="11">
        <f>'balance_raw'!$D$40</f>
        <v/>
      </c>
      <c r="E63" s="11">
        <f>'balance_raw'!$E$40</f>
        <v/>
      </c>
      <c r="F63" s="11">
        <f>'balance_raw'!$F$40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10" t="inlineStr">
        <is>
          <t>Passiver</t>
        </is>
      </c>
      <c r="B64" s="11">
        <f>'balance_raw'!$B$41</f>
        <v/>
      </c>
      <c r="C64" s="11">
        <f>'balance_raw'!$C$41</f>
        <v/>
      </c>
      <c r="D64" s="11">
        <f>'balance_raw'!$D$41</f>
        <v/>
      </c>
      <c r="E64" s="11">
        <f>'balance_raw'!$E$41</f>
        <v/>
      </c>
      <c r="F64" s="11">
        <f>'balance_raw'!$F$41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6" ht="22" customHeight="1">
      <c r="A66" s="3" t="inlineStr">
        <is>
          <t>NØGLEOPLYSNINGER</t>
        </is>
      </c>
      <c r="B66" s="3" t="n">
        <v>2021</v>
      </c>
      <c r="C66" s="3" t="n">
        <v>2022</v>
      </c>
      <c r="D66" s="3" t="n">
        <v>2023</v>
      </c>
      <c r="E66" s="3" t="n">
        <v>2024</v>
      </c>
      <c r="F66" s="3" t="n">
        <v>2025</v>
      </c>
    </row>
    <row r="67" ht="16" customHeight="1">
      <c r="A67" s="7" t="inlineStr">
        <is>
          <t>Gns. antal medarbejdere</t>
        </is>
      </c>
      <c r="B67" s="8">
        <f>'res_raw'!$B$19</f>
        <v/>
      </c>
      <c r="C67" s="8">
        <f>'res_raw'!$C$19</f>
        <v/>
      </c>
      <c r="D67" s="8">
        <f>'res_raw'!$D$19</f>
        <v/>
      </c>
      <c r="E67" s="8">
        <f>'res_raw'!$E$19</f>
        <v/>
      </c>
      <c r="F67" s="8">
        <f>'res_raw'!$F$19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Investering i materielle anlægsaktiver</t>
        </is>
      </c>
      <c r="B68" s="5">
        <f>'res_raw'!$B$20</f>
        <v/>
      </c>
      <c r="C68" s="5">
        <f>'res_raw'!$C$20</f>
        <v/>
      </c>
      <c r="D68" s="5">
        <f>'res_raw'!$D$20</f>
        <v/>
      </c>
      <c r="E68" s="5">
        <f>'res_raw'!$E$20</f>
        <v/>
      </c>
      <c r="F68" s="5">
        <f>'res_raw'!$F$20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70" ht="22" customHeight="1">
      <c r="A70" s="3" t="inlineStr">
        <is>
          <t>NØGLETAL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7" t="inlineStr">
        <is>
          <t>Afkastningsgrad, %</t>
        </is>
      </c>
      <c r="B71" s="13">
        <f>IFERROR(($B$13+$B$15+$B$14)/$B$44*100,"")</f>
        <v/>
      </c>
      <c r="C71" s="13">
        <f>IFERROR(($C$13+$C$15+$C$14)/$C$44*100,"")</f>
        <v/>
      </c>
      <c r="D71" s="13">
        <f>IFERROR(($D$13+$D$15+$D$14)/$D$44*100,"")</f>
        <v/>
      </c>
      <c r="E71" s="13">
        <f>IFERROR(($E$13+$E$15+$E$14)/$E$44*100,"")</f>
        <v/>
      </c>
      <c r="F71" s="13">
        <f>IFERROR(($F$13+$F$15+$F$14)/$F$44*100,"")</f>
        <v/>
      </c>
    </row>
    <row r="72" ht="16" customHeight="1">
      <c r="A72" s="4" t="inlineStr">
        <is>
          <t>Overskudsgrad, %</t>
        </is>
      </c>
      <c r="B72" s="14">
        <f>IFERROR(($B$13+$B$15+$B$14)/$B$4*100,"")</f>
        <v/>
      </c>
      <c r="C72" s="14">
        <f>IFERROR(($C$13+$C$15+$C$14)/$C$4*100,"")</f>
        <v/>
      </c>
      <c r="D72" s="14">
        <f>IFERROR(($D$13+$D$15+$D$14)/$D$4*100,"")</f>
        <v/>
      </c>
      <c r="E72" s="14">
        <f>IFERROR(($E$13+$E$15+$E$14)/$E$4*100,"")</f>
        <v/>
      </c>
      <c r="F72" s="14">
        <f>IFERROR(($F$13+$F$15+$F$14)/$F$4*100,"")</f>
        <v/>
      </c>
    </row>
    <row r="73" ht="16" customHeight="1">
      <c r="A73" s="7" t="inlineStr">
        <is>
          <t>Aktivernes omsætningshastighed, gange</t>
        </is>
      </c>
      <c r="B73" s="13">
        <f>IFERROR($B$4/$B$44,"")</f>
        <v/>
      </c>
      <c r="C73" s="13">
        <f>IFERROR($C$4/$C$44,"")</f>
        <v/>
      </c>
      <c r="D73" s="13">
        <f>IFERROR($D$4/$D$44,"")</f>
        <v/>
      </c>
      <c r="E73" s="13">
        <f>IFERROR($E$4/$E$44,"")</f>
        <v/>
      </c>
      <c r="F73" s="13">
        <f>IFERROR($F$4/$F$44,"")</f>
        <v/>
      </c>
    </row>
    <row r="74" ht="16" customHeight="1">
      <c r="A74" s="4" t="inlineStr">
        <is>
          <t>Egenkapitalens forrentning, %</t>
        </is>
      </c>
      <c r="B74" s="14">
        <f>IFERROR($B$18/$B$47*100,"")</f>
        <v/>
      </c>
      <c r="C74" s="14">
        <f>IFERROR($C$18/$C$47*100,"")</f>
        <v/>
      </c>
      <c r="D74" s="14">
        <f>IFERROR($D$18/$D$47*100,"")</f>
        <v/>
      </c>
      <c r="E74" s="14">
        <f>IFERROR($E$18/$E$47*100,"")</f>
        <v/>
      </c>
      <c r="F74" s="14">
        <f>IFERROR($F$18/$F$47*100,"")</f>
        <v/>
      </c>
    </row>
    <row r="75" ht="16" customHeight="1">
      <c r="A75" s="7" t="inlineStr">
        <is>
          <t>Gældsrente, %</t>
        </is>
      </c>
      <c r="B75" s="13">
        <f>IFERROR($B$16/($B$64-$B$47)*100,"")</f>
        <v/>
      </c>
      <c r="C75" s="13">
        <f>IFERROR($C$16/($C$64-$C$47)*100,"")</f>
        <v/>
      </c>
      <c r="D75" s="13">
        <f>IFERROR($D$16/($D$64-$D$47)*100,"")</f>
        <v/>
      </c>
      <c r="E75" s="13">
        <f>IFERROR($E$16/($E$64-$E$47)*100,"")</f>
        <v/>
      </c>
      <c r="F75" s="13">
        <f>IFERROR($F$16/($F$64-$F$47)*100,"")</f>
        <v/>
      </c>
    </row>
    <row r="76" ht="16" customHeight="1">
      <c r="A76" s="4" t="inlineStr">
        <is>
          <t>Soliditetsgrad, %</t>
        </is>
      </c>
      <c r="B76" s="14">
        <f>IFERROR($B$47/$B$44*100,"")</f>
        <v/>
      </c>
      <c r="C76" s="14">
        <f>IFERROR($C$47/$C$44*100,"")</f>
        <v/>
      </c>
      <c r="D76" s="14">
        <f>IFERROR($D$47/$D$44*100,"")</f>
        <v/>
      </c>
      <c r="E76" s="14">
        <f>IFERROR($E$47/$E$44*100,"")</f>
        <v/>
      </c>
      <c r="F76" s="14">
        <f>IFERROR($F$47/$F$44*100,"")</f>
        <v/>
      </c>
    </row>
    <row r="77" ht="16" customHeight="1">
      <c r="A77" s="7" t="inlineStr">
        <is>
          <t>Gearing</t>
        </is>
      </c>
      <c r="B77" s="13">
        <f>IFERROR(($B$64-$B$47)/$B$47,"")</f>
        <v/>
      </c>
      <c r="C77" s="13">
        <f>IFERROR(($C$64-$C$47)/$C$47,"")</f>
        <v/>
      </c>
      <c r="D77" s="13">
        <f>IFERROR(($D$64-$D$47)/$D$47,"")</f>
        <v/>
      </c>
      <c r="E77" s="13">
        <f>IFERROR(($E$64-$E$47)/$E$47,"")</f>
        <v/>
      </c>
      <c r="F77" s="13">
        <f>IFERROR(($F$64-$F$47)/$F$47,"")</f>
        <v/>
      </c>
    </row>
    <row r="78" ht="16" customHeight="1">
      <c r="A78" s="4" t="inlineStr">
        <is>
          <t>Likviditetsgrad, %</t>
        </is>
      </c>
      <c r="B78" s="14">
        <f>IFERROR($B$43/$B$62*100,"")</f>
        <v/>
      </c>
      <c r="C78" s="14">
        <f>IFERROR($C$43/$C$62*100,"")</f>
        <v/>
      </c>
      <c r="D78" s="14">
        <f>IFERROR($D$43/$D$62*100,"")</f>
        <v/>
      </c>
      <c r="E78" s="14">
        <f>IFERROR($E$43/$E$62*100,"")</f>
        <v/>
      </c>
      <c r="F78" s="14">
        <f>IFERROR($F$43/$F$62*100,"")</f>
        <v/>
      </c>
    </row>
    <row r="79" ht="16" customHeight="1">
      <c r="A79" s="7" t="inlineStr">
        <is>
          <t>Rentemarginal, %</t>
        </is>
      </c>
      <c r="B79" s="13">
        <f>IFERROR(B71-B75,"")</f>
        <v/>
      </c>
      <c r="C79" s="13">
        <f>IFERROR(C71-C75,"")</f>
        <v/>
      </c>
      <c r="D79" s="13">
        <f>IFERROR(D71-D75,"")</f>
        <v/>
      </c>
      <c r="E79" s="13">
        <f>IFERROR(E71-E75,"")</f>
        <v/>
      </c>
      <c r="F79" s="13">
        <f>IFERROR(F71-F75,"")</f>
        <v/>
      </c>
    </row>
    <row r="80" ht="16" customHeight="1">
      <c r="A80" s="4" t="inlineStr">
        <is>
          <t>Gældsandel, %</t>
        </is>
      </c>
      <c r="B80" s="14">
        <f>IFERROR(($B$64-$B$47)/$B$44*100,"")</f>
        <v/>
      </c>
      <c r="C80" s="14">
        <f>IFERROR(($C$64-$C$47)/$C$44*100,"")</f>
        <v/>
      </c>
      <c r="D80" s="14">
        <f>IFERROR(($D$64-$D$47)/$D$44*100,"")</f>
        <v/>
      </c>
      <c r="E80" s="14">
        <f>IFERROR(($E$64-$E$47)/$E$44*100,"")</f>
        <v/>
      </c>
      <c r="F80" s="14">
        <f>IFERROR(($F$64-$F$47)/$F$44*100,"")</f>
        <v/>
      </c>
    </row>
    <row r="81" ht="16" customHeight="1">
      <c r="A81" s="7" t="inlineStr">
        <is>
          <t>Kapitalbindingsgrad, %</t>
        </is>
      </c>
      <c r="B81" s="13">
        <f>IFERROR($B$28/($B$47+$B$50)*100,"")</f>
        <v/>
      </c>
      <c r="C81" s="13">
        <f>IFERROR($C$28/($C$47+$C$50)*100,"")</f>
        <v/>
      </c>
      <c r="D81" s="13">
        <f>IFERROR($D$28/($D$47+$D$50)*100,"")</f>
        <v/>
      </c>
      <c r="E81" s="13">
        <f>IFERROR($E$28/($E$47+$E$50)*100,"")</f>
        <v/>
      </c>
      <c r="F81" s="13">
        <f>IFERROR($F$28/($F$47+$F$50)*100,"")</f>
        <v/>
      </c>
    </row>
    <row r="83">
      <c r="A83" s="15" t="inlineStr">
        <is>
          <t>PENGESTRØMSOPGØRELSE t.kr.</t>
        </is>
      </c>
    </row>
    <row r="84">
      <c r="A84" s="16" t="inlineStr">
        <is>
          <t>Pengestrømme fra driftsaktivitet</t>
        </is>
      </c>
      <c r="B84" s="17">
        <f>'pengestrom_raw'!$B$2</f>
        <v/>
      </c>
      <c r="C84" s="17">
        <f>'pengestrom_raw'!$C$2</f>
        <v/>
      </c>
      <c r="D84" s="17">
        <f>'pengestrom_raw'!$D$2</f>
        <v/>
      </c>
      <c r="E84" s="17">
        <f>'pengestrom_raw'!$E$2</f>
        <v/>
      </c>
      <c r="F84" s="17">
        <f>'pengestrom_raw'!$F$2</f>
        <v/>
      </c>
    </row>
    <row r="85">
      <c r="A85" s="16" t="inlineStr">
        <is>
          <t>Pengestrømme fra investeringsaktivitet</t>
        </is>
      </c>
      <c r="B85" s="17">
        <f>'pengestrom_raw'!$B$3</f>
        <v/>
      </c>
      <c r="C85" s="17">
        <f>'pengestrom_raw'!$C$3</f>
        <v/>
      </c>
      <c r="D85" s="17">
        <f>'pengestrom_raw'!$D$3</f>
        <v/>
      </c>
      <c r="E85" s="17">
        <f>'pengestrom_raw'!$E$3</f>
        <v/>
      </c>
      <c r="F85" s="17">
        <f>'pengestrom_raw'!$F$3</f>
        <v/>
      </c>
    </row>
    <row r="86">
      <c r="A86" s="16" t="inlineStr">
        <is>
          <t>Pengestrømme fra finansieringsaktivitet</t>
        </is>
      </c>
      <c r="B86" s="17">
        <f>'pengestrom_raw'!$B$4</f>
        <v/>
      </c>
      <c r="C86" s="17">
        <f>'pengestrom_raw'!$C$4</f>
        <v/>
      </c>
      <c r="D86" s="17">
        <f>'pengestrom_raw'!$D$4</f>
        <v/>
      </c>
      <c r="E86" s="17">
        <f>'pengestrom_raw'!$E$4</f>
        <v/>
      </c>
      <c r="F86" s="17">
        <f>'pengestrom_raw'!$F$4</f>
        <v/>
      </c>
    </row>
    <row r="87">
      <c r="A87" s="16" t="inlineStr">
        <is>
          <t>Årets pengestrøm (rapporteret)</t>
        </is>
      </c>
      <c r="B87" s="17">
        <f>'pengestrom_raw'!$B$5</f>
        <v/>
      </c>
      <c r="C87" s="17">
        <f>'pengestrom_raw'!$C$5</f>
        <v/>
      </c>
      <c r="D87" s="17">
        <f>'pengestrom_raw'!$D$5</f>
        <v/>
      </c>
      <c r="E87" s="17">
        <f>'pengestrom_raw'!$E$5</f>
        <v/>
      </c>
      <c r="F87" s="17">
        <f>'pengestrom_raw'!$F$5</f>
        <v/>
      </c>
    </row>
    <row r="88">
      <c r="A88" s="16" t="inlineStr">
        <is>
          <t>Krydstjek: drift + inv. + fin. = årets pengestrøm</t>
        </is>
      </c>
      <c r="B88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88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88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88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88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iss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71363000</v>
      </c>
      <c r="C2" s="17" t="n">
        <v>76538000</v>
      </c>
      <c r="D2" s="17" t="n">
        <v>78681000</v>
      </c>
      <c r="E2" s="17" t="n">
        <v>83761000</v>
      </c>
      <c r="F2" s="17" t="n">
        <v>84684000</v>
      </c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46369000</v>
      </c>
      <c r="C7" s="17" t="n">
        <v>48329000</v>
      </c>
      <c r="D7" s="17" t="n">
        <v>49607000</v>
      </c>
      <c r="E7" s="17" t="n">
        <v>52822000</v>
      </c>
      <c r="F7" s="17" t="n">
        <v>53888000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1760000</v>
      </c>
      <c r="C9" s="17" t="n">
        <v>1517000</v>
      </c>
      <c r="D9" s="17" t="n">
        <v>1464000</v>
      </c>
      <c r="E9" s="17" t="n">
        <v>1469000</v>
      </c>
      <c r="F9" s="17" t="n">
        <v>1555000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1701000</v>
      </c>
      <c r="C11" s="17" t="n">
        <v>2835000</v>
      </c>
      <c r="D11" s="17" t="n">
        <v>3138000</v>
      </c>
      <c r="E11" s="17" t="n">
        <v>3889000</v>
      </c>
      <c r="F11" s="17" t="n">
        <v>3950000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41000</v>
      </c>
      <c r="C13" s="17" t="n">
        <v>207000</v>
      </c>
      <c r="D13" s="17" t="n">
        <v>185000</v>
      </c>
      <c r="E13" s="17" t="n">
        <v>314000</v>
      </c>
      <c r="F13" s="17" t="n">
        <v>258000</v>
      </c>
    </row>
    <row r="14">
      <c r="A14" s="16" t="inlineStr">
        <is>
          <t>Finansielle omkostninger</t>
        </is>
      </c>
      <c r="B14" s="17" t="n">
        <v>697000</v>
      </c>
      <c r="C14" s="17" t="n">
        <v>596000</v>
      </c>
      <c r="D14" s="17" t="n">
        <v>792000</v>
      </c>
      <c r="E14" s="17" t="n">
        <v>904000</v>
      </c>
      <c r="F14" s="17" t="n">
        <v>919000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1045000</v>
      </c>
      <c r="C16" s="17" t="n">
        <v>2446000</v>
      </c>
      <c r="D16" s="17" t="n">
        <v>2531000</v>
      </c>
      <c r="E16" s="17" t="n">
        <v>3299000</v>
      </c>
      <c r="F16" s="17" t="n">
        <v>3289000</v>
      </c>
    </row>
    <row r="17">
      <c r="A17" s="16" t="inlineStr">
        <is>
          <t>Skat af årets resultat</t>
        </is>
      </c>
      <c r="B17" s="17" t="n">
        <v>509000</v>
      </c>
      <c r="C17" s="17" t="n">
        <v>441000</v>
      </c>
      <c r="D17" s="17" t="n">
        <v>554000</v>
      </c>
      <c r="E17" s="17" t="n">
        <v>658000</v>
      </c>
      <c r="F17" s="17" t="n">
        <v>676000</v>
      </c>
    </row>
    <row r="18">
      <c r="A18" s="15" t="inlineStr">
        <is>
          <t>Årets resultat</t>
        </is>
      </c>
      <c r="B18" s="17" t="n">
        <v>536000</v>
      </c>
      <c r="C18" s="17" t="n">
        <v>2005000</v>
      </c>
      <c r="D18" s="17" t="n">
        <v>1977000</v>
      </c>
      <c r="E18" s="17" t="n">
        <v>2641000</v>
      </c>
      <c r="F18" s="17" t="n">
        <v>2613000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iss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22739000</v>
      </c>
      <c r="C2" s="17" t="n">
        <v>23920000</v>
      </c>
      <c r="D2" s="17" t="n">
        <v>23272000</v>
      </c>
      <c r="E2" s="17" t="n">
        <v>24359000</v>
      </c>
      <c r="F2" s="17" t="n">
        <v>24208000</v>
      </c>
    </row>
    <row r="3">
      <c r="A3" s="15" t="inlineStr">
        <is>
          <t>Materielle anlægsaktiver</t>
        </is>
      </c>
      <c r="B3" s="17" t="n">
        <v>2445000</v>
      </c>
      <c r="C3" s="17" t="n">
        <v>2403000</v>
      </c>
      <c r="D3" s="17" t="n">
        <v>2200000</v>
      </c>
      <c r="E3" s="17" t="n">
        <v>2424000</v>
      </c>
      <c r="F3" s="17" t="n">
        <v>2229000</v>
      </c>
    </row>
    <row r="4">
      <c r="A4" s="16" t="inlineStr">
        <is>
          <t>Kapitalandele, dattervirksomheder</t>
        </is>
      </c>
      <c r="B4" s="17" t="n"/>
      <c r="C4" s="17" t="n"/>
      <c r="D4" s="17" t="n"/>
      <c r="E4" s="17" t="n"/>
      <c r="F4" s="17" t="n"/>
    </row>
    <row r="5">
      <c r="A5" s="16" t="inlineStr">
        <is>
          <t>Deposita</t>
        </is>
      </c>
      <c r="B5" s="17" t="n">
        <v>457000</v>
      </c>
      <c r="C5" s="17" t="n">
        <v>512000</v>
      </c>
      <c r="D5" s="17" t="n">
        <v>195000</v>
      </c>
      <c r="E5" s="17" t="n">
        <v>605000</v>
      </c>
      <c r="F5" s="17" t="n"/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>
        <v>27362000</v>
      </c>
      <c r="C7" s="17" t="n">
        <v>28664000</v>
      </c>
      <c r="D7" s="17" t="n">
        <v>27555000</v>
      </c>
      <c r="E7" s="17" t="n">
        <v>29271000</v>
      </c>
      <c r="F7" s="17" t="n">
        <v>29017000</v>
      </c>
    </row>
    <row r="8">
      <c r="A8" s="16" t="inlineStr">
        <is>
          <t>Råvarer og hjælpematerialer</t>
        </is>
      </c>
      <c r="B8" s="17" t="n">
        <v>5020000</v>
      </c>
      <c r="C8" s="17" t="n">
        <v>6598000</v>
      </c>
      <c r="D8" s="17" t="n">
        <v>7323000</v>
      </c>
      <c r="E8" s="17" t="n">
        <v>7519000</v>
      </c>
      <c r="F8" s="17" t="n">
        <v>7170000</v>
      </c>
    </row>
    <row r="9">
      <c r="A9" s="16" t="inlineStr">
        <is>
          <t>Varer under fremstilling</t>
        </is>
      </c>
      <c r="B9" s="17" t="n"/>
      <c r="C9" s="17" t="n"/>
      <c r="D9" s="17" t="n"/>
      <c r="E9" s="17" t="n"/>
      <c r="F9" s="17" t="n"/>
    </row>
    <row r="10">
      <c r="A10" s="16" t="inlineStr">
        <is>
          <t>Færdigvarer og handelsvarer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Varebeholdninger</t>
        </is>
      </c>
      <c r="B11" s="17" t="n">
        <v>177000</v>
      </c>
      <c r="C11" s="17" t="n">
        <v>231000</v>
      </c>
      <c r="D11" s="17" t="n">
        <v>239000</v>
      </c>
      <c r="E11" s="17" t="n">
        <v>251000</v>
      </c>
      <c r="F11" s="17" t="n">
        <v>245000</v>
      </c>
    </row>
    <row r="12">
      <c r="A12" s="16" t="inlineStr">
        <is>
          <t>Tilgodehavender fra salg og tjenesteydelser</t>
        </is>
      </c>
      <c r="B12" s="17" t="n">
        <v>10406000</v>
      </c>
      <c r="C12" s="17" t="n">
        <v>10996000</v>
      </c>
      <c r="D12" s="17" t="n">
        <v>11354000</v>
      </c>
      <c r="E12" s="17" t="n">
        <v>12449000</v>
      </c>
      <c r="F12" s="17" t="n">
        <v>12872000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Periodeafgrænsningsposter (aktiver)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Udskudt skatteaktiv</t>
        </is>
      </c>
      <c r="B16" s="17" t="n">
        <v>790000</v>
      </c>
      <c r="C16" s="17" t="n">
        <v>912000</v>
      </c>
      <c r="D16" s="17" t="n">
        <v>962000</v>
      </c>
      <c r="E16" s="17" t="n">
        <v>885000</v>
      </c>
      <c r="F16" s="17" t="n">
        <v>822000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>
        <v>185000</v>
      </c>
      <c r="C18" s="17" t="n">
        <v>173000</v>
      </c>
      <c r="D18" s="17" t="n">
        <v>126000</v>
      </c>
      <c r="E18" s="17" t="n">
        <v>120000</v>
      </c>
      <c r="F18" s="17" t="n">
        <v>115000</v>
      </c>
    </row>
    <row r="19">
      <c r="A19" s="15" t="inlineStr">
        <is>
          <t>Tilgodehavender</t>
        </is>
      </c>
      <c r="B19" s="17" t="n">
        <v>1582000</v>
      </c>
      <c r="C19" s="17" t="n">
        <v>1695000</v>
      </c>
      <c r="D19" s="17" t="n">
        <v>1628000</v>
      </c>
      <c r="E19" s="17" t="n">
        <v>1721000</v>
      </c>
      <c r="F19" s="17" t="n">
        <v>1623000</v>
      </c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3428000</v>
      </c>
      <c r="C21" s="17" t="n">
        <v>5214000</v>
      </c>
      <c r="D21" s="17" t="n">
        <v>6093000</v>
      </c>
      <c r="E21" s="17" t="n">
        <v>6829000</v>
      </c>
      <c r="F21" s="17" t="n">
        <v>1729000</v>
      </c>
    </row>
    <row r="22">
      <c r="A22" s="15" t="inlineStr">
        <is>
          <t>Omsætningsaktiver</t>
        </is>
      </c>
      <c r="B22" s="17" t="n">
        <v>16293000</v>
      </c>
      <c r="C22" s="17" t="n">
        <v>18341000</v>
      </c>
      <c r="D22" s="17" t="n">
        <v>20138000</v>
      </c>
      <c r="E22" s="17" t="n">
        <v>21370000</v>
      </c>
      <c r="F22" s="17" t="n">
        <v>16584000</v>
      </c>
    </row>
    <row r="23">
      <c r="A23" s="15" t="inlineStr">
        <is>
          <t>Aktiver</t>
        </is>
      </c>
      <c r="B23" s="17" t="n">
        <v>43655000</v>
      </c>
      <c r="C23" s="17" t="n">
        <v>47005000</v>
      </c>
      <c r="D23" s="17" t="n">
        <v>47693000</v>
      </c>
      <c r="E23" s="17" t="n">
        <v>50641000</v>
      </c>
      <c r="F23" s="17" t="n">
        <v>45601000</v>
      </c>
    </row>
    <row r="24">
      <c r="A24" s="15" t="inlineStr">
        <is>
          <t>Egenkapital i alt</t>
        </is>
      </c>
      <c r="B24" s="17" t="n">
        <v>7583000</v>
      </c>
      <c r="C24" s="17" t="n">
        <v>10156000</v>
      </c>
      <c r="D24" s="17" t="n">
        <v>9893000</v>
      </c>
      <c r="E24" s="17" t="n">
        <v>11143000</v>
      </c>
      <c r="F24" s="17" t="n">
        <v>9776000</v>
      </c>
    </row>
    <row r="25">
      <c r="A25" s="16" t="inlineStr">
        <is>
          <t>Hensættelse til udskudt skat</t>
        </is>
      </c>
      <c r="B25" s="17" t="n">
        <v>976000</v>
      </c>
      <c r="C25" s="17" t="n">
        <v>1178000</v>
      </c>
      <c r="D25" s="17" t="n">
        <v>1320000</v>
      </c>
      <c r="E25" s="17" t="n">
        <v>1156000</v>
      </c>
      <c r="F25" s="17" t="n">
        <v>1143000</v>
      </c>
    </row>
    <row r="26">
      <c r="A26" s="15" t="inlineStr">
        <is>
          <t>Hensatte forpligtelser</t>
        </is>
      </c>
      <c r="B26" s="17" t="n">
        <v>1351000</v>
      </c>
      <c r="C26" s="17" t="n">
        <v>1185000</v>
      </c>
      <c r="D26" s="17" t="n">
        <v>1135000</v>
      </c>
      <c r="E26" s="17" t="n">
        <v>1316000</v>
      </c>
      <c r="F26" s="17" t="n">
        <v>1104000</v>
      </c>
    </row>
    <row r="27">
      <c r="A27" s="15" t="inlineStr">
        <is>
          <t>Langfristede gældsforpligtelser</t>
        </is>
      </c>
      <c r="B27" s="17" t="n">
        <v>16094000</v>
      </c>
      <c r="C27" s="17" t="n">
        <v>15945000</v>
      </c>
      <c r="D27" s="17" t="n">
        <v>13427000</v>
      </c>
      <c r="E27" s="17" t="n">
        <v>13584000</v>
      </c>
      <c r="F27" s="17" t="n">
        <v>9762000</v>
      </c>
    </row>
    <row r="28">
      <c r="A28" s="16" t="inlineStr">
        <is>
          <t>Ansvarlig lånekapital (kortfristet)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Kortfristet del af langfristede gældsforpligtelser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Kreditinstitutter</t>
        </is>
      </c>
      <c r="B30" s="17" t="n">
        <v>888000</v>
      </c>
      <c r="C30" s="17" t="n">
        <v>963000</v>
      </c>
      <c r="D30" s="17" t="n">
        <v>3292000</v>
      </c>
      <c r="E30" s="17" t="n">
        <v>4757000</v>
      </c>
      <c r="F30" s="17" t="n">
        <v>5315000</v>
      </c>
    </row>
    <row r="31">
      <c r="A31" s="16" t="inlineStr">
        <is>
          <t>Leasingforpligtelser (kortfristet)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Leverandører af varer og tjenesteydelser</t>
        </is>
      </c>
      <c r="B32" s="17" t="n">
        <v>5657000</v>
      </c>
      <c r="C32" s="17" t="n">
        <v>6952000</v>
      </c>
      <c r="D32" s="17" t="n">
        <v>7259000</v>
      </c>
      <c r="E32" s="17" t="n">
        <v>7387000</v>
      </c>
      <c r="F32" s="17" t="n">
        <v>6955000</v>
      </c>
    </row>
    <row r="33">
      <c r="A33" s="16" t="inlineStr">
        <is>
          <t>Gæld til tilknyttede virksomheder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Gæld til selskabsdeltagere og ledelse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Selskabsskat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Gæld til tilknyttede virksomheder vedr. selskabsskat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Anden gæld (kortfristet)</t>
        </is>
      </c>
      <c r="B37" s="17" t="n">
        <v>8730000</v>
      </c>
      <c r="C37" s="17" t="n">
        <v>8714000</v>
      </c>
      <c r="D37" s="17" t="n">
        <v>8482000</v>
      </c>
      <c r="E37" s="17" t="n">
        <v>9505000</v>
      </c>
      <c r="F37" s="17" t="n">
        <v>9735000</v>
      </c>
    </row>
    <row r="38">
      <c r="A38" s="16" t="inlineStr">
        <is>
          <t>Periodeafgrænsningsposter (passiver)</t>
        </is>
      </c>
      <c r="B38" s="17" t="n"/>
      <c r="C38" s="17" t="n"/>
      <c r="D38" s="17" t="n"/>
      <c r="E38" s="17" t="n"/>
      <c r="F38" s="17" t="n"/>
    </row>
    <row r="39">
      <c r="A39" s="15" t="inlineStr">
        <is>
          <t>Kortfristede gældsforpligtelser</t>
        </is>
      </c>
      <c r="B39" s="17" t="n">
        <v>16690000</v>
      </c>
      <c r="C39" s="17" t="n">
        <v>17417000</v>
      </c>
      <c r="D39" s="17" t="n">
        <v>20902000</v>
      </c>
      <c r="E39" s="17" t="n">
        <v>22300000</v>
      </c>
      <c r="F39" s="17" t="n">
        <v>22741000</v>
      </c>
    </row>
    <row r="40">
      <c r="A40" s="15" t="inlineStr">
        <is>
          <t>Gældsforpligtelser</t>
        </is>
      </c>
      <c r="B40" s="17" t="n">
        <v>35866000</v>
      </c>
      <c r="C40" s="17" t="n">
        <v>36190000</v>
      </c>
      <c r="D40" s="17" t="n">
        <v>37171000</v>
      </c>
      <c r="E40" s="17" t="n">
        <v>38728000</v>
      </c>
      <c r="F40" s="17" t="n">
        <v>35061000</v>
      </c>
    </row>
    <row r="41">
      <c r="A41" s="15" t="inlineStr">
        <is>
          <t>Passiver</t>
        </is>
      </c>
      <c r="B41" s="17" t="n">
        <v>43655000</v>
      </c>
      <c r="C41" s="17" t="n">
        <v>47005000</v>
      </c>
      <c r="D41" s="17" t="n">
        <v>47693000</v>
      </c>
      <c r="E41" s="17" t="n">
        <v>50641000</v>
      </c>
      <c r="F41" s="17" t="n">
        <v>45601000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iss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3221000</v>
      </c>
      <c r="C2" s="17" t="n">
        <v>3333000</v>
      </c>
      <c r="D2" s="17" t="n">
        <v>3392000</v>
      </c>
      <c r="E2" s="17" t="n">
        <v>3727000</v>
      </c>
      <c r="F2" s="17" t="n">
        <v>3989000</v>
      </c>
    </row>
    <row r="3">
      <c r="A3" s="16" t="inlineStr">
        <is>
          <t>Pengestrømme fra investeringsaktivitet</t>
        </is>
      </c>
      <c r="B3" s="17" t="n">
        <v>73000</v>
      </c>
      <c r="C3" s="17" t="n">
        <v>-546000</v>
      </c>
      <c r="D3" s="17" t="n">
        <v>-1042000</v>
      </c>
      <c r="E3" s="17" t="n">
        <v>-1536000</v>
      </c>
      <c r="F3" s="17" t="n">
        <v>-1184000</v>
      </c>
    </row>
    <row r="4">
      <c r="A4" s="16" t="inlineStr">
        <is>
          <t>Pengestrømme fra finansieringsaktivitet</t>
        </is>
      </c>
      <c r="B4" s="17" t="n">
        <v>-2832000</v>
      </c>
      <c r="C4" s="17" t="n">
        <v>-930000</v>
      </c>
      <c r="D4" s="17" t="n">
        <v>-1334000</v>
      </c>
      <c r="E4" s="17" t="n">
        <v>-1405000</v>
      </c>
      <c r="F4" s="17" t="n">
        <v>-7638000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iss (CVR None) — 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'balance_raw'!$F$7</f>
        <v/>
      </c>
      <c r="C19" s="24">
        <f>'balance_raw'!$E$7</f>
        <v/>
      </c>
      <c r="D19" s="24">
        <f>'balance_raw'!$D$7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'balance_raw'!$F$22</f>
        <v/>
      </c>
      <c r="C20" s="24">
        <f>'balance_raw'!$E$22</f>
        <v/>
      </c>
      <c r="D20" s="24">
        <f>'balance_raw'!$D$22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'balance_raw'!$F$24</f>
        <v/>
      </c>
      <c r="C23" s="24">
        <f>'balance_raw'!$E$24</f>
        <v/>
      </c>
      <c r="D23" s="24">
        <f>'balance_raw'!$D$24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'balance_raw'!$F$41-'balance_raw'!$F$24</f>
        <v/>
      </c>
      <c r="C24" s="24">
        <f>'balance_raw'!$E$41-'balance_raw'!$E$24</f>
        <v/>
      </c>
      <c r="D24" s="24">
        <f>'balance_raw'!$D$41-'balance_raw'!$D$24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'balance_raw'!$F$11</f>
        <v/>
      </c>
      <c r="C28" s="24">
        <f>'balance_raw'!$E$11</f>
        <v/>
      </c>
      <c r="D28" s="24">
        <f>'balance_raw'!$D$11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'balance_raw'!$F$12</f>
        <v/>
      </c>
      <c r="C29" s="24">
        <f>'balance_raw'!$E$12</f>
        <v/>
      </c>
      <c r="D29" s="24">
        <f>'balance_raw'!$D$12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'balance_raw'!$F$39</f>
        <v/>
      </c>
      <c r="C30" s="24">
        <f>'balance_raw'!$E$39</f>
        <v/>
      </c>
      <c r="D30" s="24">
        <f>'balance_raw'!$D$39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IF('balance_raw'!$F$23="","—",IF(ABS(B21-'balance_raw'!$F$23)&lt;=1,"✓ OK","❌ "&amp;TEXT(B21-'balance_raw'!$F$23,"+#,##0;-#,##0")&amp;" t.kr."))</f>
        <v/>
      </c>
      <c r="C61" s="29">
        <f>IF('balance_raw'!$E$23="","—",IF(ABS(C21-'balance_raw'!$E$23)&lt;=1,"✓ OK","❌ "&amp;TEXT(C21-'balance_raw'!$E$23,"+#,##0;-#,##0")&amp;" t.kr."))</f>
        <v/>
      </c>
      <c r="D61" s="29">
        <f>IF('balance_raw'!$D$23="","—",IF(ABS(D21-'balance_raw'!$D$23)&lt;=1,"✓ OK","❌ "&amp;TEXT(D21-'balance_raw'!$D$23,"+#,##0;-#,##0")&amp;"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IF('balance_raw'!$F$41="","—",IF(ABS(B25-'balance_raw'!$F$41)&lt;=1,"✓ OK","❌ "&amp;TEXT(B25-'balance_raw'!$F$41,"+#,##0;-#,##0")&amp;" t.kr."))</f>
        <v/>
      </c>
      <c r="C62" s="29">
        <f>IF('balance_raw'!$E$41="","—",IF(ABS(C25-'balance_raw'!$E$41)&lt;=1,"✓ OK","❌ "&amp;TEXT(C25-'balance_raw'!$E$41,"+#,##0;-#,##0")&amp;" t.kr."))</f>
        <v/>
      </c>
      <c r="D62" s="29">
        <f>IF('balance_raw'!$D$41="","—",IF(ABS(D25-'balance_raw'!$D$41)&lt;=1,"✓ OK","❌ "&amp;TEXT(D25-'balance_raw'!$D$41,"+#,##0;-#,##0")&amp;"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t.kr."))</f>
        <v/>
      </c>
      <c r="C64" s="29">
        <f>IF('res_raw'!$E$6="","—",IF(ABS(C9-'res_raw'!$E$6)&lt;=1,"✓ OK","❌ "&amp;TEXT(C9-'res_raw'!$E$6,"+#,##0;-#,##0")&amp;" t.kr."))</f>
        <v/>
      </c>
      <c r="D64" s="29">
        <f>IF('res_raw'!$D$6="","—",IF(ABS(D9-'res_raw'!$D$6)&lt;=1,"✓ OK","❌ "&amp;TEXT(D9-'res_raw'!$D$6,"+#,##0;-#,##0")&amp;"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t.kr."))</f>
        <v/>
      </c>
      <c r="C65" s="29">
        <f>IF('res_raw'!$E$11="","—",IF(ABS(C13-'res_raw'!$E$11)&lt;=1,"✓ OK","❌ "&amp;TEXT(C13-'res_raw'!$E$11,"+#,##0;-#,##0")&amp;" t.kr."))</f>
        <v/>
      </c>
      <c r="D65" s="29">
        <f>IF('res_raw'!$D$11="","—",IF(ABS(D13-'res_raw'!$D$11)&lt;=1,"✓ OK","❌ "&amp;TEXT(D13-'res_raw'!$D$11,"+#,##0;-#,##0")&amp;"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t.kr."))</f>
        <v/>
      </c>
      <c r="C66" s="29">
        <f>IF('res_raw'!$E$16="","—",IF(ABS(C16-'res_raw'!$E$16)&lt;=1,"✓ OK","❌ "&amp;TEXT(C16-'res_raw'!$E$16,"+#,##0;-#,##0")&amp;" t.kr."))</f>
        <v/>
      </c>
      <c r="D66" s="29">
        <f>IF('res_raw'!$D$16="","—",IF(ABS(D16-'res_raw'!$D$16)&lt;=1,"✓ OK","❌ "&amp;TEXT(D16-'res_raw'!$D$16,"+#,##0;-#,##0")&amp;"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iss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ifrs-full:AdjustmentsForSharebasedPayments</t>
        </is>
      </c>
      <c r="C3" s="34" t="inlineStr">
        <is>
          <t>ifrs-full:AdjustmentsForSharebasedPayments</t>
        </is>
      </c>
      <c r="D3" s="35" t="n">
        <v>62000</v>
      </c>
      <c r="E3" s="35" t="n">
        <v>80000</v>
      </c>
      <c r="F3" s="35" t="n">
        <v>72000</v>
      </c>
      <c r="G3" s="35" t="n">
        <v>93000</v>
      </c>
      <c r="H3" s="35" t="n">
        <v>93000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ifrs-full:CashAdvancesAndLoansMadeToOtherPartiesClassifiedAsInvestingActivities</t>
        </is>
      </c>
      <c r="C4" s="37" t="inlineStr">
        <is>
          <t>ifrs-full:CashAdvancesAndLoansMadeToOtherPartiesClassifiedAsInvestingActivities</t>
        </is>
      </c>
      <c r="D4" s="38" t="n"/>
      <c r="E4" s="38" t="n"/>
      <c r="F4" s="38" t="n"/>
      <c r="G4" s="38" t="n"/>
      <c r="H4" s="38" t="n">
        <v>187000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ifrs-full:GainLossOnChangesInEffectOfLimitingNetDefinedBenefitAssetToAssetCeiling</t>
        </is>
      </c>
      <c r="C5" s="34" t="inlineStr">
        <is>
          <t>ifrs-full:GainLossOnChangesInEffectOfLimitingNetDefinedBenefitAssetToAssetCeiling</t>
        </is>
      </c>
      <c r="D5" s="35" t="n">
        <v>1080000</v>
      </c>
      <c r="E5" s="35" t="n">
        <v>43000</v>
      </c>
      <c r="F5" s="35" t="n">
        <v>-299000</v>
      </c>
      <c r="G5" s="35" t="n">
        <v>28000</v>
      </c>
      <c r="H5" s="35" t="n">
        <v>341000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ifrs-full:GainsLossesOnHedgesOfNetInvestmentsInForeignOperationsBeforeTax</t>
        </is>
      </c>
      <c r="C6" s="37" t="inlineStr">
        <is>
          <t>ifrs-full:GainsLossesOnHedgesOfNetInvestmentsInForeignOperationsBeforeTax</t>
        </is>
      </c>
      <c r="D6" s="38" t="n">
        <v>-191000</v>
      </c>
      <c r="E6" s="38" t="n">
        <v>-43000</v>
      </c>
      <c r="F6" s="38" t="n">
        <v>-84000</v>
      </c>
      <c r="G6" s="38" t="n">
        <v>0</v>
      </c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ifrs-full:ImpairmentLossRecognisedInProfitOrLossGoodwill</t>
        </is>
      </c>
      <c r="C7" s="34" t="inlineStr">
        <is>
          <t>ifrs-full:ImpairmentLossRecognisedInProfitOrLossGoodwill</t>
        </is>
      </c>
      <c r="D7" s="35" t="n">
        <v>450000</v>
      </c>
      <c r="E7" s="35" t="n">
        <v>0</v>
      </c>
      <c r="F7" s="35" t="n"/>
      <c r="G7" s="35" t="n"/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ifrs-full:NoncurrentLoansAndReceivables</t>
        </is>
      </c>
      <c r="C8" s="37" t="inlineStr">
        <is>
          <t>ifrs-full:NoncurrentLoansAndReceivables</t>
        </is>
      </c>
      <c r="D8" s="38" t="n"/>
      <c r="E8" s="38" t="n"/>
      <c r="F8" s="38" t="n"/>
      <c r="G8" s="38" t="n"/>
      <c r="H8" s="38" t="n">
        <v>187000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ifrs-full:OtherInflowsOutflowsOfCashClassifiedAsFinancingActivities</t>
        </is>
      </c>
      <c r="C9" s="34" t="inlineStr">
        <is>
          <t>ifrs-full:OtherInflowsOutflowsOfCashClassifiedAsFinancingActivities</t>
        </is>
      </c>
      <c r="D9" s="35" t="n">
        <v>-472000</v>
      </c>
      <c r="E9" s="35" t="n">
        <v>-58000</v>
      </c>
      <c r="F9" s="35" t="n">
        <v>-147000</v>
      </c>
      <c r="G9" s="35" t="n">
        <v>-259000</v>
      </c>
      <c r="H9" s="35" t="n">
        <v>-72000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ifrs-full:OtherInflowsOutflowsOfCashClassifiedAsOperatingActivities</t>
        </is>
      </c>
      <c r="C10" s="37" t="inlineStr">
        <is>
          <t>ifrs-full:OtherInflowsOutflowsOfCashClassifiedAsOperatingActivities</t>
        </is>
      </c>
      <c r="D10" s="38" t="n">
        <v>-74000</v>
      </c>
      <c r="E10" s="38" t="n">
        <v>-31000</v>
      </c>
      <c r="F10" s="38" t="n">
        <v>-42000</v>
      </c>
      <c r="G10" s="38" t="n">
        <v>-59000</v>
      </c>
      <c r="H10" s="38" t="n">
        <v>-46000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ifrs-full:ProceedsFromIssueOfBondsNotesAndDebentures</t>
        </is>
      </c>
      <c r="C11" s="34" t="inlineStr">
        <is>
          <t>ifrs-full:ProceedsFromIssueOfBondsNotesAndDebentures</t>
        </is>
      </c>
      <c r="D11" s="35" t="n"/>
      <c r="E11" s="35" t="n"/>
      <c r="F11" s="35" t="n">
        <v>0</v>
      </c>
      <c r="G11" s="35" t="n">
        <v>3696000</v>
      </c>
      <c r="H11" s="35" t="n">
        <v>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ifrs-full:ReclassificationAdjustmentsOnExchangeDifferencesOnTranslationBeforeTax</t>
        </is>
      </c>
      <c r="C12" s="37" t="inlineStr">
        <is>
          <t>ifrs-full:ReclassificationAdjustmentsOnExchangeDifferencesOnTranslationBeforeTax</t>
        </is>
      </c>
      <c r="D12" s="38" t="n">
        <v>7000</v>
      </c>
      <c r="E12" s="38" t="n">
        <v>33000</v>
      </c>
      <c r="F12" s="38" t="n">
        <v>18000</v>
      </c>
      <c r="G12" s="38" t="n">
        <v>0</v>
      </c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ifrs-full:RepaymentsOfBondsNotesAndDebentures</t>
        </is>
      </c>
      <c r="C13" s="34" t="inlineStr">
        <is>
          <t>ifrs-full:RepaymentsOfBondsNotesAndDebentures</t>
        </is>
      </c>
      <c r="D13" s="35" t="n">
        <v>1577000</v>
      </c>
      <c r="E13" s="35" t="n">
        <v>0</v>
      </c>
      <c r="F13" s="35" t="n">
        <v>0</v>
      </c>
      <c r="G13" s="35" t="n">
        <v>2237000</v>
      </c>
      <c r="H13" s="35" t="n">
        <v>3732000</v>
      </c>
      <c r="I1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2026-09-11T07:36:59Z</dcterms:created>
  <dcterms:modified xmlns:dcterms="http://purl.org/dc/terms/" xmlns:xsi="http://www.w3.org/2001/XMLSchema-instance" xsi:type="dcterms:W3CDTF">2026-09-11T07:37:01Z</dcterms:modified>
</cp:coreProperties>
</file>