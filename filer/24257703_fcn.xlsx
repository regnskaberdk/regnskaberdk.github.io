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4257703" sheetId="1" state="visible" r:id="rId1"/>
    <sheet xmlns:r="http://schemas.openxmlformats.org/officeDocument/2006/relationships" name="res_raw_24257703" sheetId="2" state="visible" r:id="rId2"/>
    <sheet xmlns:r="http://schemas.openxmlformats.org/officeDocument/2006/relationships" name="balance_raw_24257703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'res_raw_24257703'!$B$2</f>
        <v/>
      </c>
      <c r="C4" s="5">
        <f>'res_raw_24257703'!$C$2</f>
        <v/>
      </c>
      <c r="D4" s="5">
        <f>'res_raw_24257703'!$D$2</f>
        <v/>
      </c>
      <c r="E4" s="5">
        <f>'res_raw_24257703'!$E$2</f>
        <v/>
      </c>
      <c r="F4" s="5">
        <f>'res_raw_24257703'!$F$2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'res_raw_24257703'!$B$3</f>
        <v/>
      </c>
      <c r="C5" s="8">
        <f>'res_raw_24257703'!$C$3</f>
        <v/>
      </c>
      <c r="D5" s="8">
        <f>'res_raw_24257703'!$D$3</f>
        <v/>
      </c>
      <c r="E5" s="8">
        <f>'res_raw_24257703'!$E$3</f>
        <v/>
      </c>
      <c r="F5" s="8">
        <f>'res_raw_24257703'!$F$3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'res_raw_24257703'!$B$4</f>
        <v/>
      </c>
      <c r="C6" s="5">
        <f>'res_raw_24257703'!$C$4</f>
        <v/>
      </c>
      <c r="D6" s="5">
        <f>'res_raw_24257703'!$D$4</f>
        <v/>
      </c>
      <c r="E6" s="5">
        <f>'res_raw_24257703'!$E$4</f>
        <v/>
      </c>
      <c r="F6" s="5">
        <f>'res_raw_24257703'!$F$4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'res_raw_24257703'!$B$5</f>
        <v/>
      </c>
      <c r="C7" s="8">
        <f>'res_raw_24257703'!$C$5</f>
        <v/>
      </c>
      <c r="D7" s="8">
        <f>'res_raw_24257703'!$D$5</f>
        <v/>
      </c>
      <c r="E7" s="8">
        <f>'res_raw_24257703'!$E$5</f>
        <v/>
      </c>
      <c r="F7" s="8">
        <f>'res_raw_24257703'!$F$5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'res_raw_24257703'!$B$6</f>
        <v/>
      </c>
      <c r="C8" s="11">
        <f>'res_raw_24257703'!$C$6</f>
        <v/>
      </c>
      <c r="D8" s="11">
        <f>'res_raw_24257703'!$D$6</f>
        <v/>
      </c>
      <c r="E8" s="11">
        <f>'res_raw_24257703'!$E$6</f>
        <v/>
      </c>
      <c r="F8" s="11">
        <f>'res_raw_24257703'!$F$6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'res_raw_24257703'!$B$7</f>
        <v/>
      </c>
      <c r="C9" s="8">
        <f>'res_raw_24257703'!$C$7</f>
        <v/>
      </c>
      <c r="D9" s="8">
        <f>'res_raw_24257703'!$D$7</f>
        <v/>
      </c>
      <c r="E9" s="8">
        <f>'res_raw_24257703'!$E$7</f>
        <v/>
      </c>
      <c r="F9" s="8">
        <f>'res_raw_24257703'!$F$7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'res_raw_24257703'!$B$9</f>
        <v/>
      </c>
      <c r="C11" s="8">
        <f>'res_raw_24257703'!$C$9</f>
        <v/>
      </c>
      <c r="D11" s="8">
        <f>'res_raw_24257703'!$D$9</f>
        <v/>
      </c>
      <c r="E11" s="8">
        <f>'res_raw_24257703'!$E$9</f>
        <v/>
      </c>
      <c r="F11" s="8">
        <f>'res_raw_24257703'!$F$9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'res_raw_24257703'!$B$10</f>
        <v/>
      </c>
      <c r="C12" s="5">
        <f>'res_raw_24257703'!$C$10</f>
        <v/>
      </c>
      <c r="D12" s="5">
        <f>'res_raw_24257703'!$D$10</f>
        <v/>
      </c>
      <c r="E12" s="5">
        <f>'res_raw_24257703'!$E$10</f>
        <v/>
      </c>
      <c r="F12" s="5">
        <f>'res_raw_24257703'!$F$10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'res_raw_24257703'!$B$11</f>
        <v/>
      </c>
      <c r="C13" s="11">
        <f>'res_raw_24257703'!$C$11</f>
        <v/>
      </c>
      <c r="D13" s="11">
        <f>'res_raw_24257703'!$D$11</f>
        <v/>
      </c>
      <c r="E13" s="11">
        <f>'res_raw_24257703'!$E$11</f>
        <v/>
      </c>
      <c r="F13" s="11">
        <f>'res_raw_24257703'!$F$11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'res_raw_24257703'!$B$12</f>
        <v/>
      </c>
      <c r="C14" s="5">
        <f>'res_raw_24257703'!$C$12</f>
        <v/>
      </c>
      <c r="D14" s="5">
        <f>'res_raw_24257703'!$D$12</f>
        <v/>
      </c>
      <c r="E14" s="5">
        <f>'res_raw_24257703'!$E$12</f>
        <v/>
      </c>
      <c r="F14" s="5">
        <f>'res_raw_24257703'!$F$12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'res_raw_24257703'!$B$13</f>
        <v/>
      </c>
      <c r="C15" s="8">
        <f>'res_raw_24257703'!$C$13</f>
        <v/>
      </c>
      <c r="D15" s="8">
        <f>'res_raw_24257703'!$D$13</f>
        <v/>
      </c>
      <c r="E15" s="8">
        <f>'res_raw_24257703'!$E$13</f>
        <v/>
      </c>
      <c r="F15" s="8">
        <f>'res_raw_24257703'!$F$13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'res_raw_24257703'!$B$14</f>
        <v/>
      </c>
      <c r="C16" s="5">
        <f>'res_raw_24257703'!$C$14</f>
        <v/>
      </c>
      <c r="D16" s="5">
        <f>'res_raw_24257703'!$D$14</f>
        <v/>
      </c>
      <c r="E16" s="5">
        <f>'res_raw_24257703'!$E$14</f>
        <v/>
      </c>
      <c r="F16" s="5">
        <f>'res_raw_24257703'!$F$14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'res_raw_24257703'!$B$15</f>
        <v/>
      </c>
      <c r="C17" s="11">
        <f>'res_raw_24257703'!$C$15</f>
        <v/>
      </c>
      <c r="D17" s="11">
        <f>'res_raw_24257703'!$D$15</f>
        <v/>
      </c>
      <c r="E17" s="11">
        <f>'res_raw_24257703'!$E$15</f>
        <v/>
      </c>
      <c r="F17" s="11">
        <f>'res_raw_24257703'!$F$15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'res_raw_24257703'!$B$16</f>
        <v/>
      </c>
      <c r="C18" s="11">
        <f>'res_raw_24257703'!$C$16</f>
        <v/>
      </c>
      <c r="D18" s="11">
        <f>'res_raw_24257703'!$D$16</f>
        <v/>
      </c>
      <c r="E18" s="11">
        <f>'res_raw_24257703'!$E$16</f>
        <v/>
      </c>
      <c r="F18" s="11">
        <f>'res_raw_24257703'!$F$16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'res_raw_24257703'!$B$17</f>
        <v/>
      </c>
      <c r="C19" s="8">
        <f>'res_raw_24257703'!$C$17</f>
        <v/>
      </c>
      <c r="D19" s="8">
        <f>'res_raw_24257703'!$D$17</f>
        <v/>
      </c>
      <c r="E19" s="8">
        <f>'res_raw_24257703'!$E$17</f>
        <v/>
      </c>
      <c r="F19" s="8">
        <f>'res_raw_24257703'!$F$17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'res_raw_24257703'!$B$18</f>
        <v/>
      </c>
      <c r="C20" s="11">
        <f>'res_raw_24257703'!$C$18</f>
        <v/>
      </c>
      <c r="D20" s="11">
        <f>'res_raw_24257703'!$D$18</f>
        <v/>
      </c>
      <c r="E20" s="11">
        <f>'res_raw_24257703'!$E$18</f>
        <v/>
      </c>
      <c r="F20" s="11">
        <f>'res_raw_24257703'!$F$18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10" t="inlineStr">
        <is>
          <t>Immaterielle anlægsaktiver</t>
        </is>
      </c>
      <c r="B23" s="11">
        <f>'balance_raw_24257703'!$B$2</f>
        <v/>
      </c>
      <c r="C23" s="11">
        <f>'balance_raw_24257703'!$C$2</f>
        <v/>
      </c>
      <c r="D23" s="11">
        <f>'balance_raw_24257703'!$D$2</f>
        <v/>
      </c>
      <c r="E23" s="11">
        <f>'balance_raw_24257703'!$E$2</f>
        <v/>
      </c>
      <c r="F23" s="11">
        <f>'balance_raw_24257703'!$F$2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Grunde og bygninger</t>
        </is>
      </c>
      <c r="B24" s="5">
        <f>'balance_raw_24257703'!$B$3</f>
        <v/>
      </c>
      <c r="C24" s="5">
        <f>'balance_raw_24257703'!$C$3</f>
        <v/>
      </c>
      <c r="D24" s="5">
        <f>'balance_raw_24257703'!$D$3</f>
        <v/>
      </c>
      <c r="E24" s="5">
        <f>'balance_raw_24257703'!$E$3</f>
        <v/>
      </c>
      <c r="F24" s="5">
        <f>'balance_raw_24257703'!$F$3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Produktionsanlæg og maskiner</t>
        </is>
      </c>
      <c r="B25" s="8">
        <f>'balance_raw_24257703'!$B$4</f>
        <v/>
      </c>
      <c r="C25" s="8">
        <f>'balance_raw_24257703'!$C$4</f>
        <v/>
      </c>
      <c r="D25" s="8">
        <f>'balance_raw_24257703'!$D$4</f>
        <v/>
      </c>
      <c r="E25" s="8">
        <f>'balance_raw_24257703'!$E$4</f>
        <v/>
      </c>
      <c r="F25" s="8">
        <f>'balance_raw_24257703'!$F$4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Driftsmateriel og inventar</t>
        </is>
      </c>
      <c r="B26" s="5">
        <f>'balance_raw_24257703'!$B$5</f>
        <v/>
      </c>
      <c r="C26" s="5">
        <f>'balance_raw_24257703'!$C$5</f>
        <v/>
      </c>
      <c r="D26" s="5">
        <f>'balance_raw_24257703'!$D$5</f>
        <v/>
      </c>
      <c r="E26" s="5">
        <f>'balance_raw_24257703'!$E$5</f>
        <v/>
      </c>
      <c r="F26" s="5">
        <f>'balance_raw_24257703'!$F$5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Indretning af lejede lokaler</t>
        </is>
      </c>
      <c r="B27" s="8">
        <f>'balance_raw_24257703'!$B$6</f>
        <v/>
      </c>
      <c r="C27" s="8">
        <f>'balance_raw_24257703'!$C$6</f>
        <v/>
      </c>
      <c r="D27" s="8">
        <f>'balance_raw_24257703'!$D$6</f>
        <v/>
      </c>
      <c r="E27" s="8">
        <f>'balance_raw_24257703'!$E$6</f>
        <v/>
      </c>
      <c r="F27" s="8">
        <f>'balance_raw_24257703'!$F$6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Forudbetaling og anlægsaktiver under opførelse</t>
        </is>
      </c>
      <c r="B28" s="5">
        <f>'balance_raw_24257703'!$B$7</f>
        <v/>
      </c>
      <c r="C28" s="5">
        <f>'balance_raw_24257703'!$C$7</f>
        <v/>
      </c>
      <c r="D28" s="5">
        <f>'balance_raw_24257703'!$D$7</f>
        <v/>
      </c>
      <c r="E28" s="5">
        <f>'balance_raw_24257703'!$E$7</f>
        <v/>
      </c>
      <c r="F28" s="5">
        <f>'balance_raw_24257703'!$F$7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Materielle anlægsaktiver</t>
        </is>
      </c>
      <c r="B29" s="11">
        <f>'balance_raw_24257703'!$B$8</f>
        <v/>
      </c>
      <c r="C29" s="11">
        <f>'balance_raw_24257703'!$C$8</f>
        <v/>
      </c>
      <c r="D29" s="11">
        <f>'balance_raw_24257703'!$D$8</f>
        <v/>
      </c>
      <c r="E29" s="11">
        <f>'balance_raw_24257703'!$E$8</f>
        <v/>
      </c>
      <c r="F29" s="11">
        <f>'balance_raw_24257703'!$F$8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10" t="inlineStr">
        <is>
          <t>Anlægsaktiver</t>
        </is>
      </c>
      <c r="B30" s="11">
        <f>'balance_raw_24257703'!$B$9</f>
        <v/>
      </c>
      <c r="C30" s="11">
        <f>'balance_raw_24257703'!$C$9</f>
        <v/>
      </c>
      <c r="D30" s="11">
        <f>'balance_raw_24257703'!$D$9</f>
        <v/>
      </c>
      <c r="E30" s="11">
        <f>'balance_raw_24257703'!$E$9</f>
        <v/>
      </c>
      <c r="F30" s="11">
        <f>'balance_raw_24257703'!$F$9</f>
        <v/>
      </c>
      <c r="G30" t="inlineStr"/>
      <c r="H30" s="12">
        <f>IFERROR(B30/$B$30*100,"")</f>
        <v/>
      </c>
      <c r="I30" s="12">
        <f>IFERROR(C30/$B$30*100,"")</f>
        <v/>
      </c>
      <c r="J30" s="12">
        <f>IFERROR(D30/$B$30*100,"")</f>
        <v/>
      </c>
      <c r="K30" s="12">
        <f>IFERROR(E30/$B$30*100,"")</f>
        <v/>
      </c>
      <c r="L30" s="12">
        <f>IFERROR(F30/$B$30*100,"")</f>
        <v/>
      </c>
    </row>
    <row r="31" ht="16" customHeight="1">
      <c r="A31" s="7" t="inlineStr">
        <is>
          <t>Råvarer og hjælpematerialer</t>
        </is>
      </c>
      <c r="B31" s="8">
        <f>'balance_raw_24257703'!$B$10</f>
        <v/>
      </c>
      <c r="C31" s="8">
        <f>'balance_raw_24257703'!$C$10</f>
        <v/>
      </c>
      <c r="D31" s="8">
        <f>'balance_raw_24257703'!$D$10</f>
        <v/>
      </c>
      <c r="E31" s="8">
        <f>'balance_raw_24257703'!$E$10</f>
        <v/>
      </c>
      <c r="F31" s="8">
        <f>'balance_raw_24257703'!$F$10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Varer under fremstilling</t>
        </is>
      </c>
      <c r="B32" s="5">
        <f>'balance_raw_24257703'!$B$11</f>
        <v/>
      </c>
      <c r="C32" s="5">
        <f>'balance_raw_24257703'!$C$11</f>
        <v/>
      </c>
      <c r="D32" s="5">
        <f>'balance_raw_24257703'!$D$11</f>
        <v/>
      </c>
      <c r="E32" s="5">
        <f>'balance_raw_24257703'!$E$11</f>
        <v/>
      </c>
      <c r="F32" s="5">
        <f>'balance_raw_24257703'!$F$11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Færdigvarer og handelsvarer</t>
        </is>
      </c>
      <c r="B33" s="8">
        <f>'balance_raw_24257703'!$B$12</f>
        <v/>
      </c>
      <c r="C33" s="8">
        <f>'balance_raw_24257703'!$C$12</f>
        <v/>
      </c>
      <c r="D33" s="8">
        <f>'balance_raw_24257703'!$D$12</f>
        <v/>
      </c>
      <c r="E33" s="8">
        <f>'balance_raw_24257703'!$E$12</f>
        <v/>
      </c>
      <c r="F33" s="8">
        <f>'balance_raw_24257703'!$F$12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10" t="inlineStr">
        <is>
          <t>Varebeholdninger</t>
        </is>
      </c>
      <c r="B34" s="11">
        <f>'balance_raw_24257703'!$B$13</f>
        <v/>
      </c>
      <c r="C34" s="11">
        <f>'balance_raw_24257703'!$C$13</f>
        <v/>
      </c>
      <c r="D34" s="11">
        <f>'balance_raw_24257703'!$D$13</f>
        <v/>
      </c>
      <c r="E34" s="11">
        <f>'balance_raw_24257703'!$E$13</f>
        <v/>
      </c>
      <c r="F34" s="11">
        <f>'balance_raw_24257703'!$F$13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Tilgodehavender fra salg og tjenesteydelser</t>
        </is>
      </c>
      <c r="B35" s="8">
        <f>'balance_raw_24257703'!$B$14</f>
        <v/>
      </c>
      <c r="C35" s="8">
        <f>'balance_raw_24257703'!$C$14</f>
        <v/>
      </c>
      <c r="D35" s="8">
        <f>'balance_raw_24257703'!$D$14</f>
        <v/>
      </c>
      <c r="E35" s="8">
        <f>'balance_raw_24257703'!$E$14</f>
        <v/>
      </c>
      <c r="F35" s="8">
        <f>'balance_raw_24257703'!$F$14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'balance_raw_24257703'!$B$15</f>
        <v/>
      </c>
      <c r="C36" s="5">
        <f>'balance_raw_24257703'!$C$15</f>
        <v/>
      </c>
      <c r="D36" s="5">
        <f>'balance_raw_24257703'!$D$15</f>
        <v/>
      </c>
      <c r="E36" s="5">
        <f>'balance_raw_24257703'!$E$15</f>
        <v/>
      </c>
      <c r="F36" s="5">
        <f>'balance_raw_24257703'!$F$15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Andre tilgodehavender</t>
        </is>
      </c>
      <c r="B37" s="8">
        <f>'balance_raw_24257703'!$B$16</f>
        <v/>
      </c>
      <c r="C37" s="8">
        <f>'balance_raw_24257703'!$C$16</f>
        <v/>
      </c>
      <c r="D37" s="8">
        <f>'balance_raw_24257703'!$D$16</f>
        <v/>
      </c>
      <c r="E37" s="8">
        <f>'balance_raw_24257703'!$E$16</f>
        <v/>
      </c>
      <c r="F37" s="8">
        <f>'balance_raw_24257703'!$F$16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'balance_raw_24257703'!$B$17</f>
        <v/>
      </c>
      <c r="C38" s="5">
        <f>'balance_raw_24257703'!$C$17</f>
        <v/>
      </c>
      <c r="D38" s="5">
        <f>'balance_raw_24257703'!$D$17</f>
        <v/>
      </c>
      <c r="E38" s="5">
        <f>'balance_raw_24257703'!$E$17</f>
        <v/>
      </c>
      <c r="F38" s="5">
        <f>'balance_raw_24257703'!$F$17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Udskudt skatteaktiv</t>
        </is>
      </c>
      <c r="B39" s="8">
        <f>'balance_raw_24257703'!$B$18</f>
        <v/>
      </c>
      <c r="C39" s="8">
        <f>'balance_raw_24257703'!$C$18</f>
        <v/>
      </c>
      <c r="D39" s="8">
        <f>'balance_raw_24257703'!$D$18</f>
        <v/>
      </c>
      <c r="E39" s="8">
        <f>'balance_raw_24257703'!$E$18</f>
        <v/>
      </c>
      <c r="F39" s="8">
        <f>'balance_raw_24257703'!$F$18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'balance_raw_24257703'!$B$19</f>
        <v/>
      </c>
      <c r="C40" s="5">
        <f>'balance_raw_24257703'!$C$19</f>
        <v/>
      </c>
      <c r="D40" s="5">
        <f>'balance_raw_24257703'!$D$19</f>
        <v/>
      </c>
      <c r="E40" s="5">
        <f>'balance_raw_24257703'!$E$19</f>
        <v/>
      </c>
      <c r="F40" s="5">
        <f>'balance_raw_24257703'!$F$19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Kortfristede skattetilgodehavender</t>
        </is>
      </c>
      <c r="B41" s="8">
        <f>'balance_raw_24257703'!$B$20</f>
        <v/>
      </c>
      <c r="C41" s="8">
        <f>'balance_raw_24257703'!$C$20</f>
        <v/>
      </c>
      <c r="D41" s="8">
        <f>'balance_raw_24257703'!$D$20</f>
        <v/>
      </c>
      <c r="E41" s="8">
        <f>'balance_raw_24257703'!$E$20</f>
        <v/>
      </c>
      <c r="F41" s="8">
        <f>'balance_raw_24257703'!$F$20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10" t="inlineStr">
        <is>
          <t>Tilgodehavender</t>
        </is>
      </c>
      <c r="B42" s="11">
        <f>'balance_raw_24257703'!$B$21</f>
        <v/>
      </c>
      <c r="C42" s="11">
        <f>'balance_raw_24257703'!$C$21</f>
        <v/>
      </c>
      <c r="D42" s="11">
        <f>'balance_raw_24257703'!$D$21</f>
        <v/>
      </c>
      <c r="E42" s="11">
        <f>'balance_raw_24257703'!$E$21</f>
        <v/>
      </c>
      <c r="F42" s="11">
        <f>'balance_raw_24257703'!$F$21</f>
        <v/>
      </c>
      <c r="G42" t="inlineStr"/>
      <c r="H42" s="12">
        <f>IFERROR(B42/$B$42*100,"")</f>
        <v/>
      </c>
      <c r="I42" s="12">
        <f>IFERROR(C42/$B$42*100,"")</f>
        <v/>
      </c>
      <c r="J42" s="12">
        <f>IFERROR(D42/$B$42*100,"")</f>
        <v/>
      </c>
      <c r="K42" s="12">
        <f>IFERROR(E42/$B$42*100,"")</f>
        <v/>
      </c>
      <c r="L42" s="12">
        <f>IFERROR(F42/$B$42*100,"")</f>
        <v/>
      </c>
    </row>
    <row r="43" ht="16" customHeight="1">
      <c r="A43" s="7" t="inlineStr">
        <is>
          <t>Værdipapirer</t>
        </is>
      </c>
      <c r="B43" s="8">
        <f>'balance_raw_24257703'!$B$22</f>
        <v/>
      </c>
      <c r="C43" s="8">
        <f>'balance_raw_24257703'!$C$22</f>
        <v/>
      </c>
      <c r="D43" s="8">
        <f>'balance_raw_24257703'!$D$22</f>
        <v/>
      </c>
      <c r="E43" s="8">
        <f>'balance_raw_24257703'!$E$22</f>
        <v/>
      </c>
      <c r="F43" s="8">
        <f>'balance_raw_24257703'!$F$22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'balance_raw_24257703'!$B$23</f>
        <v/>
      </c>
      <c r="C44" s="5">
        <f>'balance_raw_24257703'!$C$23</f>
        <v/>
      </c>
      <c r="D44" s="5">
        <f>'balance_raw_24257703'!$D$23</f>
        <v/>
      </c>
      <c r="E44" s="5">
        <f>'balance_raw_24257703'!$E$23</f>
        <v/>
      </c>
      <c r="F44" s="5">
        <f>'balance_raw_24257703'!$F$23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Omsætningsaktiver</t>
        </is>
      </c>
      <c r="B45" s="11">
        <f>'balance_raw_24257703'!$B$24</f>
        <v/>
      </c>
      <c r="C45" s="11">
        <f>'balance_raw_24257703'!$C$24</f>
        <v/>
      </c>
      <c r="D45" s="11">
        <f>'balance_raw_24257703'!$D$24</f>
        <v/>
      </c>
      <c r="E45" s="11">
        <f>'balance_raw_24257703'!$E$24</f>
        <v/>
      </c>
      <c r="F45" s="11">
        <f>'balance_raw_24257703'!$F$24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10" t="inlineStr">
        <is>
          <t>Aktiver</t>
        </is>
      </c>
      <c r="B46" s="11">
        <f>'balance_raw_24257703'!$B$25</f>
        <v/>
      </c>
      <c r="C46" s="11">
        <f>'balance_raw_24257703'!$C$25</f>
        <v/>
      </c>
      <c r="D46" s="11">
        <f>'balance_raw_24257703'!$D$25</f>
        <v/>
      </c>
      <c r="E46" s="11">
        <f>'balance_raw_24257703'!$E$25</f>
        <v/>
      </c>
      <c r="F46" s="11">
        <f>'balance_raw_24257703'!$F$25</f>
        <v/>
      </c>
      <c r="G46" t="inlineStr"/>
      <c r="H46" s="12">
        <f>IFERROR(B46/$B$46*100,"")</f>
        <v/>
      </c>
      <c r="I46" s="12">
        <f>IFERROR(C46/$B$46*100,"")</f>
        <v/>
      </c>
      <c r="J46" s="12">
        <f>IFERROR(D46/$B$46*100,"")</f>
        <v/>
      </c>
      <c r="K46" s="12">
        <f>IFERROR(E46/$B$46*100,"")</f>
        <v/>
      </c>
      <c r="L46" s="12">
        <f>IFERROR(F46/$B$46*100,"")</f>
        <v/>
      </c>
    </row>
    <row r="48" ht="22" customHeight="1">
      <c r="A48" s="3" t="inlineStr">
        <is>
          <t>PASSIVER t.kr.</t>
        </is>
      </c>
      <c r="B48" s="3" t="n">
        <v>2020</v>
      </c>
      <c r="C48" s="3" t="n">
        <v>2021</v>
      </c>
      <c r="D48" s="3" t="n">
        <v>2022</v>
      </c>
      <c r="E48" s="3" t="n">
        <v>2023</v>
      </c>
      <c r="F48" s="3" t="n">
        <v>2024</v>
      </c>
      <c r="G48" t="inlineStr"/>
      <c r="H48" s="3" t="n">
        <v>2020</v>
      </c>
      <c r="I48" s="3" t="n">
        <v>2021</v>
      </c>
      <c r="J48" s="3" t="n">
        <v>2022</v>
      </c>
      <c r="K48" s="3" t="n">
        <v>2023</v>
      </c>
      <c r="L48" s="3" t="n">
        <v>2024</v>
      </c>
    </row>
    <row r="49" ht="16" customHeight="1">
      <c r="A49" s="7" t="inlineStr">
        <is>
          <t>Selskabskapital</t>
        </is>
      </c>
      <c r="B49" s="8">
        <f>'balance_raw_24257703'!$B$26</f>
        <v/>
      </c>
      <c r="C49" s="8">
        <f>'balance_raw_24257703'!$C$26</f>
        <v/>
      </c>
      <c r="D49" s="8">
        <f>'balance_raw_24257703'!$D$26</f>
        <v/>
      </c>
      <c r="E49" s="8">
        <f>'balance_raw_24257703'!$E$26</f>
        <v/>
      </c>
      <c r="F49" s="8">
        <f>'balance_raw_24257703'!$F$26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'balance_raw_24257703'!$B$27</f>
        <v/>
      </c>
      <c r="C50" s="5">
        <f>'balance_raw_24257703'!$C$27</f>
        <v/>
      </c>
      <c r="D50" s="5">
        <f>'balance_raw_24257703'!$D$27</f>
        <v/>
      </c>
      <c r="E50" s="5">
        <f>'balance_raw_24257703'!$E$27</f>
        <v/>
      </c>
      <c r="F50" s="5">
        <f>'balance_raw_24257703'!$F$27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udviklingsomkostninger</t>
        </is>
      </c>
      <c r="B51" s="8">
        <f>'balance_raw_24257703'!$B$28</f>
        <v/>
      </c>
      <c r="C51" s="8">
        <f>'balance_raw_24257703'!$C$28</f>
        <v/>
      </c>
      <c r="D51" s="8">
        <f>'balance_raw_24257703'!$D$28</f>
        <v/>
      </c>
      <c r="E51" s="8">
        <f>'balance_raw_24257703'!$E$28</f>
        <v/>
      </c>
      <c r="F51" s="8">
        <f>'balance_raw_24257703'!$F$28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'balance_raw_24257703'!$B$29</f>
        <v/>
      </c>
      <c r="C52" s="5">
        <f>'balance_raw_24257703'!$C$29</f>
        <v/>
      </c>
      <c r="D52" s="5">
        <f>'balance_raw_24257703'!$D$29</f>
        <v/>
      </c>
      <c r="E52" s="5">
        <f>'balance_raw_24257703'!$E$29</f>
        <v/>
      </c>
      <c r="F52" s="5">
        <f>'balance_raw_24257703'!$F$29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Andre reserver</t>
        </is>
      </c>
      <c r="B53" s="8">
        <f>'balance_raw_24257703'!$B$30</f>
        <v/>
      </c>
      <c r="C53" s="8">
        <f>'balance_raw_24257703'!$C$30</f>
        <v/>
      </c>
      <c r="D53" s="8">
        <f>'balance_raw_24257703'!$D$30</f>
        <v/>
      </c>
      <c r="E53" s="8">
        <f>'balance_raw_24257703'!$E$30</f>
        <v/>
      </c>
      <c r="F53" s="8">
        <f>'balance_raw_24257703'!$F$30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'balance_raw_24257703'!$B$31</f>
        <v/>
      </c>
      <c r="C54" s="5">
        <f>'balance_raw_24257703'!$C$31</f>
        <v/>
      </c>
      <c r="D54" s="5">
        <f>'balance_raw_24257703'!$D$31</f>
        <v/>
      </c>
      <c r="E54" s="5">
        <f>'balance_raw_24257703'!$E$31</f>
        <v/>
      </c>
      <c r="F54" s="5">
        <f>'balance_raw_24257703'!$F$31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Egenkapital i alt</t>
        </is>
      </c>
      <c r="B55" s="11">
        <f>'balance_raw_24257703'!$B$32</f>
        <v/>
      </c>
      <c r="C55" s="11">
        <f>'balance_raw_24257703'!$C$32</f>
        <v/>
      </c>
      <c r="D55" s="11">
        <f>'balance_raw_24257703'!$D$32</f>
        <v/>
      </c>
      <c r="E55" s="11">
        <f>'balance_raw_24257703'!$E$32</f>
        <v/>
      </c>
      <c r="F55" s="11">
        <f>'balance_raw_24257703'!$F$32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Ansvarlig lånekapital (langfristet)</t>
        </is>
      </c>
      <c r="B56" s="5">
        <f>'balance_raw_24257703'!$B$33</f>
        <v/>
      </c>
      <c r="C56" s="5">
        <f>'balance_raw_24257703'!$C$33</f>
        <v/>
      </c>
      <c r="D56" s="5">
        <f>'balance_raw_24257703'!$D$33</f>
        <v/>
      </c>
      <c r="E56" s="5">
        <f>'balance_raw_24257703'!$E$33</f>
        <v/>
      </c>
      <c r="F56" s="5">
        <f>'balance_raw_24257703'!$F$33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Langfristede lån</t>
        </is>
      </c>
      <c r="B57" s="8">
        <f>'balance_raw_24257703'!$B$34</f>
        <v/>
      </c>
      <c r="C57" s="8">
        <f>'balance_raw_24257703'!$C$34</f>
        <v/>
      </c>
      <c r="D57" s="8">
        <f>'balance_raw_24257703'!$D$34</f>
        <v/>
      </c>
      <c r="E57" s="8">
        <f>'balance_raw_24257703'!$E$34</f>
        <v/>
      </c>
      <c r="F57" s="8">
        <f>'balance_raw_24257703'!$F$34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(langfristet)</t>
        </is>
      </c>
      <c r="B58" s="5">
        <f>'balance_raw_24257703'!$B$35</f>
        <v/>
      </c>
      <c r="C58" s="5">
        <f>'balance_raw_24257703'!$C$35</f>
        <v/>
      </c>
      <c r="D58" s="5">
        <f>'balance_raw_24257703'!$D$35</f>
        <v/>
      </c>
      <c r="E58" s="5">
        <f>'balance_raw_24257703'!$E$35</f>
        <v/>
      </c>
      <c r="F58" s="5">
        <f>'balance_raw_24257703'!$F$35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Anden gæld (langfristet)</t>
        </is>
      </c>
      <c r="B59" s="8">
        <f>'balance_raw_24257703'!$B$36</f>
        <v/>
      </c>
      <c r="C59" s="8">
        <f>'balance_raw_24257703'!$C$36</f>
        <v/>
      </c>
      <c r="D59" s="8">
        <f>'balance_raw_24257703'!$D$36</f>
        <v/>
      </c>
      <c r="E59" s="8">
        <f>'balance_raw_24257703'!$E$36</f>
        <v/>
      </c>
      <c r="F59" s="8">
        <f>'balance_raw_24257703'!$F$36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Langfristede gældsforpligtelser</t>
        </is>
      </c>
      <c r="B60" s="11">
        <f>'balance_raw_24257703'!$B$37</f>
        <v/>
      </c>
      <c r="C60" s="11">
        <f>'balance_raw_24257703'!$C$37</f>
        <v/>
      </c>
      <c r="D60" s="11">
        <f>'balance_raw_24257703'!$D$37</f>
        <v/>
      </c>
      <c r="E60" s="11">
        <f>'balance_raw_24257703'!$E$37</f>
        <v/>
      </c>
      <c r="F60" s="11">
        <f>'balance_raw_24257703'!$F$37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(kortfristet)</t>
        </is>
      </c>
      <c r="B61" s="8">
        <f>'balance_raw_24257703'!$B$38</f>
        <v/>
      </c>
      <c r="C61" s="8">
        <f>'balance_raw_24257703'!$C$38</f>
        <v/>
      </c>
      <c r="D61" s="8">
        <f>'balance_raw_24257703'!$D$38</f>
        <v/>
      </c>
      <c r="E61" s="8">
        <f>'balance_raw_24257703'!$E$38</f>
        <v/>
      </c>
      <c r="F61" s="8">
        <f>'balance_raw_24257703'!$F$38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'balance_raw_24257703'!$B$39</f>
        <v/>
      </c>
      <c r="C62" s="5">
        <f>'balance_raw_24257703'!$C$39</f>
        <v/>
      </c>
      <c r="D62" s="5">
        <f>'balance_raw_24257703'!$D$39</f>
        <v/>
      </c>
      <c r="E62" s="5">
        <f>'balance_raw_24257703'!$E$39</f>
        <v/>
      </c>
      <c r="F62" s="5">
        <f>'balance_raw_24257703'!$F$39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Kreditinstitutter</t>
        </is>
      </c>
      <c r="B63" s="8">
        <f>'balance_raw_24257703'!$B$40</f>
        <v/>
      </c>
      <c r="C63" s="8">
        <f>'balance_raw_24257703'!$C$40</f>
        <v/>
      </c>
      <c r="D63" s="8">
        <f>'balance_raw_24257703'!$D$40</f>
        <v/>
      </c>
      <c r="E63" s="8">
        <f>'balance_raw_24257703'!$E$40</f>
        <v/>
      </c>
      <c r="F63" s="8">
        <f>'balance_raw_24257703'!$F$40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'balance_raw_24257703'!$B$41</f>
        <v/>
      </c>
      <c r="C64" s="5">
        <f>'balance_raw_24257703'!$C$41</f>
        <v/>
      </c>
      <c r="D64" s="5">
        <f>'balance_raw_24257703'!$D$41</f>
        <v/>
      </c>
      <c r="E64" s="5">
        <f>'balance_raw_24257703'!$E$41</f>
        <v/>
      </c>
      <c r="F64" s="5">
        <f>'balance_raw_24257703'!$F$41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Leverandører af varer og tjenesteydelser</t>
        </is>
      </c>
      <c r="B65" s="8">
        <f>'balance_raw_24257703'!$B$42</f>
        <v/>
      </c>
      <c r="C65" s="8">
        <f>'balance_raw_24257703'!$C$42</f>
        <v/>
      </c>
      <c r="D65" s="8">
        <f>'balance_raw_24257703'!$D$42</f>
        <v/>
      </c>
      <c r="E65" s="8">
        <f>'balance_raw_24257703'!$E$42</f>
        <v/>
      </c>
      <c r="F65" s="8">
        <f>'balance_raw_24257703'!$F$42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'balance_raw_24257703'!$B$43</f>
        <v/>
      </c>
      <c r="C66" s="5">
        <f>'balance_raw_24257703'!$C$43</f>
        <v/>
      </c>
      <c r="D66" s="5">
        <f>'balance_raw_24257703'!$D$43</f>
        <v/>
      </c>
      <c r="E66" s="5">
        <f>'balance_raw_24257703'!$E$43</f>
        <v/>
      </c>
      <c r="F66" s="5">
        <f>'balance_raw_24257703'!$F$43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selskabsdeltagere og ledelse</t>
        </is>
      </c>
      <c r="B67" s="8">
        <f>'balance_raw_24257703'!$B$44</f>
        <v/>
      </c>
      <c r="C67" s="8">
        <f>'balance_raw_24257703'!$C$44</f>
        <v/>
      </c>
      <c r="D67" s="8">
        <f>'balance_raw_24257703'!$D$44</f>
        <v/>
      </c>
      <c r="E67" s="8">
        <f>'balance_raw_24257703'!$E$44</f>
        <v/>
      </c>
      <c r="F67" s="8">
        <f>'balance_raw_24257703'!$F$44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Selskabsskat</t>
        </is>
      </c>
      <c r="B68" s="5">
        <f>'balance_raw_24257703'!$B$45</f>
        <v/>
      </c>
      <c r="C68" s="5">
        <f>'balance_raw_24257703'!$C$45</f>
        <v/>
      </c>
      <c r="D68" s="5">
        <f>'balance_raw_24257703'!$D$45</f>
        <v/>
      </c>
      <c r="E68" s="5">
        <f>'balance_raw_24257703'!$E$45</f>
        <v/>
      </c>
      <c r="F68" s="5">
        <f>'balance_raw_24257703'!$F$45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 vedr. selskabsskat</t>
        </is>
      </c>
      <c r="B69" s="8">
        <f>'balance_raw_24257703'!$B$46</f>
        <v/>
      </c>
      <c r="C69" s="8">
        <f>'balance_raw_24257703'!$C$46</f>
        <v/>
      </c>
      <c r="D69" s="8">
        <f>'balance_raw_24257703'!$D$46</f>
        <v/>
      </c>
      <c r="E69" s="8">
        <f>'balance_raw_24257703'!$E$46</f>
        <v/>
      </c>
      <c r="F69" s="8">
        <f>'balance_raw_24257703'!$F$46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'balance_raw_24257703'!$B$47</f>
        <v/>
      </c>
      <c r="C70" s="5">
        <f>'balance_raw_24257703'!$C$47</f>
        <v/>
      </c>
      <c r="D70" s="5">
        <f>'balance_raw_24257703'!$D$47</f>
        <v/>
      </c>
      <c r="E70" s="5">
        <f>'balance_raw_24257703'!$E$47</f>
        <v/>
      </c>
      <c r="F70" s="5">
        <f>'balance_raw_24257703'!$F$47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Periodeafgrænsningsposter (passiver)</t>
        </is>
      </c>
      <c r="B71" s="8">
        <f>'balance_raw_24257703'!$B$48</f>
        <v/>
      </c>
      <c r="C71" s="8">
        <f>'balance_raw_24257703'!$C$48</f>
        <v/>
      </c>
      <c r="D71" s="8">
        <f>'balance_raw_24257703'!$D$48</f>
        <v/>
      </c>
      <c r="E71" s="8">
        <f>'balance_raw_24257703'!$E$48</f>
        <v/>
      </c>
      <c r="F71" s="8">
        <f>'balance_raw_24257703'!$F$48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10" t="inlineStr">
        <is>
          <t>Kortfristede gældsforpligtelser</t>
        </is>
      </c>
      <c r="B72" s="11">
        <f>'balance_raw_24257703'!$B$49</f>
        <v/>
      </c>
      <c r="C72" s="11">
        <f>'balance_raw_24257703'!$C$49</f>
        <v/>
      </c>
      <c r="D72" s="11">
        <f>'balance_raw_24257703'!$D$49</f>
        <v/>
      </c>
      <c r="E72" s="11">
        <f>'balance_raw_24257703'!$E$49</f>
        <v/>
      </c>
      <c r="F72" s="11">
        <f>'balance_raw_24257703'!$F$49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Gældsforpligtelser</t>
        </is>
      </c>
      <c r="B73" s="11">
        <f>'balance_raw_24257703'!$B$50</f>
        <v/>
      </c>
      <c r="C73" s="11">
        <f>'balance_raw_24257703'!$C$50</f>
        <v/>
      </c>
      <c r="D73" s="11">
        <f>'balance_raw_24257703'!$D$50</f>
        <v/>
      </c>
      <c r="E73" s="11">
        <f>'balance_raw_24257703'!$E$50</f>
        <v/>
      </c>
      <c r="F73" s="11">
        <f>'balance_raw_24257703'!$F$50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Passiver</t>
        </is>
      </c>
      <c r="B74" s="11">
        <f>'balance_raw_24257703'!$B$51</f>
        <v/>
      </c>
      <c r="C74" s="11">
        <f>'balance_raw_24257703'!$C$51</f>
        <v/>
      </c>
      <c r="D74" s="11">
        <f>'balance_raw_24257703'!$D$51</f>
        <v/>
      </c>
      <c r="E74" s="11">
        <f>'balance_raw_24257703'!$E$51</f>
        <v/>
      </c>
      <c r="F74" s="11">
        <f>'balance_raw_24257703'!$F$51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6" ht="22" customHeight="1">
      <c r="A76" s="3" t="inlineStr">
        <is>
          <t>NØGLEOPLYSNINGER</t>
        </is>
      </c>
      <c r="B76" s="3" t="n">
        <v>2020</v>
      </c>
      <c r="C76" s="3" t="n">
        <v>2021</v>
      </c>
      <c r="D76" s="3" t="n">
        <v>2022</v>
      </c>
      <c r="E76" s="3" t="n">
        <v>2023</v>
      </c>
      <c r="F76" s="3" t="n">
        <v>2024</v>
      </c>
    </row>
    <row r="77" ht="16" customHeight="1">
      <c r="A77" s="7" t="inlineStr">
        <is>
          <t>Gns. antal medarbejdere</t>
        </is>
      </c>
      <c r="B77" s="8">
        <f>'res_raw_24257703'!$B$19</f>
        <v/>
      </c>
      <c r="C77" s="8">
        <f>'res_raw_24257703'!$C$19</f>
        <v/>
      </c>
      <c r="D77" s="8">
        <f>'res_raw_24257703'!$D$19</f>
        <v/>
      </c>
      <c r="E77" s="8">
        <f>'res_raw_24257703'!$E$19</f>
        <v/>
      </c>
      <c r="F77" s="8">
        <f>'res_raw_24257703'!$F$19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'res_raw_24257703'!$B$20</f>
        <v/>
      </c>
      <c r="C78" s="5">
        <f>'res_raw_24257703'!$C$20</f>
        <v/>
      </c>
      <c r="D78" s="5">
        <f>'res_raw_24257703'!$D$20</f>
        <v/>
      </c>
      <c r="E78" s="5">
        <f>'res_raw_24257703'!$E$20</f>
        <v/>
      </c>
      <c r="F78" s="5">
        <f>'res_raw_24257703'!$F$20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2020</v>
      </c>
      <c r="C80" s="3" t="n">
        <v>2021</v>
      </c>
      <c r="D80" s="3" t="n">
        <v>2022</v>
      </c>
      <c r="E80" s="3" t="n">
        <v>2023</v>
      </c>
      <c r="F80" s="3" t="n">
        <v>2024</v>
      </c>
    </row>
    <row r="81" ht="16" customHeight="1">
      <c r="A81" s="7" t="inlineStr">
        <is>
          <t>Afkastningsgrad, %</t>
        </is>
      </c>
      <c r="B81" s="13">
        <f>IFERROR(($B$13+$B$15+$B$14)/$B$46*100,"")</f>
        <v/>
      </c>
      <c r="C81" s="13">
        <f>IFERROR(($C$13+$C$15+$C$14)/$C$46*100,"")</f>
        <v/>
      </c>
      <c r="D81" s="13">
        <f>IFERROR(($D$13+$D$15+$D$14)/$D$46*100,"")</f>
        <v/>
      </c>
      <c r="E81" s="13">
        <f>IFERROR(($E$13+$E$15+$E$14)/$E$46*100,"")</f>
        <v/>
      </c>
      <c r="F81" s="13">
        <f>IFERROR(($F$13+$F$15+$F$14)/$F$46*100,"")</f>
        <v/>
      </c>
    </row>
    <row r="82" ht="16" customHeight="1">
      <c r="A82" s="4" t="inlineStr">
        <is>
          <t>Overskudsgrad, %</t>
        </is>
      </c>
      <c r="B82" s="14">
        <f>IFERROR(($B$13+$B$15+$B$14)/$B$4*100,"")</f>
        <v/>
      </c>
      <c r="C82" s="14">
        <f>IFERROR(($C$13+$C$15+$C$14)/$C$4*100,"")</f>
        <v/>
      </c>
      <c r="D82" s="14">
        <f>IFERROR(($D$13+$D$15+$D$14)/$D$4*100,"")</f>
        <v/>
      </c>
      <c r="E82" s="14">
        <f>IFERROR(($E$13+$E$15+$E$14)/$E$4*100,"")</f>
        <v/>
      </c>
      <c r="F82" s="14">
        <f>IFERROR(($F$13+$F$15+$F$14)/$F$4*100,"")</f>
        <v/>
      </c>
    </row>
    <row r="83" ht="16" customHeight="1">
      <c r="A83" s="7" t="inlineStr">
        <is>
          <t>Aktivernes omsætningshastighed, gange</t>
        </is>
      </c>
      <c r="B83" s="13">
        <f>IFERROR($B$4/$B$46,"")</f>
        <v/>
      </c>
      <c r="C83" s="13">
        <f>IFERROR($C$4/$C$46,"")</f>
        <v/>
      </c>
      <c r="D83" s="13">
        <f>IFERROR($D$4/$D$46,"")</f>
        <v/>
      </c>
      <c r="E83" s="13">
        <f>IFERROR($E$4/$E$46,"")</f>
        <v/>
      </c>
      <c r="F83" s="13">
        <f>IFERROR($F$4/$F$46,"")</f>
        <v/>
      </c>
    </row>
    <row r="84" ht="16" customHeight="1">
      <c r="A84" s="4" t="inlineStr">
        <is>
          <t>Egenkapitalens forrentning, %</t>
        </is>
      </c>
      <c r="B84" s="14">
        <f>IFERROR($B$18/$B$55*100,"")</f>
        <v/>
      </c>
      <c r="C84" s="14">
        <f>IFERROR($C$18/$C$55*100,"")</f>
        <v/>
      </c>
      <c r="D84" s="14">
        <f>IFERROR($D$18/$D$55*100,"")</f>
        <v/>
      </c>
      <c r="E84" s="14">
        <f>IFERROR($E$18/$E$55*100,"")</f>
        <v/>
      </c>
      <c r="F84" s="14">
        <f>IFERROR($F$18/$F$55*100,"")</f>
        <v/>
      </c>
    </row>
    <row r="85" ht="16" customHeight="1">
      <c r="A85" s="7" t="inlineStr">
        <is>
          <t>Gældsrente, %</t>
        </is>
      </c>
      <c r="B85" s="13">
        <f>IFERROR($B$16/($B$74-$B$55)*100,"")</f>
        <v/>
      </c>
      <c r="C85" s="13">
        <f>IFERROR($C$16/($C$74-$C$55)*100,"")</f>
        <v/>
      </c>
      <c r="D85" s="13">
        <f>IFERROR($D$16/($D$74-$D$55)*100,"")</f>
        <v/>
      </c>
      <c r="E85" s="13">
        <f>IFERROR($E$16/($E$74-$E$55)*100,"")</f>
        <v/>
      </c>
      <c r="F85" s="13">
        <f>IFERROR($F$16/($F$74-$F$55)*100,"")</f>
        <v/>
      </c>
    </row>
    <row r="86" ht="16" customHeight="1">
      <c r="A86" s="4" t="inlineStr">
        <is>
          <t>Soliditetsgrad, %</t>
        </is>
      </c>
      <c r="B86" s="14">
        <f>IFERROR($B$55/$B$46*100,"")</f>
        <v/>
      </c>
      <c r="C86" s="14">
        <f>IFERROR($C$55/$C$46*100,"")</f>
        <v/>
      </c>
      <c r="D86" s="14">
        <f>IFERROR($D$55/$D$46*100,"")</f>
        <v/>
      </c>
      <c r="E86" s="14">
        <f>IFERROR($E$55/$E$46*100,"")</f>
        <v/>
      </c>
      <c r="F86" s="14">
        <f>IFERROR($F$55/$F$46*100,"")</f>
        <v/>
      </c>
    </row>
    <row r="87" ht="16" customHeight="1">
      <c r="A87" s="7" t="inlineStr">
        <is>
          <t>Gearing</t>
        </is>
      </c>
      <c r="B87" s="13">
        <f>IFERROR(($B$74-$B$55)/$B$55,"")</f>
        <v/>
      </c>
      <c r="C87" s="13">
        <f>IFERROR(($C$74-$C$55)/$C$55,"")</f>
        <v/>
      </c>
      <c r="D87" s="13">
        <f>IFERROR(($D$74-$D$55)/$D$55,"")</f>
        <v/>
      </c>
      <c r="E87" s="13">
        <f>IFERROR(($E$74-$E$55)/$E$55,"")</f>
        <v/>
      </c>
      <c r="F87" s="13">
        <f>IFERROR(($F$74-$F$55)/$F$55,"")</f>
        <v/>
      </c>
    </row>
    <row r="88" ht="16" customHeight="1">
      <c r="A88" s="4" t="inlineStr">
        <is>
          <t>Likviditetsgrad, %</t>
        </is>
      </c>
      <c r="B88" s="14">
        <f>IFERROR($B$45/$B$72*100,"")</f>
        <v/>
      </c>
      <c r="C88" s="14">
        <f>IFERROR($C$45/$C$72*100,"")</f>
        <v/>
      </c>
      <c r="D88" s="14">
        <f>IFERROR($D$45/$D$72*100,"")</f>
        <v/>
      </c>
      <c r="E88" s="14">
        <f>IFERROR($E$45/$E$72*100,"")</f>
        <v/>
      </c>
      <c r="F88" s="14">
        <f>IFERROR($F$45/$F$72*100,"")</f>
        <v/>
      </c>
    </row>
    <row r="89" ht="16" customHeight="1">
      <c r="A89" s="7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IFERROR(($B$74-$B$55)/$B$46*100,"")</f>
        <v/>
      </c>
      <c r="C90" s="14">
        <f>IFERROR(($C$74-$C$55)/$C$46*100,"")</f>
        <v/>
      </c>
      <c r="D90" s="14">
        <f>IFERROR(($D$74-$D$55)/$D$46*100,"")</f>
        <v/>
      </c>
      <c r="E90" s="14">
        <f>IFERROR(($E$74-$E$55)/$E$46*100,"")</f>
        <v/>
      </c>
      <c r="F90" s="14">
        <f>IFERROR(($F$74-$F$55)/$F$46*100,"")</f>
        <v/>
      </c>
    </row>
    <row r="91" ht="16" customHeight="1">
      <c r="A91" s="7" t="inlineStr">
        <is>
          <t>Kapitalbindingsgrad, %</t>
        </is>
      </c>
      <c r="B91" s="13">
        <f>IFERROR($B$30/($B$55+$B$60)*100,"")</f>
        <v/>
      </c>
      <c r="C91" s="13">
        <f>IFERROR($C$30/($C$55+$C$60)*100,"")</f>
        <v/>
      </c>
      <c r="D91" s="13">
        <f>IFERROR($D$30/($D$55+$D$60)*100,"")</f>
        <v/>
      </c>
      <c r="E91" s="13">
        <f>IFERROR($E$30/($E$55+$E$60)*100,"")</f>
        <v/>
      </c>
      <c r="F91" s="13">
        <f>IFERROR($F$30/($F$55+$F$60)*100,"")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192257</v>
      </c>
      <c r="C2" s="16" t="n">
        <v>215055</v>
      </c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>
        <v>-140330</v>
      </c>
      <c r="D3" s="16" t="n">
        <v>-49233</v>
      </c>
      <c r="E3" s="16" t="n">
        <v>-258940</v>
      </c>
      <c r="F3" s="16" t="n">
        <v>-147989</v>
      </c>
    </row>
    <row r="4">
      <c r="A4" s="15" t="inlineStr">
        <is>
          <t>Vareforbrug</t>
        </is>
      </c>
      <c r="B4" s="16" t="n">
        <v>82223</v>
      </c>
      <c r="C4" s="16" t="n">
        <v>59861</v>
      </c>
      <c r="D4" s="16" t="n"/>
      <c r="E4" s="16" t="n"/>
      <c r="F4" s="16" t="n"/>
    </row>
    <row r="5">
      <c r="A5" s="15" t="inlineStr">
        <is>
          <t>Andre eksterne omkostninger</t>
        </is>
      </c>
      <c r="B5" s="16" t="n">
        <v>20458</v>
      </c>
      <c r="C5" s="16" t="n">
        <v>28637</v>
      </c>
      <c r="D5" s="16" t="n"/>
      <c r="E5" s="16" t="n"/>
      <c r="F5" s="16" t="n"/>
    </row>
    <row r="6">
      <c r="A6" s="17" t="inlineStr">
        <is>
          <t>Bruttoresultat</t>
        </is>
      </c>
      <c r="B6" s="16" t="n">
        <v>89576</v>
      </c>
      <c r="C6" s="16" t="n">
        <v>126557</v>
      </c>
      <c r="D6" s="16" t="n">
        <v>63068</v>
      </c>
      <c r="E6" s="16" t="n">
        <v>292394</v>
      </c>
      <c r="F6" s="16" t="n">
        <v>366004</v>
      </c>
    </row>
    <row r="7">
      <c r="A7" s="15" t="inlineStr">
        <is>
          <t>Personaleomkostninger</t>
        </is>
      </c>
      <c r="B7" s="16" t="n">
        <v>66581</v>
      </c>
      <c r="C7" s="16" t="n">
        <v>86407</v>
      </c>
      <c r="D7" s="16" t="n">
        <v>107976</v>
      </c>
      <c r="E7" s="16" t="n">
        <v>178658</v>
      </c>
      <c r="F7" s="16" t="n">
        <v>175027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9491</v>
      </c>
      <c r="C9" s="16" t="n">
        <v>6670</v>
      </c>
      <c r="D9" s="16" t="n">
        <v>15125</v>
      </c>
      <c r="E9" s="16" t="n">
        <v>31803</v>
      </c>
      <c r="F9" s="16" t="n">
        <v>45144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13503</v>
      </c>
      <c r="C11" s="16" t="n">
        <v>33480</v>
      </c>
      <c r="D11" s="16" t="n">
        <v>-60033</v>
      </c>
      <c r="E11" s="16" t="n">
        <v>81933</v>
      </c>
      <c r="F11" s="16" t="n">
        <v>145833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652</v>
      </c>
      <c r="C13" s="16" t="n">
        <v>4748</v>
      </c>
      <c r="D13" s="16" t="n">
        <v>3132</v>
      </c>
      <c r="E13" s="16" t="n">
        <v>1196</v>
      </c>
      <c r="F13" s="16" t="n">
        <v>1632</v>
      </c>
    </row>
    <row r="14">
      <c r="A14" s="15" t="inlineStr">
        <is>
          <t>Finansielle omkostninger</t>
        </is>
      </c>
      <c r="B14" s="16" t="n">
        <v>1276</v>
      </c>
      <c r="C14" s="16" t="n">
        <v>3872</v>
      </c>
      <c r="D14" s="16" t="n">
        <v>1801</v>
      </c>
      <c r="E14" s="16" t="n">
        <v>5840</v>
      </c>
      <c r="F14" s="16" t="n">
        <v>5376</v>
      </c>
    </row>
    <row r="15">
      <c r="A15" s="17" t="inlineStr">
        <is>
          <t>Finansielle poster, netto</t>
        </is>
      </c>
      <c r="B15" s="16" t="n">
        <v>624</v>
      </c>
      <c r="C15" s="16" t="n">
        <v>-1935</v>
      </c>
      <c r="D15" s="16" t="n">
        <v>-2352</v>
      </c>
      <c r="E15" s="16" t="n">
        <v>3551</v>
      </c>
      <c r="F15" s="16" t="n">
        <v>2576</v>
      </c>
    </row>
    <row r="16">
      <c r="A16" s="17" t="inlineStr">
        <is>
          <t>Resultat før skat</t>
        </is>
      </c>
      <c r="B16" s="16" t="n">
        <v>12879</v>
      </c>
      <c r="C16" s="16" t="n">
        <v>35415</v>
      </c>
      <c r="D16" s="16" t="n">
        <v>-57681</v>
      </c>
      <c r="E16" s="16" t="n">
        <v>78382</v>
      </c>
      <c r="F16" s="16" t="n">
        <v>143256</v>
      </c>
    </row>
    <row r="17">
      <c r="A17" s="15" t="inlineStr">
        <is>
          <t>Skat af årets resultat</t>
        </is>
      </c>
      <c r="B17" s="16" t="n">
        <v>2805</v>
      </c>
      <c r="C17" s="16" t="n">
        <v>7829</v>
      </c>
      <c r="D17" s="16" t="n">
        <v>-12518</v>
      </c>
      <c r="E17" s="16" t="n">
        <v>17268</v>
      </c>
      <c r="F17" s="16" t="n">
        <v>31778</v>
      </c>
    </row>
    <row r="18">
      <c r="A18" s="17" t="inlineStr">
        <is>
          <t>Årets resultat</t>
        </is>
      </c>
      <c r="B18" s="16" t="n">
        <v>10074</v>
      </c>
      <c r="C18" s="16" t="n">
        <v>27586</v>
      </c>
      <c r="D18" s="16" t="n">
        <v>-45163</v>
      </c>
      <c r="E18" s="16" t="n">
        <v>61114</v>
      </c>
      <c r="F18" s="16" t="n">
        <v>111478</v>
      </c>
    </row>
    <row r="19">
      <c r="A19" s="15" t="inlineStr">
        <is>
          <t>Gns. antal medarbejdere</t>
        </is>
      </c>
      <c r="B19" s="16" t="n">
        <v>114</v>
      </c>
      <c r="C19" s="16" t="n">
        <v>143</v>
      </c>
      <c r="D19" s="16" t="n">
        <v>170</v>
      </c>
      <c r="E19" s="16" t="n">
        <v>192</v>
      </c>
      <c r="F19" s="16" t="n">
        <v>202</v>
      </c>
    </row>
    <row r="20">
      <c r="A20" s="15" t="inlineStr">
        <is>
          <t>Investering i materielle anlægsaktiver</t>
        </is>
      </c>
      <c r="B20" s="16" t="n">
        <v>719</v>
      </c>
      <c r="C20" s="16" t="n">
        <v>7964</v>
      </c>
      <c r="D20" s="16" t="n">
        <v>13623</v>
      </c>
      <c r="E20" s="16" t="n">
        <v>442</v>
      </c>
      <c r="F20" s="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7" t="inlineStr">
        <is>
          <t>Immaterielle anlægsaktiver</t>
        </is>
      </c>
      <c r="B2" s="16" t="n">
        <v>12857</v>
      </c>
      <c r="C2" s="16" t="n">
        <v>8733</v>
      </c>
      <c r="D2" s="16" t="n">
        <v>28870</v>
      </c>
      <c r="E2" s="16" t="n">
        <v>60948</v>
      </c>
      <c r="F2" s="16" t="n">
        <v>37488</v>
      </c>
    </row>
    <row r="3">
      <c r="A3" s="15" t="inlineStr">
        <is>
          <t>Grunde og bygninger</t>
        </is>
      </c>
      <c r="B3" s="16" t="n"/>
      <c r="C3" s="16" t="n"/>
      <c r="D3" s="16" t="n"/>
      <c r="E3" s="16" t="n"/>
      <c r="F3" s="16" t="n"/>
    </row>
    <row r="4">
      <c r="A4" s="15" t="inlineStr">
        <is>
          <t>Produktionsanlæg og maskiner</t>
        </is>
      </c>
      <c r="B4" s="16" t="n"/>
      <c r="C4" s="16" t="n"/>
      <c r="D4" s="16" t="n"/>
      <c r="E4" s="16" t="n"/>
      <c r="F4" s="16" t="n"/>
    </row>
    <row r="5">
      <c r="A5" s="15" t="inlineStr">
        <is>
          <t>Driftsmateriel og inventar</t>
        </is>
      </c>
      <c r="B5" s="16" t="n">
        <v>5284</v>
      </c>
      <c r="C5" s="16" t="n">
        <v>11609</v>
      </c>
      <c r="D5" s="16" t="n">
        <v>20213</v>
      </c>
      <c r="E5" s="16" t="n">
        <v>12434</v>
      </c>
      <c r="F5" s="16" t="n">
        <v>1750</v>
      </c>
    </row>
    <row r="6">
      <c r="A6" s="15" t="inlineStr">
        <is>
          <t>Indretning af lejede lokaler</t>
        </is>
      </c>
      <c r="B6" s="16" t="n"/>
      <c r="C6" s="16" t="n"/>
      <c r="D6" s="16" t="n"/>
      <c r="E6" s="16" t="n"/>
      <c r="F6" s="16" t="n"/>
    </row>
    <row r="7">
      <c r="A7" s="15" t="inlineStr">
        <is>
          <t>Forudbetaling og anlægsaktiver under opførelse</t>
        </is>
      </c>
      <c r="B7" s="16" t="n"/>
      <c r="C7" s="16" t="n"/>
      <c r="D7" s="16" t="n"/>
      <c r="E7" s="16" t="n"/>
      <c r="F7" s="16" t="n"/>
    </row>
    <row r="8">
      <c r="A8" s="17" t="inlineStr">
        <is>
          <t>Materielle anlægsaktiver</t>
        </is>
      </c>
      <c r="B8" s="16" t="n">
        <v>5284</v>
      </c>
      <c r="C8" s="16" t="n">
        <v>11609</v>
      </c>
      <c r="D8" s="16" t="n">
        <v>20213</v>
      </c>
      <c r="E8" s="16" t="n">
        <v>12434</v>
      </c>
      <c r="F8" s="16" t="n">
        <v>1750</v>
      </c>
    </row>
    <row r="9">
      <c r="A9" s="17" t="inlineStr">
        <is>
          <t>Anlægsaktiver</t>
        </is>
      </c>
      <c r="B9" s="16" t="n">
        <v>18141</v>
      </c>
      <c r="C9" s="16" t="n">
        <v>20342</v>
      </c>
      <c r="D9" s="16" t="n">
        <v>49083</v>
      </c>
      <c r="E9" s="16" t="n">
        <v>73382</v>
      </c>
      <c r="F9" s="16" t="n">
        <v>39238</v>
      </c>
    </row>
    <row r="10">
      <c r="A10" s="15" t="inlineStr">
        <is>
          <t>Råvarer og hjælpematerialer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Varer under fremstilling</t>
        </is>
      </c>
      <c r="B11" s="16" t="n"/>
      <c r="C11" s="16" t="n"/>
      <c r="D11" s="16" t="n"/>
      <c r="E11" s="16" t="n"/>
      <c r="F11" s="16" t="n"/>
    </row>
    <row r="12">
      <c r="A12" s="15" t="inlineStr">
        <is>
          <t>Færdigvarer og handelsvarer</t>
        </is>
      </c>
      <c r="B12" s="16" t="n">
        <v>584</v>
      </c>
      <c r="C12" s="16" t="n">
        <v>662</v>
      </c>
      <c r="D12" s="16" t="n">
        <v>835</v>
      </c>
      <c r="E12" s="16" t="n">
        <v>1429</v>
      </c>
      <c r="F12" s="16" t="n">
        <v>1614</v>
      </c>
    </row>
    <row r="13">
      <c r="A13" s="17" t="inlineStr">
        <is>
          <t>Varebeholdninger</t>
        </is>
      </c>
      <c r="B13" s="16" t="n">
        <v>584</v>
      </c>
      <c r="C13" s="16" t="n">
        <v>662</v>
      </c>
      <c r="D13" s="16" t="n">
        <v>835</v>
      </c>
      <c r="E13" s="16" t="n">
        <v>1429</v>
      </c>
      <c r="F13" s="16" t="n">
        <v>1614</v>
      </c>
    </row>
    <row r="14">
      <c r="A14" s="15" t="inlineStr">
        <is>
          <t>Tilgodehavender fra salg og tjenesteydelser</t>
        </is>
      </c>
      <c r="B14" s="16" t="n">
        <v>120765</v>
      </c>
      <c r="C14" s="16" t="n">
        <v>165514</v>
      </c>
      <c r="D14" s="16" t="n">
        <v>79978</v>
      </c>
      <c r="E14" s="16" t="n">
        <v>54184</v>
      </c>
      <c r="F14" s="16" t="n">
        <v>266279</v>
      </c>
    </row>
    <row r="15">
      <c r="A15" s="15" t="inlineStr">
        <is>
          <t>Tilgodehavender hos tilknyttede virksomheder</t>
        </is>
      </c>
      <c r="B15" s="16" t="n">
        <v>65500</v>
      </c>
      <c r="C15" s="16" t="n">
        <v>71813</v>
      </c>
      <c r="D15" s="16" t="n">
        <v>69103</v>
      </c>
      <c r="E15" s="16" t="n">
        <v>91225</v>
      </c>
      <c r="F15" s="16" t="n">
        <v>112654</v>
      </c>
    </row>
    <row r="16">
      <c r="A16" s="15" t="inlineStr">
        <is>
          <t>Andre tilgodehavender</t>
        </is>
      </c>
      <c r="B16" s="16" t="n">
        <v>5194</v>
      </c>
      <c r="C16" s="16" t="n">
        <v>9458</v>
      </c>
      <c r="D16" s="16" t="n">
        <v>7528</v>
      </c>
      <c r="E16" s="16" t="n">
        <v>15281</v>
      </c>
      <c r="F16" s="16" t="n">
        <v>4365</v>
      </c>
    </row>
    <row r="17">
      <c r="A17" s="15" t="inlineStr">
        <is>
          <t>Periodeafgrænsningsposter (aktiver)</t>
        </is>
      </c>
      <c r="B17" s="16" t="n">
        <v>2299</v>
      </c>
      <c r="C17" s="16" t="n">
        <v>1177</v>
      </c>
      <c r="D17" s="16" t="n">
        <v>2317</v>
      </c>
      <c r="E17" s="16" t="n">
        <v>4178</v>
      </c>
      <c r="F17" s="16" t="n">
        <v>7721</v>
      </c>
    </row>
    <row r="18">
      <c r="A18" s="15" t="inlineStr">
        <is>
          <t>Udskudt skatteaktiv</t>
        </is>
      </c>
      <c r="B18" s="16" t="n">
        <v>443</v>
      </c>
      <c r="C18" s="16" t="n">
        <v>432</v>
      </c>
      <c r="D18" s="16" t="n">
        <v>12950</v>
      </c>
      <c r="E18" s="16" t="n">
        <v>8549</v>
      </c>
      <c r="F18" s="16" t="n">
        <v>2352</v>
      </c>
    </row>
    <row r="19">
      <c r="A19" s="15" t="inlineStr">
        <is>
          <t>Tilgodehavende skat hos tilknyttede virksomheder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Kortfristede skattetilgodehavender</t>
        </is>
      </c>
      <c r="B20" s="16" t="n"/>
      <c r="C20" s="16" t="n"/>
      <c r="D20" s="16" t="n"/>
      <c r="E20" s="16" t="n"/>
      <c r="F20" s="16" t="n"/>
    </row>
    <row r="21">
      <c r="A21" s="17" t="inlineStr">
        <is>
          <t>Tilgodehavender</t>
        </is>
      </c>
      <c r="B21" s="16" t="n">
        <v>194202</v>
      </c>
      <c r="C21" s="16" t="n">
        <v>248394</v>
      </c>
      <c r="D21" s="16" t="n">
        <v>171874</v>
      </c>
      <c r="E21" s="16" t="n">
        <v>173417</v>
      </c>
      <c r="F21" s="16" t="n">
        <v>393372</v>
      </c>
    </row>
    <row r="22">
      <c r="A22" s="15" t="inlineStr">
        <is>
          <t>Værdipapirer</t>
        </is>
      </c>
      <c r="B22" s="16" t="n">
        <v>84</v>
      </c>
      <c r="C22" s="16" t="n">
        <v>91</v>
      </c>
      <c r="D22" s="16" t="n">
        <v>91</v>
      </c>
      <c r="E22" s="16" t="n">
        <v>91</v>
      </c>
      <c r="F22" s="16" t="n">
        <v>132</v>
      </c>
    </row>
    <row r="23">
      <c r="A23" s="15" t="inlineStr">
        <is>
          <t>Likvide beholdninger</t>
        </is>
      </c>
      <c r="B23" s="16" t="n">
        <v>19603</v>
      </c>
      <c r="C23" s="16" t="n">
        <v>25311</v>
      </c>
      <c r="D23" s="16" t="n">
        <v>26387</v>
      </c>
      <c r="E23" s="16" t="n">
        <v>85051</v>
      </c>
      <c r="F23" s="16" t="n">
        <v>16943</v>
      </c>
    </row>
    <row r="24">
      <c r="A24" s="17" t="inlineStr">
        <is>
          <t>Omsætningsaktiver</t>
        </is>
      </c>
      <c r="B24" s="16" t="n">
        <v>214472</v>
      </c>
      <c r="C24" s="16" t="n">
        <v>274457</v>
      </c>
      <c r="D24" s="16" t="n">
        <v>199187</v>
      </c>
      <c r="E24" s="16" t="n">
        <v>259988</v>
      </c>
      <c r="F24" s="16" t="n">
        <v>412061</v>
      </c>
    </row>
    <row r="25">
      <c r="A25" s="17" t="inlineStr">
        <is>
          <t>Aktiver</t>
        </is>
      </c>
      <c r="B25" s="16" t="n">
        <v>232613</v>
      </c>
      <c r="C25" s="16" t="n">
        <v>294800</v>
      </c>
      <c r="D25" s="16" t="n">
        <v>248270</v>
      </c>
      <c r="E25" s="16" t="n">
        <v>333370</v>
      </c>
      <c r="F25" s="16" t="n">
        <v>451299</v>
      </c>
    </row>
    <row r="26">
      <c r="A26" s="15" t="inlineStr">
        <is>
          <t>Selskabskapital</t>
        </is>
      </c>
      <c r="B26" s="16" t="n">
        <v>2000</v>
      </c>
      <c r="C26" s="16" t="n">
        <v>2000</v>
      </c>
      <c r="D26" s="16" t="n">
        <v>2000</v>
      </c>
      <c r="E26" s="16" t="n">
        <v>2000</v>
      </c>
      <c r="F26" s="16" t="n">
        <v>2000</v>
      </c>
    </row>
    <row r="27">
      <c r="A27" s="15" t="inlineStr">
        <is>
          <t>Reserve for nettoopskrivning (indre værdis metode)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Reserve for udviklingsomkostninger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Reserve for sikringstransaktioner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Andre reserver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Overført resultat</t>
        </is>
      </c>
      <c r="B31" s="16" t="n">
        <v>81323</v>
      </c>
      <c r="C31" s="16" t="n">
        <v>108721</v>
      </c>
      <c r="D31" s="16" t="n">
        <v>63558</v>
      </c>
      <c r="E31" s="16" t="n">
        <v>124672</v>
      </c>
      <c r="F31" s="16" t="n">
        <v>236150</v>
      </c>
    </row>
    <row r="32">
      <c r="A32" s="17" t="inlineStr">
        <is>
          <t>Egenkapital i alt</t>
        </is>
      </c>
      <c r="B32" s="16" t="n">
        <v>83323</v>
      </c>
      <c r="C32" s="16" t="n">
        <v>110721</v>
      </c>
      <c r="D32" s="16" t="n">
        <v>65558</v>
      </c>
      <c r="E32" s="16" t="n">
        <v>126672</v>
      </c>
      <c r="F32" s="16" t="n">
        <v>238150</v>
      </c>
    </row>
    <row r="33">
      <c r="A33" s="15" t="inlineStr">
        <is>
          <t>Ansvarlig lånekapital (langfristet)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Langfristede lån</t>
        </is>
      </c>
      <c r="B34" s="16" t="n">
        <v>55000</v>
      </c>
      <c r="C34" s="16" t="n">
        <v>48125</v>
      </c>
      <c r="D34" s="16" t="n">
        <v>34375</v>
      </c>
      <c r="E34" s="16" t="n">
        <v>20625</v>
      </c>
      <c r="F34" s="16" t="n">
        <v>6875</v>
      </c>
    </row>
    <row r="35">
      <c r="A35" s="15" t="inlineStr">
        <is>
          <t>Leasingforpligtelser (langfristet)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Anden gæld (langfristet)</t>
        </is>
      </c>
      <c r="B36" s="16" t="n">
        <v>3069</v>
      </c>
      <c r="C36" s="16" t="n">
        <v>7680</v>
      </c>
      <c r="D36" s="16" t="n">
        <v>7673</v>
      </c>
      <c r="E36" s="16" t="n">
        <v>99</v>
      </c>
      <c r="F36" s="16" t="n">
        <v>93</v>
      </c>
    </row>
    <row r="37">
      <c r="A37" s="17" t="inlineStr">
        <is>
          <t>Langfristede gældsforpligtelser</t>
        </is>
      </c>
      <c r="B37" s="16" t="n">
        <v>58069</v>
      </c>
      <c r="C37" s="16" t="n">
        <v>55824</v>
      </c>
      <c r="D37" s="16" t="n">
        <v>42103</v>
      </c>
      <c r="E37" s="16" t="n">
        <v>25804</v>
      </c>
      <c r="F37" s="16" t="n">
        <v>10037</v>
      </c>
    </row>
    <row r="38">
      <c r="A38" s="15" t="inlineStr">
        <is>
          <t>Ansvarlig lånekapital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Kortfristet del af langfristede gældsforpligtelser</t>
        </is>
      </c>
      <c r="B39" s="16" t="n"/>
      <c r="C39" s="16" t="n">
        <v>7826</v>
      </c>
      <c r="D39" s="16" t="n">
        <v>14701</v>
      </c>
      <c r="E39" s="16" t="n">
        <v>13750</v>
      </c>
      <c r="F39" s="16" t="n">
        <v>13750</v>
      </c>
    </row>
    <row r="40">
      <c r="A40" s="15" t="inlineStr">
        <is>
          <t>Kreditinstitutter</t>
        </is>
      </c>
      <c r="B40" s="16" t="n"/>
      <c r="C40" s="16" t="n"/>
      <c r="D40" s="16" t="n">
        <v>9</v>
      </c>
      <c r="E40" s="16" t="n">
        <v>0</v>
      </c>
      <c r="F40" s="16" t="n"/>
    </row>
    <row r="41">
      <c r="A41" s="15" t="inlineStr">
        <is>
          <t>Leasingforpligtelser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Leverandører af varer og tjenesteydelser</t>
        </is>
      </c>
      <c r="B42" s="16" t="n">
        <v>47496</v>
      </c>
      <c r="C42" s="16" t="n">
        <v>55499</v>
      </c>
      <c r="D42" s="16" t="n">
        <v>72481</v>
      </c>
      <c r="E42" s="16" t="n">
        <v>121074</v>
      </c>
      <c r="F42" s="16" t="n">
        <v>106175</v>
      </c>
    </row>
    <row r="43">
      <c r="A43" s="15" t="inlineStr">
        <is>
          <t>Gæld til tilknyttede virksomheder</t>
        </is>
      </c>
      <c r="B43" s="16" t="n">
        <v>2768</v>
      </c>
      <c r="C43" s="16" t="n">
        <v>28236</v>
      </c>
      <c r="D43" s="16" t="n">
        <v>19199</v>
      </c>
      <c r="E43" s="16" t="n">
        <v>0</v>
      </c>
      <c r="F43" s="16" t="n"/>
    </row>
    <row r="44">
      <c r="A44" s="15" t="inlineStr">
        <is>
          <t>Gæld til selskabsdeltagere og ledelse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Selskabsskat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Gæld til tilknyttede virksomheder vedr. selskabsskat</t>
        </is>
      </c>
      <c r="B46" s="16" t="n"/>
      <c r="C46" s="16" t="n"/>
      <c r="D46" s="16" t="n"/>
      <c r="E46" s="16" t="n">
        <v>12867</v>
      </c>
      <c r="F46" s="16" t="n">
        <v>25582</v>
      </c>
    </row>
    <row r="47">
      <c r="A47" s="15" t="inlineStr">
        <is>
          <t>Anden gæld (kortfristet)</t>
        </is>
      </c>
      <c r="B47" s="16" t="n">
        <v>40221</v>
      </c>
      <c r="C47" s="16" t="n">
        <v>30919</v>
      </c>
      <c r="D47" s="16" t="n">
        <v>32351</v>
      </c>
      <c r="E47" s="16" t="n">
        <v>30456</v>
      </c>
      <c r="F47" s="16" t="n">
        <v>54164</v>
      </c>
    </row>
    <row r="48">
      <c r="A48" s="15" t="inlineStr">
        <is>
          <t>Periodeafgrænsningsposter (passiver)</t>
        </is>
      </c>
      <c r="B48" s="16" t="n">
        <v>737</v>
      </c>
      <c r="C48" s="16" t="n">
        <v>5775</v>
      </c>
      <c r="D48" s="16" t="n">
        <v>1869</v>
      </c>
      <c r="E48" s="16" t="n">
        <v>2748</v>
      </c>
      <c r="F48" s="16" t="n">
        <v>3441</v>
      </c>
    </row>
    <row r="49">
      <c r="A49" s="17" t="inlineStr">
        <is>
          <t>Kortfristede gældsforpligtelser</t>
        </is>
      </c>
      <c r="B49" s="16" t="n">
        <v>91222</v>
      </c>
      <c r="C49" s="16" t="n">
        <v>128254</v>
      </c>
      <c r="D49" s="16" t="n">
        <v>140609</v>
      </c>
      <c r="E49" s="16" t="n">
        <v>180895</v>
      </c>
      <c r="F49" s="16" t="n">
        <v>203112</v>
      </c>
    </row>
    <row r="50">
      <c r="A50" s="17" t="inlineStr">
        <is>
          <t>Gældsforpligtelser</t>
        </is>
      </c>
      <c r="B50" s="16" t="n">
        <v>149290</v>
      </c>
      <c r="C50" s="16" t="n">
        <v>184079</v>
      </c>
      <c r="D50" s="16" t="n">
        <v>182712</v>
      </c>
      <c r="E50" s="16" t="n">
        <v>206698</v>
      </c>
      <c r="F50" s="16" t="n">
        <v>213149</v>
      </c>
    </row>
    <row r="51">
      <c r="A51" s="17" t="inlineStr">
        <is>
          <t>Passiver</t>
        </is>
      </c>
      <c r="B51" s="16" t="n">
        <v>232613</v>
      </c>
      <c r="C51" s="16" t="n">
        <v>294800</v>
      </c>
      <c r="D51" s="16" t="n">
        <v>248270</v>
      </c>
      <c r="E51" s="16" t="n">
        <v>333370</v>
      </c>
      <c r="F51" s="16" t="n">
        <v>451299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24257703)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'res_raw_24257703'!$F$2</f>
        <v/>
      </c>
      <c r="C5" s="24">
        <f>'res_raw_24257703'!$E$2</f>
        <v/>
      </c>
      <c r="D5" s="24">
        <f>'res_raw_24257703'!$D$2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'res_raw_24257703'!$F$3</f>
        <v/>
      </c>
      <c r="C6" s="24">
        <f>'res_raw_24257703'!$E$3</f>
        <v/>
      </c>
      <c r="D6" s="24">
        <f>'res_raw_24257703'!$D$3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-'res_raw_24257703'!$F$4</f>
        <v/>
      </c>
      <c r="C7" s="24">
        <f>-'res_raw_24257703'!$E$4</f>
        <v/>
      </c>
      <c r="D7" s="24">
        <f>-'res_raw_24257703'!$D$4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-'res_raw_24257703'!$F$5</f>
        <v/>
      </c>
      <c r="C8" s="24">
        <f>-'res_raw_24257703'!$E$5</f>
        <v/>
      </c>
      <c r="D8" s="24">
        <f>-'res_raw_24257703'!$D$5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-'res_raw_24257703'!$F$7</f>
        <v/>
      </c>
      <c r="C10" s="24">
        <f>-'res_raw_24257703'!$E$7</f>
        <v/>
      </c>
      <c r="D10" s="24">
        <f>-'res_raw_24257703'!$D$7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-'res_raw_24257703'!$F$9</f>
        <v/>
      </c>
      <c r="C11" s="24">
        <f>-'res_raw_24257703'!$E$9</f>
        <v/>
      </c>
      <c r="D11" s="24">
        <f>-'res_raw_24257703'!$D$9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-'res_raw_24257703'!$F$10</f>
        <v/>
      </c>
      <c r="C12" s="24">
        <f>-'res_raw_24257703'!$E$10</f>
        <v/>
      </c>
      <c r="D12" s="24">
        <f>-'res_raw_24257703'!$D$10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N('res_raw_24257703'!$F$12)+N('res_raw_24257703'!$F$13)</f>
        <v/>
      </c>
      <c r="C14" s="24">
        <f>N('res_raw_24257703'!$E$12)+N('res_raw_24257703'!$E$13)</f>
        <v/>
      </c>
      <c r="D14" s="24">
        <f>N('res_raw_24257703'!$D$12)+N('res_raw_24257703'!$D$13)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-'res_raw_24257703'!$F$14</f>
        <v/>
      </c>
      <c r="C15" s="24">
        <f>-'res_raw_24257703'!$E$14</f>
        <v/>
      </c>
      <c r="D15" s="24">
        <f>-'res_raw_24257703'!$D$14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'balance_raw_24257703'!$F$9</f>
        <v/>
      </c>
      <c r="C19" s="24">
        <f>'balance_raw_24257703'!$E$9</f>
        <v/>
      </c>
      <c r="D19" s="24">
        <f>'balance_raw_24257703'!$D$9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'balance_raw_24257703'!$F$24</f>
        <v/>
      </c>
      <c r="C20" s="24">
        <f>'balance_raw_24257703'!$E$24</f>
        <v/>
      </c>
      <c r="D20" s="24">
        <f>'balance_raw_24257703'!$D$24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'balance_raw_24257703'!$F$32</f>
        <v/>
      </c>
      <c r="C23" s="24">
        <f>'balance_raw_24257703'!$E$32</f>
        <v/>
      </c>
      <c r="D23" s="24">
        <f>'balance_raw_24257703'!$D$32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'balance_raw_24257703'!$F$51-'balance_raw_24257703'!$F$32</f>
        <v/>
      </c>
      <c r="C24" s="24">
        <f>'balance_raw_24257703'!$E$51-'balance_raw_24257703'!$E$32</f>
        <v/>
      </c>
      <c r="D24" s="24">
        <f>'balance_raw_24257703'!$D$51-'balance_raw_24257703'!$D$32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'balance_raw_24257703'!$F$13</f>
        <v/>
      </c>
      <c r="C28" s="24">
        <f>'balance_raw_24257703'!$E$13</f>
        <v/>
      </c>
      <c r="D28" s="24">
        <f>'balance_raw_24257703'!$D$13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'balance_raw_24257703'!$F$14</f>
        <v/>
      </c>
      <c r="C29" s="24">
        <f>'balance_raw_24257703'!$E$14</f>
        <v/>
      </c>
      <c r="D29" s="24">
        <f>'balance_raw_24257703'!$D$14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'balance_raw_24257703'!$F$49</f>
        <v/>
      </c>
      <c r="C30" s="24">
        <f>'balance_raw_24257703'!$E$49</f>
        <v/>
      </c>
      <c r="D30" s="24">
        <f>'balance_raw_24257703'!$D$49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IF('balance_raw_24257703'!$F$25="","—",IF(ABS(B21-'balance_raw_24257703'!$F$25)&lt;=1,"✓ OK","❌ "&amp;TEXT(B21-'balance_raw_24257703'!$F$25,"+#,##0;-#,##0")&amp;" t.kr."))</f>
        <v/>
      </c>
      <c r="C61" s="29">
        <f>IF('balance_raw_24257703'!$E$25="","—",IF(ABS(C21-'balance_raw_24257703'!$E$25)&lt;=1,"✓ OK","❌ "&amp;TEXT(C21-'balance_raw_24257703'!$E$25,"+#,##0;-#,##0")&amp;" t.kr."))</f>
        <v/>
      </c>
      <c r="D61" s="29">
        <f>IF('balance_raw_24257703'!$D$25="","—",IF(ABS(D21-'balance_raw_24257703'!$D$25)&lt;=1,"✓ OK","❌ "&amp;TEXT(D21-'balance_raw_24257703'!$D$25,"+#,##0;-#,##0")&amp;"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IF('balance_raw_24257703'!$F$51="","—",IF(ABS(B25-'balance_raw_24257703'!$F$51)&lt;=1,"✓ OK","❌ "&amp;TEXT(B25-'balance_raw_24257703'!$F$51,"+#,##0;-#,##0")&amp;" t.kr."))</f>
        <v/>
      </c>
      <c r="C62" s="29">
        <f>IF('balance_raw_24257703'!$E$51="","—",IF(ABS(C25-'balance_raw_24257703'!$E$51)&lt;=1,"✓ OK","❌ "&amp;TEXT(C25-'balance_raw_24257703'!$E$51,"+#,##0;-#,##0")&amp;" t.kr."))</f>
        <v/>
      </c>
      <c r="D62" s="29">
        <f>IF('balance_raw_24257703'!$D$51="","—",IF(ABS(D25-'balance_raw_24257703'!$D$51)&lt;=1,"✓ OK","❌ "&amp;TEXT(D25-'balance_raw_24257703'!$D$51,"+#,##0;-#,##0")&amp;"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IF('res_raw_24257703'!$F$6="","—",IF(ABS(B9-'res_raw_24257703'!$F$6)&lt;=1,"✓ OK","❌ "&amp;TEXT(B9-'res_raw_24257703'!$F$6,"+#,##0;-#,##0")&amp;" t.kr."))</f>
        <v/>
      </c>
      <c r="C64" s="29">
        <f>IF('res_raw_24257703'!$E$6="","—",IF(ABS(C9-'res_raw_24257703'!$E$6)&lt;=1,"✓ OK","❌ "&amp;TEXT(C9-'res_raw_24257703'!$E$6,"+#,##0;-#,##0")&amp;" t.kr."))</f>
        <v/>
      </c>
      <c r="D64" s="29">
        <f>IF('res_raw_24257703'!$D$6="","—",IF(ABS(D9-'res_raw_24257703'!$D$6)&lt;=1,"✓ OK","❌ "&amp;TEXT(D9-'res_raw_24257703'!$D$6,"+#,##0;-#,##0")&amp;"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IF('res_raw_24257703'!$F$11="","—",IF(ABS(B13-'res_raw_24257703'!$F$11)&lt;=1,"✓ OK","❌ "&amp;TEXT(B13-'res_raw_24257703'!$F$11,"+#,##0;-#,##0")&amp;" t.kr."))</f>
        <v/>
      </c>
      <c r="C65" s="29">
        <f>IF('res_raw_24257703'!$E$11="","—",IF(ABS(C13-'res_raw_24257703'!$E$11)&lt;=1,"✓ OK","❌ "&amp;TEXT(C13-'res_raw_24257703'!$E$11,"+#,##0;-#,##0")&amp;" t.kr."))</f>
        <v/>
      </c>
      <c r="D65" s="29">
        <f>IF('res_raw_24257703'!$D$11="","—",IF(ABS(D13-'res_raw_24257703'!$D$11)&lt;=1,"✓ OK","❌ "&amp;TEXT(D13-'res_raw_24257703'!$D$11,"+#,##0;-#,##0")&amp;"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IF('res_raw_24257703'!$F$16="","—",IF(ABS(B16-'res_raw_24257703'!$F$16)&lt;=1,"✓ OK","❌ "&amp;TEXT(B16-'res_raw_24257703'!$F$16,"+#,##0;-#,##0")&amp;" t.kr."))</f>
        <v/>
      </c>
      <c r="C66" s="29">
        <f>IF('res_raw_24257703'!$E$16="","—",IF(ABS(C16-'res_raw_24257703'!$E$16)&lt;=1,"✓ OK","❌ "&amp;TEXT(C16-'res_raw_24257703'!$E$16,"+#,##0;-#,##0")&amp;" t.kr."))</f>
        <v/>
      </c>
      <c r="D66" s="29">
        <f>IF('res_raw_24257703'!$D$16="","—",IF(ABS(D16-'res_raw_24257703'!$D$16)&lt;=1,"✓ OK","❌ "&amp;TEXT(D16-'res_raw_24257703'!$D$16,"+#,##0;-#,##0")&amp;"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2026-08-28T20:25:11Z</dcterms:created>
  <dcterms:modified xmlns:dcterms="http://purl.org/dc/terms/" xmlns:xsi="http://www.w3.org/2001/XMLSchema-instance" xsi:type="dcterms:W3CDTF">2026-08-28T20:25:11Z</dcterms:modified>
</cp:coreProperties>
</file>