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pengestrom_raw_2425770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'pengestrom_raw_24257703'!$B$2</f>
        <v/>
      </c>
      <c r="C94" s="17">
        <f>'pengestrom_raw_24257703'!$C$2</f>
        <v/>
      </c>
      <c r="D94" s="17">
        <f>'pengestrom_raw_24257703'!$D$2</f>
        <v/>
      </c>
      <c r="E94" s="17">
        <f>'pengestrom_raw_24257703'!$E$2</f>
        <v/>
      </c>
      <c r="F94" s="17">
        <f>'pengestrom_raw_24257703'!$F$2</f>
        <v/>
      </c>
    </row>
    <row r="95">
      <c r="A95" s="16" t="inlineStr">
        <is>
          <t>Pengestrømme fra investeringsaktivitet</t>
        </is>
      </c>
      <c r="B95" s="17">
        <f>'pengestrom_raw_24257703'!$B$3</f>
        <v/>
      </c>
      <c r="C95" s="17">
        <f>'pengestrom_raw_24257703'!$C$3</f>
        <v/>
      </c>
      <c r="D95" s="17">
        <f>'pengestrom_raw_24257703'!$D$3</f>
        <v/>
      </c>
      <c r="E95" s="17">
        <f>'pengestrom_raw_24257703'!$E$3</f>
        <v/>
      </c>
      <c r="F95" s="17">
        <f>'pengestrom_raw_24257703'!$F$3</f>
        <v/>
      </c>
    </row>
    <row r="96">
      <c r="A96" s="16" t="inlineStr">
        <is>
          <t>Pengestrømme fra finansieringsaktivitet</t>
        </is>
      </c>
      <c r="B96" s="17">
        <f>'pengestrom_raw_24257703'!$B$4</f>
        <v/>
      </c>
      <c r="C96" s="17">
        <f>'pengestrom_raw_24257703'!$C$4</f>
        <v/>
      </c>
      <c r="D96" s="17">
        <f>'pengestrom_raw_24257703'!$D$4</f>
        <v/>
      </c>
      <c r="E96" s="17">
        <f>'pengestrom_raw_24257703'!$E$4</f>
        <v/>
      </c>
      <c r="F96" s="17">
        <f>'pengestrom_raw_24257703'!$F$4</f>
        <v/>
      </c>
    </row>
    <row r="97">
      <c r="A97" s="16" t="inlineStr">
        <is>
          <t>Årets pengestrøm (rapporteret)</t>
        </is>
      </c>
      <c r="B97" s="17">
        <f>'pengestrom_raw_24257703'!$B$5</f>
        <v/>
      </c>
      <c r="C97" s="17">
        <f>'pengestrom_raw_24257703'!$C$5</f>
        <v/>
      </c>
      <c r="D97" s="17">
        <f>'pengestrom_raw_24257703'!$D$5</f>
        <v/>
      </c>
      <c r="E97" s="17">
        <f>'pengestrom_raw_24257703'!$E$5</f>
        <v/>
      </c>
      <c r="F97" s="17">
        <f>'pengestrom_raw_24257703'!$F$5</f>
        <v/>
      </c>
    </row>
    <row r="98">
      <c r="A98" s="16" t="inlineStr">
        <is>
          <t>Krydstjek: drift + inv. + fin. = årets pengestrøm</t>
        </is>
      </c>
      <c r="B98">
        <f>IF(ABS(('pengestrom_raw_24257703'!$B$2+'pengestrom_raw_24257703'!$B$3+'pengestrom_raw_24257703'!$B$4)-'pengestrom_raw_24257703'!$B$5)&lt;=2,"✓","⚠ "&amp;TEXT(('pengestrom_raw_24257703'!$B$2+'pengestrom_raw_24257703'!$B$3+'pengestrom_raw_24257703'!$B$4)-'pengestrom_raw_24257703'!$B$5,"+#,##0;-#,##0"))</f>
        <v/>
      </c>
      <c r="C98">
        <f>IF(ABS(('pengestrom_raw_24257703'!$C$2+'pengestrom_raw_24257703'!$C$3+'pengestrom_raw_24257703'!$C$4)-'pengestrom_raw_24257703'!$C$5)&lt;=2,"✓","⚠ "&amp;TEXT(('pengestrom_raw_24257703'!$C$2+'pengestrom_raw_24257703'!$C$3+'pengestrom_raw_24257703'!$C$4)-'pengestrom_raw_24257703'!$C$5,"+#,##0;-#,##0"))</f>
        <v/>
      </c>
      <c r="D98">
        <f>IF(ABS(('pengestrom_raw_24257703'!$D$2+'pengestrom_raw_24257703'!$D$3+'pengestrom_raw_24257703'!$D$4)-'pengestrom_raw_24257703'!$D$5)&lt;=2,"✓","⚠ "&amp;TEXT(('pengestrom_raw_24257703'!$D$2+'pengestrom_raw_24257703'!$D$3+'pengestrom_raw_24257703'!$D$4)-'pengestrom_raw_24257703'!$D$5,"+#,##0;-#,##0"))</f>
        <v/>
      </c>
      <c r="E98">
        <f>IF(ABS(('pengestrom_raw_24257703'!$E$2+'pengestrom_raw_24257703'!$E$3+'pengestrom_raw_24257703'!$E$4)-'pengestrom_raw_24257703'!$E$5)&lt;=2,"✓","⚠ "&amp;TEXT(('pengestrom_raw_24257703'!$E$2+'pengestrom_raw_24257703'!$E$3+'pengestrom_raw_24257703'!$E$4)-'pengestrom_raw_24257703'!$E$5,"+#,##0;-#,##0"))</f>
        <v/>
      </c>
      <c r="F98">
        <f>IF(ABS(('pengestrom_raw_24257703'!$F$2+'pengestrom_raw_24257703'!$F$3+'pengestrom_raw_24257703'!$F$4)-'pengestrom_raw_24257703'!$F$5)&lt;=2,"✓","⚠ "&amp;TEXT(('pengestrom_raw_24257703'!$F$2+'pengestrom_raw_24257703'!$F$3+'pengestrom_raw_24257703'!$F$4)-'pengestrom_raw_24257703'!$F$5,"+#,##0;-#,##0"))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215055</v>
      </c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-140330</v>
      </c>
      <c r="C3" s="17" t="n">
        <v>-49233</v>
      </c>
      <c r="D3" s="17" t="n">
        <v>-258940</v>
      </c>
      <c r="E3" s="17" t="n">
        <v>-147989</v>
      </c>
      <c r="F3" s="17" t="n">
        <v>-355260</v>
      </c>
    </row>
    <row r="4">
      <c r="A4" s="16" t="inlineStr">
        <is>
          <t>Vareforbrug</t>
        </is>
      </c>
      <c r="B4" s="17" t="n">
        <v>59861</v>
      </c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28637</v>
      </c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126557</v>
      </c>
      <c r="C6" s="17" t="n">
        <v>63068</v>
      </c>
      <c r="D6" s="17" t="n">
        <v>292394</v>
      </c>
      <c r="E6" s="17" t="n">
        <v>366004</v>
      </c>
      <c r="F6" s="17" t="n">
        <v>460800</v>
      </c>
    </row>
    <row r="7">
      <c r="A7" s="16" t="inlineStr">
        <is>
          <t>Personaleomkostninger</t>
        </is>
      </c>
      <c r="B7" s="17" t="n">
        <v>86407</v>
      </c>
      <c r="C7" s="17" t="n">
        <v>107976</v>
      </c>
      <c r="D7" s="17" t="n">
        <v>178658</v>
      </c>
      <c r="E7" s="17" t="n">
        <v>175027</v>
      </c>
      <c r="F7" s="17" t="n">
        <v>142050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6670</v>
      </c>
      <c r="C9" s="17" t="n">
        <v>15125</v>
      </c>
      <c r="D9" s="17" t="n">
        <v>31803</v>
      </c>
      <c r="E9" s="17" t="n">
        <v>45144</v>
      </c>
      <c r="F9" s="17" t="n">
        <v>35721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33480</v>
      </c>
      <c r="C11" s="17" t="n">
        <v>-60033</v>
      </c>
      <c r="D11" s="17" t="n">
        <v>81933</v>
      </c>
      <c r="E11" s="17" t="n">
        <v>145833</v>
      </c>
      <c r="F11" s="17" t="n">
        <v>283029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4748</v>
      </c>
      <c r="C13" s="17" t="n">
        <v>3132</v>
      </c>
      <c r="D13" s="17" t="n">
        <v>1196</v>
      </c>
      <c r="E13" s="17" t="n">
        <v>1632</v>
      </c>
      <c r="F13" s="17" t="n">
        <v>1590</v>
      </c>
    </row>
    <row r="14">
      <c r="A14" s="16" t="inlineStr">
        <is>
          <t>Finansielle omkostninger</t>
        </is>
      </c>
      <c r="B14" s="17" t="n">
        <v>3872</v>
      </c>
      <c r="C14" s="17" t="n">
        <v>1801</v>
      </c>
      <c r="D14" s="17" t="n">
        <v>5840</v>
      </c>
      <c r="E14" s="17" t="n">
        <v>5376</v>
      </c>
      <c r="F14" s="17" t="n">
        <v>11507</v>
      </c>
    </row>
    <row r="15">
      <c r="A15" s="15" t="inlineStr">
        <is>
          <t>Finansielle poster, netto</t>
        </is>
      </c>
      <c r="B15" s="17" t="n">
        <v>-1935</v>
      </c>
      <c r="C15" s="17" t="n">
        <v>-2352</v>
      </c>
      <c r="D15" s="17" t="n">
        <v>3551</v>
      </c>
      <c r="E15" s="17" t="n">
        <v>2576</v>
      </c>
      <c r="F15" s="17" t="n">
        <v>-8779</v>
      </c>
    </row>
    <row r="16">
      <c r="A16" s="15" t="inlineStr">
        <is>
          <t>Resultat før skat</t>
        </is>
      </c>
      <c r="B16" s="17" t="n">
        <v>35415</v>
      </c>
      <c r="C16" s="17" t="n">
        <v>-57681</v>
      </c>
      <c r="D16" s="17" t="n">
        <v>78382</v>
      </c>
      <c r="E16" s="17" t="n">
        <v>143256</v>
      </c>
      <c r="F16" s="17" t="n">
        <v>274250</v>
      </c>
    </row>
    <row r="17">
      <c r="A17" s="16" t="inlineStr">
        <is>
          <t>Skat af årets resultat</t>
        </is>
      </c>
      <c r="B17" s="17" t="n">
        <v>7829</v>
      </c>
      <c r="C17" s="17" t="n">
        <v>-12518</v>
      </c>
      <c r="D17" s="17" t="n">
        <v>17268</v>
      </c>
      <c r="E17" s="17" t="n">
        <v>31778</v>
      </c>
      <c r="F17" s="17" t="n">
        <v>65011</v>
      </c>
    </row>
    <row r="18">
      <c r="A18" s="15" t="inlineStr">
        <is>
          <t>Årets resultat</t>
        </is>
      </c>
      <c r="B18" s="17" t="n">
        <v>27586</v>
      </c>
      <c r="C18" s="17" t="n">
        <v>-45163</v>
      </c>
      <c r="D18" s="17" t="n">
        <v>61114</v>
      </c>
      <c r="E18" s="17" t="n">
        <v>111478</v>
      </c>
      <c r="F18" s="17" t="n">
        <v>209239</v>
      </c>
    </row>
    <row r="19">
      <c r="A19" s="16" t="inlineStr">
        <is>
          <t>Gns. antal medarbejdere</t>
        </is>
      </c>
      <c r="B19" s="17" t="n">
        <v>143</v>
      </c>
      <c r="C19" s="17" t="n">
        <v>170</v>
      </c>
      <c r="D19" s="17" t="n">
        <v>192</v>
      </c>
      <c r="E19" s="17" t="n">
        <v>202</v>
      </c>
      <c r="F19" s="17" t="n">
        <v>188</v>
      </c>
    </row>
    <row r="20">
      <c r="A20" s="16" t="inlineStr">
        <is>
          <t>Investering i materielle anlægsaktiver</t>
        </is>
      </c>
      <c r="B20" s="17" t="n">
        <v>7964</v>
      </c>
      <c r="C20" s="17" t="n">
        <v>13623</v>
      </c>
      <c r="D20" s="17" t="n">
        <v>442</v>
      </c>
      <c r="E20" s="17" t="n">
        <v>0</v>
      </c>
      <c r="F20" s="17" t="n">
        <v>3876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8733</v>
      </c>
      <c r="C2" s="17" t="n">
        <v>28870</v>
      </c>
      <c r="D2" s="17" t="n">
        <v>60948</v>
      </c>
      <c r="E2" s="17" t="n">
        <v>37488</v>
      </c>
      <c r="F2" s="17" t="n">
        <v>59944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11609</v>
      </c>
      <c r="C5" s="17" t="n">
        <v>20213</v>
      </c>
      <c r="D5" s="17" t="n">
        <v>12434</v>
      </c>
      <c r="E5" s="17" t="n">
        <v>1750</v>
      </c>
      <c r="F5" s="17" t="n">
        <v>3306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11609</v>
      </c>
      <c r="C8" s="17" t="n">
        <v>20213</v>
      </c>
      <c r="D8" s="17" t="n">
        <v>12434</v>
      </c>
      <c r="E8" s="17" t="n">
        <v>1750</v>
      </c>
      <c r="F8" s="17" t="n">
        <v>3306</v>
      </c>
    </row>
    <row r="9">
      <c r="A9" s="15" t="inlineStr">
        <is>
          <t>Anlægsaktiver</t>
        </is>
      </c>
      <c r="B9" s="17" t="n">
        <v>20342</v>
      </c>
      <c r="C9" s="17" t="n">
        <v>49083</v>
      </c>
      <c r="D9" s="17" t="n">
        <v>73382</v>
      </c>
      <c r="E9" s="17" t="n">
        <v>39238</v>
      </c>
      <c r="F9" s="17" t="n">
        <v>63250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662</v>
      </c>
      <c r="C12" s="17" t="n">
        <v>835</v>
      </c>
      <c r="D12" s="17" t="n">
        <v>1429</v>
      </c>
      <c r="E12" s="17" t="n">
        <v>1614</v>
      </c>
      <c r="F12" s="17" t="n">
        <v>2002</v>
      </c>
    </row>
    <row r="13">
      <c r="A13" s="15" t="inlineStr">
        <is>
          <t>Varebeholdninger</t>
        </is>
      </c>
      <c r="B13" s="17" t="n">
        <v>662</v>
      </c>
      <c r="C13" s="17" t="n">
        <v>835</v>
      </c>
      <c r="D13" s="17" t="n">
        <v>1429</v>
      </c>
      <c r="E13" s="17" t="n">
        <v>1614</v>
      </c>
      <c r="F13" s="17" t="n">
        <v>2002</v>
      </c>
    </row>
    <row r="14">
      <c r="A14" s="16" t="inlineStr">
        <is>
          <t>Tilgodehavender fra salg og tjenesteydelser</t>
        </is>
      </c>
      <c r="B14" s="17" t="n">
        <v>165514</v>
      </c>
      <c r="C14" s="17" t="n">
        <v>79978</v>
      </c>
      <c r="D14" s="17" t="n">
        <v>54184</v>
      </c>
      <c r="E14" s="17" t="n">
        <v>266279</v>
      </c>
      <c r="F14" s="17" t="n">
        <v>404441</v>
      </c>
    </row>
    <row r="15">
      <c r="A15" s="16" t="inlineStr">
        <is>
          <t>Tilgodehavender hos tilknyttede virksomheder</t>
        </is>
      </c>
      <c r="B15" s="17" t="n">
        <v>71813</v>
      </c>
      <c r="C15" s="17" t="n">
        <v>69103</v>
      </c>
      <c r="D15" s="17" t="n">
        <v>91225</v>
      </c>
      <c r="E15" s="17" t="n">
        <v>112654</v>
      </c>
      <c r="F15" s="17" t="n">
        <v>73958</v>
      </c>
    </row>
    <row r="16">
      <c r="A16" s="16" t="inlineStr">
        <is>
          <t>Andre tilgodehavender</t>
        </is>
      </c>
      <c r="B16" s="17" t="n">
        <v>9458</v>
      </c>
      <c r="C16" s="17" t="n">
        <v>7528</v>
      </c>
      <c r="D16" s="17" t="n">
        <v>15281</v>
      </c>
      <c r="E16" s="17" t="n">
        <v>4365</v>
      </c>
      <c r="F16" s="17" t="n">
        <v>13709</v>
      </c>
    </row>
    <row r="17">
      <c r="A17" s="16" t="inlineStr">
        <is>
          <t>Periodeafgrænsningsposter (aktiver)</t>
        </is>
      </c>
      <c r="B17" s="17" t="n">
        <v>1177</v>
      </c>
      <c r="C17" s="17" t="n">
        <v>2317</v>
      </c>
      <c r="D17" s="17" t="n">
        <v>4178</v>
      </c>
      <c r="E17" s="17" t="n">
        <v>7721</v>
      </c>
      <c r="F17" s="17" t="n">
        <v>6751</v>
      </c>
    </row>
    <row r="18">
      <c r="A18" s="16" t="inlineStr">
        <is>
          <t>Udskudt skatteaktiv</t>
        </is>
      </c>
      <c r="B18" s="17" t="n">
        <v>432</v>
      </c>
      <c r="C18" s="17" t="n">
        <v>12950</v>
      </c>
      <c r="D18" s="17" t="n">
        <v>8549</v>
      </c>
      <c r="E18" s="17" t="n">
        <v>2352</v>
      </c>
      <c r="F18" s="17" t="n">
        <v>1965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248394</v>
      </c>
      <c r="C21" s="17" t="n">
        <v>171874</v>
      </c>
      <c r="D21" s="17" t="n">
        <v>173417</v>
      </c>
      <c r="E21" s="17" t="n">
        <v>393372</v>
      </c>
      <c r="F21" s="17" t="n">
        <v>500824</v>
      </c>
    </row>
    <row r="22">
      <c r="A22" s="16" t="inlineStr">
        <is>
          <t>Værdipapirer</t>
        </is>
      </c>
      <c r="B22" s="17" t="n">
        <v>91</v>
      </c>
      <c r="C22" s="17" t="n">
        <v>91</v>
      </c>
      <c r="D22" s="17" t="n">
        <v>91</v>
      </c>
      <c r="E22" s="17" t="n">
        <v>132</v>
      </c>
      <c r="F22" s="17" t="n">
        <v>132</v>
      </c>
    </row>
    <row r="23">
      <c r="A23" s="16" t="inlineStr">
        <is>
          <t>Likvide beholdninger</t>
        </is>
      </c>
      <c r="B23" s="17" t="n">
        <v>25311</v>
      </c>
      <c r="C23" s="17" t="n">
        <v>26387</v>
      </c>
      <c r="D23" s="17" t="n">
        <v>85051</v>
      </c>
      <c r="E23" s="17" t="n">
        <v>16943</v>
      </c>
      <c r="F23" s="17" t="n">
        <v>102642</v>
      </c>
    </row>
    <row r="24">
      <c r="A24" s="15" t="inlineStr">
        <is>
          <t>Omsætningsaktiver</t>
        </is>
      </c>
      <c r="B24" s="17" t="n">
        <v>274457</v>
      </c>
      <c r="C24" s="17" t="n">
        <v>199187</v>
      </c>
      <c r="D24" s="17" t="n">
        <v>259988</v>
      </c>
      <c r="E24" s="17" t="n">
        <v>412061</v>
      </c>
      <c r="F24" s="17" t="n">
        <v>605600</v>
      </c>
    </row>
    <row r="25">
      <c r="A25" s="15" t="inlineStr">
        <is>
          <t>Aktiver</t>
        </is>
      </c>
      <c r="B25" s="17" t="n">
        <v>294800</v>
      </c>
      <c r="C25" s="17" t="n">
        <v>248270</v>
      </c>
      <c r="D25" s="17" t="n">
        <v>333370</v>
      </c>
      <c r="E25" s="17" t="n">
        <v>451299</v>
      </c>
      <c r="F25" s="17" t="n">
        <v>668849</v>
      </c>
    </row>
    <row r="26">
      <c r="A26" s="16" t="inlineStr">
        <is>
          <t>Selskabskapital</t>
        </is>
      </c>
      <c r="B26" s="17" t="n">
        <v>2000</v>
      </c>
      <c r="C26" s="17" t="n">
        <v>2000</v>
      </c>
      <c r="D26" s="17" t="n">
        <v>2000</v>
      </c>
      <c r="E26" s="17" t="n">
        <v>2000</v>
      </c>
      <c r="F26" s="17" t="n">
        <v>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108721</v>
      </c>
      <c r="C31" s="17" t="n">
        <v>63558</v>
      </c>
      <c r="D31" s="17" t="n">
        <v>124672</v>
      </c>
      <c r="E31" s="17" t="n">
        <v>236150</v>
      </c>
      <c r="F31" s="17" t="n">
        <v>445389</v>
      </c>
    </row>
    <row r="32">
      <c r="A32" s="15" t="inlineStr">
        <is>
          <t>Egenkapital i alt</t>
        </is>
      </c>
      <c r="B32" s="17" t="n">
        <v>110721</v>
      </c>
      <c r="C32" s="17" t="n">
        <v>65558</v>
      </c>
      <c r="D32" s="17" t="n">
        <v>126672</v>
      </c>
      <c r="E32" s="17" t="n">
        <v>238150</v>
      </c>
      <c r="F32" s="17" t="n">
        <v>447389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>
        <v>48125</v>
      </c>
      <c r="C34" s="17" t="n">
        <v>34375</v>
      </c>
      <c r="D34" s="17" t="n">
        <v>20625</v>
      </c>
      <c r="E34" s="17" t="n">
        <v>6875</v>
      </c>
      <c r="F34" s="17" t="n">
        <v>0</v>
      </c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7680</v>
      </c>
      <c r="C36" s="17" t="n">
        <v>7673</v>
      </c>
      <c r="D36" s="17" t="n">
        <v>99</v>
      </c>
      <c r="E36" s="17" t="n">
        <v>93</v>
      </c>
      <c r="F36" s="17" t="n">
        <v>99</v>
      </c>
    </row>
    <row r="37">
      <c r="A37" s="15" t="inlineStr">
        <is>
          <t>Langfristede gældsforpligtelser</t>
        </is>
      </c>
      <c r="B37" s="17" t="n">
        <v>55824</v>
      </c>
      <c r="C37" s="17" t="n">
        <v>42103</v>
      </c>
      <c r="D37" s="17" t="n">
        <v>25804</v>
      </c>
      <c r="E37" s="17" t="n">
        <v>10037</v>
      </c>
      <c r="F37" s="17" t="n">
        <v>99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>
        <v>7826</v>
      </c>
      <c r="C39" s="17" t="n">
        <v>14701</v>
      </c>
      <c r="D39" s="17" t="n">
        <v>13750</v>
      </c>
      <c r="E39" s="17" t="n">
        <v>13750</v>
      </c>
      <c r="F39" s="17" t="n">
        <v>0</v>
      </c>
    </row>
    <row r="40">
      <c r="A40" s="16" t="inlineStr">
        <is>
          <t>Kreditinstitutter</t>
        </is>
      </c>
      <c r="B40" s="17" t="n"/>
      <c r="C40" s="17" t="n">
        <v>9</v>
      </c>
      <c r="D40" s="17" t="n">
        <v>0</v>
      </c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55499</v>
      </c>
      <c r="C42" s="17" t="n">
        <v>72481</v>
      </c>
      <c r="D42" s="17" t="n">
        <v>121074</v>
      </c>
      <c r="E42" s="17" t="n">
        <v>106175</v>
      </c>
      <c r="F42" s="17" t="n">
        <v>70389</v>
      </c>
    </row>
    <row r="43">
      <c r="A43" s="16" t="inlineStr">
        <is>
          <t>Gæld til tilknyttede virksomheder</t>
        </is>
      </c>
      <c r="B43" s="17" t="n">
        <v>28236</v>
      </c>
      <c r="C43" s="17" t="n">
        <v>19199</v>
      </c>
      <c r="D43" s="17" t="n">
        <v>0</v>
      </c>
      <c r="E43" s="17" t="n"/>
      <c r="F43" s="17" t="n">
        <v>236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>
        <v>12867</v>
      </c>
      <c r="E46" s="17" t="n">
        <v>25582</v>
      </c>
      <c r="F46" s="17" t="n">
        <v>60145</v>
      </c>
    </row>
    <row r="47">
      <c r="A47" s="16" t="inlineStr">
        <is>
          <t>Anden gæld (kortfristet)</t>
        </is>
      </c>
      <c r="B47" s="17" t="n">
        <v>30919</v>
      </c>
      <c r="C47" s="17" t="n">
        <v>32351</v>
      </c>
      <c r="D47" s="17" t="n">
        <v>30456</v>
      </c>
      <c r="E47" s="17" t="n">
        <v>54164</v>
      </c>
      <c r="F47" s="17" t="n">
        <v>86865</v>
      </c>
    </row>
    <row r="48">
      <c r="A48" s="16" t="inlineStr">
        <is>
          <t>Periodeafgrænsningsposter (passiver)</t>
        </is>
      </c>
      <c r="B48" s="17" t="n">
        <v>5775</v>
      </c>
      <c r="C48" s="17" t="n">
        <v>1869</v>
      </c>
      <c r="D48" s="17" t="n">
        <v>2748</v>
      </c>
      <c r="E48" s="17" t="n">
        <v>3441</v>
      </c>
      <c r="F48" s="17" t="n">
        <v>3726</v>
      </c>
    </row>
    <row r="49">
      <c r="A49" s="15" t="inlineStr">
        <is>
          <t>Kortfristede gældsforpligtelser</t>
        </is>
      </c>
      <c r="B49" s="17" t="n">
        <v>128254</v>
      </c>
      <c r="C49" s="17" t="n">
        <v>140609</v>
      </c>
      <c r="D49" s="17" t="n">
        <v>180895</v>
      </c>
      <c r="E49" s="17" t="n">
        <v>203112</v>
      </c>
      <c r="F49" s="17" t="n">
        <v>221361</v>
      </c>
    </row>
    <row r="50">
      <c r="A50" s="15" t="inlineStr">
        <is>
          <t>Gældsforpligtelser</t>
        </is>
      </c>
      <c r="B50" s="17" t="n">
        <v>184079</v>
      </c>
      <c r="C50" s="17" t="n">
        <v>182712</v>
      </c>
      <c r="D50" s="17" t="n">
        <v>206698</v>
      </c>
      <c r="E50" s="17" t="n">
        <v>213149</v>
      </c>
      <c r="F50" s="17" t="n">
        <v>221460</v>
      </c>
    </row>
    <row r="51">
      <c r="A51" s="15" t="inlineStr">
        <is>
          <t>Passiver</t>
        </is>
      </c>
      <c r="B51" s="17" t="n">
        <v>294800</v>
      </c>
      <c r="C51" s="17" t="n">
        <v>248270</v>
      </c>
      <c r="D51" s="17" t="n">
        <v>333370</v>
      </c>
      <c r="E51" s="17" t="n">
        <v>451299</v>
      </c>
      <c r="F51" s="17" t="n">
        <v>668849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</v>
      </c>
      <c r="C2" s="17" t="n">
        <v>-67735</v>
      </c>
      <c r="D2" s="17" t="n">
        <v>-117985</v>
      </c>
      <c r="E2" s="17" t="n">
        <v>-176207</v>
      </c>
      <c r="F2" s="17" t="n">
        <v>-218916</v>
      </c>
    </row>
    <row r="3">
      <c r="A3" s="16" t="inlineStr">
        <is>
          <t>Pengestrømme fra investeringsaktivitet</t>
        </is>
      </c>
      <c r="B3" s="17" t="n">
        <v>-8870</v>
      </c>
      <c r="C3" s="17" t="n">
        <v>80790</v>
      </c>
      <c r="D3" s="17" t="n">
        <v>233774</v>
      </c>
      <c r="E3" s="17" t="n">
        <v>136989</v>
      </c>
      <c r="F3" s="17" t="n">
        <v>295527</v>
      </c>
    </row>
    <row r="4">
      <c r="A4" s="16" t="inlineStr">
        <is>
          <t>Pengestrømme fra finansieringsaktivitet</t>
        </is>
      </c>
      <c r="B4" s="17" t="n">
        <v>17374</v>
      </c>
      <c r="C4" s="17" t="n">
        <v>-11979</v>
      </c>
      <c r="D4" s="17" t="n">
        <v>-57125</v>
      </c>
      <c r="E4" s="17" t="n">
        <v>-16023</v>
      </c>
      <c r="F4" s="17" t="n">
        <v>34670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24257703)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2026-09-08T14:58:13Z</dcterms:created>
  <dcterms:modified xmlns:dcterms="http://purl.org/dc/terms/" xmlns:xsi="http://www.w3.org/2001/XMLSchema-instance" xsi:type="dcterms:W3CDTF">2026-09-08T14:58:14Z</dcterms:modified>
</cp:coreProperties>
</file>