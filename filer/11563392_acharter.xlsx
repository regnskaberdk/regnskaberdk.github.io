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1563392" sheetId="1" state="visible" r:id="rId1"/>
    <sheet xmlns:r="http://schemas.openxmlformats.org/officeDocument/2006/relationships" name="res_raw_11563392" sheetId="2" state="visible" r:id="rId2"/>
    <sheet xmlns:r="http://schemas.openxmlformats.org/officeDocument/2006/relationships" name="balance_raw_11563392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'res_raw_11563392'!$B$2</f>
        <v/>
      </c>
      <c r="C4" s="5">
        <f>'res_raw_11563392'!$C$2</f>
        <v/>
      </c>
      <c r="D4" s="5">
        <f>'res_raw_11563392'!$D$2</f>
        <v/>
      </c>
      <c r="E4" s="5">
        <f>'res_raw_11563392'!$E$2</f>
        <v/>
      </c>
      <c r="F4" s="5">
        <f>'res_raw_11563392'!$F$2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'res_raw_11563392'!$B$3</f>
        <v/>
      </c>
      <c r="C5" s="8">
        <f>'res_raw_11563392'!$C$3</f>
        <v/>
      </c>
      <c r="D5" s="8">
        <f>'res_raw_11563392'!$D$3</f>
        <v/>
      </c>
      <c r="E5" s="8">
        <f>'res_raw_11563392'!$E$3</f>
        <v/>
      </c>
      <c r="F5" s="8">
        <f>'res_raw_11563392'!$F$3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'res_raw_11563392'!$B$4</f>
        <v/>
      </c>
      <c r="C6" s="5">
        <f>'res_raw_11563392'!$C$4</f>
        <v/>
      </c>
      <c r="D6" s="5">
        <f>'res_raw_11563392'!$D$4</f>
        <v/>
      </c>
      <c r="E6" s="5">
        <f>'res_raw_11563392'!$E$4</f>
        <v/>
      </c>
      <c r="F6" s="5">
        <f>'res_raw_11563392'!$F$4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'res_raw_11563392'!$B$5</f>
        <v/>
      </c>
      <c r="C7" s="8">
        <f>'res_raw_11563392'!$C$5</f>
        <v/>
      </c>
      <c r="D7" s="8">
        <f>'res_raw_11563392'!$D$5</f>
        <v/>
      </c>
      <c r="E7" s="8">
        <f>'res_raw_11563392'!$E$5</f>
        <v/>
      </c>
      <c r="F7" s="8">
        <f>'res_raw_11563392'!$F$5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'res_raw_11563392'!$B$6</f>
        <v/>
      </c>
      <c r="C8" s="11">
        <f>'res_raw_11563392'!$C$6</f>
        <v/>
      </c>
      <c r="D8" s="11">
        <f>'res_raw_11563392'!$D$6</f>
        <v/>
      </c>
      <c r="E8" s="11">
        <f>'res_raw_11563392'!$E$6</f>
        <v/>
      </c>
      <c r="F8" s="11">
        <f>'res_raw_11563392'!$F$6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'res_raw_11563392'!$B$7</f>
        <v/>
      </c>
      <c r="C9" s="8">
        <f>'res_raw_11563392'!$C$7</f>
        <v/>
      </c>
      <c r="D9" s="8">
        <f>'res_raw_11563392'!$D$7</f>
        <v/>
      </c>
      <c r="E9" s="8">
        <f>'res_raw_11563392'!$E$7</f>
        <v/>
      </c>
      <c r="F9" s="8">
        <f>'res_raw_11563392'!$F$7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'res_raw_11563392'!$B$9</f>
        <v/>
      </c>
      <c r="C11" s="8">
        <f>'res_raw_11563392'!$C$9</f>
        <v/>
      </c>
      <c r="D11" s="8">
        <f>'res_raw_11563392'!$D$9</f>
        <v/>
      </c>
      <c r="E11" s="8">
        <f>'res_raw_11563392'!$E$9</f>
        <v/>
      </c>
      <c r="F11" s="8">
        <f>'res_raw_11563392'!$F$9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'res_raw_11563392'!$B$10</f>
        <v/>
      </c>
      <c r="C12" s="5">
        <f>'res_raw_11563392'!$C$10</f>
        <v/>
      </c>
      <c r="D12" s="5">
        <f>'res_raw_11563392'!$D$10</f>
        <v/>
      </c>
      <c r="E12" s="5">
        <f>'res_raw_11563392'!$E$10</f>
        <v/>
      </c>
      <c r="F12" s="5">
        <f>'res_raw_11563392'!$F$10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'res_raw_11563392'!$B$11</f>
        <v/>
      </c>
      <c r="C13" s="11">
        <f>'res_raw_11563392'!$C$11</f>
        <v/>
      </c>
      <c r="D13" s="11">
        <f>'res_raw_11563392'!$D$11</f>
        <v/>
      </c>
      <c r="E13" s="11">
        <f>'res_raw_11563392'!$E$11</f>
        <v/>
      </c>
      <c r="F13" s="11">
        <f>'res_raw_11563392'!$F$11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'res_raw_11563392'!$B$12</f>
        <v/>
      </c>
      <c r="C14" s="5">
        <f>'res_raw_11563392'!$C$12</f>
        <v/>
      </c>
      <c r="D14" s="5">
        <f>'res_raw_11563392'!$D$12</f>
        <v/>
      </c>
      <c r="E14" s="5">
        <f>'res_raw_11563392'!$E$12</f>
        <v/>
      </c>
      <c r="F14" s="5">
        <f>'res_raw_11563392'!$F$12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'res_raw_11563392'!$B$13</f>
        <v/>
      </c>
      <c r="C15" s="8">
        <f>'res_raw_11563392'!$C$13</f>
        <v/>
      </c>
      <c r="D15" s="8">
        <f>'res_raw_11563392'!$D$13</f>
        <v/>
      </c>
      <c r="E15" s="8">
        <f>'res_raw_11563392'!$E$13</f>
        <v/>
      </c>
      <c r="F15" s="8">
        <f>'res_raw_11563392'!$F$13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'res_raw_11563392'!$B$14</f>
        <v/>
      </c>
      <c r="C16" s="5">
        <f>'res_raw_11563392'!$C$14</f>
        <v/>
      </c>
      <c r="D16" s="5">
        <f>'res_raw_11563392'!$D$14</f>
        <v/>
      </c>
      <c r="E16" s="5">
        <f>'res_raw_11563392'!$E$14</f>
        <v/>
      </c>
      <c r="F16" s="5">
        <f>'res_raw_11563392'!$F$14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'res_raw_11563392'!$B$15</f>
        <v/>
      </c>
      <c r="C17" s="11">
        <f>'res_raw_11563392'!$C$15</f>
        <v/>
      </c>
      <c r="D17" s="11">
        <f>'res_raw_11563392'!$D$15</f>
        <v/>
      </c>
      <c r="E17" s="11">
        <f>'res_raw_11563392'!$E$15</f>
        <v/>
      </c>
      <c r="F17" s="11">
        <f>'res_raw_11563392'!$F$15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'res_raw_11563392'!$B$16</f>
        <v/>
      </c>
      <c r="C18" s="11">
        <f>'res_raw_11563392'!$C$16</f>
        <v/>
      </c>
      <c r="D18" s="11">
        <f>'res_raw_11563392'!$D$16</f>
        <v/>
      </c>
      <c r="E18" s="11">
        <f>'res_raw_11563392'!$E$16</f>
        <v/>
      </c>
      <c r="F18" s="11">
        <f>'res_raw_11563392'!$F$16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'res_raw_11563392'!$B$17</f>
        <v/>
      </c>
      <c r="C19" s="8">
        <f>'res_raw_11563392'!$C$17</f>
        <v/>
      </c>
      <c r="D19" s="8">
        <f>'res_raw_11563392'!$D$17</f>
        <v/>
      </c>
      <c r="E19" s="8">
        <f>'res_raw_11563392'!$E$17</f>
        <v/>
      </c>
      <c r="F19" s="8">
        <f>'res_raw_11563392'!$F$17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'res_raw_11563392'!$B$18</f>
        <v/>
      </c>
      <c r="C20" s="11">
        <f>'res_raw_11563392'!$C$18</f>
        <v/>
      </c>
      <c r="D20" s="11">
        <f>'res_raw_11563392'!$D$18</f>
        <v/>
      </c>
      <c r="E20" s="11">
        <f>'res_raw_11563392'!$E$18</f>
        <v/>
      </c>
      <c r="F20" s="11">
        <f>'res_raw_11563392'!$F$18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'balance_raw_11563392'!$B$2</f>
        <v/>
      </c>
      <c r="C23" s="8">
        <f>'balance_raw_11563392'!$C$2</f>
        <v/>
      </c>
      <c r="D23" s="8">
        <f>'balance_raw_11563392'!$D$2</f>
        <v/>
      </c>
      <c r="E23" s="8">
        <f>'balance_raw_11563392'!$E$2</f>
        <v/>
      </c>
      <c r="F23" s="8">
        <f>'balance_raw_11563392'!$F$2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'balance_raw_11563392'!$B$3</f>
        <v/>
      </c>
      <c r="C24" s="5">
        <f>'balance_raw_11563392'!$C$3</f>
        <v/>
      </c>
      <c r="D24" s="5">
        <f>'balance_raw_11563392'!$D$3</f>
        <v/>
      </c>
      <c r="E24" s="5">
        <f>'balance_raw_11563392'!$E$3</f>
        <v/>
      </c>
      <c r="F24" s="5">
        <f>'balance_raw_11563392'!$F$3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'balance_raw_11563392'!$B$4</f>
        <v/>
      </c>
      <c r="C25" s="8">
        <f>'balance_raw_11563392'!$C$4</f>
        <v/>
      </c>
      <c r="D25" s="8">
        <f>'balance_raw_11563392'!$D$4</f>
        <v/>
      </c>
      <c r="E25" s="8">
        <f>'balance_raw_11563392'!$E$4</f>
        <v/>
      </c>
      <c r="F25" s="8">
        <f>'balance_raw_11563392'!$F$4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'balance_raw_11563392'!$B$5</f>
        <v/>
      </c>
      <c r="C26" s="5">
        <f>'balance_raw_11563392'!$C$5</f>
        <v/>
      </c>
      <c r="D26" s="5">
        <f>'balance_raw_11563392'!$D$5</f>
        <v/>
      </c>
      <c r="E26" s="5">
        <f>'balance_raw_11563392'!$E$5</f>
        <v/>
      </c>
      <c r="F26" s="5">
        <f>'balance_raw_11563392'!$F$5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'balance_raw_11563392'!$B$6</f>
        <v/>
      </c>
      <c r="C27" s="8">
        <f>'balance_raw_11563392'!$C$6</f>
        <v/>
      </c>
      <c r="D27" s="8">
        <f>'balance_raw_11563392'!$D$6</f>
        <v/>
      </c>
      <c r="E27" s="8">
        <f>'balance_raw_11563392'!$E$6</f>
        <v/>
      </c>
      <c r="F27" s="8">
        <f>'balance_raw_11563392'!$F$6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'balance_raw_11563392'!$B$7</f>
        <v/>
      </c>
      <c r="C28" s="11">
        <f>'balance_raw_11563392'!$C$7</f>
        <v/>
      </c>
      <c r="D28" s="11">
        <f>'balance_raw_11563392'!$D$7</f>
        <v/>
      </c>
      <c r="E28" s="11">
        <f>'balance_raw_11563392'!$E$7</f>
        <v/>
      </c>
      <c r="F28" s="11">
        <f>'balance_raw_11563392'!$F$7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'balance_raw_11563392'!$B$8</f>
        <v/>
      </c>
      <c r="C29" s="8">
        <f>'balance_raw_11563392'!$C$8</f>
        <v/>
      </c>
      <c r="D29" s="8">
        <f>'balance_raw_11563392'!$D$8</f>
        <v/>
      </c>
      <c r="E29" s="8">
        <f>'balance_raw_11563392'!$E$8</f>
        <v/>
      </c>
      <c r="F29" s="8">
        <f>'balance_raw_11563392'!$F$8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'balance_raw_11563392'!$B$9</f>
        <v/>
      </c>
      <c r="C30" s="5">
        <f>'balance_raw_11563392'!$C$9</f>
        <v/>
      </c>
      <c r="D30" s="5">
        <f>'balance_raw_11563392'!$D$9</f>
        <v/>
      </c>
      <c r="E30" s="5">
        <f>'balance_raw_11563392'!$E$9</f>
        <v/>
      </c>
      <c r="F30" s="5">
        <f>'balance_raw_11563392'!$F$9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'balance_raw_11563392'!$B$10</f>
        <v/>
      </c>
      <c r="C31" s="11">
        <f>'balance_raw_11563392'!$C$10</f>
        <v/>
      </c>
      <c r="D31" s="11">
        <f>'balance_raw_11563392'!$D$10</f>
        <v/>
      </c>
      <c r="E31" s="11">
        <f>'balance_raw_11563392'!$E$10</f>
        <v/>
      </c>
      <c r="F31" s="11">
        <f>'balance_raw_11563392'!$F$10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'balance_raw_11563392'!$B$11</f>
        <v/>
      </c>
      <c r="C32" s="11">
        <f>'balance_raw_11563392'!$C$11</f>
        <v/>
      </c>
      <c r="D32" s="11">
        <f>'balance_raw_11563392'!$D$11</f>
        <v/>
      </c>
      <c r="E32" s="11">
        <f>'balance_raw_11563392'!$E$11</f>
        <v/>
      </c>
      <c r="F32" s="11">
        <f>'balance_raw_11563392'!$F$11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'balance_raw_11563392'!$B$12</f>
        <v/>
      </c>
      <c r="C33" s="8">
        <f>'balance_raw_11563392'!$C$12</f>
        <v/>
      </c>
      <c r="D33" s="8">
        <f>'balance_raw_11563392'!$D$12</f>
        <v/>
      </c>
      <c r="E33" s="8">
        <f>'balance_raw_11563392'!$E$12</f>
        <v/>
      </c>
      <c r="F33" s="8">
        <f>'balance_raw_11563392'!$F$12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'balance_raw_11563392'!$B$13</f>
        <v/>
      </c>
      <c r="C34" s="5">
        <f>'balance_raw_11563392'!$C$13</f>
        <v/>
      </c>
      <c r="D34" s="5">
        <f>'balance_raw_11563392'!$D$13</f>
        <v/>
      </c>
      <c r="E34" s="5">
        <f>'balance_raw_11563392'!$E$13</f>
        <v/>
      </c>
      <c r="F34" s="5">
        <f>'balance_raw_11563392'!$F$13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'balance_raw_11563392'!$B$14</f>
        <v/>
      </c>
      <c r="C35" s="8">
        <f>'balance_raw_11563392'!$C$14</f>
        <v/>
      </c>
      <c r="D35" s="8">
        <f>'balance_raw_11563392'!$D$14</f>
        <v/>
      </c>
      <c r="E35" s="8">
        <f>'balance_raw_11563392'!$E$14</f>
        <v/>
      </c>
      <c r="F35" s="8">
        <f>'balance_raw_11563392'!$F$14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'balance_raw_11563392'!$B$15</f>
        <v/>
      </c>
      <c r="C36" s="5">
        <f>'balance_raw_11563392'!$C$15</f>
        <v/>
      </c>
      <c r="D36" s="5">
        <f>'balance_raw_11563392'!$D$15</f>
        <v/>
      </c>
      <c r="E36" s="5">
        <f>'balance_raw_11563392'!$E$15</f>
        <v/>
      </c>
      <c r="F36" s="5">
        <f>'balance_raw_11563392'!$F$15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'balance_raw_11563392'!$B$16</f>
        <v/>
      </c>
      <c r="C37" s="8">
        <f>'balance_raw_11563392'!$C$16</f>
        <v/>
      </c>
      <c r="D37" s="8">
        <f>'balance_raw_11563392'!$D$16</f>
        <v/>
      </c>
      <c r="E37" s="8">
        <f>'balance_raw_11563392'!$E$16</f>
        <v/>
      </c>
      <c r="F37" s="8">
        <f>'balance_raw_11563392'!$F$16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'balance_raw_11563392'!$B$17</f>
        <v/>
      </c>
      <c r="C38" s="5">
        <f>'balance_raw_11563392'!$C$17</f>
        <v/>
      </c>
      <c r="D38" s="5">
        <f>'balance_raw_11563392'!$D$17</f>
        <v/>
      </c>
      <c r="E38" s="5">
        <f>'balance_raw_11563392'!$E$17</f>
        <v/>
      </c>
      <c r="F38" s="5">
        <f>'balance_raw_11563392'!$F$17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'balance_raw_11563392'!$B$18</f>
        <v/>
      </c>
      <c r="C39" s="8">
        <f>'balance_raw_11563392'!$C$18</f>
        <v/>
      </c>
      <c r="D39" s="8">
        <f>'balance_raw_11563392'!$D$18</f>
        <v/>
      </c>
      <c r="E39" s="8">
        <f>'balance_raw_11563392'!$E$18</f>
        <v/>
      </c>
      <c r="F39" s="8">
        <f>'balance_raw_11563392'!$F$18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'balance_raw_11563392'!$B$19</f>
        <v/>
      </c>
      <c r="C40" s="11">
        <f>'balance_raw_11563392'!$C$19</f>
        <v/>
      </c>
      <c r="D40" s="11">
        <f>'balance_raw_11563392'!$D$19</f>
        <v/>
      </c>
      <c r="E40" s="11">
        <f>'balance_raw_11563392'!$E$19</f>
        <v/>
      </c>
      <c r="F40" s="11">
        <f>'balance_raw_11563392'!$F$19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'balance_raw_11563392'!$B$20</f>
        <v/>
      </c>
      <c r="C41" s="8">
        <f>'balance_raw_11563392'!$C$20</f>
        <v/>
      </c>
      <c r="D41" s="8">
        <f>'balance_raw_11563392'!$D$20</f>
        <v/>
      </c>
      <c r="E41" s="8">
        <f>'balance_raw_11563392'!$E$20</f>
        <v/>
      </c>
      <c r="F41" s="8">
        <f>'balance_raw_11563392'!$F$20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'balance_raw_11563392'!$B$21</f>
        <v/>
      </c>
      <c r="C42" s="5">
        <f>'balance_raw_11563392'!$C$21</f>
        <v/>
      </c>
      <c r="D42" s="5">
        <f>'balance_raw_11563392'!$D$21</f>
        <v/>
      </c>
      <c r="E42" s="5">
        <f>'balance_raw_11563392'!$E$21</f>
        <v/>
      </c>
      <c r="F42" s="5">
        <f>'balance_raw_11563392'!$F$21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'balance_raw_11563392'!$B$22</f>
        <v/>
      </c>
      <c r="C43" s="11">
        <f>'balance_raw_11563392'!$C$22</f>
        <v/>
      </c>
      <c r="D43" s="11">
        <f>'balance_raw_11563392'!$D$22</f>
        <v/>
      </c>
      <c r="E43" s="11">
        <f>'balance_raw_11563392'!$E$22</f>
        <v/>
      </c>
      <c r="F43" s="11">
        <f>'balance_raw_11563392'!$F$22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'balance_raw_11563392'!$B$23</f>
        <v/>
      </c>
      <c r="C44" s="11">
        <f>'balance_raw_11563392'!$C$23</f>
        <v/>
      </c>
      <c r="D44" s="11">
        <f>'balance_raw_11563392'!$D$23</f>
        <v/>
      </c>
      <c r="E44" s="11">
        <f>'balance_raw_11563392'!$E$23</f>
        <v/>
      </c>
      <c r="F44" s="11">
        <f>'balance_raw_11563392'!$F$23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2020</v>
      </c>
      <c r="C46" s="3" t="n">
        <v>2021</v>
      </c>
      <c r="D46" s="3" t="n">
        <v>2022</v>
      </c>
      <c r="E46" s="3" t="n">
        <v>2023</v>
      </c>
      <c r="F46" s="3" t="n">
        <v>2024</v>
      </c>
      <c r="G46" t="inlineStr"/>
      <c r="H46" s="3" t="n">
        <v>2020</v>
      </c>
      <c r="I46" s="3" t="n">
        <v>2021</v>
      </c>
      <c r="J46" s="3" t="n">
        <v>2022</v>
      </c>
      <c r="K46" s="3" t="n">
        <v>2023</v>
      </c>
      <c r="L46" s="3" t="n">
        <v>2024</v>
      </c>
    </row>
    <row r="47" ht="16" customHeight="1">
      <c r="A47" s="7" t="inlineStr">
        <is>
          <t>Selskabskapital</t>
        </is>
      </c>
      <c r="B47" s="8">
        <f>'balance_raw_11563392'!$B$24</f>
        <v/>
      </c>
      <c r="C47" s="8">
        <f>'balance_raw_11563392'!$C$24</f>
        <v/>
      </c>
      <c r="D47" s="8">
        <f>'balance_raw_11563392'!$D$24</f>
        <v/>
      </c>
      <c r="E47" s="8">
        <f>'balance_raw_11563392'!$E$24</f>
        <v/>
      </c>
      <c r="F47" s="8">
        <f>'balance_raw_11563392'!$F$24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'balance_raw_11563392'!$B$25</f>
        <v/>
      </c>
      <c r="C48" s="5">
        <f>'balance_raw_11563392'!$C$25</f>
        <v/>
      </c>
      <c r="D48" s="5">
        <f>'balance_raw_11563392'!$D$25</f>
        <v/>
      </c>
      <c r="E48" s="5">
        <f>'balance_raw_11563392'!$E$25</f>
        <v/>
      </c>
      <c r="F48" s="5">
        <f>'balance_raw_11563392'!$F$25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'balance_raw_11563392'!$B$26</f>
        <v/>
      </c>
      <c r="C49" s="8">
        <f>'balance_raw_11563392'!$C$26</f>
        <v/>
      </c>
      <c r="D49" s="8">
        <f>'balance_raw_11563392'!$D$26</f>
        <v/>
      </c>
      <c r="E49" s="8">
        <f>'balance_raw_11563392'!$E$26</f>
        <v/>
      </c>
      <c r="F49" s="8">
        <f>'balance_raw_11563392'!$F$26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'balance_raw_11563392'!$B$27</f>
        <v/>
      </c>
      <c r="C50" s="5">
        <f>'balance_raw_11563392'!$C$27</f>
        <v/>
      </c>
      <c r="D50" s="5">
        <f>'balance_raw_11563392'!$D$27</f>
        <v/>
      </c>
      <c r="E50" s="5">
        <f>'balance_raw_11563392'!$E$27</f>
        <v/>
      </c>
      <c r="F50" s="5">
        <f>'balance_raw_11563392'!$F$27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'balance_raw_11563392'!$B$28</f>
        <v/>
      </c>
      <c r="C51" s="8">
        <f>'balance_raw_11563392'!$C$28</f>
        <v/>
      </c>
      <c r="D51" s="8">
        <f>'balance_raw_11563392'!$D$28</f>
        <v/>
      </c>
      <c r="E51" s="8">
        <f>'balance_raw_11563392'!$E$28</f>
        <v/>
      </c>
      <c r="F51" s="8">
        <f>'balance_raw_11563392'!$F$28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'balance_raw_11563392'!$B$29</f>
        <v/>
      </c>
      <c r="C52" s="5">
        <f>'balance_raw_11563392'!$C$29</f>
        <v/>
      </c>
      <c r="D52" s="5">
        <f>'balance_raw_11563392'!$D$29</f>
        <v/>
      </c>
      <c r="E52" s="5">
        <f>'balance_raw_11563392'!$E$29</f>
        <v/>
      </c>
      <c r="F52" s="5">
        <f>'balance_raw_11563392'!$F$29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'balance_raw_11563392'!$B$30</f>
        <v/>
      </c>
      <c r="C53" s="11">
        <f>'balance_raw_11563392'!$C$30</f>
        <v/>
      </c>
      <c r="D53" s="11">
        <f>'balance_raw_11563392'!$D$30</f>
        <v/>
      </c>
      <c r="E53" s="11">
        <f>'balance_raw_11563392'!$E$30</f>
        <v/>
      </c>
      <c r="F53" s="11">
        <f>'balance_raw_11563392'!$F$30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'balance_raw_11563392'!$B$31</f>
        <v/>
      </c>
      <c r="C54" s="5">
        <f>'balance_raw_11563392'!$C$31</f>
        <v/>
      </c>
      <c r="D54" s="5">
        <f>'balance_raw_11563392'!$D$31</f>
        <v/>
      </c>
      <c r="E54" s="5">
        <f>'balance_raw_11563392'!$E$31</f>
        <v/>
      </c>
      <c r="F54" s="5">
        <f>'balance_raw_11563392'!$F$31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Hensatte forpligtelser</t>
        </is>
      </c>
      <c r="B55" s="11">
        <f>'balance_raw_11563392'!$B$32</f>
        <v/>
      </c>
      <c r="C55" s="11">
        <f>'balance_raw_11563392'!$C$32</f>
        <v/>
      </c>
      <c r="D55" s="11">
        <f>'balance_raw_11563392'!$D$32</f>
        <v/>
      </c>
      <c r="E55" s="11">
        <f>'balance_raw_11563392'!$E$32</f>
        <v/>
      </c>
      <c r="F55" s="11">
        <f>'balance_raw_11563392'!$F$32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'balance_raw_11563392'!$B$33</f>
        <v/>
      </c>
      <c r="C56" s="5">
        <f>'balance_raw_11563392'!$C$33</f>
        <v/>
      </c>
      <c r="D56" s="5">
        <f>'balance_raw_11563392'!$D$33</f>
        <v/>
      </c>
      <c r="E56" s="5">
        <f>'balance_raw_11563392'!$E$33</f>
        <v/>
      </c>
      <c r="F56" s="5">
        <f>'balance_raw_11563392'!$F$33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lån</t>
        </is>
      </c>
      <c r="B57" s="8">
        <f>'balance_raw_11563392'!$B$34</f>
        <v/>
      </c>
      <c r="C57" s="8">
        <f>'balance_raw_11563392'!$C$34</f>
        <v/>
      </c>
      <c r="D57" s="8">
        <f>'balance_raw_11563392'!$D$34</f>
        <v/>
      </c>
      <c r="E57" s="8">
        <f>'balance_raw_11563392'!$E$34</f>
        <v/>
      </c>
      <c r="F57" s="8">
        <f>'balance_raw_11563392'!$F$34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'balance_raw_11563392'!$B$35</f>
        <v/>
      </c>
      <c r="C58" s="5">
        <f>'balance_raw_11563392'!$C$35</f>
        <v/>
      </c>
      <c r="D58" s="5">
        <f>'balance_raw_11563392'!$D$35</f>
        <v/>
      </c>
      <c r="E58" s="5">
        <f>'balance_raw_11563392'!$E$35</f>
        <v/>
      </c>
      <c r="F58" s="5">
        <f>'balance_raw_11563392'!$F$35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(langfristet)</t>
        </is>
      </c>
      <c r="B59" s="8">
        <f>'balance_raw_11563392'!$B$36</f>
        <v/>
      </c>
      <c r="C59" s="8">
        <f>'balance_raw_11563392'!$C$36</f>
        <v/>
      </c>
      <c r="D59" s="8">
        <f>'balance_raw_11563392'!$D$36</f>
        <v/>
      </c>
      <c r="E59" s="8">
        <f>'balance_raw_11563392'!$E$36</f>
        <v/>
      </c>
      <c r="F59" s="8">
        <f>'balance_raw_11563392'!$F$36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Langfristede gældsforpligtelser</t>
        </is>
      </c>
      <c r="B60" s="11">
        <f>'balance_raw_11563392'!$B$37</f>
        <v/>
      </c>
      <c r="C60" s="11">
        <f>'balance_raw_11563392'!$C$37</f>
        <v/>
      </c>
      <c r="D60" s="11">
        <f>'balance_raw_11563392'!$D$37</f>
        <v/>
      </c>
      <c r="E60" s="11">
        <f>'balance_raw_11563392'!$E$37</f>
        <v/>
      </c>
      <c r="F60" s="11">
        <f>'balance_raw_11563392'!$F$37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'balance_raw_11563392'!$B$38</f>
        <v/>
      </c>
      <c r="C61" s="8">
        <f>'balance_raw_11563392'!$C$38</f>
        <v/>
      </c>
      <c r="D61" s="8">
        <f>'balance_raw_11563392'!$D$38</f>
        <v/>
      </c>
      <c r="E61" s="8">
        <f>'balance_raw_11563392'!$E$38</f>
        <v/>
      </c>
      <c r="F61" s="8">
        <f>'balance_raw_11563392'!$F$38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'balance_raw_11563392'!$B$39</f>
        <v/>
      </c>
      <c r="C62" s="5">
        <f>'balance_raw_11563392'!$C$39</f>
        <v/>
      </c>
      <c r="D62" s="5">
        <f>'balance_raw_11563392'!$D$39</f>
        <v/>
      </c>
      <c r="E62" s="5">
        <f>'balance_raw_11563392'!$E$39</f>
        <v/>
      </c>
      <c r="F62" s="5">
        <f>'balance_raw_11563392'!$F$39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'balance_raw_11563392'!$B$40</f>
        <v/>
      </c>
      <c r="C63" s="8">
        <f>'balance_raw_11563392'!$C$40</f>
        <v/>
      </c>
      <c r="D63" s="8">
        <f>'balance_raw_11563392'!$D$40</f>
        <v/>
      </c>
      <c r="E63" s="8">
        <f>'balance_raw_11563392'!$E$40</f>
        <v/>
      </c>
      <c r="F63" s="8">
        <f>'balance_raw_11563392'!$F$40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'balance_raw_11563392'!$B$41</f>
        <v/>
      </c>
      <c r="C64" s="5">
        <f>'balance_raw_11563392'!$C$41</f>
        <v/>
      </c>
      <c r="D64" s="5">
        <f>'balance_raw_11563392'!$D$41</f>
        <v/>
      </c>
      <c r="E64" s="5">
        <f>'balance_raw_11563392'!$E$41</f>
        <v/>
      </c>
      <c r="F64" s="5">
        <f>'balance_raw_11563392'!$F$41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'balance_raw_11563392'!$B$42</f>
        <v/>
      </c>
      <c r="C65" s="8">
        <f>'balance_raw_11563392'!$C$42</f>
        <v/>
      </c>
      <c r="D65" s="8">
        <f>'balance_raw_11563392'!$D$42</f>
        <v/>
      </c>
      <c r="E65" s="8">
        <f>'balance_raw_11563392'!$E$42</f>
        <v/>
      </c>
      <c r="F65" s="8">
        <f>'balance_raw_11563392'!$F$42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'balance_raw_11563392'!$B$43</f>
        <v/>
      </c>
      <c r="C66" s="5">
        <f>'balance_raw_11563392'!$C$43</f>
        <v/>
      </c>
      <c r="D66" s="5">
        <f>'balance_raw_11563392'!$D$43</f>
        <v/>
      </c>
      <c r="E66" s="5">
        <f>'balance_raw_11563392'!$E$43</f>
        <v/>
      </c>
      <c r="F66" s="5">
        <f>'balance_raw_11563392'!$F$43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'balance_raw_11563392'!$B$44</f>
        <v/>
      </c>
      <c r="C67" s="8">
        <f>'balance_raw_11563392'!$C$44</f>
        <v/>
      </c>
      <c r="D67" s="8">
        <f>'balance_raw_11563392'!$D$44</f>
        <v/>
      </c>
      <c r="E67" s="8">
        <f>'balance_raw_11563392'!$E$44</f>
        <v/>
      </c>
      <c r="F67" s="8">
        <f>'balance_raw_11563392'!$F$44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'balance_raw_11563392'!$B$45</f>
        <v/>
      </c>
      <c r="C68" s="5">
        <f>'balance_raw_11563392'!$C$45</f>
        <v/>
      </c>
      <c r="D68" s="5">
        <f>'balance_raw_11563392'!$D$45</f>
        <v/>
      </c>
      <c r="E68" s="5">
        <f>'balance_raw_11563392'!$E$45</f>
        <v/>
      </c>
      <c r="F68" s="5">
        <f>'balance_raw_11563392'!$F$45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'balance_raw_11563392'!$B$46</f>
        <v/>
      </c>
      <c r="C69" s="8">
        <f>'balance_raw_11563392'!$C$46</f>
        <v/>
      </c>
      <c r="D69" s="8">
        <f>'balance_raw_11563392'!$D$46</f>
        <v/>
      </c>
      <c r="E69" s="8">
        <f>'balance_raw_11563392'!$E$46</f>
        <v/>
      </c>
      <c r="F69" s="8">
        <f>'balance_raw_11563392'!$F$46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'balance_raw_11563392'!$B$47</f>
        <v/>
      </c>
      <c r="C70" s="5">
        <f>'balance_raw_11563392'!$C$47</f>
        <v/>
      </c>
      <c r="D70" s="5">
        <f>'balance_raw_11563392'!$D$47</f>
        <v/>
      </c>
      <c r="E70" s="5">
        <f>'balance_raw_11563392'!$E$47</f>
        <v/>
      </c>
      <c r="F70" s="5">
        <f>'balance_raw_11563392'!$F$47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'balance_raw_11563392'!$B$48</f>
        <v/>
      </c>
      <c r="C71" s="8">
        <f>'balance_raw_11563392'!$C$48</f>
        <v/>
      </c>
      <c r="D71" s="8">
        <f>'balance_raw_11563392'!$D$48</f>
        <v/>
      </c>
      <c r="E71" s="8">
        <f>'balance_raw_11563392'!$E$48</f>
        <v/>
      </c>
      <c r="F71" s="8">
        <f>'balance_raw_11563392'!$F$48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'balance_raw_11563392'!$B$49</f>
        <v/>
      </c>
      <c r="C72" s="11">
        <f>'balance_raw_11563392'!$C$49</f>
        <v/>
      </c>
      <c r="D72" s="11">
        <f>'balance_raw_11563392'!$D$49</f>
        <v/>
      </c>
      <c r="E72" s="11">
        <f>'balance_raw_11563392'!$E$49</f>
        <v/>
      </c>
      <c r="F72" s="11">
        <f>'balance_raw_11563392'!$F$49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'balance_raw_11563392'!$B$50</f>
        <v/>
      </c>
      <c r="C73" s="11">
        <f>'balance_raw_11563392'!$C$50</f>
        <v/>
      </c>
      <c r="D73" s="11">
        <f>'balance_raw_11563392'!$D$50</f>
        <v/>
      </c>
      <c r="E73" s="11">
        <f>'balance_raw_11563392'!$E$50</f>
        <v/>
      </c>
      <c r="F73" s="11">
        <f>'balance_raw_11563392'!$F$50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'balance_raw_11563392'!$B$51</f>
        <v/>
      </c>
      <c r="C74" s="11">
        <f>'balance_raw_11563392'!$C$51</f>
        <v/>
      </c>
      <c r="D74" s="11">
        <f>'balance_raw_11563392'!$D$51</f>
        <v/>
      </c>
      <c r="E74" s="11">
        <f>'balance_raw_11563392'!$E$51</f>
        <v/>
      </c>
      <c r="F74" s="11">
        <f>'balance_raw_11563392'!$F$51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Gns. antal medarbejdere</t>
        </is>
      </c>
      <c r="B77" s="8">
        <f>'res_raw_11563392'!$B$19</f>
        <v/>
      </c>
      <c r="C77" s="8">
        <f>'res_raw_11563392'!$C$19</f>
        <v/>
      </c>
      <c r="D77" s="8">
        <f>'res_raw_11563392'!$D$19</f>
        <v/>
      </c>
      <c r="E77" s="8">
        <f>'res_raw_11563392'!$E$19</f>
        <v/>
      </c>
      <c r="F77" s="8">
        <f>'res_raw_11563392'!$F$19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'res_raw_11563392'!$B$20</f>
        <v/>
      </c>
      <c r="C78" s="5">
        <f>'res_raw_11563392'!$C$20</f>
        <v/>
      </c>
      <c r="D78" s="5">
        <f>'res_raw_11563392'!$D$20</f>
        <v/>
      </c>
      <c r="E78" s="5">
        <f>'res_raw_11563392'!$E$20</f>
        <v/>
      </c>
      <c r="F78" s="5">
        <f>'res_raw_11563392'!$F$20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7" t="inlineStr">
        <is>
          <t>Afkastningsgrad, %</t>
        </is>
      </c>
      <c r="B81" s="13">
        <f>IFERROR(($B$13+$B$15+$B$14)/$B$44*100,"")</f>
        <v/>
      </c>
      <c r="C81" s="13">
        <f>IFERROR(($C$13+$C$15+$C$14)/$C$44*100,"")</f>
        <v/>
      </c>
      <c r="D81" s="13">
        <f>IFERROR(($D$13+$D$15+$D$14)/$D$44*100,"")</f>
        <v/>
      </c>
      <c r="E81" s="13">
        <f>IFERROR(($E$13+$E$15+$E$14)/$E$44*100,"")</f>
        <v/>
      </c>
      <c r="F81" s="13">
        <f>IFERROR(($F$13+$F$15+$F$14)/$F$44*100,"")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IFERROR($B$18/$B$53*100,"")</f>
        <v/>
      </c>
      <c r="C84" s="14">
        <f>IFERROR($C$18/$C$53*100,"")</f>
        <v/>
      </c>
      <c r="D84" s="14">
        <f>IFERROR($D$18/$D$53*100,"")</f>
        <v/>
      </c>
      <c r="E84" s="14">
        <f>IFERROR($E$18/$E$53*100,"")</f>
        <v/>
      </c>
      <c r="F84" s="14">
        <f>IFERROR($F$18/$F$53*100,"")</f>
        <v/>
      </c>
    </row>
    <row r="85" ht="16" customHeight="1">
      <c r="A85" s="7" t="inlineStr">
        <is>
          <t>Gældsrente, %</t>
        </is>
      </c>
      <c r="B85" s="13">
        <f>IFERROR($B$16/($B$74-$B$53)*100,"")</f>
        <v/>
      </c>
      <c r="C85" s="13">
        <f>IFERROR($C$16/($C$74-$C$53)*100,"")</f>
        <v/>
      </c>
      <c r="D85" s="13">
        <f>IFERROR($D$16/($D$74-$D$53)*100,"")</f>
        <v/>
      </c>
      <c r="E85" s="13">
        <f>IFERROR($E$16/($E$74-$E$53)*100,"")</f>
        <v/>
      </c>
      <c r="F85" s="13">
        <f>IFERROR($F$16/($F$74-$F$53)*100,"")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7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7" t="inlineStr">
        <is>
          <t>Kapitalbindingsgrad, %</t>
        </is>
      </c>
      <c r="B91" s="13">
        <f>IFERROR($B$32/($B$53+$B$60)*100,"")</f>
        <v/>
      </c>
      <c r="C91" s="13">
        <f>IFERROR($C$32/($C$53+$C$60)*100,"")</f>
        <v/>
      </c>
      <c r="D91" s="13">
        <f>IFERROR($D$32/($D$53+$D$60)*100,"")</f>
        <v/>
      </c>
      <c r="E91" s="13">
        <f>IFERROR($E$32/($E$53+$E$60)*100,"")</f>
        <v/>
      </c>
      <c r="F91" s="13">
        <f>IFERROR($F$32/($F$53+$F$60)*100,"")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7896</v>
      </c>
      <c r="C6" s="16" t="n">
        <v>5697</v>
      </c>
      <c r="D6" s="16" t="n">
        <v>9319</v>
      </c>
      <c r="E6" s="16" t="n">
        <v>13089</v>
      </c>
      <c r="F6" s="16" t="n">
        <v>17701</v>
      </c>
    </row>
    <row r="7">
      <c r="A7" s="15" t="inlineStr">
        <is>
          <t>Personaleomkostninger</t>
        </is>
      </c>
      <c r="B7" s="16" t="n">
        <v>3492</v>
      </c>
      <c r="C7" s="16" t="n">
        <v>3846</v>
      </c>
      <c r="D7" s="16" t="n">
        <v>4307</v>
      </c>
      <c r="E7" s="16" t="n">
        <v>4456</v>
      </c>
      <c r="F7" s="16" t="n">
        <v>5304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</v>
      </c>
      <c r="C9" s="16" t="n">
        <v>5</v>
      </c>
      <c r="D9" s="16" t="n">
        <v>5</v>
      </c>
      <c r="E9" s="16" t="n">
        <v>3</v>
      </c>
      <c r="F9" s="16" t="n">
        <v>31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>
        <v>171</v>
      </c>
    </row>
    <row r="11">
      <c r="A11" s="17" t="inlineStr">
        <is>
          <t>Resultat af primær drift</t>
        </is>
      </c>
      <c r="B11" s="16" t="n">
        <v>4395</v>
      </c>
      <c r="C11" s="16" t="n">
        <v>1846</v>
      </c>
      <c r="D11" s="16" t="n">
        <v>5007</v>
      </c>
      <c r="E11" s="16" t="n">
        <v>8630</v>
      </c>
      <c r="F11" s="16" t="n">
        <v>12196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>
        <v>5008</v>
      </c>
    </row>
    <row r="13">
      <c r="A13" s="15" t="inlineStr">
        <is>
          <t>Finansielle indtægter</t>
        </is>
      </c>
      <c r="B13" s="16" t="n">
        <v>372</v>
      </c>
      <c r="C13" s="16" t="n">
        <v>903</v>
      </c>
      <c r="D13" s="16" t="n">
        <v>746</v>
      </c>
      <c r="E13" s="16" t="n">
        <v>1467</v>
      </c>
      <c r="F13" s="16" t="n">
        <v>6766</v>
      </c>
    </row>
    <row r="14">
      <c r="A14" s="15" t="inlineStr">
        <is>
          <t>Finansielle omkostninger</t>
        </is>
      </c>
      <c r="B14" s="16" t="n">
        <v>355</v>
      </c>
      <c r="C14" s="16" t="n">
        <v>535</v>
      </c>
      <c r="D14" s="16" t="n">
        <v>424</v>
      </c>
      <c r="E14" s="16" t="n">
        <v>266</v>
      </c>
      <c r="F14" s="16" t="n">
        <v>498</v>
      </c>
    </row>
    <row r="15">
      <c r="A15" s="17" t="inlineStr">
        <is>
          <t>Finansielle poster, netto</t>
        </is>
      </c>
      <c r="B15" s="16" t="n">
        <v>-167</v>
      </c>
      <c r="C15" s="16" t="n">
        <v>-518</v>
      </c>
      <c r="D15" s="16" t="n">
        <v>-473</v>
      </c>
      <c r="E15" s="16" t="n">
        <v>-1351</v>
      </c>
      <c r="F15" s="16" t="n">
        <v>-11276</v>
      </c>
    </row>
    <row r="16">
      <c r="A16" s="17" t="inlineStr">
        <is>
          <t>Resultat før skat</t>
        </is>
      </c>
      <c r="B16" s="16" t="n">
        <v>4561</v>
      </c>
      <c r="C16" s="16" t="n">
        <v>2364</v>
      </c>
      <c r="D16" s="16" t="n">
        <v>5480</v>
      </c>
      <c r="E16" s="16" t="n">
        <v>9981</v>
      </c>
      <c r="F16" s="16" t="n">
        <v>23472</v>
      </c>
    </row>
    <row r="17">
      <c r="A17" s="15" t="inlineStr">
        <is>
          <t>Skat af årets resultat</t>
        </is>
      </c>
      <c r="B17" s="16" t="n">
        <v>1004</v>
      </c>
      <c r="C17" s="16" t="n">
        <v>522</v>
      </c>
      <c r="D17" s="16" t="n">
        <v>1207</v>
      </c>
      <c r="E17" s="16" t="n">
        <v>2197</v>
      </c>
      <c r="F17" s="16" t="n">
        <v>4065</v>
      </c>
    </row>
    <row r="18">
      <c r="A18" s="17" t="inlineStr">
        <is>
          <t>Årets resultat</t>
        </is>
      </c>
      <c r="B18" s="16" t="n">
        <v>3558</v>
      </c>
      <c r="C18" s="16" t="n">
        <v>1842</v>
      </c>
      <c r="D18" s="16" t="n">
        <v>4273</v>
      </c>
      <c r="E18" s="16" t="n">
        <v>7784</v>
      </c>
      <c r="F18" s="16" t="n">
        <v>19408</v>
      </c>
    </row>
    <row r="19">
      <c r="A19" s="15" t="inlineStr">
        <is>
          <t>Gns. antal medarbejdere</t>
        </is>
      </c>
      <c r="B19" s="16" t="n">
        <v>6</v>
      </c>
      <c r="C19" s="16" t="n">
        <v>7</v>
      </c>
      <c r="D19" s="16" t="n">
        <v>6</v>
      </c>
      <c r="E19" s="16" t="n">
        <v>7</v>
      </c>
      <c r="F19" s="16" t="n">
        <v>6</v>
      </c>
    </row>
    <row r="20">
      <c r="A20" s="15" t="inlineStr">
        <is>
          <t>Investering i materielle anlægsaktiver</t>
        </is>
      </c>
      <c r="B20" s="16" t="n">
        <v>0</v>
      </c>
      <c r="C20" s="16" t="n">
        <v>0</v>
      </c>
      <c r="D20" s="16" t="n">
        <v>0</v>
      </c>
      <c r="E20" s="16" t="n"/>
      <c r="F20" s="16" t="n">
        <v>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/>
      <c r="C4" s="16" t="n"/>
      <c r="D4" s="16" t="n"/>
      <c r="E4" s="16" t="n"/>
      <c r="F4" s="16" t="n">
        <v>520</v>
      </c>
    </row>
    <row r="5">
      <c r="A5" s="15" t="inlineStr">
        <is>
          <t>Indretning af lejede lokaler</t>
        </is>
      </c>
      <c r="B5" s="16" t="n">
        <v>14</v>
      </c>
      <c r="C5" s="16" t="n">
        <v>8</v>
      </c>
      <c r="D5" s="16" t="n">
        <v>3</v>
      </c>
      <c r="E5" s="16" t="n">
        <v>0</v>
      </c>
      <c r="F5" s="16" t="n">
        <v>312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14</v>
      </c>
      <c r="C7" s="16" t="n">
        <v>8</v>
      </c>
      <c r="D7" s="16" t="n">
        <v>3</v>
      </c>
      <c r="E7" s="16" t="n">
        <v>0</v>
      </c>
      <c r="F7" s="16" t="n">
        <v>832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>
        <v>24405</v>
      </c>
    </row>
    <row r="9">
      <c r="A9" s="15" t="inlineStr">
        <is>
          <t>Deposita</t>
        </is>
      </c>
      <c r="B9" s="16" t="n">
        <v>3000</v>
      </c>
      <c r="C9" s="16" t="n">
        <v>3000</v>
      </c>
      <c r="D9" s="16" t="n">
        <v>3000</v>
      </c>
      <c r="E9" s="16" t="n">
        <v>3000</v>
      </c>
      <c r="F9" s="16" t="n">
        <v>3000</v>
      </c>
    </row>
    <row r="10">
      <c r="A10" s="17" t="inlineStr">
        <is>
          <t>Finansielle anlægsaktiver</t>
        </is>
      </c>
      <c r="B10" s="16" t="n">
        <v>5011</v>
      </c>
      <c r="C10" s="16" t="n">
        <v>4508</v>
      </c>
      <c r="D10" s="16" t="n">
        <v>4778</v>
      </c>
      <c r="E10" s="16" t="n">
        <v>5091</v>
      </c>
      <c r="F10" s="16" t="n">
        <v>30466</v>
      </c>
    </row>
    <row r="11">
      <c r="A11" s="17" t="inlineStr">
        <is>
          <t>Anlægsaktiver</t>
        </is>
      </c>
      <c r="B11" s="16" t="n">
        <v>5025</v>
      </c>
      <c r="C11" s="16" t="n">
        <v>4516</v>
      </c>
      <c r="D11" s="16" t="n">
        <v>4780</v>
      </c>
      <c r="E11" s="16" t="n">
        <v>5091</v>
      </c>
      <c r="F11" s="16" t="n">
        <v>31298</v>
      </c>
    </row>
    <row r="12">
      <c r="A12" s="15" t="inlineStr">
        <is>
          <t>Tilgodehavender fra salg og tjenesteydelser</t>
        </is>
      </c>
      <c r="B12" s="16" t="n">
        <v>0</v>
      </c>
      <c r="C12" s="16" t="n">
        <v>479</v>
      </c>
      <c r="D12" s="16" t="n">
        <v>1023</v>
      </c>
      <c r="E12" s="16" t="n">
        <v>863</v>
      </c>
      <c r="F12" s="16" t="n">
        <v>1356</v>
      </c>
    </row>
    <row r="13">
      <c r="A13" s="15" t="inlineStr">
        <is>
          <t>Tilgodehavender hos tilknyttede virksomheder</t>
        </is>
      </c>
      <c r="B13" s="16" t="n">
        <v>34998</v>
      </c>
      <c r="C13" s="16" t="n">
        <v>37503</v>
      </c>
      <c r="D13" s="16" t="n">
        <v>45718</v>
      </c>
      <c r="E13" s="16" t="n">
        <v>6430</v>
      </c>
      <c r="F13" s="16" t="n">
        <v>63832</v>
      </c>
    </row>
    <row r="14">
      <c r="A14" s="15" t="inlineStr">
        <is>
          <t>Andre tilgodehavender</t>
        </is>
      </c>
      <c r="B14" s="16" t="n">
        <v>4707</v>
      </c>
      <c r="C14" s="16" t="n">
        <v>8703</v>
      </c>
      <c r="D14" s="16" t="n">
        <v>992</v>
      </c>
      <c r="E14" s="16" t="n">
        <v>1962</v>
      </c>
      <c r="F14" s="16" t="n">
        <v>2307</v>
      </c>
    </row>
    <row r="15">
      <c r="A15" s="15" t="inlineStr">
        <is>
          <t>Periodeafgrænsningsposter (aktiver)</t>
        </is>
      </c>
      <c r="B15" s="16" t="n">
        <v>2616</v>
      </c>
      <c r="C15" s="16" t="n">
        <v>1971</v>
      </c>
      <c r="D15" s="16" t="n">
        <v>3330</v>
      </c>
      <c r="E15" s="16" t="n">
        <v>3158</v>
      </c>
      <c r="F15" s="16" t="n">
        <v>4502</v>
      </c>
    </row>
    <row r="16">
      <c r="A16" s="15" t="inlineStr">
        <is>
          <t>Udskudt skatteaktiv</t>
        </is>
      </c>
      <c r="B16" s="16" t="n">
        <v>2</v>
      </c>
      <c r="C16" s="16" t="n">
        <v>2</v>
      </c>
      <c r="D16" s="16" t="n">
        <v>2</v>
      </c>
      <c r="E16" s="16" t="n">
        <v>2</v>
      </c>
      <c r="F16" s="16" t="n">
        <v>0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Tilgodehavender</t>
        </is>
      </c>
      <c r="B19" s="16" t="n">
        <v>42323</v>
      </c>
      <c r="C19" s="16" t="n">
        <v>48658</v>
      </c>
      <c r="D19" s="16" t="n">
        <v>51066</v>
      </c>
      <c r="E19" s="16" t="n">
        <v>12415</v>
      </c>
      <c r="F19" s="16" t="n">
        <v>71997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27067</v>
      </c>
      <c r="C21" s="16" t="n">
        <v>32631</v>
      </c>
      <c r="D21" s="16" t="n">
        <v>31700</v>
      </c>
      <c r="E21" s="16" t="n">
        <v>70914</v>
      </c>
      <c r="F21" s="16" t="n">
        <v>15060</v>
      </c>
    </row>
    <row r="22">
      <c r="A22" s="17" t="inlineStr">
        <is>
          <t>Omsætningsaktiver</t>
        </is>
      </c>
      <c r="B22" s="16" t="n">
        <v>69389</v>
      </c>
      <c r="C22" s="16" t="n">
        <v>81289</v>
      </c>
      <c r="D22" s="16" t="n">
        <v>82766</v>
      </c>
      <c r="E22" s="16" t="n">
        <v>83329</v>
      </c>
      <c r="F22" s="16" t="n">
        <v>87057</v>
      </c>
    </row>
    <row r="23">
      <c r="A23" s="17" t="inlineStr">
        <is>
          <t>Aktiver</t>
        </is>
      </c>
      <c r="B23" s="16" t="n">
        <v>74414</v>
      </c>
      <c r="C23" s="16" t="n">
        <v>85805</v>
      </c>
      <c r="D23" s="16" t="n">
        <v>87546</v>
      </c>
      <c r="E23" s="16" t="n">
        <v>88420</v>
      </c>
      <c r="F23" s="16" t="n">
        <v>118355</v>
      </c>
    </row>
    <row r="24">
      <c r="A24" s="15" t="inlineStr">
        <is>
          <t>Selskabskapital</t>
        </is>
      </c>
      <c r="B24" s="16" t="n">
        <v>600</v>
      </c>
      <c r="C24" s="16" t="n">
        <v>600</v>
      </c>
      <c r="D24" s="16" t="n">
        <v>600</v>
      </c>
      <c r="E24" s="16" t="n">
        <v>600</v>
      </c>
      <c r="F24" s="16" t="n">
        <v>600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>
        <v>5008</v>
      </c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Overført resultat</t>
        </is>
      </c>
      <c r="B29" s="16" t="n">
        <v>15436</v>
      </c>
      <c r="C29" s="16" t="n">
        <v>17279</v>
      </c>
      <c r="D29" s="16" t="n">
        <v>21552</v>
      </c>
      <c r="E29" s="16" t="n">
        <v>29336</v>
      </c>
      <c r="F29" s="16" t="n">
        <v>43736</v>
      </c>
    </row>
    <row r="30">
      <c r="A30" s="17" t="inlineStr">
        <is>
          <t>Egenkapital i alt</t>
        </is>
      </c>
      <c r="B30" s="16" t="n">
        <v>16036</v>
      </c>
      <c r="C30" s="16" t="n">
        <v>17879</v>
      </c>
      <c r="D30" s="16" t="n">
        <v>22152</v>
      </c>
      <c r="E30" s="16" t="n">
        <v>29936</v>
      </c>
      <c r="F30" s="16" t="n">
        <v>49344</v>
      </c>
    </row>
    <row r="31">
      <c r="A31" s="15" t="inlineStr">
        <is>
          <t>Hensættelse til udskudt skat</t>
        </is>
      </c>
      <c r="B31" s="16" t="n"/>
      <c r="C31" s="16" t="n"/>
      <c r="D31" s="16" t="n"/>
      <c r="E31" s="16" t="n"/>
      <c r="F31" s="16" t="n">
        <v>36</v>
      </c>
    </row>
    <row r="32">
      <c r="A32" s="17" t="inlineStr">
        <is>
          <t>Hensatte forpligtelser</t>
        </is>
      </c>
      <c r="B32" s="16" t="n"/>
      <c r="C32" s="16" t="n"/>
      <c r="D32" s="16" t="n"/>
      <c r="E32" s="16" t="n"/>
      <c r="F32" s="16" t="n">
        <v>36</v>
      </c>
    </row>
    <row r="33">
      <c r="A33" s="15" t="inlineStr">
        <is>
          <t>Ansvarlig lånekapital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Langfristede lån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Anden gæld (langfristet)</t>
        </is>
      </c>
      <c r="B36" s="16" t="n">
        <v>25424</v>
      </c>
      <c r="C36" s="16" t="n">
        <v>19239</v>
      </c>
      <c r="D36" s="16" t="n">
        <v>19239</v>
      </c>
      <c r="E36" s="16" t="n">
        <v>2400</v>
      </c>
      <c r="F36" s="16" t="n">
        <v>2400</v>
      </c>
    </row>
    <row r="37">
      <c r="A37" s="17" t="inlineStr">
        <is>
          <t>Langfristede gældsforpligtelser</t>
        </is>
      </c>
      <c r="B37" s="16" t="n">
        <v>27824</v>
      </c>
      <c r="C37" s="16" t="n">
        <v>21639</v>
      </c>
      <c r="D37" s="16" t="n">
        <v>21639</v>
      </c>
      <c r="E37" s="16" t="n">
        <v>16829</v>
      </c>
      <c r="F37" s="16" t="n">
        <v>12019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>
        <v>4810</v>
      </c>
      <c r="D39" s="16" t="n">
        <v>4810</v>
      </c>
      <c r="E39" s="16" t="n">
        <v>4810</v>
      </c>
      <c r="F39" s="16" t="n">
        <v>4810</v>
      </c>
    </row>
    <row r="40">
      <c r="A40" s="15" t="inlineStr">
        <is>
          <t>Kreditinstitutter</t>
        </is>
      </c>
      <c r="B40" s="16" t="n">
        <v>12</v>
      </c>
      <c r="C40" s="16" t="n">
        <v>24</v>
      </c>
      <c r="D40" s="16" t="n">
        <v>56</v>
      </c>
      <c r="E40" s="16" t="n">
        <v>29</v>
      </c>
      <c r="F40" s="16" t="n">
        <v>0</v>
      </c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5345</v>
      </c>
      <c r="C42" s="16" t="n">
        <v>6314</v>
      </c>
      <c r="D42" s="16" t="n">
        <v>7327</v>
      </c>
      <c r="E42" s="16" t="n">
        <v>3208</v>
      </c>
      <c r="F42" s="16" t="n">
        <v>2835</v>
      </c>
    </row>
    <row r="43">
      <c r="A43" s="15" t="inlineStr">
        <is>
          <t>Gæld til tilknyttede virksomheder</t>
        </is>
      </c>
      <c r="B43" s="16" t="n">
        <v>8530</v>
      </c>
      <c r="C43" s="16" t="n">
        <v>7965</v>
      </c>
      <c r="D43" s="16" t="n">
        <v>8460</v>
      </c>
      <c r="E43" s="16" t="n">
        <v>4082</v>
      </c>
      <c r="F43" s="16" t="n">
        <v>20833</v>
      </c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>
        <v>965</v>
      </c>
      <c r="C45" s="16" t="n">
        <v>509</v>
      </c>
      <c r="D45" s="16" t="n">
        <v>1197</v>
      </c>
      <c r="E45" s="16" t="n">
        <v>2187</v>
      </c>
      <c r="F45" s="16" t="n">
        <v>4011</v>
      </c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4002</v>
      </c>
      <c r="C47" s="16" t="n">
        <v>3132</v>
      </c>
      <c r="D47" s="16" t="n">
        <v>3046</v>
      </c>
      <c r="E47" s="16" t="n">
        <v>832</v>
      </c>
      <c r="F47" s="16" t="n">
        <v>896</v>
      </c>
    </row>
    <row r="48">
      <c r="A48" s="15" t="inlineStr">
        <is>
          <t>Periodeafgrænsningsposter (passiver)</t>
        </is>
      </c>
      <c r="B48" s="16" t="n">
        <v>11699</v>
      </c>
      <c r="C48" s="16" t="n">
        <v>23534</v>
      </c>
      <c r="D48" s="16" t="n">
        <v>18861</v>
      </c>
      <c r="E48" s="16" t="n">
        <v>26508</v>
      </c>
      <c r="F48" s="16" t="n">
        <v>23572</v>
      </c>
    </row>
    <row r="49">
      <c r="A49" s="17" t="inlineStr">
        <is>
          <t>Kortfristede gældsforpligtelser</t>
        </is>
      </c>
      <c r="B49" s="16" t="n">
        <v>30554</v>
      </c>
      <c r="C49" s="16" t="n">
        <v>46288</v>
      </c>
      <c r="D49" s="16" t="n">
        <v>43756</v>
      </c>
      <c r="E49" s="16" t="n">
        <v>41655</v>
      </c>
      <c r="F49" s="16" t="n">
        <v>56957</v>
      </c>
    </row>
    <row r="50">
      <c r="A50" s="17" t="inlineStr">
        <is>
          <t>Gældsforpligtelser</t>
        </is>
      </c>
      <c r="B50" s="16" t="n">
        <v>58378</v>
      </c>
      <c r="C50" s="16" t="n">
        <v>67927</v>
      </c>
      <c r="D50" s="16" t="n">
        <v>65395</v>
      </c>
      <c r="E50" s="16" t="n">
        <v>58484</v>
      </c>
      <c r="F50" s="16" t="n">
        <v>68976</v>
      </c>
    </row>
    <row r="51">
      <c r="A51" s="17" t="inlineStr">
        <is>
          <t>Passiver</t>
        </is>
      </c>
      <c r="B51" s="16" t="n">
        <v>74414</v>
      </c>
      <c r="C51" s="16" t="n">
        <v>85805</v>
      </c>
      <c r="D51" s="16" t="n">
        <v>87546</v>
      </c>
      <c r="E51" s="16" t="n">
        <v>88420</v>
      </c>
      <c r="F51" s="16" t="n">
        <v>118355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11563392)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'res_raw_11563392'!$F$2</f>
        <v/>
      </c>
      <c r="C5" s="24">
        <f>'res_raw_11563392'!$E$2</f>
        <v/>
      </c>
      <c r="D5" s="24">
        <f>'res_raw_11563392'!$D$2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'res_raw_11563392'!$F$3</f>
        <v/>
      </c>
      <c r="C6" s="24">
        <f>'res_raw_11563392'!$E$3</f>
        <v/>
      </c>
      <c r="D6" s="24">
        <f>'res_raw_11563392'!$D$3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-'res_raw_11563392'!$F$4</f>
        <v/>
      </c>
      <c r="C7" s="24">
        <f>-'res_raw_11563392'!$E$4</f>
        <v/>
      </c>
      <c r="D7" s="24">
        <f>-'res_raw_11563392'!$D$4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-'res_raw_11563392'!$F$5</f>
        <v/>
      </c>
      <c r="C8" s="24">
        <f>-'res_raw_11563392'!$E$5</f>
        <v/>
      </c>
      <c r="D8" s="24">
        <f>-'res_raw_11563392'!$D$5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-'res_raw_11563392'!$F$7</f>
        <v/>
      </c>
      <c r="C10" s="24">
        <f>-'res_raw_11563392'!$E$7</f>
        <v/>
      </c>
      <c r="D10" s="24">
        <f>-'res_raw_11563392'!$D$7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-'res_raw_11563392'!$F$9</f>
        <v/>
      </c>
      <c r="C11" s="24">
        <f>-'res_raw_11563392'!$E$9</f>
        <v/>
      </c>
      <c r="D11" s="24">
        <f>-'res_raw_11563392'!$D$9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-'res_raw_11563392'!$F$10</f>
        <v/>
      </c>
      <c r="C12" s="24">
        <f>-'res_raw_11563392'!$E$10</f>
        <v/>
      </c>
      <c r="D12" s="24">
        <f>-'res_raw_11563392'!$D$10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N('res_raw_11563392'!$F$12)+N('res_raw_11563392'!$F$13)</f>
        <v/>
      </c>
      <c r="C14" s="24">
        <f>N('res_raw_11563392'!$E$12)+N('res_raw_11563392'!$E$13)</f>
        <v/>
      </c>
      <c r="D14" s="24">
        <f>N('res_raw_11563392'!$D$12)+N('res_raw_11563392'!$D$13)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-'res_raw_11563392'!$F$14</f>
        <v/>
      </c>
      <c r="C15" s="24">
        <f>-'res_raw_11563392'!$E$14</f>
        <v/>
      </c>
      <c r="D15" s="24">
        <f>-'res_raw_11563392'!$D$14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'balance_raw_11563392'!$F$11</f>
        <v/>
      </c>
      <c r="C19" s="24">
        <f>'balance_raw_11563392'!$E$11</f>
        <v/>
      </c>
      <c r="D19" s="24">
        <f>'balance_raw_11563392'!$D$11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'balance_raw_11563392'!$F$22</f>
        <v/>
      </c>
      <c r="C20" s="24">
        <f>'balance_raw_11563392'!$E$22</f>
        <v/>
      </c>
      <c r="D20" s="24">
        <f>'balance_raw_11563392'!$D$22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'balance_raw_11563392'!$F$30</f>
        <v/>
      </c>
      <c r="C23" s="24">
        <f>'balance_raw_11563392'!$E$30</f>
        <v/>
      </c>
      <c r="D23" s="24">
        <f>'balance_raw_11563392'!$D$30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'balance_raw_11563392'!$F$51-'balance_raw_11563392'!$F$30</f>
        <v/>
      </c>
      <c r="C24" s="24">
        <f>'balance_raw_11563392'!$E$51-'balance_raw_11563392'!$E$30</f>
        <v/>
      </c>
      <c r="D24" s="24">
        <f>'balance_raw_11563392'!$D$51-'balance_raw_11563392'!$D$30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'balance_raw_11563392'!$F$12</f>
        <v/>
      </c>
      <c r="C29" s="24">
        <f>'balance_raw_11563392'!$E$12</f>
        <v/>
      </c>
      <c r="D29" s="24">
        <f>'balance_raw_11563392'!$D$12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'balance_raw_11563392'!$F$49</f>
        <v/>
      </c>
      <c r="C30" s="24">
        <f>'balance_raw_11563392'!$E$49</f>
        <v/>
      </c>
      <c r="D30" s="24">
        <f>'balance_raw_11563392'!$D$49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IF('balance_raw_11563392'!$F$23="","—",IF(ABS(B21-'balance_raw_11563392'!$F$23)&lt;=1,"✓ OK","❌ "&amp;TEXT(B21-'balance_raw_11563392'!$F$23,"+#,##0;-#,##0")&amp;" t.kr."))</f>
        <v/>
      </c>
      <c r="C61" s="29">
        <f>IF('balance_raw_11563392'!$E$23="","—",IF(ABS(C21-'balance_raw_11563392'!$E$23)&lt;=1,"✓ OK","❌ "&amp;TEXT(C21-'balance_raw_11563392'!$E$23,"+#,##0;-#,##0")&amp;" t.kr."))</f>
        <v/>
      </c>
      <c r="D61" s="29">
        <f>IF('balance_raw_11563392'!$D$23="","—",IF(ABS(D21-'balance_raw_11563392'!$D$23)&lt;=1,"✓ OK","❌ "&amp;TEXT(D21-'balance_raw_11563392'!$D$23,"+#,##0;-#,##0")&amp;"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IF('balance_raw_11563392'!$F$51="","—",IF(ABS(B25-'balance_raw_11563392'!$F$51)&lt;=1,"✓ OK","❌ "&amp;TEXT(B25-'balance_raw_11563392'!$F$51,"+#,##0;-#,##0")&amp;" t.kr."))</f>
        <v/>
      </c>
      <c r="C62" s="29">
        <f>IF('balance_raw_11563392'!$E$51="","—",IF(ABS(C25-'balance_raw_11563392'!$E$51)&lt;=1,"✓ OK","❌ "&amp;TEXT(C25-'balance_raw_11563392'!$E$51,"+#,##0;-#,##0")&amp;" t.kr."))</f>
        <v/>
      </c>
      <c r="D62" s="29">
        <f>IF('balance_raw_11563392'!$D$51="","—",IF(ABS(D25-'balance_raw_11563392'!$D$51)&lt;=1,"✓ OK","❌ "&amp;TEXT(D25-'balance_raw_11563392'!$D$51,"+#,##0;-#,##0")&amp;"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IF('res_raw_11563392'!$F$6="","—",IF(ABS(B9-'res_raw_11563392'!$F$6)&lt;=1,"✓ OK","❌ "&amp;TEXT(B9-'res_raw_11563392'!$F$6,"+#,##0;-#,##0")&amp;" t.kr."))</f>
        <v/>
      </c>
      <c r="C64" s="29">
        <f>IF('res_raw_11563392'!$E$6="","—",IF(ABS(C9-'res_raw_11563392'!$E$6)&lt;=1,"✓ OK","❌ "&amp;TEXT(C9-'res_raw_11563392'!$E$6,"+#,##0;-#,##0")&amp;" t.kr."))</f>
        <v/>
      </c>
      <c r="D64" s="29">
        <f>IF('res_raw_11563392'!$D$6="","—",IF(ABS(D9-'res_raw_11563392'!$D$6)&lt;=1,"✓ OK","❌ "&amp;TEXT(D9-'res_raw_11563392'!$D$6,"+#,##0;-#,##0")&amp;"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IF('res_raw_11563392'!$F$11="","—",IF(ABS(B13-'res_raw_11563392'!$F$11)&lt;=1,"✓ OK","❌ "&amp;TEXT(B13-'res_raw_11563392'!$F$11,"+#,##0;-#,##0")&amp;" t.kr."))</f>
        <v/>
      </c>
      <c r="C65" s="29">
        <f>IF('res_raw_11563392'!$E$11="","—",IF(ABS(C13-'res_raw_11563392'!$E$11)&lt;=1,"✓ OK","❌ "&amp;TEXT(C13-'res_raw_11563392'!$E$11,"+#,##0;-#,##0")&amp;" t.kr."))</f>
        <v/>
      </c>
      <c r="D65" s="29">
        <f>IF('res_raw_11563392'!$D$11="","—",IF(ABS(D13-'res_raw_11563392'!$D$11)&lt;=1,"✓ OK","❌ "&amp;TEXT(D13-'res_raw_11563392'!$D$11,"+#,##0;-#,##0")&amp;"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IF('res_raw_11563392'!$F$16="","—",IF(ABS(B16-'res_raw_11563392'!$F$16)&lt;=1,"✓ OK","❌ "&amp;TEXT(B16-'res_raw_11563392'!$F$16,"+#,##0;-#,##0")&amp;" t.kr."))</f>
        <v/>
      </c>
      <c r="C66" s="29">
        <f>IF('res_raw_11563392'!$E$16="","—",IF(ABS(C16-'res_raw_11563392'!$E$16)&lt;=1,"✓ OK","❌ "&amp;TEXT(C16-'res_raw_11563392'!$E$16,"+#,##0;-#,##0")&amp;" t.kr."))</f>
        <v/>
      </c>
      <c r="D66" s="29">
        <f>IF('res_raw_11563392'!$D$16="","—",IF(ABS(D16-'res_raw_11563392'!$D$16)&lt;=1,"✓ OK","❌ "&amp;TEXT(D16-'res_raw_11563392'!$D$16,"+#,##0;-#,##0")&amp;"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2026-09-07T18:21:00Z</dcterms:created>
  <dcterms:modified xmlns:dcterms="http://purl.org/dc/terms/" xmlns:xsi="http://www.w3.org/2001/XMLSchema-instance" xsi:type="dcterms:W3CDTF">2026-09-07T18:21:00Z</dcterms:modified>
</cp:coreProperties>
</file>