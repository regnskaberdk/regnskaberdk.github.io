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8216512" sheetId="1" state="visible" r:id="rId1"/>
    <sheet xmlns:r="http://schemas.openxmlformats.org/officeDocument/2006/relationships" name="res_raw_88216512" sheetId="2" state="visible" r:id="rId2"/>
    <sheet xmlns:r="http://schemas.openxmlformats.org/officeDocument/2006/relationships" name="balance_raw_88216512" sheetId="3" state="visible" r:id="rId3"/>
    <sheet xmlns:r="http://schemas.openxmlformats.org/officeDocument/2006/relationships" name="pengestrom_raw_88216512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BESTSELLER A/S (CVR 88216512) — Regnskabsanalyse – Resultatopgørelse &amp; Balance (t.kr.) · Klasse C-stor · Revision · Regnskabsår 1/8–31/7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'res_raw_88216512'!$B$2</f>
        <v/>
      </c>
      <c r="C4" s="5">
        <f>'res_raw_88216512'!$C$2</f>
        <v/>
      </c>
      <c r="D4" s="5">
        <f>'res_raw_88216512'!$D$2</f>
        <v/>
      </c>
      <c r="E4" s="5">
        <f>'res_raw_88216512'!$E$2</f>
        <v/>
      </c>
      <c r="F4" s="5">
        <f>'res_raw_88216512'!$F$2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'res_raw_88216512'!$B$3</f>
        <v/>
      </c>
      <c r="C5" s="8">
        <f>'res_raw_88216512'!$C$3</f>
        <v/>
      </c>
      <c r="D5" s="8">
        <f>'res_raw_88216512'!$D$3</f>
        <v/>
      </c>
      <c r="E5" s="8">
        <f>'res_raw_88216512'!$E$3</f>
        <v/>
      </c>
      <c r="F5" s="8">
        <f>'res_raw_88216512'!$F$3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'res_raw_88216512'!$B$4</f>
        <v/>
      </c>
      <c r="C6" s="5">
        <f>'res_raw_88216512'!$C$4</f>
        <v/>
      </c>
      <c r="D6" s="5">
        <f>'res_raw_88216512'!$D$4</f>
        <v/>
      </c>
      <c r="E6" s="5">
        <f>'res_raw_88216512'!$E$4</f>
        <v/>
      </c>
      <c r="F6" s="5">
        <f>'res_raw_88216512'!$F$4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'res_raw_88216512'!$B$5</f>
        <v/>
      </c>
      <c r="C7" s="8">
        <f>'res_raw_88216512'!$C$5</f>
        <v/>
      </c>
      <c r="D7" s="8">
        <f>'res_raw_88216512'!$D$5</f>
        <v/>
      </c>
      <c r="E7" s="8">
        <f>'res_raw_88216512'!$E$5</f>
        <v/>
      </c>
      <c r="F7" s="8">
        <f>'res_raw_88216512'!$F$5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'res_raw_88216512'!$B$6</f>
        <v/>
      </c>
      <c r="C8" s="11">
        <f>'res_raw_88216512'!$C$6</f>
        <v/>
      </c>
      <c r="D8" s="11">
        <f>'res_raw_88216512'!$D$6</f>
        <v/>
      </c>
      <c r="E8" s="11">
        <f>'res_raw_88216512'!$E$6</f>
        <v/>
      </c>
      <c r="F8" s="11">
        <f>'res_raw_88216512'!$F$6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'res_raw_88216512'!$B$7</f>
        <v/>
      </c>
      <c r="C9" s="8">
        <f>'res_raw_88216512'!$C$7</f>
        <v/>
      </c>
      <c r="D9" s="8">
        <f>'res_raw_88216512'!$D$7</f>
        <v/>
      </c>
      <c r="E9" s="8">
        <f>'res_raw_88216512'!$E$7</f>
        <v/>
      </c>
      <c r="F9" s="8">
        <f>'res_raw_88216512'!$F$7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'res_raw_88216512'!$B$9</f>
        <v/>
      </c>
      <c r="C11" s="8">
        <f>'res_raw_88216512'!$C$9</f>
        <v/>
      </c>
      <c r="D11" s="8">
        <f>'res_raw_88216512'!$D$9</f>
        <v/>
      </c>
      <c r="E11" s="8">
        <f>'res_raw_88216512'!$E$9</f>
        <v/>
      </c>
      <c r="F11" s="8">
        <f>'res_raw_88216512'!$F$9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'res_raw_88216512'!$B$10</f>
        <v/>
      </c>
      <c r="C12" s="5">
        <f>'res_raw_88216512'!$C$10</f>
        <v/>
      </c>
      <c r="D12" s="5">
        <f>'res_raw_88216512'!$D$10</f>
        <v/>
      </c>
      <c r="E12" s="5">
        <f>'res_raw_88216512'!$E$10</f>
        <v/>
      </c>
      <c r="F12" s="5">
        <f>'res_raw_88216512'!$F$10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'res_raw_88216512'!$B$11</f>
        <v/>
      </c>
      <c r="C13" s="11">
        <f>'res_raw_88216512'!$C$11</f>
        <v/>
      </c>
      <c r="D13" s="11">
        <f>'res_raw_88216512'!$D$11</f>
        <v/>
      </c>
      <c r="E13" s="11">
        <f>'res_raw_88216512'!$E$11</f>
        <v/>
      </c>
      <c r="F13" s="11">
        <f>'res_raw_88216512'!$F$11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'res_raw_88216512'!$B$12</f>
        <v/>
      </c>
      <c r="C14" s="5">
        <f>'res_raw_88216512'!$C$12</f>
        <v/>
      </c>
      <c r="D14" s="5">
        <f>'res_raw_88216512'!$D$12</f>
        <v/>
      </c>
      <c r="E14" s="5">
        <f>'res_raw_88216512'!$E$12</f>
        <v/>
      </c>
      <c r="F14" s="5">
        <f>'res_raw_88216512'!$F$12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'res_raw_88216512'!$B$13</f>
        <v/>
      </c>
      <c r="C15" s="8">
        <f>'res_raw_88216512'!$C$13</f>
        <v/>
      </c>
      <c r="D15" s="8">
        <f>'res_raw_88216512'!$D$13</f>
        <v/>
      </c>
      <c r="E15" s="8">
        <f>'res_raw_88216512'!$E$13</f>
        <v/>
      </c>
      <c r="F15" s="8">
        <f>'res_raw_88216512'!$F$13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'res_raw_88216512'!$B$14</f>
        <v/>
      </c>
      <c r="C16" s="5">
        <f>'res_raw_88216512'!$C$14</f>
        <v/>
      </c>
      <c r="D16" s="5">
        <f>'res_raw_88216512'!$D$14</f>
        <v/>
      </c>
      <c r="E16" s="5">
        <f>'res_raw_88216512'!$E$14</f>
        <v/>
      </c>
      <c r="F16" s="5">
        <f>'res_raw_88216512'!$F$14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'res_raw_88216512'!$B$15</f>
        <v/>
      </c>
      <c r="C17" s="11">
        <f>'res_raw_88216512'!$C$15</f>
        <v/>
      </c>
      <c r="D17" s="11">
        <f>'res_raw_88216512'!$D$15</f>
        <v/>
      </c>
      <c r="E17" s="11">
        <f>'res_raw_88216512'!$E$15</f>
        <v/>
      </c>
      <c r="F17" s="11">
        <f>'res_raw_88216512'!$F$15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'res_raw_88216512'!$B$16</f>
        <v/>
      </c>
      <c r="C18" s="11">
        <f>'res_raw_88216512'!$C$16</f>
        <v/>
      </c>
      <c r="D18" s="11">
        <f>'res_raw_88216512'!$D$16</f>
        <v/>
      </c>
      <c r="E18" s="11">
        <f>'res_raw_88216512'!$E$16</f>
        <v/>
      </c>
      <c r="F18" s="11">
        <f>'res_raw_88216512'!$F$16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'res_raw_88216512'!$B$17</f>
        <v/>
      </c>
      <c r="C19" s="8">
        <f>'res_raw_88216512'!$C$17</f>
        <v/>
      </c>
      <c r="D19" s="8">
        <f>'res_raw_88216512'!$D$17</f>
        <v/>
      </c>
      <c r="E19" s="8">
        <f>'res_raw_88216512'!$E$17</f>
        <v/>
      </c>
      <c r="F19" s="8">
        <f>'res_raw_88216512'!$F$17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'res_raw_88216512'!$B$18</f>
        <v/>
      </c>
      <c r="C20" s="11">
        <f>'res_raw_88216512'!$C$18</f>
        <v/>
      </c>
      <c r="D20" s="11">
        <f>'res_raw_88216512'!$D$18</f>
        <v/>
      </c>
      <c r="E20" s="11">
        <f>'res_raw_88216512'!$E$18</f>
        <v/>
      </c>
      <c r="F20" s="11">
        <f>'res_raw_88216512'!$F$18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'balance_raw_88216512'!$B$2</f>
        <v/>
      </c>
      <c r="C23" s="8">
        <f>'balance_raw_88216512'!$C$2</f>
        <v/>
      </c>
      <c r="D23" s="8">
        <f>'balance_raw_88216512'!$D$2</f>
        <v/>
      </c>
      <c r="E23" s="8">
        <f>'balance_raw_88216512'!$E$2</f>
        <v/>
      </c>
      <c r="F23" s="8">
        <f>'balance_raw_88216512'!$F$2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'balance_raw_88216512'!$B$3</f>
        <v/>
      </c>
      <c r="C24" s="5">
        <f>'balance_raw_88216512'!$C$3</f>
        <v/>
      </c>
      <c r="D24" s="5">
        <f>'balance_raw_88216512'!$D$3</f>
        <v/>
      </c>
      <c r="E24" s="5">
        <f>'balance_raw_88216512'!$E$3</f>
        <v/>
      </c>
      <c r="F24" s="5">
        <f>'balance_raw_88216512'!$F$3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'balance_raw_88216512'!$B$4</f>
        <v/>
      </c>
      <c r="C25" s="8">
        <f>'balance_raw_88216512'!$C$4</f>
        <v/>
      </c>
      <c r="D25" s="8">
        <f>'balance_raw_88216512'!$D$4</f>
        <v/>
      </c>
      <c r="E25" s="8">
        <f>'balance_raw_88216512'!$E$4</f>
        <v/>
      </c>
      <c r="F25" s="8">
        <f>'balance_raw_88216512'!$F$4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'balance_raw_88216512'!$B$5</f>
        <v/>
      </c>
      <c r="C26" s="11">
        <f>'balance_raw_88216512'!$C$5</f>
        <v/>
      </c>
      <c r="D26" s="11">
        <f>'balance_raw_88216512'!$D$5</f>
        <v/>
      </c>
      <c r="E26" s="11">
        <f>'balance_raw_88216512'!$E$5</f>
        <v/>
      </c>
      <c r="F26" s="11">
        <f>'balance_raw_88216512'!$F$5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'balance_raw_88216512'!$B$6</f>
        <v/>
      </c>
      <c r="C27" s="8">
        <f>'balance_raw_88216512'!$C$6</f>
        <v/>
      </c>
      <c r="D27" s="8">
        <f>'balance_raw_88216512'!$D$6</f>
        <v/>
      </c>
      <c r="E27" s="8">
        <f>'balance_raw_88216512'!$E$6</f>
        <v/>
      </c>
      <c r="F27" s="8">
        <f>'balance_raw_88216512'!$F$6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'balance_raw_88216512'!$B$7</f>
        <v/>
      </c>
      <c r="C28" s="5">
        <f>'balance_raw_88216512'!$C$7</f>
        <v/>
      </c>
      <c r="D28" s="5">
        <f>'balance_raw_88216512'!$D$7</f>
        <v/>
      </c>
      <c r="E28" s="5">
        <f>'balance_raw_88216512'!$E$7</f>
        <v/>
      </c>
      <c r="F28" s="5">
        <f>'balance_raw_88216512'!$F$7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'balance_raw_88216512'!$B$8</f>
        <v/>
      </c>
      <c r="C29" s="8">
        <f>'balance_raw_88216512'!$C$8</f>
        <v/>
      </c>
      <c r="D29" s="8">
        <f>'balance_raw_88216512'!$D$8</f>
        <v/>
      </c>
      <c r="E29" s="8">
        <f>'balance_raw_88216512'!$E$8</f>
        <v/>
      </c>
      <c r="F29" s="8">
        <f>'balance_raw_88216512'!$F$8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'balance_raw_88216512'!$B$9</f>
        <v/>
      </c>
      <c r="C30" s="5">
        <f>'balance_raw_88216512'!$C$9</f>
        <v/>
      </c>
      <c r="D30" s="5">
        <f>'balance_raw_88216512'!$D$9</f>
        <v/>
      </c>
      <c r="E30" s="5">
        <f>'balance_raw_88216512'!$E$9</f>
        <v/>
      </c>
      <c r="F30" s="5">
        <f>'balance_raw_88216512'!$F$9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'balance_raw_88216512'!$B$10</f>
        <v/>
      </c>
      <c r="C31" s="8">
        <f>'balance_raw_88216512'!$C$10</f>
        <v/>
      </c>
      <c r="D31" s="8">
        <f>'balance_raw_88216512'!$D$10</f>
        <v/>
      </c>
      <c r="E31" s="8">
        <f>'balance_raw_88216512'!$E$10</f>
        <v/>
      </c>
      <c r="F31" s="8">
        <f>'balance_raw_88216512'!$F$10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'balance_raw_88216512'!$B$11</f>
        <v/>
      </c>
      <c r="C32" s="11">
        <f>'balance_raw_88216512'!$C$11</f>
        <v/>
      </c>
      <c r="D32" s="11">
        <f>'balance_raw_88216512'!$D$11</f>
        <v/>
      </c>
      <c r="E32" s="11">
        <f>'balance_raw_88216512'!$E$11</f>
        <v/>
      </c>
      <c r="F32" s="11">
        <f>'balance_raw_88216512'!$F$11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'balance_raw_88216512'!$B$12</f>
        <v/>
      </c>
      <c r="C33" s="8">
        <f>'balance_raw_88216512'!$C$12</f>
        <v/>
      </c>
      <c r="D33" s="8">
        <f>'balance_raw_88216512'!$D$12</f>
        <v/>
      </c>
      <c r="E33" s="8">
        <f>'balance_raw_88216512'!$E$12</f>
        <v/>
      </c>
      <c r="F33" s="8">
        <f>'balance_raw_88216512'!$F$12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'balance_raw_88216512'!$B$13</f>
        <v/>
      </c>
      <c r="C34" s="5">
        <f>'balance_raw_88216512'!$C$13</f>
        <v/>
      </c>
      <c r="D34" s="5">
        <f>'balance_raw_88216512'!$D$13</f>
        <v/>
      </c>
      <c r="E34" s="5">
        <f>'balance_raw_88216512'!$E$13</f>
        <v/>
      </c>
      <c r="F34" s="5">
        <f>'balance_raw_88216512'!$F$13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'balance_raw_88216512'!$B$14</f>
        <v/>
      </c>
      <c r="C35" s="11">
        <f>'balance_raw_88216512'!$C$14</f>
        <v/>
      </c>
      <c r="D35" s="11">
        <f>'balance_raw_88216512'!$D$14</f>
        <v/>
      </c>
      <c r="E35" s="11">
        <f>'balance_raw_88216512'!$E$14</f>
        <v/>
      </c>
      <c r="F35" s="11">
        <f>'balance_raw_88216512'!$F$14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'balance_raw_88216512'!$B$15</f>
        <v/>
      </c>
      <c r="C36" s="11">
        <f>'balance_raw_88216512'!$C$15</f>
        <v/>
      </c>
      <c r="D36" s="11">
        <f>'balance_raw_88216512'!$D$15</f>
        <v/>
      </c>
      <c r="E36" s="11">
        <f>'balance_raw_88216512'!$E$15</f>
        <v/>
      </c>
      <c r="F36" s="11">
        <f>'balance_raw_88216512'!$F$15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'balance_raw_88216512'!$B$16</f>
        <v/>
      </c>
      <c r="C37" s="8">
        <f>'balance_raw_88216512'!$C$16</f>
        <v/>
      </c>
      <c r="D37" s="8">
        <f>'balance_raw_88216512'!$D$16</f>
        <v/>
      </c>
      <c r="E37" s="8">
        <f>'balance_raw_88216512'!$E$16</f>
        <v/>
      </c>
      <c r="F37" s="8">
        <f>'balance_raw_88216512'!$F$16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'balance_raw_88216512'!$B$17</f>
        <v/>
      </c>
      <c r="C38" s="5">
        <f>'balance_raw_88216512'!$C$17</f>
        <v/>
      </c>
      <c r="D38" s="5">
        <f>'balance_raw_88216512'!$D$17</f>
        <v/>
      </c>
      <c r="E38" s="5">
        <f>'balance_raw_88216512'!$E$17</f>
        <v/>
      </c>
      <c r="F38" s="5">
        <f>'balance_raw_88216512'!$F$17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'balance_raw_88216512'!$B$18</f>
        <v/>
      </c>
      <c r="C39" s="8">
        <f>'balance_raw_88216512'!$C$18</f>
        <v/>
      </c>
      <c r="D39" s="8">
        <f>'balance_raw_88216512'!$D$18</f>
        <v/>
      </c>
      <c r="E39" s="8">
        <f>'balance_raw_88216512'!$E$18</f>
        <v/>
      </c>
      <c r="F39" s="8">
        <f>'balance_raw_88216512'!$F$18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'balance_raw_88216512'!$B$19</f>
        <v/>
      </c>
      <c r="C40" s="11">
        <f>'balance_raw_88216512'!$C$19</f>
        <v/>
      </c>
      <c r="D40" s="11">
        <f>'balance_raw_88216512'!$D$19</f>
        <v/>
      </c>
      <c r="E40" s="11">
        <f>'balance_raw_88216512'!$E$19</f>
        <v/>
      </c>
      <c r="F40" s="11">
        <f>'balance_raw_88216512'!$F$19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'balance_raw_88216512'!$B$20</f>
        <v/>
      </c>
      <c r="C41" s="8">
        <f>'balance_raw_88216512'!$C$20</f>
        <v/>
      </c>
      <c r="D41" s="8">
        <f>'balance_raw_88216512'!$D$20</f>
        <v/>
      </c>
      <c r="E41" s="8">
        <f>'balance_raw_88216512'!$E$20</f>
        <v/>
      </c>
      <c r="F41" s="8">
        <f>'balance_raw_88216512'!$F$20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'balance_raw_88216512'!$B$21</f>
        <v/>
      </c>
      <c r="C42" s="5">
        <f>'balance_raw_88216512'!$C$21</f>
        <v/>
      </c>
      <c r="D42" s="5">
        <f>'balance_raw_88216512'!$D$21</f>
        <v/>
      </c>
      <c r="E42" s="5">
        <f>'balance_raw_88216512'!$E$21</f>
        <v/>
      </c>
      <c r="F42" s="5">
        <f>'balance_raw_88216512'!$F$21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'balance_raw_88216512'!$B$22</f>
        <v/>
      </c>
      <c r="C43" s="8">
        <f>'balance_raw_88216512'!$C$22</f>
        <v/>
      </c>
      <c r="D43" s="8">
        <f>'balance_raw_88216512'!$D$22</f>
        <v/>
      </c>
      <c r="E43" s="8">
        <f>'balance_raw_88216512'!$E$22</f>
        <v/>
      </c>
      <c r="F43" s="8">
        <f>'balance_raw_88216512'!$F$22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'balance_raw_88216512'!$B$23</f>
        <v/>
      </c>
      <c r="C44" s="5">
        <f>'balance_raw_88216512'!$C$23</f>
        <v/>
      </c>
      <c r="D44" s="5">
        <f>'balance_raw_88216512'!$D$23</f>
        <v/>
      </c>
      <c r="E44" s="5">
        <f>'balance_raw_88216512'!$E$23</f>
        <v/>
      </c>
      <c r="F44" s="5">
        <f>'balance_raw_88216512'!$F$23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'balance_raw_88216512'!$B$24</f>
        <v/>
      </c>
      <c r="C45" s="8">
        <f>'balance_raw_88216512'!$C$24</f>
        <v/>
      </c>
      <c r="D45" s="8">
        <f>'balance_raw_88216512'!$D$24</f>
        <v/>
      </c>
      <c r="E45" s="8">
        <f>'balance_raw_88216512'!$E$24</f>
        <v/>
      </c>
      <c r="F45" s="8">
        <f>'balance_raw_88216512'!$F$24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'balance_raw_88216512'!$B$25</f>
        <v/>
      </c>
      <c r="C46" s="5">
        <f>'balance_raw_88216512'!$C$25</f>
        <v/>
      </c>
      <c r="D46" s="5">
        <f>'balance_raw_88216512'!$D$25</f>
        <v/>
      </c>
      <c r="E46" s="5">
        <f>'balance_raw_88216512'!$E$25</f>
        <v/>
      </c>
      <c r="F46" s="5">
        <f>'balance_raw_88216512'!$F$25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'balance_raw_88216512'!$B$26</f>
        <v/>
      </c>
      <c r="C47" s="8">
        <f>'balance_raw_88216512'!$C$26</f>
        <v/>
      </c>
      <c r="D47" s="8">
        <f>'balance_raw_88216512'!$D$26</f>
        <v/>
      </c>
      <c r="E47" s="8">
        <f>'balance_raw_88216512'!$E$26</f>
        <v/>
      </c>
      <c r="F47" s="8">
        <f>'balance_raw_88216512'!$F$26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'balance_raw_88216512'!$B$27</f>
        <v/>
      </c>
      <c r="C48" s="11">
        <f>'balance_raw_88216512'!$C$27</f>
        <v/>
      </c>
      <c r="D48" s="11">
        <f>'balance_raw_88216512'!$D$27</f>
        <v/>
      </c>
      <c r="E48" s="11">
        <f>'balance_raw_88216512'!$E$27</f>
        <v/>
      </c>
      <c r="F48" s="11">
        <f>'balance_raw_88216512'!$F$27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'balance_raw_88216512'!$B$28</f>
        <v/>
      </c>
      <c r="C49" s="8">
        <f>'balance_raw_88216512'!$C$28</f>
        <v/>
      </c>
      <c r="D49" s="8">
        <f>'balance_raw_88216512'!$D$28</f>
        <v/>
      </c>
      <c r="E49" s="8">
        <f>'balance_raw_88216512'!$E$28</f>
        <v/>
      </c>
      <c r="F49" s="8">
        <f>'balance_raw_88216512'!$F$28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'balance_raw_88216512'!$B$29</f>
        <v/>
      </c>
      <c r="C50" s="5">
        <f>'balance_raw_88216512'!$C$29</f>
        <v/>
      </c>
      <c r="D50" s="5">
        <f>'balance_raw_88216512'!$D$29</f>
        <v/>
      </c>
      <c r="E50" s="5">
        <f>'balance_raw_88216512'!$E$29</f>
        <v/>
      </c>
      <c r="F50" s="5">
        <f>'balance_raw_88216512'!$F$29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'balance_raw_88216512'!$B$30</f>
        <v/>
      </c>
      <c r="C51" s="11">
        <f>'balance_raw_88216512'!$C$30</f>
        <v/>
      </c>
      <c r="D51" s="11">
        <f>'balance_raw_88216512'!$D$30</f>
        <v/>
      </c>
      <c r="E51" s="11">
        <f>'balance_raw_88216512'!$E$30</f>
        <v/>
      </c>
      <c r="F51" s="11">
        <f>'balance_raw_88216512'!$F$30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'balance_raw_88216512'!$B$31</f>
        <v/>
      </c>
      <c r="C52" s="11">
        <f>'balance_raw_88216512'!$C$31</f>
        <v/>
      </c>
      <c r="D52" s="11">
        <f>'balance_raw_88216512'!$D$31</f>
        <v/>
      </c>
      <c r="E52" s="11">
        <f>'balance_raw_88216512'!$E$31</f>
        <v/>
      </c>
      <c r="F52" s="11">
        <f>'balance_raw_88216512'!$F$31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'balance_raw_88216512'!$B$32</f>
        <v/>
      </c>
      <c r="C55" s="8">
        <f>'balance_raw_88216512'!$C$32</f>
        <v/>
      </c>
      <c r="D55" s="8">
        <f>'balance_raw_88216512'!$D$32</f>
        <v/>
      </c>
      <c r="E55" s="8">
        <f>'balance_raw_88216512'!$E$32</f>
        <v/>
      </c>
      <c r="F55" s="8">
        <f>'balance_raw_88216512'!$F$32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'balance_raw_88216512'!$B$33</f>
        <v/>
      </c>
      <c r="C56" s="5">
        <f>'balance_raw_88216512'!$C$33</f>
        <v/>
      </c>
      <c r="D56" s="5">
        <f>'balance_raw_88216512'!$D$33</f>
        <v/>
      </c>
      <c r="E56" s="5">
        <f>'balance_raw_88216512'!$E$33</f>
        <v/>
      </c>
      <c r="F56" s="5">
        <f>'balance_raw_88216512'!$F$33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'balance_raw_88216512'!$B$34</f>
        <v/>
      </c>
      <c r="C57" s="8">
        <f>'balance_raw_88216512'!$C$34</f>
        <v/>
      </c>
      <c r="D57" s="8">
        <f>'balance_raw_88216512'!$D$34</f>
        <v/>
      </c>
      <c r="E57" s="8">
        <f>'balance_raw_88216512'!$E$34</f>
        <v/>
      </c>
      <c r="F57" s="8">
        <f>'balance_raw_88216512'!$F$34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'balance_raw_88216512'!$B$35</f>
        <v/>
      </c>
      <c r="C58" s="5">
        <f>'balance_raw_88216512'!$C$35</f>
        <v/>
      </c>
      <c r="D58" s="5">
        <f>'balance_raw_88216512'!$D$35</f>
        <v/>
      </c>
      <c r="E58" s="5">
        <f>'balance_raw_88216512'!$E$35</f>
        <v/>
      </c>
      <c r="F58" s="5">
        <f>'balance_raw_88216512'!$F$35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'balance_raw_88216512'!$B$36</f>
        <v/>
      </c>
      <c r="C59" s="8">
        <f>'balance_raw_88216512'!$C$36</f>
        <v/>
      </c>
      <c r="D59" s="8">
        <f>'balance_raw_88216512'!$D$36</f>
        <v/>
      </c>
      <c r="E59" s="8">
        <f>'balance_raw_88216512'!$E$36</f>
        <v/>
      </c>
      <c r="F59" s="8">
        <f>'balance_raw_88216512'!$F$36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'balance_raw_88216512'!$B$37</f>
        <v/>
      </c>
      <c r="C60" s="5">
        <f>'balance_raw_88216512'!$C$37</f>
        <v/>
      </c>
      <c r="D60" s="5">
        <f>'balance_raw_88216512'!$D$37</f>
        <v/>
      </c>
      <c r="E60" s="5">
        <f>'balance_raw_88216512'!$E$37</f>
        <v/>
      </c>
      <c r="F60" s="5">
        <f>'balance_raw_88216512'!$F$37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'balance_raw_88216512'!$B$38</f>
        <v/>
      </c>
      <c r="C61" s="11">
        <f>'balance_raw_88216512'!$C$38</f>
        <v/>
      </c>
      <c r="D61" s="11">
        <f>'balance_raw_88216512'!$D$38</f>
        <v/>
      </c>
      <c r="E61" s="11">
        <f>'balance_raw_88216512'!$E$38</f>
        <v/>
      </c>
      <c r="F61" s="11">
        <f>'balance_raw_88216512'!$F$38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'balance_raw_88216512'!$B$39</f>
        <v/>
      </c>
      <c r="C62" s="5">
        <f>'balance_raw_88216512'!$C$39</f>
        <v/>
      </c>
      <c r="D62" s="5">
        <f>'balance_raw_88216512'!$D$39</f>
        <v/>
      </c>
      <c r="E62" s="5">
        <f>'balance_raw_88216512'!$E$39</f>
        <v/>
      </c>
      <c r="F62" s="5">
        <f>'balance_raw_88216512'!$F$39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'balance_raw_88216512'!$B$40</f>
        <v/>
      </c>
      <c r="C63" s="11">
        <f>'balance_raw_88216512'!$C$40</f>
        <v/>
      </c>
      <c r="D63" s="11">
        <f>'balance_raw_88216512'!$D$40</f>
        <v/>
      </c>
      <c r="E63" s="11">
        <f>'balance_raw_88216512'!$E$40</f>
        <v/>
      </c>
      <c r="F63" s="11">
        <f>'balance_raw_88216512'!$F$40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'balance_raw_88216512'!$B$41</f>
        <v/>
      </c>
      <c r="C64" s="5">
        <f>'balance_raw_88216512'!$C$41</f>
        <v/>
      </c>
      <c r="D64" s="5">
        <f>'balance_raw_88216512'!$D$41</f>
        <v/>
      </c>
      <c r="E64" s="5">
        <f>'balance_raw_88216512'!$E$41</f>
        <v/>
      </c>
      <c r="F64" s="5">
        <f>'balance_raw_88216512'!$F$41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'balance_raw_88216512'!$B$42</f>
        <v/>
      </c>
      <c r="C65" s="8">
        <f>'balance_raw_88216512'!$C$42</f>
        <v/>
      </c>
      <c r="D65" s="8">
        <f>'balance_raw_88216512'!$D$42</f>
        <v/>
      </c>
      <c r="E65" s="8">
        <f>'balance_raw_88216512'!$E$42</f>
        <v/>
      </c>
      <c r="F65" s="8">
        <f>'balance_raw_88216512'!$F$42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'balance_raw_88216512'!$B$43</f>
        <v/>
      </c>
      <c r="C66" s="5">
        <f>'balance_raw_88216512'!$C$43</f>
        <v/>
      </c>
      <c r="D66" s="5">
        <f>'balance_raw_88216512'!$D$43</f>
        <v/>
      </c>
      <c r="E66" s="5">
        <f>'balance_raw_88216512'!$E$43</f>
        <v/>
      </c>
      <c r="F66" s="5">
        <f>'balance_raw_88216512'!$F$43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'balance_raw_88216512'!$B$44</f>
        <v/>
      </c>
      <c r="C67" s="8">
        <f>'balance_raw_88216512'!$C$44</f>
        <v/>
      </c>
      <c r="D67" s="8">
        <f>'balance_raw_88216512'!$D$44</f>
        <v/>
      </c>
      <c r="E67" s="8">
        <f>'balance_raw_88216512'!$E$44</f>
        <v/>
      </c>
      <c r="F67" s="8">
        <f>'balance_raw_88216512'!$F$44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'balance_raw_88216512'!$B$45</f>
        <v/>
      </c>
      <c r="C68" s="11">
        <f>'balance_raw_88216512'!$C$45</f>
        <v/>
      </c>
      <c r="D68" s="11">
        <f>'balance_raw_88216512'!$D$45</f>
        <v/>
      </c>
      <c r="E68" s="11">
        <f>'balance_raw_88216512'!$E$45</f>
        <v/>
      </c>
      <c r="F68" s="11">
        <f>'balance_raw_88216512'!$F$45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'balance_raw_88216512'!$B$46</f>
        <v/>
      </c>
      <c r="C69" s="8">
        <f>'balance_raw_88216512'!$C$46</f>
        <v/>
      </c>
      <c r="D69" s="8">
        <f>'balance_raw_88216512'!$D$46</f>
        <v/>
      </c>
      <c r="E69" s="8">
        <f>'balance_raw_88216512'!$E$46</f>
        <v/>
      </c>
      <c r="F69" s="8">
        <f>'balance_raw_88216512'!$F$46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'balance_raw_88216512'!$B$47</f>
        <v/>
      </c>
      <c r="C70" s="5">
        <f>'balance_raw_88216512'!$C$47</f>
        <v/>
      </c>
      <c r="D70" s="5">
        <f>'balance_raw_88216512'!$D$47</f>
        <v/>
      </c>
      <c r="E70" s="5">
        <f>'balance_raw_88216512'!$E$47</f>
        <v/>
      </c>
      <c r="F70" s="5">
        <f>'balance_raw_88216512'!$F$47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'balance_raw_88216512'!$B$48</f>
        <v/>
      </c>
      <c r="C71" s="8">
        <f>'balance_raw_88216512'!$C$48</f>
        <v/>
      </c>
      <c r="D71" s="8">
        <f>'balance_raw_88216512'!$D$48</f>
        <v/>
      </c>
      <c r="E71" s="8">
        <f>'balance_raw_88216512'!$E$48</f>
        <v/>
      </c>
      <c r="F71" s="8">
        <f>'balance_raw_88216512'!$F$48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'balance_raw_88216512'!$B$49</f>
        <v/>
      </c>
      <c r="C72" s="5">
        <f>'balance_raw_88216512'!$C$49</f>
        <v/>
      </c>
      <c r="D72" s="5">
        <f>'balance_raw_88216512'!$D$49</f>
        <v/>
      </c>
      <c r="E72" s="5">
        <f>'balance_raw_88216512'!$E$49</f>
        <v/>
      </c>
      <c r="F72" s="5">
        <f>'balance_raw_88216512'!$F$49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'balance_raw_88216512'!$B$50</f>
        <v/>
      </c>
      <c r="C73" s="8">
        <f>'balance_raw_88216512'!$C$50</f>
        <v/>
      </c>
      <c r="D73" s="8">
        <f>'balance_raw_88216512'!$D$50</f>
        <v/>
      </c>
      <c r="E73" s="8">
        <f>'balance_raw_88216512'!$E$50</f>
        <v/>
      </c>
      <c r="F73" s="8">
        <f>'balance_raw_88216512'!$F$50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'balance_raw_88216512'!$B$51</f>
        <v/>
      </c>
      <c r="C74" s="5">
        <f>'balance_raw_88216512'!$C$51</f>
        <v/>
      </c>
      <c r="D74" s="5">
        <f>'balance_raw_88216512'!$D$51</f>
        <v/>
      </c>
      <c r="E74" s="5">
        <f>'balance_raw_88216512'!$E$51</f>
        <v/>
      </c>
      <c r="F74" s="5">
        <f>'balance_raw_88216512'!$F$51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'balance_raw_88216512'!$B$52</f>
        <v/>
      </c>
      <c r="C75" s="8">
        <f>'balance_raw_88216512'!$C$52</f>
        <v/>
      </c>
      <c r="D75" s="8">
        <f>'balance_raw_88216512'!$D$52</f>
        <v/>
      </c>
      <c r="E75" s="8">
        <f>'balance_raw_88216512'!$E$52</f>
        <v/>
      </c>
      <c r="F75" s="8">
        <f>'balance_raw_88216512'!$F$52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'balance_raw_88216512'!$B$53</f>
        <v/>
      </c>
      <c r="C76" s="5">
        <f>'balance_raw_88216512'!$C$53</f>
        <v/>
      </c>
      <c r="D76" s="5">
        <f>'balance_raw_88216512'!$D$53</f>
        <v/>
      </c>
      <c r="E76" s="5">
        <f>'balance_raw_88216512'!$E$53</f>
        <v/>
      </c>
      <c r="F76" s="5">
        <f>'balance_raw_88216512'!$F$53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'balance_raw_88216512'!$B$54</f>
        <v/>
      </c>
      <c r="C77" s="8">
        <f>'balance_raw_88216512'!$C$54</f>
        <v/>
      </c>
      <c r="D77" s="8">
        <f>'balance_raw_88216512'!$D$54</f>
        <v/>
      </c>
      <c r="E77" s="8">
        <f>'balance_raw_88216512'!$E$54</f>
        <v/>
      </c>
      <c r="F77" s="8">
        <f>'balance_raw_88216512'!$F$54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'balance_raw_88216512'!$B$55</f>
        <v/>
      </c>
      <c r="C78" s="5">
        <f>'balance_raw_88216512'!$C$55</f>
        <v/>
      </c>
      <c r="D78" s="5">
        <f>'balance_raw_88216512'!$D$55</f>
        <v/>
      </c>
      <c r="E78" s="5">
        <f>'balance_raw_88216512'!$E$55</f>
        <v/>
      </c>
      <c r="F78" s="5">
        <f>'balance_raw_88216512'!$F$55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'balance_raw_88216512'!$B$56</f>
        <v/>
      </c>
      <c r="C79" s="8">
        <f>'balance_raw_88216512'!$C$56</f>
        <v/>
      </c>
      <c r="D79" s="8">
        <f>'balance_raw_88216512'!$D$56</f>
        <v/>
      </c>
      <c r="E79" s="8">
        <f>'balance_raw_88216512'!$E$56</f>
        <v/>
      </c>
      <c r="F79" s="8">
        <f>'balance_raw_88216512'!$F$56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'balance_raw_88216512'!$B$57</f>
        <v/>
      </c>
      <c r="C80" s="11">
        <f>'balance_raw_88216512'!$C$57</f>
        <v/>
      </c>
      <c r="D80" s="11">
        <f>'balance_raw_88216512'!$D$57</f>
        <v/>
      </c>
      <c r="E80" s="11">
        <f>'balance_raw_88216512'!$E$57</f>
        <v/>
      </c>
      <c r="F80" s="11">
        <f>'balance_raw_88216512'!$F$57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'balance_raw_88216512'!$B$58</f>
        <v/>
      </c>
      <c r="C81" s="11">
        <f>'balance_raw_88216512'!$C$58</f>
        <v/>
      </c>
      <c r="D81" s="11">
        <f>'balance_raw_88216512'!$D$58</f>
        <v/>
      </c>
      <c r="E81" s="11">
        <f>'balance_raw_88216512'!$E$58</f>
        <v/>
      </c>
      <c r="F81" s="11">
        <f>'balance_raw_88216512'!$F$58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'balance_raw_88216512'!$B$59</f>
        <v/>
      </c>
      <c r="C82" s="11">
        <f>'balance_raw_88216512'!$C$59</f>
        <v/>
      </c>
      <c r="D82" s="11">
        <f>'balance_raw_88216512'!$D$59</f>
        <v/>
      </c>
      <c r="E82" s="11">
        <f>'balance_raw_88216512'!$E$59</f>
        <v/>
      </c>
      <c r="F82" s="11">
        <f>'balance_raw_88216512'!$F$59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'res_raw_88216512'!$B$19</f>
        <v/>
      </c>
      <c r="C85" s="8">
        <f>'res_raw_88216512'!$C$19</f>
        <v/>
      </c>
      <c r="D85" s="8">
        <f>'res_raw_88216512'!$D$19</f>
        <v/>
      </c>
      <c r="E85" s="8">
        <f>'res_raw_88216512'!$E$19</f>
        <v/>
      </c>
      <c r="F85" s="8">
        <f>'res_raw_88216512'!$F$19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'res_raw_88216512'!$B$20</f>
        <v/>
      </c>
      <c r="C86" s="5">
        <f>'res_raw_88216512'!$C$20</f>
        <v/>
      </c>
      <c r="D86" s="5">
        <f>'res_raw_88216512'!$D$20</f>
        <v/>
      </c>
      <c r="E86" s="5">
        <f>'res_raw_88216512'!$E$20</f>
        <v/>
      </c>
      <c r="F86" s="5">
        <f>'res_raw_88216512'!$F$20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'pengestrom_raw_88216512'!$B$2</f>
        <v/>
      </c>
      <c r="C102" s="17">
        <f>'pengestrom_raw_88216512'!$C$2</f>
        <v/>
      </c>
      <c r="D102" s="17">
        <f>'pengestrom_raw_88216512'!$D$2</f>
        <v/>
      </c>
      <c r="E102" s="17">
        <f>'pengestrom_raw_88216512'!$E$2</f>
        <v/>
      </c>
      <c r="F102" s="17">
        <f>'pengestrom_raw_88216512'!$F$2</f>
        <v/>
      </c>
    </row>
    <row r="103">
      <c r="A103" s="16" t="inlineStr">
        <is>
          <t>Pengestrømme fra investeringsaktivitet</t>
        </is>
      </c>
      <c r="B103" s="17">
        <f>'pengestrom_raw_88216512'!$B$3</f>
        <v/>
      </c>
      <c r="C103" s="17">
        <f>'pengestrom_raw_88216512'!$C$3</f>
        <v/>
      </c>
      <c r="D103" s="17">
        <f>'pengestrom_raw_88216512'!$D$3</f>
        <v/>
      </c>
      <c r="E103" s="17">
        <f>'pengestrom_raw_88216512'!$E$3</f>
        <v/>
      </c>
      <c r="F103" s="17">
        <f>'pengestrom_raw_88216512'!$F$3</f>
        <v/>
      </c>
    </row>
    <row r="104">
      <c r="A104" s="16" t="inlineStr">
        <is>
          <t>Pengestrømme fra finansieringsaktivitet</t>
        </is>
      </c>
      <c r="B104" s="17">
        <f>'pengestrom_raw_88216512'!$B$4</f>
        <v/>
      </c>
      <c r="C104" s="17">
        <f>'pengestrom_raw_88216512'!$C$4</f>
        <v/>
      </c>
      <c r="D104" s="17">
        <f>'pengestrom_raw_88216512'!$D$4</f>
        <v/>
      </c>
      <c r="E104" s="17">
        <f>'pengestrom_raw_88216512'!$E$4</f>
        <v/>
      </c>
      <c r="F104" s="17">
        <f>'pengestrom_raw_88216512'!$F$4</f>
        <v/>
      </c>
    </row>
    <row r="105">
      <c r="A105" s="16" t="inlineStr">
        <is>
          <t>Årets pengestrøm (rapporteret)</t>
        </is>
      </c>
      <c r="B105" s="17">
        <f>'pengestrom_raw_88216512'!$B$5</f>
        <v/>
      </c>
      <c r="C105" s="17">
        <f>'pengestrom_raw_88216512'!$C$5</f>
        <v/>
      </c>
      <c r="D105" s="17">
        <f>'pengestrom_raw_88216512'!$D$5</f>
        <v/>
      </c>
      <c r="E105" s="17">
        <f>'pengestrom_raw_88216512'!$E$5</f>
        <v/>
      </c>
      <c r="F105" s="17">
        <f>'pengestrom_raw_88216512'!$F$5</f>
        <v/>
      </c>
    </row>
    <row r="106">
      <c r="A106" s="16" t="inlineStr">
        <is>
          <t>Krydstjek: drift + inv. + fin. = årets pengestrøm</t>
        </is>
      </c>
      <c r="B106">
        <f>IF(ABS(('pengestrom_raw_88216512'!$B$2+'pengestrom_raw_88216512'!$B$3+'pengestrom_raw_88216512'!$B$4)-'pengestrom_raw_88216512'!$B$5)&lt;=2,"✓","⚠ "&amp;TEXT(('pengestrom_raw_88216512'!$B$2+'pengestrom_raw_88216512'!$B$3+'pengestrom_raw_88216512'!$B$4)-'pengestrom_raw_88216512'!$B$5,"+#,##0;-#,##0"))</f>
        <v/>
      </c>
      <c r="C106">
        <f>IF(ABS(('pengestrom_raw_88216512'!$C$2+'pengestrom_raw_88216512'!$C$3+'pengestrom_raw_88216512'!$C$4)-'pengestrom_raw_88216512'!$C$5)&lt;=2,"✓","⚠ "&amp;TEXT(('pengestrom_raw_88216512'!$C$2+'pengestrom_raw_88216512'!$C$3+'pengestrom_raw_88216512'!$C$4)-'pengestrom_raw_88216512'!$C$5,"+#,##0;-#,##0"))</f>
        <v/>
      </c>
      <c r="D106">
        <f>IF(ABS(('pengestrom_raw_88216512'!$D$2+'pengestrom_raw_88216512'!$D$3+'pengestrom_raw_88216512'!$D$4)-'pengestrom_raw_88216512'!$D$5)&lt;=2,"✓","⚠ "&amp;TEXT(('pengestrom_raw_88216512'!$D$2+'pengestrom_raw_88216512'!$D$3+'pengestrom_raw_88216512'!$D$4)-'pengestrom_raw_88216512'!$D$5,"+#,##0;-#,##0"))</f>
        <v/>
      </c>
      <c r="E106">
        <f>IF(ABS(('pengestrom_raw_88216512'!$E$2+'pengestrom_raw_88216512'!$E$3+'pengestrom_raw_88216512'!$E$4)-'pengestrom_raw_88216512'!$E$5)&lt;=2,"✓","⚠ "&amp;TEXT(('pengestrom_raw_88216512'!$E$2+'pengestrom_raw_88216512'!$E$3+'pengestrom_raw_88216512'!$E$4)-'pengestrom_raw_88216512'!$E$5,"+#,##0;-#,##0"))</f>
        <v/>
      </c>
      <c r="F106">
        <f>IF(ABS(('pengestrom_raw_88216512'!$F$2+'pengestrom_raw_88216512'!$F$3+'pengestrom_raw_88216512'!$F$4)-'pengestrom_raw_88216512'!$F$5)&lt;=2,"✓","⚠ "&amp;TEXT(('pengestrom_raw_88216512'!$F$2+'pengestrom_raw_88216512'!$F$3+'pengestrom_raw_88216512'!$F$4)-'pengestrom_raw_88216512'!$F$5,"+#,##0;-#,##0"))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BESTSELLER A/S (CVR 88216512)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26404906</v>
      </c>
      <c r="C2" s="17" t="n">
        <v>35248000</v>
      </c>
      <c r="D2" s="17" t="n">
        <v>37013000</v>
      </c>
      <c r="E2" s="17" t="n">
        <v>35651000</v>
      </c>
      <c r="F2" s="17" t="n">
        <v>38074000</v>
      </c>
    </row>
    <row r="3">
      <c r="A3" s="16" t="inlineStr">
        <is>
          <t>Andre driftsindtægter</t>
        </is>
      </c>
      <c r="B3" s="17" t="n">
        <v>480112</v>
      </c>
      <c r="C3" s="17" t="n">
        <v>310000</v>
      </c>
      <c r="D3" s="17" t="n">
        <v>126000</v>
      </c>
      <c r="E3" s="17" t="n">
        <v>187000</v>
      </c>
      <c r="F3" s="17" t="n">
        <v>200000</v>
      </c>
    </row>
    <row r="4">
      <c r="A4" s="16" t="inlineStr">
        <is>
          <t>Vareforbrug</t>
        </is>
      </c>
      <c r="B4" s="17" t="n">
        <v>13385578</v>
      </c>
      <c r="C4" s="17" t="n">
        <v>17714000</v>
      </c>
      <c r="D4" s="17" t="n">
        <v>19916000</v>
      </c>
      <c r="E4" s="17" t="n">
        <v>16639000</v>
      </c>
      <c r="F4" s="17" t="n">
        <v>17478000</v>
      </c>
    </row>
    <row r="5">
      <c r="A5" s="16" t="inlineStr">
        <is>
          <t>Andre eksterne omkostninger</t>
        </is>
      </c>
      <c r="B5" s="17" t="n">
        <v>4064373</v>
      </c>
      <c r="C5" s="17" t="n">
        <v>5643000</v>
      </c>
      <c r="D5" s="17" t="n">
        <v>5860000</v>
      </c>
      <c r="E5" s="17" t="n">
        <v>6878000</v>
      </c>
      <c r="F5" s="17" t="n">
        <v>7292000</v>
      </c>
    </row>
    <row r="6">
      <c r="A6" s="15" t="inlineStr">
        <is>
          <t>Bruttoresultat</t>
        </is>
      </c>
      <c r="B6" s="17" t="n">
        <v>9435067</v>
      </c>
      <c r="C6" s="17" t="n">
        <v>12201000</v>
      </c>
      <c r="D6" s="17" t="n">
        <v>11363000</v>
      </c>
      <c r="E6" s="17" t="n">
        <v>12321000</v>
      </c>
      <c r="F6" s="17" t="n">
        <v>13504000</v>
      </c>
    </row>
    <row r="7">
      <c r="A7" s="16" t="inlineStr">
        <is>
          <t>Personaleomkostninger</t>
        </is>
      </c>
      <c r="B7" s="17" t="n">
        <v>4372644</v>
      </c>
      <c r="C7" s="17" t="n">
        <v>5293000</v>
      </c>
      <c r="D7" s="17" t="n">
        <v>5763000</v>
      </c>
      <c r="E7" s="17" t="n">
        <v>6066000</v>
      </c>
      <c r="F7" s="17" t="n">
        <v>6819000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604891</v>
      </c>
      <c r="C9" s="17" t="n">
        <v>645000</v>
      </c>
      <c r="D9" s="17" t="n">
        <v>810000</v>
      </c>
      <c r="E9" s="17" t="n">
        <v>956000</v>
      </c>
      <c r="F9" s="17" t="n">
        <v>752000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4457532</v>
      </c>
      <c r="C11" s="17" t="n"/>
      <c r="D11" s="17" t="n">
        <v>4790000</v>
      </c>
      <c r="E11" s="17" t="n">
        <v>5299000</v>
      </c>
      <c r="F11" s="17" t="n">
        <v>5933000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4000</v>
      </c>
      <c r="D12" s="17" t="n">
        <v>6000</v>
      </c>
      <c r="E12" s="17" t="n">
        <v>6000</v>
      </c>
      <c r="F12" s="17" t="n">
        <v>4000</v>
      </c>
    </row>
    <row r="13">
      <c r="A13" s="16" t="inlineStr">
        <is>
          <t>Finansielle indtægter</t>
        </is>
      </c>
      <c r="B13" s="17" t="n">
        <v>295295</v>
      </c>
      <c r="C13" s="17" t="n">
        <v>328000</v>
      </c>
      <c r="D13" s="17" t="n">
        <v>444000</v>
      </c>
      <c r="E13" s="17" t="n">
        <v>193000</v>
      </c>
      <c r="F13" s="17" t="n">
        <v>219000</v>
      </c>
    </row>
    <row r="14">
      <c r="A14" s="16" t="inlineStr">
        <is>
          <t>Finansielle omkostninger</t>
        </is>
      </c>
      <c r="B14" s="17" t="n">
        <v>147654</v>
      </c>
      <c r="C14" s="17" t="n">
        <v>510000</v>
      </c>
      <c r="D14" s="17" t="n">
        <v>296000</v>
      </c>
      <c r="E14" s="17" t="n">
        <v>161000</v>
      </c>
      <c r="F14" s="17" t="n">
        <v>268000</v>
      </c>
    </row>
    <row r="15">
      <c r="A15" s="15" t="inlineStr">
        <is>
          <t>Finansielle poster, netto</t>
        </is>
      </c>
      <c r="B15" s="17" t="n">
        <v>146000</v>
      </c>
      <c r="C15" s="17" t="n">
        <v>-179000</v>
      </c>
      <c r="D15" s="17" t="n">
        <v>154000</v>
      </c>
      <c r="E15" s="17" t="n">
        <v>38000</v>
      </c>
      <c r="F15" s="17" t="n">
        <v>-45000</v>
      </c>
    </row>
    <row r="16">
      <c r="A16" s="15" t="inlineStr">
        <is>
          <t>Resultat før skat</t>
        </is>
      </c>
      <c r="B16" s="17" t="n">
        <v>4603673</v>
      </c>
      <c r="C16" s="17" t="n">
        <v>6085000</v>
      </c>
      <c r="D16" s="17" t="n">
        <v>4944000</v>
      </c>
      <c r="E16" s="17" t="n">
        <v>5337000</v>
      </c>
      <c r="F16" s="17" t="n">
        <v>5888000</v>
      </c>
    </row>
    <row r="17">
      <c r="A17" s="16" t="inlineStr">
        <is>
          <t>Skat af årets resultat</t>
        </is>
      </c>
      <c r="B17" s="17" t="n">
        <v>994479</v>
      </c>
      <c r="C17" s="17" t="n">
        <v>942000</v>
      </c>
      <c r="D17" s="17" t="n">
        <v>1031000</v>
      </c>
      <c r="E17" s="17" t="n">
        <v>1405000</v>
      </c>
      <c r="F17" s="17" t="n">
        <v>1309000</v>
      </c>
    </row>
    <row r="18">
      <c r="A18" s="15" t="inlineStr">
        <is>
          <t>Årets resultat</t>
        </is>
      </c>
      <c r="B18" s="17" t="n">
        <v>3609194</v>
      </c>
      <c r="C18" s="17" t="n">
        <v>5143000</v>
      </c>
      <c r="D18" s="17" t="n">
        <v>3913000</v>
      </c>
      <c r="E18" s="17" t="n">
        <v>3932000</v>
      </c>
      <c r="F18" s="17" t="n">
        <v>4579000</v>
      </c>
    </row>
    <row r="19">
      <c r="A19" s="16" t="inlineStr">
        <is>
          <t>Gns. antal medarbejdere</t>
        </is>
      </c>
      <c r="B19" s="17" t="n">
        <v>16132</v>
      </c>
      <c r="C19" s="17" t="n">
        <v>17847</v>
      </c>
      <c r="D19" s="17" t="n">
        <v>20276</v>
      </c>
      <c r="E19" s="17" t="n">
        <v>20704</v>
      </c>
      <c r="F19" s="17" t="n">
        <v>21638</v>
      </c>
    </row>
    <row r="20">
      <c r="A20" s="16" t="inlineStr">
        <is>
          <t>Investering i materielle anlægsaktiver</t>
        </is>
      </c>
      <c r="B20" s="17" t="n">
        <v>379000</v>
      </c>
      <c r="C20" s="17" t="n">
        <v>1371000</v>
      </c>
      <c r="D20" s="17" t="n">
        <v>1779000</v>
      </c>
      <c r="E20" s="17" t="n">
        <v>1794000</v>
      </c>
      <c r="F20" s="17" t="n">
        <v>2504000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BESTSELLER A/S (CVR 88216512)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>
        <v>35000</v>
      </c>
      <c r="D2" s="17" t="n"/>
      <c r="E2" s="17" t="n">
        <v>8000</v>
      </c>
      <c r="F2" s="17" t="n">
        <v>11000</v>
      </c>
    </row>
    <row r="3">
      <c r="A3" s="16" t="inlineStr">
        <is>
          <t>Patenter, varemærker mv.</t>
        </is>
      </c>
      <c r="B3" s="17" t="n">
        <v>17199</v>
      </c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170610</v>
      </c>
      <c r="C4" s="17" t="n">
        <v>138000</v>
      </c>
      <c r="D4" s="17" t="n">
        <v>122000</v>
      </c>
      <c r="E4" s="17" t="n">
        <v>110000</v>
      </c>
      <c r="F4" s="17" t="n">
        <v>92000</v>
      </c>
    </row>
    <row r="5">
      <c r="A5" s="15" t="inlineStr">
        <is>
          <t>Immaterielle anlægsaktiver</t>
        </is>
      </c>
      <c r="B5" s="17" t="n">
        <v>232882</v>
      </c>
      <c r="C5" s="17" t="n">
        <v>182000</v>
      </c>
      <c r="D5" s="17" t="n">
        <v>160000</v>
      </c>
      <c r="E5" s="17" t="n">
        <v>144000</v>
      </c>
      <c r="F5" s="17" t="n">
        <v>121000</v>
      </c>
    </row>
    <row r="6">
      <c r="A6" s="16" t="inlineStr">
        <is>
          <t>Grunde og bygninger</t>
        </is>
      </c>
      <c r="B6" s="17" t="n">
        <v>2559034</v>
      </c>
      <c r="C6" s="17" t="n">
        <v>2756000</v>
      </c>
      <c r="D6" s="17" t="n">
        <v>2872000</v>
      </c>
      <c r="E6" s="17" t="n">
        <v>3135000</v>
      </c>
      <c r="F6" s="17" t="n">
        <v>3221000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289985</v>
      </c>
      <c r="C8" s="17" t="n">
        <v>394000</v>
      </c>
      <c r="D8" s="17" t="n">
        <v>489000</v>
      </c>
      <c r="E8" s="17" t="n">
        <v>548000</v>
      </c>
      <c r="F8" s="17" t="n">
        <v>657000</v>
      </c>
    </row>
    <row r="9">
      <c r="A9" s="16" t="inlineStr">
        <is>
          <t>Indretning af lejede lokaler</t>
        </is>
      </c>
      <c r="B9" s="17" t="n">
        <v>531995</v>
      </c>
      <c r="C9" s="17" t="n">
        <v>564000</v>
      </c>
      <c r="D9" s="17" t="n">
        <v>819000</v>
      </c>
      <c r="E9" s="17" t="n">
        <v>1060000</v>
      </c>
      <c r="F9" s="17" t="n">
        <v>1444000</v>
      </c>
    </row>
    <row r="10">
      <c r="A10" s="16" t="inlineStr">
        <is>
          <t>Forudbetaling og anlægsaktiver under opførelse</t>
        </is>
      </c>
      <c r="B10" s="17" t="n">
        <v>102733</v>
      </c>
      <c r="C10" s="17" t="n">
        <v>508000</v>
      </c>
      <c r="D10" s="17" t="n">
        <v>1067000</v>
      </c>
      <c r="E10" s="17" t="n">
        <v>1264000</v>
      </c>
      <c r="F10" s="17" t="n">
        <v>2289000</v>
      </c>
    </row>
    <row r="11">
      <c r="A11" s="15" t="inlineStr">
        <is>
          <t>Materielle anlægsaktiver</t>
        </is>
      </c>
      <c r="B11" s="17" t="n">
        <v>3483747</v>
      </c>
      <c r="C11" s="17" t="n">
        <v>4222000</v>
      </c>
      <c r="D11" s="17" t="n">
        <v>5247000</v>
      </c>
      <c r="E11" s="17" t="n">
        <v>6007000</v>
      </c>
      <c r="F11" s="17" t="n">
        <v>7611000</v>
      </c>
    </row>
    <row r="12">
      <c r="A12" s="16" t="inlineStr">
        <is>
          <t>Kapitalandele, dattervirksomheder</t>
        </is>
      </c>
      <c r="B12" s="17" t="n">
        <v>0</v>
      </c>
      <c r="C12" s="17" t="n">
        <v>13000</v>
      </c>
      <c r="D12" s="17" t="n">
        <v>16000</v>
      </c>
      <c r="E12" s="17" t="n">
        <v>18000</v>
      </c>
      <c r="F12" s="17" t="n">
        <v>19000</v>
      </c>
    </row>
    <row r="13">
      <c r="A13" s="16" t="inlineStr">
        <is>
          <t>Deposita</t>
        </is>
      </c>
      <c r="B13" s="17" t="n">
        <v>126730</v>
      </c>
      <c r="C13" s="17" t="n">
        <v>170000</v>
      </c>
      <c r="D13" s="17" t="n">
        <v>198000</v>
      </c>
      <c r="E13" s="17" t="n">
        <v>343000</v>
      </c>
      <c r="F13" s="17" t="n">
        <v>340000</v>
      </c>
    </row>
    <row r="14">
      <c r="A14" s="15" t="inlineStr">
        <is>
          <t>Finansielle anlægsaktiver</t>
        </is>
      </c>
      <c r="B14" s="17" t="n">
        <v>181868</v>
      </c>
      <c r="C14" s="17" t="n">
        <v>230000</v>
      </c>
      <c r="D14" s="17" t="n">
        <v>214000</v>
      </c>
      <c r="E14" s="17" t="n">
        <v>361000</v>
      </c>
      <c r="F14" s="17" t="n">
        <v>359000</v>
      </c>
    </row>
    <row r="15">
      <c r="A15" s="15" t="inlineStr">
        <is>
          <t>Anlægsaktiver</t>
        </is>
      </c>
      <c r="B15" s="17" t="n">
        <v>3898497</v>
      </c>
      <c r="C15" s="17" t="n">
        <v>4634000</v>
      </c>
      <c r="D15" s="17" t="n">
        <v>5621000</v>
      </c>
      <c r="E15" s="17" t="n">
        <v>6512000</v>
      </c>
      <c r="F15" s="17" t="n">
        <v>8091000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4632555</v>
      </c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4632555</v>
      </c>
      <c r="C19" s="17" t="n">
        <v>8055000</v>
      </c>
      <c r="D19" s="17" t="n">
        <v>5557000</v>
      </c>
      <c r="E19" s="17" t="n">
        <v>6332000</v>
      </c>
      <c r="F19" s="17" t="n">
        <v>7122000</v>
      </c>
    </row>
    <row r="20">
      <c r="A20" s="16" t="inlineStr">
        <is>
          <t>Tilgodehavender fra salg og tjenesteydelser</t>
        </is>
      </c>
      <c r="B20" s="17" t="n">
        <v>2661782</v>
      </c>
      <c r="C20" s="17" t="n">
        <v>3178000</v>
      </c>
      <c r="D20" s="17" t="n">
        <v>3088000</v>
      </c>
      <c r="E20" s="17" t="n">
        <v>2859000</v>
      </c>
      <c r="F20" s="17" t="n">
        <v>2986000</v>
      </c>
    </row>
    <row r="21">
      <c r="A21" s="16" t="inlineStr">
        <is>
          <t>Tilgodehavender hos tilknyttede virksomheder</t>
        </is>
      </c>
      <c r="B21" s="17" t="n">
        <v>2534621</v>
      </c>
      <c r="C21" s="17" t="n">
        <v>2627000</v>
      </c>
      <c r="D21" s="17" t="n">
        <v>3043000</v>
      </c>
      <c r="E21" s="17" t="n">
        <v>2440000</v>
      </c>
      <c r="F21" s="17" t="n">
        <v>2433000</v>
      </c>
    </row>
    <row r="22">
      <c r="A22" s="16" t="inlineStr">
        <is>
          <t>Andre tilgodehavender</t>
        </is>
      </c>
      <c r="B22" s="17" t="n">
        <v>578032</v>
      </c>
      <c r="C22" s="17" t="n">
        <v>1010000</v>
      </c>
      <c r="D22" s="17" t="n">
        <v>574000</v>
      </c>
      <c r="E22" s="17" t="n">
        <v>463000</v>
      </c>
      <c r="F22" s="17" t="n">
        <v>627000</v>
      </c>
    </row>
    <row r="23">
      <c r="A23" s="16" t="inlineStr">
        <is>
          <t>Periodeafgrænsningsposter (aktiver)</t>
        </is>
      </c>
      <c r="B23" s="17" t="n">
        <v>265539</v>
      </c>
      <c r="C23" s="17" t="n">
        <v>303000</v>
      </c>
      <c r="D23" s="17" t="n">
        <v>377000</v>
      </c>
      <c r="E23" s="17" t="n">
        <v>286000</v>
      </c>
      <c r="F23" s="17" t="n">
        <v>432000</v>
      </c>
    </row>
    <row r="24">
      <c r="A24" s="16" t="inlineStr">
        <is>
          <t>Udskudt skatteaktiv</t>
        </is>
      </c>
      <c r="B24" s="17" t="n">
        <v>215788</v>
      </c>
      <c r="C24" s="17" t="n">
        <v>181000</v>
      </c>
      <c r="D24" s="17" t="n">
        <v>234000</v>
      </c>
      <c r="E24" s="17" t="n">
        <v>255000</v>
      </c>
      <c r="F24" s="17" t="n">
        <v>243000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114593</v>
      </c>
      <c r="C26" s="17" t="n">
        <v>135000</v>
      </c>
      <c r="D26" s="17" t="n">
        <v>207000</v>
      </c>
      <c r="E26" s="17" t="n">
        <v>105000</v>
      </c>
      <c r="F26" s="17" t="n">
        <v>125000</v>
      </c>
    </row>
    <row r="27">
      <c r="A27" s="15" t="inlineStr">
        <is>
          <t>Tilgodehavender</t>
        </is>
      </c>
      <c r="B27" s="17" t="n">
        <v>6370355</v>
      </c>
      <c r="C27" s="17" t="n">
        <v>7434000</v>
      </c>
      <c r="D27" s="17" t="n">
        <v>7523000</v>
      </c>
      <c r="E27" s="17" t="n">
        <v>6408000</v>
      </c>
      <c r="F27" s="17" t="n">
        <v>6846000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3344637</v>
      </c>
      <c r="C29" s="17" t="n">
        <v>2185000</v>
      </c>
      <c r="D29" s="17" t="n">
        <v>2431000</v>
      </c>
      <c r="E29" s="17" t="n">
        <v>2493000</v>
      </c>
      <c r="F29" s="17" t="n">
        <v>2617000</v>
      </c>
    </row>
    <row r="30">
      <c r="A30" s="15" t="inlineStr">
        <is>
          <t>Omsætningsaktiver</t>
        </is>
      </c>
      <c r="B30" s="17" t="n">
        <v>14347548</v>
      </c>
      <c r="C30" s="17" t="n">
        <v>17674000</v>
      </c>
      <c r="D30" s="17" t="n">
        <v>15511000</v>
      </c>
      <c r="E30" s="17" t="n">
        <v>15233000</v>
      </c>
      <c r="F30" s="17" t="n">
        <v>16585000</v>
      </c>
    </row>
    <row r="31">
      <c r="A31" s="15" t="inlineStr">
        <is>
          <t>Aktiver</t>
        </is>
      </c>
      <c r="B31" s="17" t="n">
        <v>18246045</v>
      </c>
      <c r="C31" s="17" t="n">
        <v>22308000</v>
      </c>
      <c r="D31" s="17" t="n">
        <v>21132000</v>
      </c>
      <c r="E31" s="17" t="n">
        <v>21745000</v>
      </c>
      <c r="F31" s="17" t="n">
        <v>24676000</v>
      </c>
    </row>
    <row r="32">
      <c r="A32" s="16" t="inlineStr">
        <is>
          <t>Selskabskapital</t>
        </is>
      </c>
      <c r="B32" s="17" t="n">
        <v>110000</v>
      </c>
      <c r="C32" s="17" t="n">
        <v>110000</v>
      </c>
      <c r="D32" s="17" t="n">
        <v>110000</v>
      </c>
      <c r="E32" s="17" t="n">
        <v>110000</v>
      </c>
      <c r="F32" s="17" t="n">
        <v>110000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>
        <v>366000</v>
      </c>
      <c r="D35" s="17" t="n">
        <v>-16000</v>
      </c>
      <c r="E35" s="17" t="n">
        <v>0</v>
      </c>
      <c r="F35" s="17" t="n">
        <v>-12000</v>
      </c>
    </row>
    <row r="36">
      <c r="A36" s="16" t="inlineStr">
        <is>
          <t>Andre reserver</t>
        </is>
      </c>
      <c r="B36" s="17" t="n">
        <v>-21502</v>
      </c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5843032</v>
      </c>
      <c r="C37" s="17" t="n">
        <v>7809000</v>
      </c>
      <c r="D37" s="17" t="n">
        <v>8449000</v>
      </c>
      <c r="E37" s="17" t="n">
        <v>7939000</v>
      </c>
      <c r="F37" s="17" t="n">
        <v>9119000</v>
      </c>
    </row>
    <row r="38">
      <c r="A38" s="15" t="inlineStr">
        <is>
          <t>Egenkapital i alt</t>
        </is>
      </c>
      <c r="B38" s="17" t="n">
        <v>8734040</v>
      </c>
      <c r="C38" s="17" t="n">
        <v>11881000</v>
      </c>
      <c r="D38" s="17" t="n">
        <v>11848000</v>
      </c>
      <c r="E38" s="17" t="n">
        <v>11827000</v>
      </c>
      <c r="F38" s="17" t="n">
        <v>12395000</v>
      </c>
    </row>
    <row r="39">
      <c r="A39" s="16" t="inlineStr">
        <is>
          <t>Hensættelse til udskudt skat</t>
        </is>
      </c>
      <c r="B39" s="17" t="n">
        <v>3771</v>
      </c>
      <c r="C39" s="17" t="n">
        <v>86000</v>
      </c>
      <c r="D39" s="17" t="n">
        <v>46000</v>
      </c>
      <c r="E39" s="17" t="n">
        <v>127000</v>
      </c>
      <c r="F39" s="17" t="n">
        <v>69000</v>
      </c>
    </row>
    <row r="40">
      <c r="A40" s="15" t="inlineStr">
        <is>
          <t>Hensatte forpligtelser</t>
        </is>
      </c>
      <c r="B40" s="17" t="n">
        <v>1732640</v>
      </c>
      <c r="C40" s="17" t="n">
        <v>1531000</v>
      </c>
      <c r="D40" s="17" t="n">
        <v>1228000</v>
      </c>
      <c r="E40" s="17" t="n">
        <v>1824000</v>
      </c>
      <c r="F40" s="17" t="n">
        <v>1573000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75041</v>
      </c>
      <c r="C42" s="17" t="n">
        <v>71000</v>
      </c>
      <c r="D42" s="17" t="n">
        <v>70000</v>
      </c>
      <c r="E42" s="17" t="n">
        <v>67000</v>
      </c>
      <c r="F42" s="17" t="n">
        <v>64000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75041</v>
      </c>
      <c r="C45" s="17" t="n">
        <v>71000</v>
      </c>
      <c r="D45" s="17" t="n">
        <v>70000</v>
      </c>
      <c r="E45" s="17" t="n">
        <v>67000</v>
      </c>
      <c r="F45" s="17" t="n">
        <v>64000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448</v>
      </c>
      <c r="C48" s="17" t="n">
        <v>354000</v>
      </c>
      <c r="D48" s="17" t="n">
        <v>2129000</v>
      </c>
      <c r="E48" s="17" t="n">
        <v>91000</v>
      </c>
      <c r="F48" s="17" t="n">
        <v>2024000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4089513</v>
      </c>
      <c r="C50" s="17" t="n">
        <v>4597000</v>
      </c>
      <c r="D50" s="17" t="n">
        <v>2669000</v>
      </c>
      <c r="E50" s="17" t="n">
        <v>4226000</v>
      </c>
      <c r="F50" s="17" t="n">
        <v>4117000</v>
      </c>
    </row>
    <row r="51">
      <c r="A51" s="16" t="inlineStr">
        <is>
          <t>Gæld til tilknyttede virksomheder</t>
        </is>
      </c>
      <c r="B51" s="17" t="n">
        <v>37556</v>
      </c>
      <c r="C51" s="17" t="n">
        <v>46000</v>
      </c>
      <c r="D51" s="17" t="n">
        <v>83000</v>
      </c>
      <c r="E51" s="17" t="n">
        <v>93000</v>
      </c>
      <c r="F51" s="17" t="n">
        <v>74000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1009777</v>
      </c>
      <c r="C53" s="17" t="n">
        <v>1203000</v>
      </c>
      <c r="D53" s="17" t="n">
        <v>994000</v>
      </c>
      <c r="E53" s="17" t="n">
        <v>1045000</v>
      </c>
      <c r="F53" s="17" t="n">
        <v>1136000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2528207</v>
      </c>
      <c r="C55" s="17" t="n">
        <v>2568000</v>
      </c>
      <c r="D55" s="17" t="n">
        <v>2038000</v>
      </c>
      <c r="E55" s="17" t="n">
        <v>2499000</v>
      </c>
      <c r="F55" s="17" t="n">
        <v>3220000</v>
      </c>
    </row>
    <row r="56">
      <c r="A56" s="16" t="inlineStr">
        <is>
          <t>Periodeafgrænsningsposter (passiver)</t>
        </is>
      </c>
      <c r="B56" s="17" t="n">
        <v>35337</v>
      </c>
      <c r="C56" s="17" t="n">
        <v>53000</v>
      </c>
      <c r="D56" s="17" t="n">
        <v>71000</v>
      </c>
      <c r="E56" s="17" t="n">
        <v>71000</v>
      </c>
      <c r="F56" s="17" t="n">
        <v>70000</v>
      </c>
    </row>
    <row r="57">
      <c r="A57" s="15" t="inlineStr">
        <is>
          <t>Kortfristede gældsforpligtelser</t>
        </is>
      </c>
      <c r="B57" s="17" t="n">
        <v>7704324</v>
      </c>
      <c r="C57" s="17" t="n">
        <v>8825000</v>
      </c>
      <c r="D57" s="17" t="n">
        <v>7986000</v>
      </c>
      <c r="E57" s="17" t="n">
        <v>8027000</v>
      </c>
      <c r="F57" s="17" t="n">
        <v>10644000</v>
      </c>
    </row>
    <row r="58">
      <c r="A58" s="15" t="inlineStr">
        <is>
          <t>Gældsforpligtelser</t>
        </is>
      </c>
      <c r="B58" s="17" t="n">
        <v>7779365</v>
      </c>
      <c r="C58" s="17" t="n">
        <v>8896000</v>
      </c>
      <c r="D58" s="17" t="n">
        <v>8056000</v>
      </c>
      <c r="E58" s="17" t="n">
        <v>8094000</v>
      </c>
      <c r="F58" s="17" t="n">
        <v>10708000</v>
      </c>
    </row>
    <row r="59">
      <c r="A59" s="15" t="inlineStr">
        <is>
          <t>Passiver</t>
        </is>
      </c>
      <c r="B59" s="17" t="n">
        <v>18246045</v>
      </c>
      <c r="C59" s="17" t="n">
        <v>22308000</v>
      </c>
      <c r="D59" s="17" t="n">
        <v>21132000</v>
      </c>
      <c r="E59" s="17" t="n">
        <v>21745000</v>
      </c>
      <c r="F59" s="17" t="n">
        <v>24676000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BESTSELLER A/S (CVR 88216512)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4719000</v>
      </c>
      <c r="C2" s="17" t="n">
        <v>2550000</v>
      </c>
      <c r="D2" s="17" t="n">
        <v>3944000</v>
      </c>
      <c r="E2" s="17" t="n">
        <v>6580000</v>
      </c>
      <c r="F2" s="17" t="n">
        <v>4252000</v>
      </c>
    </row>
    <row r="3">
      <c r="A3" s="16" t="inlineStr">
        <is>
          <t>Pengestrømme fra investeringsaktivitet</t>
        </is>
      </c>
      <c r="B3" s="17" t="n">
        <v>-438567</v>
      </c>
      <c r="C3" s="17" t="n">
        <v>-1340000</v>
      </c>
      <c r="D3" s="17" t="n">
        <v>-1847000</v>
      </c>
      <c r="E3" s="17" t="n">
        <v>-1869000</v>
      </c>
      <c r="F3" s="17" t="n">
        <v>-2394000</v>
      </c>
    </row>
    <row r="4">
      <c r="A4" s="16" t="inlineStr">
        <is>
          <t>Pengestrømme fra finansieringsaktivitet</t>
        </is>
      </c>
      <c r="B4" s="17" t="n">
        <v>-3636189</v>
      </c>
      <c r="C4" s="17" t="n">
        <v>-2352000</v>
      </c>
      <c r="D4" s="17" t="n">
        <v>-1763000</v>
      </c>
      <c r="E4" s="17" t="n">
        <v>-4628000</v>
      </c>
      <c r="F4" s="17" t="n">
        <v>-1672000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BESTSELLER A/S (CVR 88216512) — Regnskabs- og nøgletal (CVR: 88216512)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'res_raw_88216512'!$F$2</f>
        <v/>
      </c>
      <c r="C5" s="24">
        <f>'res_raw_88216512'!$E$2</f>
        <v/>
      </c>
      <c r="D5" s="24">
        <f>'res_raw_88216512'!$D$2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'res_raw_88216512'!$F$3</f>
        <v/>
      </c>
      <c r="C6" s="24">
        <f>'res_raw_88216512'!$E$3</f>
        <v/>
      </c>
      <c r="D6" s="24">
        <f>'res_raw_88216512'!$D$3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-'res_raw_88216512'!$F$4</f>
        <v/>
      </c>
      <c r="C7" s="24">
        <f>-'res_raw_88216512'!$E$4</f>
        <v/>
      </c>
      <c r="D7" s="24">
        <f>-'res_raw_88216512'!$D$4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-'res_raw_88216512'!$F$5</f>
        <v/>
      </c>
      <c r="C8" s="24">
        <f>-'res_raw_88216512'!$E$5</f>
        <v/>
      </c>
      <c r="D8" s="24">
        <f>-'res_raw_88216512'!$D$5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-'res_raw_88216512'!$F$7</f>
        <v/>
      </c>
      <c r="C10" s="24">
        <f>-'res_raw_88216512'!$E$7</f>
        <v/>
      </c>
      <c r="D10" s="24">
        <f>-'res_raw_88216512'!$D$7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-'res_raw_88216512'!$F$9</f>
        <v/>
      </c>
      <c r="C11" s="24">
        <f>-'res_raw_88216512'!$E$9</f>
        <v/>
      </c>
      <c r="D11" s="24">
        <f>-'res_raw_88216512'!$D$9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-'res_raw_88216512'!$F$10</f>
        <v/>
      </c>
      <c r="C12" s="24">
        <f>-'res_raw_88216512'!$E$10</f>
        <v/>
      </c>
      <c r="D12" s="24">
        <f>-'res_raw_88216512'!$D$10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N('res_raw_88216512'!$F$12)+N('res_raw_88216512'!$F$13)</f>
        <v/>
      </c>
      <c r="C14" s="24">
        <f>N('res_raw_88216512'!$E$12)+N('res_raw_88216512'!$E$13)</f>
        <v/>
      </c>
      <c r="D14" s="24">
        <f>N('res_raw_88216512'!$D$12)+N('res_raw_88216512'!$D$13)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-'res_raw_88216512'!$F$14</f>
        <v/>
      </c>
      <c r="C15" s="24">
        <f>-'res_raw_88216512'!$E$14</f>
        <v/>
      </c>
      <c r="D15" s="24">
        <f>-'res_raw_88216512'!$D$14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'balance_raw_88216512'!$F$15</f>
        <v/>
      </c>
      <c r="C19" s="24">
        <f>'balance_raw_88216512'!$E$15</f>
        <v/>
      </c>
      <c r="D19" s="24">
        <f>'balance_raw_88216512'!$D$15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'balance_raw_88216512'!$F$30</f>
        <v/>
      </c>
      <c r="C20" s="24">
        <f>'balance_raw_88216512'!$E$30</f>
        <v/>
      </c>
      <c r="D20" s="24">
        <f>'balance_raw_88216512'!$D$30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'balance_raw_88216512'!$F$38</f>
        <v/>
      </c>
      <c r="C23" s="24">
        <f>'balance_raw_88216512'!$E$38</f>
        <v/>
      </c>
      <c r="D23" s="24">
        <f>'balance_raw_88216512'!$D$38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'balance_raw_88216512'!$F$59-'balance_raw_88216512'!$F$38</f>
        <v/>
      </c>
      <c r="C24" s="24">
        <f>'balance_raw_88216512'!$E$59-'balance_raw_88216512'!$E$38</f>
        <v/>
      </c>
      <c r="D24" s="24">
        <f>'balance_raw_88216512'!$D$59-'balance_raw_88216512'!$D$38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'balance_raw_88216512'!$F$19</f>
        <v/>
      </c>
      <c r="C28" s="24">
        <f>'balance_raw_88216512'!$E$19</f>
        <v/>
      </c>
      <c r="D28" s="24">
        <f>'balance_raw_88216512'!$D$19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'balance_raw_88216512'!$F$20</f>
        <v/>
      </c>
      <c r="C29" s="24">
        <f>'balance_raw_88216512'!$E$20</f>
        <v/>
      </c>
      <c r="D29" s="24">
        <f>'balance_raw_88216512'!$D$20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'balance_raw_88216512'!$F$57</f>
        <v/>
      </c>
      <c r="C30" s="24">
        <f>'balance_raw_88216512'!$E$57</f>
        <v/>
      </c>
      <c r="D30" s="24">
        <f>'balance_raw_88216512'!$D$57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IF('balance_raw_88216512'!$F$31="","—",IF(ABS(B21-'balance_raw_88216512'!$F$31)&lt;=1,"✓ OK","❌ "&amp;TEXT(B21-'balance_raw_88216512'!$F$31,"+#,##0;-#,##0")&amp;" t.kr."))</f>
        <v/>
      </c>
      <c r="C61" s="29">
        <f>IF('balance_raw_88216512'!$E$31="","—",IF(ABS(C21-'balance_raw_88216512'!$E$31)&lt;=1,"✓ OK","❌ "&amp;TEXT(C21-'balance_raw_88216512'!$E$31,"+#,##0;-#,##0")&amp;" t.kr."))</f>
        <v/>
      </c>
      <c r="D61" s="29">
        <f>IF('balance_raw_88216512'!$D$31="","—",IF(ABS(D21-'balance_raw_88216512'!$D$31)&lt;=1,"✓ OK","❌ "&amp;TEXT(D21-'balance_raw_88216512'!$D$31,"+#,##0;-#,##0")&amp;"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IF('balance_raw_88216512'!$F$59="","—",IF(ABS(B25-'balance_raw_88216512'!$F$59)&lt;=1,"✓ OK","❌ "&amp;TEXT(B25-'balance_raw_88216512'!$F$59,"+#,##0;-#,##0")&amp;" t.kr."))</f>
        <v/>
      </c>
      <c r="C62" s="29">
        <f>IF('balance_raw_88216512'!$E$59="","—",IF(ABS(C25-'balance_raw_88216512'!$E$59)&lt;=1,"✓ OK","❌ "&amp;TEXT(C25-'balance_raw_88216512'!$E$59,"+#,##0;-#,##0")&amp;" t.kr."))</f>
        <v/>
      </c>
      <c r="D62" s="29">
        <f>IF('balance_raw_88216512'!$D$59="","—",IF(ABS(D25-'balance_raw_88216512'!$D$59)&lt;=1,"✓ OK","❌ "&amp;TEXT(D25-'balance_raw_88216512'!$D$59,"+#,##0;-#,##0")&amp;"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IF('res_raw_88216512'!$F$6="","—",IF(ABS(B9-'res_raw_88216512'!$F$6)&lt;=1,"✓ OK","❌ "&amp;TEXT(B9-'res_raw_88216512'!$F$6,"+#,##0;-#,##0")&amp;" t.kr."))</f>
        <v/>
      </c>
      <c r="C64" s="29">
        <f>IF('res_raw_88216512'!$E$6="","—",IF(ABS(C9-'res_raw_88216512'!$E$6)&lt;=1,"✓ OK","❌ "&amp;TEXT(C9-'res_raw_88216512'!$E$6,"+#,##0;-#,##0")&amp;" t.kr."))</f>
        <v/>
      </c>
      <c r="D64" s="29">
        <f>IF('res_raw_88216512'!$D$6="","—",IF(ABS(D9-'res_raw_88216512'!$D$6)&lt;=1,"✓ OK","❌ "&amp;TEXT(D9-'res_raw_88216512'!$D$6,"+#,##0;-#,##0")&amp;"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IF('res_raw_88216512'!$F$11="","—",IF(ABS(B13-'res_raw_88216512'!$F$11)&lt;=1,"✓ OK","❌ "&amp;TEXT(B13-'res_raw_88216512'!$F$11,"+#,##0;-#,##0")&amp;" t.kr."))</f>
        <v/>
      </c>
      <c r="C65" s="29">
        <f>IF('res_raw_88216512'!$E$11="","—",IF(ABS(C13-'res_raw_88216512'!$E$11)&lt;=1,"✓ OK","❌ "&amp;TEXT(C13-'res_raw_88216512'!$E$11,"+#,##0;-#,##0")&amp;" t.kr."))</f>
        <v/>
      </c>
      <c r="D65" s="29">
        <f>IF('res_raw_88216512'!$D$11="","—",IF(ABS(D13-'res_raw_88216512'!$D$11)&lt;=1,"✓ OK","❌ "&amp;TEXT(D13-'res_raw_88216512'!$D$11,"+#,##0;-#,##0")&amp;"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IF('res_raw_88216512'!$F$16="","—",IF(ABS(B16-'res_raw_88216512'!$F$16)&lt;=1,"✓ OK","❌ "&amp;TEXT(B16-'res_raw_88216512'!$F$16,"+#,##0;-#,##0")&amp;" t.kr."))</f>
        <v/>
      </c>
      <c r="C66" s="29">
        <f>IF('res_raw_88216512'!$E$16="","—",IF(ABS(C16-'res_raw_88216512'!$E$16)&lt;=1,"✓ OK","❌ "&amp;TEXT(C16-'res_raw_88216512'!$E$16,"+#,##0;-#,##0")&amp;" t.kr."))</f>
        <v/>
      </c>
      <c r="D66" s="29">
        <f>IF('res_raw_88216512'!$D$16="","—",IF(ABS(D16-'res_raw_88216512'!$D$16)&lt;=1,"✓ OK","❌ "&amp;TEXT(D16-'res_raw_88216512'!$D$16,"+#,##0;-#,##0")&amp;"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BESTSELLER A/S (CVR 88216512)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/>
      <c r="E3" s="35" t="n"/>
      <c r="F3" s="35" t="n">
        <v>3000000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fsa:DividendsReceivedFromParticipatingInterests</t>
        </is>
      </c>
      <c r="C4" s="37" t="inlineStr">
        <is>
          <t>fsa:DividendsReceivedFromParticipatingInterests</t>
        </is>
      </c>
      <c r="D4" s="38" t="n">
        <v>300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fsa:FeesForAuditorsPerformingOtherAssuranceReports</t>
        </is>
      </c>
      <c r="C5" s="34" t="inlineStr">
        <is>
          <t>fsa:FeesForAuditorsPerformingOtherAssuranceReports</t>
        </is>
      </c>
      <c r="D5" s="35" t="n"/>
      <c r="E5" s="35" t="n">
        <v>1000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fsa:ProvisionsForInvestmentsInGroupAssociates</t>
        </is>
      </c>
      <c r="C6" s="37" t="inlineStr">
        <is>
          <t>fsa:ProvisionsForInvestmentsInGroupAssociates</t>
        </is>
      </c>
      <c r="D6" s="38" t="n"/>
      <c r="E6" s="38" t="n"/>
      <c r="F6" s="38" t="n">
        <v>8000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fsa:ProvisionsForInvestmentsInGroupEnterprises</t>
        </is>
      </c>
      <c r="C7" s="34" t="inlineStr">
        <is>
          <t>fsa:ProvisionsForInvestmentsInGroupEnterprises</t>
        </is>
      </c>
      <c r="D7" s="35" t="n">
        <v>0</v>
      </c>
      <c r="E7" s="35" t="n">
        <v>375000</v>
      </c>
      <c r="F7" s="35" t="n"/>
      <c r="G7" s="35" t="n">
        <v>0</v>
      </c>
      <c r="H7" s="35" t="n">
        <v>2000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fsa:PurchaseOfMinorityShares</t>
        </is>
      </c>
      <c r="C8" s="37" t="inlineStr">
        <is>
          <t>fsa:PurchaseOfMinorityShares</t>
        </is>
      </c>
      <c r="D8" s="38" t="n"/>
      <c r="E8" s="38" t="n">
        <v>0</v>
      </c>
      <c r="F8" s="38" t="n">
        <v>0</v>
      </c>
      <c r="G8" s="38" t="n">
        <v>-44000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fsa:ReceivedDividendsFromAssociates</t>
        </is>
      </c>
      <c r="C9" s="34" t="inlineStr">
        <is>
          <t>fsa:ReceivedDividendsFromAssociates</t>
        </is>
      </c>
      <c r="D9" s="35" t="n"/>
      <c r="E9" s="35" t="n">
        <v>2000</v>
      </c>
      <c r="F9" s="35" t="n">
        <v>2000</v>
      </c>
      <c r="G9" s="35" t="n">
        <v>3000</v>
      </c>
      <c r="H9" s="35" t="n">
        <v>3000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fsa:ReserveForCurrentValueAdjustmentsOfCurrencyGains</t>
        </is>
      </c>
      <c r="C10" s="37" t="inlineStr">
        <is>
          <t>fsa:ReserveForCurrentValueAdjustmentsOfCurrencyGains</t>
        </is>
      </c>
      <c r="D10" s="38" t="n"/>
      <c r="E10" s="38" t="n">
        <v>195000</v>
      </c>
      <c r="F10" s="38" t="n">
        <v>-220000</v>
      </c>
      <c r="G10" s="38" t="n">
        <v>-229000</v>
      </c>
      <c r="H10" s="38" t="n">
        <v>-429000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fsa:TransferredFromSharePremium</t>
        </is>
      </c>
      <c r="C11" s="34" t="inlineStr">
        <is>
          <t>fsa:TransferredFromSharePremium</t>
        </is>
      </c>
      <c r="D11" s="35" t="n"/>
      <c r="E11" s="35" t="n">
        <v>0</v>
      </c>
      <c r="F11" s="35" t="n">
        <v>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fsa:TransferredToFromMinorityInterests</t>
        </is>
      </c>
      <c r="C12" s="37" t="inlineStr">
        <is>
          <t>fsa:TransferredToFromMinorityInterests</t>
        </is>
      </c>
      <c r="D12" s="38" t="n"/>
      <c r="E12" s="38" t="n"/>
      <c r="F12" s="38" t="n">
        <v>168000</v>
      </c>
      <c r="G12" s="38" t="n">
        <v>221000</v>
      </c>
      <c r="H12" s="38" t="n">
        <v>208000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2026-09-09T19:22:26Z</dcterms:created>
  <dcterms:modified xmlns:dcterms="http://purl.org/dc/terms/" xmlns:xsi="http://www.w3.org/2001/XMLSchema-instance" xsi:type="dcterms:W3CDTF">2026-09-09T19:22:26Z</dcterms:modified>
</cp:coreProperties>
</file>