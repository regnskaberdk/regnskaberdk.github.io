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1542000</v>
      </c>
      <c r="C2" s="16" t="n">
        <v>1774000</v>
      </c>
      <c r="D2" s="16" t="n">
        <v>2159000</v>
      </c>
      <c r="E2" s="16" t="n">
        <v>2351000</v>
      </c>
      <c r="F2" s="16" t="n">
        <v>2185000</v>
      </c>
    </row>
    <row r="3">
      <c r="A3" s="15" t="inlineStr">
        <is>
          <t>Produktionsomkostninger</t>
        </is>
      </c>
      <c r="B3" s="16" t="n">
        <v>937000</v>
      </c>
      <c r="C3" s="16" t="n"/>
      <c r="D3" s="16" t="n">
        <v>1375000</v>
      </c>
      <c r="E3" s="16" t="n">
        <v>1436000</v>
      </c>
      <c r="F3" s="16" t="n">
        <v>1237000</v>
      </c>
    </row>
    <row r="4">
      <c r="A4" s="17" t="inlineStr">
        <is>
          <t>Bruttoresultat</t>
        </is>
      </c>
      <c r="B4" s="16" t="n">
        <v>605000</v>
      </c>
      <c r="C4" s="16" t="n">
        <v>672000</v>
      </c>
      <c r="D4" s="16" t="n">
        <v>784000</v>
      </c>
      <c r="E4" s="16" t="n">
        <v>915000</v>
      </c>
      <c r="F4" s="16" t="n">
        <v>948000</v>
      </c>
    </row>
    <row r="5">
      <c r="A5" s="15" t="inlineStr">
        <is>
          <t>Salgs- og distributionsomkostninger</t>
        </is>
      </c>
      <c r="B5" s="16" t="n">
        <v>397000</v>
      </c>
      <c r="C5" s="16" t="n"/>
      <c r="D5" s="16" t="n">
        <v>552000</v>
      </c>
      <c r="E5" s="16" t="n">
        <v>561000</v>
      </c>
      <c r="F5" s="16" t="n">
        <v>511000</v>
      </c>
    </row>
    <row r="6">
      <c r="A6" s="15" t="inlineStr">
        <is>
          <t>Administrationsomkostninger</t>
        </is>
      </c>
      <c r="B6" s="16" t="n">
        <v>120000</v>
      </c>
      <c r="C6" s="16" t="n">
        <v>121000</v>
      </c>
      <c r="D6" s="16" t="n">
        <v>121000</v>
      </c>
      <c r="E6" s="16" t="n">
        <v>165000</v>
      </c>
      <c r="F6" s="16" t="n">
        <v>160000</v>
      </c>
    </row>
    <row r="7">
      <c r="A7" s="15" t="inlineStr">
        <is>
          <t>Andre driftsindtægter</t>
        </is>
      </c>
      <c r="B7" s="16" t="n">
        <v>1000</v>
      </c>
      <c r="C7" s="16" t="n">
        <v>20000</v>
      </c>
      <c r="D7" s="16" t="n">
        <v>4000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/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89000</v>
      </c>
      <c r="C9" s="16" t="n">
        <v>112000</v>
      </c>
      <c r="D9" s="16" t="n">
        <v>114000</v>
      </c>
      <c r="E9" s="16" t="n">
        <v>189000</v>
      </c>
      <c r="F9" s="16" t="n"/>
    </row>
    <row r="10">
      <c r="A10" s="15" t="inlineStr">
        <is>
          <t>Indtægter af kapitalandele, dattervirksomheder</t>
        </is>
      </c>
      <c r="B10" s="16" t="n">
        <v>0</v>
      </c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/>
      <c r="C11" s="16" t="n">
        <v>4000</v>
      </c>
      <c r="D11" s="16" t="n">
        <v>12000</v>
      </c>
      <c r="E11" s="16" t="n">
        <v>14000</v>
      </c>
      <c r="F11" s="16" t="n">
        <v>39000</v>
      </c>
    </row>
    <row r="12">
      <c r="A12" s="15" t="inlineStr">
        <is>
          <t>Finansielle omkostninger</t>
        </is>
      </c>
      <c r="B12" s="16" t="n">
        <v>25000</v>
      </c>
      <c r="C12" s="16" t="n">
        <v>21000</v>
      </c>
      <c r="D12" s="16" t="n">
        <v>70000</v>
      </c>
      <c r="E12" s="16" t="n">
        <v>121000</v>
      </c>
      <c r="F12" s="16" t="n">
        <v>96000</v>
      </c>
    </row>
    <row r="13">
      <c r="A13" s="17" t="inlineStr">
        <is>
          <t>Finansielle poster, netto</t>
        </is>
      </c>
      <c r="B13" s="16" t="n">
        <v>-25000</v>
      </c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64000</v>
      </c>
      <c r="C14" s="16" t="n">
        <v>95000</v>
      </c>
      <c r="D14" s="16" t="n">
        <v>56000</v>
      </c>
      <c r="E14" s="16" t="n">
        <v>82000</v>
      </c>
      <c r="F14" s="16" t="n">
        <v>220000</v>
      </c>
    </row>
    <row r="15">
      <c r="A15" s="15" t="inlineStr">
        <is>
          <t>Skat af årets resultat</t>
        </is>
      </c>
      <c r="B15" s="16" t="n">
        <v>21000</v>
      </c>
      <c r="C15" s="16" t="n">
        <v>29000</v>
      </c>
      <c r="D15" s="16" t="n">
        <v>19000</v>
      </c>
      <c r="E15" s="16" t="n">
        <v>21000</v>
      </c>
      <c r="F15" s="16" t="n">
        <v>50000</v>
      </c>
    </row>
    <row r="16">
      <c r="A16" s="17" t="inlineStr">
        <is>
          <t>Årets resultat</t>
        </is>
      </c>
      <c r="B16" s="16" t="n">
        <v>43000</v>
      </c>
      <c r="C16" s="16" t="n">
        <v>66000</v>
      </c>
      <c r="D16" s="16" t="n">
        <v>37000</v>
      </c>
      <c r="E16" s="16" t="n">
        <v>61000</v>
      </c>
      <c r="F16" s="16" t="n">
        <v>170000</v>
      </c>
    </row>
    <row r="17">
      <c r="A17" s="15" t="inlineStr">
        <is>
          <t>Gns. antal medarbejdere</t>
        </is>
      </c>
      <c r="B17" s="16" t="n">
        <v>6</v>
      </c>
      <c r="C17" s="16" t="n">
        <v>6746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62000</v>
      </c>
      <c r="C18" s="16" t="n">
        <v>86000</v>
      </c>
      <c r="D18" s="16" t="n">
        <v>84000</v>
      </c>
      <c r="E18" s="16" t="n">
        <v>71000</v>
      </c>
      <c r="F18" s="16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4000</v>
      </c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>
        <v>56000</v>
      </c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142000</v>
      </c>
      <c r="C5" s="16" t="n">
        <v>767000</v>
      </c>
      <c r="D5" s="16" t="n">
        <v>765000</v>
      </c>
      <c r="E5" s="16" t="n">
        <v>761000</v>
      </c>
      <c r="F5" s="16" t="n">
        <v>793000</v>
      </c>
    </row>
    <row r="6">
      <c r="A6" s="15" t="inlineStr">
        <is>
          <t>Grunde og bygninger</t>
        </is>
      </c>
      <c r="B6" s="16" t="n">
        <v>154000</v>
      </c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>
        <v>81000</v>
      </c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29000</v>
      </c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74000</v>
      </c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>
        <v>338000</v>
      </c>
      <c r="C11" s="16" t="n">
        <v>477000</v>
      </c>
      <c r="D11" s="16" t="n">
        <v>511000</v>
      </c>
      <c r="E11" s="16" t="n">
        <v>492000</v>
      </c>
      <c r="F11" s="16" t="n">
        <v>480000</v>
      </c>
    </row>
    <row r="12">
      <c r="A12" s="15" t="inlineStr">
        <is>
          <t>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Deposita</t>
        </is>
      </c>
      <c r="B13" s="16" t="n">
        <v>4000</v>
      </c>
      <c r="C13" s="16" t="n">
        <v>11000</v>
      </c>
      <c r="D13" s="16" t="n">
        <v>13000</v>
      </c>
      <c r="E13" s="16" t="n">
        <v>13000</v>
      </c>
      <c r="F13" s="16" t="n">
        <v>9000</v>
      </c>
    </row>
    <row r="14">
      <c r="A14" s="17" t="inlineStr">
        <is>
          <t>Finansielle anlægsaktiver</t>
        </is>
      </c>
      <c r="B14" s="16" t="n">
        <v>51000</v>
      </c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531000</v>
      </c>
      <c r="C15" s="16" t="n">
        <v>1516000</v>
      </c>
      <c r="D15" s="16" t="n">
        <v>1544000</v>
      </c>
      <c r="E15" s="16" t="n">
        <v>1514000</v>
      </c>
      <c r="F15" s="16" t="n">
        <v>1530000</v>
      </c>
    </row>
    <row r="16">
      <c r="A16" s="17" t="inlineStr">
        <is>
          <t>Varebeholdninger</t>
        </is>
      </c>
      <c r="B16" s="16" t="n">
        <v>220000</v>
      </c>
      <c r="C16" s="16" t="n">
        <v>334000</v>
      </c>
      <c r="D16" s="16" t="n">
        <v>343000</v>
      </c>
      <c r="E16" s="16" t="n">
        <v>332000</v>
      </c>
      <c r="F16" s="16" t="n">
        <v>336000</v>
      </c>
    </row>
    <row r="17">
      <c r="A17" s="15" t="inlineStr">
        <is>
          <t>Tilgodehavender fra salg og tjenesteydelser</t>
        </is>
      </c>
      <c r="B17" s="16" t="n">
        <v>335000</v>
      </c>
      <c r="C17" s="16" t="n">
        <v>397000</v>
      </c>
      <c r="D17" s="16" t="n">
        <v>476000</v>
      </c>
      <c r="E17" s="16" t="n">
        <v>505000</v>
      </c>
      <c r="F17" s="16" t="n">
        <v>450000</v>
      </c>
    </row>
    <row r="18">
      <c r="A18" s="15" t="inlineStr">
        <is>
          <t>Tilgodehavender hos tilknyttede virksomheder</t>
        </is>
      </c>
      <c r="B18" s="16" t="n">
        <v>0</v>
      </c>
      <c r="C18" s="16" t="n"/>
      <c r="D18" s="16" t="n"/>
      <c r="E18" s="16" t="n"/>
      <c r="F18" s="16" t="n"/>
    </row>
    <row r="19">
      <c r="A19" s="15" t="inlineStr">
        <is>
          <t>Andre tilgodehavender</t>
        </is>
      </c>
      <c r="B19" s="16" t="n">
        <v>41000</v>
      </c>
      <c r="C19" s="16" t="n"/>
      <c r="D19" s="16" t="n"/>
      <c r="E19" s="16" t="n"/>
      <c r="F19" s="16" t="n"/>
    </row>
    <row r="20">
      <c r="A20" s="15" t="inlineStr">
        <is>
          <t>Periodeafgrænsningsposter (aktiver)</t>
        </is>
      </c>
      <c r="B20" s="16" t="n">
        <v>15000</v>
      </c>
      <c r="C20" s="16" t="n">
        <v>21000</v>
      </c>
      <c r="D20" s="16" t="n">
        <v>17000</v>
      </c>
      <c r="E20" s="16" t="n">
        <v>18000</v>
      </c>
      <c r="F20" s="16" t="n">
        <v>20000</v>
      </c>
    </row>
    <row r="21">
      <c r="A21" s="15" t="inlineStr">
        <is>
          <t>Udskudt skatteaktiv</t>
        </is>
      </c>
      <c r="B21" s="16" t="n"/>
      <c r="C21" s="16" t="n">
        <v>89000</v>
      </c>
      <c r="D21" s="16" t="n">
        <v>94000</v>
      </c>
      <c r="E21" s="16" t="n">
        <v>112000</v>
      </c>
      <c r="F21" s="16" t="n">
        <v>122000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3000</v>
      </c>
      <c r="C23" s="16" t="n">
        <v>4000</v>
      </c>
      <c r="D23" s="16" t="n">
        <v>4000</v>
      </c>
      <c r="E23" s="16" t="n">
        <v>18000</v>
      </c>
      <c r="F23" s="16" t="n">
        <v>22000</v>
      </c>
    </row>
    <row r="24">
      <c r="A24" s="17" t="inlineStr">
        <is>
          <t>Tilgodehavender</t>
        </is>
      </c>
      <c r="B24" s="16" t="n">
        <v>394000</v>
      </c>
      <c r="C24" s="16" t="n">
        <v>48000</v>
      </c>
      <c r="D24" s="16" t="n">
        <v>70000</v>
      </c>
      <c r="E24" s="16" t="n">
        <v>71000</v>
      </c>
      <c r="F24" s="16" t="n">
        <v>63000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265000</v>
      </c>
      <c r="C26" s="16" t="n">
        <v>176000</v>
      </c>
      <c r="D26" s="16" t="n">
        <v>180000</v>
      </c>
      <c r="E26" s="16" t="n">
        <v>209000</v>
      </c>
      <c r="F26" s="16" t="n">
        <v>210000</v>
      </c>
    </row>
    <row r="27">
      <c r="A27" s="17" t="inlineStr">
        <is>
          <t>Omsætningsaktiver</t>
        </is>
      </c>
      <c r="B27" s="16" t="n">
        <v>879000</v>
      </c>
      <c r="C27" s="16" t="n">
        <v>980000</v>
      </c>
      <c r="D27" s="16" t="n">
        <v>1111000</v>
      </c>
      <c r="E27" s="16" t="n">
        <v>1153000</v>
      </c>
      <c r="F27" s="16" t="n">
        <v>1101000</v>
      </c>
    </row>
    <row r="28">
      <c r="A28" s="17" t="inlineStr">
        <is>
          <t>Aktiver</t>
        </is>
      </c>
      <c r="B28" s="16" t="n">
        <v>1410000</v>
      </c>
      <c r="C28" s="16" t="n">
        <v>2496000</v>
      </c>
      <c r="D28" s="16" t="n">
        <v>2655000</v>
      </c>
      <c r="E28" s="16" t="n">
        <v>2667000</v>
      </c>
      <c r="F28" s="16" t="n">
        <v>2631000</v>
      </c>
    </row>
    <row r="29">
      <c r="A29" s="15" t="inlineStr">
        <is>
          <t>Selskabskapital</t>
        </is>
      </c>
      <c r="B29" s="16" t="n">
        <v>15000</v>
      </c>
      <c r="C29" s="16" t="n">
        <v>15000</v>
      </c>
      <c r="D29" s="16" t="n">
        <v>15000</v>
      </c>
      <c r="E29" s="16" t="n">
        <v>15000</v>
      </c>
      <c r="F29" s="16" t="n">
        <v>19000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>
        <v>0</v>
      </c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>
        <v>-33000</v>
      </c>
      <c r="C33" s="16" t="n"/>
      <c r="D33" s="16" t="n">
        <v>0</v>
      </c>
      <c r="E33" s="16" t="n">
        <v>-4000</v>
      </c>
      <c r="F33" s="16" t="n">
        <v>590000</v>
      </c>
    </row>
    <row r="34">
      <c r="A34" s="15" t="inlineStr">
        <is>
          <t>Overført resultat</t>
        </is>
      </c>
      <c r="B34" s="16" t="n">
        <v>436000</v>
      </c>
      <c r="C34" s="16" t="n">
        <v>482000</v>
      </c>
      <c r="D34" s="16" t="n">
        <v>529000</v>
      </c>
      <c r="E34" s="16" t="n">
        <v>490000</v>
      </c>
      <c r="F34" s="16" t="n">
        <v>417000</v>
      </c>
    </row>
    <row r="35">
      <c r="A35" s="17" t="inlineStr">
        <is>
          <t>Egenkapital i alt</t>
        </is>
      </c>
      <c r="B35" s="16" t="n">
        <v>486000</v>
      </c>
      <c r="C35" s="16" t="n">
        <v>529000</v>
      </c>
      <c r="D35" s="16" t="n">
        <v>519000</v>
      </c>
      <c r="E35" s="16" t="n">
        <v>502000</v>
      </c>
      <c r="F35" s="16" t="n">
        <v>1058000</v>
      </c>
    </row>
    <row r="36">
      <c r="A36" s="15" t="inlineStr">
        <is>
          <t>Hensættelse til udskudt skat</t>
        </is>
      </c>
      <c r="B36" s="16" t="n">
        <v>48000</v>
      </c>
      <c r="C36" s="16" t="n">
        <v>131000</v>
      </c>
      <c r="D36" s="16" t="n">
        <v>99000</v>
      </c>
      <c r="E36" s="16" t="n">
        <v>77000</v>
      </c>
      <c r="F36" s="16" t="n">
        <v>70000</v>
      </c>
    </row>
    <row r="37">
      <c r="A37" s="17" t="inlineStr">
        <is>
          <t>Hensatte forpligtelser</t>
        </is>
      </c>
      <c r="B37" s="16" t="n">
        <v>121000</v>
      </c>
      <c r="C37" s="16" t="n">
        <v>41000</v>
      </c>
      <c r="D37" s="16" t="n">
        <v>36000</v>
      </c>
      <c r="E37" s="16" t="n">
        <v>36000</v>
      </c>
      <c r="F37" s="16" t="n">
        <v>55000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190000</v>
      </c>
      <c r="C39" s="16" t="n"/>
      <c r="D39" s="16" t="n"/>
      <c r="E39" s="16" t="n"/>
      <c r="F39" s="16" t="n"/>
    </row>
    <row r="40">
      <c r="A40" s="15" t="inlineStr">
        <is>
          <t>Leasingforpligtelser (langfristet)</t>
        </is>
      </c>
      <c r="B40" s="16" t="n"/>
      <c r="C40" s="16" t="n">
        <v>138000</v>
      </c>
      <c r="D40" s="16" t="n">
        <v>129000</v>
      </c>
      <c r="E40" s="16" t="n">
        <v>105000</v>
      </c>
      <c r="F40" s="16" t="n">
        <v>95000</v>
      </c>
    </row>
    <row r="41">
      <c r="A41" s="15" t="inlineStr">
        <is>
          <t>Anden gæld (langfristet)</t>
        </is>
      </c>
      <c r="B41" s="16" t="n">
        <v>2000</v>
      </c>
      <c r="C41" s="16" t="n">
        <v>0</v>
      </c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192000</v>
      </c>
      <c r="C42" s="16" t="n">
        <v>770000</v>
      </c>
      <c r="D42" s="16" t="n">
        <v>901000</v>
      </c>
      <c r="E42" s="16" t="n">
        <v>1034000</v>
      </c>
      <c r="F42" s="16" t="n">
        <v>548000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9000</v>
      </c>
      <c r="C44" s="16" t="n"/>
      <c r="D44" s="16" t="n"/>
      <c r="E44" s="16" t="n"/>
      <c r="F44" s="16" t="n"/>
    </row>
    <row r="45">
      <c r="A45" s="15" t="inlineStr">
        <is>
          <t>Kreditinstitutter</t>
        </is>
      </c>
      <c r="B45" s="16" t="n">
        <v>40000</v>
      </c>
      <c r="C45" s="16" t="n">
        <v>67000</v>
      </c>
      <c r="D45" s="16" t="n">
        <v>100000</v>
      </c>
      <c r="E45" s="16" t="n">
        <v>53000</v>
      </c>
      <c r="F45" s="16" t="n">
        <v>75000</v>
      </c>
    </row>
    <row r="46">
      <c r="A46" s="15" t="inlineStr">
        <is>
          <t>Leasingforpligtelser (kortfristet)</t>
        </is>
      </c>
      <c r="B46" s="16" t="n"/>
      <c r="C46" s="16" t="n">
        <v>38000</v>
      </c>
      <c r="D46" s="16" t="n">
        <v>36000</v>
      </c>
      <c r="E46" s="16" t="n">
        <v>35000</v>
      </c>
      <c r="F46" s="16" t="n">
        <v>34000</v>
      </c>
    </row>
    <row r="47">
      <c r="A47" s="15" t="inlineStr">
        <is>
          <t>Leverandører af varer og tjenesteydelser</t>
        </is>
      </c>
      <c r="B47" s="16" t="n">
        <v>261000</v>
      </c>
      <c r="C47" s="16" t="n">
        <v>344000</v>
      </c>
      <c r="D47" s="16" t="n">
        <v>355000</v>
      </c>
      <c r="E47" s="16" t="n">
        <v>332000</v>
      </c>
      <c r="F47" s="16" t="n">
        <v>317000</v>
      </c>
    </row>
    <row r="48">
      <c r="A48" s="15" t="inlineStr">
        <is>
          <t>Gæld til tilknyttede virksomheder</t>
        </is>
      </c>
      <c r="B48" s="16" t="n">
        <v>48000</v>
      </c>
      <c r="C48" s="16" t="n"/>
      <c r="D48" s="16" t="n"/>
      <c r="E48" s="16" t="n"/>
      <c r="F48" s="16" t="n"/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9000</v>
      </c>
      <c r="C50" s="16" t="n"/>
      <c r="D50" s="16" t="n"/>
      <c r="E50" s="16" t="n"/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238000</v>
      </c>
      <c r="C52" s="16" t="n">
        <v>283000</v>
      </c>
      <c r="D52" s="16" t="n">
        <v>320000</v>
      </c>
      <c r="E52" s="16" t="n">
        <v>301000</v>
      </c>
      <c r="F52" s="16" t="n">
        <v>223000</v>
      </c>
    </row>
    <row r="53">
      <c r="A53" s="15" t="inlineStr">
        <is>
          <t>Periodeafgrænsningsposter (passiver)</t>
        </is>
      </c>
      <c r="B53" s="16" t="n">
        <v>6000</v>
      </c>
      <c r="C53" s="16" t="n"/>
      <c r="D53" s="16" t="n">
        <v>7000</v>
      </c>
      <c r="E53" s="16" t="n">
        <v>8000</v>
      </c>
      <c r="F53" s="16" t="n">
        <v>7000</v>
      </c>
    </row>
    <row r="54">
      <c r="A54" s="17" t="inlineStr">
        <is>
          <t>Kortfristede gældsforpligtelser</t>
        </is>
      </c>
      <c r="B54" s="16" t="n">
        <v>611000</v>
      </c>
      <c r="C54" s="16" t="n">
        <v>825000</v>
      </c>
      <c r="D54" s="16" t="n">
        <v>927000</v>
      </c>
      <c r="E54" s="16" t="n">
        <v>837000</v>
      </c>
      <c r="F54" s="16" t="n">
        <v>716000</v>
      </c>
    </row>
    <row r="55">
      <c r="A55" s="17" t="inlineStr">
        <is>
          <t>Gældsforpligtelser</t>
        </is>
      </c>
      <c r="B55" s="16" t="n">
        <v>924000</v>
      </c>
      <c r="C55" s="16" t="n">
        <v>1926000</v>
      </c>
      <c r="D55" s="16" t="n">
        <v>2108000</v>
      </c>
      <c r="E55" s="16" t="n">
        <v>2108000</v>
      </c>
      <c r="F55" s="16" t="n">
        <v>1506000</v>
      </c>
    </row>
    <row r="56">
      <c r="A56" s="17" t="inlineStr">
        <is>
          <t>Passiver</t>
        </is>
      </c>
      <c r="B56" s="16" t="n">
        <v>1410000</v>
      </c>
      <c r="C56" s="16" t="n">
        <v>2496000</v>
      </c>
      <c r="D56" s="16" t="n">
        <v>2655000</v>
      </c>
      <c r="E56" s="16" t="n">
        <v>2667000</v>
      </c>
      <c r="F56" s="16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t.kr."))</f>
        <v/>
      </c>
      <c r="C60" s="29">
        <f>IF('balance_raw_59946013'!$E$28="","—",IF(ABS(C20-'balance_raw_59946013'!$E$28)&lt;=1,"✓ OK","❌ "&amp;TEXT(C20-'balance_raw_59946013'!$E$28,"+#,##0;-#,##0")&amp;" t.kr."))</f>
        <v/>
      </c>
      <c r="D60" s="29">
        <f>IF('balance_raw_59946013'!$D$28="","—",IF(ABS(D20-'balance_raw_59946013'!$D$28)&lt;=1,"✓ OK","❌ "&amp;TEXT(D20-'balance_raw_59946013'!$D$28,"+#,##0;-#,##0")&amp;"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t.kr."))</f>
        <v/>
      </c>
      <c r="C61" s="29">
        <f>IF('balance_raw_59946013'!$E$56="","—",IF(ABS(C24-'balance_raw_59946013'!$E$56)&lt;=1,"✓ OK","❌ "&amp;TEXT(C24-'balance_raw_59946013'!$E$56,"+#,##0;-#,##0")&amp;" t.kr."))</f>
        <v/>
      </c>
      <c r="D61" s="29">
        <f>IF('balance_raw_59946013'!$D$56="","—",IF(ABS(D24-'balance_raw_59946013'!$D$56)&lt;=1,"✓ OK","❌ "&amp;TEXT(D24-'balance_raw_59946013'!$D$56,"+#,##0;-#,##0")&amp;"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t.kr."))</f>
        <v/>
      </c>
      <c r="C63" s="29">
        <f>IF('res_raw_59946013'!$E$4="","—",IF(ABS(C7-'res_raw_59946013'!$E$4)&lt;=1,"✓ OK","❌ "&amp;TEXT(C7-'res_raw_59946013'!$E$4,"+#,##0;-#,##0")&amp;" t.kr."))</f>
        <v/>
      </c>
      <c r="D63" s="29">
        <f>IF('res_raw_59946013'!$D$4="","—",IF(ABS(D7-'res_raw_59946013'!$D$4)&lt;=1,"✓ OK","❌ "&amp;TEXT(D7-'res_raw_59946013'!$D$4,"+#,##0;-#,##0")&amp;"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t.kr."))</f>
        <v/>
      </c>
      <c r="C64" s="29">
        <f>IF('res_raw_59946013'!$E$9="","—",IF(ABS(C12-'res_raw_59946013'!$E$9)&lt;=1,"✓ OK","❌ "&amp;TEXT(C12-'res_raw_59946013'!$E$9,"+#,##0;-#,##0")&amp;" t.kr."))</f>
        <v/>
      </c>
      <c r="D64" s="29">
        <f>IF('res_raw_59946013'!$D$9="","—",IF(ABS(D12-'res_raw_59946013'!$D$9)&lt;=1,"✓ OK","❌ "&amp;TEXT(D12-'res_raw_59946013'!$D$9,"+#,##0;-#,##0")&amp;"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t.kr."))</f>
        <v/>
      </c>
      <c r="C65" s="29">
        <f>IF('res_raw_59946013'!$E$14="","—",IF(ABS(C15-'res_raw_59946013'!$E$14)&lt;=1,"✓ OK","❌ "&amp;TEXT(C15-'res_raw_59946013'!$E$14,"+#,##0;-#,##0")&amp;" t.kr."))</f>
        <v/>
      </c>
      <c r="D65" s="29">
        <f>IF('res_raw_59946013'!$D$14="","—",IF(ABS(D15-'res_raw_59946013'!$D$14)&lt;=1,"✓ OK","❌ "&amp;TEXT(D15-'res_raw_59946013'!$D$14,"+#,##0;-#,##0")&amp;"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fsa:NoncurrentDeferredTaxAssets</t>
        </is>
      </c>
      <c r="C4" s="37" t="inlineStr">
        <is>
          <t>fsa:NoncurrentDeferredTaxAssets</t>
        </is>
      </c>
      <c r="D4" s="38" t="n">
        <v>47000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ifrs-full:ReserveOfExchangeDifferencesOnTranslation</t>
        </is>
      </c>
      <c r="C5" s="34" t="inlineStr">
        <is>
          <t>ifrs-full:ReserveOfExchangeDifferencesOnTranslation</t>
        </is>
      </c>
      <c r="D5" s="35" t="n"/>
      <c r="E5" s="35" t="n"/>
      <c r="F5" s="35" t="n">
        <v>-25000</v>
      </c>
      <c r="G5" s="35" t="n">
        <v>-24000</v>
      </c>
      <c r="H5" s="35" t="n">
        <v>28000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ifrs-full:WarrantReserve</t>
        </is>
      </c>
      <c r="C6" s="37" t="inlineStr">
        <is>
          <t>ifrs-full:WarrantReserve</t>
        </is>
      </c>
      <c r="D6" s="38" t="n"/>
      <c r="E6" s="38" t="n"/>
      <c r="F6" s="38" t="n"/>
      <c r="G6" s="38" t="n"/>
      <c r="H6" s="38" t="n">
        <v>6000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2026-08-28T20:29:07Z</dcterms:created>
  <dcterms:modified xmlns:dcterms="http://purl.org/dc/terms/" xmlns:xsi="http://www.w3.org/2001/XMLSchema-instance" xsi:type="dcterms:W3CDTF">2026-08-28T20:29:07Z</dcterms:modified>
</cp:coreProperties>
</file>