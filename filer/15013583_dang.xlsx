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5013583" sheetId="1" state="visible" r:id="rId1"/>
    <sheet xmlns:r="http://schemas.openxmlformats.org/officeDocument/2006/relationships" name="res_raw_15013583" sheetId="2" state="visible" r:id="rId2"/>
    <sheet xmlns:r="http://schemas.openxmlformats.org/officeDocument/2006/relationships" name="balance_raw_15013583" sheetId="3" state="visible" r:id="rId3"/>
    <sheet xmlns:r="http://schemas.openxmlformats.org/officeDocument/2006/relationships" name="Simpel_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 · Klasse C-mellem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'res_raw_15013583'!$B$2</f>
        <v/>
      </c>
      <c r="C4" s="5">
        <f>'res_raw_15013583'!$C$2</f>
        <v/>
      </c>
      <c r="D4" s="5">
        <f>'res_raw_15013583'!$D$2</f>
        <v/>
      </c>
      <c r="E4" s="5">
        <f>'res_raw_15013583'!$E$2</f>
        <v/>
      </c>
      <c r="F4" s="5">
        <f>'res_raw_15013583'!$F$2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'res_raw_15013583'!$B$3</f>
        <v/>
      </c>
      <c r="C5" s="8">
        <f>'res_raw_15013583'!$C$3</f>
        <v/>
      </c>
      <c r="D5" s="8">
        <f>'res_raw_15013583'!$D$3</f>
        <v/>
      </c>
      <c r="E5" s="8">
        <f>'res_raw_15013583'!$E$3</f>
        <v/>
      </c>
      <c r="F5" s="8">
        <f>'res_raw_15013583'!$F$3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'res_raw_15013583'!$B$4</f>
        <v/>
      </c>
      <c r="C6" s="5">
        <f>'res_raw_15013583'!$C$4</f>
        <v/>
      </c>
      <c r="D6" s="5">
        <f>'res_raw_15013583'!$D$4</f>
        <v/>
      </c>
      <c r="E6" s="5">
        <f>'res_raw_15013583'!$E$4</f>
        <v/>
      </c>
      <c r="F6" s="5">
        <f>'res_raw_15013583'!$F$4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'res_raw_15013583'!$B$5</f>
        <v/>
      </c>
      <c r="C7" s="8">
        <f>'res_raw_15013583'!$C$5</f>
        <v/>
      </c>
      <c r="D7" s="8">
        <f>'res_raw_15013583'!$D$5</f>
        <v/>
      </c>
      <c r="E7" s="8">
        <f>'res_raw_15013583'!$E$5</f>
        <v/>
      </c>
      <c r="F7" s="8">
        <f>'res_raw_15013583'!$F$5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'res_raw_15013583'!$B$6</f>
        <v/>
      </c>
      <c r="C8" s="11">
        <f>'res_raw_15013583'!$C$6</f>
        <v/>
      </c>
      <c r="D8" s="11">
        <f>'res_raw_15013583'!$D$6</f>
        <v/>
      </c>
      <c r="E8" s="11">
        <f>'res_raw_15013583'!$E$6</f>
        <v/>
      </c>
      <c r="F8" s="11">
        <f>'res_raw_15013583'!$F$6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'res_raw_15013583'!$B$7</f>
        <v/>
      </c>
      <c r="C9" s="8">
        <f>'res_raw_15013583'!$C$7</f>
        <v/>
      </c>
      <c r="D9" s="8">
        <f>'res_raw_15013583'!$D$7</f>
        <v/>
      </c>
      <c r="E9" s="8">
        <f>'res_raw_15013583'!$E$7</f>
        <v/>
      </c>
      <c r="F9" s="8">
        <f>'res_raw_15013583'!$F$7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'res_raw_15013583'!$B$9</f>
        <v/>
      </c>
      <c r="C11" s="8">
        <f>'res_raw_15013583'!$C$9</f>
        <v/>
      </c>
      <c r="D11" s="8">
        <f>'res_raw_15013583'!$D$9</f>
        <v/>
      </c>
      <c r="E11" s="8">
        <f>'res_raw_15013583'!$E$9</f>
        <v/>
      </c>
      <c r="F11" s="8">
        <f>'res_raw_15013583'!$F$9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'res_raw_15013583'!$B$10</f>
        <v/>
      </c>
      <c r="C12" s="5">
        <f>'res_raw_15013583'!$C$10</f>
        <v/>
      </c>
      <c r="D12" s="5">
        <f>'res_raw_15013583'!$D$10</f>
        <v/>
      </c>
      <c r="E12" s="5">
        <f>'res_raw_15013583'!$E$10</f>
        <v/>
      </c>
      <c r="F12" s="5">
        <f>'res_raw_15013583'!$F$10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'res_raw_15013583'!$B$11</f>
        <v/>
      </c>
      <c r="C13" s="11">
        <f>'res_raw_15013583'!$C$11</f>
        <v/>
      </c>
      <c r="D13" s="11">
        <f>'res_raw_15013583'!$D$11</f>
        <v/>
      </c>
      <c r="E13" s="11">
        <f>'res_raw_15013583'!$E$11</f>
        <v/>
      </c>
      <c r="F13" s="11">
        <f>'res_raw_15013583'!$F$11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'res_raw_15013583'!$B$12</f>
        <v/>
      </c>
      <c r="C14" s="5">
        <f>'res_raw_15013583'!$C$12</f>
        <v/>
      </c>
      <c r="D14" s="5">
        <f>'res_raw_15013583'!$D$12</f>
        <v/>
      </c>
      <c r="E14" s="5">
        <f>'res_raw_15013583'!$E$12</f>
        <v/>
      </c>
      <c r="F14" s="5">
        <f>'res_raw_15013583'!$F$12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'res_raw_15013583'!$B$13</f>
        <v/>
      </c>
      <c r="C15" s="8">
        <f>'res_raw_15013583'!$C$13</f>
        <v/>
      </c>
      <c r="D15" s="8">
        <f>'res_raw_15013583'!$D$13</f>
        <v/>
      </c>
      <c r="E15" s="8">
        <f>'res_raw_15013583'!$E$13</f>
        <v/>
      </c>
      <c r="F15" s="8">
        <f>'res_raw_15013583'!$F$13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'res_raw_15013583'!$B$14</f>
        <v/>
      </c>
      <c r="C16" s="5">
        <f>'res_raw_15013583'!$C$14</f>
        <v/>
      </c>
      <c r="D16" s="5">
        <f>'res_raw_15013583'!$D$14</f>
        <v/>
      </c>
      <c r="E16" s="5">
        <f>'res_raw_15013583'!$E$14</f>
        <v/>
      </c>
      <c r="F16" s="5">
        <f>'res_raw_15013583'!$F$14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'res_raw_15013583'!$B$15</f>
        <v/>
      </c>
      <c r="C17" s="11">
        <f>'res_raw_15013583'!$C$15</f>
        <v/>
      </c>
      <c r="D17" s="11">
        <f>'res_raw_15013583'!$D$15</f>
        <v/>
      </c>
      <c r="E17" s="11">
        <f>'res_raw_15013583'!$E$15</f>
        <v/>
      </c>
      <c r="F17" s="11">
        <f>'res_raw_15013583'!$F$15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'res_raw_15013583'!$B$16</f>
        <v/>
      </c>
      <c r="C18" s="11">
        <f>'res_raw_15013583'!$C$16</f>
        <v/>
      </c>
      <c r="D18" s="11">
        <f>'res_raw_15013583'!$D$16</f>
        <v/>
      </c>
      <c r="E18" s="11">
        <f>'res_raw_15013583'!$E$16</f>
        <v/>
      </c>
      <c r="F18" s="11">
        <f>'res_raw_15013583'!$F$16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'res_raw_15013583'!$B$17</f>
        <v/>
      </c>
      <c r="C19" s="8">
        <f>'res_raw_15013583'!$C$17</f>
        <v/>
      </c>
      <c r="D19" s="8">
        <f>'res_raw_15013583'!$D$17</f>
        <v/>
      </c>
      <c r="E19" s="8">
        <f>'res_raw_15013583'!$E$17</f>
        <v/>
      </c>
      <c r="F19" s="8">
        <f>'res_raw_15013583'!$F$17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'res_raw_15013583'!$B$18</f>
        <v/>
      </c>
      <c r="C20" s="11">
        <f>'res_raw_15013583'!$C$18</f>
        <v/>
      </c>
      <c r="D20" s="11">
        <f>'res_raw_15013583'!$D$18</f>
        <v/>
      </c>
      <c r="E20" s="11">
        <f>'res_raw_15013583'!$E$18</f>
        <v/>
      </c>
      <c r="F20" s="11">
        <f>'res_raw_15013583'!$F$18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'balance_raw_15013583'!$B$2</f>
        <v/>
      </c>
      <c r="C23" s="8">
        <f>'balance_raw_15013583'!$C$2</f>
        <v/>
      </c>
      <c r="D23" s="8">
        <f>'balance_raw_15013583'!$D$2</f>
        <v/>
      </c>
      <c r="E23" s="8">
        <f>'balance_raw_15013583'!$E$2</f>
        <v/>
      </c>
      <c r="F23" s="8">
        <f>'balance_raw_15013583'!$F$2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'balance_raw_15013583'!$B$3</f>
        <v/>
      </c>
      <c r="C24" s="5">
        <f>'balance_raw_15013583'!$C$3</f>
        <v/>
      </c>
      <c r="D24" s="5">
        <f>'balance_raw_15013583'!$D$3</f>
        <v/>
      </c>
      <c r="E24" s="5">
        <f>'balance_raw_15013583'!$E$3</f>
        <v/>
      </c>
      <c r="F24" s="5">
        <f>'balance_raw_15013583'!$F$3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'balance_raw_15013583'!$B$4</f>
        <v/>
      </c>
      <c r="C25" s="8">
        <f>'balance_raw_15013583'!$C$4</f>
        <v/>
      </c>
      <c r="D25" s="8">
        <f>'balance_raw_15013583'!$D$4</f>
        <v/>
      </c>
      <c r="E25" s="8">
        <f>'balance_raw_15013583'!$E$4</f>
        <v/>
      </c>
      <c r="F25" s="8">
        <f>'balance_raw_15013583'!$F$4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'balance_raw_15013583'!$B$5</f>
        <v/>
      </c>
      <c r="C26" s="11">
        <f>'balance_raw_15013583'!$C$5</f>
        <v/>
      </c>
      <c r="D26" s="11">
        <f>'balance_raw_15013583'!$D$5</f>
        <v/>
      </c>
      <c r="E26" s="11">
        <f>'balance_raw_15013583'!$E$5</f>
        <v/>
      </c>
      <c r="F26" s="11">
        <f>'balance_raw_15013583'!$F$5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'balance_raw_15013583'!$B$6</f>
        <v/>
      </c>
      <c r="C27" s="8">
        <f>'balance_raw_15013583'!$C$6</f>
        <v/>
      </c>
      <c r="D27" s="8">
        <f>'balance_raw_15013583'!$D$6</f>
        <v/>
      </c>
      <c r="E27" s="8">
        <f>'balance_raw_15013583'!$E$6</f>
        <v/>
      </c>
      <c r="F27" s="8">
        <f>'balance_raw_15013583'!$F$6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'balance_raw_15013583'!$B$7</f>
        <v/>
      </c>
      <c r="C28" s="5">
        <f>'balance_raw_15013583'!$C$7</f>
        <v/>
      </c>
      <c r="D28" s="5">
        <f>'balance_raw_15013583'!$D$7</f>
        <v/>
      </c>
      <c r="E28" s="5">
        <f>'balance_raw_15013583'!$E$7</f>
        <v/>
      </c>
      <c r="F28" s="5">
        <f>'balance_raw_15013583'!$F$7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'balance_raw_15013583'!$B$8</f>
        <v/>
      </c>
      <c r="C29" s="8">
        <f>'balance_raw_15013583'!$C$8</f>
        <v/>
      </c>
      <c r="D29" s="8">
        <f>'balance_raw_15013583'!$D$8</f>
        <v/>
      </c>
      <c r="E29" s="8">
        <f>'balance_raw_15013583'!$E$8</f>
        <v/>
      </c>
      <c r="F29" s="8">
        <f>'balance_raw_15013583'!$F$8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'balance_raw_15013583'!$B$9</f>
        <v/>
      </c>
      <c r="C30" s="5">
        <f>'balance_raw_15013583'!$C$9</f>
        <v/>
      </c>
      <c r="D30" s="5">
        <f>'balance_raw_15013583'!$D$9</f>
        <v/>
      </c>
      <c r="E30" s="5">
        <f>'balance_raw_15013583'!$E$9</f>
        <v/>
      </c>
      <c r="F30" s="5">
        <f>'balance_raw_15013583'!$F$9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'balance_raw_15013583'!$B$10</f>
        <v/>
      </c>
      <c r="C31" s="8">
        <f>'balance_raw_15013583'!$C$10</f>
        <v/>
      </c>
      <c r="D31" s="8">
        <f>'balance_raw_15013583'!$D$10</f>
        <v/>
      </c>
      <c r="E31" s="8">
        <f>'balance_raw_15013583'!$E$10</f>
        <v/>
      </c>
      <c r="F31" s="8">
        <f>'balance_raw_15013583'!$F$10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'balance_raw_15013583'!$B$11</f>
        <v/>
      </c>
      <c r="C32" s="11">
        <f>'balance_raw_15013583'!$C$11</f>
        <v/>
      </c>
      <c r="D32" s="11">
        <f>'balance_raw_15013583'!$D$11</f>
        <v/>
      </c>
      <c r="E32" s="11">
        <f>'balance_raw_15013583'!$E$11</f>
        <v/>
      </c>
      <c r="F32" s="11">
        <f>'balance_raw_15013583'!$F$11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10" t="inlineStr">
        <is>
          <t>Anlægsaktiver</t>
        </is>
      </c>
      <c r="B33" s="11">
        <f>'balance_raw_15013583'!$B$12</f>
        <v/>
      </c>
      <c r="C33" s="11">
        <f>'balance_raw_15013583'!$C$12</f>
        <v/>
      </c>
      <c r="D33" s="11">
        <f>'balance_raw_15013583'!$D$12</f>
        <v/>
      </c>
      <c r="E33" s="11">
        <f>'balance_raw_15013583'!$E$12</f>
        <v/>
      </c>
      <c r="F33" s="11">
        <f>'balance_raw_15013583'!$F$12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Råvarer og hjælpematerialer</t>
        </is>
      </c>
      <c r="B34" s="5">
        <f>'balance_raw_15013583'!$B$13</f>
        <v/>
      </c>
      <c r="C34" s="5">
        <f>'balance_raw_15013583'!$C$13</f>
        <v/>
      </c>
      <c r="D34" s="5">
        <f>'balance_raw_15013583'!$D$13</f>
        <v/>
      </c>
      <c r="E34" s="5">
        <f>'balance_raw_15013583'!$E$13</f>
        <v/>
      </c>
      <c r="F34" s="5">
        <f>'balance_raw_15013583'!$F$13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Varer under fremstilling</t>
        </is>
      </c>
      <c r="B35" s="8">
        <f>'balance_raw_15013583'!$B$14</f>
        <v/>
      </c>
      <c r="C35" s="8">
        <f>'balance_raw_15013583'!$C$14</f>
        <v/>
      </c>
      <c r="D35" s="8">
        <f>'balance_raw_15013583'!$D$14</f>
        <v/>
      </c>
      <c r="E35" s="8">
        <f>'balance_raw_15013583'!$E$14</f>
        <v/>
      </c>
      <c r="F35" s="8">
        <f>'balance_raw_15013583'!$F$14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Færdigvarer og handelsvarer</t>
        </is>
      </c>
      <c r="B36" s="5">
        <f>'balance_raw_15013583'!$B$15</f>
        <v/>
      </c>
      <c r="C36" s="5">
        <f>'balance_raw_15013583'!$C$15</f>
        <v/>
      </c>
      <c r="D36" s="5">
        <f>'balance_raw_15013583'!$D$15</f>
        <v/>
      </c>
      <c r="E36" s="5">
        <f>'balance_raw_15013583'!$E$15</f>
        <v/>
      </c>
      <c r="F36" s="5">
        <f>'balance_raw_15013583'!$F$15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Varebeholdninger</t>
        </is>
      </c>
      <c r="B37" s="11">
        <f>'balance_raw_15013583'!$B$16</f>
        <v/>
      </c>
      <c r="C37" s="11">
        <f>'balance_raw_15013583'!$C$16</f>
        <v/>
      </c>
      <c r="D37" s="11">
        <f>'balance_raw_15013583'!$D$16</f>
        <v/>
      </c>
      <c r="E37" s="11">
        <f>'balance_raw_15013583'!$E$16</f>
        <v/>
      </c>
      <c r="F37" s="11">
        <f>'balance_raw_15013583'!$F$16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Tilgodehavender fra salg og tjenesteydelser</t>
        </is>
      </c>
      <c r="B38" s="5">
        <f>'balance_raw_15013583'!$B$17</f>
        <v/>
      </c>
      <c r="C38" s="5">
        <f>'balance_raw_15013583'!$C$17</f>
        <v/>
      </c>
      <c r="D38" s="5">
        <f>'balance_raw_15013583'!$D$17</f>
        <v/>
      </c>
      <c r="E38" s="5">
        <f>'balance_raw_15013583'!$E$17</f>
        <v/>
      </c>
      <c r="F38" s="5">
        <f>'balance_raw_15013583'!$F$17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Tilgodehavender hos tilknyttede virksomheder</t>
        </is>
      </c>
      <c r="B39" s="8">
        <f>'balance_raw_15013583'!$B$18</f>
        <v/>
      </c>
      <c r="C39" s="8">
        <f>'balance_raw_15013583'!$C$18</f>
        <v/>
      </c>
      <c r="D39" s="8">
        <f>'balance_raw_15013583'!$D$18</f>
        <v/>
      </c>
      <c r="E39" s="8">
        <f>'balance_raw_15013583'!$E$18</f>
        <v/>
      </c>
      <c r="F39" s="8">
        <f>'balance_raw_15013583'!$F$18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Andre tilgodehavender</t>
        </is>
      </c>
      <c r="B40" s="5">
        <f>'balance_raw_15013583'!$B$19</f>
        <v/>
      </c>
      <c r="C40" s="5">
        <f>'balance_raw_15013583'!$C$19</f>
        <v/>
      </c>
      <c r="D40" s="5">
        <f>'balance_raw_15013583'!$D$19</f>
        <v/>
      </c>
      <c r="E40" s="5">
        <f>'balance_raw_15013583'!$E$19</f>
        <v/>
      </c>
      <c r="F40" s="5">
        <f>'balance_raw_15013583'!$F$19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Periodeafgrænsningsposter (aktiver)</t>
        </is>
      </c>
      <c r="B41" s="8">
        <f>'balance_raw_15013583'!$B$20</f>
        <v/>
      </c>
      <c r="C41" s="8">
        <f>'balance_raw_15013583'!$C$20</f>
        <v/>
      </c>
      <c r="D41" s="8">
        <f>'balance_raw_15013583'!$D$20</f>
        <v/>
      </c>
      <c r="E41" s="8">
        <f>'balance_raw_15013583'!$E$20</f>
        <v/>
      </c>
      <c r="F41" s="8">
        <f>'balance_raw_15013583'!$F$20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Udskudt skatteaktiv</t>
        </is>
      </c>
      <c r="B42" s="5">
        <f>'balance_raw_15013583'!$B$21</f>
        <v/>
      </c>
      <c r="C42" s="5">
        <f>'balance_raw_15013583'!$C$21</f>
        <v/>
      </c>
      <c r="D42" s="5">
        <f>'balance_raw_15013583'!$D$21</f>
        <v/>
      </c>
      <c r="E42" s="5">
        <f>'balance_raw_15013583'!$E$21</f>
        <v/>
      </c>
      <c r="F42" s="5">
        <f>'balance_raw_15013583'!$F$21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Tilgodehavende skat hos tilknyttede virksomheder</t>
        </is>
      </c>
      <c r="B43" s="8">
        <f>'balance_raw_15013583'!$B$22</f>
        <v/>
      </c>
      <c r="C43" s="8">
        <f>'balance_raw_15013583'!$C$22</f>
        <v/>
      </c>
      <c r="D43" s="8">
        <f>'balance_raw_15013583'!$D$22</f>
        <v/>
      </c>
      <c r="E43" s="8">
        <f>'balance_raw_15013583'!$E$22</f>
        <v/>
      </c>
      <c r="F43" s="8">
        <f>'balance_raw_15013583'!$F$22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Kortfristede skattetilgodehavender</t>
        </is>
      </c>
      <c r="B44" s="5">
        <f>'balance_raw_15013583'!$B$23</f>
        <v/>
      </c>
      <c r="C44" s="5">
        <f>'balance_raw_15013583'!$C$23</f>
        <v/>
      </c>
      <c r="D44" s="5">
        <f>'balance_raw_15013583'!$D$23</f>
        <v/>
      </c>
      <c r="E44" s="5">
        <f>'balance_raw_15013583'!$E$23</f>
        <v/>
      </c>
      <c r="F44" s="5">
        <f>'balance_raw_15013583'!$F$23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Tilgodehavender</t>
        </is>
      </c>
      <c r="B45" s="11">
        <f>'balance_raw_15013583'!$B$24</f>
        <v/>
      </c>
      <c r="C45" s="11">
        <f>'balance_raw_15013583'!$C$24</f>
        <v/>
      </c>
      <c r="D45" s="11">
        <f>'balance_raw_15013583'!$D$24</f>
        <v/>
      </c>
      <c r="E45" s="11">
        <f>'balance_raw_15013583'!$E$24</f>
        <v/>
      </c>
      <c r="F45" s="11">
        <f>'balance_raw_15013583'!$F$24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Værdipapirer</t>
        </is>
      </c>
      <c r="B46" s="5">
        <f>'balance_raw_15013583'!$B$25</f>
        <v/>
      </c>
      <c r="C46" s="5">
        <f>'balance_raw_15013583'!$C$25</f>
        <v/>
      </c>
      <c r="D46" s="5">
        <f>'balance_raw_15013583'!$D$25</f>
        <v/>
      </c>
      <c r="E46" s="5">
        <f>'balance_raw_15013583'!$E$25</f>
        <v/>
      </c>
      <c r="F46" s="5">
        <f>'balance_raw_15013583'!$F$25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Likvide beholdninger</t>
        </is>
      </c>
      <c r="B47" s="8">
        <f>'balance_raw_15013583'!$B$26</f>
        <v/>
      </c>
      <c r="C47" s="8">
        <f>'balance_raw_15013583'!$C$26</f>
        <v/>
      </c>
      <c r="D47" s="8">
        <f>'balance_raw_15013583'!$D$26</f>
        <v/>
      </c>
      <c r="E47" s="8">
        <f>'balance_raw_15013583'!$E$26</f>
        <v/>
      </c>
      <c r="F47" s="8">
        <f>'balance_raw_15013583'!$F$26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Omsætningsaktiver</t>
        </is>
      </c>
      <c r="B48" s="11">
        <f>'balance_raw_15013583'!$B$27</f>
        <v/>
      </c>
      <c r="C48" s="11">
        <f>'balance_raw_15013583'!$C$27</f>
        <v/>
      </c>
      <c r="D48" s="11">
        <f>'balance_raw_15013583'!$D$27</f>
        <v/>
      </c>
      <c r="E48" s="11">
        <f>'balance_raw_15013583'!$E$27</f>
        <v/>
      </c>
      <c r="F48" s="11">
        <f>'balance_raw_15013583'!$F$27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10" t="inlineStr">
        <is>
          <t>Aktiver</t>
        </is>
      </c>
      <c r="B49" s="11">
        <f>'balance_raw_15013583'!$B$28</f>
        <v/>
      </c>
      <c r="C49" s="11">
        <f>'balance_raw_15013583'!$C$28</f>
        <v/>
      </c>
      <c r="D49" s="11">
        <f>'balance_raw_15013583'!$D$28</f>
        <v/>
      </c>
      <c r="E49" s="11">
        <f>'balance_raw_15013583'!$E$28</f>
        <v/>
      </c>
      <c r="F49" s="11">
        <f>'balance_raw_15013583'!$F$28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1" ht="22" customHeight="1">
      <c r="A51" s="3" t="inlineStr">
        <is>
          <t>PASSIVER t.kr.</t>
        </is>
      </c>
      <c r="B51" s="3" t="n">
        <v>2021</v>
      </c>
      <c r="C51" s="3" t="n">
        <v>2022</v>
      </c>
      <c r="D51" s="3" t="n">
        <v>2023</v>
      </c>
      <c r="E51" s="3" t="n">
        <v>2024</v>
      </c>
      <c r="F51" s="3" t="n">
        <v>2025</v>
      </c>
      <c r="G51" t="inlineStr"/>
      <c r="H51" s="3" t="n">
        <v>2021</v>
      </c>
      <c r="I51" s="3" t="n">
        <v>2022</v>
      </c>
      <c r="J51" s="3" t="n">
        <v>2023</v>
      </c>
      <c r="K51" s="3" t="n">
        <v>2024</v>
      </c>
      <c r="L51" s="3" t="n">
        <v>2025</v>
      </c>
    </row>
    <row r="52" ht="16" customHeight="1">
      <c r="A52" s="4" t="inlineStr">
        <is>
          <t>Selskabskapital</t>
        </is>
      </c>
      <c r="B52" s="5">
        <f>'balance_raw_15013583'!$B$29</f>
        <v/>
      </c>
      <c r="C52" s="5">
        <f>'balance_raw_15013583'!$C$29</f>
        <v/>
      </c>
      <c r="D52" s="5">
        <f>'balance_raw_15013583'!$D$29</f>
        <v/>
      </c>
      <c r="E52" s="5">
        <f>'balance_raw_15013583'!$E$29</f>
        <v/>
      </c>
      <c r="F52" s="5">
        <f>'balance_raw_15013583'!$F$29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nettoopskrivning (indre værdis metode)</t>
        </is>
      </c>
      <c r="B53" s="8">
        <f>'balance_raw_15013583'!$B$30</f>
        <v/>
      </c>
      <c r="C53" s="8">
        <f>'balance_raw_15013583'!$C$30</f>
        <v/>
      </c>
      <c r="D53" s="8">
        <f>'balance_raw_15013583'!$D$30</f>
        <v/>
      </c>
      <c r="E53" s="8">
        <f>'balance_raw_15013583'!$E$30</f>
        <v/>
      </c>
      <c r="F53" s="8">
        <f>'balance_raw_15013583'!$F$30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udviklingsomkostninger</t>
        </is>
      </c>
      <c r="B54" s="5">
        <f>'balance_raw_15013583'!$B$31</f>
        <v/>
      </c>
      <c r="C54" s="5">
        <f>'balance_raw_15013583'!$C$31</f>
        <v/>
      </c>
      <c r="D54" s="5">
        <f>'balance_raw_15013583'!$D$31</f>
        <v/>
      </c>
      <c r="E54" s="5">
        <f>'balance_raw_15013583'!$E$31</f>
        <v/>
      </c>
      <c r="F54" s="5">
        <f>'balance_raw_15013583'!$F$31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Reserve for sikringstransaktioner</t>
        </is>
      </c>
      <c r="B55" s="8">
        <f>'balance_raw_15013583'!$B$32</f>
        <v/>
      </c>
      <c r="C55" s="8">
        <f>'balance_raw_15013583'!$C$32</f>
        <v/>
      </c>
      <c r="D55" s="8">
        <f>'balance_raw_15013583'!$D$32</f>
        <v/>
      </c>
      <c r="E55" s="8">
        <f>'balance_raw_15013583'!$E$32</f>
        <v/>
      </c>
      <c r="F55" s="8">
        <f>'balance_raw_15013583'!$F$32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Andre reserver</t>
        </is>
      </c>
      <c r="B56" s="5">
        <f>'balance_raw_15013583'!$B$33</f>
        <v/>
      </c>
      <c r="C56" s="5">
        <f>'balance_raw_15013583'!$C$33</f>
        <v/>
      </c>
      <c r="D56" s="5">
        <f>'balance_raw_15013583'!$D$33</f>
        <v/>
      </c>
      <c r="E56" s="5">
        <f>'balance_raw_15013583'!$E$33</f>
        <v/>
      </c>
      <c r="F56" s="5">
        <f>'balance_raw_15013583'!$F$33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Overført resultat</t>
        </is>
      </c>
      <c r="B57" s="8">
        <f>'balance_raw_15013583'!$B$34</f>
        <v/>
      </c>
      <c r="C57" s="8">
        <f>'balance_raw_15013583'!$C$34</f>
        <v/>
      </c>
      <c r="D57" s="8">
        <f>'balance_raw_15013583'!$D$34</f>
        <v/>
      </c>
      <c r="E57" s="8">
        <f>'balance_raw_15013583'!$E$34</f>
        <v/>
      </c>
      <c r="F57" s="8">
        <f>'balance_raw_15013583'!$F$34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10" t="inlineStr">
        <is>
          <t>Egenkapital i alt</t>
        </is>
      </c>
      <c r="B58" s="11">
        <f>'balance_raw_15013583'!$B$35</f>
        <v/>
      </c>
      <c r="C58" s="11">
        <f>'balance_raw_15013583'!$C$35</f>
        <v/>
      </c>
      <c r="D58" s="11">
        <f>'balance_raw_15013583'!$D$35</f>
        <v/>
      </c>
      <c r="E58" s="11">
        <f>'balance_raw_15013583'!$E$35</f>
        <v/>
      </c>
      <c r="F58" s="11">
        <f>'balance_raw_15013583'!$F$35</f>
        <v/>
      </c>
      <c r="G58" t="inlineStr"/>
      <c r="H58" s="12">
        <f>IFERROR(B58/$B$58*100,"")</f>
        <v/>
      </c>
      <c r="I58" s="12">
        <f>IFERROR(C58/$B$58*100,"")</f>
        <v/>
      </c>
      <c r="J58" s="12">
        <f>IFERROR(D58/$B$58*100,"")</f>
        <v/>
      </c>
      <c r="K58" s="12">
        <f>IFERROR(E58/$B$58*100,"")</f>
        <v/>
      </c>
      <c r="L58" s="12">
        <f>IFERROR(F58/$B$58*100,"")</f>
        <v/>
      </c>
    </row>
    <row r="59" ht="16" customHeight="1">
      <c r="A59" s="7" t="inlineStr">
        <is>
          <t>Hensættelse til udskudt skat</t>
        </is>
      </c>
      <c r="B59" s="8">
        <f>'balance_raw_15013583'!$B$36</f>
        <v/>
      </c>
      <c r="C59" s="8">
        <f>'balance_raw_15013583'!$C$36</f>
        <v/>
      </c>
      <c r="D59" s="8">
        <f>'balance_raw_15013583'!$D$36</f>
        <v/>
      </c>
      <c r="E59" s="8">
        <f>'balance_raw_15013583'!$E$36</f>
        <v/>
      </c>
      <c r="F59" s="8">
        <f>'balance_raw_15013583'!$F$36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10" t="inlineStr">
        <is>
          <t>Hensatte forpligtelser</t>
        </is>
      </c>
      <c r="B60" s="11">
        <f>'balance_raw_15013583'!$B$37</f>
        <v/>
      </c>
      <c r="C60" s="11">
        <f>'balance_raw_15013583'!$C$37</f>
        <v/>
      </c>
      <c r="D60" s="11">
        <f>'balance_raw_15013583'!$D$37</f>
        <v/>
      </c>
      <c r="E60" s="11">
        <f>'balance_raw_15013583'!$E$37</f>
        <v/>
      </c>
      <c r="F60" s="11">
        <f>'balance_raw_15013583'!$F$37</f>
        <v/>
      </c>
      <c r="G60" t="inlineStr"/>
      <c r="H60" s="12">
        <f>IFERROR(B60/$B$60*100,"")</f>
        <v/>
      </c>
      <c r="I60" s="12">
        <f>IFERROR(C60/$B$60*100,"")</f>
        <v/>
      </c>
      <c r="J60" s="12">
        <f>IFERROR(D60/$B$60*100,"")</f>
        <v/>
      </c>
      <c r="K60" s="12">
        <f>IFERROR(E60/$B$60*100,"")</f>
        <v/>
      </c>
      <c r="L60" s="12">
        <f>IFERROR(F60/$B$60*100,"")</f>
        <v/>
      </c>
    </row>
    <row r="61" ht="16" customHeight="1">
      <c r="A61" s="7" t="inlineStr">
        <is>
          <t>Ansvarlig lånekapital (langfristet)</t>
        </is>
      </c>
      <c r="B61" s="8">
        <f>'balance_raw_15013583'!$B$38</f>
        <v/>
      </c>
      <c r="C61" s="8">
        <f>'balance_raw_15013583'!$C$38</f>
        <v/>
      </c>
      <c r="D61" s="8">
        <f>'balance_raw_15013583'!$D$38</f>
        <v/>
      </c>
      <c r="E61" s="8">
        <f>'balance_raw_15013583'!$E$38</f>
        <v/>
      </c>
      <c r="F61" s="8">
        <f>'balance_raw_15013583'!$F$38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Langfristede lån</t>
        </is>
      </c>
      <c r="B62" s="5">
        <f>'balance_raw_15013583'!$B$39</f>
        <v/>
      </c>
      <c r="C62" s="5">
        <f>'balance_raw_15013583'!$C$39</f>
        <v/>
      </c>
      <c r="D62" s="5">
        <f>'balance_raw_15013583'!$D$39</f>
        <v/>
      </c>
      <c r="E62" s="5">
        <f>'balance_raw_15013583'!$E$39</f>
        <v/>
      </c>
      <c r="F62" s="5">
        <f>'balance_raw_15013583'!$F$39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Leasingforpligtelser (langfristet)</t>
        </is>
      </c>
      <c r="B63" s="8">
        <f>'balance_raw_15013583'!$B$40</f>
        <v/>
      </c>
      <c r="C63" s="8">
        <f>'balance_raw_15013583'!$C$40</f>
        <v/>
      </c>
      <c r="D63" s="8">
        <f>'balance_raw_15013583'!$D$40</f>
        <v/>
      </c>
      <c r="E63" s="8">
        <f>'balance_raw_15013583'!$E$40</f>
        <v/>
      </c>
      <c r="F63" s="8">
        <f>'balance_raw_15013583'!$F$40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Anden gæld (langfristet)</t>
        </is>
      </c>
      <c r="B64" s="5">
        <f>'balance_raw_15013583'!$B$41</f>
        <v/>
      </c>
      <c r="C64" s="5">
        <f>'balance_raw_15013583'!$C$41</f>
        <v/>
      </c>
      <c r="D64" s="5">
        <f>'balance_raw_15013583'!$D$41</f>
        <v/>
      </c>
      <c r="E64" s="5">
        <f>'balance_raw_15013583'!$E$41</f>
        <v/>
      </c>
      <c r="F64" s="5">
        <f>'balance_raw_15013583'!$F$41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Langfristede gældsforpligtelser</t>
        </is>
      </c>
      <c r="B65" s="11">
        <f>'balance_raw_15013583'!$B$42</f>
        <v/>
      </c>
      <c r="C65" s="11">
        <f>'balance_raw_15013583'!$C$42</f>
        <v/>
      </c>
      <c r="D65" s="11">
        <f>'balance_raw_15013583'!$D$42</f>
        <v/>
      </c>
      <c r="E65" s="11">
        <f>'balance_raw_15013583'!$E$42</f>
        <v/>
      </c>
      <c r="F65" s="11">
        <f>'balance_raw_15013583'!$F$42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Ansvarlig lånekapital (kortfristet)</t>
        </is>
      </c>
      <c r="B66" s="5">
        <f>'balance_raw_15013583'!$B$43</f>
        <v/>
      </c>
      <c r="C66" s="5">
        <f>'balance_raw_15013583'!$C$43</f>
        <v/>
      </c>
      <c r="D66" s="5">
        <f>'balance_raw_15013583'!$D$43</f>
        <v/>
      </c>
      <c r="E66" s="5">
        <f>'balance_raw_15013583'!$E$43</f>
        <v/>
      </c>
      <c r="F66" s="5">
        <f>'balance_raw_15013583'!$F$43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Kortfristet del af langfristede gældsforpligtelser</t>
        </is>
      </c>
      <c r="B67" s="8">
        <f>'balance_raw_15013583'!$B$44</f>
        <v/>
      </c>
      <c r="C67" s="8">
        <f>'balance_raw_15013583'!$C$44</f>
        <v/>
      </c>
      <c r="D67" s="8">
        <f>'balance_raw_15013583'!$D$44</f>
        <v/>
      </c>
      <c r="E67" s="8">
        <f>'balance_raw_15013583'!$E$44</f>
        <v/>
      </c>
      <c r="F67" s="8">
        <f>'balance_raw_15013583'!$F$44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Kreditinstitutter</t>
        </is>
      </c>
      <c r="B68" s="5">
        <f>'balance_raw_15013583'!$B$45</f>
        <v/>
      </c>
      <c r="C68" s="5">
        <f>'balance_raw_15013583'!$C$45</f>
        <v/>
      </c>
      <c r="D68" s="5">
        <f>'balance_raw_15013583'!$D$45</f>
        <v/>
      </c>
      <c r="E68" s="5">
        <f>'balance_raw_15013583'!$E$45</f>
        <v/>
      </c>
      <c r="F68" s="5">
        <f>'balance_raw_15013583'!$F$45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Leasingforpligtelser (kortfristet)</t>
        </is>
      </c>
      <c r="B69" s="8">
        <f>'balance_raw_15013583'!$B$46</f>
        <v/>
      </c>
      <c r="C69" s="8">
        <f>'balance_raw_15013583'!$C$46</f>
        <v/>
      </c>
      <c r="D69" s="8">
        <f>'balance_raw_15013583'!$D$46</f>
        <v/>
      </c>
      <c r="E69" s="8">
        <f>'balance_raw_15013583'!$E$46</f>
        <v/>
      </c>
      <c r="F69" s="8">
        <f>'balance_raw_15013583'!$F$46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Leverandører af varer og tjenesteydelser</t>
        </is>
      </c>
      <c r="B70" s="5">
        <f>'balance_raw_15013583'!$B$47</f>
        <v/>
      </c>
      <c r="C70" s="5">
        <f>'balance_raw_15013583'!$C$47</f>
        <v/>
      </c>
      <c r="D70" s="5">
        <f>'balance_raw_15013583'!$D$47</f>
        <v/>
      </c>
      <c r="E70" s="5">
        <f>'balance_raw_15013583'!$E$47</f>
        <v/>
      </c>
      <c r="F70" s="5">
        <f>'balance_raw_15013583'!$F$47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tilknyttede virksomheder</t>
        </is>
      </c>
      <c r="B71" s="8">
        <f>'balance_raw_15013583'!$B$48</f>
        <v/>
      </c>
      <c r="C71" s="8">
        <f>'balance_raw_15013583'!$C$48</f>
        <v/>
      </c>
      <c r="D71" s="8">
        <f>'balance_raw_15013583'!$D$48</f>
        <v/>
      </c>
      <c r="E71" s="8">
        <f>'balance_raw_15013583'!$E$48</f>
        <v/>
      </c>
      <c r="F71" s="8">
        <f>'balance_raw_15013583'!$F$48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Gæld til selskabsdeltagere og ledelse</t>
        </is>
      </c>
      <c r="B72" s="5">
        <f>'balance_raw_15013583'!$B$49</f>
        <v/>
      </c>
      <c r="C72" s="5">
        <f>'balance_raw_15013583'!$C$49</f>
        <v/>
      </c>
      <c r="D72" s="5">
        <f>'balance_raw_15013583'!$D$49</f>
        <v/>
      </c>
      <c r="E72" s="5">
        <f>'balance_raw_15013583'!$E$49</f>
        <v/>
      </c>
      <c r="F72" s="5">
        <f>'balance_raw_15013583'!$F$49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Selskabsskat</t>
        </is>
      </c>
      <c r="B73" s="8">
        <f>'balance_raw_15013583'!$B$50</f>
        <v/>
      </c>
      <c r="C73" s="8">
        <f>'balance_raw_15013583'!$C$50</f>
        <v/>
      </c>
      <c r="D73" s="8">
        <f>'balance_raw_15013583'!$D$50</f>
        <v/>
      </c>
      <c r="E73" s="8">
        <f>'balance_raw_15013583'!$E$50</f>
        <v/>
      </c>
      <c r="F73" s="8">
        <f>'balance_raw_15013583'!$F$50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 vedr. selskabsskat</t>
        </is>
      </c>
      <c r="B74" s="5">
        <f>'balance_raw_15013583'!$B$51</f>
        <v/>
      </c>
      <c r="C74" s="5">
        <f>'balance_raw_15013583'!$C$51</f>
        <v/>
      </c>
      <c r="D74" s="5">
        <f>'balance_raw_15013583'!$D$51</f>
        <v/>
      </c>
      <c r="E74" s="5">
        <f>'balance_raw_15013583'!$E$51</f>
        <v/>
      </c>
      <c r="F74" s="5">
        <f>'balance_raw_15013583'!$F$51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Anden gæld (kortfristet)</t>
        </is>
      </c>
      <c r="B75" s="8">
        <f>'balance_raw_15013583'!$B$52</f>
        <v/>
      </c>
      <c r="C75" s="8">
        <f>'balance_raw_15013583'!$C$52</f>
        <v/>
      </c>
      <c r="D75" s="8">
        <f>'balance_raw_15013583'!$D$52</f>
        <v/>
      </c>
      <c r="E75" s="8">
        <f>'balance_raw_15013583'!$E$52</f>
        <v/>
      </c>
      <c r="F75" s="8">
        <f>'balance_raw_15013583'!$F$52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Periodeafgrænsningsposter (passiver)</t>
        </is>
      </c>
      <c r="B76" s="5">
        <f>'balance_raw_15013583'!$B$53</f>
        <v/>
      </c>
      <c r="C76" s="5">
        <f>'balance_raw_15013583'!$C$53</f>
        <v/>
      </c>
      <c r="D76" s="5">
        <f>'balance_raw_15013583'!$D$53</f>
        <v/>
      </c>
      <c r="E76" s="5">
        <f>'balance_raw_15013583'!$E$53</f>
        <v/>
      </c>
      <c r="F76" s="5">
        <f>'balance_raw_15013583'!$F$53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Kortfristede gældsforpligtelser</t>
        </is>
      </c>
      <c r="B77" s="11">
        <f>'balance_raw_15013583'!$B$54</f>
        <v/>
      </c>
      <c r="C77" s="11">
        <f>'balance_raw_15013583'!$C$54</f>
        <v/>
      </c>
      <c r="D77" s="11">
        <f>'balance_raw_15013583'!$D$54</f>
        <v/>
      </c>
      <c r="E77" s="11">
        <f>'balance_raw_15013583'!$E$54</f>
        <v/>
      </c>
      <c r="F77" s="11">
        <f>'balance_raw_15013583'!$F$54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10" t="inlineStr">
        <is>
          <t>Gældsforpligtelser</t>
        </is>
      </c>
      <c r="B78" s="11">
        <f>'balance_raw_15013583'!$B$55</f>
        <v/>
      </c>
      <c r="C78" s="11">
        <f>'balance_raw_15013583'!$C$55</f>
        <v/>
      </c>
      <c r="D78" s="11">
        <f>'balance_raw_15013583'!$D$55</f>
        <v/>
      </c>
      <c r="E78" s="11">
        <f>'balance_raw_15013583'!$E$55</f>
        <v/>
      </c>
      <c r="F78" s="11">
        <f>'balance_raw_15013583'!$F$55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79" ht="16" customHeight="1">
      <c r="A79" s="10" t="inlineStr">
        <is>
          <t>Passiver</t>
        </is>
      </c>
      <c r="B79" s="11">
        <f>'balance_raw_15013583'!$B$56</f>
        <v/>
      </c>
      <c r="C79" s="11">
        <f>'balance_raw_15013583'!$C$56</f>
        <v/>
      </c>
      <c r="D79" s="11">
        <f>'balance_raw_15013583'!$D$56</f>
        <v/>
      </c>
      <c r="E79" s="11">
        <f>'balance_raw_15013583'!$E$56</f>
        <v/>
      </c>
      <c r="F79" s="11">
        <f>'balance_raw_15013583'!$F$56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1" ht="22" customHeight="1">
      <c r="A81" s="3" t="inlineStr">
        <is>
          <t>NØGLEOPLYSNINGER</t>
        </is>
      </c>
      <c r="B81" s="3" t="n">
        <v>2021</v>
      </c>
      <c r="C81" s="3" t="n">
        <v>2022</v>
      </c>
      <c r="D81" s="3" t="n">
        <v>2023</v>
      </c>
      <c r="E81" s="3" t="n">
        <v>2024</v>
      </c>
      <c r="F81" s="3" t="n">
        <v>2025</v>
      </c>
    </row>
    <row r="82" ht="16" customHeight="1">
      <c r="A82" s="4" t="inlineStr">
        <is>
          <t>Gns. antal medarbejdere</t>
        </is>
      </c>
      <c r="B82" s="5">
        <f>'res_raw_15013583'!$B$19</f>
        <v/>
      </c>
      <c r="C82" s="5">
        <f>'res_raw_15013583'!$C$19</f>
        <v/>
      </c>
      <c r="D82" s="5">
        <f>'res_raw_15013583'!$D$19</f>
        <v/>
      </c>
      <c r="E82" s="5">
        <f>'res_raw_15013583'!$E$19</f>
        <v/>
      </c>
      <c r="F82" s="5">
        <f>'res_raw_15013583'!$F$19</f>
        <v/>
      </c>
      <c r="G82" t="inlineStr"/>
      <c r="H82" s="6">
        <f>IFERROR(B82/$B$82*100,"")</f>
        <v/>
      </c>
      <c r="I82" s="6">
        <f>IFERROR(C82/$B$82*100,"")</f>
        <v/>
      </c>
      <c r="J82" s="6">
        <f>IFERROR(D82/$B$82*100,"")</f>
        <v/>
      </c>
      <c r="K82" s="6">
        <f>IFERROR(E82/$B$82*100,"")</f>
        <v/>
      </c>
      <c r="L82" s="6">
        <f>IFERROR(F82/$B$82*100,"")</f>
        <v/>
      </c>
    </row>
    <row r="83" ht="16" customHeight="1">
      <c r="A83" s="7" t="inlineStr">
        <is>
          <t>Investering i materielle anlægsaktiver</t>
        </is>
      </c>
      <c r="B83" s="8">
        <f>'res_raw_15013583'!$B$20</f>
        <v/>
      </c>
      <c r="C83" s="8">
        <f>'res_raw_15013583'!$C$20</f>
        <v/>
      </c>
      <c r="D83" s="8">
        <f>'res_raw_15013583'!$D$20</f>
        <v/>
      </c>
      <c r="E83" s="8">
        <f>'res_raw_15013583'!$E$20</f>
        <v/>
      </c>
      <c r="F83" s="8">
        <f>'res_raw_15013583'!$F$20</f>
        <v/>
      </c>
      <c r="G83" t="inlineStr"/>
      <c r="H83" s="9">
        <f>IFERROR(B83/$B$83*100,"")</f>
        <v/>
      </c>
      <c r="I83" s="9">
        <f>IFERROR(C83/$B$83*100,"")</f>
        <v/>
      </c>
      <c r="J83" s="9">
        <f>IFERROR(D83/$B$83*100,"")</f>
        <v/>
      </c>
      <c r="K83" s="9">
        <f>IFERROR(E83/$B$83*100,"")</f>
        <v/>
      </c>
      <c r="L83" s="9">
        <f>IFERROR(F83/$B$83*100,"")</f>
        <v/>
      </c>
    </row>
    <row r="85" ht="22" customHeight="1">
      <c r="A85" s="3" t="inlineStr">
        <is>
          <t>NØGLETAL</t>
        </is>
      </c>
      <c r="B85" s="3" t="n">
        <v>2021</v>
      </c>
      <c r="C85" s="3" t="n">
        <v>2022</v>
      </c>
      <c r="D85" s="3" t="n">
        <v>2023</v>
      </c>
      <c r="E85" s="3" t="n">
        <v>2024</v>
      </c>
      <c r="F85" s="3" t="n">
        <v>2025</v>
      </c>
    </row>
    <row r="86" ht="16" customHeight="1">
      <c r="A86" s="4" t="inlineStr">
        <is>
          <t>Afkastningsgrad, %</t>
        </is>
      </c>
      <c r="B86" s="13">
        <f>IFERROR(($B$13+$B$15+$B$14)/$B$49*100,"")</f>
        <v/>
      </c>
      <c r="C86" s="13">
        <f>IFERROR(($C$13+$C$15+$C$14)/$C$49*100,"")</f>
        <v/>
      </c>
      <c r="D86" s="13">
        <f>IFERROR(($D$13+$D$15+$D$14)/$D$49*100,"")</f>
        <v/>
      </c>
      <c r="E86" s="13">
        <f>IFERROR(($E$13+$E$15+$E$14)/$E$49*100,"")</f>
        <v/>
      </c>
      <c r="F86" s="13">
        <f>IFERROR(($F$13+$F$15+$F$14)/$F$49*100,"")</f>
        <v/>
      </c>
    </row>
    <row r="87" ht="16" customHeight="1">
      <c r="A87" s="7" t="inlineStr">
        <is>
          <t>Overskudsgrad, %</t>
        </is>
      </c>
      <c r="B87" s="14">
        <f>IFERROR(($B$13+$B$15+$B$14)/$B$4*100,"")</f>
        <v/>
      </c>
      <c r="C87" s="14">
        <f>IFERROR(($C$13+$C$15+$C$14)/$C$4*100,"")</f>
        <v/>
      </c>
      <c r="D87" s="14">
        <f>IFERROR(($D$13+$D$15+$D$14)/$D$4*100,"")</f>
        <v/>
      </c>
      <c r="E87" s="14">
        <f>IFERROR(($E$13+$E$15+$E$14)/$E$4*100,"")</f>
        <v/>
      </c>
      <c r="F87" s="14">
        <f>IFERROR(($F$13+$F$15+$F$14)/$F$4*100,"")</f>
        <v/>
      </c>
    </row>
    <row r="88" ht="16" customHeight="1">
      <c r="A88" s="4" t="inlineStr">
        <is>
          <t>Aktivernes omsætningshastighed, gange</t>
        </is>
      </c>
      <c r="B88" s="13">
        <f>IFERROR($B$4/$B$49,"")</f>
        <v/>
      </c>
      <c r="C88" s="13">
        <f>IFERROR($C$4/$C$49,"")</f>
        <v/>
      </c>
      <c r="D88" s="13">
        <f>IFERROR($D$4/$D$49,"")</f>
        <v/>
      </c>
      <c r="E88" s="13">
        <f>IFERROR($E$4/$E$49,"")</f>
        <v/>
      </c>
      <c r="F88" s="13">
        <f>IFERROR($F$4/$F$49,"")</f>
        <v/>
      </c>
    </row>
    <row r="89" ht="16" customHeight="1">
      <c r="A89" s="7" t="inlineStr">
        <is>
          <t>Egenkapitalens forrentning, %</t>
        </is>
      </c>
      <c r="B89" s="14">
        <f>IFERROR($B$18/$B$58*100,"")</f>
        <v/>
      </c>
      <c r="C89" s="14">
        <f>IFERROR($C$18/$C$58*100,"")</f>
        <v/>
      </c>
      <c r="D89" s="14">
        <f>IFERROR($D$18/$D$58*100,"")</f>
        <v/>
      </c>
      <c r="E89" s="14">
        <f>IFERROR($E$18/$E$58*100,"")</f>
        <v/>
      </c>
      <c r="F89" s="14">
        <f>IFERROR($F$18/$F$58*100,"")</f>
        <v/>
      </c>
    </row>
    <row r="90" ht="16" customHeight="1">
      <c r="A90" s="4" t="inlineStr">
        <is>
          <t>Gældsrente, %</t>
        </is>
      </c>
      <c r="B90" s="13">
        <f>IFERROR($B$16/($B$79-$B$58)*100,"")</f>
        <v/>
      </c>
      <c r="C90" s="13">
        <f>IFERROR($C$16/($C$79-$C$58)*100,"")</f>
        <v/>
      </c>
      <c r="D90" s="13">
        <f>IFERROR($D$16/($D$79-$D$58)*100,"")</f>
        <v/>
      </c>
      <c r="E90" s="13">
        <f>IFERROR($E$16/($E$79-$E$58)*100,"")</f>
        <v/>
      </c>
      <c r="F90" s="13">
        <f>IFERROR($F$16/($F$79-$F$58)*100,"")</f>
        <v/>
      </c>
    </row>
    <row r="91" ht="16" customHeight="1">
      <c r="A91" s="7" t="inlineStr">
        <is>
          <t>Soliditetsgrad, %</t>
        </is>
      </c>
      <c r="B91" s="14">
        <f>IFERROR($B$58/$B$49*100,"")</f>
        <v/>
      </c>
      <c r="C91" s="14">
        <f>IFERROR($C$58/$C$49*100,"")</f>
        <v/>
      </c>
      <c r="D91" s="14">
        <f>IFERROR($D$58/$D$49*100,"")</f>
        <v/>
      </c>
      <c r="E91" s="14">
        <f>IFERROR($E$58/$E$49*100,"")</f>
        <v/>
      </c>
      <c r="F91" s="14">
        <f>IFERROR($F$58/$F$49*100,"")</f>
        <v/>
      </c>
    </row>
    <row r="92" ht="16" customHeight="1">
      <c r="A92" s="4" t="inlineStr">
        <is>
          <t>Gearing</t>
        </is>
      </c>
      <c r="B92" s="13">
        <f>IFERROR(($B$79-$B$58)/$B$58,"")</f>
        <v/>
      </c>
      <c r="C92" s="13">
        <f>IFERROR(($C$79-$C$58)/$C$58,"")</f>
        <v/>
      </c>
      <c r="D92" s="13">
        <f>IFERROR(($D$79-$D$58)/$D$58,"")</f>
        <v/>
      </c>
      <c r="E92" s="13">
        <f>IFERROR(($E$79-$E$58)/$E$58,"")</f>
        <v/>
      </c>
      <c r="F92" s="13">
        <f>IFERROR(($F$79-$F$58)/$F$58,"")</f>
        <v/>
      </c>
    </row>
    <row r="93" ht="16" customHeight="1">
      <c r="A93" s="7" t="inlineStr">
        <is>
          <t>Likviditetsgrad, %</t>
        </is>
      </c>
      <c r="B93" s="14">
        <f>IFERROR($B$48/$B$77*100,"")</f>
        <v/>
      </c>
      <c r="C93" s="14">
        <f>IFERROR($C$48/$C$77*100,"")</f>
        <v/>
      </c>
      <c r="D93" s="14">
        <f>IFERROR($D$48/$D$77*100,"")</f>
        <v/>
      </c>
      <c r="E93" s="14">
        <f>IFERROR($E$48/$E$77*100,"")</f>
        <v/>
      </c>
      <c r="F93" s="14">
        <f>IFERROR($F$48/$F$77*100,"")</f>
        <v/>
      </c>
    </row>
    <row r="94" ht="16" customHeight="1">
      <c r="A94" s="4" t="inlineStr">
        <is>
          <t>Rentemarginal, %</t>
        </is>
      </c>
      <c r="B94" s="13">
        <f>IFERROR(B86-B90,"")</f>
        <v/>
      </c>
      <c r="C94" s="13">
        <f>IFERROR(C86-C90,"")</f>
        <v/>
      </c>
      <c r="D94" s="13">
        <f>IFERROR(D86-D90,"")</f>
        <v/>
      </c>
      <c r="E94" s="13">
        <f>IFERROR(E86-E90,"")</f>
        <v/>
      </c>
      <c r="F94" s="13">
        <f>IFERROR(F86-F90,"")</f>
        <v/>
      </c>
    </row>
    <row r="95" ht="16" customHeight="1">
      <c r="A95" s="7" t="inlineStr">
        <is>
          <t>Gældsandel, %</t>
        </is>
      </c>
      <c r="B95" s="14">
        <f>IFERROR(($B$79-$B$58)/$B$49*100,"")</f>
        <v/>
      </c>
      <c r="C95" s="14">
        <f>IFERROR(($C$79-$C$58)/$C$49*100,"")</f>
        <v/>
      </c>
      <c r="D95" s="14">
        <f>IFERROR(($D$79-$D$58)/$D$49*100,"")</f>
        <v/>
      </c>
      <c r="E95" s="14">
        <f>IFERROR(($E$79-$E$58)/$E$49*100,"")</f>
        <v/>
      </c>
      <c r="F95" s="14">
        <f>IFERROR(($F$79-$F$58)/$F$49*100,"")</f>
        <v/>
      </c>
    </row>
    <row r="96" ht="16" customHeight="1">
      <c r="A96" s="4" t="inlineStr">
        <is>
          <t>Kapitalbindingsgrad, %</t>
        </is>
      </c>
      <c r="B96" s="13">
        <f>IFERROR($B$33/($B$58+$B$65)*100,"")</f>
        <v/>
      </c>
      <c r="C96" s="13">
        <f>IFERROR($C$33/($C$58+$C$65)*100,"")</f>
        <v/>
      </c>
      <c r="D96" s="13">
        <f>IFERROR($D$33/($D$58+$D$65)*100,"")</f>
        <v/>
      </c>
      <c r="E96" s="13">
        <f>IFERROR($E$33/($E$58+$E$65)*100,"")</f>
        <v/>
      </c>
      <c r="F96" s="13">
        <f>IFERROR($F$33/($F$58+$F$65)*100,"")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45753</v>
      </c>
      <c r="C6" s="16" t="n">
        <v>43031</v>
      </c>
      <c r="D6" s="16" t="n">
        <v>63403</v>
      </c>
      <c r="E6" s="16" t="n">
        <v>65756</v>
      </c>
      <c r="F6" s="16" t="n">
        <v>71336</v>
      </c>
    </row>
    <row r="7">
      <c r="A7" s="15" t="inlineStr">
        <is>
          <t>Personaleomkostninger</t>
        </is>
      </c>
      <c r="B7" s="16" t="n">
        <v>33747</v>
      </c>
      <c r="C7" s="16" t="n">
        <v>36495</v>
      </c>
      <c r="D7" s="16" t="n">
        <v>40992</v>
      </c>
      <c r="E7" s="16" t="n">
        <v>43689</v>
      </c>
      <c r="F7" s="16" t="n">
        <v>40421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6621</v>
      </c>
      <c r="C11" s="16" t="n">
        <v>-436</v>
      </c>
      <c r="D11" s="16" t="n">
        <v>12292</v>
      </c>
      <c r="E11" s="16" t="n">
        <v>18538</v>
      </c>
      <c r="F11" s="16" t="n">
        <v>18431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0</v>
      </c>
      <c r="C13" s="16" t="n"/>
      <c r="D13" s="16" t="n">
        <v>732</v>
      </c>
      <c r="E13" s="16" t="n">
        <v>761</v>
      </c>
      <c r="F13" s="16" t="n">
        <v>587</v>
      </c>
    </row>
    <row r="14">
      <c r="A14" s="15" t="inlineStr">
        <is>
          <t>Finansielle omkostninger</t>
        </is>
      </c>
      <c r="B14" s="16" t="n">
        <v>498</v>
      </c>
      <c r="C14" s="16" t="n">
        <v>672</v>
      </c>
      <c r="D14" s="16" t="n">
        <v>609</v>
      </c>
      <c r="E14" s="16" t="n">
        <v>526</v>
      </c>
      <c r="F14" s="16" t="n">
        <v>914</v>
      </c>
    </row>
    <row r="15">
      <c r="A15" s="17" t="inlineStr">
        <is>
          <t>Finansielle poster, netto</t>
        </is>
      </c>
      <c r="B15" s="16" t="n">
        <v>-498</v>
      </c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6123</v>
      </c>
      <c r="C16" s="16" t="n">
        <v>-1108</v>
      </c>
      <c r="D16" s="16" t="n">
        <v>12415</v>
      </c>
      <c r="E16" s="16" t="n">
        <v>18773</v>
      </c>
      <c r="F16" s="16" t="n">
        <v>18104</v>
      </c>
    </row>
    <row r="17">
      <c r="A17" s="15" t="inlineStr">
        <is>
          <t>Skat af årets resultat</t>
        </is>
      </c>
      <c r="B17" s="16" t="n">
        <v>1348</v>
      </c>
      <c r="C17" s="16" t="n">
        <v>-244</v>
      </c>
      <c r="D17" s="16" t="n">
        <v>2711</v>
      </c>
      <c r="E17" s="16" t="n">
        <v>4121</v>
      </c>
      <c r="F17" s="16" t="n">
        <v>3970</v>
      </c>
    </row>
    <row r="18">
      <c r="A18" s="17" t="inlineStr">
        <is>
          <t>Årets resultat</t>
        </is>
      </c>
      <c r="B18" s="16" t="n">
        <v>4775</v>
      </c>
      <c r="C18" s="16" t="n">
        <v>-864</v>
      </c>
      <c r="D18" s="16" t="n">
        <v>9704</v>
      </c>
      <c r="E18" s="16" t="n">
        <v>14652</v>
      </c>
      <c r="F18" s="16" t="n">
        <v>14134</v>
      </c>
    </row>
    <row r="19">
      <c r="A19" s="15" t="inlineStr">
        <is>
          <t>Gns. antal medarbejdere</t>
        </is>
      </c>
      <c r="B19" s="16" t="n">
        <v>56</v>
      </c>
      <c r="C19" s="16" t="n">
        <v>55</v>
      </c>
      <c r="D19" s="16" t="n">
        <v>58</v>
      </c>
      <c r="E19" s="16" t="n">
        <v>56</v>
      </c>
      <c r="F19" s="16" t="n">
        <v>54</v>
      </c>
    </row>
    <row r="20">
      <c r="A20" s="15" t="inlineStr">
        <is>
          <t>Investering i materielle anlægsaktiver</t>
        </is>
      </c>
      <c r="B20" s="16" t="n">
        <v>2013</v>
      </c>
      <c r="C20" s="16" t="n">
        <v>2024</v>
      </c>
      <c r="D20" s="16" t="n">
        <v>2123</v>
      </c>
      <c r="E20" s="16" t="n">
        <v>10874</v>
      </c>
      <c r="F20" s="16" t="n">
        <v>6043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/>
      <c r="C2" s="16" t="n"/>
      <c r="D2" s="16" t="n"/>
      <c r="E2" s="16" t="n"/>
      <c r="F2" s="16" t="n"/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>
        <v>7200</v>
      </c>
      <c r="C4" s="16" t="n">
        <v>6000</v>
      </c>
      <c r="D4" s="16" t="n">
        <v>0</v>
      </c>
      <c r="E4" s="16" t="n"/>
      <c r="F4" s="16" t="n"/>
    </row>
    <row r="5">
      <c r="A5" s="17" t="inlineStr">
        <is>
          <t>Immaterielle anlægsaktiver</t>
        </is>
      </c>
      <c r="B5" s="16" t="n">
        <v>7200</v>
      </c>
      <c r="C5" s="16" t="n">
        <v>6000</v>
      </c>
      <c r="D5" s="16" t="n">
        <v>0</v>
      </c>
      <c r="E5" s="16" t="n"/>
      <c r="F5" s="16" t="n"/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>
        <v>10265</v>
      </c>
      <c r="C7" s="16" t="n">
        <v>9340</v>
      </c>
      <c r="D7" s="16" t="n">
        <v>8761</v>
      </c>
      <c r="E7" s="16" t="n">
        <v>16525</v>
      </c>
      <c r="F7" s="16" t="n">
        <v>18791</v>
      </c>
    </row>
    <row r="8">
      <c r="A8" s="15" t="inlineStr">
        <is>
          <t>Driftsmateriel og inventar</t>
        </is>
      </c>
      <c r="B8" s="16" t="n">
        <v>6693</v>
      </c>
      <c r="C8" s="16" t="n">
        <v>4928</v>
      </c>
      <c r="D8" s="16" t="n">
        <v>4125</v>
      </c>
      <c r="E8" s="16" t="n">
        <v>3344</v>
      </c>
      <c r="F8" s="16" t="n">
        <v>2826</v>
      </c>
    </row>
    <row r="9">
      <c r="A9" s="15" t="inlineStr">
        <is>
          <t>Indretning af lejede lokaler</t>
        </is>
      </c>
      <c r="B9" s="16" t="n">
        <v>1414</v>
      </c>
      <c r="C9" s="16" t="n">
        <v>1252</v>
      </c>
      <c r="D9" s="16" t="n">
        <v>1019</v>
      </c>
      <c r="E9" s="16" t="n">
        <v>871</v>
      </c>
      <c r="F9" s="16" t="n">
        <v>1395</v>
      </c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Materielle anlægsaktiver</t>
        </is>
      </c>
      <c r="B11" s="16" t="n">
        <v>18372</v>
      </c>
      <c r="C11" s="16" t="n">
        <v>15520</v>
      </c>
      <c r="D11" s="16" t="n">
        <v>13905</v>
      </c>
      <c r="E11" s="16" t="n">
        <v>20740</v>
      </c>
      <c r="F11" s="16" t="n">
        <v>23012</v>
      </c>
    </row>
    <row r="12">
      <c r="A12" s="17" t="inlineStr">
        <is>
          <t>Anlægsaktiver</t>
        </is>
      </c>
      <c r="B12" s="16" t="n">
        <v>25572</v>
      </c>
      <c r="C12" s="16" t="n">
        <v>21520</v>
      </c>
      <c r="D12" s="16" t="n">
        <v>13905</v>
      </c>
      <c r="E12" s="16" t="n">
        <v>20740</v>
      </c>
      <c r="F12" s="16" t="n">
        <v>23012</v>
      </c>
    </row>
    <row r="13">
      <c r="A13" s="15" t="inlineStr">
        <is>
          <t>Råvarer og hjælpematerialer</t>
        </is>
      </c>
      <c r="B13" s="16" t="n">
        <v>6744</v>
      </c>
      <c r="C13" s="16" t="n">
        <v>7549</v>
      </c>
      <c r="D13" s="16" t="n">
        <v>6115</v>
      </c>
      <c r="E13" s="16" t="n">
        <v>8876</v>
      </c>
      <c r="F13" s="16" t="n">
        <v>8133</v>
      </c>
    </row>
    <row r="14">
      <c r="A14" s="15" t="inlineStr">
        <is>
          <t>Varer under fremstilling</t>
        </is>
      </c>
      <c r="B14" s="16" t="n"/>
      <c r="C14" s="16" t="n"/>
      <c r="D14" s="16" t="n"/>
      <c r="E14" s="16" t="n"/>
      <c r="F14" s="16" t="n"/>
    </row>
    <row r="15">
      <c r="A15" s="15" t="inlineStr">
        <is>
          <t>Færdigvarer og handelsvarer</t>
        </is>
      </c>
      <c r="B15" s="16" t="n">
        <v>938</v>
      </c>
      <c r="C15" s="16" t="n">
        <v>742</v>
      </c>
      <c r="D15" s="16" t="n">
        <v>1637</v>
      </c>
      <c r="E15" s="16" t="n">
        <v>854</v>
      </c>
      <c r="F15" s="16" t="n">
        <v>963</v>
      </c>
    </row>
    <row r="16">
      <c r="A16" s="17" t="inlineStr">
        <is>
          <t>Varebeholdninger</t>
        </is>
      </c>
      <c r="B16" s="16" t="n">
        <v>7682</v>
      </c>
      <c r="C16" s="16" t="n">
        <v>8291</v>
      </c>
      <c r="D16" s="16" t="n">
        <v>7752</v>
      </c>
      <c r="E16" s="16" t="n">
        <v>9730</v>
      </c>
      <c r="F16" s="16" t="n">
        <v>9096</v>
      </c>
    </row>
    <row r="17">
      <c r="A17" s="15" t="inlineStr">
        <is>
          <t>Tilgodehavender fra salg og tjenesteydelser</t>
        </is>
      </c>
      <c r="B17" s="16" t="n">
        <v>35184</v>
      </c>
      <c r="C17" s="16" t="n">
        <v>37127</v>
      </c>
      <c r="D17" s="16" t="n">
        <v>26769</v>
      </c>
      <c r="E17" s="16" t="n">
        <v>36337</v>
      </c>
      <c r="F17" s="16" t="n">
        <v>38446</v>
      </c>
    </row>
    <row r="18">
      <c r="A18" s="15" t="inlineStr">
        <is>
          <t>Tilgodehavender hos tilknyttede virksomheder</t>
        </is>
      </c>
      <c r="B18" s="16" t="n">
        <v>4510</v>
      </c>
      <c r="C18" s="16" t="n">
        <v>3256</v>
      </c>
      <c r="D18" s="16" t="n">
        <v>34129</v>
      </c>
      <c r="E18" s="16" t="n">
        <v>18018</v>
      </c>
      <c r="F18" s="16" t="n">
        <v>11478</v>
      </c>
    </row>
    <row r="19">
      <c r="A19" s="15" t="inlineStr">
        <is>
          <t>Andre tilgodehavender</t>
        </is>
      </c>
      <c r="B19" s="16" t="n">
        <v>7450</v>
      </c>
      <c r="C19" s="16" t="n">
        <v>7312</v>
      </c>
      <c r="D19" s="16" t="n">
        <v>1914</v>
      </c>
      <c r="E19" s="16" t="n">
        <v>2124</v>
      </c>
      <c r="F19" s="16" t="n">
        <v>3897</v>
      </c>
    </row>
    <row r="20">
      <c r="A20" s="15" t="inlineStr">
        <is>
          <t>Periodeafgrænsningsposter (aktiver)</t>
        </is>
      </c>
      <c r="B20" s="16" t="n"/>
      <c r="C20" s="16" t="n"/>
      <c r="D20" s="16" t="n"/>
      <c r="E20" s="16" t="n"/>
      <c r="F20" s="16" t="n"/>
    </row>
    <row r="21">
      <c r="A21" s="15" t="inlineStr">
        <is>
          <t>Udskudt skatteaktiv</t>
        </is>
      </c>
      <c r="B21" s="16" t="n"/>
      <c r="C21" s="16" t="n">
        <v>0</v>
      </c>
      <c r="D21" s="16" t="n"/>
      <c r="E21" s="16" t="n"/>
      <c r="F21" s="16" t="n"/>
    </row>
    <row r="22">
      <c r="A22" s="15" t="inlineStr">
        <is>
          <t>Tilgodehavende skat hos tilknyttede virksomheder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Kortfristede skattetilgodehavender</t>
        </is>
      </c>
      <c r="B23" s="16" t="n"/>
      <c r="C23" s="16" t="n">
        <v>225</v>
      </c>
      <c r="D23" s="16" t="n">
        <v>0</v>
      </c>
      <c r="E23" s="16" t="n"/>
      <c r="F23" s="16" t="n"/>
    </row>
    <row r="24">
      <c r="A24" s="17" t="inlineStr">
        <is>
          <t>Tilgodehavender</t>
        </is>
      </c>
      <c r="B24" s="16" t="n">
        <v>47144</v>
      </c>
      <c r="C24" s="16" t="n">
        <v>47920</v>
      </c>
      <c r="D24" s="16" t="n">
        <v>62812</v>
      </c>
      <c r="E24" s="16" t="n">
        <v>56479</v>
      </c>
      <c r="F24" s="16" t="n">
        <v>53821</v>
      </c>
    </row>
    <row r="25">
      <c r="A25" s="15" t="inlineStr">
        <is>
          <t>Værdipapirer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Likvide beholdninger</t>
        </is>
      </c>
      <c r="B26" s="16" t="n">
        <v>4</v>
      </c>
      <c r="C26" s="16" t="n">
        <v>42</v>
      </c>
      <c r="D26" s="16" t="n">
        <v>6</v>
      </c>
      <c r="E26" s="16" t="n">
        <v>11</v>
      </c>
      <c r="F26" s="16" t="n">
        <v>14</v>
      </c>
    </row>
    <row r="27">
      <c r="A27" s="17" t="inlineStr">
        <is>
          <t>Omsætningsaktiver</t>
        </is>
      </c>
      <c r="B27" s="16" t="n">
        <v>54830</v>
      </c>
      <c r="C27" s="16" t="n">
        <v>56253</v>
      </c>
      <c r="D27" s="16" t="n">
        <v>70570</v>
      </c>
      <c r="E27" s="16" t="n">
        <v>66220</v>
      </c>
      <c r="F27" s="16" t="n">
        <v>62931</v>
      </c>
    </row>
    <row r="28">
      <c r="A28" s="17" t="inlineStr">
        <is>
          <t>Aktiver</t>
        </is>
      </c>
      <c r="B28" s="16" t="n">
        <v>80402</v>
      </c>
      <c r="C28" s="16" t="n">
        <v>77773</v>
      </c>
      <c r="D28" s="16" t="n">
        <v>84475</v>
      </c>
      <c r="E28" s="16" t="n">
        <v>86960</v>
      </c>
      <c r="F28" s="16" t="n">
        <v>85943</v>
      </c>
    </row>
    <row r="29">
      <c r="A29" s="15" t="inlineStr">
        <is>
          <t>Selskabskapital</t>
        </is>
      </c>
      <c r="B29" s="16" t="n">
        <v>3001</v>
      </c>
      <c r="C29" s="16" t="n">
        <v>3001</v>
      </c>
      <c r="D29" s="16" t="n">
        <v>3001</v>
      </c>
      <c r="E29" s="16" t="n">
        <v>3001</v>
      </c>
      <c r="F29" s="16" t="n">
        <v>3001</v>
      </c>
    </row>
    <row r="30">
      <c r="A30" s="15" t="inlineStr">
        <is>
          <t>Reserve for nettoopskrivning (indre værdis metode)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udviklingsomkostninger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Reserve for sikringstransaktioner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Andre reserver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Overført resultat</t>
        </is>
      </c>
      <c r="B34" s="16" t="n">
        <v>26007</v>
      </c>
      <c r="C34" s="16" t="n">
        <v>25143</v>
      </c>
      <c r="D34" s="16" t="n">
        <v>12847</v>
      </c>
      <c r="E34" s="16" t="n">
        <v>13499</v>
      </c>
      <c r="F34" s="16" t="n">
        <v>27633</v>
      </c>
    </row>
    <row r="35">
      <c r="A35" s="17" t="inlineStr">
        <is>
          <t>Egenkapital i alt</t>
        </is>
      </c>
      <c r="B35" s="16" t="n">
        <v>29008</v>
      </c>
      <c r="C35" s="16" t="n">
        <v>28144</v>
      </c>
      <c r="D35" s="16" t="n">
        <v>27848</v>
      </c>
      <c r="E35" s="16" t="n">
        <v>30500</v>
      </c>
      <c r="F35" s="16" t="n">
        <v>30634</v>
      </c>
    </row>
    <row r="36">
      <c r="A36" s="15" t="inlineStr">
        <is>
          <t>Hensættelse til udskudt skat</t>
        </is>
      </c>
      <c r="B36" s="16" t="n">
        <v>1595</v>
      </c>
      <c r="C36" s="16" t="n">
        <v>1576</v>
      </c>
      <c r="D36" s="16" t="n">
        <v>400</v>
      </c>
      <c r="E36" s="16" t="n">
        <v>1030</v>
      </c>
      <c r="F36" s="16" t="n">
        <v>1305</v>
      </c>
    </row>
    <row r="37">
      <c r="A37" s="17" t="inlineStr">
        <is>
          <t>Hensatte forpligtelser</t>
        </is>
      </c>
      <c r="B37" s="16" t="n">
        <v>1595</v>
      </c>
      <c r="C37" s="16" t="n">
        <v>1576</v>
      </c>
      <c r="D37" s="16" t="n">
        <v>400</v>
      </c>
      <c r="E37" s="16" t="n">
        <v>1030</v>
      </c>
      <c r="F37" s="16" t="n">
        <v>1305</v>
      </c>
    </row>
    <row r="38">
      <c r="A38" s="15" t="inlineStr">
        <is>
          <t>Ansvarlig lånekapital (langfristet)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Langfristede lån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Leasingforpligtelser (langfristet)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Anden gæld (langfristet)</t>
        </is>
      </c>
      <c r="B41" s="16" t="n">
        <v>649</v>
      </c>
      <c r="C41" s="16" t="n">
        <v>0</v>
      </c>
      <c r="D41" s="16" t="n"/>
      <c r="E41" s="16" t="n"/>
      <c r="F41" s="16" t="n"/>
    </row>
    <row r="42">
      <c r="A42" s="17" t="inlineStr">
        <is>
          <t>Langfristede gældsforpligtelser</t>
        </is>
      </c>
      <c r="B42" s="16" t="n">
        <v>649</v>
      </c>
      <c r="C42" s="16" t="n">
        <v>0</v>
      </c>
      <c r="D42" s="16" t="n"/>
      <c r="E42" s="16" t="n"/>
      <c r="F42" s="16" t="n"/>
    </row>
    <row r="43">
      <c r="A43" s="15" t="inlineStr">
        <is>
          <t>Ansvarlig lånekapital (kortfristet)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Kortfristet del af langfristede gældsforpligtelser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Kreditinstitutter</t>
        </is>
      </c>
      <c r="B45" s="16" t="n">
        <v>742</v>
      </c>
      <c r="C45" s="16" t="n">
        <v>759</v>
      </c>
      <c r="D45" s="16" t="n">
        <v>67</v>
      </c>
      <c r="E45" s="16" t="n">
        <v>123</v>
      </c>
      <c r="F45" s="16" t="n">
        <v>77</v>
      </c>
    </row>
    <row r="46">
      <c r="A46" s="15" t="inlineStr">
        <is>
          <t>Leasingforpligtelser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Leverandører af varer og tjenesteydelser</t>
        </is>
      </c>
      <c r="B47" s="16" t="n">
        <v>12552</v>
      </c>
      <c r="C47" s="16" t="n">
        <v>14599</v>
      </c>
      <c r="D47" s="16" t="n">
        <v>14388</v>
      </c>
      <c r="E47" s="16" t="n">
        <v>20079</v>
      </c>
      <c r="F47" s="16" t="n">
        <v>16989</v>
      </c>
    </row>
    <row r="48">
      <c r="A48" s="15" t="inlineStr">
        <is>
          <t>Gæld til tilknyttede virksomheder</t>
        </is>
      </c>
      <c r="B48" s="16" t="n">
        <v>14277</v>
      </c>
      <c r="C48" s="16" t="n">
        <v>10673</v>
      </c>
      <c r="D48" s="16" t="n">
        <v>4065</v>
      </c>
      <c r="E48" s="16" t="n">
        <v>4755</v>
      </c>
      <c r="F48" s="16" t="n">
        <v>14725</v>
      </c>
    </row>
    <row r="49">
      <c r="A49" s="15" t="inlineStr">
        <is>
          <t>Gæld til selskabsdeltagere og ledelse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Selskabsskat</t>
        </is>
      </c>
      <c r="B50" s="16" t="n">
        <v>1187</v>
      </c>
      <c r="C50" s="16" t="n">
        <v>0</v>
      </c>
      <c r="D50" s="16" t="n">
        <v>3895</v>
      </c>
      <c r="E50" s="16" t="n">
        <v>3498</v>
      </c>
      <c r="F50" s="16" t="n">
        <v>3703</v>
      </c>
    </row>
    <row r="51">
      <c r="A51" s="15" t="inlineStr">
        <is>
          <t>Gæld til tilknyttede virksomheder vedr. selskabsskat</t>
        </is>
      </c>
      <c r="B51" s="16" t="n"/>
      <c r="C51" s="16" t="n"/>
      <c r="D51" s="16" t="n"/>
      <c r="E51" s="16" t="n"/>
      <c r="F51" s="16" t="n"/>
    </row>
    <row r="52">
      <c r="A52" s="15" t="inlineStr">
        <is>
          <t>Anden gæld (kortfristet)</t>
        </is>
      </c>
      <c r="B52" s="16" t="n">
        <v>20392</v>
      </c>
      <c r="C52" s="16" t="n">
        <v>22022</v>
      </c>
      <c r="D52" s="16" t="n">
        <v>33812</v>
      </c>
      <c r="E52" s="16" t="n">
        <v>26975</v>
      </c>
      <c r="F52" s="16" t="n">
        <v>18510</v>
      </c>
    </row>
    <row r="53">
      <c r="A53" s="15" t="inlineStr">
        <is>
          <t>Periodeafgrænsningsposter (passiver)</t>
        </is>
      </c>
      <c r="B53" s="16" t="n"/>
      <c r="C53" s="16" t="n"/>
      <c r="D53" s="16" t="n"/>
      <c r="E53" s="16" t="n"/>
      <c r="F53" s="16" t="n"/>
    </row>
    <row r="54">
      <c r="A54" s="17" t="inlineStr">
        <is>
          <t>Kortfristede gældsforpligtelser</t>
        </is>
      </c>
      <c r="B54" s="16" t="n">
        <v>49150</v>
      </c>
      <c r="C54" s="16" t="n">
        <v>48053</v>
      </c>
      <c r="D54" s="16" t="n">
        <v>56227</v>
      </c>
      <c r="E54" s="16" t="n">
        <v>55430</v>
      </c>
      <c r="F54" s="16" t="n">
        <v>54004</v>
      </c>
    </row>
    <row r="55">
      <c r="A55" s="17" t="inlineStr">
        <is>
          <t>Gældsforpligtelser</t>
        </is>
      </c>
      <c r="B55" s="16" t="n">
        <v>49799</v>
      </c>
      <c r="C55" s="16" t="n">
        <v>48053</v>
      </c>
      <c r="D55" s="16" t="n">
        <v>56227</v>
      </c>
      <c r="E55" s="16" t="n">
        <v>55430</v>
      </c>
      <c r="F55" s="16" t="n">
        <v>54004</v>
      </c>
    </row>
    <row r="56">
      <c r="A56" s="17" t="inlineStr">
        <is>
          <t>Passiver</t>
        </is>
      </c>
      <c r="B56" s="16" t="n">
        <v>80402</v>
      </c>
      <c r="C56" s="16" t="n">
        <v>77773</v>
      </c>
      <c r="D56" s="16" t="n">
        <v>84475</v>
      </c>
      <c r="E56" s="16" t="n">
        <v>86960</v>
      </c>
      <c r="F56" s="16" t="n">
        <v>85943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15013583)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'res_raw_15013583'!$F$2</f>
        <v/>
      </c>
      <c r="C5" s="24">
        <f>'res_raw_15013583'!$E$2</f>
        <v/>
      </c>
      <c r="D5" s="24">
        <f>'res_raw_15013583'!$D$2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'res_raw_15013583'!$F$3</f>
        <v/>
      </c>
      <c r="C6" s="24">
        <f>'res_raw_15013583'!$E$3</f>
        <v/>
      </c>
      <c r="D6" s="24">
        <f>'res_raw_15013583'!$D$3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-'res_raw_15013583'!$F$4</f>
        <v/>
      </c>
      <c r="C7" s="24">
        <f>-'res_raw_15013583'!$E$4</f>
        <v/>
      </c>
      <c r="D7" s="24">
        <f>-'res_raw_15013583'!$D$4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-'res_raw_15013583'!$F$5</f>
        <v/>
      </c>
      <c r="C8" s="24">
        <f>-'res_raw_15013583'!$E$5</f>
        <v/>
      </c>
      <c r="D8" s="24">
        <f>-'res_raw_15013583'!$D$5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-'res_raw_15013583'!$F$7</f>
        <v/>
      </c>
      <c r="C10" s="24">
        <f>-'res_raw_15013583'!$E$7</f>
        <v/>
      </c>
      <c r="D10" s="24">
        <f>-'res_raw_15013583'!$D$7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-'res_raw_15013583'!$F$9</f>
        <v/>
      </c>
      <c r="C11" s="24">
        <f>-'res_raw_15013583'!$E$9</f>
        <v/>
      </c>
      <c r="D11" s="24">
        <f>-'res_raw_15013583'!$D$9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-'res_raw_15013583'!$F$10</f>
        <v/>
      </c>
      <c r="C12" s="24">
        <f>-'res_raw_15013583'!$E$10</f>
        <v/>
      </c>
      <c r="D12" s="24">
        <f>-'res_raw_15013583'!$D$10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N('res_raw_15013583'!$F$12)+N('res_raw_15013583'!$F$13)</f>
        <v/>
      </c>
      <c r="C14" s="24">
        <f>N('res_raw_15013583'!$E$12)+N('res_raw_15013583'!$E$13)</f>
        <v/>
      </c>
      <c r="D14" s="24">
        <f>N('res_raw_15013583'!$D$12)+N('res_raw_15013583'!$D$13)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-'res_raw_15013583'!$F$14</f>
        <v/>
      </c>
      <c r="C15" s="24">
        <f>-'res_raw_15013583'!$E$14</f>
        <v/>
      </c>
      <c r="D15" s="24">
        <f>-'res_raw_15013583'!$D$14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'balance_raw_15013583'!$F$12</f>
        <v/>
      </c>
      <c r="C19" s="24">
        <f>'balance_raw_15013583'!$E$12</f>
        <v/>
      </c>
      <c r="D19" s="24">
        <f>'balance_raw_15013583'!$D$12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'balance_raw_15013583'!$F$27</f>
        <v/>
      </c>
      <c r="C20" s="24">
        <f>'balance_raw_15013583'!$E$27</f>
        <v/>
      </c>
      <c r="D20" s="24">
        <f>'balance_raw_15013583'!$D$27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'balance_raw_15013583'!$F$35</f>
        <v/>
      </c>
      <c r="C23" s="24">
        <f>'balance_raw_15013583'!$E$35</f>
        <v/>
      </c>
      <c r="D23" s="24">
        <f>'balance_raw_15013583'!$D$35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'balance_raw_15013583'!$F$56-'balance_raw_15013583'!$F$35</f>
        <v/>
      </c>
      <c r="C24" s="24">
        <f>'balance_raw_15013583'!$E$56-'balance_raw_15013583'!$E$35</f>
        <v/>
      </c>
      <c r="D24" s="24">
        <f>'balance_raw_15013583'!$D$56-'balance_raw_15013583'!$D$35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'balance_raw_15013583'!$F$16</f>
        <v/>
      </c>
      <c r="C28" s="24">
        <f>'balance_raw_15013583'!$E$16</f>
        <v/>
      </c>
      <c r="D28" s="24">
        <f>'balance_raw_15013583'!$D$16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'balance_raw_15013583'!$F$17</f>
        <v/>
      </c>
      <c r="C29" s="24">
        <f>'balance_raw_15013583'!$E$17</f>
        <v/>
      </c>
      <c r="D29" s="24">
        <f>'balance_raw_15013583'!$D$17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'balance_raw_15013583'!$F$54</f>
        <v/>
      </c>
      <c r="C30" s="24">
        <f>'balance_raw_15013583'!$E$54</f>
        <v/>
      </c>
      <c r="D30" s="24">
        <f>'balance_raw_15013583'!$D$54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IF('balance_raw_15013583'!$F$28="","—",IF(ABS(B21-'balance_raw_15013583'!$F$28)&lt;=1,"✓ OK","❌ "&amp;TEXT(B21-'balance_raw_15013583'!$F$28,"+#,##0;-#,##0")&amp;" t.kr."))</f>
        <v/>
      </c>
      <c r="C61" s="29">
        <f>IF('balance_raw_15013583'!$E$28="","—",IF(ABS(C21-'balance_raw_15013583'!$E$28)&lt;=1,"✓ OK","❌ "&amp;TEXT(C21-'balance_raw_15013583'!$E$28,"+#,##0;-#,##0")&amp;" t.kr."))</f>
        <v/>
      </c>
      <c r="D61" s="29">
        <f>IF('balance_raw_15013583'!$D$28="","—",IF(ABS(D21-'balance_raw_15013583'!$D$28)&lt;=1,"✓ OK","❌ "&amp;TEXT(D21-'balance_raw_15013583'!$D$28,"+#,##0;-#,##0")&amp;"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IF('balance_raw_15013583'!$F$56="","—",IF(ABS(B25-'balance_raw_15013583'!$F$56)&lt;=1,"✓ OK","❌ "&amp;TEXT(B25-'balance_raw_15013583'!$F$56,"+#,##0;-#,##0")&amp;" t.kr."))</f>
        <v/>
      </c>
      <c r="C62" s="29">
        <f>IF('balance_raw_15013583'!$E$56="","—",IF(ABS(C25-'balance_raw_15013583'!$E$56)&lt;=1,"✓ OK","❌ "&amp;TEXT(C25-'balance_raw_15013583'!$E$56,"+#,##0;-#,##0")&amp;" t.kr."))</f>
        <v/>
      </c>
      <c r="D62" s="29">
        <f>IF('balance_raw_15013583'!$D$56="","—",IF(ABS(D25-'balance_raw_15013583'!$D$56)&lt;=1,"✓ OK","❌ "&amp;TEXT(D25-'balance_raw_15013583'!$D$56,"+#,##0;-#,##0")&amp;"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IF('res_raw_15013583'!$F$6="","—",IF(ABS(B9-'res_raw_15013583'!$F$6)&lt;=1,"✓ OK","❌ "&amp;TEXT(B9-'res_raw_15013583'!$F$6,"+#,##0;-#,##0")&amp;" t.kr."))</f>
        <v/>
      </c>
      <c r="C64" s="29">
        <f>IF('res_raw_15013583'!$E$6="","—",IF(ABS(C9-'res_raw_15013583'!$E$6)&lt;=1,"✓ OK","❌ "&amp;TEXT(C9-'res_raw_15013583'!$E$6,"+#,##0;-#,##0")&amp;" t.kr."))</f>
        <v/>
      </c>
      <c r="D64" s="29">
        <f>IF('res_raw_15013583'!$D$6="","—",IF(ABS(D9-'res_raw_15013583'!$D$6)&lt;=1,"✓ OK","❌ "&amp;TEXT(D9-'res_raw_15013583'!$D$6,"+#,##0;-#,##0")&amp;"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IF('res_raw_15013583'!$F$11="","—",IF(ABS(B13-'res_raw_15013583'!$F$11)&lt;=1,"✓ OK","❌ "&amp;TEXT(B13-'res_raw_15013583'!$F$11,"+#,##0;-#,##0")&amp;" t.kr."))</f>
        <v/>
      </c>
      <c r="C65" s="29">
        <f>IF('res_raw_15013583'!$E$11="","—",IF(ABS(C13-'res_raw_15013583'!$E$11)&lt;=1,"✓ OK","❌ "&amp;TEXT(C13-'res_raw_15013583'!$E$11,"+#,##0;-#,##0")&amp;" t.kr."))</f>
        <v/>
      </c>
      <c r="D65" s="29">
        <f>IF('res_raw_15013583'!$D$11="","—",IF(ABS(D13-'res_raw_15013583'!$D$11)&lt;=1,"✓ OK","❌ "&amp;TEXT(D13-'res_raw_15013583'!$D$11,"+#,##0;-#,##0")&amp;"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IF('res_raw_15013583'!$F$16="","—",IF(ABS(B16-'res_raw_15013583'!$F$16)&lt;=1,"✓ OK","❌ "&amp;TEXT(B16-'res_raw_15013583'!$F$16,"+#,##0;-#,##0")&amp;" t.kr."))</f>
        <v/>
      </c>
      <c r="C66" s="29">
        <f>IF('res_raw_15013583'!$E$16="","—",IF(ABS(C16-'res_raw_15013583'!$E$16)&lt;=1,"✓ OK","❌ "&amp;TEXT(C16-'res_raw_15013583'!$E$16,"+#,##0;-#,##0")&amp;" t.kr."))</f>
        <v/>
      </c>
      <c r="D66" s="29">
        <f>IF('res_raw_15013583'!$D$16="","—",IF(ABS(D16-'res_raw_15013583'!$D$16)&lt;=1,"✓ OK","❌ "&amp;TEXT(D16-'res_raw_15013583'!$D$16,"+#,##0;-#,##0")&amp;"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2026-09-07T19:37:38Z</dcterms:created>
  <dcterms:modified xmlns:dcterms="http://purl.org/dc/terms/" xmlns:xsi="http://www.w3.org/2001/XMLSchema-instance" xsi:type="dcterms:W3CDTF">2026-09-07T19:37:38Z</dcterms:modified>
</cp:coreProperties>
</file>