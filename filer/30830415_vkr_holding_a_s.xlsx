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0830415" sheetId="1" state="visible" r:id="rId1"/>
    <sheet xmlns:r="http://schemas.openxmlformats.org/officeDocument/2006/relationships" name="res_raw_30830415" sheetId="2" state="visible" r:id="rId2"/>
    <sheet xmlns:r="http://schemas.openxmlformats.org/officeDocument/2006/relationships" name="balance_raw_30830415" sheetId="3" state="visible" r:id="rId3"/>
    <sheet xmlns:r="http://schemas.openxmlformats.org/officeDocument/2006/relationships" name="pengestrom_raw_30830415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VKR Holding A/S (CVR 30830415)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'res_raw_30830415'!$B$2</f>
        <v/>
      </c>
      <c r="C4" s="5">
        <f>'res_raw_30830415'!$C$2</f>
        <v/>
      </c>
      <c r="D4" s="5">
        <f>'res_raw_30830415'!$D$2</f>
        <v/>
      </c>
      <c r="E4" s="5">
        <f>'res_raw_30830415'!$E$2</f>
        <v/>
      </c>
      <c r="F4" s="5">
        <f>'res_raw_30830415'!$F$2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'res_raw_30830415'!$B$3</f>
        <v/>
      </c>
      <c r="C5" s="8">
        <f>'res_raw_30830415'!$C$3</f>
        <v/>
      </c>
      <c r="D5" s="8">
        <f>'res_raw_30830415'!$D$3</f>
        <v/>
      </c>
      <c r="E5" s="8">
        <f>'res_raw_30830415'!$E$3</f>
        <v/>
      </c>
      <c r="F5" s="8">
        <f>'res_raw_30830415'!$F$3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'res_raw_30830415'!$B$4</f>
        <v/>
      </c>
      <c r="C6" s="5">
        <f>'res_raw_30830415'!$C$4</f>
        <v/>
      </c>
      <c r="D6" s="5">
        <f>'res_raw_30830415'!$D$4</f>
        <v/>
      </c>
      <c r="E6" s="5">
        <f>'res_raw_30830415'!$E$4</f>
        <v/>
      </c>
      <c r="F6" s="5">
        <f>'res_raw_30830415'!$F$4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'res_raw_30830415'!$B$5</f>
        <v/>
      </c>
      <c r="C7" s="8">
        <f>'res_raw_30830415'!$C$5</f>
        <v/>
      </c>
      <c r="D7" s="8">
        <f>'res_raw_30830415'!$D$5</f>
        <v/>
      </c>
      <c r="E7" s="8">
        <f>'res_raw_30830415'!$E$5</f>
        <v/>
      </c>
      <c r="F7" s="8">
        <f>'res_raw_30830415'!$F$5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'res_raw_30830415'!$B$6</f>
        <v/>
      </c>
      <c r="C8" s="11">
        <f>'res_raw_30830415'!$C$6</f>
        <v/>
      </c>
      <c r="D8" s="11">
        <f>'res_raw_30830415'!$D$6</f>
        <v/>
      </c>
      <c r="E8" s="11">
        <f>'res_raw_30830415'!$E$6</f>
        <v/>
      </c>
      <c r="F8" s="11">
        <f>'res_raw_30830415'!$F$6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'res_raw_30830415'!$B$7</f>
        <v/>
      </c>
      <c r="C9" s="8">
        <f>'res_raw_30830415'!$C$7</f>
        <v/>
      </c>
      <c r="D9" s="8">
        <f>'res_raw_30830415'!$D$7</f>
        <v/>
      </c>
      <c r="E9" s="8">
        <f>'res_raw_30830415'!$E$7</f>
        <v/>
      </c>
      <c r="F9" s="8">
        <f>'res_raw_30830415'!$F$7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'res_raw_30830415'!$B$9</f>
        <v/>
      </c>
      <c r="C11" s="8">
        <f>'res_raw_30830415'!$C$9</f>
        <v/>
      </c>
      <c r="D11" s="8">
        <f>'res_raw_30830415'!$D$9</f>
        <v/>
      </c>
      <c r="E11" s="8">
        <f>'res_raw_30830415'!$E$9</f>
        <v/>
      </c>
      <c r="F11" s="8">
        <f>'res_raw_30830415'!$F$9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'res_raw_30830415'!$B$10</f>
        <v/>
      </c>
      <c r="C12" s="5">
        <f>'res_raw_30830415'!$C$10</f>
        <v/>
      </c>
      <c r="D12" s="5">
        <f>'res_raw_30830415'!$D$10</f>
        <v/>
      </c>
      <c r="E12" s="5">
        <f>'res_raw_30830415'!$E$10</f>
        <v/>
      </c>
      <c r="F12" s="5">
        <f>'res_raw_30830415'!$F$10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'res_raw_30830415'!$B$11</f>
        <v/>
      </c>
      <c r="C13" s="11">
        <f>'res_raw_30830415'!$C$11</f>
        <v/>
      </c>
      <c r="D13" s="11">
        <f>'res_raw_30830415'!$D$11</f>
        <v/>
      </c>
      <c r="E13" s="11">
        <f>'res_raw_30830415'!$E$11</f>
        <v/>
      </c>
      <c r="F13" s="11">
        <f>'res_raw_30830415'!$F$11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'res_raw_30830415'!$B$12</f>
        <v/>
      </c>
      <c r="C14" s="5">
        <f>'res_raw_30830415'!$C$12</f>
        <v/>
      </c>
      <c r="D14" s="5">
        <f>'res_raw_30830415'!$D$12</f>
        <v/>
      </c>
      <c r="E14" s="5">
        <f>'res_raw_30830415'!$E$12</f>
        <v/>
      </c>
      <c r="F14" s="5">
        <f>'res_raw_30830415'!$F$12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'res_raw_30830415'!$B$13</f>
        <v/>
      </c>
      <c r="C15" s="8">
        <f>'res_raw_30830415'!$C$13</f>
        <v/>
      </c>
      <c r="D15" s="8">
        <f>'res_raw_30830415'!$D$13</f>
        <v/>
      </c>
      <c r="E15" s="8">
        <f>'res_raw_30830415'!$E$13</f>
        <v/>
      </c>
      <c r="F15" s="8">
        <f>'res_raw_30830415'!$F$13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'res_raw_30830415'!$B$14</f>
        <v/>
      </c>
      <c r="C16" s="5">
        <f>'res_raw_30830415'!$C$14</f>
        <v/>
      </c>
      <c r="D16" s="5">
        <f>'res_raw_30830415'!$D$14</f>
        <v/>
      </c>
      <c r="E16" s="5">
        <f>'res_raw_30830415'!$E$14</f>
        <v/>
      </c>
      <c r="F16" s="5">
        <f>'res_raw_30830415'!$F$14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'res_raw_30830415'!$B$15</f>
        <v/>
      </c>
      <c r="C17" s="11">
        <f>'res_raw_30830415'!$C$15</f>
        <v/>
      </c>
      <c r="D17" s="11">
        <f>'res_raw_30830415'!$D$15</f>
        <v/>
      </c>
      <c r="E17" s="11">
        <f>'res_raw_30830415'!$E$15</f>
        <v/>
      </c>
      <c r="F17" s="11">
        <f>'res_raw_30830415'!$F$15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'res_raw_30830415'!$B$16</f>
        <v/>
      </c>
      <c r="C18" s="11">
        <f>'res_raw_30830415'!$C$16</f>
        <v/>
      </c>
      <c r="D18" s="11">
        <f>'res_raw_30830415'!$D$16</f>
        <v/>
      </c>
      <c r="E18" s="11">
        <f>'res_raw_30830415'!$E$16</f>
        <v/>
      </c>
      <c r="F18" s="11">
        <f>'res_raw_30830415'!$F$16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'res_raw_30830415'!$B$17</f>
        <v/>
      </c>
      <c r="C19" s="8">
        <f>'res_raw_30830415'!$C$17</f>
        <v/>
      </c>
      <c r="D19" s="8">
        <f>'res_raw_30830415'!$D$17</f>
        <v/>
      </c>
      <c r="E19" s="8">
        <f>'res_raw_30830415'!$E$17</f>
        <v/>
      </c>
      <c r="F19" s="8">
        <f>'res_raw_30830415'!$F$17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'res_raw_30830415'!$B$18</f>
        <v/>
      </c>
      <c r="C20" s="11">
        <f>'res_raw_30830415'!$C$18</f>
        <v/>
      </c>
      <c r="D20" s="11">
        <f>'res_raw_30830415'!$D$18</f>
        <v/>
      </c>
      <c r="E20" s="11">
        <f>'res_raw_30830415'!$E$18</f>
        <v/>
      </c>
      <c r="F20" s="11">
        <f>'res_raw_30830415'!$F$18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'balance_raw_30830415'!$B$2</f>
        <v/>
      </c>
      <c r="C23" s="11">
        <f>'balance_raw_30830415'!$C$2</f>
        <v/>
      </c>
      <c r="D23" s="11">
        <f>'balance_raw_30830415'!$D$2</f>
        <v/>
      </c>
      <c r="E23" s="11">
        <f>'balance_raw_30830415'!$E$2</f>
        <v/>
      </c>
      <c r="F23" s="11">
        <f>'balance_raw_30830415'!$F$2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10" t="inlineStr">
        <is>
          <t>Materielle anlægsaktiver</t>
        </is>
      </c>
      <c r="B24" s="11">
        <f>'balance_raw_30830415'!$B$3</f>
        <v/>
      </c>
      <c r="C24" s="11">
        <f>'balance_raw_30830415'!$C$3</f>
        <v/>
      </c>
      <c r="D24" s="11">
        <f>'balance_raw_30830415'!$D$3</f>
        <v/>
      </c>
      <c r="E24" s="11">
        <f>'balance_raw_30830415'!$E$3</f>
        <v/>
      </c>
      <c r="F24" s="11">
        <f>'balance_raw_30830415'!$F$3</f>
        <v/>
      </c>
      <c r="G24" t="inlineStr"/>
      <c r="H24" s="12">
        <f>IFERROR(B24/$B$24*100,"")</f>
        <v/>
      </c>
      <c r="I24" s="12">
        <f>IFERROR(C24/$B$24*100,"")</f>
        <v/>
      </c>
      <c r="J24" s="12">
        <f>IFERROR(D24/$B$24*100,"")</f>
        <v/>
      </c>
      <c r="K24" s="12">
        <f>IFERROR(E24/$B$24*100,"")</f>
        <v/>
      </c>
      <c r="L24" s="12">
        <f>IFERROR(F24/$B$24*100,"")</f>
        <v/>
      </c>
    </row>
    <row r="25" ht="16" customHeight="1">
      <c r="A25" s="10" t="inlineStr">
        <is>
          <t>Finansielle anlægsaktiver</t>
        </is>
      </c>
      <c r="B25" s="11">
        <f>'balance_raw_30830415'!$B$4</f>
        <v/>
      </c>
      <c r="C25" s="11">
        <f>'balance_raw_30830415'!$C$4</f>
        <v/>
      </c>
      <c r="D25" s="11">
        <f>'balance_raw_30830415'!$D$4</f>
        <v/>
      </c>
      <c r="E25" s="11">
        <f>'balance_raw_30830415'!$E$4</f>
        <v/>
      </c>
      <c r="F25" s="11">
        <f>'balance_raw_30830415'!$F$4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10" t="inlineStr">
        <is>
          <t>Anlægsaktiver</t>
        </is>
      </c>
      <c r="B26" s="11">
        <f>'balance_raw_30830415'!$B$5</f>
        <v/>
      </c>
      <c r="C26" s="11">
        <f>'balance_raw_30830415'!$C$5</f>
        <v/>
      </c>
      <c r="D26" s="11">
        <f>'balance_raw_30830415'!$D$5</f>
        <v/>
      </c>
      <c r="E26" s="11">
        <f>'balance_raw_30830415'!$E$5</f>
        <v/>
      </c>
      <c r="F26" s="11">
        <f>'balance_raw_30830415'!$F$5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Råvarer og hjælpematerialer</t>
        </is>
      </c>
      <c r="B27" s="8">
        <f>'balance_raw_30830415'!$B$6</f>
        <v/>
      </c>
      <c r="C27" s="8">
        <f>'balance_raw_30830415'!$C$6</f>
        <v/>
      </c>
      <c r="D27" s="8">
        <f>'balance_raw_30830415'!$D$6</f>
        <v/>
      </c>
      <c r="E27" s="8">
        <f>'balance_raw_30830415'!$E$6</f>
        <v/>
      </c>
      <c r="F27" s="8">
        <f>'balance_raw_30830415'!$F$6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Varer under fremstilling</t>
        </is>
      </c>
      <c r="B28" s="5">
        <f>'balance_raw_30830415'!$B$7</f>
        <v/>
      </c>
      <c r="C28" s="5">
        <f>'balance_raw_30830415'!$C$7</f>
        <v/>
      </c>
      <c r="D28" s="5">
        <f>'balance_raw_30830415'!$D$7</f>
        <v/>
      </c>
      <c r="E28" s="5">
        <f>'balance_raw_30830415'!$E$7</f>
        <v/>
      </c>
      <c r="F28" s="5">
        <f>'balance_raw_30830415'!$F$7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Færdigvarer og handelsvarer</t>
        </is>
      </c>
      <c r="B29" s="8">
        <f>'balance_raw_30830415'!$B$8</f>
        <v/>
      </c>
      <c r="C29" s="8">
        <f>'balance_raw_30830415'!$C$8</f>
        <v/>
      </c>
      <c r="D29" s="8">
        <f>'balance_raw_30830415'!$D$8</f>
        <v/>
      </c>
      <c r="E29" s="8">
        <f>'balance_raw_30830415'!$E$8</f>
        <v/>
      </c>
      <c r="F29" s="8">
        <f>'balance_raw_30830415'!$F$8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10" t="inlineStr">
        <is>
          <t>Varebeholdninger</t>
        </is>
      </c>
      <c r="B30" s="11">
        <f>'balance_raw_30830415'!$B$9</f>
        <v/>
      </c>
      <c r="C30" s="11">
        <f>'balance_raw_30830415'!$C$9</f>
        <v/>
      </c>
      <c r="D30" s="11">
        <f>'balance_raw_30830415'!$D$9</f>
        <v/>
      </c>
      <c r="E30" s="11">
        <f>'balance_raw_30830415'!$E$9</f>
        <v/>
      </c>
      <c r="F30" s="11">
        <f>'balance_raw_30830415'!$F$9</f>
        <v/>
      </c>
      <c r="G30" t="inlineStr"/>
      <c r="H30" s="12">
        <f>IFERROR(B30/$B$30*100,"")</f>
        <v/>
      </c>
      <c r="I30" s="12">
        <f>IFERROR(C30/$B$30*100,"")</f>
        <v/>
      </c>
      <c r="J30" s="12">
        <f>IFERROR(D30/$B$30*100,"")</f>
        <v/>
      </c>
      <c r="K30" s="12">
        <f>IFERROR(E30/$B$30*100,"")</f>
        <v/>
      </c>
      <c r="L30" s="12">
        <f>IFERROR(F30/$B$30*100,"")</f>
        <v/>
      </c>
    </row>
    <row r="31" ht="16" customHeight="1">
      <c r="A31" s="7" t="inlineStr">
        <is>
          <t>Tilgodehavender fra salg og tjenesteydelser</t>
        </is>
      </c>
      <c r="B31" s="8">
        <f>'balance_raw_30830415'!$B$10</f>
        <v/>
      </c>
      <c r="C31" s="8">
        <f>'balance_raw_30830415'!$C$10</f>
        <v/>
      </c>
      <c r="D31" s="8">
        <f>'balance_raw_30830415'!$D$10</f>
        <v/>
      </c>
      <c r="E31" s="8">
        <f>'balance_raw_30830415'!$E$10</f>
        <v/>
      </c>
      <c r="F31" s="8">
        <f>'balance_raw_30830415'!$F$10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'balance_raw_30830415'!$B$11</f>
        <v/>
      </c>
      <c r="C32" s="5">
        <f>'balance_raw_30830415'!$C$11</f>
        <v/>
      </c>
      <c r="D32" s="5">
        <f>'balance_raw_30830415'!$D$11</f>
        <v/>
      </c>
      <c r="E32" s="5">
        <f>'balance_raw_30830415'!$E$11</f>
        <v/>
      </c>
      <c r="F32" s="5">
        <f>'balance_raw_30830415'!$F$11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Andre tilgodehavender</t>
        </is>
      </c>
      <c r="B33" s="8">
        <f>'balance_raw_30830415'!$B$12</f>
        <v/>
      </c>
      <c r="C33" s="8">
        <f>'balance_raw_30830415'!$C$12</f>
        <v/>
      </c>
      <c r="D33" s="8">
        <f>'balance_raw_30830415'!$D$12</f>
        <v/>
      </c>
      <c r="E33" s="8">
        <f>'balance_raw_30830415'!$E$12</f>
        <v/>
      </c>
      <c r="F33" s="8">
        <f>'balance_raw_30830415'!$F$12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'balance_raw_30830415'!$B$13</f>
        <v/>
      </c>
      <c r="C34" s="5">
        <f>'balance_raw_30830415'!$C$13</f>
        <v/>
      </c>
      <c r="D34" s="5">
        <f>'balance_raw_30830415'!$D$13</f>
        <v/>
      </c>
      <c r="E34" s="5">
        <f>'balance_raw_30830415'!$E$13</f>
        <v/>
      </c>
      <c r="F34" s="5">
        <f>'balance_raw_30830415'!$F$13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Udskudt skatteaktiv</t>
        </is>
      </c>
      <c r="B35" s="8">
        <f>'balance_raw_30830415'!$B$14</f>
        <v/>
      </c>
      <c r="C35" s="8">
        <f>'balance_raw_30830415'!$C$14</f>
        <v/>
      </c>
      <c r="D35" s="8">
        <f>'balance_raw_30830415'!$D$14</f>
        <v/>
      </c>
      <c r="E35" s="8">
        <f>'balance_raw_30830415'!$E$14</f>
        <v/>
      </c>
      <c r="F35" s="8">
        <f>'balance_raw_30830415'!$F$14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'balance_raw_30830415'!$B$15</f>
        <v/>
      </c>
      <c r="C36" s="5">
        <f>'balance_raw_30830415'!$C$15</f>
        <v/>
      </c>
      <c r="D36" s="5">
        <f>'balance_raw_30830415'!$D$15</f>
        <v/>
      </c>
      <c r="E36" s="5">
        <f>'balance_raw_30830415'!$E$15</f>
        <v/>
      </c>
      <c r="F36" s="5">
        <f>'balance_raw_30830415'!$F$15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Kortfristede skattetilgodehavender</t>
        </is>
      </c>
      <c r="B37" s="8">
        <f>'balance_raw_30830415'!$B$16</f>
        <v/>
      </c>
      <c r="C37" s="8">
        <f>'balance_raw_30830415'!$C$16</f>
        <v/>
      </c>
      <c r="D37" s="8">
        <f>'balance_raw_30830415'!$D$16</f>
        <v/>
      </c>
      <c r="E37" s="8">
        <f>'balance_raw_30830415'!$E$16</f>
        <v/>
      </c>
      <c r="F37" s="8">
        <f>'balance_raw_30830415'!$F$16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10" t="inlineStr">
        <is>
          <t>Tilgodehavender</t>
        </is>
      </c>
      <c r="B38" s="11">
        <f>'balance_raw_30830415'!$B$17</f>
        <v/>
      </c>
      <c r="C38" s="11">
        <f>'balance_raw_30830415'!$C$17</f>
        <v/>
      </c>
      <c r="D38" s="11">
        <f>'balance_raw_30830415'!$D$17</f>
        <v/>
      </c>
      <c r="E38" s="11">
        <f>'balance_raw_30830415'!$E$17</f>
        <v/>
      </c>
      <c r="F38" s="11">
        <f>'balance_raw_30830415'!$F$17</f>
        <v/>
      </c>
      <c r="G38" t="inlineStr"/>
      <c r="H38" s="12">
        <f>IFERROR(B38/$B$38*100,"")</f>
        <v/>
      </c>
      <c r="I38" s="12">
        <f>IFERROR(C38/$B$38*100,"")</f>
        <v/>
      </c>
      <c r="J38" s="12">
        <f>IFERROR(D38/$B$38*100,"")</f>
        <v/>
      </c>
      <c r="K38" s="12">
        <f>IFERROR(E38/$B$38*100,"")</f>
        <v/>
      </c>
      <c r="L38" s="12">
        <f>IFERROR(F38/$B$38*100,"")</f>
        <v/>
      </c>
    </row>
    <row r="39" ht="16" customHeight="1">
      <c r="A39" s="7" t="inlineStr">
        <is>
          <t>Værdipapirer</t>
        </is>
      </c>
      <c r="B39" s="8">
        <f>'balance_raw_30830415'!$B$18</f>
        <v/>
      </c>
      <c r="C39" s="8">
        <f>'balance_raw_30830415'!$C$18</f>
        <v/>
      </c>
      <c r="D39" s="8">
        <f>'balance_raw_30830415'!$D$18</f>
        <v/>
      </c>
      <c r="E39" s="8">
        <f>'balance_raw_30830415'!$E$18</f>
        <v/>
      </c>
      <c r="F39" s="8">
        <f>'balance_raw_30830415'!$F$18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'balance_raw_30830415'!$B$19</f>
        <v/>
      </c>
      <c r="C40" s="5">
        <f>'balance_raw_30830415'!$C$19</f>
        <v/>
      </c>
      <c r="D40" s="5">
        <f>'balance_raw_30830415'!$D$19</f>
        <v/>
      </c>
      <c r="E40" s="5">
        <f>'balance_raw_30830415'!$E$19</f>
        <v/>
      </c>
      <c r="F40" s="5">
        <f>'balance_raw_30830415'!$F$19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Omsætningsaktiver</t>
        </is>
      </c>
      <c r="B41" s="11">
        <f>'balance_raw_30830415'!$B$20</f>
        <v/>
      </c>
      <c r="C41" s="11">
        <f>'balance_raw_30830415'!$C$20</f>
        <v/>
      </c>
      <c r="D41" s="11">
        <f>'balance_raw_30830415'!$D$20</f>
        <v/>
      </c>
      <c r="E41" s="11">
        <f>'balance_raw_30830415'!$E$20</f>
        <v/>
      </c>
      <c r="F41" s="11">
        <f>'balance_raw_30830415'!$F$20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10" t="inlineStr">
        <is>
          <t>Aktiver</t>
        </is>
      </c>
      <c r="B42" s="11">
        <f>'balance_raw_30830415'!$B$21</f>
        <v/>
      </c>
      <c r="C42" s="11">
        <f>'balance_raw_30830415'!$C$21</f>
        <v/>
      </c>
      <c r="D42" s="11">
        <f>'balance_raw_30830415'!$D$21</f>
        <v/>
      </c>
      <c r="E42" s="11">
        <f>'balance_raw_30830415'!$E$21</f>
        <v/>
      </c>
      <c r="F42" s="11">
        <f>'balance_raw_30830415'!$F$21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4" ht="22" customHeight="1">
      <c r="A44" s="3" t="inlineStr">
        <is>
          <t>PASSIVER t.kr.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7" t="inlineStr">
        <is>
          <t>Selskabskapital</t>
        </is>
      </c>
      <c r="B45" s="8">
        <f>'balance_raw_30830415'!$B$22</f>
        <v/>
      </c>
      <c r="C45" s="8">
        <f>'balance_raw_30830415'!$C$22</f>
        <v/>
      </c>
      <c r="D45" s="8">
        <f>'balance_raw_30830415'!$D$22</f>
        <v/>
      </c>
      <c r="E45" s="8">
        <f>'balance_raw_30830415'!$E$22</f>
        <v/>
      </c>
      <c r="F45" s="8">
        <f>'balance_raw_30830415'!$F$22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'balance_raw_30830415'!$B$23</f>
        <v/>
      </c>
      <c r="C46" s="5">
        <f>'balance_raw_30830415'!$C$23</f>
        <v/>
      </c>
      <c r="D46" s="5">
        <f>'balance_raw_30830415'!$D$23</f>
        <v/>
      </c>
      <c r="E46" s="5">
        <f>'balance_raw_30830415'!$E$23</f>
        <v/>
      </c>
      <c r="F46" s="5">
        <f>'balance_raw_30830415'!$F$23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udviklingsomkostninger</t>
        </is>
      </c>
      <c r="B47" s="8">
        <f>'balance_raw_30830415'!$B$24</f>
        <v/>
      </c>
      <c r="C47" s="8">
        <f>'balance_raw_30830415'!$C$24</f>
        <v/>
      </c>
      <c r="D47" s="8">
        <f>'balance_raw_30830415'!$D$24</f>
        <v/>
      </c>
      <c r="E47" s="8">
        <f>'balance_raw_30830415'!$E$24</f>
        <v/>
      </c>
      <c r="F47" s="8">
        <f>'balance_raw_30830415'!$F$24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'balance_raw_30830415'!$B$25</f>
        <v/>
      </c>
      <c r="C48" s="5">
        <f>'balance_raw_30830415'!$C$25</f>
        <v/>
      </c>
      <c r="D48" s="5">
        <f>'balance_raw_30830415'!$D$25</f>
        <v/>
      </c>
      <c r="E48" s="5">
        <f>'balance_raw_30830415'!$E$25</f>
        <v/>
      </c>
      <c r="F48" s="5">
        <f>'balance_raw_30830415'!$F$25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Andre reserver</t>
        </is>
      </c>
      <c r="B49" s="8">
        <f>'balance_raw_30830415'!$B$26</f>
        <v/>
      </c>
      <c r="C49" s="8">
        <f>'balance_raw_30830415'!$C$26</f>
        <v/>
      </c>
      <c r="D49" s="8">
        <f>'balance_raw_30830415'!$D$26</f>
        <v/>
      </c>
      <c r="E49" s="8">
        <f>'balance_raw_30830415'!$E$26</f>
        <v/>
      </c>
      <c r="F49" s="8">
        <f>'balance_raw_30830415'!$F$26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'balance_raw_30830415'!$B$27</f>
        <v/>
      </c>
      <c r="C50" s="5">
        <f>'balance_raw_30830415'!$C$27</f>
        <v/>
      </c>
      <c r="D50" s="5">
        <f>'balance_raw_30830415'!$D$27</f>
        <v/>
      </c>
      <c r="E50" s="5">
        <f>'balance_raw_30830415'!$E$27</f>
        <v/>
      </c>
      <c r="F50" s="5">
        <f>'balance_raw_30830415'!$F$27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Egenkapital i alt</t>
        </is>
      </c>
      <c r="B51" s="11">
        <f>'balance_raw_30830415'!$B$28</f>
        <v/>
      </c>
      <c r="C51" s="11">
        <f>'balance_raw_30830415'!$C$28</f>
        <v/>
      </c>
      <c r="D51" s="11">
        <f>'balance_raw_30830415'!$D$28</f>
        <v/>
      </c>
      <c r="E51" s="11">
        <f>'balance_raw_30830415'!$E$28</f>
        <v/>
      </c>
      <c r="F51" s="11">
        <f>'balance_raw_30830415'!$F$28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'balance_raw_30830415'!$B$29</f>
        <v/>
      </c>
      <c r="C52" s="5">
        <f>'balance_raw_30830415'!$C$29</f>
        <v/>
      </c>
      <c r="D52" s="5">
        <f>'balance_raw_30830415'!$D$29</f>
        <v/>
      </c>
      <c r="E52" s="5">
        <f>'balance_raw_30830415'!$E$29</f>
        <v/>
      </c>
      <c r="F52" s="5">
        <f>'balance_raw_30830415'!$F$29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Hensatte forpligtelser</t>
        </is>
      </c>
      <c r="B53" s="11">
        <f>'balance_raw_30830415'!$B$30</f>
        <v/>
      </c>
      <c r="C53" s="11">
        <f>'balance_raw_30830415'!$C$30</f>
        <v/>
      </c>
      <c r="D53" s="11">
        <f>'balance_raw_30830415'!$D$30</f>
        <v/>
      </c>
      <c r="E53" s="11">
        <f>'balance_raw_30830415'!$E$30</f>
        <v/>
      </c>
      <c r="F53" s="11">
        <f>'balance_raw_30830415'!$F$30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10" t="inlineStr">
        <is>
          <t>Langfristede gældsforpligtelser</t>
        </is>
      </c>
      <c r="B54" s="11">
        <f>'balance_raw_30830415'!$B$31</f>
        <v/>
      </c>
      <c r="C54" s="11">
        <f>'balance_raw_30830415'!$C$31</f>
        <v/>
      </c>
      <c r="D54" s="11">
        <f>'balance_raw_30830415'!$D$31</f>
        <v/>
      </c>
      <c r="E54" s="11">
        <f>'balance_raw_30830415'!$E$31</f>
        <v/>
      </c>
      <c r="F54" s="11">
        <f>'balance_raw_30830415'!$F$31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(kortfristet)</t>
        </is>
      </c>
      <c r="B55" s="8">
        <f>'balance_raw_30830415'!$B$32</f>
        <v/>
      </c>
      <c r="C55" s="8">
        <f>'balance_raw_30830415'!$C$32</f>
        <v/>
      </c>
      <c r="D55" s="8">
        <f>'balance_raw_30830415'!$D$32</f>
        <v/>
      </c>
      <c r="E55" s="8">
        <f>'balance_raw_30830415'!$E$32</f>
        <v/>
      </c>
      <c r="F55" s="8">
        <f>'balance_raw_30830415'!$F$32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'balance_raw_30830415'!$B$33</f>
        <v/>
      </c>
      <c r="C56" s="5">
        <f>'balance_raw_30830415'!$C$33</f>
        <v/>
      </c>
      <c r="D56" s="5">
        <f>'balance_raw_30830415'!$D$33</f>
        <v/>
      </c>
      <c r="E56" s="5">
        <f>'balance_raw_30830415'!$E$33</f>
        <v/>
      </c>
      <c r="F56" s="5">
        <f>'balance_raw_30830415'!$F$33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Kreditinstitutter</t>
        </is>
      </c>
      <c r="B57" s="8">
        <f>'balance_raw_30830415'!$B$34</f>
        <v/>
      </c>
      <c r="C57" s="8">
        <f>'balance_raw_30830415'!$C$34</f>
        <v/>
      </c>
      <c r="D57" s="8">
        <f>'balance_raw_30830415'!$D$34</f>
        <v/>
      </c>
      <c r="E57" s="8">
        <f>'balance_raw_30830415'!$E$34</f>
        <v/>
      </c>
      <c r="F57" s="8">
        <f>'balance_raw_30830415'!$F$34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'balance_raw_30830415'!$B$35</f>
        <v/>
      </c>
      <c r="C58" s="5">
        <f>'balance_raw_30830415'!$C$35</f>
        <v/>
      </c>
      <c r="D58" s="5">
        <f>'balance_raw_30830415'!$D$35</f>
        <v/>
      </c>
      <c r="E58" s="5">
        <f>'balance_raw_30830415'!$E$35</f>
        <v/>
      </c>
      <c r="F58" s="5">
        <f>'balance_raw_30830415'!$F$35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Leverandører af varer og tjenesteydelser</t>
        </is>
      </c>
      <c r="B59" s="8">
        <f>'balance_raw_30830415'!$B$36</f>
        <v/>
      </c>
      <c r="C59" s="8">
        <f>'balance_raw_30830415'!$C$36</f>
        <v/>
      </c>
      <c r="D59" s="8">
        <f>'balance_raw_30830415'!$D$36</f>
        <v/>
      </c>
      <c r="E59" s="8">
        <f>'balance_raw_30830415'!$E$36</f>
        <v/>
      </c>
      <c r="F59" s="8">
        <f>'balance_raw_30830415'!$F$36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'balance_raw_30830415'!$B$37</f>
        <v/>
      </c>
      <c r="C60" s="5">
        <f>'balance_raw_30830415'!$C$37</f>
        <v/>
      </c>
      <c r="D60" s="5">
        <f>'balance_raw_30830415'!$D$37</f>
        <v/>
      </c>
      <c r="E60" s="5">
        <f>'balance_raw_30830415'!$E$37</f>
        <v/>
      </c>
      <c r="F60" s="5">
        <f>'balance_raw_30830415'!$F$37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selskabsdeltagere og ledelse</t>
        </is>
      </c>
      <c r="B61" s="8">
        <f>'balance_raw_30830415'!$B$38</f>
        <v/>
      </c>
      <c r="C61" s="8">
        <f>'balance_raw_30830415'!$C$38</f>
        <v/>
      </c>
      <c r="D61" s="8">
        <f>'balance_raw_30830415'!$D$38</f>
        <v/>
      </c>
      <c r="E61" s="8">
        <f>'balance_raw_30830415'!$E$38</f>
        <v/>
      </c>
      <c r="F61" s="8">
        <f>'balance_raw_30830415'!$F$38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Selskabsskat</t>
        </is>
      </c>
      <c r="B62" s="5">
        <f>'balance_raw_30830415'!$B$39</f>
        <v/>
      </c>
      <c r="C62" s="5">
        <f>'balance_raw_30830415'!$C$39</f>
        <v/>
      </c>
      <c r="D62" s="5">
        <f>'balance_raw_30830415'!$D$39</f>
        <v/>
      </c>
      <c r="E62" s="5">
        <f>'balance_raw_30830415'!$E$39</f>
        <v/>
      </c>
      <c r="F62" s="5">
        <f>'balance_raw_30830415'!$F$39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 vedr. selskabsskat</t>
        </is>
      </c>
      <c r="B63" s="8">
        <f>'balance_raw_30830415'!$B$40</f>
        <v/>
      </c>
      <c r="C63" s="8">
        <f>'balance_raw_30830415'!$C$40</f>
        <v/>
      </c>
      <c r="D63" s="8">
        <f>'balance_raw_30830415'!$D$40</f>
        <v/>
      </c>
      <c r="E63" s="8">
        <f>'balance_raw_30830415'!$E$40</f>
        <v/>
      </c>
      <c r="F63" s="8">
        <f>'balance_raw_30830415'!$F$40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'balance_raw_30830415'!$B$41</f>
        <v/>
      </c>
      <c r="C64" s="5">
        <f>'balance_raw_30830415'!$C$41</f>
        <v/>
      </c>
      <c r="D64" s="5">
        <f>'balance_raw_30830415'!$D$41</f>
        <v/>
      </c>
      <c r="E64" s="5">
        <f>'balance_raw_30830415'!$E$41</f>
        <v/>
      </c>
      <c r="F64" s="5">
        <f>'balance_raw_30830415'!$F$41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Periodeafgrænsningsposter (passiver)</t>
        </is>
      </c>
      <c r="B65" s="8">
        <f>'balance_raw_30830415'!$B$42</f>
        <v/>
      </c>
      <c r="C65" s="8">
        <f>'balance_raw_30830415'!$C$42</f>
        <v/>
      </c>
      <c r="D65" s="8">
        <f>'balance_raw_30830415'!$D$42</f>
        <v/>
      </c>
      <c r="E65" s="8">
        <f>'balance_raw_30830415'!$E$42</f>
        <v/>
      </c>
      <c r="F65" s="8">
        <f>'balance_raw_30830415'!$F$42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Kortfristede gældsforpligtelser</t>
        </is>
      </c>
      <c r="B66" s="11">
        <f>'balance_raw_30830415'!$B$43</f>
        <v/>
      </c>
      <c r="C66" s="11">
        <f>'balance_raw_30830415'!$C$43</f>
        <v/>
      </c>
      <c r="D66" s="11">
        <f>'balance_raw_30830415'!$D$43</f>
        <v/>
      </c>
      <c r="E66" s="11">
        <f>'balance_raw_30830415'!$E$43</f>
        <v/>
      </c>
      <c r="F66" s="11">
        <f>'balance_raw_30830415'!$F$43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Gældsforpligtelser</t>
        </is>
      </c>
      <c r="B67" s="11">
        <f>'balance_raw_30830415'!$B$44</f>
        <v/>
      </c>
      <c r="C67" s="11">
        <f>'balance_raw_30830415'!$C$44</f>
        <v/>
      </c>
      <c r="D67" s="11">
        <f>'balance_raw_30830415'!$D$44</f>
        <v/>
      </c>
      <c r="E67" s="11">
        <f>'balance_raw_30830415'!$E$44</f>
        <v/>
      </c>
      <c r="F67" s="11">
        <f>'balance_raw_30830415'!$F$44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Passiver</t>
        </is>
      </c>
      <c r="B68" s="11">
        <f>'balance_raw_30830415'!$B$45</f>
        <v/>
      </c>
      <c r="C68" s="11">
        <f>'balance_raw_30830415'!$C$45</f>
        <v/>
      </c>
      <c r="D68" s="11">
        <f>'balance_raw_30830415'!$D$45</f>
        <v/>
      </c>
      <c r="E68" s="11">
        <f>'balance_raw_30830415'!$E$45</f>
        <v/>
      </c>
      <c r="F68" s="11">
        <f>'balance_raw_30830415'!$F$45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70" ht="22" customHeight="1">
      <c r="A70" s="3" t="inlineStr">
        <is>
          <t>NØGLEOPLYSNINGER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Gns. antal medarbejdere</t>
        </is>
      </c>
      <c r="B71" s="8">
        <f>'res_raw_30830415'!$B$19</f>
        <v/>
      </c>
      <c r="C71" s="8">
        <f>'res_raw_30830415'!$C$19</f>
        <v/>
      </c>
      <c r="D71" s="8">
        <f>'res_raw_30830415'!$D$19</f>
        <v/>
      </c>
      <c r="E71" s="8">
        <f>'res_raw_30830415'!$E$19</f>
        <v/>
      </c>
      <c r="F71" s="8">
        <f>'res_raw_30830415'!$F$19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'res_raw_30830415'!$B$20</f>
        <v/>
      </c>
      <c r="C72" s="5">
        <f>'res_raw_30830415'!$C$20</f>
        <v/>
      </c>
      <c r="D72" s="5">
        <f>'res_raw_30830415'!$D$20</f>
        <v/>
      </c>
      <c r="E72" s="5">
        <f>'res_raw_30830415'!$E$20</f>
        <v/>
      </c>
      <c r="F72" s="5">
        <f>'res_raw_30830415'!$F$20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Afkastningsgrad, %</t>
        </is>
      </c>
      <c r="B75" s="13">
        <f>IFERROR(($B$13+$B$15+$B$14)/$B$42*100,"")</f>
        <v/>
      </c>
      <c r="C75" s="13">
        <f>IFERROR(($C$13+$C$15+$C$14)/$C$42*100,"")</f>
        <v/>
      </c>
      <c r="D75" s="13">
        <f>IFERROR(($D$13+$D$15+$D$14)/$D$42*100,"")</f>
        <v/>
      </c>
      <c r="E75" s="13">
        <f>IFERROR(($E$13+$E$15+$E$14)/$E$42*100,"")</f>
        <v/>
      </c>
      <c r="F75" s="13">
        <f>IFERROR(($F$13+$F$15+$F$14)/$F$42*100,"")</f>
        <v/>
      </c>
    </row>
    <row r="76" ht="16" customHeight="1">
      <c r="A76" s="4" t="inlineStr">
        <is>
          <t>Overskudsgrad, %</t>
        </is>
      </c>
      <c r="B76" s="14">
        <f>IFERROR(($B$13+$B$15+$B$14)/$B$4*100,"")</f>
        <v/>
      </c>
      <c r="C76" s="14">
        <f>IFERROR(($C$13+$C$15+$C$14)/$C$4*100,"")</f>
        <v/>
      </c>
      <c r="D76" s="14">
        <f>IFERROR(($D$13+$D$15+$D$14)/$D$4*100,"")</f>
        <v/>
      </c>
      <c r="E76" s="14">
        <f>IFERROR(($E$13+$E$15+$E$14)/$E$4*100,"")</f>
        <v/>
      </c>
      <c r="F76" s="14">
        <f>IFERROR(($F$13+$F$15+$F$14)/$F$4*100,"")</f>
        <v/>
      </c>
    </row>
    <row r="77" ht="16" customHeight="1">
      <c r="A77" s="7" t="inlineStr">
        <is>
          <t>Aktivernes omsætningshastighed, gange</t>
        </is>
      </c>
      <c r="B77" s="13">
        <f>IFERROR($B$4/$B$42,"")</f>
        <v/>
      </c>
      <c r="C77" s="13">
        <f>IFERROR($C$4/$C$42,"")</f>
        <v/>
      </c>
      <c r="D77" s="13">
        <f>IFERROR($D$4/$D$42,"")</f>
        <v/>
      </c>
      <c r="E77" s="13">
        <f>IFERROR($E$4/$E$42,"")</f>
        <v/>
      </c>
      <c r="F77" s="13">
        <f>IFERROR($F$4/$F$42,"")</f>
        <v/>
      </c>
    </row>
    <row r="78" ht="16" customHeight="1">
      <c r="A78" s="4" t="inlineStr">
        <is>
          <t>Egenkapitalens forrentning, %</t>
        </is>
      </c>
      <c r="B78" s="14">
        <f>IFERROR($B$18/$B$51*100,"")</f>
        <v/>
      </c>
      <c r="C78" s="14">
        <f>IFERROR($C$18/$C$51*100,"")</f>
        <v/>
      </c>
      <c r="D78" s="14">
        <f>IFERROR($D$18/$D$51*100,"")</f>
        <v/>
      </c>
      <c r="E78" s="14">
        <f>IFERROR($E$18/$E$51*100,"")</f>
        <v/>
      </c>
      <c r="F78" s="14">
        <f>IFERROR($F$18/$F$51*100,"")</f>
        <v/>
      </c>
    </row>
    <row r="79" ht="16" customHeight="1">
      <c r="A79" s="7" t="inlineStr">
        <is>
          <t>Gældsrente, %</t>
        </is>
      </c>
      <c r="B79" s="13">
        <f>IFERROR($B$16/($B$68-$B$51)*100,"")</f>
        <v/>
      </c>
      <c r="C79" s="13">
        <f>IFERROR($C$16/($C$68-$C$51)*100,"")</f>
        <v/>
      </c>
      <c r="D79" s="13">
        <f>IFERROR($D$16/($D$68-$D$51)*100,"")</f>
        <v/>
      </c>
      <c r="E79" s="13">
        <f>IFERROR($E$16/($E$68-$E$51)*100,"")</f>
        <v/>
      </c>
      <c r="F79" s="13">
        <f>IFERROR($F$16/($F$68-$F$51)*100,"")</f>
        <v/>
      </c>
    </row>
    <row r="80" ht="16" customHeight="1">
      <c r="A80" s="4" t="inlineStr">
        <is>
          <t>Soliditetsgrad, %</t>
        </is>
      </c>
      <c r="B80" s="14">
        <f>IFERROR($B$51/$B$42*100,"")</f>
        <v/>
      </c>
      <c r="C80" s="14">
        <f>IFERROR($C$51/$C$42*100,"")</f>
        <v/>
      </c>
      <c r="D80" s="14">
        <f>IFERROR($D$51/$D$42*100,"")</f>
        <v/>
      </c>
      <c r="E80" s="14">
        <f>IFERROR($E$51/$E$42*100,"")</f>
        <v/>
      </c>
      <c r="F80" s="14">
        <f>IFERROR($F$51/$F$42*100,"")</f>
        <v/>
      </c>
    </row>
    <row r="81" ht="16" customHeight="1">
      <c r="A81" s="7" t="inlineStr">
        <is>
          <t>Gearing</t>
        </is>
      </c>
      <c r="B81" s="13">
        <f>IFERROR(($B$68-$B$51)/$B$51,"")</f>
        <v/>
      </c>
      <c r="C81" s="13">
        <f>IFERROR(($C$68-$C$51)/$C$51,"")</f>
        <v/>
      </c>
      <c r="D81" s="13">
        <f>IFERROR(($D$68-$D$51)/$D$51,"")</f>
        <v/>
      </c>
      <c r="E81" s="13">
        <f>IFERROR(($E$68-$E$51)/$E$51,"")</f>
        <v/>
      </c>
      <c r="F81" s="13">
        <f>IFERROR(($F$68-$F$51)/$F$51,"")</f>
        <v/>
      </c>
    </row>
    <row r="82" ht="16" customHeight="1">
      <c r="A82" s="4" t="inlineStr">
        <is>
          <t>Likviditetsgrad, %</t>
        </is>
      </c>
      <c r="B82" s="14">
        <f>IFERROR($B$41/$B$66*100,"")</f>
        <v/>
      </c>
      <c r="C82" s="14">
        <f>IFERROR($C$41/$C$66*100,"")</f>
        <v/>
      </c>
      <c r="D82" s="14">
        <f>IFERROR($D$41/$D$66*100,"")</f>
        <v/>
      </c>
      <c r="E82" s="14">
        <f>IFERROR($E$41/$E$66*100,"")</f>
        <v/>
      </c>
      <c r="F82" s="14">
        <f>IFERROR($F$41/$F$66*100,"")</f>
        <v/>
      </c>
    </row>
    <row r="83" ht="16" customHeight="1">
      <c r="A83" s="7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IFERROR(($B$68-$B$51)/$B$42*100,"")</f>
        <v/>
      </c>
      <c r="C84" s="14">
        <f>IFERROR(($C$68-$C$51)/$C$42*100,"")</f>
        <v/>
      </c>
      <c r="D84" s="14">
        <f>IFERROR(($D$68-$D$51)/$D$42*100,"")</f>
        <v/>
      </c>
      <c r="E84" s="14">
        <f>IFERROR(($E$68-$E$51)/$E$42*100,"")</f>
        <v/>
      </c>
      <c r="F84" s="14">
        <f>IFERROR(($F$68-$F$51)/$F$42*100,"")</f>
        <v/>
      </c>
    </row>
    <row r="85" ht="16" customHeight="1">
      <c r="A85" s="7" t="inlineStr">
        <is>
          <t>Kapitalbindingsgrad, %</t>
        </is>
      </c>
      <c r="B85" s="13">
        <f>IFERROR($B$26/($B$51+$B$54)*100,"")</f>
        <v/>
      </c>
      <c r="C85" s="13">
        <f>IFERROR($C$26/($C$51+$C$54)*100,"")</f>
        <v/>
      </c>
      <c r="D85" s="13">
        <f>IFERROR($D$26/($D$51+$D$54)*100,"")</f>
        <v/>
      </c>
      <c r="E85" s="13">
        <f>IFERROR($E$26/($E$51+$E$54)*100,"")</f>
        <v/>
      </c>
      <c r="F85" s="13">
        <f>IFERROR($F$26/($F$51+$F$54)*100,"")</f>
        <v/>
      </c>
    </row>
    <row r="87">
      <c r="A87" s="15" t="inlineStr">
        <is>
          <t>PENGESTRØMSOPGØRELSE t.kr.</t>
        </is>
      </c>
    </row>
    <row r="88">
      <c r="A88" s="16" t="inlineStr">
        <is>
          <t>Pengestrømme fra driftsaktivitet</t>
        </is>
      </c>
      <c r="B88" s="17">
        <f>'pengestrom_raw_30830415'!$B$2</f>
        <v/>
      </c>
      <c r="C88" s="17">
        <f>'pengestrom_raw_30830415'!$C$2</f>
        <v/>
      </c>
      <c r="D88" s="17">
        <f>'pengestrom_raw_30830415'!$D$2</f>
        <v/>
      </c>
      <c r="E88" s="17">
        <f>'pengestrom_raw_30830415'!$E$2</f>
        <v/>
      </c>
      <c r="F88" s="17">
        <f>'pengestrom_raw_30830415'!$F$2</f>
        <v/>
      </c>
    </row>
    <row r="89">
      <c r="A89" s="16" t="inlineStr">
        <is>
          <t>Pengestrømme fra investeringsaktivitet</t>
        </is>
      </c>
      <c r="B89" s="17">
        <f>'pengestrom_raw_30830415'!$B$3</f>
        <v/>
      </c>
      <c r="C89" s="17">
        <f>'pengestrom_raw_30830415'!$C$3</f>
        <v/>
      </c>
      <c r="D89" s="17">
        <f>'pengestrom_raw_30830415'!$D$3</f>
        <v/>
      </c>
      <c r="E89" s="17">
        <f>'pengestrom_raw_30830415'!$E$3</f>
        <v/>
      </c>
      <c r="F89" s="17">
        <f>'pengestrom_raw_30830415'!$F$3</f>
        <v/>
      </c>
    </row>
    <row r="90">
      <c r="A90" s="16" t="inlineStr">
        <is>
          <t>Pengestrømme fra finansieringsaktivitet</t>
        </is>
      </c>
      <c r="B90" s="17">
        <f>'pengestrom_raw_30830415'!$B$4</f>
        <v/>
      </c>
      <c r="C90" s="17">
        <f>'pengestrom_raw_30830415'!$C$4</f>
        <v/>
      </c>
      <c r="D90" s="17">
        <f>'pengestrom_raw_30830415'!$D$4</f>
        <v/>
      </c>
      <c r="E90" s="17">
        <f>'pengestrom_raw_30830415'!$E$4</f>
        <v/>
      </c>
      <c r="F90" s="17">
        <f>'pengestrom_raw_30830415'!$F$4</f>
        <v/>
      </c>
    </row>
    <row r="91">
      <c r="A91" s="16" t="inlineStr">
        <is>
          <t>Årets pengestrøm (rapporteret)</t>
        </is>
      </c>
      <c r="B91" s="17">
        <f>'pengestrom_raw_30830415'!$B$5</f>
        <v/>
      </c>
      <c r="C91" s="17">
        <f>'pengestrom_raw_30830415'!$C$5</f>
        <v/>
      </c>
      <c r="D91" s="17">
        <f>'pengestrom_raw_30830415'!$D$5</f>
        <v/>
      </c>
      <c r="E91" s="17">
        <f>'pengestrom_raw_30830415'!$E$5</f>
        <v/>
      </c>
      <c r="F91" s="17">
        <f>'pengestrom_raw_30830415'!$F$5</f>
        <v/>
      </c>
    </row>
    <row r="92">
      <c r="A92" s="16" t="inlineStr">
        <is>
          <t>Krydstjek: drift + inv. + fin. = årets pengestrøm</t>
        </is>
      </c>
      <c r="B92">
        <f>IF(ABS(('pengestrom_raw_30830415'!$B$2+'pengestrom_raw_30830415'!$B$3+'pengestrom_raw_30830415'!$B$4)-'pengestrom_raw_30830415'!$B$5)&lt;=2,"✓","⚠ "&amp;TEXT(('pengestrom_raw_30830415'!$B$2+'pengestrom_raw_30830415'!$B$3+'pengestrom_raw_30830415'!$B$4)-'pengestrom_raw_30830415'!$B$5,"+#,##0;-#,##0"))</f>
        <v/>
      </c>
      <c r="C92">
        <f>IF(ABS(('pengestrom_raw_30830415'!$C$2+'pengestrom_raw_30830415'!$C$3+'pengestrom_raw_30830415'!$C$4)-'pengestrom_raw_30830415'!$C$5)&lt;=2,"✓","⚠ "&amp;TEXT(('pengestrom_raw_30830415'!$C$2+'pengestrom_raw_30830415'!$C$3+'pengestrom_raw_30830415'!$C$4)-'pengestrom_raw_30830415'!$C$5,"+#,##0;-#,##0"))</f>
        <v/>
      </c>
      <c r="D92">
        <f>IF(ABS(('pengestrom_raw_30830415'!$D$2+'pengestrom_raw_30830415'!$D$3+'pengestrom_raw_30830415'!$D$4)-'pengestrom_raw_30830415'!$D$5)&lt;=2,"✓","⚠ "&amp;TEXT(('pengestrom_raw_30830415'!$D$2+'pengestrom_raw_30830415'!$D$3+'pengestrom_raw_30830415'!$D$4)-'pengestrom_raw_30830415'!$D$5,"+#,##0;-#,##0"))</f>
        <v/>
      </c>
      <c r="E92">
        <f>IF(ABS(('pengestrom_raw_30830415'!$E$2+'pengestrom_raw_30830415'!$E$3+'pengestrom_raw_30830415'!$E$4)-'pengestrom_raw_30830415'!$E$5)&lt;=2,"✓","⚠ "&amp;TEXT(('pengestrom_raw_30830415'!$E$2+'pengestrom_raw_30830415'!$E$3+'pengestrom_raw_30830415'!$E$4)-'pengestrom_raw_30830415'!$E$5,"+#,##0;-#,##0"))</f>
        <v/>
      </c>
      <c r="F92">
        <f>IF(ABS(('pengestrom_raw_30830415'!$F$2+'pengestrom_raw_30830415'!$F$3+'pengestrom_raw_30830415'!$F$4)-'pengestrom_raw_30830415'!$F$5)&lt;=2,"✓","⚠ "&amp;TEXT(('pengestrom_raw_30830415'!$F$2+'pengestrom_raw_30830415'!$F$3+'pengestrom_raw_30830415'!$F$4)-'pengestrom_raw_30830415'!$F$5,"+#,##0;-#,##0"))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VKR Holding A/S (CVR 30830415)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26093000</v>
      </c>
      <c r="C2" s="17" t="n">
        <v>31889000</v>
      </c>
      <c r="D2" s="17" t="n">
        <v>29543000</v>
      </c>
      <c r="E2" s="17" t="n">
        <v>28835000</v>
      </c>
      <c r="F2" s="17" t="n">
        <v>30679000</v>
      </c>
    </row>
    <row r="3">
      <c r="A3" s="16" t="inlineStr">
        <is>
          <t>Andre driftsindtægter</t>
        </is>
      </c>
      <c r="B3" s="17" t="n">
        <v>113000</v>
      </c>
      <c r="C3" s="17" t="n">
        <v>830000</v>
      </c>
      <c r="D3" s="17" t="n">
        <v>91000</v>
      </c>
      <c r="E3" s="17" t="n">
        <v>184000</v>
      </c>
      <c r="F3" s="17" t="n">
        <v>90000</v>
      </c>
    </row>
    <row r="4">
      <c r="A4" s="16" t="inlineStr">
        <is>
          <t>Vareforbrug</t>
        </is>
      </c>
      <c r="B4" s="17" t="n">
        <v>-658000</v>
      </c>
      <c r="C4" s="17" t="n">
        <v>-694000</v>
      </c>
      <c r="D4" s="17" t="n">
        <v>117000</v>
      </c>
      <c r="E4" s="17" t="n">
        <v>425000</v>
      </c>
      <c r="F4" s="17" t="n">
        <v>-53000</v>
      </c>
    </row>
    <row r="5">
      <c r="A5" s="16" t="inlineStr">
        <is>
          <t>Andre eksterne omkostninger</t>
        </is>
      </c>
      <c r="B5" s="17" t="n">
        <v>6533000</v>
      </c>
      <c r="C5" s="17" t="n">
        <v>7990000</v>
      </c>
      <c r="D5" s="17" t="n">
        <v>7371000</v>
      </c>
      <c r="E5" s="17" t="n">
        <v>7480000</v>
      </c>
      <c r="F5" s="17" t="n">
        <v>7581000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6641000</v>
      </c>
      <c r="C7" s="17" t="n">
        <v>8022000</v>
      </c>
      <c r="D7" s="17" t="n">
        <v>7648000</v>
      </c>
      <c r="E7" s="17" t="n">
        <v>7933000</v>
      </c>
      <c r="F7" s="17" t="n">
        <v>9156000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936000</v>
      </c>
      <c r="C9" s="17" t="n">
        <v>1121000</v>
      </c>
      <c r="D9" s="17" t="n">
        <v>1061000</v>
      </c>
      <c r="E9" s="17" t="n">
        <v>1099000</v>
      </c>
      <c r="F9" s="17" t="n">
        <v>1326000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3907000</v>
      </c>
      <c r="C11" s="17" t="n">
        <v>4130000</v>
      </c>
      <c r="D11" s="17" t="n">
        <v>4002000</v>
      </c>
      <c r="E11" s="17" t="n">
        <v>3777000</v>
      </c>
      <c r="F11" s="17" t="n">
        <v>3579000</v>
      </c>
    </row>
    <row r="12">
      <c r="A12" s="16" t="inlineStr">
        <is>
          <t>Indtægter af kapitalandele, dattervirksomheder</t>
        </is>
      </c>
      <c r="B12" s="17" t="n">
        <v>686000</v>
      </c>
      <c r="C12" s="17" t="n">
        <v>803000</v>
      </c>
      <c r="D12" s="17" t="n">
        <v>760000</v>
      </c>
      <c r="E12" s="17" t="n">
        <v>712000</v>
      </c>
      <c r="F12" s="17" t="n">
        <v>970000</v>
      </c>
    </row>
    <row r="13">
      <c r="A13" s="16" t="inlineStr">
        <is>
          <t>Finansielle indtægter</t>
        </is>
      </c>
      <c r="B13" s="17" t="n">
        <v>3030000</v>
      </c>
      <c r="C13" s="17" t="n">
        <v>1320000</v>
      </c>
      <c r="D13" s="17" t="n">
        <v>1856000</v>
      </c>
      <c r="E13" s="17" t="n">
        <v>2300000</v>
      </c>
      <c r="F13" s="17" t="n">
        <v>2435000</v>
      </c>
    </row>
    <row r="14">
      <c r="A14" s="16" t="inlineStr">
        <is>
          <t>Finansielle omkostninger</t>
        </is>
      </c>
      <c r="B14" s="17" t="n">
        <v>620000</v>
      </c>
      <c r="C14" s="17" t="n">
        <v>3471000</v>
      </c>
      <c r="D14" s="17" t="n">
        <v>446000</v>
      </c>
      <c r="E14" s="17" t="n">
        <v>448000</v>
      </c>
      <c r="F14" s="17" t="n">
        <v>1308000</v>
      </c>
    </row>
    <row r="15">
      <c r="A15" s="15" t="inlineStr">
        <is>
          <t>Finansielle poster, netto</t>
        </is>
      </c>
      <c r="B15" s="17" t="n">
        <v>2410000</v>
      </c>
      <c r="C15" s="17" t="n">
        <v>-2151000</v>
      </c>
      <c r="D15" s="17" t="n">
        <v>1410000</v>
      </c>
      <c r="E15" s="17" t="n">
        <v>1852000</v>
      </c>
      <c r="F15" s="17" t="n">
        <v>1126000</v>
      </c>
    </row>
    <row r="16">
      <c r="A16" s="15" t="inlineStr">
        <is>
          <t>Resultat før skat</t>
        </is>
      </c>
      <c r="B16" s="17" t="n">
        <v>6371000</v>
      </c>
      <c r="C16" s="17" t="n">
        <v>1994000</v>
      </c>
      <c r="D16" s="17" t="n">
        <v>5421000</v>
      </c>
      <c r="E16" s="17" t="n">
        <v>5634000</v>
      </c>
      <c r="F16" s="17" t="n">
        <v>4711000</v>
      </c>
    </row>
    <row r="17">
      <c r="A17" s="16" t="inlineStr">
        <is>
          <t>Skat af årets resultat</t>
        </is>
      </c>
      <c r="B17" s="17" t="n">
        <v>1374000</v>
      </c>
      <c r="C17" s="17" t="n">
        <v>421000</v>
      </c>
      <c r="D17" s="17" t="n">
        <v>1246000</v>
      </c>
      <c r="E17" s="17" t="n">
        <v>1288000</v>
      </c>
      <c r="F17" s="17" t="n">
        <v>1038000</v>
      </c>
    </row>
    <row r="18">
      <c r="A18" s="15" t="inlineStr">
        <is>
          <t>Årets resultat</t>
        </is>
      </c>
      <c r="B18" s="17" t="n">
        <v>4997000</v>
      </c>
      <c r="C18" s="17" t="n">
        <v>1573000</v>
      </c>
      <c r="D18" s="17" t="n">
        <v>4174000</v>
      </c>
      <c r="E18" s="17" t="n">
        <v>4347000</v>
      </c>
      <c r="F18" s="17" t="n">
        <v>3673000</v>
      </c>
    </row>
    <row r="19">
      <c r="A19" s="16" t="inlineStr">
        <is>
          <t>Gns. antal medarbejdere</t>
        </is>
      </c>
      <c r="B19" s="17" t="n">
        <v>17104</v>
      </c>
      <c r="C19" s="17" t="n">
        <v>20007</v>
      </c>
      <c r="D19" s="17" t="n">
        <v>18181</v>
      </c>
      <c r="E19" s="17" t="n">
        <v>17113</v>
      </c>
      <c r="F19" s="17" t="n">
        <v>17458</v>
      </c>
    </row>
    <row r="20">
      <c r="A20" s="16" t="inlineStr">
        <is>
          <t>Investering i materielle anlægsaktiver</t>
        </is>
      </c>
      <c r="B20" s="17" t="n">
        <v>627000</v>
      </c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VKR Holding A/S (CVR 30830415)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3120000</v>
      </c>
      <c r="C2" s="17" t="n">
        <v>2769000</v>
      </c>
      <c r="D2" s="17" t="n">
        <v>2510000</v>
      </c>
      <c r="E2" s="17" t="n">
        <v>2241000</v>
      </c>
      <c r="F2" s="17" t="n">
        <v>3545000</v>
      </c>
    </row>
    <row r="3">
      <c r="A3" s="15" t="inlineStr">
        <is>
          <t>Materielle anlægsaktiver</t>
        </is>
      </c>
      <c r="B3" s="17" t="n">
        <v>5383000</v>
      </c>
      <c r="C3" s="17" t="n">
        <v>5582000</v>
      </c>
      <c r="D3" s="17" t="n">
        <v>6391000</v>
      </c>
      <c r="E3" s="17" t="n">
        <v>7299000</v>
      </c>
      <c r="F3" s="17" t="n">
        <v>8174000</v>
      </c>
    </row>
    <row r="4">
      <c r="A4" s="15" t="inlineStr">
        <is>
          <t>Finansielle anlægsaktiver</t>
        </is>
      </c>
      <c r="B4" s="17" t="n">
        <v>3968000</v>
      </c>
      <c r="C4" s="17" t="n">
        <v>4416000</v>
      </c>
      <c r="D4" s="17" t="n">
        <v>5016000</v>
      </c>
      <c r="E4" s="17" t="n">
        <v>6174000</v>
      </c>
      <c r="F4" s="17" t="n">
        <v>6478000</v>
      </c>
    </row>
    <row r="5">
      <c r="A5" s="15" t="inlineStr">
        <is>
          <t>Anlægsaktiver</t>
        </is>
      </c>
      <c r="B5" s="17" t="n">
        <v>12471000</v>
      </c>
      <c r="C5" s="17" t="n">
        <v>12768000</v>
      </c>
      <c r="D5" s="17" t="n">
        <v>13918000</v>
      </c>
      <c r="E5" s="17" t="n">
        <v>15715000</v>
      </c>
      <c r="F5" s="17" t="n">
        <v>18196000</v>
      </c>
    </row>
    <row r="6">
      <c r="A6" s="16" t="inlineStr">
        <is>
          <t>Råvarer og hjælpematerialer</t>
        </is>
      </c>
      <c r="B6" s="17" t="n"/>
      <c r="C6" s="17" t="n"/>
      <c r="D6" s="17" t="n"/>
      <c r="E6" s="17" t="n"/>
      <c r="F6" s="17" t="n"/>
    </row>
    <row r="7">
      <c r="A7" s="16" t="inlineStr">
        <is>
          <t>Varer under fremstilling</t>
        </is>
      </c>
      <c r="B7" s="17" t="n">
        <v>237000</v>
      </c>
      <c r="C7" s="17" t="n">
        <v>266000</v>
      </c>
      <c r="D7" s="17" t="n">
        <v>253000</v>
      </c>
      <c r="E7" s="17" t="n">
        <v>265000</v>
      </c>
      <c r="F7" s="17" t="n">
        <v>655000</v>
      </c>
    </row>
    <row r="8">
      <c r="A8" s="16" t="inlineStr">
        <is>
          <t>Færdigvarer og handelsvarer</t>
        </is>
      </c>
      <c r="B8" s="17" t="n"/>
      <c r="C8" s="17" t="n"/>
      <c r="D8" s="17" t="n"/>
      <c r="E8" s="17" t="n"/>
      <c r="F8" s="17" t="n"/>
    </row>
    <row r="9">
      <c r="A9" s="15" t="inlineStr">
        <is>
          <t>Varebeholdninger</t>
        </is>
      </c>
      <c r="B9" s="17" t="n">
        <v>3951000</v>
      </c>
      <c r="C9" s="17" t="n">
        <v>4941000</v>
      </c>
      <c r="D9" s="17" t="n">
        <v>4344000</v>
      </c>
      <c r="E9" s="17" t="n">
        <v>3877000</v>
      </c>
      <c r="F9" s="17" t="n">
        <v>4073000</v>
      </c>
    </row>
    <row r="10">
      <c r="A10" s="16" t="inlineStr">
        <is>
          <t>Tilgodehavender fra salg og tjenesteydelser</t>
        </is>
      </c>
      <c r="B10" s="17" t="n">
        <v>2522000</v>
      </c>
      <c r="C10" s="17" t="n">
        <v>2631000</v>
      </c>
      <c r="D10" s="17" t="n">
        <v>2127000</v>
      </c>
      <c r="E10" s="17" t="n">
        <v>2201000</v>
      </c>
      <c r="F10" s="17" t="n">
        <v>2466000</v>
      </c>
    </row>
    <row r="11">
      <c r="A11" s="16" t="inlineStr">
        <is>
          <t>Tilgodehavender hos tilknyttede virksomheder</t>
        </is>
      </c>
      <c r="B11" s="17" t="n">
        <v>7609000</v>
      </c>
      <c r="C11" s="17" t="n">
        <v>7577000</v>
      </c>
      <c r="D11" s="17" t="n">
        <v>7490000</v>
      </c>
      <c r="E11" s="17" t="n">
        <v>5822000</v>
      </c>
      <c r="F11" s="17" t="n">
        <v>7419000</v>
      </c>
    </row>
    <row r="12">
      <c r="A12" s="16" t="inlineStr">
        <is>
          <t>Andre tilgodehavender</t>
        </is>
      </c>
      <c r="B12" s="17" t="n">
        <v>484000</v>
      </c>
      <c r="C12" s="17" t="n">
        <v>844000</v>
      </c>
      <c r="D12" s="17" t="n">
        <v>766000</v>
      </c>
      <c r="E12" s="17" t="n">
        <v>823000</v>
      </c>
      <c r="F12" s="17" t="n">
        <v>810000</v>
      </c>
    </row>
    <row r="13">
      <c r="A13" s="16" t="inlineStr">
        <is>
          <t>Periodeafgrænsningsposter (aktiver)</t>
        </is>
      </c>
      <c r="B13" s="17" t="n">
        <v>229000</v>
      </c>
      <c r="C13" s="17" t="n">
        <v>221000</v>
      </c>
      <c r="D13" s="17" t="n">
        <v>253000</v>
      </c>
      <c r="E13" s="17" t="n">
        <v>294000</v>
      </c>
      <c r="F13" s="17" t="n">
        <v>309000</v>
      </c>
    </row>
    <row r="14">
      <c r="A14" s="16" t="inlineStr">
        <is>
          <t>Udskudt skatteaktiv</t>
        </is>
      </c>
      <c r="B14" s="17" t="n">
        <v>288000</v>
      </c>
      <c r="C14" s="17" t="n">
        <v>374000</v>
      </c>
      <c r="D14" s="17" t="n">
        <v>307000</v>
      </c>
      <c r="E14" s="17" t="n">
        <v>359000</v>
      </c>
      <c r="F14" s="17" t="n">
        <v>358000</v>
      </c>
    </row>
    <row r="15">
      <c r="A15" s="16" t="inlineStr">
        <is>
          <t>Tilgodehavende skat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Kortfristede skattetilgodehavender</t>
        </is>
      </c>
      <c r="B16" s="17" t="n">
        <v>275000</v>
      </c>
      <c r="C16" s="17" t="n">
        <v>260000</v>
      </c>
      <c r="D16" s="17" t="n">
        <v>135000</v>
      </c>
      <c r="E16" s="17" t="n">
        <v>238000</v>
      </c>
      <c r="F16" s="17" t="n">
        <v>103000</v>
      </c>
    </row>
    <row r="17">
      <c r="A17" s="15" t="inlineStr">
        <is>
          <t>Tilgodehavender</t>
        </is>
      </c>
      <c r="B17" s="17" t="n">
        <v>4035000</v>
      </c>
      <c r="C17" s="17" t="n">
        <v>4596000</v>
      </c>
      <c r="D17" s="17" t="n">
        <v>3841000</v>
      </c>
      <c r="E17" s="17" t="n">
        <v>4180000</v>
      </c>
      <c r="F17" s="17" t="n">
        <v>4700000</v>
      </c>
    </row>
    <row r="18">
      <c r="A18" s="16" t="inlineStr">
        <is>
          <t>Værdipapirer</t>
        </is>
      </c>
      <c r="B18" s="17" t="n">
        <v>13755000</v>
      </c>
      <c r="C18" s="17" t="n">
        <v>11033000</v>
      </c>
      <c r="D18" s="17" t="n">
        <v>13397000</v>
      </c>
      <c r="E18" s="17" t="n">
        <v>14769000</v>
      </c>
      <c r="F18" s="17" t="n">
        <v>14679000</v>
      </c>
    </row>
    <row r="19">
      <c r="A19" s="16" t="inlineStr">
        <is>
          <t>Likvide beholdninger</t>
        </is>
      </c>
      <c r="B19" s="17" t="n">
        <v>823000</v>
      </c>
      <c r="C19" s="17" t="n">
        <v>890000</v>
      </c>
      <c r="D19" s="17" t="n">
        <v>1067000</v>
      </c>
      <c r="E19" s="17" t="n">
        <v>1012000</v>
      </c>
      <c r="F19" s="17" t="n">
        <v>1142000</v>
      </c>
    </row>
    <row r="20">
      <c r="A20" s="15" t="inlineStr">
        <is>
          <t>Omsætningsaktiver</t>
        </is>
      </c>
      <c r="B20" s="17" t="n">
        <v>22565000</v>
      </c>
      <c r="C20" s="17" t="n">
        <v>21459000</v>
      </c>
      <c r="D20" s="17" t="n">
        <v>22650000</v>
      </c>
      <c r="E20" s="17" t="n">
        <v>23837000</v>
      </c>
      <c r="F20" s="17" t="n">
        <v>24594000</v>
      </c>
    </row>
    <row r="21">
      <c r="A21" s="15" t="inlineStr">
        <is>
          <t>Aktiver</t>
        </is>
      </c>
      <c r="B21" s="17" t="n">
        <v>35036000</v>
      </c>
      <c r="C21" s="17" t="n">
        <v>34227000</v>
      </c>
      <c r="D21" s="17" t="n">
        <v>36568000</v>
      </c>
      <c r="E21" s="17" t="n">
        <v>39552000</v>
      </c>
      <c r="F21" s="17" t="n">
        <v>42790000</v>
      </c>
    </row>
    <row r="22">
      <c r="A22" s="16" t="inlineStr">
        <is>
          <t>Selskabskapital</t>
        </is>
      </c>
      <c r="B22" s="17" t="n">
        <v>110000</v>
      </c>
      <c r="C22" s="17" t="n">
        <v>110000</v>
      </c>
      <c r="D22" s="17" t="n">
        <v>110000</v>
      </c>
      <c r="E22" s="17" t="n">
        <v>110000</v>
      </c>
      <c r="F22" s="17" t="n">
        <v>110000</v>
      </c>
    </row>
    <row r="23">
      <c r="A23" s="16" t="inlineStr">
        <is>
          <t>Reserve for nettoopskrivning (indre værdis metode)</t>
        </is>
      </c>
      <c r="B23" s="17" t="n"/>
      <c r="C23" s="17" t="n"/>
      <c r="D23" s="17" t="n">
        <v>327000</v>
      </c>
      <c r="E23" s="17" t="n">
        <v>1137000</v>
      </c>
      <c r="F23" s="17" t="n">
        <v>1862000</v>
      </c>
    </row>
    <row r="24">
      <c r="A24" s="16" t="inlineStr">
        <is>
          <t>Reserve for udviklingsomkostninger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Reserve for sikringstransaktioner</t>
        </is>
      </c>
      <c r="B25" s="17" t="n">
        <v>-2000</v>
      </c>
      <c r="C25" s="17" t="n">
        <v>-30000</v>
      </c>
      <c r="D25" s="17" t="n"/>
      <c r="E25" s="17" t="n"/>
      <c r="F25" s="17" t="n"/>
    </row>
    <row r="26">
      <c r="A26" s="16" t="inlineStr">
        <is>
          <t>Andre reserver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Overført resultat</t>
        </is>
      </c>
      <c r="B27" s="17" t="n">
        <v>24318000</v>
      </c>
      <c r="C27" s="17" t="n">
        <v>24925000</v>
      </c>
      <c r="D27" s="17" t="n">
        <v>28071000</v>
      </c>
      <c r="E27" s="17" t="n">
        <v>31337000</v>
      </c>
      <c r="F27" s="17" t="n">
        <v>33847000</v>
      </c>
    </row>
    <row r="28">
      <c r="A28" s="15" t="inlineStr">
        <is>
          <t>Egenkapital i alt</t>
        </is>
      </c>
      <c r="B28" s="17" t="n">
        <v>25320000</v>
      </c>
      <c r="C28" s="17" t="n">
        <v>26022000</v>
      </c>
      <c r="D28" s="17" t="n">
        <v>29780000</v>
      </c>
      <c r="E28" s="17" t="n">
        <v>33157000</v>
      </c>
      <c r="F28" s="17" t="n">
        <v>35476000</v>
      </c>
    </row>
    <row r="29">
      <c r="A29" s="16" t="inlineStr">
        <is>
          <t>Hensættelse til udskudt skat</t>
        </is>
      </c>
      <c r="B29" s="17" t="n">
        <v>509000</v>
      </c>
      <c r="C29" s="17" t="n">
        <v>380000</v>
      </c>
      <c r="D29" s="17" t="n">
        <v>416000</v>
      </c>
      <c r="E29" s="17" t="n">
        <v>454000</v>
      </c>
      <c r="F29" s="17" t="n">
        <v>564000</v>
      </c>
    </row>
    <row r="30">
      <c r="A30" s="15" t="inlineStr">
        <is>
          <t>Hensatte forpligtelser</t>
        </is>
      </c>
      <c r="B30" s="17" t="n">
        <v>1355000</v>
      </c>
      <c r="C30" s="17" t="n">
        <v>1361000</v>
      </c>
      <c r="D30" s="17" t="n">
        <v>1336000</v>
      </c>
      <c r="E30" s="17" t="n">
        <v>1242000</v>
      </c>
      <c r="F30" s="17" t="n">
        <v>1560000</v>
      </c>
    </row>
    <row r="31">
      <c r="A31" s="15" t="inlineStr">
        <is>
          <t>Langfristede gældsforpligtelser</t>
        </is>
      </c>
      <c r="B31" s="17" t="n">
        <v>1152000</v>
      </c>
      <c r="C31" s="17" t="n">
        <v>51000</v>
      </c>
      <c r="D31" s="17" t="n">
        <v>33000</v>
      </c>
      <c r="E31" s="17" t="n">
        <v>27000</v>
      </c>
      <c r="F31" s="17" t="n">
        <v>30000</v>
      </c>
    </row>
    <row r="32">
      <c r="A32" s="16" t="inlineStr">
        <is>
          <t>Ansvarlig lånekapital (kortfristet)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Kortfristet del af langfristede gældsforpligtelser</t>
        </is>
      </c>
      <c r="B33" s="17" t="n">
        <v>1153000</v>
      </c>
      <c r="C33" s="17" t="n">
        <v>1206000</v>
      </c>
      <c r="D33" s="17" t="n">
        <v>7000</v>
      </c>
      <c r="E33" s="17" t="n">
        <v>17000</v>
      </c>
      <c r="F33" s="17" t="n">
        <v>24000</v>
      </c>
    </row>
    <row r="34">
      <c r="A34" s="16" t="inlineStr">
        <is>
          <t>Kreditinstitutter</t>
        </is>
      </c>
      <c r="B34" s="17" t="n">
        <v>268000</v>
      </c>
      <c r="C34" s="17" t="n">
        <v>1000</v>
      </c>
      <c r="D34" s="17" t="n">
        <v>1000</v>
      </c>
      <c r="E34" s="17" t="n">
        <v>2000</v>
      </c>
      <c r="F34" s="17" t="n">
        <v>1000</v>
      </c>
    </row>
    <row r="35">
      <c r="A35" s="16" t="inlineStr">
        <is>
          <t>Leasingforpligtelser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Leverandører af varer og tjenesteydelser</t>
        </is>
      </c>
      <c r="B36" s="17" t="n">
        <v>2065000</v>
      </c>
      <c r="C36" s="17" t="n">
        <v>2123000</v>
      </c>
      <c r="D36" s="17" t="n">
        <v>2075000</v>
      </c>
      <c r="E36" s="17" t="n">
        <v>1750000</v>
      </c>
      <c r="F36" s="17" t="n">
        <v>1727000</v>
      </c>
    </row>
    <row r="37">
      <c r="A37" s="16" t="inlineStr">
        <is>
          <t>Gæld til tilknyttede virksomheder</t>
        </is>
      </c>
      <c r="B37" s="17" t="n">
        <v>1382000</v>
      </c>
      <c r="C37" s="17" t="n">
        <v>1484000</v>
      </c>
      <c r="D37" s="17" t="n">
        <v>1677000</v>
      </c>
      <c r="E37" s="17" t="n">
        <v>1559000</v>
      </c>
      <c r="F37" s="17" t="n">
        <v>1432000</v>
      </c>
    </row>
    <row r="38">
      <c r="A38" s="16" t="inlineStr">
        <is>
          <t>Gæld til selskabsdeltagere og ledelse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Selskabsskat</t>
        </is>
      </c>
      <c r="B39" s="17" t="n">
        <v>351000</v>
      </c>
      <c r="C39" s="17" t="n">
        <v>184000</v>
      </c>
      <c r="D39" s="17" t="n">
        <v>106000</v>
      </c>
      <c r="E39" s="17" t="n">
        <v>144000</v>
      </c>
      <c r="F39" s="17" t="n">
        <v>179000</v>
      </c>
    </row>
    <row r="40">
      <c r="A40" s="16" t="inlineStr">
        <is>
          <t>Gæld til tilknyttede virksomheder vedr. selskabsskat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Anden gæld (kortfristet)</t>
        </is>
      </c>
      <c r="B41" s="17" t="n">
        <v>3030000</v>
      </c>
      <c r="C41" s="17" t="n">
        <v>2969000</v>
      </c>
      <c r="D41" s="17" t="n">
        <v>2955000</v>
      </c>
      <c r="E41" s="17" t="n">
        <v>2943000</v>
      </c>
      <c r="F41" s="17" t="n">
        <v>3075000</v>
      </c>
    </row>
    <row r="42">
      <c r="A42" s="16" t="inlineStr">
        <is>
          <t>Periodeafgrænsningsposter (passiver)</t>
        </is>
      </c>
      <c r="B42" s="17" t="n">
        <v>321000</v>
      </c>
      <c r="C42" s="17" t="n">
        <v>301000</v>
      </c>
      <c r="D42" s="17" t="n">
        <v>265000</v>
      </c>
      <c r="E42" s="17" t="n">
        <v>260000</v>
      </c>
      <c r="F42" s="17" t="n">
        <v>711000</v>
      </c>
    </row>
    <row r="43">
      <c r="A43" s="15" t="inlineStr">
        <is>
          <t>Kortfristede gældsforpligtelser</t>
        </is>
      </c>
      <c r="B43" s="17" t="n">
        <v>7210000</v>
      </c>
      <c r="C43" s="17" t="n">
        <v>6793000</v>
      </c>
      <c r="D43" s="17" t="n">
        <v>5419000</v>
      </c>
      <c r="E43" s="17" t="n">
        <v>5125000</v>
      </c>
      <c r="F43" s="17" t="n">
        <v>5723000</v>
      </c>
    </row>
    <row r="44">
      <c r="A44" s="15" t="inlineStr">
        <is>
          <t>Gældsforpligtelser</t>
        </is>
      </c>
      <c r="B44" s="17" t="n">
        <v>8362000</v>
      </c>
      <c r="C44" s="17" t="n">
        <v>6844000</v>
      </c>
      <c r="D44" s="17" t="n">
        <v>5452000</v>
      </c>
      <c r="E44" s="17" t="n">
        <v>5153000</v>
      </c>
      <c r="F44" s="17" t="n">
        <v>5754000</v>
      </c>
    </row>
    <row r="45">
      <c r="A45" s="15" t="inlineStr">
        <is>
          <t>Passiver</t>
        </is>
      </c>
      <c r="B45" s="17" t="n">
        <v>35036000</v>
      </c>
      <c r="C45" s="17" t="n">
        <v>34227000</v>
      </c>
      <c r="D45" s="17" t="n">
        <v>36568000</v>
      </c>
      <c r="E45" s="17" t="n">
        <v>39552000</v>
      </c>
      <c r="F45" s="17" t="n">
        <v>42790000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VKR Holding A/S (CVR 30830415)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2597000</v>
      </c>
      <c r="C2" s="17" t="n"/>
      <c r="D2" s="17" t="n"/>
      <c r="E2" s="17" t="n"/>
      <c r="F2" s="17" t="n">
        <v>4070000</v>
      </c>
    </row>
    <row r="3">
      <c r="A3" s="16" t="inlineStr">
        <is>
          <t>Pengestrømme fra investeringsaktivitet</t>
        </is>
      </c>
      <c r="B3" s="17" t="n">
        <v>-4231000</v>
      </c>
      <c r="C3" s="17" t="n">
        <v>-1172000</v>
      </c>
      <c r="D3" s="17" t="n">
        <v>-3043000</v>
      </c>
      <c r="E3" s="17" t="n">
        <v>-2482000</v>
      </c>
      <c r="F3" s="17" t="n">
        <v>-3203000</v>
      </c>
    </row>
    <row r="4">
      <c r="A4" s="16" t="inlineStr">
        <is>
          <t>Pengestrømme fra finansieringsaktivitet</t>
        </is>
      </c>
      <c r="B4" s="17" t="n">
        <v>1054000</v>
      </c>
      <c r="C4" s="17" t="n">
        <v>-1613000</v>
      </c>
      <c r="D4" s="17" t="n">
        <v>-1988000</v>
      </c>
      <c r="E4" s="17" t="n">
        <v>-1206000</v>
      </c>
      <c r="F4" s="17" t="n">
        <v>-747000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VKR Holding A/S (CVR 30830415) — Regnskabs- og nøgletal (CVR: 30830415)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'res_raw_30830415'!$F$2</f>
        <v/>
      </c>
      <c r="C5" s="24">
        <f>'res_raw_30830415'!$E$2</f>
        <v/>
      </c>
      <c r="D5" s="24">
        <f>'res_raw_30830415'!$D$2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'res_raw_30830415'!$F$3</f>
        <v/>
      </c>
      <c r="C6" s="24">
        <f>'res_raw_30830415'!$E$3</f>
        <v/>
      </c>
      <c r="D6" s="24">
        <f>'res_raw_30830415'!$D$3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-'res_raw_30830415'!$F$4</f>
        <v/>
      </c>
      <c r="C7" s="24">
        <f>-'res_raw_30830415'!$E$4</f>
        <v/>
      </c>
      <c r="D7" s="24">
        <f>-'res_raw_30830415'!$D$4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-'res_raw_30830415'!$F$5</f>
        <v/>
      </c>
      <c r="C8" s="24">
        <f>-'res_raw_30830415'!$E$5</f>
        <v/>
      </c>
      <c r="D8" s="24">
        <f>-'res_raw_30830415'!$D$5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-'res_raw_30830415'!$F$7</f>
        <v/>
      </c>
      <c r="C10" s="24">
        <f>-'res_raw_30830415'!$E$7</f>
        <v/>
      </c>
      <c r="D10" s="24">
        <f>-'res_raw_30830415'!$D$7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-'res_raw_30830415'!$F$9</f>
        <v/>
      </c>
      <c r="C11" s="24">
        <f>-'res_raw_30830415'!$E$9</f>
        <v/>
      </c>
      <c r="D11" s="24">
        <f>-'res_raw_30830415'!$D$9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-'res_raw_30830415'!$F$10</f>
        <v/>
      </c>
      <c r="C12" s="24">
        <f>-'res_raw_30830415'!$E$10</f>
        <v/>
      </c>
      <c r="D12" s="24">
        <f>-'res_raw_30830415'!$D$10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N('res_raw_30830415'!$F$12)+N('res_raw_30830415'!$F$13)</f>
        <v/>
      </c>
      <c r="C14" s="24">
        <f>N('res_raw_30830415'!$E$12)+N('res_raw_30830415'!$E$13)</f>
        <v/>
      </c>
      <c r="D14" s="24">
        <f>N('res_raw_30830415'!$D$12)+N('res_raw_30830415'!$D$13)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-'res_raw_30830415'!$F$14</f>
        <v/>
      </c>
      <c r="C15" s="24">
        <f>-'res_raw_30830415'!$E$14</f>
        <v/>
      </c>
      <c r="D15" s="24">
        <f>-'res_raw_30830415'!$D$14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'balance_raw_30830415'!$F$5</f>
        <v/>
      </c>
      <c r="C19" s="24">
        <f>'balance_raw_30830415'!$E$5</f>
        <v/>
      </c>
      <c r="D19" s="24">
        <f>'balance_raw_30830415'!$D$5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'balance_raw_30830415'!$F$20</f>
        <v/>
      </c>
      <c r="C20" s="24">
        <f>'balance_raw_30830415'!$E$20</f>
        <v/>
      </c>
      <c r="D20" s="24">
        <f>'balance_raw_30830415'!$D$20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'balance_raw_30830415'!$F$28</f>
        <v/>
      </c>
      <c r="C23" s="24">
        <f>'balance_raw_30830415'!$E$28</f>
        <v/>
      </c>
      <c r="D23" s="24">
        <f>'balance_raw_30830415'!$D$28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'balance_raw_30830415'!$F$45-'balance_raw_30830415'!$F$28</f>
        <v/>
      </c>
      <c r="C24" s="24">
        <f>'balance_raw_30830415'!$E$45-'balance_raw_30830415'!$E$28</f>
        <v/>
      </c>
      <c r="D24" s="24">
        <f>'balance_raw_30830415'!$D$45-'balance_raw_30830415'!$D$28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'balance_raw_30830415'!$F$9</f>
        <v/>
      </c>
      <c r="C28" s="24">
        <f>'balance_raw_30830415'!$E$9</f>
        <v/>
      </c>
      <c r="D28" s="24">
        <f>'balance_raw_30830415'!$D$9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'balance_raw_30830415'!$F$10</f>
        <v/>
      </c>
      <c r="C29" s="24">
        <f>'balance_raw_30830415'!$E$10</f>
        <v/>
      </c>
      <c r="D29" s="24">
        <f>'balance_raw_30830415'!$D$10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'balance_raw_30830415'!$F$43</f>
        <v/>
      </c>
      <c r="C30" s="24">
        <f>'balance_raw_30830415'!$E$43</f>
        <v/>
      </c>
      <c r="D30" s="24">
        <f>'balance_raw_30830415'!$D$43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IF('balance_raw_30830415'!$F$21="","—",IF(ABS(B21-'balance_raw_30830415'!$F$21)&lt;=1,"✓ OK","❌ "&amp;TEXT(B21-'balance_raw_30830415'!$F$21,"+#,##0;-#,##0")&amp;" t.kr."))</f>
        <v/>
      </c>
      <c r="C61" s="29">
        <f>IF('balance_raw_30830415'!$E$21="","—",IF(ABS(C21-'balance_raw_30830415'!$E$21)&lt;=1,"✓ OK","❌ "&amp;TEXT(C21-'balance_raw_30830415'!$E$21,"+#,##0;-#,##0")&amp;" t.kr."))</f>
        <v/>
      </c>
      <c r="D61" s="29">
        <f>IF('balance_raw_30830415'!$D$21="","—",IF(ABS(D21-'balance_raw_30830415'!$D$21)&lt;=1,"✓ OK","❌ "&amp;TEXT(D21-'balance_raw_30830415'!$D$21,"+#,##0;-#,##0")&amp;"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IF('balance_raw_30830415'!$F$45="","—",IF(ABS(B25-'balance_raw_30830415'!$F$45)&lt;=1,"✓ OK","❌ "&amp;TEXT(B25-'balance_raw_30830415'!$F$45,"+#,##0;-#,##0")&amp;" t.kr."))</f>
        <v/>
      </c>
      <c r="C62" s="29">
        <f>IF('balance_raw_30830415'!$E$45="","—",IF(ABS(C25-'balance_raw_30830415'!$E$45)&lt;=1,"✓ OK","❌ "&amp;TEXT(C25-'balance_raw_30830415'!$E$45,"+#,##0;-#,##0")&amp;" t.kr."))</f>
        <v/>
      </c>
      <c r="D62" s="29">
        <f>IF('balance_raw_30830415'!$D$45="","—",IF(ABS(D25-'balance_raw_30830415'!$D$45)&lt;=1,"✓ OK","❌ "&amp;TEXT(D25-'balance_raw_30830415'!$D$45,"+#,##0;-#,##0")&amp;"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IF('res_raw_30830415'!$F$6="","—",IF(ABS(B9-'res_raw_30830415'!$F$6)&lt;=1,"✓ OK","❌ "&amp;TEXT(B9-'res_raw_30830415'!$F$6,"+#,##0;-#,##0")&amp;" t.kr."))</f>
        <v/>
      </c>
      <c r="C64" s="29">
        <f>IF('res_raw_30830415'!$E$6="","—",IF(ABS(C9-'res_raw_30830415'!$E$6)&lt;=1,"✓ OK","❌ "&amp;TEXT(C9-'res_raw_30830415'!$E$6,"+#,##0;-#,##0")&amp;" t.kr."))</f>
        <v/>
      </c>
      <c r="D64" s="29">
        <f>IF('res_raw_30830415'!$D$6="","—",IF(ABS(D9-'res_raw_30830415'!$D$6)&lt;=1,"✓ OK","❌ "&amp;TEXT(D9-'res_raw_30830415'!$D$6,"+#,##0;-#,##0")&amp;"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IF('res_raw_30830415'!$F$11="","—",IF(ABS(B13-'res_raw_30830415'!$F$11)&lt;=1,"✓ OK","❌ "&amp;TEXT(B13-'res_raw_30830415'!$F$11,"+#,##0;-#,##0")&amp;" t.kr."))</f>
        <v/>
      </c>
      <c r="C65" s="29">
        <f>IF('res_raw_30830415'!$E$11="","—",IF(ABS(C13-'res_raw_30830415'!$E$11)&lt;=1,"✓ OK","❌ "&amp;TEXT(C13-'res_raw_30830415'!$E$11,"+#,##0;-#,##0")&amp;" t.kr."))</f>
        <v/>
      </c>
      <c r="D65" s="29">
        <f>IF('res_raw_30830415'!$D$11="","—",IF(ABS(D13-'res_raw_30830415'!$D$11)&lt;=1,"✓ OK","❌ "&amp;TEXT(D13-'res_raw_30830415'!$D$11,"+#,##0;-#,##0")&amp;"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IF('res_raw_30830415'!$F$16="","—",IF(ABS(B16-'res_raw_30830415'!$F$16)&lt;=1,"✓ OK","❌ "&amp;TEXT(B16-'res_raw_30830415'!$F$16,"+#,##0;-#,##0")&amp;" t.kr."))</f>
        <v/>
      </c>
      <c r="C66" s="29">
        <f>IF('res_raw_30830415'!$E$16="","—",IF(ABS(C16-'res_raw_30830415'!$E$16)&lt;=1,"✓ OK","❌ "&amp;TEXT(C16-'res_raw_30830415'!$E$16,"+#,##0;-#,##0")&amp;" t.kr."))</f>
        <v/>
      </c>
      <c r="D66" s="29">
        <f>IF('res_raw_30830415'!$D$16="","—",IF(ABS(D16-'res_raw_30830415'!$D$16)&lt;=1,"✓ OK","❌ "&amp;TEXT(D16-'res_raw_30830415'!$D$16,"+#,##0;-#,##0")&amp;"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VKR Holding A/S (CVR 30830415)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-2887000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fsa:IncomeFromInvestmentsInParticipatingInterests</t>
        </is>
      </c>
      <c r="C4" s="37" t="inlineStr">
        <is>
          <t>fsa:IncomeFromInvestmentsInParticipatingInterests</t>
        </is>
      </c>
      <c r="D4" s="38" t="n">
        <v>54000</v>
      </c>
      <c r="E4" s="38" t="n">
        <v>16000</v>
      </c>
      <c r="F4" s="38" t="n">
        <v>8000</v>
      </c>
      <c r="G4" s="38" t="n">
        <v>6000</v>
      </c>
      <c r="H4" s="38" t="n">
        <v>5000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fsa:ReserveForCurrentValueAdjustmentsOfCurrencyGains</t>
        </is>
      </c>
      <c r="C5" s="34" t="inlineStr">
        <is>
          <t>fsa:ReserveForCurrentValueAdjustmentsOfCurrencyGains</t>
        </is>
      </c>
      <c r="D5" s="35" t="n">
        <v>-108000</v>
      </c>
      <c r="E5" s="35" t="n">
        <v>-14000</v>
      </c>
      <c r="F5" s="35" t="n">
        <v>96000</v>
      </c>
      <c r="G5" s="35" t="n">
        <v>205000</v>
      </c>
      <c r="H5" s="35" t="n">
        <v>8000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fsa:ShorttermPayablesToParticipatingInterest</t>
        </is>
      </c>
      <c r="C6" s="37" t="inlineStr">
        <is>
          <t>fsa:ShorttermPayablesToParticipatingInterest</t>
        </is>
      </c>
      <c r="D6" s="38" t="n">
        <v>20000</v>
      </c>
      <c r="E6" s="38" t="n">
        <v>9000</v>
      </c>
      <c r="F6" s="38" t="n">
        <v>11000</v>
      </c>
      <c r="G6" s="38" t="n">
        <v>8000</v>
      </c>
      <c r="H6" s="38" t="n">
        <v>6000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fsa:WorkPerformedByEntityAndCapitalised</t>
        </is>
      </c>
      <c r="C7" s="34" t="inlineStr">
        <is>
          <t>fsa:WorkPerformedByEntityAndCapitalised</t>
        </is>
      </c>
      <c r="D7" s="35" t="n">
        <v>-27000</v>
      </c>
      <c r="E7" s="35" t="n">
        <v>-59000</v>
      </c>
      <c r="F7" s="35" t="n">
        <v>-119000</v>
      </c>
      <c r="G7" s="35" t="n">
        <v>-172000</v>
      </c>
      <c r="H7" s="35" t="n">
        <v>-242000</v>
      </c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2026-09-10T15:36:18Z</dcterms:created>
  <dcterms:modified xmlns:dcterms="http://purl.org/dc/terms/" xmlns:xsi="http://www.w3.org/2001/XMLSchema-instance" xsi:type="dcterms:W3CDTF">2026-09-10T15:36:18Z</dcterms:modified>
</cp:coreProperties>
</file>