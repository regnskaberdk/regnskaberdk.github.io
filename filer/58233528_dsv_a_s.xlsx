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dsv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10" t="inlineStr">
        <is>
          <t>Anlægsaktiver</t>
        </is>
      </c>
      <c r="B25" s="11">
        <f>'balance_raw'!$B$4</f>
        <v/>
      </c>
      <c r="C25" s="11">
        <f>'balance_raw'!$C$4</f>
        <v/>
      </c>
      <c r="D25" s="11">
        <f>'balance_raw'!$D$4</f>
        <v/>
      </c>
      <c r="E25" s="11">
        <f>'balance_raw'!$E$4</f>
        <v/>
      </c>
      <c r="F25" s="11">
        <f>'balance_raw'!$F$4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Varebeholdninger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Tilgodehavender fra salg og tjenesteydelser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hos tilknyttede virksomheder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Andre tilgodehavender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Periodeafgrænsningsposter (aktiver)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Udskudt skatteaktiv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 skat hos tilknyttede virksomheder</t>
        </is>
      </c>
      <c r="B32" s="5">
        <f>'balance_raw'!$B$11</f>
        <v/>
      </c>
      <c r="C32" s="5">
        <f>'balance_raw'!$C$11</f>
        <v/>
      </c>
      <c r="D32" s="5">
        <f>'balance_raw'!$D$11</f>
        <v/>
      </c>
      <c r="E32" s="5">
        <f>'balance_raw'!$E$11</f>
        <v/>
      </c>
      <c r="F32" s="5">
        <f>'balance_raw'!$F$11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Kortfristede skattetilgodehavender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Tilgodehavender</t>
        </is>
      </c>
      <c r="B34" s="11">
        <f>'balance_raw'!$B$13</f>
        <v/>
      </c>
      <c r="C34" s="11">
        <f>'balance_raw'!$C$13</f>
        <v/>
      </c>
      <c r="D34" s="11">
        <f>'balance_raw'!$D$13</f>
        <v/>
      </c>
      <c r="E34" s="11">
        <f>'balance_raw'!$E$13</f>
        <v/>
      </c>
      <c r="F34" s="11">
        <f>'balance_raw'!$F$13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Værdipapirer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Likvide beholdninger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Omsætningsaktiver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10" t="inlineStr">
        <is>
          <t>Aktiver</t>
        </is>
      </c>
      <c r="B38" s="11">
        <f>'balance_raw'!$B$17</f>
        <v/>
      </c>
      <c r="C38" s="11">
        <f>'balance_raw'!$C$17</f>
        <v/>
      </c>
      <c r="D38" s="11">
        <f>'balance_raw'!$D$17</f>
        <v/>
      </c>
      <c r="E38" s="11">
        <f>'balance_raw'!$E$17</f>
        <v/>
      </c>
      <c r="F38" s="11">
        <f>'balance_raw'!$F$17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40" ht="22" customHeight="1">
      <c r="A40" s="3" t="inlineStr">
        <is>
          <t>PASSIVER t.kr.</t>
        </is>
      </c>
      <c r="B40" s="3" t="n">
        <v>2021</v>
      </c>
      <c r="C40" s="3" t="n">
        <v>2022</v>
      </c>
      <c r="D40" s="3" t="n">
        <v>2023</v>
      </c>
      <c r="E40" s="3" t="n">
        <v>2024</v>
      </c>
      <c r="F40" s="3" t="n">
        <v>2025</v>
      </c>
      <c r="G40" t="inlineStr"/>
      <c r="H40" s="3" t="n">
        <v>2021</v>
      </c>
      <c r="I40" s="3" t="n">
        <v>2022</v>
      </c>
      <c r="J40" s="3" t="n">
        <v>2023</v>
      </c>
      <c r="K40" s="3" t="n">
        <v>2024</v>
      </c>
      <c r="L40" s="3" t="n">
        <v>2025</v>
      </c>
    </row>
    <row r="41" ht="16" customHeight="1">
      <c r="A41" s="7" t="inlineStr">
        <is>
          <t>Selskabskapital</t>
        </is>
      </c>
      <c r="B41" s="8">
        <f>'balance_raw'!$B$18</f>
        <v/>
      </c>
      <c r="C41" s="8">
        <f>'balance_raw'!$C$18</f>
        <v/>
      </c>
      <c r="D41" s="8">
        <f>'balance_raw'!$D$18</f>
        <v/>
      </c>
      <c r="E41" s="8">
        <f>'balance_raw'!$E$18</f>
        <v/>
      </c>
      <c r="F41" s="8">
        <f>'balance_raw'!$F$18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Reserve for nettoopskrivning (indre værdis metode)</t>
        </is>
      </c>
      <c r="B42" s="5">
        <f>'balance_raw'!$B$19</f>
        <v/>
      </c>
      <c r="C42" s="5">
        <f>'balance_raw'!$C$19</f>
        <v/>
      </c>
      <c r="D42" s="5">
        <f>'balance_raw'!$D$19</f>
        <v/>
      </c>
      <c r="E42" s="5">
        <f>'balance_raw'!$E$19</f>
        <v/>
      </c>
      <c r="F42" s="5">
        <f>'balance_raw'!$F$19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Reserve for udviklingsomkostninger</t>
        </is>
      </c>
      <c r="B43" s="8">
        <f>'balance_raw'!$B$20</f>
        <v/>
      </c>
      <c r="C43" s="8">
        <f>'balance_raw'!$C$20</f>
        <v/>
      </c>
      <c r="D43" s="8">
        <f>'balance_raw'!$D$20</f>
        <v/>
      </c>
      <c r="E43" s="8">
        <f>'balance_raw'!$E$20</f>
        <v/>
      </c>
      <c r="F43" s="8">
        <f>'balance_raw'!$F$20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Reserve for sikringstransaktioner</t>
        </is>
      </c>
      <c r="B44" s="5">
        <f>'balance_raw'!$B$21</f>
        <v/>
      </c>
      <c r="C44" s="5">
        <f>'balance_raw'!$C$21</f>
        <v/>
      </c>
      <c r="D44" s="5">
        <f>'balance_raw'!$D$21</f>
        <v/>
      </c>
      <c r="E44" s="5">
        <f>'balance_raw'!$E$21</f>
        <v/>
      </c>
      <c r="F44" s="5">
        <f>'balance_raw'!$F$21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Andre reserver</t>
        </is>
      </c>
      <c r="B45" s="8">
        <f>'balance_raw'!$B$22</f>
        <v/>
      </c>
      <c r="C45" s="8">
        <f>'balance_raw'!$C$22</f>
        <v/>
      </c>
      <c r="D45" s="8">
        <f>'balance_raw'!$D$22</f>
        <v/>
      </c>
      <c r="E45" s="8">
        <f>'balance_raw'!$E$22</f>
        <v/>
      </c>
      <c r="F45" s="8">
        <f>'balance_raw'!$F$22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Overført resultat</t>
        </is>
      </c>
      <c r="B46" s="5">
        <f>'balance_raw'!$B$23</f>
        <v/>
      </c>
      <c r="C46" s="5">
        <f>'balance_raw'!$C$23</f>
        <v/>
      </c>
      <c r="D46" s="5">
        <f>'balance_raw'!$D$23</f>
        <v/>
      </c>
      <c r="E46" s="5">
        <f>'balance_raw'!$E$23</f>
        <v/>
      </c>
      <c r="F46" s="5">
        <f>'balance_raw'!$F$23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Egenkapital i alt</t>
        </is>
      </c>
      <c r="B47" s="11">
        <f>'balance_raw'!$B$24</f>
        <v/>
      </c>
      <c r="C47" s="11">
        <f>'balance_raw'!$C$24</f>
        <v/>
      </c>
      <c r="D47" s="11">
        <f>'balance_raw'!$D$24</f>
        <v/>
      </c>
      <c r="E47" s="11">
        <f>'balance_raw'!$E$24</f>
        <v/>
      </c>
      <c r="F47" s="11">
        <f>'balance_raw'!$F$24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Hensættelse til udskudt skat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Hensatte forpligtelser</t>
        </is>
      </c>
      <c r="B49" s="11">
        <f>'balance_raw'!$B$26</f>
        <v/>
      </c>
      <c r="C49" s="11">
        <f>'balance_raw'!$C$26</f>
        <v/>
      </c>
      <c r="D49" s="11">
        <f>'balance_raw'!$D$26</f>
        <v/>
      </c>
      <c r="E49" s="11">
        <f>'balance_raw'!$E$26</f>
        <v/>
      </c>
      <c r="F49" s="11">
        <f>'balance_raw'!$F$26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Ansvarlig lånekapital (langfristet)</t>
        </is>
      </c>
      <c r="B50" s="5">
        <f>'balance_raw'!$B$27</f>
        <v/>
      </c>
      <c r="C50" s="5">
        <f>'balance_raw'!$C$27</f>
        <v/>
      </c>
      <c r="D50" s="5">
        <f>'balance_raw'!$D$27</f>
        <v/>
      </c>
      <c r="E50" s="5">
        <f>'balance_raw'!$E$27</f>
        <v/>
      </c>
      <c r="F50" s="5">
        <f>'balance_raw'!$F$27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Langfristede lån</t>
        </is>
      </c>
      <c r="B51" s="8">
        <f>'balance_raw'!$B$28</f>
        <v/>
      </c>
      <c r="C51" s="8">
        <f>'balance_raw'!$C$28</f>
        <v/>
      </c>
      <c r="D51" s="8">
        <f>'balance_raw'!$D$28</f>
        <v/>
      </c>
      <c r="E51" s="8">
        <f>'balance_raw'!$E$28</f>
        <v/>
      </c>
      <c r="F51" s="8">
        <f>'balance_raw'!$F$28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Leasingforpligtelser (langfristet)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Anden gæld (langfristet)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Langfristede gældsforpligtelser</t>
        </is>
      </c>
      <c r="B54" s="11">
        <f>'balance_raw'!$B$31</f>
        <v/>
      </c>
      <c r="C54" s="11">
        <f>'balance_raw'!$C$31</f>
        <v/>
      </c>
      <c r="D54" s="11">
        <f>'balance_raw'!$D$31</f>
        <v/>
      </c>
      <c r="E54" s="11">
        <f>'balance_raw'!$E$31</f>
        <v/>
      </c>
      <c r="F54" s="11">
        <f>'balance_raw'!$F$31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'balance_raw'!$B$43</f>
        <v/>
      </c>
      <c r="C66" s="11">
        <f>'balance_raw'!$C$43</f>
        <v/>
      </c>
      <c r="D66" s="11">
        <f>'balance_raw'!$D$43</f>
        <v/>
      </c>
      <c r="E66" s="11">
        <f>'balance_raw'!$E$43</f>
        <v/>
      </c>
      <c r="F66" s="11">
        <f>'balance_raw'!$F$43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'balance_raw'!$B$44</f>
        <v/>
      </c>
      <c r="C67" s="11">
        <f>'balance_raw'!$C$44</f>
        <v/>
      </c>
      <c r="D67" s="11">
        <f>'balance_raw'!$D$44</f>
        <v/>
      </c>
      <c r="E67" s="11">
        <f>'balance_raw'!$E$44</f>
        <v/>
      </c>
      <c r="F67" s="11">
        <f>'balance_raw'!$F$44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Gns. antal medarbejdere</t>
        </is>
      </c>
      <c r="B71" s="8">
        <f>'res_raw'!$B$19</f>
        <v/>
      </c>
      <c r="C71" s="8">
        <f>'res_raw'!$C$19</f>
        <v/>
      </c>
      <c r="D71" s="8">
        <f>'res_raw'!$D$19</f>
        <v/>
      </c>
      <c r="E71" s="8">
        <f>'res_raw'!$E$19</f>
        <v/>
      </c>
      <c r="F71" s="8">
        <f>'res_raw'!$F$19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'res_raw'!$B$20</f>
        <v/>
      </c>
      <c r="C72" s="5">
        <f>'res_raw'!$C$20</f>
        <v/>
      </c>
      <c r="D72" s="5">
        <f>'res_raw'!$D$20</f>
        <v/>
      </c>
      <c r="E72" s="5">
        <f>'res_raw'!$E$20</f>
        <v/>
      </c>
      <c r="F72" s="5">
        <f>'res_raw'!$F$20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Afkastningsgrad, %</t>
        </is>
      </c>
      <c r="B75" s="13">
        <f>IFERROR(($B$13+$B$15+$B$14)/$B$38*100,"")</f>
        <v/>
      </c>
      <c r="C75" s="13">
        <f>IFERROR(($C$13+$C$15+$C$14)/$C$38*100,"")</f>
        <v/>
      </c>
      <c r="D75" s="13">
        <f>IFERROR(($D$13+$D$15+$D$14)/$D$38*100,"")</f>
        <v/>
      </c>
      <c r="E75" s="13">
        <f>IFERROR(($E$13+$E$15+$E$14)/$E$38*100,"")</f>
        <v/>
      </c>
      <c r="F75" s="13">
        <f>IFERROR(($F$13+$F$15+$F$14)/$F$38*100,"")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IFERROR($B$4/$B$38,"")</f>
        <v/>
      </c>
      <c r="C77" s="13">
        <f>IFERROR($C$4/$C$38,"")</f>
        <v/>
      </c>
      <c r="D77" s="13">
        <f>IFERROR($D$4/$D$38,"")</f>
        <v/>
      </c>
      <c r="E77" s="13">
        <f>IFERROR($E$4/$E$38,"")</f>
        <v/>
      </c>
      <c r="F77" s="13">
        <f>IFERROR($F$4/$F$38,"")</f>
        <v/>
      </c>
    </row>
    <row r="78" ht="16" customHeight="1">
      <c r="A78" s="4" t="inlineStr">
        <is>
          <t>Egenkapitalens forrentning, %</t>
        </is>
      </c>
      <c r="B78" s="14">
        <f>IFERROR($B$18/$B$47*100,"")</f>
        <v/>
      </c>
      <c r="C78" s="14">
        <f>IFERROR($C$18/$C$47*100,"")</f>
        <v/>
      </c>
      <c r="D78" s="14">
        <f>IFERROR($D$18/$D$47*100,"")</f>
        <v/>
      </c>
      <c r="E78" s="14">
        <f>IFERROR($E$18/$E$47*100,"")</f>
        <v/>
      </c>
      <c r="F78" s="14">
        <f>IFERROR($F$18/$F$47*100,"")</f>
        <v/>
      </c>
    </row>
    <row r="79" ht="16" customHeight="1">
      <c r="A79" s="7" t="inlineStr">
        <is>
          <t>Gældsrente, %</t>
        </is>
      </c>
      <c r="B79" s="13">
        <f>IFERROR($B$16/($B$68-$B$47)*100,"")</f>
        <v/>
      </c>
      <c r="C79" s="13">
        <f>IFERROR($C$16/($C$68-$C$47)*100,"")</f>
        <v/>
      </c>
      <c r="D79" s="13">
        <f>IFERROR($D$16/($D$68-$D$47)*100,"")</f>
        <v/>
      </c>
      <c r="E79" s="13">
        <f>IFERROR($E$16/($E$68-$E$47)*100,"")</f>
        <v/>
      </c>
      <c r="F79" s="13">
        <f>IFERROR($F$16/($F$68-$F$47)*100,"")</f>
        <v/>
      </c>
    </row>
    <row r="80" ht="16" customHeight="1">
      <c r="A80" s="4" t="inlineStr">
        <is>
          <t>Soliditetsgrad, %</t>
        </is>
      </c>
      <c r="B80" s="14">
        <f>IFERROR($B$47/$B$38*100,"")</f>
        <v/>
      </c>
      <c r="C80" s="14">
        <f>IFERROR($C$47/$C$38*100,"")</f>
        <v/>
      </c>
      <c r="D80" s="14">
        <f>IFERROR($D$47/$D$38*100,"")</f>
        <v/>
      </c>
      <c r="E80" s="14">
        <f>IFERROR($E$47/$E$38*100,"")</f>
        <v/>
      </c>
      <c r="F80" s="14">
        <f>IFERROR($F$47/$F$38*100,"")</f>
        <v/>
      </c>
    </row>
    <row r="81" ht="16" customHeight="1">
      <c r="A81" s="7" t="inlineStr">
        <is>
          <t>Gearing</t>
        </is>
      </c>
      <c r="B81" s="13">
        <f>IFERROR(($B$68-$B$47)/$B$47,"")</f>
        <v/>
      </c>
      <c r="C81" s="13">
        <f>IFERROR(($C$68-$C$47)/$C$47,"")</f>
        <v/>
      </c>
      <c r="D81" s="13">
        <f>IFERROR(($D$68-$D$47)/$D$47,"")</f>
        <v/>
      </c>
      <c r="E81" s="13">
        <f>IFERROR(($E$68-$E$47)/$E$47,"")</f>
        <v/>
      </c>
      <c r="F81" s="13">
        <f>IFERROR(($F$68-$F$47)/$F$47,"")</f>
        <v/>
      </c>
    </row>
    <row r="82" ht="16" customHeight="1">
      <c r="A82" s="4" t="inlineStr">
        <is>
          <t>Likviditetsgrad, %</t>
        </is>
      </c>
      <c r="B82" s="14">
        <f>IFERROR($B$37/$B$66*100,"")</f>
        <v/>
      </c>
      <c r="C82" s="14">
        <f>IFERROR($C$37/$C$66*100,"")</f>
        <v/>
      </c>
      <c r="D82" s="14">
        <f>IFERROR($D$37/$D$66*100,"")</f>
        <v/>
      </c>
      <c r="E82" s="14">
        <f>IFERROR($E$37/$E$66*100,"")</f>
        <v/>
      </c>
      <c r="F82" s="14">
        <f>IFERROR($F$37/$F$66*100,"")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IFERROR(($B$68-$B$47)/$B$38*100,"")</f>
        <v/>
      </c>
      <c r="C84" s="14">
        <f>IFERROR(($C$68-$C$47)/$C$38*100,"")</f>
        <v/>
      </c>
      <c r="D84" s="14">
        <f>IFERROR(($D$68-$D$47)/$D$38*100,"")</f>
        <v/>
      </c>
      <c r="E84" s="14">
        <f>IFERROR(($E$68-$E$47)/$E$38*100,"")</f>
        <v/>
      </c>
      <c r="F84" s="14">
        <f>IFERROR(($F$68-$F$47)/$F$38*100,"")</f>
        <v/>
      </c>
    </row>
    <row r="85" ht="16" customHeight="1">
      <c r="A85" s="7" t="inlineStr">
        <is>
          <t>Kapitalbindingsgrad, %</t>
        </is>
      </c>
      <c r="B85" s="13">
        <f>IFERROR($B$25/($B$47+$B$54)*100,"")</f>
        <v/>
      </c>
      <c r="C85" s="13">
        <f>IFERROR($C$25/($C$47+$C$54)*100,"")</f>
        <v/>
      </c>
      <c r="D85" s="13">
        <f>IFERROR($D$25/($D$47+$D$54)*100,"")</f>
        <v/>
      </c>
      <c r="E85" s="13">
        <f>IFERROR($E$25/($E$47+$E$54)*100,"")</f>
        <v/>
      </c>
      <c r="F85" s="13">
        <f>IFERROR($F$25/($F$47+$F$54)*100,"")</f>
        <v/>
      </c>
    </row>
    <row r="87">
      <c r="A87" s="15" t="inlineStr">
        <is>
          <t>PENGESTRØMSOPGØRELSE t.kr.</t>
        </is>
      </c>
    </row>
    <row r="88">
      <c r="A88" s="16" t="inlineStr">
        <is>
          <t>Pengestrømme fra driftsaktivitet</t>
        </is>
      </c>
      <c r="B88" s="17">
        <f>'pengestrom_raw'!$B$2</f>
        <v/>
      </c>
      <c r="C88" s="17">
        <f>'pengestrom_raw'!$C$2</f>
        <v/>
      </c>
      <c r="D88" s="17">
        <f>'pengestrom_raw'!$D$2</f>
        <v/>
      </c>
      <c r="E88" s="17">
        <f>'pengestrom_raw'!$E$2</f>
        <v/>
      </c>
      <c r="F88" s="17">
        <f>'pengestrom_raw'!$F$2</f>
        <v/>
      </c>
    </row>
    <row r="89">
      <c r="A89" s="16" t="inlineStr">
        <is>
          <t>Pengestrømme fra investeringsaktivitet</t>
        </is>
      </c>
      <c r="B89" s="17">
        <f>'pengestrom_raw'!$B$3</f>
        <v/>
      </c>
      <c r="C89" s="17">
        <f>'pengestrom_raw'!$C$3</f>
        <v/>
      </c>
      <c r="D89" s="17">
        <f>'pengestrom_raw'!$D$3</f>
        <v/>
      </c>
      <c r="E89" s="17">
        <f>'pengestrom_raw'!$E$3</f>
        <v/>
      </c>
      <c r="F89" s="17">
        <f>'pengestrom_raw'!$F$3</f>
        <v/>
      </c>
    </row>
    <row r="90">
      <c r="A90" s="16" t="inlineStr">
        <is>
          <t>Pengestrømme fra finansieringsaktivitet</t>
        </is>
      </c>
      <c r="B90" s="17">
        <f>'pengestrom_raw'!$B$4</f>
        <v/>
      </c>
      <c r="C90" s="17">
        <f>'pengestrom_raw'!$C$4</f>
        <v/>
      </c>
      <c r="D90" s="17">
        <f>'pengestrom_raw'!$D$4</f>
        <v/>
      </c>
      <c r="E90" s="17">
        <f>'pengestrom_raw'!$E$4</f>
        <v/>
      </c>
      <c r="F90" s="17">
        <f>'pengestrom_raw'!$F$4</f>
        <v/>
      </c>
    </row>
    <row r="91">
      <c r="A91" s="16" t="inlineStr">
        <is>
          <t>Årets pengestrøm (rapporteret)</t>
        </is>
      </c>
      <c r="B91" s="17">
        <f>'pengestrom_raw'!$B$5</f>
        <v/>
      </c>
      <c r="C91" s="17">
        <f>'pengestrom_raw'!$C$5</f>
        <v/>
      </c>
      <c r="D91" s="17">
        <f>'pengestrom_raw'!$D$5</f>
        <v/>
      </c>
      <c r="E91" s="17">
        <f>'pengestrom_raw'!$E$5</f>
        <v/>
      </c>
      <c r="F91" s="17">
        <f>'pengestrom_raw'!$F$5</f>
        <v/>
      </c>
    </row>
    <row r="92">
      <c r="A92" s="16" t="inlineStr">
        <is>
          <t>Krydstjek: drift + inv. + fin. = årets pengestrøm</t>
        </is>
      </c>
      <c r="B92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2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2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2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2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dsv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182306000</v>
      </c>
      <c r="C2" s="17" t="n">
        <v>235665000</v>
      </c>
      <c r="D2" s="17" t="n">
        <v>150785000</v>
      </c>
      <c r="E2" s="17" t="n">
        <v>167106000</v>
      </c>
      <c r="F2" s="17" t="n">
        <v>247331000</v>
      </c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>
        <v>5559000</v>
      </c>
      <c r="D5" s="17" t="n">
        <v>4838000</v>
      </c>
      <c r="E5" s="17" t="n">
        <v>4652000</v>
      </c>
      <c r="F5" s="17" t="n">
        <v>9445000</v>
      </c>
    </row>
    <row r="6">
      <c r="A6" s="15" t="inlineStr">
        <is>
          <t>Bruttoresultat</t>
        </is>
      </c>
      <c r="B6" s="17" t="n">
        <v>37615000</v>
      </c>
      <c r="C6" s="17" t="n">
        <v>52149000</v>
      </c>
      <c r="D6" s="17" t="n"/>
      <c r="E6" s="17" t="n"/>
      <c r="F6" s="17" t="n"/>
    </row>
    <row r="7">
      <c r="A7" s="16" t="inlineStr">
        <is>
          <t>Personaleomkostninger</t>
        </is>
      </c>
      <c r="B7" s="17" t="n"/>
      <c r="C7" s="17" t="n"/>
      <c r="D7" s="17" t="n"/>
      <c r="E7" s="17" t="n"/>
      <c r="F7" s="17" t="n"/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4194000</v>
      </c>
      <c r="C9" s="17" t="n">
        <v>5071000</v>
      </c>
      <c r="D9" s="17" t="n">
        <v>5274000</v>
      </c>
      <c r="E9" s="17" t="n">
        <v>5735000</v>
      </c>
      <c r="F9" s="17" t="n">
        <v>8633000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16223000</v>
      </c>
      <c r="C11" s="17" t="n">
        <v>25204000</v>
      </c>
      <c r="D11" s="17" t="n">
        <v>17723000</v>
      </c>
      <c r="E11" s="17" t="n">
        <v>16096000</v>
      </c>
      <c r="F11" s="17" t="n">
        <v>19611000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206000</v>
      </c>
      <c r="C13" s="17" t="n">
        <v>606000</v>
      </c>
      <c r="D13" s="17" t="n">
        <v>473000</v>
      </c>
      <c r="E13" s="17" t="n">
        <v>650000</v>
      </c>
      <c r="F13" s="17" t="n">
        <v>1089000</v>
      </c>
    </row>
    <row r="14">
      <c r="A14" s="16" t="inlineStr">
        <is>
          <t>Finansielle omkostninger</t>
        </is>
      </c>
      <c r="B14" s="17" t="n">
        <v>1047000</v>
      </c>
      <c r="C14" s="17" t="n">
        <v>1472000</v>
      </c>
      <c r="D14" s="17" t="n">
        <v>1706000</v>
      </c>
      <c r="E14" s="17" t="n">
        <v>2470000</v>
      </c>
      <c r="F14" s="17" t="n">
        <v>4026000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14904000</v>
      </c>
      <c r="C16" s="17" t="n">
        <v>23221000</v>
      </c>
      <c r="D16" s="17" t="n">
        <v>16490000</v>
      </c>
      <c r="E16" s="17" t="n">
        <v>13423000</v>
      </c>
      <c r="F16" s="17" t="n">
        <v>12147000</v>
      </c>
    </row>
    <row r="17">
      <c r="A17" s="16" t="inlineStr">
        <is>
          <t>Skat af årets resultat</t>
        </is>
      </c>
      <c r="B17" s="17" t="n">
        <v>3650000</v>
      </c>
      <c r="C17" s="17" t="n">
        <v>5550000</v>
      </c>
      <c r="D17" s="17" t="n">
        <v>4083000</v>
      </c>
      <c r="E17" s="17" t="n">
        <v>3248000</v>
      </c>
      <c r="F17" s="17" t="n">
        <v>3684000</v>
      </c>
    </row>
    <row r="18">
      <c r="A18" s="15" t="inlineStr">
        <is>
          <t>Årets resultat</t>
        </is>
      </c>
      <c r="B18" s="17" t="n">
        <v>11254000</v>
      </c>
      <c r="C18" s="17" t="n">
        <v>17671000</v>
      </c>
      <c r="D18" s="17" t="n">
        <v>12407000</v>
      </c>
      <c r="E18" s="17" t="n">
        <v>10175000</v>
      </c>
      <c r="F18" s="17" t="n">
        <v>8463000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1180000</v>
      </c>
      <c r="C20" s="17" t="n">
        <v>1514000</v>
      </c>
      <c r="D20" s="17" t="n">
        <v>2030000</v>
      </c>
      <c r="E20" s="17" t="n">
        <v>2092000</v>
      </c>
      <c r="F20" s="17" t="n">
        <v>2065000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dsv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76661000</v>
      </c>
      <c r="C2" s="17" t="n">
        <v>77674000</v>
      </c>
      <c r="D2" s="17" t="n">
        <v>77106000</v>
      </c>
      <c r="E2" s="17" t="n">
        <v>77877000</v>
      </c>
      <c r="F2" s="17" t="n">
        <v>150954000</v>
      </c>
    </row>
    <row r="3">
      <c r="A3" s="15" t="inlineStr">
        <is>
          <t>Materielle anlægsaktiver</t>
        </is>
      </c>
      <c r="B3" s="17" t="n">
        <v>13709000</v>
      </c>
      <c r="C3" s="17" t="n">
        <v>14694000</v>
      </c>
      <c r="D3" s="17" t="n">
        <v>15655000</v>
      </c>
      <c r="E3" s="17" t="n">
        <v>18713000</v>
      </c>
      <c r="F3" s="17" t="n">
        <v>27772000</v>
      </c>
    </row>
    <row r="4">
      <c r="A4" s="15" t="inlineStr">
        <is>
          <t>Anlægsaktiver</t>
        </is>
      </c>
      <c r="B4" s="17" t="n">
        <v>102571000</v>
      </c>
      <c r="C4" s="17" t="n">
        <v>104607000</v>
      </c>
      <c r="D4" s="17" t="n">
        <v>104736000</v>
      </c>
      <c r="E4" s="17" t="n">
        <v>110033000</v>
      </c>
      <c r="F4" s="17" t="n">
        <v>212166000</v>
      </c>
    </row>
    <row r="5">
      <c r="A5" s="15" t="inlineStr">
        <is>
          <t>Varebeholdninger</t>
        </is>
      </c>
      <c r="B5" s="17" t="n">
        <v>284000</v>
      </c>
      <c r="C5" s="17" t="n">
        <v>1889000</v>
      </c>
      <c r="D5" s="17" t="n">
        <v>4314000</v>
      </c>
      <c r="E5" s="17" t="n">
        <v>5007000</v>
      </c>
      <c r="F5" s="17" t="n">
        <v>2095000</v>
      </c>
    </row>
    <row r="6">
      <c r="A6" s="16" t="inlineStr">
        <is>
          <t>Tilgodehavender fra salg og tjenesteydelser</t>
        </is>
      </c>
      <c r="B6" s="17" t="n">
        <v>36369000</v>
      </c>
      <c r="C6" s="17" t="n">
        <v>32387000</v>
      </c>
      <c r="D6" s="17" t="n">
        <v>22296000</v>
      </c>
      <c r="E6" s="17" t="n">
        <v>27222000</v>
      </c>
      <c r="F6" s="17" t="n">
        <v>45130000</v>
      </c>
    </row>
    <row r="7">
      <c r="A7" s="16" t="inlineStr">
        <is>
          <t>Tilgodehavender hos tilknyttede virksomheder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tilgodehavender</t>
        </is>
      </c>
      <c r="B8" s="17" t="n"/>
      <c r="C8" s="17" t="n"/>
      <c r="D8" s="17" t="n"/>
      <c r="E8" s="17" t="n"/>
      <c r="F8" s="17" t="n"/>
    </row>
    <row r="9">
      <c r="A9" s="16" t="inlineStr">
        <is>
          <t>Periodeafgrænsningsposter (aktiver)</t>
        </is>
      </c>
      <c r="B9" s="17" t="n">
        <v>9797000</v>
      </c>
      <c r="C9" s="17" t="n">
        <v>5785000</v>
      </c>
      <c r="D9" s="17" t="n">
        <v>4985000</v>
      </c>
      <c r="E9" s="17" t="n">
        <v>6354000</v>
      </c>
      <c r="F9" s="17" t="n">
        <v>9928000</v>
      </c>
    </row>
    <row r="10">
      <c r="A10" s="16" t="inlineStr">
        <is>
          <t>Udskudt skatteaktiv</t>
        </is>
      </c>
      <c r="B10" s="17" t="n">
        <v>3544000</v>
      </c>
      <c r="C10" s="17" t="n">
        <v>3494000</v>
      </c>
      <c r="D10" s="17" t="n">
        <v>3300000</v>
      </c>
      <c r="E10" s="17" t="n">
        <v>3312000</v>
      </c>
      <c r="F10" s="17" t="n">
        <v>5681000</v>
      </c>
    </row>
    <row r="11">
      <c r="A11" s="16" t="inlineStr">
        <is>
          <t>Tilgodehavende skat hos tilknyttede 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Kortfristede skattetilgodehavender</t>
        </is>
      </c>
      <c r="B12" s="17" t="n"/>
      <c r="C12" s="17" t="n"/>
      <c r="D12" s="17" t="n"/>
      <c r="E12" s="17" t="n"/>
      <c r="F12" s="17" t="n"/>
    </row>
    <row r="13">
      <c r="A13" s="15" t="inlineStr">
        <is>
          <t>Tilgodehavender</t>
        </is>
      </c>
      <c r="B13" s="17" t="n">
        <v>4009000</v>
      </c>
      <c r="C13" s="17" t="n">
        <v>4179000</v>
      </c>
      <c r="D13" s="17" t="n">
        <v>4283000</v>
      </c>
      <c r="E13" s="17" t="n">
        <v>4316000</v>
      </c>
      <c r="F13" s="17" t="n">
        <v>7834000</v>
      </c>
    </row>
    <row r="14">
      <c r="A14" s="16" t="inlineStr">
        <is>
          <t>Værdipapirer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Likvide beholdninger</t>
        </is>
      </c>
      <c r="B15" s="17" t="n">
        <v>8299000</v>
      </c>
      <c r="C15" s="17" t="n">
        <v>10160000</v>
      </c>
      <c r="D15" s="17" t="n">
        <v>6452000</v>
      </c>
      <c r="E15" s="17" t="n">
        <v>83576000</v>
      </c>
      <c r="F15" s="17" t="n">
        <v>13179000</v>
      </c>
    </row>
    <row r="16">
      <c r="A16" s="15" t="inlineStr">
        <is>
          <t>Omsætningsaktiver</t>
        </is>
      </c>
      <c r="B16" s="17" t="n">
        <v>58824000</v>
      </c>
      <c r="C16" s="17" t="n">
        <v>54438000</v>
      </c>
      <c r="D16" s="17" t="n">
        <v>42374000</v>
      </c>
      <c r="E16" s="17" t="n">
        <v>126512000</v>
      </c>
      <c r="F16" s="17" t="n">
        <v>78207000</v>
      </c>
    </row>
    <row r="17">
      <c r="A17" s="15" t="inlineStr">
        <is>
          <t>Aktiver</t>
        </is>
      </c>
      <c r="B17" s="17" t="n">
        <v>161395000</v>
      </c>
      <c r="C17" s="17" t="n">
        <v>159045000</v>
      </c>
      <c r="D17" s="17" t="n">
        <v>147110000</v>
      </c>
      <c r="E17" s="17" t="n">
        <v>236545000</v>
      </c>
      <c r="F17" s="17" t="n">
        <v>290373000</v>
      </c>
    </row>
    <row r="18">
      <c r="A18" s="16" t="inlineStr">
        <is>
          <t>Selskabskapital</t>
        </is>
      </c>
      <c r="B18" s="17" t="n">
        <v>240000</v>
      </c>
      <c r="C18" s="17" t="n">
        <v>219000</v>
      </c>
      <c r="D18" s="17" t="n">
        <v>219000</v>
      </c>
      <c r="E18" s="17" t="n">
        <v>240000</v>
      </c>
      <c r="F18" s="17" t="n">
        <v>240000</v>
      </c>
    </row>
    <row r="19">
      <c r="A19" s="16" t="inlineStr">
        <is>
          <t>Reserve for nettoopskrivning (indre værdis metode)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Reserve for udviklingsomkostninger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Reserve for sikringstransaktioner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reserver</t>
        </is>
      </c>
      <c r="B22" s="17" t="n">
        <v>-356000</v>
      </c>
      <c r="C22" s="17" t="n">
        <v>919000</v>
      </c>
      <c r="D22" s="17" t="n">
        <v>-718000</v>
      </c>
      <c r="E22" s="17" t="n">
        <v>237000</v>
      </c>
      <c r="F22" s="17" t="n">
        <v>-5393000</v>
      </c>
    </row>
    <row r="23">
      <c r="A23" s="16" t="inlineStr">
        <is>
          <t>Overført resultat</t>
        </is>
      </c>
      <c r="B23" s="17" t="n">
        <v>74219000</v>
      </c>
      <c r="C23" s="17" t="n">
        <v>70381000</v>
      </c>
      <c r="D23" s="17" t="n">
        <v>69202000</v>
      </c>
      <c r="E23" s="17" t="n">
        <v>113705000</v>
      </c>
      <c r="F23" s="17" t="n">
        <v>122567000</v>
      </c>
    </row>
    <row r="24">
      <c r="A24" s="15" t="inlineStr">
        <is>
          <t>Egenkapital i alt</t>
        </is>
      </c>
      <c r="B24" s="17" t="n">
        <v>74103000</v>
      </c>
      <c r="C24" s="17" t="n">
        <v>71519000</v>
      </c>
      <c r="D24" s="17" t="n">
        <v>68703000</v>
      </c>
      <c r="E24" s="17" t="n">
        <v>114182000</v>
      </c>
      <c r="F24" s="17" t="n">
        <v>117414000</v>
      </c>
    </row>
    <row r="25">
      <c r="A25" s="16" t="inlineStr">
        <is>
          <t>Hensættelse til udskudt skat</t>
        </is>
      </c>
      <c r="B25" s="17" t="n">
        <v>447000</v>
      </c>
      <c r="C25" s="17" t="n">
        <v>504000</v>
      </c>
      <c r="D25" s="17" t="n">
        <v>609000</v>
      </c>
      <c r="E25" s="17" t="n">
        <v>408000</v>
      </c>
      <c r="F25" s="17" t="n">
        <v>1330000</v>
      </c>
    </row>
    <row r="26">
      <c r="A26" s="15" t="inlineStr">
        <is>
          <t>Hensatte forpligtelser</t>
        </is>
      </c>
      <c r="B26" s="17" t="n">
        <v>908000</v>
      </c>
      <c r="C26" s="17" t="n">
        <v>1183000</v>
      </c>
      <c r="D26" s="17" t="n">
        <v>1281000</v>
      </c>
      <c r="E26" s="17" t="n">
        <v>457000</v>
      </c>
      <c r="F26" s="17" t="n">
        <v>2098000</v>
      </c>
    </row>
    <row r="27">
      <c r="A27" s="16" t="inlineStr">
        <is>
          <t>Ansvarlig lånekapital (langfristet)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Langfristede lån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Leasingforpligtelser (langfristet)</t>
        </is>
      </c>
      <c r="B29" s="17" t="n">
        <v>11848000</v>
      </c>
      <c r="C29" s="17" t="n">
        <v>13190000</v>
      </c>
      <c r="D29" s="17" t="n">
        <v>14139000</v>
      </c>
      <c r="E29" s="17" t="n">
        <v>17324000</v>
      </c>
      <c r="F29" s="17" t="n">
        <v>24084000</v>
      </c>
    </row>
    <row r="30">
      <c r="A30" s="16" t="inlineStr">
        <is>
          <t>Anden gæld (langfristet)</t>
        </is>
      </c>
      <c r="B30" s="17" t="n"/>
      <c r="C30" s="17" t="n"/>
      <c r="D30" s="17" t="n"/>
      <c r="E30" s="17" t="n"/>
      <c r="F30" s="17" t="n"/>
    </row>
    <row r="31">
      <c r="A31" s="15" t="inlineStr">
        <is>
          <t>Langfristede gældsforpligtelser</t>
        </is>
      </c>
      <c r="B31" s="17" t="n">
        <v>16993000</v>
      </c>
      <c r="C31" s="17" t="n">
        <v>21398000</v>
      </c>
      <c r="D31" s="17" t="n">
        <v>20004000</v>
      </c>
      <c r="E31" s="17" t="n">
        <v>60852000</v>
      </c>
      <c r="F31" s="17" t="n">
        <v>56950000</v>
      </c>
    </row>
    <row r="32">
      <c r="A32" s="16" t="inlineStr">
        <is>
          <t>Ansvarlig lånekapital (kortfristet)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Kortfristet del af langfristede gældsforpligtelser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Kreditinstitutter</t>
        </is>
      </c>
      <c r="B34" s="17" t="n">
        <v>4472000</v>
      </c>
      <c r="C34" s="17" t="n">
        <v>814000</v>
      </c>
      <c r="D34" s="17" t="n">
        <v>2139000</v>
      </c>
      <c r="E34" s="17" t="n">
        <v>292000</v>
      </c>
      <c r="F34" s="17" t="n">
        <v>10055000</v>
      </c>
    </row>
    <row r="35">
      <c r="A35" s="16" t="inlineStr">
        <is>
          <t>Leasingforpligtelser (kortfristet)</t>
        </is>
      </c>
      <c r="B35" s="17" t="n">
        <v>3440000</v>
      </c>
      <c r="C35" s="17" t="n">
        <v>3577000</v>
      </c>
      <c r="D35" s="17" t="n">
        <v>3808000</v>
      </c>
      <c r="E35" s="17" t="n">
        <v>4349000</v>
      </c>
      <c r="F35" s="17" t="n">
        <v>6846000</v>
      </c>
    </row>
    <row r="36">
      <c r="A36" s="16" t="inlineStr">
        <is>
          <t>Leverandører af varer og tjenesteydelser</t>
        </is>
      </c>
      <c r="B36" s="17" t="n">
        <v>17040000</v>
      </c>
      <c r="C36" s="17" t="n">
        <v>14992000</v>
      </c>
      <c r="D36" s="17" t="n">
        <v>13111000</v>
      </c>
      <c r="E36" s="17" t="n">
        <v>14456000</v>
      </c>
      <c r="F36" s="17" t="n">
        <v>23493000</v>
      </c>
    </row>
    <row r="37">
      <c r="A37" s="16" t="inlineStr">
        <is>
          <t>Gæld til tilknyttede virksomheder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Gæld til selskabsdeltagere og ledelse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Selskabsskat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Gæld til tilknyttede virksomheder vedr. selskabsskat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Anden gæld (kortfristet)</t>
        </is>
      </c>
      <c r="B41" s="17" t="n">
        <v>10257000</v>
      </c>
      <c r="C41" s="17" t="n">
        <v>9640000</v>
      </c>
      <c r="D41" s="17" t="n">
        <v>8138000</v>
      </c>
      <c r="E41" s="17" t="n">
        <v>8696000</v>
      </c>
      <c r="F41" s="17" t="n">
        <v>19115000</v>
      </c>
    </row>
    <row r="42">
      <c r="A42" s="16" t="inlineStr">
        <is>
          <t>Periodeafgrænsningsposter (passiver)</t>
        </is>
      </c>
      <c r="B42" s="17" t="n">
        <v>13289000</v>
      </c>
      <c r="C42" s="17" t="n">
        <v>12085000</v>
      </c>
      <c r="D42" s="17" t="n">
        <v>7920000</v>
      </c>
      <c r="E42" s="17" t="n">
        <v>8063000</v>
      </c>
      <c r="F42" s="17" t="n">
        <v>12726000</v>
      </c>
    </row>
    <row r="43">
      <c r="A43" s="15" t="inlineStr">
        <is>
          <t>Kortfristede gældsforpligtelser</t>
        </is>
      </c>
      <c r="B43" s="17" t="n">
        <v>53413000</v>
      </c>
      <c r="C43" s="17" t="n">
        <v>46769000</v>
      </c>
      <c r="D43" s="17" t="n">
        <v>38339000</v>
      </c>
      <c r="E43" s="17" t="n">
        <v>39214000</v>
      </c>
      <c r="F43" s="17" t="n">
        <v>82293000</v>
      </c>
    </row>
    <row r="44">
      <c r="A44" s="15" t="inlineStr">
        <is>
          <t>Gældsforpligtelser</t>
        </is>
      </c>
      <c r="B44" s="17" t="n">
        <v>87117000</v>
      </c>
      <c r="C44" s="17" t="n">
        <v>87304000</v>
      </c>
      <c r="D44" s="17" t="n">
        <v>78144000</v>
      </c>
      <c r="E44" s="17" t="n">
        <v>122042000</v>
      </c>
      <c r="F44" s="17" t="n">
        <v>172683000</v>
      </c>
    </row>
    <row r="45">
      <c r="A45" s="15" t="inlineStr">
        <is>
          <t>Passiver</t>
        </is>
      </c>
      <c r="B45" s="17" t="n">
        <v>161395000</v>
      </c>
      <c r="C45" s="17" t="n">
        <v>159045000</v>
      </c>
      <c r="D45" s="17" t="n">
        <v>147110000</v>
      </c>
      <c r="E45" s="17" t="n">
        <v>236545000</v>
      </c>
      <c r="F45" s="17" t="n">
        <v>290373000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dsv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12202000</v>
      </c>
      <c r="C2" s="17" t="n">
        <v>26846000</v>
      </c>
      <c r="D2" s="17" t="n">
        <v>16458000</v>
      </c>
      <c r="E2" s="17" t="n">
        <v>11651000</v>
      </c>
      <c r="F2" s="17" t="n">
        <v>21481000</v>
      </c>
    </row>
    <row r="3">
      <c r="A3" s="16" t="inlineStr">
        <is>
          <t>Pengestrømme fra investeringsaktivitet</t>
        </is>
      </c>
      <c r="B3" s="17" t="n">
        <v>420000</v>
      </c>
      <c r="C3" s="17" t="n">
        <v>-966000</v>
      </c>
      <c r="D3" s="17" t="n">
        <v>-2030000</v>
      </c>
      <c r="E3" s="17" t="n">
        <v>-2375000</v>
      </c>
      <c r="F3" s="17" t="n">
        <v>-77723000</v>
      </c>
    </row>
    <row r="4">
      <c r="A4" s="16" t="inlineStr">
        <is>
          <t>Pengestrømme fra finansieringsaktivitet</t>
        </is>
      </c>
      <c r="B4" s="17" t="n">
        <v>-8680000</v>
      </c>
      <c r="C4" s="17" t="n">
        <v>-24245000</v>
      </c>
      <c r="D4" s="17" t="n">
        <v>-17574000</v>
      </c>
      <c r="E4" s="17" t="n">
        <v>67943000</v>
      </c>
      <c r="F4" s="17" t="n">
        <v>-13457000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dsv (CVR None)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'balance_raw'!$F$4</f>
        <v/>
      </c>
      <c r="C19" s="24">
        <f>'balance_raw'!$E$4</f>
        <v/>
      </c>
      <c r="D19" s="24">
        <f>'balance_raw'!$D$4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'balance_raw'!$F$16</f>
        <v/>
      </c>
      <c r="C20" s="24">
        <f>'balance_raw'!$E$16</f>
        <v/>
      </c>
      <c r="D20" s="24">
        <f>'balance_raw'!$D$16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'balance_raw'!$F$24</f>
        <v/>
      </c>
      <c r="C23" s="24">
        <f>'balance_raw'!$E$24</f>
        <v/>
      </c>
      <c r="D23" s="24">
        <f>'balance_raw'!$D$24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'balance_raw'!$F$45-'balance_raw'!$F$24</f>
        <v/>
      </c>
      <c r="C24" s="24">
        <f>'balance_raw'!$E$45-'balance_raw'!$E$24</f>
        <v/>
      </c>
      <c r="D24" s="24">
        <f>'balance_raw'!$D$45-'balance_raw'!$D$24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'balance_raw'!$F$5</f>
        <v/>
      </c>
      <c r="C28" s="24">
        <f>'balance_raw'!$E$5</f>
        <v/>
      </c>
      <c r="D28" s="24">
        <f>'balance_raw'!$D$5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'balance_raw'!$F$6</f>
        <v/>
      </c>
      <c r="C29" s="24">
        <f>'balance_raw'!$E$6</f>
        <v/>
      </c>
      <c r="D29" s="24">
        <f>'balance_raw'!$D$6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'balance_raw'!$F$43</f>
        <v/>
      </c>
      <c r="C30" s="24">
        <f>'balance_raw'!$E$43</f>
        <v/>
      </c>
      <c r="D30" s="24">
        <f>'balance_raw'!$D$43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IF('balance_raw'!$F$17="","—",IF(ABS(B21-'balance_raw'!$F$17)&lt;=1,"✓ OK","❌ "&amp;TEXT(B21-'balance_raw'!$F$17,"+#,##0;-#,##0")&amp;" t.kr."))</f>
        <v/>
      </c>
      <c r="C61" s="29">
        <f>IF('balance_raw'!$E$17="","—",IF(ABS(C21-'balance_raw'!$E$17)&lt;=1,"✓ OK","❌ "&amp;TEXT(C21-'balance_raw'!$E$17,"+#,##0;-#,##0")&amp;" t.kr."))</f>
        <v/>
      </c>
      <c r="D61" s="29">
        <f>IF('balance_raw'!$D$17="","—",IF(ABS(D21-'balance_raw'!$D$17)&lt;=1,"✓ OK","❌ "&amp;TEXT(D21-'balance_raw'!$D$17,"+#,##0;-#,##0")&amp;"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IF('balance_raw'!$F$45="","—",IF(ABS(B25-'balance_raw'!$F$45)&lt;=1,"✓ OK","❌ "&amp;TEXT(B25-'balance_raw'!$F$45,"+#,##0;-#,##0")&amp;" t.kr."))</f>
        <v/>
      </c>
      <c r="C62" s="29">
        <f>IF('balance_raw'!$E$45="","—",IF(ABS(C25-'balance_raw'!$E$45)&lt;=1,"✓ OK","❌ "&amp;TEXT(C25-'balance_raw'!$E$45,"+#,##0;-#,##0")&amp;" t.kr."))</f>
        <v/>
      </c>
      <c r="D62" s="29">
        <f>IF('balance_raw'!$D$45="","—",IF(ABS(D25-'balance_raw'!$D$45)&lt;=1,"✓ OK","❌ "&amp;TEXT(D25-'balance_raw'!$D$45,"+#,##0;-#,##0")&amp;"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dsv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ifrs-full:AdjustmentsForSharebasedPayments</t>
        </is>
      </c>
      <c r="C4" s="37" t="inlineStr">
        <is>
          <t>ifrs-full:AdjustmentsForSharebasedPayments</t>
        </is>
      </c>
      <c r="D4" s="38" t="n">
        <v>160000</v>
      </c>
      <c r="E4" s="38" t="n">
        <v>202000</v>
      </c>
      <c r="F4" s="38" t="n">
        <v>267000</v>
      </c>
      <c r="G4" s="38" t="n">
        <v>327000</v>
      </c>
      <c r="H4" s="38" t="n">
        <v>359000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ifrs-full:ComprehensiveIncomeFromContinuingOperationsAttributableToOwnersOfParent</t>
        </is>
      </c>
      <c r="C5" s="34" t="inlineStr">
        <is>
          <t>ifrs-full:ComprehensiveIncomeFromContinuingOperationsAttributableToOwnersOfParent</t>
        </is>
      </c>
      <c r="D5" s="35" t="n"/>
      <c r="E5" s="35" t="n"/>
      <c r="F5" s="35" t="n"/>
      <c r="G5" s="35" t="n">
        <v>11740000</v>
      </c>
      <c r="H5" s="35" t="n">
        <v>2967000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ifrs-full:ComprehensiveIncomeFromDiscontinuedOperationsAttributableToOwnersOfParent</t>
        </is>
      </c>
      <c r="C6" s="37" t="inlineStr">
        <is>
          <t>ifrs-full:ComprehensiveIncomeFromDiscontinuedOperationsAttributableToOwnersOfParent</t>
        </is>
      </c>
      <c r="D6" s="38" t="n"/>
      <c r="E6" s="38" t="n"/>
      <c r="F6" s="38" t="n"/>
      <c r="G6" s="38" t="n">
        <v>0</v>
      </c>
      <c r="H6" s="38" t="n">
        <v>-280000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ifrs-full:IncomeFromContinuingOperationsAttributableToOwnersOfParent</t>
        </is>
      </c>
      <c r="C7" s="34" t="inlineStr">
        <is>
          <t>ifrs-full:IncomeFromContinuingOperationsAttributableToOwnersOfParent</t>
        </is>
      </c>
      <c r="D7" s="35" t="n"/>
      <c r="E7" s="35" t="n"/>
      <c r="F7" s="35" t="n"/>
      <c r="G7" s="35" t="n">
        <v>10109000</v>
      </c>
      <c r="H7" s="35" t="n">
        <v>8386000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ifrs-full:IncomeFromDiscontinuedOperationsAttributableToOwnersOfParent</t>
        </is>
      </c>
      <c r="C8" s="37" t="inlineStr">
        <is>
          <t>ifrs-full:IncomeFromDiscontinuedOperationsAttributableToOwnersOfParent</t>
        </is>
      </c>
      <c r="D8" s="38" t="n"/>
      <c r="E8" s="38" t="n"/>
      <c r="F8" s="38" t="n"/>
      <c r="G8" s="38" t="n">
        <v>0</v>
      </c>
      <c r="H8" s="38" t="n">
        <v>-291000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ifrs-full:IncreaseDecreaseThroughOtherDistributionsToOwners</t>
        </is>
      </c>
      <c r="C9" s="34" t="inlineStr">
        <is>
          <t>ifrs-full:IncreaseDecreaseThroughOtherDistributionsToOwners</t>
        </is>
      </c>
      <c r="D9" s="35" t="n">
        <v>6000</v>
      </c>
      <c r="E9" s="35" t="n">
        <v>21000</v>
      </c>
      <c r="F9" s="35" t="n"/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ifrs-full:OtherInflowsOutflowsOfCashClassifiedAsFinancingActivities</t>
        </is>
      </c>
      <c r="C10" s="37" t="inlineStr">
        <is>
          <t>ifrs-full:OtherInflowsOutflowsOfCashClassifiedAsFinancingActivities</t>
        </is>
      </c>
      <c r="D10" s="38" t="n">
        <v>118000</v>
      </c>
      <c r="E10" s="38" t="n">
        <v>-161000</v>
      </c>
      <c r="F10" s="38" t="n">
        <v>108000</v>
      </c>
      <c r="G10" s="38" t="n">
        <v>6000</v>
      </c>
      <c r="H10" s="38" t="n">
        <v>352000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2026-09-11T07:36:23Z</dcterms:created>
  <dcterms:modified xmlns:dcterms="http://purl.org/dc/terms/" xmlns:xsi="http://www.w3.org/2001/XMLSchema-instance" xsi:type="dcterms:W3CDTF">2026-09-11T07:36:24Z</dcterms:modified>
</cp:coreProperties>
</file>