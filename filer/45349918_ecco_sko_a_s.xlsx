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5349918" sheetId="1" state="visible" r:id="rId1"/>
    <sheet xmlns:r="http://schemas.openxmlformats.org/officeDocument/2006/relationships" name="res_raw_45349918" sheetId="2" state="visible" r:id="rId2"/>
    <sheet xmlns:r="http://schemas.openxmlformats.org/officeDocument/2006/relationships" name="balance_raw_45349918" sheetId="3" state="visible" r:id="rId3"/>
    <sheet xmlns:r="http://schemas.openxmlformats.org/officeDocument/2006/relationships" name="pengestrom_raw_45349918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ECCO Sko A/S (CVR 45349918) — Regnskabsanalyse – Resultatopgørelse &amp; Balance (t.EUR) · Klasse C-stor · Independent Auditor’s Report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t.EUR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'res_raw_45349918'!$B$2</f>
        <v/>
      </c>
      <c r="C4" s="5">
        <f>'res_raw_45349918'!$C$2</f>
        <v/>
      </c>
      <c r="D4" s="5">
        <f>'res_raw_45349918'!$D$2</f>
        <v/>
      </c>
      <c r="E4" s="5">
        <f>'res_raw_45349918'!$E$2</f>
        <v/>
      </c>
      <c r="F4" s="5">
        <f>'res_raw_45349918'!$F$2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'res_raw_45349918'!$B$3</f>
        <v/>
      </c>
      <c r="C5" s="8">
        <f>'res_raw_45349918'!$C$3</f>
        <v/>
      </c>
      <c r="D5" s="8">
        <f>'res_raw_45349918'!$D$3</f>
        <v/>
      </c>
      <c r="E5" s="8">
        <f>'res_raw_45349918'!$E$3</f>
        <v/>
      </c>
      <c r="F5" s="8">
        <f>'res_raw_45349918'!$F$3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'res_raw_45349918'!$B$4</f>
        <v/>
      </c>
      <c r="C6" s="5">
        <f>'res_raw_45349918'!$C$4</f>
        <v/>
      </c>
      <c r="D6" s="5">
        <f>'res_raw_45349918'!$D$4</f>
        <v/>
      </c>
      <c r="E6" s="5">
        <f>'res_raw_45349918'!$E$4</f>
        <v/>
      </c>
      <c r="F6" s="5">
        <f>'res_raw_45349918'!$F$4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'res_raw_45349918'!$B$5</f>
        <v/>
      </c>
      <c r="C7" s="8">
        <f>'res_raw_45349918'!$C$5</f>
        <v/>
      </c>
      <c r="D7" s="8">
        <f>'res_raw_45349918'!$D$5</f>
        <v/>
      </c>
      <c r="E7" s="8">
        <f>'res_raw_45349918'!$E$5</f>
        <v/>
      </c>
      <c r="F7" s="8">
        <f>'res_raw_45349918'!$F$5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'res_raw_45349918'!$B$6</f>
        <v/>
      </c>
      <c r="C8" s="11">
        <f>'res_raw_45349918'!$C$6</f>
        <v/>
      </c>
      <c r="D8" s="11">
        <f>'res_raw_45349918'!$D$6</f>
        <v/>
      </c>
      <c r="E8" s="11">
        <f>'res_raw_45349918'!$E$6</f>
        <v/>
      </c>
      <c r="F8" s="11">
        <f>'res_raw_45349918'!$F$6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'res_raw_45349918'!$B$7</f>
        <v/>
      </c>
      <c r="C9" s="8">
        <f>'res_raw_45349918'!$C$7</f>
        <v/>
      </c>
      <c r="D9" s="8">
        <f>'res_raw_45349918'!$D$7</f>
        <v/>
      </c>
      <c r="E9" s="8">
        <f>'res_raw_45349918'!$E$7</f>
        <v/>
      </c>
      <c r="F9" s="8">
        <f>'res_raw_45349918'!$F$7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'res_raw_45349918'!$B$9</f>
        <v/>
      </c>
      <c r="C11" s="8">
        <f>'res_raw_45349918'!$C$9</f>
        <v/>
      </c>
      <c r="D11" s="8">
        <f>'res_raw_45349918'!$D$9</f>
        <v/>
      </c>
      <c r="E11" s="8">
        <f>'res_raw_45349918'!$E$9</f>
        <v/>
      </c>
      <c r="F11" s="8">
        <f>'res_raw_45349918'!$F$9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'res_raw_45349918'!$B$10</f>
        <v/>
      </c>
      <c r="C12" s="5">
        <f>'res_raw_45349918'!$C$10</f>
        <v/>
      </c>
      <c r="D12" s="5">
        <f>'res_raw_45349918'!$D$10</f>
        <v/>
      </c>
      <c r="E12" s="5">
        <f>'res_raw_45349918'!$E$10</f>
        <v/>
      </c>
      <c r="F12" s="5">
        <f>'res_raw_45349918'!$F$10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'res_raw_45349918'!$B$11</f>
        <v/>
      </c>
      <c r="C13" s="11">
        <f>'res_raw_45349918'!$C$11</f>
        <v/>
      </c>
      <c r="D13" s="11">
        <f>'res_raw_45349918'!$D$11</f>
        <v/>
      </c>
      <c r="E13" s="11">
        <f>'res_raw_45349918'!$E$11</f>
        <v/>
      </c>
      <c r="F13" s="11">
        <f>'res_raw_45349918'!$F$11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'res_raw_45349918'!$B$12</f>
        <v/>
      </c>
      <c r="C14" s="5">
        <f>'res_raw_45349918'!$C$12</f>
        <v/>
      </c>
      <c r="D14" s="5">
        <f>'res_raw_45349918'!$D$12</f>
        <v/>
      </c>
      <c r="E14" s="5">
        <f>'res_raw_45349918'!$E$12</f>
        <v/>
      </c>
      <c r="F14" s="5">
        <f>'res_raw_45349918'!$F$12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'res_raw_45349918'!$B$13</f>
        <v/>
      </c>
      <c r="C15" s="8">
        <f>'res_raw_45349918'!$C$13</f>
        <v/>
      </c>
      <c r="D15" s="8">
        <f>'res_raw_45349918'!$D$13</f>
        <v/>
      </c>
      <c r="E15" s="8">
        <f>'res_raw_45349918'!$E$13</f>
        <v/>
      </c>
      <c r="F15" s="8">
        <f>'res_raw_45349918'!$F$13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'res_raw_45349918'!$B$14</f>
        <v/>
      </c>
      <c r="C16" s="5">
        <f>'res_raw_45349918'!$C$14</f>
        <v/>
      </c>
      <c r="D16" s="5">
        <f>'res_raw_45349918'!$D$14</f>
        <v/>
      </c>
      <c r="E16" s="5">
        <f>'res_raw_45349918'!$E$14</f>
        <v/>
      </c>
      <c r="F16" s="5">
        <f>'res_raw_45349918'!$F$14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'res_raw_45349918'!$B$15</f>
        <v/>
      </c>
      <c r="C17" s="11">
        <f>'res_raw_45349918'!$C$15</f>
        <v/>
      </c>
      <c r="D17" s="11">
        <f>'res_raw_45349918'!$D$15</f>
        <v/>
      </c>
      <c r="E17" s="11">
        <f>'res_raw_45349918'!$E$15</f>
        <v/>
      </c>
      <c r="F17" s="11">
        <f>'res_raw_45349918'!$F$15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'res_raw_45349918'!$B$16</f>
        <v/>
      </c>
      <c r="C18" s="11">
        <f>'res_raw_45349918'!$C$16</f>
        <v/>
      </c>
      <c r="D18" s="11">
        <f>'res_raw_45349918'!$D$16</f>
        <v/>
      </c>
      <c r="E18" s="11">
        <f>'res_raw_45349918'!$E$16</f>
        <v/>
      </c>
      <c r="F18" s="11">
        <f>'res_raw_45349918'!$F$16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'res_raw_45349918'!$B$17</f>
        <v/>
      </c>
      <c r="C19" s="8">
        <f>'res_raw_45349918'!$C$17</f>
        <v/>
      </c>
      <c r="D19" s="8">
        <f>'res_raw_45349918'!$D$17</f>
        <v/>
      </c>
      <c r="E19" s="8">
        <f>'res_raw_45349918'!$E$17</f>
        <v/>
      </c>
      <c r="F19" s="8">
        <f>'res_raw_45349918'!$F$17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'res_raw_45349918'!$B$18</f>
        <v/>
      </c>
      <c r="C20" s="11">
        <f>'res_raw_45349918'!$C$18</f>
        <v/>
      </c>
      <c r="D20" s="11">
        <f>'res_raw_45349918'!$D$18</f>
        <v/>
      </c>
      <c r="E20" s="11">
        <f>'res_raw_45349918'!$E$18</f>
        <v/>
      </c>
      <c r="F20" s="11">
        <f>'res_raw_45349918'!$F$18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t.EUR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'balance_raw_45349918'!$B$2</f>
        <v/>
      </c>
      <c r="C23" s="8">
        <f>'balance_raw_45349918'!$C$2</f>
        <v/>
      </c>
      <c r="D23" s="8">
        <f>'balance_raw_45349918'!$D$2</f>
        <v/>
      </c>
      <c r="E23" s="8">
        <f>'balance_raw_45349918'!$E$2</f>
        <v/>
      </c>
      <c r="F23" s="8">
        <f>'balance_raw_45349918'!$F$2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'balance_raw_45349918'!$B$3</f>
        <v/>
      </c>
      <c r="C24" s="5">
        <f>'balance_raw_45349918'!$C$3</f>
        <v/>
      </c>
      <c r="D24" s="5">
        <f>'balance_raw_45349918'!$D$3</f>
        <v/>
      </c>
      <c r="E24" s="5">
        <f>'balance_raw_45349918'!$E$3</f>
        <v/>
      </c>
      <c r="F24" s="5">
        <f>'balance_raw_45349918'!$F$3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'balance_raw_45349918'!$B$4</f>
        <v/>
      </c>
      <c r="C25" s="8">
        <f>'balance_raw_45349918'!$C$4</f>
        <v/>
      </c>
      <c r="D25" s="8">
        <f>'balance_raw_45349918'!$D$4</f>
        <v/>
      </c>
      <c r="E25" s="8">
        <f>'balance_raw_45349918'!$E$4</f>
        <v/>
      </c>
      <c r="F25" s="8">
        <f>'balance_raw_45349918'!$F$4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'balance_raw_45349918'!$B$5</f>
        <v/>
      </c>
      <c r="C26" s="11">
        <f>'balance_raw_45349918'!$C$5</f>
        <v/>
      </c>
      <c r="D26" s="11">
        <f>'balance_raw_45349918'!$D$5</f>
        <v/>
      </c>
      <c r="E26" s="11">
        <f>'balance_raw_45349918'!$E$5</f>
        <v/>
      </c>
      <c r="F26" s="11">
        <f>'balance_raw_45349918'!$F$5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'balance_raw_45349918'!$B$6</f>
        <v/>
      </c>
      <c r="C27" s="8">
        <f>'balance_raw_45349918'!$C$6</f>
        <v/>
      </c>
      <c r="D27" s="8">
        <f>'balance_raw_45349918'!$D$6</f>
        <v/>
      </c>
      <c r="E27" s="8">
        <f>'balance_raw_45349918'!$E$6</f>
        <v/>
      </c>
      <c r="F27" s="8">
        <f>'balance_raw_45349918'!$F$6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'balance_raw_45349918'!$B$7</f>
        <v/>
      </c>
      <c r="C28" s="5">
        <f>'balance_raw_45349918'!$C$7</f>
        <v/>
      </c>
      <c r="D28" s="5">
        <f>'balance_raw_45349918'!$D$7</f>
        <v/>
      </c>
      <c r="E28" s="5">
        <f>'balance_raw_45349918'!$E$7</f>
        <v/>
      </c>
      <c r="F28" s="5">
        <f>'balance_raw_45349918'!$F$7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'balance_raw_45349918'!$B$8</f>
        <v/>
      </c>
      <c r="C29" s="8">
        <f>'balance_raw_45349918'!$C$8</f>
        <v/>
      </c>
      <c r="D29" s="8">
        <f>'balance_raw_45349918'!$D$8</f>
        <v/>
      </c>
      <c r="E29" s="8">
        <f>'balance_raw_45349918'!$E$8</f>
        <v/>
      </c>
      <c r="F29" s="8">
        <f>'balance_raw_45349918'!$F$8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'balance_raw_45349918'!$B$9</f>
        <v/>
      </c>
      <c r="C30" s="5">
        <f>'balance_raw_45349918'!$C$9</f>
        <v/>
      </c>
      <c r="D30" s="5">
        <f>'balance_raw_45349918'!$D$9</f>
        <v/>
      </c>
      <c r="E30" s="5">
        <f>'balance_raw_45349918'!$E$9</f>
        <v/>
      </c>
      <c r="F30" s="5">
        <f>'balance_raw_45349918'!$F$9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'balance_raw_45349918'!$B$10</f>
        <v/>
      </c>
      <c r="C31" s="8">
        <f>'balance_raw_45349918'!$C$10</f>
        <v/>
      </c>
      <c r="D31" s="8">
        <f>'balance_raw_45349918'!$D$10</f>
        <v/>
      </c>
      <c r="E31" s="8">
        <f>'balance_raw_45349918'!$E$10</f>
        <v/>
      </c>
      <c r="F31" s="8">
        <f>'balance_raw_45349918'!$F$10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'balance_raw_45349918'!$B$11</f>
        <v/>
      </c>
      <c r="C32" s="11">
        <f>'balance_raw_45349918'!$C$11</f>
        <v/>
      </c>
      <c r="D32" s="11">
        <f>'balance_raw_45349918'!$D$11</f>
        <v/>
      </c>
      <c r="E32" s="11">
        <f>'balance_raw_45349918'!$E$11</f>
        <v/>
      </c>
      <c r="F32" s="11">
        <f>'balance_raw_45349918'!$F$11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'balance_raw_45349918'!$B$12</f>
        <v/>
      </c>
      <c r="C33" s="8">
        <f>'balance_raw_45349918'!$C$12</f>
        <v/>
      </c>
      <c r="D33" s="8">
        <f>'balance_raw_45349918'!$D$12</f>
        <v/>
      </c>
      <c r="E33" s="8">
        <f>'balance_raw_45349918'!$E$12</f>
        <v/>
      </c>
      <c r="F33" s="8">
        <f>'balance_raw_45349918'!$F$12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'balance_raw_45349918'!$B$13</f>
        <v/>
      </c>
      <c r="C34" s="5">
        <f>'balance_raw_45349918'!$C$13</f>
        <v/>
      </c>
      <c r="D34" s="5">
        <f>'balance_raw_45349918'!$D$13</f>
        <v/>
      </c>
      <c r="E34" s="5">
        <f>'balance_raw_45349918'!$E$13</f>
        <v/>
      </c>
      <c r="F34" s="5">
        <f>'balance_raw_45349918'!$F$13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'balance_raw_45349918'!$B$14</f>
        <v/>
      </c>
      <c r="C35" s="11">
        <f>'balance_raw_45349918'!$C$14</f>
        <v/>
      </c>
      <c r="D35" s="11">
        <f>'balance_raw_45349918'!$D$14</f>
        <v/>
      </c>
      <c r="E35" s="11">
        <f>'balance_raw_45349918'!$E$14</f>
        <v/>
      </c>
      <c r="F35" s="11">
        <f>'balance_raw_45349918'!$F$14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'balance_raw_45349918'!$B$15</f>
        <v/>
      </c>
      <c r="C36" s="11">
        <f>'balance_raw_45349918'!$C$15</f>
        <v/>
      </c>
      <c r="D36" s="11">
        <f>'balance_raw_45349918'!$D$15</f>
        <v/>
      </c>
      <c r="E36" s="11">
        <f>'balance_raw_45349918'!$E$15</f>
        <v/>
      </c>
      <c r="F36" s="11">
        <f>'balance_raw_45349918'!$F$15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'balance_raw_45349918'!$B$16</f>
        <v/>
      </c>
      <c r="C37" s="8">
        <f>'balance_raw_45349918'!$C$16</f>
        <v/>
      </c>
      <c r="D37" s="8">
        <f>'balance_raw_45349918'!$D$16</f>
        <v/>
      </c>
      <c r="E37" s="8">
        <f>'balance_raw_45349918'!$E$16</f>
        <v/>
      </c>
      <c r="F37" s="8">
        <f>'balance_raw_45349918'!$F$16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'balance_raw_45349918'!$B$17</f>
        <v/>
      </c>
      <c r="C38" s="5">
        <f>'balance_raw_45349918'!$C$17</f>
        <v/>
      </c>
      <c r="D38" s="5">
        <f>'balance_raw_45349918'!$D$17</f>
        <v/>
      </c>
      <c r="E38" s="5">
        <f>'balance_raw_45349918'!$E$17</f>
        <v/>
      </c>
      <c r="F38" s="5">
        <f>'balance_raw_45349918'!$F$17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'balance_raw_45349918'!$B$18</f>
        <v/>
      </c>
      <c r="C39" s="8">
        <f>'balance_raw_45349918'!$C$18</f>
        <v/>
      </c>
      <c r="D39" s="8">
        <f>'balance_raw_45349918'!$D$18</f>
        <v/>
      </c>
      <c r="E39" s="8">
        <f>'balance_raw_45349918'!$E$18</f>
        <v/>
      </c>
      <c r="F39" s="8">
        <f>'balance_raw_45349918'!$F$18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'balance_raw_45349918'!$B$19</f>
        <v/>
      </c>
      <c r="C40" s="11">
        <f>'balance_raw_45349918'!$C$19</f>
        <v/>
      </c>
      <c r="D40" s="11">
        <f>'balance_raw_45349918'!$D$19</f>
        <v/>
      </c>
      <c r="E40" s="11">
        <f>'balance_raw_45349918'!$E$19</f>
        <v/>
      </c>
      <c r="F40" s="11">
        <f>'balance_raw_45349918'!$F$19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'balance_raw_45349918'!$B$20</f>
        <v/>
      </c>
      <c r="C41" s="8">
        <f>'balance_raw_45349918'!$C$20</f>
        <v/>
      </c>
      <c r="D41" s="8">
        <f>'balance_raw_45349918'!$D$20</f>
        <v/>
      </c>
      <c r="E41" s="8">
        <f>'balance_raw_45349918'!$E$20</f>
        <v/>
      </c>
      <c r="F41" s="8">
        <f>'balance_raw_45349918'!$F$20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'balance_raw_45349918'!$B$21</f>
        <v/>
      </c>
      <c r="C42" s="5">
        <f>'balance_raw_45349918'!$C$21</f>
        <v/>
      </c>
      <c r="D42" s="5">
        <f>'balance_raw_45349918'!$D$21</f>
        <v/>
      </c>
      <c r="E42" s="5">
        <f>'balance_raw_45349918'!$E$21</f>
        <v/>
      </c>
      <c r="F42" s="5">
        <f>'balance_raw_45349918'!$F$21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'balance_raw_45349918'!$B$22</f>
        <v/>
      </c>
      <c r="C43" s="8">
        <f>'balance_raw_45349918'!$C$22</f>
        <v/>
      </c>
      <c r="D43" s="8">
        <f>'balance_raw_45349918'!$D$22</f>
        <v/>
      </c>
      <c r="E43" s="8">
        <f>'balance_raw_45349918'!$E$22</f>
        <v/>
      </c>
      <c r="F43" s="8">
        <f>'balance_raw_45349918'!$F$22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'balance_raw_45349918'!$B$23</f>
        <v/>
      </c>
      <c r="C44" s="5">
        <f>'balance_raw_45349918'!$C$23</f>
        <v/>
      </c>
      <c r="D44" s="5">
        <f>'balance_raw_45349918'!$D$23</f>
        <v/>
      </c>
      <c r="E44" s="5">
        <f>'balance_raw_45349918'!$E$23</f>
        <v/>
      </c>
      <c r="F44" s="5">
        <f>'balance_raw_45349918'!$F$23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'balance_raw_45349918'!$B$24</f>
        <v/>
      </c>
      <c r="C45" s="8">
        <f>'balance_raw_45349918'!$C$24</f>
        <v/>
      </c>
      <c r="D45" s="8">
        <f>'balance_raw_45349918'!$D$24</f>
        <v/>
      </c>
      <c r="E45" s="8">
        <f>'balance_raw_45349918'!$E$24</f>
        <v/>
      </c>
      <c r="F45" s="8">
        <f>'balance_raw_45349918'!$F$24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'balance_raw_45349918'!$B$25</f>
        <v/>
      </c>
      <c r="C46" s="5">
        <f>'balance_raw_45349918'!$C$25</f>
        <v/>
      </c>
      <c r="D46" s="5">
        <f>'balance_raw_45349918'!$D$25</f>
        <v/>
      </c>
      <c r="E46" s="5">
        <f>'balance_raw_45349918'!$E$25</f>
        <v/>
      </c>
      <c r="F46" s="5">
        <f>'balance_raw_45349918'!$F$25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'balance_raw_45349918'!$B$26</f>
        <v/>
      </c>
      <c r="C47" s="8">
        <f>'balance_raw_45349918'!$C$26</f>
        <v/>
      </c>
      <c r="D47" s="8">
        <f>'balance_raw_45349918'!$D$26</f>
        <v/>
      </c>
      <c r="E47" s="8">
        <f>'balance_raw_45349918'!$E$26</f>
        <v/>
      </c>
      <c r="F47" s="8">
        <f>'balance_raw_45349918'!$F$26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'balance_raw_45349918'!$B$27</f>
        <v/>
      </c>
      <c r="C48" s="11">
        <f>'balance_raw_45349918'!$C$27</f>
        <v/>
      </c>
      <c r="D48" s="11">
        <f>'balance_raw_45349918'!$D$27</f>
        <v/>
      </c>
      <c r="E48" s="11">
        <f>'balance_raw_45349918'!$E$27</f>
        <v/>
      </c>
      <c r="F48" s="11">
        <f>'balance_raw_45349918'!$F$27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'balance_raw_45349918'!$B$28</f>
        <v/>
      </c>
      <c r="C49" s="8">
        <f>'balance_raw_45349918'!$C$28</f>
        <v/>
      </c>
      <c r="D49" s="8">
        <f>'balance_raw_45349918'!$D$28</f>
        <v/>
      </c>
      <c r="E49" s="8">
        <f>'balance_raw_45349918'!$E$28</f>
        <v/>
      </c>
      <c r="F49" s="8">
        <f>'balance_raw_45349918'!$F$28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'balance_raw_45349918'!$B$29</f>
        <v/>
      </c>
      <c r="C50" s="5">
        <f>'balance_raw_45349918'!$C$29</f>
        <v/>
      </c>
      <c r="D50" s="5">
        <f>'balance_raw_45349918'!$D$29</f>
        <v/>
      </c>
      <c r="E50" s="5">
        <f>'balance_raw_45349918'!$E$29</f>
        <v/>
      </c>
      <c r="F50" s="5">
        <f>'balance_raw_45349918'!$F$29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'balance_raw_45349918'!$B$30</f>
        <v/>
      </c>
      <c r="C51" s="11">
        <f>'balance_raw_45349918'!$C$30</f>
        <v/>
      </c>
      <c r="D51" s="11">
        <f>'balance_raw_45349918'!$D$30</f>
        <v/>
      </c>
      <c r="E51" s="11">
        <f>'balance_raw_45349918'!$E$30</f>
        <v/>
      </c>
      <c r="F51" s="11">
        <f>'balance_raw_45349918'!$F$30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'balance_raw_45349918'!$B$31</f>
        <v/>
      </c>
      <c r="C52" s="11">
        <f>'balance_raw_45349918'!$C$31</f>
        <v/>
      </c>
      <c r="D52" s="11">
        <f>'balance_raw_45349918'!$D$31</f>
        <v/>
      </c>
      <c r="E52" s="11">
        <f>'balance_raw_45349918'!$E$31</f>
        <v/>
      </c>
      <c r="F52" s="11">
        <f>'balance_raw_45349918'!$F$31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t.EUR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'balance_raw_45349918'!$B$32</f>
        <v/>
      </c>
      <c r="C55" s="8">
        <f>'balance_raw_45349918'!$C$32</f>
        <v/>
      </c>
      <c r="D55" s="8">
        <f>'balance_raw_45349918'!$D$32</f>
        <v/>
      </c>
      <c r="E55" s="8">
        <f>'balance_raw_45349918'!$E$32</f>
        <v/>
      </c>
      <c r="F55" s="8">
        <f>'balance_raw_45349918'!$F$32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'balance_raw_45349918'!$B$33</f>
        <v/>
      </c>
      <c r="C56" s="5">
        <f>'balance_raw_45349918'!$C$33</f>
        <v/>
      </c>
      <c r="D56" s="5">
        <f>'balance_raw_45349918'!$D$33</f>
        <v/>
      </c>
      <c r="E56" s="5">
        <f>'balance_raw_45349918'!$E$33</f>
        <v/>
      </c>
      <c r="F56" s="5">
        <f>'balance_raw_45349918'!$F$33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'balance_raw_45349918'!$B$34</f>
        <v/>
      </c>
      <c r="C57" s="8">
        <f>'balance_raw_45349918'!$C$34</f>
        <v/>
      </c>
      <c r="D57" s="8">
        <f>'balance_raw_45349918'!$D$34</f>
        <v/>
      </c>
      <c r="E57" s="8">
        <f>'balance_raw_45349918'!$E$34</f>
        <v/>
      </c>
      <c r="F57" s="8">
        <f>'balance_raw_45349918'!$F$34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'balance_raw_45349918'!$B$35</f>
        <v/>
      </c>
      <c r="C58" s="5">
        <f>'balance_raw_45349918'!$C$35</f>
        <v/>
      </c>
      <c r="D58" s="5">
        <f>'balance_raw_45349918'!$D$35</f>
        <v/>
      </c>
      <c r="E58" s="5">
        <f>'balance_raw_45349918'!$E$35</f>
        <v/>
      </c>
      <c r="F58" s="5">
        <f>'balance_raw_45349918'!$F$35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'balance_raw_45349918'!$B$36</f>
        <v/>
      </c>
      <c r="C59" s="8">
        <f>'balance_raw_45349918'!$C$36</f>
        <v/>
      </c>
      <c r="D59" s="8">
        <f>'balance_raw_45349918'!$D$36</f>
        <v/>
      </c>
      <c r="E59" s="8">
        <f>'balance_raw_45349918'!$E$36</f>
        <v/>
      </c>
      <c r="F59" s="8">
        <f>'balance_raw_45349918'!$F$36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'balance_raw_45349918'!$B$37</f>
        <v/>
      </c>
      <c r="C60" s="5">
        <f>'balance_raw_45349918'!$C$37</f>
        <v/>
      </c>
      <c r="D60" s="5">
        <f>'balance_raw_45349918'!$D$37</f>
        <v/>
      </c>
      <c r="E60" s="5">
        <f>'balance_raw_45349918'!$E$37</f>
        <v/>
      </c>
      <c r="F60" s="5">
        <f>'balance_raw_45349918'!$F$37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'balance_raw_45349918'!$B$38</f>
        <v/>
      </c>
      <c r="C61" s="11">
        <f>'balance_raw_45349918'!$C$38</f>
        <v/>
      </c>
      <c r="D61" s="11">
        <f>'balance_raw_45349918'!$D$38</f>
        <v/>
      </c>
      <c r="E61" s="11">
        <f>'balance_raw_45349918'!$E$38</f>
        <v/>
      </c>
      <c r="F61" s="11">
        <f>'balance_raw_45349918'!$F$38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'balance_raw_45349918'!$B$39</f>
        <v/>
      </c>
      <c r="C62" s="5">
        <f>'balance_raw_45349918'!$C$39</f>
        <v/>
      </c>
      <c r="D62" s="5">
        <f>'balance_raw_45349918'!$D$39</f>
        <v/>
      </c>
      <c r="E62" s="5">
        <f>'balance_raw_45349918'!$E$39</f>
        <v/>
      </c>
      <c r="F62" s="5">
        <f>'balance_raw_45349918'!$F$39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'balance_raw_45349918'!$B$40</f>
        <v/>
      </c>
      <c r="C63" s="11">
        <f>'balance_raw_45349918'!$C$40</f>
        <v/>
      </c>
      <c r="D63" s="11">
        <f>'balance_raw_45349918'!$D$40</f>
        <v/>
      </c>
      <c r="E63" s="11">
        <f>'balance_raw_45349918'!$E$40</f>
        <v/>
      </c>
      <c r="F63" s="11">
        <f>'balance_raw_45349918'!$F$40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'balance_raw_45349918'!$B$41</f>
        <v/>
      </c>
      <c r="C64" s="5">
        <f>'balance_raw_45349918'!$C$41</f>
        <v/>
      </c>
      <c r="D64" s="5">
        <f>'balance_raw_45349918'!$D$41</f>
        <v/>
      </c>
      <c r="E64" s="5">
        <f>'balance_raw_45349918'!$E$41</f>
        <v/>
      </c>
      <c r="F64" s="5">
        <f>'balance_raw_45349918'!$F$41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'balance_raw_45349918'!$B$42</f>
        <v/>
      </c>
      <c r="C65" s="8">
        <f>'balance_raw_45349918'!$C$42</f>
        <v/>
      </c>
      <c r="D65" s="8">
        <f>'balance_raw_45349918'!$D$42</f>
        <v/>
      </c>
      <c r="E65" s="8">
        <f>'balance_raw_45349918'!$E$42</f>
        <v/>
      </c>
      <c r="F65" s="8">
        <f>'balance_raw_45349918'!$F$42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'balance_raw_45349918'!$B$43</f>
        <v/>
      </c>
      <c r="C66" s="5">
        <f>'balance_raw_45349918'!$C$43</f>
        <v/>
      </c>
      <c r="D66" s="5">
        <f>'balance_raw_45349918'!$D$43</f>
        <v/>
      </c>
      <c r="E66" s="5">
        <f>'balance_raw_45349918'!$E$43</f>
        <v/>
      </c>
      <c r="F66" s="5">
        <f>'balance_raw_45349918'!$F$43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'balance_raw_45349918'!$B$44</f>
        <v/>
      </c>
      <c r="C67" s="8">
        <f>'balance_raw_45349918'!$C$44</f>
        <v/>
      </c>
      <c r="D67" s="8">
        <f>'balance_raw_45349918'!$D$44</f>
        <v/>
      </c>
      <c r="E67" s="8">
        <f>'balance_raw_45349918'!$E$44</f>
        <v/>
      </c>
      <c r="F67" s="8">
        <f>'balance_raw_45349918'!$F$44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'balance_raw_45349918'!$B$45</f>
        <v/>
      </c>
      <c r="C68" s="11">
        <f>'balance_raw_45349918'!$C$45</f>
        <v/>
      </c>
      <c r="D68" s="11">
        <f>'balance_raw_45349918'!$D$45</f>
        <v/>
      </c>
      <c r="E68" s="11">
        <f>'balance_raw_45349918'!$E$45</f>
        <v/>
      </c>
      <c r="F68" s="11">
        <f>'balance_raw_45349918'!$F$45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'balance_raw_45349918'!$B$46</f>
        <v/>
      </c>
      <c r="C69" s="8">
        <f>'balance_raw_45349918'!$C$46</f>
        <v/>
      </c>
      <c r="D69" s="8">
        <f>'balance_raw_45349918'!$D$46</f>
        <v/>
      </c>
      <c r="E69" s="8">
        <f>'balance_raw_45349918'!$E$46</f>
        <v/>
      </c>
      <c r="F69" s="8">
        <f>'balance_raw_45349918'!$F$46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'balance_raw_45349918'!$B$47</f>
        <v/>
      </c>
      <c r="C70" s="5">
        <f>'balance_raw_45349918'!$C$47</f>
        <v/>
      </c>
      <c r="D70" s="5">
        <f>'balance_raw_45349918'!$D$47</f>
        <v/>
      </c>
      <c r="E70" s="5">
        <f>'balance_raw_45349918'!$E$47</f>
        <v/>
      </c>
      <c r="F70" s="5">
        <f>'balance_raw_45349918'!$F$47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'balance_raw_45349918'!$B$48</f>
        <v/>
      </c>
      <c r="C71" s="8">
        <f>'balance_raw_45349918'!$C$48</f>
        <v/>
      </c>
      <c r="D71" s="8">
        <f>'balance_raw_45349918'!$D$48</f>
        <v/>
      </c>
      <c r="E71" s="8">
        <f>'balance_raw_45349918'!$E$48</f>
        <v/>
      </c>
      <c r="F71" s="8">
        <f>'balance_raw_45349918'!$F$48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'balance_raw_45349918'!$B$49</f>
        <v/>
      </c>
      <c r="C72" s="5">
        <f>'balance_raw_45349918'!$C$49</f>
        <v/>
      </c>
      <c r="D72" s="5">
        <f>'balance_raw_45349918'!$D$49</f>
        <v/>
      </c>
      <c r="E72" s="5">
        <f>'balance_raw_45349918'!$E$49</f>
        <v/>
      </c>
      <c r="F72" s="5">
        <f>'balance_raw_45349918'!$F$49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'balance_raw_45349918'!$B$50</f>
        <v/>
      </c>
      <c r="C73" s="8">
        <f>'balance_raw_45349918'!$C$50</f>
        <v/>
      </c>
      <c r="D73" s="8">
        <f>'balance_raw_45349918'!$D$50</f>
        <v/>
      </c>
      <c r="E73" s="8">
        <f>'balance_raw_45349918'!$E$50</f>
        <v/>
      </c>
      <c r="F73" s="8">
        <f>'balance_raw_45349918'!$F$50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'balance_raw_45349918'!$B$51</f>
        <v/>
      </c>
      <c r="C74" s="5">
        <f>'balance_raw_45349918'!$C$51</f>
        <v/>
      </c>
      <c r="D74" s="5">
        <f>'balance_raw_45349918'!$D$51</f>
        <v/>
      </c>
      <c r="E74" s="5">
        <f>'balance_raw_45349918'!$E$51</f>
        <v/>
      </c>
      <c r="F74" s="5">
        <f>'balance_raw_45349918'!$F$51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'balance_raw_45349918'!$B$52</f>
        <v/>
      </c>
      <c r="C75" s="8">
        <f>'balance_raw_45349918'!$C$52</f>
        <v/>
      </c>
      <c r="D75" s="8">
        <f>'balance_raw_45349918'!$D$52</f>
        <v/>
      </c>
      <c r="E75" s="8">
        <f>'balance_raw_45349918'!$E$52</f>
        <v/>
      </c>
      <c r="F75" s="8">
        <f>'balance_raw_45349918'!$F$52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'balance_raw_45349918'!$B$53</f>
        <v/>
      </c>
      <c r="C76" s="5">
        <f>'balance_raw_45349918'!$C$53</f>
        <v/>
      </c>
      <c r="D76" s="5">
        <f>'balance_raw_45349918'!$D$53</f>
        <v/>
      </c>
      <c r="E76" s="5">
        <f>'balance_raw_45349918'!$E$53</f>
        <v/>
      </c>
      <c r="F76" s="5">
        <f>'balance_raw_45349918'!$F$53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'balance_raw_45349918'!$B$54</f>
        <v/>
      </c>
      <c r="C77" s="8">
        <f>'balance_raw_45349918'!$C$54</f>
        <v/>
      </c>
      <c r="D77" s="8">
        <f>'balance_raw_45349918'!$D$54</f>
        <v/>
      </c>
      <c r="E77" s="8">
        <f>'balance_raw_45349918'!$E$54</f>
        <v/>
      </c>
      <c r="F77" s="8">
        <f>'balance_raw_45349918'!$F$54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'balance_raw_45349918'!$B$55</f>
        <v/>
      </c>
      <c r="C78" s="5">
        <f>'balance_raw_45349918'!$C$55</f>
        <v/>
      </c>
      <c r="D78" s="5">
        <f>'balance_raw_45349918'!$D$55</f>
        <v/>
      </c>
      <c r="E78" s="5">
        <f>'balance_raw_45349918'!$E$55</f>
        <v/>
      </c>
      <c r="F78" s="5">
        <f>'balance_raw_45349918'!$F$55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'balance_raw_45349918'!$B$56</f>
        <v/>
      </c>
      <c r="C79" s="8">
        <f>'balance_raw_45349918'!$C$56</f>
        <v/>
      </c>
      <c r="D79" s="8">
        <f>'balance_raw_45349918'!$D$56</f>
        <v/>
      </c>
      <c r="E79" s="8">
        <f>'balance_raw_45349918'!$E$56</f>
        <v/>
      </c>
      <c r="F79" s="8">
        <f>'balance_raw_45349918'!$F$56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'balance_raw_45349918'!$B$57</f>
        <v/>
      </c>
      <c r="C80" s="11">
        <f>'balance_raw_45349918'!$C$57</f>
        <v/>
      </c>
      <c r="D80" s="11">
        <f>'balance_raw_45349918'!$D$57</f>
        <v/>
      </c>
      <c r="E80" s="11">
        <f>'balance_raw_45349918'!$E$57</f>
        <v/>
      </c>
      <c r="F80" s="11">
        <f>'balance_raw_45349918'!$F$57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'balance_raw_45349918'!$B$58</f>
        <v/>
      </c>
      <c r="C81" s="11">
        <f>'balance_raw_45349918'!$C$58</f>
        <v/>
      </c>
      <c r="D81" s="11">
        <f>'balance_raw_45349918'!$D$58</f>
        <v/>
      </c>
      <c r="E81" s="11">
        <f>'balance_raw_45349918'!$E$58</f>
        <v/>
      </c>
      <c r="F81" s="11">
        <f>'balance_raw_45349918'!$F$58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'balance_raw_45349918'!$B$59</f>
        <v/>
      </c>
      <c r="C82" s="11">
        <f>'balance_raw_45349918'!$C$59</f>
        <v/>
      </c>
      <c r="D82" s="11">
        <f>'balance_raw_45349918'!$D$59</f>
        <v/>
      </c>
      <c r="E82" s="11">
        <f>'balance_raw_45349918'!$E$59</f>
        <v/>
      </c>
      <c r="F82" s="11">
        <f>'balance_raw_45349918'!$F$59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'res_raw_45349918'!$B$19</f>
        <v/>
      </c>
      <c r="C85" s="8">
        <f>'res_raw_45349918'!$C$19</f>
        <v/>
      </c>
      <c r="D85" s="8">
        <f>'res_raw_45349918'!$D$19</f>
        <v/>
      </c>
      <c r="E85" s="8">
        <f>'res_raw_45349918'!$E$19</f>
        <v/>
      </c>
      <c r="F85" s="8">
        <f>'res_raw_45349918'!$F$19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'res_raw_45349918'!$B$20</f>
        <v/>
      </c>
      <c r="C86" s="5">
        <f>'res_raw_45349918'!$C$20</f>
        <v/>
      </c>
      <c r="D86" s="5">
        <f>'res_raw_45349918'!$D$20</f>
        <v/>
      </c>
      <c r="E86" s="5">
        <f>'res_raw_45349918'!$E$20</f>
        <v/>
      </c>
      <c r="F86" s="5">
        <f>'res_raw_45349918'!$F$20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t.EUR</t>
        </is>
      </c>
    </row>
    <row r="102">
      <c r="A102" s="16" t="inlineStr">
        <is>
          <t>Pengestrømme fra driftsaktivitet</t>
        </is>
      </c>
      <c r="B102" s="17">
        <f>'pengestrom_raw_45349918'!$B$2</f>
        <v/>
      </c>
      <c r="C102" s="17">
        <f>'pengestrom_raw_45349918'!$C$2</f>
        <v/>
      </c>
      <c r="D102" s="17">
        <f>'pengestrom_raw_45349918'!$D$2</f>
        <v/>
      </c>
      <c r="E102" s="17">
        <f>'pengestrom_raw_45349918'!$E$2</f>
        <v/>
      </c>
      <c r="F102" s="17">
        <f>'pengestrom_raw_45349918'!$F$2</f>
        <v/>
      </c>
    </row>
    <row r="103">
      <c r="A103" s="16" t="inlineStr">
        <is>
          <t>Pengestrømme fra investeringsaktivitet</t>
        </is>
      </c>
      <c r="B103" s="17">
        <f>'pengestrom_raw_45349918'!$B$3</f>
        <v/>
      </c>
      <c r="C103" s="17">
        <f>'pengestrom_raw_45349918'!$C$3</f>
        <v/>
      </c>
      <c r="D103" s="17">
        <f>'pengestrom_raw_45349918'!$D$3</f>
        <v/>
      </c>
      <c r="E103" s="17">
        <f>'pengestrom_raw_45349918'!$E$3</f>
        <v/>
      </c>
      <c r="F103" s="17">
        <f>'pengestrom_raw_45349918'!$F$3</f>
        <v/>
      </c>
    </row>
    <row r="104">
      <c r="A104" s="16" t="inlineStr">
        <is>
          <t>Pengestrømme fra finansieringsaktivitet</t>
        </is>
      </c>
      <c r="B104" s="17">
        <f>'pengestrom_raw_45349918'!$B$4</f>
        <v/>
      </c>
      <c r="C104" s="17">
        <f>'pengestrom_raw_45349918'!$C$4</f>
        <v/>
      </c>
      <c r="D104" s="17">
        <f>'pengestrom_raw_45349918'!$D$4</f>
        <v/>
      </c>
      <c r="E104" s="17">
        <f>'pengestrom_raw_45349918'!$E$4</f>
        <v/>
      </c>
      <c r="F104" s="17">
        <f>'pengestrom_raw_45349918'!$F$4</f>
        <v/>
      </c>
    </row>
    <row r="105">
      <c r="A105" s="16" t="inlineStr">
        <is>
          <t>Årets pengestrøm (rapporteret)</t>
        </is>
      </c>
      <c r="B105" s="17">
        <f>'pengestrom_raw_45349918'!$B$5</f>
        <v/>
      </c>
      <c r="C105" s="17">
        <f>'pengestrom_raw_45349918'!$C$5</f>
        <v/>
      </c>
      <c r="D105" s="17">
        <f>'pengestrom_raw_45349918'!$D$5</f>
        <v/>
      </c>
      <c r="E105" s="17">
        <f>'pengestrom_raw_45349918'!$E$5</f>
        <v/>
      </c>
      <c r="F105" s="17">
        <f>'pengestrom_raw_45349918'!$F$5</f>
        <v/>
      </c>
    </row>
    <row r="106">
      <c r="A106" s="16" t="inlineStr">
        <is>
          <t>Krydstjek: drift + inv. + fin. = årets pengestrøm</t>
        </is>
      </c>
      <c r="B106">
        <f>IF(ABS(('pengestrom_raw_45349918'!$B$2+'pengestrom_raw_45349918'!$B$3+'pengestrom_raw_45349918'!$B$4)-'pengestrom_raw_45349918'!$B$5)&lt;=2,"✓","⚠ "&amp;TEXT(('pengestrom_raw_45349918'!$B$2+'pengestrom_raw_45349918'!$B$3+'pengestrom_raw_45349918'!$B$4)-'pengestrom_raw_45349918'!$B$5,"+#,##0;-#,##0"))</f>
        <v/>
      </c>
      <c r="C106">
        <f>IF(ABS(('pengestrom_raw_45349918'!$C$2+'pengestrom_raw_45349918'!$C$3+'pengestrom_raw_45349918'!$C$4)-'pengestrom_raw_45349918'!$C$5)&lt;=2,"✓","⚠ "&amp;TEXT(('pengestrom_raw_45349918'!$C$2+'pengestrom_raw_45349918'!$C$3+'pengestrom_raw_45349918'!$C$4)-'pengestrom_raw_45349918'!$C$5,"+#,##0;-#,##0"))</f>
        <v/>
      </c>
      <c r="D106">
        <f>IF(ABS(('pengestrom_raw_45349918'!$D$2+'pengestrom_raw_45349918'!$D$3+'pengestrom_raw_45349918'!$D$4)-'pengestrom_raw_45349918'!$D$5)&lt;=2,"✓","⚠ "&amp;TEXT(('pengestrom_raw_45349918'!$D$2+'pengestrom_raw_45349918'!$D$3+'pengestrom_raw_45349918'!$D$4)-'pengestrom_raw_45349918'!$D$5,"+#,##0;-#,##0"))</f>
        <v/>
      </c>
      <c r="E106">
        <f>IF(ABS(('pengestrom_raw_45349918'!$E$2+'pengestrom_raw_45349918'!$E$3+'pengestrom_raw_45349918'!$E$4)-'pengestrom_raw_45349918'!$E$5)&lt;=2,"✓","⚠ "&amp;TEXT(('pengestrom_raw_45349918'!$E$2+'pengestrom_raw_45349918'!$E$3+'pengestrom_raw_45349918'!$E$4)-'pengestrom_raw_45349918'!$E$5,"+#,##0;-#,##0"))</f>
        <v/>
      </c>
      <c r="F106">
        <f>IF(ABS(('pengestrom_raw_45349918'!$F$2+'pengestrom_raw_45349918'!$F$3+'pengestrom_raw_45349918'!$F$4)-'pengestrom_raw_45349918'!$F$5)&lt;=2,"✓","⚠ "&amp;TEXT(('pengestrom_raw_45349918'!$F$2+'pengestrom_raw_45349918'!$F$3+'pengestrom_raw_45349918'!$F$4)-'pengestrom_raw_45349918'!$F$5,"+#,##0;-#,##0"))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ECCO Sko A/S (CVR 45349918) — Resultatopgørelse &amp; nøgleoplysninger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1218078</v>
      </c>
      <c r="C2" s="17" t="n">
        <v>1585780</v>
      </c>
      <c r="D2" s="17" t="n">
        <v>1570524</v>
      </c>
      <c r="E2" s="17" t="n">
        <v>1486978</v>
      </c>
      <c r="F2" s="17" t="n">
        <v>1409831</v>
      </c>
    </row>
    <row r="3">
      <c r="A3" s="16" t="inlineStr">
        <is>
          <t>Andre driftsindtægter</t>
        </is>
      </c>
      <c r="B3" s="17" t="n">
        <v>10424</v>
      </c>
      <c r="C3" s="17" t="n">
        <v>3362</v>
      </c>
      <c r="D3" s="17" t="n">
        <v>6203</v>
      </c>
      <c r="E3" s="17" t="n">
        <v>9622</v>
      </c>
      <c r="F3" s="17" t="n">
        <v>59346</v>
      </c>
    </row>
    <row r="4">
      <c r="A4" s="16" t="inlineStr">
        <is>
          <t>Vareforbrug</t>
        </is>
      </c>
      <c r="B4" s="17" t="n">
        <v>-18896</v>
      </c>
      <c r="C4" s="17" t="n">
        <v>-62382</v>
      </c>
      <c r="D4" s="17" t="n">
        <v>6004</v>
      </c>
      <c r="E4" s="17" t="n">
        <v>481757</v>
      </c>
      <c r="F4" s="17" t="n">
        <v>430877</v>
      </c>
    </row>
    <row r="5">
      <c r="A5" s="16" t="inlineStr">
        <is>
          <t>Andre eksterne omkostninger</t>
        </is>
      </c>
      <c r="B5" s="17" t="n">
        <v>286872</v>
      </c>
      <c r="C5" s="17" t="n">
        <v>408049</v>
      </c>
      <c r="D5" s="17" t="n">
        <v>436578</v>
      </c>
      <c r="E5" s="17" t="n">
        <v>469228</v>
      </c>
      <c r="F5" s="17" t="n">
        <v>450334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365221</v>
      </c>
      <c r="C7" s="17" t="n">
        <v>489059</v>
      </c>
      <c r="D7" s="17" t="n">
        <v>492537</v>
      </c>
      <c r="E7" s="17" t="n">
        <v>481831</v>
      </c>
      <c r="F7" s="17" t="n">
        <v>477623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71030</v>
      </c>
      <c r="C9" s="17" t="n">
        <v>80665</v>
      </c>
      <c r="D9" s="17" t="n">
        <v>77336</v>
      </c>
      <c r="E9" s="17" t="n">
        <v>74941</v>
      </c>
      <c r="F9" s="17" t="n">
        <v>65404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84126</v>
      </c>
      <c r="C11" s="17" t="n">
        <v>92520</v>
      </c>
      <c r="D11" s="17" t="n">
        <v>114184</v>
      </c>
      <c r="E11" s="17" t="n">
        <v>30157</v>
      </c>
      <c r="F11" s="17" t="n">
        <v>44042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6788</v>
      </c>
      <c r="C13" s="17" t="n">
        <v>12587</v>
      </c>
      <c r="D13" s="17" t="n">
        <v>17622</v>
      </c>
      <c r="E13" s="17" t="n">
        <v>5281</v>
      </c>
      <c r="F13" s="17" t="n">
        <v>4246</v>
      </c>
    </row>
    <row r="14">
      <c r="A14" s="16" t="inlineStr">
        <is>
          <t>Finansielle omkostninger</t>
        </is>
      </c>
      <c r="B14" s="17" t="n">
        <v>15114</v>
      </c>
      <c r="C14" s="17" t="n">
        <v>16918</v>
      </c>
      <c r="D14" s="17" t="n">
        <v>65932</v>
      </c>
      <c r="E14" s="17" t="n">
        <v>30333</v>
      </c>
      <c r="F14" s="17" t="n">
        <v>23509</v>
      </c>
    </row>
    <row r="15">
      <c r="A15" s="15" t="inlineStr">
        <is>
          <t>Finansielle poster, netto</t>
        </is>
      </c>
      <c r="B15" s="17" t="n">
        <v>-8326</v>
      </c>
      <c r="C15" s="17" t="n">
        <v>-4331</v>
      </c>
      <c r="D15" s="17" t="n"/>
      <c r="E15" s="17" t="n">
        <v>-25052</v>
      </c>
      <c r="F15" s="17" t="n"/>
    </row>
    <row r="16">
      <c r="A16" s="15" t="inlineStr">
        <is>
          <t>Resultat før skat</t>
        </is>
      </c>
      <c r="B16" s="17" t="n">
        <v>42832</v>
      </c>
      <c r="C16" s="17" t="n">
        <v>88189</v>
      </c>
      <c r="D16" s="17" t="n">
        <v>90029</v>
      </c>
      <c r="E16" s="17" t="n">
        <v>5105</v>
      </c>
      <c r="F16" s="17" t="n">
        <v>24779</v>
      </c>
    </row>
    <row r="17">
      <c r="A17" s="16" t="inlineStr">
        <is>
          <t>Skat af årets resultat</t>
        </is>
      </c>
      <c r="B17" s="17" t="n">
        <v>29356</v>
      </c>
      <c r="C17" s="17" t="n">
        <v>39492</v>
      </c>
      <c r="D17" s="17" t="n">
        <v>42994</v>
      </c>
      <c r="E17" s="17" t="n">
        <v>42695</v>
      </c>
      <c r="F17" s="17" t="n">
        <v>48787</v>
      </c>
    </row>
    <row r="18">
      <c r="A18" s="15" t="inlineStr">
        <is>
          <t>Årets resultat</t>
        </is>
      </c>
      <c r="B18" s="17" t="n">
        <v>13476</v>
      </c>
      <c r="C18" s="17" t="n">
        <v>48697</v>
      </c>
      <c r="D18" s="17" t="n">
        <v>47035</v>
      </c>
      <c r="E18" s="17" t="n">
        <v>-37590</v>
      </c>
      <c r="F18" s="17" t="n">
        <v>-24008</v>
      </c>
    </row>
    <row r="19">
      <c r="A19" s="16" t="inlineStr">
        <is>
          <t>Gns. antal medarbejdere</t>
        </is>
      </c>
      <c r="B19" s="17" t="n">
        <v>21613</v>
      </c>
      <c r="C19" s="17" t="n">
        <v>23918</v>
      </c>
      <c r="D19" s="17" t="n">
        <v>23188</v>
      </c>
      <c r="E19" s="17" t="n">
        <v>21815</v>
      </c>
      <c r="F19" s="17" t="n">
        <v>21075</v>
      </c>
    </row>
    <row r="20">
      <c r="A20" s="16" t="inlineStr">
        <is>
          <t>Investering i materielle anlægsaktiver</t>
        </is>
      </c>
      <c r="B20" s="17" t="n">
        <v>-44328</v>
      </c>
      <c r="C20" s="17" t="n">
        <v>-57435</v>
      </c>
      <c r="D20" s="17" t="n">
        <v>-29863</v>
      </c>
      <c r="E20" s="17" t="n">
        <v>-30327</v>
      </c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ECCO Sko A/S (CVR 45349918) — Balance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2</v>
      </c>
      <c r="C2" s="17" t="n">
        <v>0</v>
      </c>
      <c r="D2" s="17" t="n">
        <v>0</v>
      </c>
      <c r="E2" s="17" t="n">
        <v>17401</v>
      </c>
      <c r="F2" s="17" t="n">
        <v>0</v>
      </c>
    </row>
    <row r="3">
      <c r="A3" s="16" t="inlineStr">
        <is>
          <t>Patenter, varemærker mv.</t>
        </is>
      </c>
      <c r="B3" s="17" t="n">
        <v>2105</v>
      </c>
      <c r="C3" s="17" t="n">
        <v>2210</v>
      </c>
      <c r="D3" s="17" t="n">
        <v>2170</v>
      </c>
      <c r="E3" s="17" t="n">
        <v>2574</v>
      </c>
      <c r="F3" s="17" t="n">
        <v>2538</v>
      </c>
    </row>
    <row r="4">
      <c r="A4" s="16" t="inlineStr">
        <is>
          <t>Goodwill</t>
        </is>
      </c>
      <c r="B4" s="17" t="n">
        <v>87765</v>
      </c>
      <c r="C4" s="17" t="n">
        <v>78428</v>
      </c>
      <c r="D4" s="17" t="n">
        <v>66467</v>
      </c>
      <c r="E4" s="17" t="n">
        <v>55318</v>
      </c>
      <c r="F4" s="17" t="n">
        <v>43829</v>
      </c>
    </row>
    <row r="5">
      <c r="A5" s="15" t="inlineStr">
        <is>
          <t>Immaterielle anlægsaktiver</t>
        </is>
      </c>
      <c r="B5" s="17" t="n">
        <v>119416</v>
      </c>
      <c r="C5" s="17" t="n">
        <v>116450</v>
      </c>
      <c r="D5" s="17" t="n">
        <v>104273</v>
      </c>
      <c r="E5" s="17" t="n">
        <v>91374</v>
      </c>
      <c r="F5" s="17" t="n">
        <v>72705</v>
      </c>
    </row>
    <row r="6">
      <c r="A6" s="16" t="inlineStr">
        <is>
          <t>Grunde og bygninger</t>
        </is>
      </c>
      <c r="B6" s="17" t="n">
        <v>164123</v>
      </c>
      <c r="C6" s="17" t="n">
        <v>177836</v>
      </c>
      <c r="D6" s="17" t="n">
        <v>172671</v>
      </c>
      <c r="E6" s="17" t="n">
        <v>169315</v>
      </c>
      <c r="F6" s="17" t="n">
        <v>148106</v>
      </c>
    </row>
    <row r="7">
      <c r="A7" s="16" t="inlineStr">
        <is>
          <t>Produktionsanlæg og maskiner</t>
        </is>
      </c>
      <c r="B7" s="17" t="n">
        <v>43751</v>
      </c>
      <c r="C7" s="17" t="n">
        <v>40238</v>
      </c>
      <c r="D7" s="17" t="n">
        <v>35368</v>
      </c>
      <c r="E7" s="17" t="n">
        <v>28152</v>
      </c>
      <c r="F7" s="17" t="n">
        <v>17731</v>
      </c>
    </row>
    <row r="8">
      <c r="A8" s="16" t="inlineStr">
        <is>
          <t>Driftsmateriel og inventar</t>
        </is>
      </c>
      <c r="B8" s="17" t="n">
        <v>41142</v>
      </c>
      <c r="C8" s="17" t="n">
        <v>42110</v>
      </c>
      <c r="D8" s="17" t="n">
        <v>37928</v>
      </c>
      <c r="E8" s="17" t="n">
        <v>34140</v>
      </c>
      <c r="F8" s="17" t="n">
        <v>27722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32152</v>
      </c>
      <c r="C10" s="17" t="n">
        <v>32646</v>
      </c>
      <c r="D10" s="17" t="n">
        <v>19340</v>
      </c>
      <c r="E10" s="17" t="n">
        <v>14822</v>
      </c>
      <c r="F10" s="17" t="n">
        <v>15498</v>
      </c>
    </row>
    <row r="11">
      <c r="A11" s="15" t="inlineStr">
        <is>
          <t>Materielle anlægsaktiver</t>
        </is>
      </c>
      <c r="B11" s="17" t="n">
        <v>281168</v>
      </c>
      <c r="C11" s="17" t="n">
        <v>292830</v>
      </c>
      <c r="D11" s="17" t="n">
        <v>265307</v>
      </c>
      <c r="E11" s="17" t="n">
        <v>246429</v>
      </c>
      <c r="F11" s="17" t="n">
        <v>209057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0</v>
      </c>
      <c r="C13" s="17" t="n">
        <v>0</v>
      </c>
      <c r="D13" s="17" t="n">
        <v>11808</v>
      </c>
      <c r="E13" s="17" t="n">
        <v>0</v>
      </c>
      <c r="F13" s="17" t="n">
        <v>0</v>
      </c>
    </row>
    <row r="14">
      <c r="A14" s="15" t="inlineStr">
        <is>
          <t>Finansielle anlægsaktiver</t>
        </is>
      </c>
      <c r="B14" s="17" t="n">
        <v>142257</v>
      </c>
      <c r="C14" s="17" t="n">
        <v>88326</v>
      </c>
      <c r="D14" s="17" t="n">
        <v>94113</v>
      </c>
      <c r="E14" s="17" t="n"/>
      <c r="F14" s="17" t="n"/>
    </row>
    <row r="15">
      <c r="A15" s="15" t="inlineStr">
        <is>
          <t>Anlægsaktiver</t>
        </is>
      </c>
      <c r="B15" s="17" t="n">
        <v>542841</v>
      </c>
      <c r="C15" s="17" t="n">
        <v>497606</v>
      </c>
      <c r="D15" s="17" t="n">
        <v>463693</v>
      </c>
      <c r="E15" s="17" t="n">
        <v>439021</v>
      </c>
      <c r="F15" s="17" t="n">
        <v>369265</v>
      </c>
    </row>
    <row r="16">
      <c r="A16" s="16" t="inlineStr">
        <is>
          <t>Råvarer og hjælpematerialer</t>
        </is>
      </c>
      <c r="B16" s="17" t="n">
        <v>67281</v>
      </c>
      <c r="C16" s="17" t="n">
        <v>94688</v>
      </c>
      <c r="D16" s="17" t="n">
        <v>75374</v>
      </c>
      <c r="E16" s="17" t="n">
        <v>75394</v>
      </c>
      <c r="F16" s="17" t="n">
        <v>57373</v>
      </c>
    </row>
    <row r="17">
      <c r="A17" s="16" t="inlineStr">
        <is>
          <t>Varer under fremstilling</t>
        </is>
      </c>
      <c r="B17" s="17" t="n">
        <v>5953</v>
      </c>
      <c r="C17" s="17" t="n">
        <v>7519</v>
      </c>
      <c r="D17" s="17" t="n">
        <v>5686</v>
      </c>
      <c r="E17" s="17" t="n">
        <v>7316</v>
      </c>
      <c r="F17" s="17" t="n">
        <v>4321</v>
      </c>
    </row>
    <row r="18">
      <c r="A18" s="16" t="inlineStr">
        <is>
          <t>Færdigvarer og handelsvarer</t>
        </is>
      </c>
      <c r="B18" s="17" t="n">
        <v>320198</v>
      </c>
      <c r="C18" s="17" t="n">
        <v>451088</v>
      </c>
      <c r="D18" s="17" t="n">
        <v>445084</v>
      </c>
      <c r="E18" s="17" t="n"/>
      <c r="F18" s="17" t="n"/>
    </row>
    <row r="19">
      <c r="A19" s="15" t="inlineStr">
        <is>
          <t>Varebeholdninger</t>
        </is>
      </c>
      <c r="B19" s="17" t="n">
        <v>393432</v>
      </c>
      <c r="C19" s="17" t="n">
        <v>553295</v>
      </c>
      <c r="D19" s="17" t="n">
        <v>526144</v>
      </c>
      <c r="E19" s="17" t="n">
        <v>569108</v>
      </c>
      <c r="F19" s="17" t="n">
        <v>547196</v>
      </c>
    </row>
    <row r="20">
      <c r="A20" s="16" t="inlineStr">
        <is>
          <t>Tilgodehavender fra salg og tjenesteydelser</t>
        </is>
      </c>
      <c r="B20" s="17" t="n">
        <v>85485</v>
      </c>
      <c r="C20" s="17" t="n">
        <v>130513</v>
      </c>
      <c r="D20" s="17" t="n">
        <v>101704</v>
      </c>
      <c r="E20" s="17" t="n">
        <v>97091</v>
      </c>
      <c r="F20" s="17" t="n">
        <v>98569</v>
      </c>
    </row>
    <row r="21">
      <c r="A21" s="16" t="inlineStr">
        <is>
          <t>Tilgodehavender hos tilknyttede virksomheder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</row>
    <row r="22">
      <c r="A22" s="16" t="inlineStr">
        <is>
          <t>Andre tilgodehavender</t>
        </is>
      </c>
      <c r="B22" s="17" t="n">
        <v>41348</v>
      </c>
      <c r="C22" s="17" t="n">
        <v>45799</v>
      </c>
      <c r="D22" s="17" t="n">
        <v>53202</v>
      </c>
      <c r="E22" s="17" t="n">
        <v>44629</v>
      </c>
      <c r="F22" s="17" t="n">
        <v>37162</v>
      </c>
    </row>
    <row r="23">
      <c r="A23" s="16" t="inlineStr">
        <is>
          <t>Periodeafgrænsningsposter (aktiver)</t>
        </is>
      </c>
      <c r="B23" s="17" t="n">
        <v>26272</v>
      </c>
      <c r="C23" s="17" t="n">
        <v>26253</v>
      </c>
      <c r="D23" s="17" t="n">
        <v>29398</v>
      </c>
      <c r="E23" s="17" t="n">
        <v>23698</v>
      </c>
      <c r="F23" s="17" t="n">
        <v>29645</v>
      </c>
    </row>
    <row r="24">
      <c r="A24" s="16" t="inlineStr">
        <is>
          <t>Udskudt skatteaktiv</t>
        </is>
      </c>
      <c r="B24" s="17" t="n">
        <v>75990</v>
      </c>
      <c r="C24" s="17" t="n">
        <v>75043</v>
      </c>
      <c r="D24" s="17" t="n">
        <v>82305</v>
      </c>
      <c r="E24" s="17" t="n">
        <v>8480</v>
      </c>
      <c r="F24" s="17" t="n">
        <v>16853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15177</v>
      </c>
      <c r="C26" s="17" t="n">
        <v>21000</v>
      </c>
      <c r="D26" s="17" t="n">
        <v>6396</v>
      </c>
      <c r="E26" s="17" t="n"/>
      <c r="F26" s="17" t="n"/>
    </row>
    <row r="27">
      <c r="A27" s="15" t="inlineStr">
        <is>
          <t>Tilgodehavender</t>
        </is>
      </c>
      <c r="B27" s="17" t="n">
        <v>185243</v>
      </c>
      <c r="C27" s="17" t="n">
        <v>223615</v>
      </c>
      <c r="D27" s="17" t="n">
        <v>191333</v>
      </c>
      <c r="E27" s="17" t="n">
        <v>174093</v>
      </c>
      <c r="F27" s="17" t="n">
        <v>182885</v>
      </c>
    </row>
    <row r="28">
      <c r="A28" s="16" t="inlineStr">
        <is>
          <t>Værdipapirer</t>
        </is>
      </c>
      <c r="B28" s="17" t="n">
        <v>3</v>
      </c>
      <c r="C28" s="17" t="n">
        <v>30</v>
      </c>
      <c r="D28" s="17" t="n">
        <v>28</v>
      </c>
      <c r="E28" s="17" t="n">
        <v>66</v>
      </c>
      <c r="F28" s="17" t="n">
        <v>40</v>
      </c>
    </row>
    <row r="29">
      <c r="A29" s="16" t="inlineStr">
        <is>
          <t>Likvide beholdninger</t>
        </is>
      </c>
      <c r="B29" s="17" t="n">
        <v>297565</v>
      </c>
      <c r="C29" s="17" t="n">
        <v>300253</v>
      </c>
      <c r="D29" s="17" t="n">
        <v>298778</v>
      </c>
      <c r="E29" s="17" t="n">
        <v>309184</v>
      </c>
      <c r="F29" s="17" t="n">
        <v>272957</v>
      </c>
    </row>
    <row r="30">
      <c r="A30" s="15" t="inlineStr">
        <is>
          <t>Omsætningsaktiver</t>
        </is>
      </c>
      <c r="B30" s="17" t="n">
        <v>876243</v>
      </c>
      <c r="C30" s="17" t="n">
        <v>1077193</v>
      </c>
      <c r="D30" s="17" t="n">
        <v>1016283</v>
      </c>
      <c r="E30" s="17" t="n">
        <v>1052451</v>
      </c>
      <c r="F30" s="17" t="n">
        <v>1003078</v>
      </c>
    </row>
    <row r="31">
      <c r="A31" s="15" t="inlineStr">
        <is>
          <t>Aktiver</t>
        </is>
      </c>
      <c r="B31" s="17" t="n">
        <v>1419084</v>
      </c>
      <c r="C31" s="17" t="n">
        <v>1574799</v>
      </c>
      <c r="D31" s="17" t="n">
        <v>1479976</v>
      </c>
      <c r="E31" s="17" t="n">
        <v>1491472</v>
      </c>
      <c r="F31" s="17" t="n">
        <v>1372343</v>
      </c>
    </row>
    <row r="32">
      <c r="A32" s="16" t="inlineStr">
        <is>
          <t>Selskabskapital</t>
        </is>
      </c>
      <c r="B32" s="17" t="n">
        <v>666</v>
      </c>
      <c r="C32" s="17" t="n">
        <v>666</v>
      </c>
      <c r="D32" s="17" t="n">
        <v>666</v>
      </c>
      <c r="E32" s="17" t="n">
        <v>741</v>
      </c>
      <c r="F32" s="17" t="n">
        <v>741</v>
      </c>
    </row>
    <row r="33">
      <c r="A33" s="16" t="inlineStr">
        <is>
          <t>Reserve for nettoopskrivning (indre værdis metode)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>
        <v>-11314</v>
      </c>
      <c r="C35" s="17" t="n">
        <v>-2836</v>
      </c>
      <c r="D35" s="17" t="n">
        <v>4863</v>
      </c>
      <c r="E35" s="17" t="n">
        <v>3891</v>
      </c>
      <c r="F35" s="17" t="n">
        <v>-420</v>
      </c>
    </row>
    <row r="36">
      <c r="A36" s="16" t="inlineStr">
        <is>
          <t>Andre reserver</t>
        </is>
      </c>
      <c r="B36" s="17" t="n">
        <v>-4086</v>
      </c>
      <c r="C36" s="17" t="n">
        <v>-7458</v>
      </c>
      <c r="D36" s="17" t="n">
        <v>-55710</v>
      </c>
      <c r="E36" s="17" t="n">
        <v>-39712</v>
      </c>
      <c r="F36" s="17" t="n">
        <v>-64615</v>
      </c>
    </row>
    <row r="37">
      <c r="A37" s="16" t="inlineStr">
        <is>
          <t>Overført resultat</t>
        </is>
      </c>
      <c r="B37" s="17" t="n">
        <v>488170</v>
      </c>
      <c r="C37" s="17" t="n">
        <v>475746</v>
      </c>
      <c r="D37" s="17" t="n">
        <v>476623</v>
      </c>
      <c r="E37" s="17" t="n">
        <v>481532</v>
      </c>
      <c r="F37" s="17" t="n">
        <v>448558</v>
      </c>
    </row>
    <row r="38">
      <c r="A38" s="15" t="inlineStr">
        <is>
          <t>Egenkapital i alt</t>
        </is>
      </c>
      <c r="B38" s="17" t="n">
        <v>678170</v>
      </c>
      <c r="C38" s="17" t="n">
        <v>879426</v>
      </c>
      <c r="D38" s="17" t="n">
        <v>843334</v>
      </c>
      <c r="E38" s="17" t="n">
        <v>640688</v>
      </c>
      <c r="F38" s="17" t="n">
        <v>563843</v>
      </c>
    </row>
    <row r="39">
      <c r="A39" s="16" t="inlineStr">
        <is>
          <t>Hensættelse til udskudt skat</t>
        </is>
      </c>
      <c r="B39" s="17" t="n">
        <v>7166</v>
      </c>
      <c r="C39" s="17" t="n">
        <v>9865</v>
      </c>
      <c r="D39" s="17" t="n">
        <v>5461</v>
      </c>
      <c r="E39" s="17" t="n">
        <v>1613</v>
      </c>
      <c r="F39" s="17" t="n">
        <v>6513</v>
      </c>
    </row>
    <row r="40">
      <c r="A40" s="15" t="inlineStr">
        <is>
          <t>Hensatte forpligtelser</t>
        </is>
      </c>
      <c r="B40" s="17" t="n">
        <v>28913</v>
      </c>
      <c r="C40" s="17" t="n">
        <v>6555</v>
      </c>
      <c r="D40" s="17" t="n">
        <v>23368</v>
      </c>
      <c r="E40" s="17" t="n">
        <v>25987</v>
      </c>
      <c r="F40" s="17" t="n">
        <v>26565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182155</v>
      </c>
      <c r="C42" s="17" t="n">
        <v>375550</v>
      </c>
      <c r="D42" s="17" t="n"/>
      <c r="E42" s="17" t="n">
        <v>361512</v>
      </c>
      <c r="F42" s="17" t="n">
        <v>394623</v>
      </c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0</v>
      </c>
      <c r="C44" s="17" t="n">
        <v>50000</v>
      </c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/>
      <c r="C45" s="17" t="n"/>
      <c r="D45" s="17" t="n"/>
      <c r="E45" s="17" t="n">
        <v>395703</v>
      </c>
      <c r="F45" s="17" t="n"/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110843</v>
      </c>
      <c r="C47" s="17" t="n">
        <v>84112</v>
      </c>
      <c r="D47" s="17" t="n">
        <v>41841</v>
      </c>
      <c r="E47" s="17" t="n">
        <v>144696</v>
      </c>
      <c r="F47" s="17" t="n">
        <v>94891</v>
      </c>
    </row>
    <row r="48">
      <c r="A48" s="16" t="inlineStr">
        <is>
          <t>Kreditinstitutter</t>
        </is>
      </c>
      <c r="B48" s="17" t="n">
        <v>90278</v>
      </c>
      <c r="C48" s="17" t="n">
        <v>37809</v>
      </c>
      <c r="D48" s="17" t="n">
        <v>438450</v>
      </c>
      <c r="E48" s="17" t="n">
        <v>27593</v>
      </c>
      <c r="F48" s="17" t="n">
        <v>15270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73616</v>
      </c>
      <c r="C50" s="17" t="n">
        <v>60037</v>
      </c>
      <c r="D50" s="17" t="n">
        <v>48747</v>
      </c>
      <c r="E50" s="17" t="n">
        <v>74340</v>
      </c>
      <c r="F50" s="17" t="n">
        <v>75459</v>
      </c>
    </row>
    <row r="51">
      <c r="A51" s="16" t="inlineStr">
        <is>
          <t>Gæld til tilknyttede virksomheder</t>
        </is>
      </c>
      <c r="B51" s="17" t="n">
        <v>0</v>
      </c>
      <c r="C51" s="17" t="n">
        <v>0</v>
      </c>
      <c r="D51" s="17" t="n">
        <v>0</v>
      </c>
      <c r="E51" s="17" t="n">
        <v>0</v>
      </c>
      <c r="F51" s="17" t="n">
        <v>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15883</v>
      </c>
      <c r="C53" s="17" t="n">
        <v>10628</v>
      </c>
      <c r="D53" s="17" t="n">
        <v>11805</v>
      </c>
      <c r="E53" s="17" t="n">
        <v>11853</v>
      </c>
      <c r="F53" s="17" t="n">
        <v>8904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147674</v>
      </c>
      <c r="C55" s="17" t="n">
        <v>201370</v>
      </c>
      <c r="D55" s="17" t="n">
        <v>188048</v>
      </c>
      <c r="E55" s="17" t="n">
        <v>181246</v>
      </c>
      <c r="F55" s="17" t="n">
        <v>180863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514809</v>
      </c>
      <c r="C57" s="17" t="n">
        <v>425635</v>
      </c>
      <c r="D57" s="17" t="n">
        <v>342875</v>
      </c>
      <c r="E57" s="17" t="n">
        <v>455081</v>
      </c>
      <c r="F57" s="17" t="n">
        <v>375550</v>
      </c>
    </row>
    <row r="58">
      <c r="A58" s="15" t="inlineStr">
        <is>
          <t>Gældsforpligtelser</t>
        </is>
      </c>
      <c r="B58" s="17" t="n">
        <v>740914</v>
      </c>
      <c r="C58" s="17" t="n">
        <v>425635</v>
      </c>
      <c r="D58" s="17" t="n">
        <v>342875</v>
      </c>
      <c r="E58" s="17" t="n">
        <v>850784</v>
      </c>
      <c r="F58" s="17" t="n">
        <v>808500</v>
      </c>
    </row>
    <row r="59">
      <c r="A59" s="15" t="inlineStr">
        <is>
          <t>Passiver</t>
        </is>
      </c>
      <c r="B59" s="17" t="n">
        <v>1419084</v>
      </c>
      <c r="C59" s="17" t="n">
        <v>1574799</v>
      </c>
      <c r="D59" s="17" t="n">
        <v>1479976</v>
      </c>
      <c r="E59" s="17" t="n">
        <v>1491472</v>
      </c>
      <c r="F59" s="17" t="n">
        <v>1372343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ECCO Sko A/S (CVR 45349918) — Pengestrømsopgørelse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184839</v>
      </c>
      <c r="C2" s="17" t="n">
        <v>-43096</v>
      </c>
      <c r="D2" s="17" t="n">
        <v>127541</v>
      </c>
      <c r="E2" s="17" t="n">
        <v>55230</v>
      </c>
      <c r="F2" s="17" t="n">
        <v>60231</v>
      </c>
    </row>
    <row r="3">
      <c r="A3" s="16" t="inlineStr">
        <is>
          <t>Pengestrømme fra investeringsaktivitet</t>
        </is>
      </c>
      <c r="B3" s="17" t="n">
        <v>-89835</v>
      </c>
      <c r="C3" s="17" t="n">
        <v>-75715</v>
      </c>
      <c r="D3" s="17" t="n">
        <v>-43278</v>
      </c>
      <c r="E3" s="17" t="n">
        <v>-38331</v>
      </c>
      <c r="F3" s="17" t="n">
        <v>-23320</v>
      </c>
    </row>
    <row r="4">
      <c r="A4" s="16" t="inlineStr">
        <is>
          <t>Pengestrømme fra finansieringsaktivitet</t>
        </is>
      </c>
      <c r="B4" s="17" t="n">
        <v>-36363</v>
      </c>
      <c r="C4" s="17" t="n">
        <v>103320</v>
      </c>
      <c r="D4" s="17" t="n">
        <v>-85740</v>
      </c>
      <c r="E4" s="17" t="n">
        <v>-6455</v>
      </c>
      <c r="F4" s="17" t="n">
        <v>-40307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ECCO Sko A/S (CVR 45349918) — Regnskabs- og nøgletal (CVR: 45349918)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'res_raw_45349918'!$F$2</f>
        <v/>
      </c>
      <c r="C5" s="24">
        <f>'res_raw_45349918'!$E$2</f>
        <v/>
      </c>
      <c r="D5" s="24">
        <f>'res_raw_45349918'!$D$2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'res_raw_45349918'!$F$3</f>
        <v/>
      </c>
      <c r="C6" s="24">
        <f>'res_raw_45349918'!$E$3</f>
        <v/>
      </c>
      <c r="D6" s="24">
        <f>'res_raw_45349918'!$D$3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-'res_raw_45349918'!$F$4</f>
        <v/>
      </c>
      <c r="C7" s="24">
        <f>-'res_raw_45349918'!$E$4</f>
        <v/>
      </c>
      <c r="D7" s="24">
        <f>-'res_raw_45349918'!$D$4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-'res_raw_45349918'!$F$5</f>
        <v/>
      </c>
      <c r="C8" s="24">
        <f>-'res_raw_45349918'!$E$5</f>
        <v/>
      </c>
      <c r="D8" s="24">
        <f>-'res_raw_45349918'!$D$5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-'res_raw_45349918'!$F$7</f>
        <v/>
      </c>
      <c r="C10" s="24">
        <f>-'res_raw_45349918'!$E$7</f>
        <v/>
      </c>
      <c r="D10" s="24">
        <f>-'res_raw_45349918'!$D$7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-'res_raw_45349918'!$F$9</f>
        <v/>
      </c>
      <c r="C11" s="24">
        <f>-'res_raw_45349918'!$E$9</f>
        <v/>
      </c>
      <c r="D11" s="24">
        <f>-'res_raw_45349918'!$D$9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-'res_raw_45349918'!$F$10</f>
        <v/>
      </c>
      <c r="C12" s="24">
        <f>-'res_raw_45349918'!$E$10</f>
        <v/>
      </c>
      <c r="D12" s="24">
        <f>-'res_raw_45349918'!$D$10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N('res_raw_45349918'!$F$12)+N('res_raw_45349918'!$F$13)</f>
        <v/>
      </c>
      <c r="C14" s="24">
        <f>N('res_raw_45349918'!$E$12)+N('res_raw_45349918'!$E$13)</f>
        <v/>
      </c>
      <c r="D14" s="24">
        <f>N('res_raw_45349918'!$D$12)+N('res_raw_45349918'!$D$13)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-'res_raw_45349918'!$F$14</f>
        <v/>
      </c>
      <c r="C15" s="24">
        <f>-'res_raw_45349918'!$E$14</f>
        <v/>
      </c>
      <c r="D15" s="24">
        <f>-'res_raw_45349918'!$D$14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'balance_raw_45349918'!$F$15</f>
        <v/>
      </c>
      <c r="C19" s="24">
        <f>'balance_raw_45349918'!$E$15</f>
        <v/>
      </c>
      <c r="D19" s="24">
        <f>'balance_raw_45349918'!$D$15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'balance_raw_45349918'!$F$30</f>
        <v/>
      </c>
      <c r="C20" s="24">
        <f>'balance_raw_45349918'!$E$30</f>
        <v/>
      </c>
      <c r="D20" s="24">
        <f>'balance_raw_45349918'!$D$30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'balance_raw_45349918'!$F$38</f>
        <v/>
      </c>
      <c r="C23" s="24">
        <f>'balance_raw_45349918'!$E$38</f>
        <v/>
      </c>
      <c r="D23" s="24">
        <f>'balance_raw_45349918'!$D$38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'balance_raw_45349918'!$F$59-'balance_raw_45349918'!$F$38</f>
        <v/>
      </c>
      <c r="C24" s="24">
        <f>'balance_raw_45349918'!$E$59-'balance_raw_45349918'!$E$38</f>
        <v/>
      </c>
      <c r="D24" s="24">
        <f>'balance_raw_45349918'!$D$59-'balance_raw_45349918'!$D$38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'balance_raw_45349918'!$F$19</f>
        <v/>
      </c>
      <c r="C28" s="24">
        <f>'balance_raw_45349918'!$E$19</f>
        <v/>
      </c>
      <c r="D28" s="24">
        <f>'balance_raw_45349918'!$D$19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'balance_raw_45349918'!$F$20</f>
        <v/>
      </c>
      <c r="C29" s="24">
        <f>'balance_raw_45349918'!$E$20</f>
        <v/>
      </c>
      <c r="D29" s="24">
        <f>'balance_raw_45349918'!$D$20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'balance_raw_45349918'!$F$57</f>
        <v/>
      </c>
      <c r="C30" s="24">
        <f>'balance_raw_45349918'!$E$57</f>
        <v/>
      </c>
      <c r="D30" s="24">
        <f>'balance_raw_45349918'!$D$57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IF('balance_raw_45349918'!$F$31="","—",IF(ABS(B21-'balance_raw_45349918'!$F$31)&lt;=1,"✓ OK","❌ "&amp;TEXT(B21-'balance_raw_45349918'!$F$31,"+#,##0;-#,##0")&amp;" t.EUR"))</f>
        <v/>
      </c>
      <c r="C61" s="29">
        <f>IF('balance_raw_45349918'!$E$31="","—",IF(ABS(C21-'balance_raw_45349918'!$E$31)&lt;=1,"✓ OK","❌ "&amp;TEXT(C21-'balance_raw_45349918'!$E$31,"+#,##0;-#,##0")&amp;" t.EUR"))</f>
        <v/>
      </c>
      <c r="D61" s="29">
        <f>IF('balance_raw_45349918'!$D$31="","—",IF(ABS(D21-'balance_raw_45349918'!$D$31)&lt;=1,"✓ OK","❌ "&amp;TEXT(D21-'balance_raw_45349918'!$D$31,"+#,##0;-#,##0")&amp;" t.EUR"))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IF('balance_raw_45349918'!$F$59="","—",IF(ABS(B25-'balance_raw_45349918'!$F$59)&lt;=1,"✓ OK","❌ "&amp;TEXT(B25-'balance_raw_45349918'!$F$59,"+#,##0;-#,##0")&amp;" t.EUR"))</f>
        <v/>
      </c>
      <c r="C62" s="29">
        <f>IF('balance_raw_45349918'!$E$59="","—",IF(ABS(C25-'balance_raw_45349918'!$E$59)&lt;=1,"✓ OK","❌ "&amp;TEXT(C25-'balance_raw_45349918'!$E$59,"+#,##0;-#,##0")&amp;" t.EUR"))</f>
        <v/>
      </c>
      <c r="D62" s="29">
        <f>IF('balance_raw_45349918'!$D$59="","—",IF(ABS(D25-'balance_raw_45349918'!$D$59)&lt;=1,"✓ OK","❌ "&amp;TEXT(D25-'balance_raw_45349918'!$D$59,"+#,##0;-#,##0")&amp;" t.EUR"))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t.EUR")</f>
        <v/>
      </c>
      <c r="C63" s="29">
        <f>IF(ABS(C21-C25)&lt;=1,"✓ OK","❌ "&amp;TEXT(C21-C25,"+#,##0;-#,##0")&amp;" t.EUR")</f>
        <v/>
      </c>
      <c r="D63" s="29">
        <f>IF(ABS(D21-D25)&lt;=1,"✓ OK","❌ "&amp;TEXT(D21-D25,"+#,##0;-#,##0")&amp;" t.EUR")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IF('res_raw_45349918'!$F$6="","—",IF(ABS(B9-'res_raw_45349918'!$F$6)&lt;=1,"✓ OK","❌ "&amp;TEXT(B9-'res_raw_45349918'!$F$6,"+#,##0;-#,##0")&amp;" t.EUR"))</f>
        <v/>
      </c>
      <c r="C64" s="29">
        <f>IF('res_raw_45349918'!$E$6="","—",IF(ABS(C9-'res_raw_45349918'!$E$6)&lt;=1,"✓ OK","❌ "&amp;TEXT(C9-'res_raw_45349918'!$E$6,"+#,##0;-#,##0")&amp;" t.EUR"))</f>
        <v/>
      </c>
      <c r="D64" s="29">
        <f>IF('res_raw_45349918'!$D$6="","—",IF(ABS(D9-'res_raw_45349918'!$D$6)&lt;=1,"✓ OK","❌ "&amp;TEXT(D9-'res_raw_45349918'!$D$6,"+#,##0;-#,##0")&amp;" t.EUR"))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IF('res_raw_45349918'!$F$11="","—",IF(ABS(B13-'res_raw_45349918'!$F$11)&lt;=1,"✓ OK","❌ "&amp;TEXT(B13-'res_raw_45349918'!$F$11,"+#,##0;-#,##0")&amp;" t.EUR"))</f>
        <v/>
      </c>
      <c r="C65" s="29">
        <f>IF('res_raw_45349918'!$E$11="","—",IF(ABS(C13-'res_raw_45349918'!$E$11)&lt;=1,"✓ OK","❌ "&amp;TEXT(C13-'res_raw_45349918'!$E$11,"+#,##0;-#,##0")&amp;" t.EUR"))</f>
        <v/>
      </c>
      <c r="D65" s="29">
        <f>IF('res_raw_45349918'!$D$11="","—",IF(ABS(D13-'res_raw_45349918'!$D$11)&lt;=1,"✓ OK","❌ "&amp;TEXT(D13-'res_raw_45349918'!$D$11,"+#,##0;-#,##0")&amp;" t.EUR"))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IF('res_raw_45349918'!$F$16="","—",IF(ABS(B16-'res_raw_45349918'!$F$16)&lt;=1,"✓ OK","❌ "&amp;TEXT(B16-'res_raw_45349918'!$F$16,"+#,##0;-#,##0")&amp;" t.EUR"))</f>
        <v/>
      </c>
      <c r="C66" s="29">
        <f>IF('res_raw_45349918'!$E$16="","—",IF(ABS(C16-'res_raw_45349918'!$E$16)&lt;=1,"✓ OK","❌ "&amp;TEXT(C16-'res_raw_45349918'!$E$16,"+#,##0;-#,##0")&amp;" t.EUR"))</f>
        <v/>
      </c>
      <c r="D66" s="29">
        <f>IF('res_raw_45349918'!$D$16="","—",IF(ABS(D16-'res_raw_45349918'!$D$16)&lt;=1,"✓ OK","❌ "&amp;TEXT(D16-'res_raw_45349918'!$D$16,"+#,##0;-#,##0")&amp;" t.EUR"))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ECCO Sko A/S (CVR 45349918)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fsa:AcquisitionOfOtherCompany</t>
        </is>
      </c>
      <c r="C3" s="34" t="inlineStr">
        <is>
          <t>fsa:AcquisitionOfOtherCompany</t>
        </is>
      </c>
      <c r="D3" s="35" t="n">
        <v>30586</v>
      </c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fsa:AssetsHeldForSaleInventories</t>
        </is>
      </c>
      <c r="C4" s="37" t="inlineStr">
        <is>
          <t>fsa:AssetsHeldForSaleInventories</t>
        </is>
      </c>
      <c r="D4" s="38" t="n"/>
      <c r="E4" s="38" t="n"/>
      <c r="F4" s="38" t="n"/>
      <c r="G4" s="38" t="n">
        <v>486398</v>
      </c>
      <c r="H4" s="38" t="n">
        <v>485502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fsa:CashCapitalIncrease</t>
        </is>
      </c>
      <c r="C5" s="34" t="inlineStr">
        <is>
          <t>fsa:CashCapitalIncrease</t>
        </is>
      </c>
      <c r="D5" s="35" t="n"/>
      <c r="E5" s="35" t="n"/>
      <c r="F5" s="35" t="n"/>
      <c r="G5" s="35" t="n">
        <v>2145</v>
      </c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fsa:CashFlowsStatement</t>
        </is>
      </c>
      <c r="C6" s="37" t="inlineStr">
        <is>
          <t>fsa:CashFlowsStatement</t>
        </is>
      </c>
      <c r="D6" s="38" t="n"/>
      <c r="E6" s="38" t="n"/>
      <c r="F6" s="38" t="n"/>
      <c r="G6" s="38" t="n">
        <v>2</v>
      </c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fsa:FeesForAuditorsPerformingOtherAssuranceReports</t>
        </is>
      </c>
      <c r="C7" s="34" t="inlineStr">
        <is>
          <t>fsa:FeesForAuditorsPerformingOtherAssuranceReports</t>
        </is>
      </c>
      <c r="D7" s="35" t="n">
        <v>74</v>
      </c>
      <c r="E7" s="35" t="n">
        <v>84</v>
      </c>
      <c r="F7" s="35" t="n">
        <v>56</v>
      </c>
      <c r="G7" s="35" t="n">
        <v>110</v>
      </c>
      <c r="H7" s="35" t="n">
        <v>154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fsa:IncomeFromInvestmentsInParticipatingInterests</t>
        </is>
      </c>
      <c r="C8" s="37" t="inlineStr">
        <is>
          <t>fsa:IncomeFromInvestmentsInParticipatingInterests</t>
        </is>
      </c>
      <c r="D8" s="38" t="n">
        <v>-32968</v>
      </c>
      <c r="E8" s="38" t="n">
        <v>0</v>
      </c>
      <c r="F8" s="38" t="n"/>
      <c r="G8" s="38" t="n"/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fsa:InterestExpenseAssignedToAssociates</t>
        </is>
      </c>
      <c r="C9" s="34" t="inlineStr">
        <is>
          <t>fsa:InterestExpenseAssignedToAssociates</t>
        </is>
      </c>
      <c r="D9" s="35" t="n"/>
      <c r="E9" s="35" t="n">
        <v>-529</v>
      </c>
      <c r="F9" s="35" t="n"/>
      <c r="G9" s="35" t="n"/>
      <c r="H9" s="35" t="n">
        <v>215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fsa:InterestExpenseToParticipatingInterests</t>
        </is>
      </c>
      <c r="C10" s="37" t="inlineStr">
        <is>
          <t>fsa:InterestExpenseToParticipatingInterests</t>
        </is>
      </c>
      <c r="D10" s="38" t="n"/>
      <c r="E10" s="38" t="n"/>
      <c r="F10" s="38" t="n"/>
      <c r="G10" s="38" t="n">
        <v>-2891</v>
      </c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fsa:InterestIncomeFromAssociates</t>
        </is>
      </c>
      <c r="C11" s="34" t="inlineStr">
        <is>
          <t>fsa:InterestIncomeFromAssociates</t>
        </is>
      </c>
      <c r="D11" s="35" t="n"/>
      <c r="E11" s="35" t="n">
        <v>13</v>
      </c>
      <c r="F11" s="35" t="n"/>
      <c r="G11" s="35" t="n"/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fsa:InterestIncomeFromParticipatingInterests</t>
        </is>
      </c>
      <c r="C12" s="37" t="inlineStr">
        <is>
          <t>fsa:InterestIncomeFromParticipatingInterests</t>
        </is>
      </c>
      <c r="D12" s="38" t="n"/>
      <c r="E12" s="38" t="n"/>
      <c r="F12" s="38" t="n">
        <v>-3160</v>
      </c>
      <c r="G12" s="38" t="n"/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fsa:LongtermParticipatingInterests</t>
        </is>
      </c>
      <c r="C13" s="34" t="inlineStr">
        <is>
          <t>fsa:LongtermParticipatingInterests</t>
        </is>
      </c>
      <c r="D13" s="35" t="n">
        <v>32032</v>
      </c>
      <c r="E13" s="35" t="n">
        <v>0</v>
      </c>
      <c r="F13" s="35" t="n"/>
      <c r="G13" s="35" t="n"/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fsa:LongtermPayablesToParticipatingInterests</t>
        </is>
      </c>
      <c r="C14" s="37" t="inlineStr">
        <is>
          <t>fsa:LongtermPayablesToParticipatingInterests</t>
        </is>
      </c>
      <c r="D14" s="38" t="n"/>
      <c r="E14" s="38" t="n"/>
      <c r="F14" s="38" t="n"/>
      <c r="G14" s="38" t="n">
        <v>0</v>
      </c>
      <c r="H14" s="38" t="n">
        <v>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fsa:LongtermReceivablesFromAssociates</t>
        </is>
      </c>
      <c r="C15" s="34" t="inlineStr">
        <is>
          <t>fsa:LongtermReceivablesFromAssociates</t>
        </is>
      </c>
      <c r="D15" s="35" t="n">
        <v>24052</v>
      </c>
      <c r="E15" s="35" t="n">
        <v>0</v>
      </c>
      <c r="F15" s="35" t="n"/>
      <c r="G15" s="35" t="n"/>
      <c r="H15" s="35" t="n"/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fsa:NumberOfEmployees</t>
        </is>
      </c>
      <c r="C16" s="37" t="inlineStr">
        <is>
          <t>fsa:NumberOfEmployees</t>
        </is>
      </c>
      <c r="D16" s="38" t="n">
        <v>22</v>
      </c>
      <c r="E16" s="38" t="n">
        <v>24</v>
      </c>
      <c r="F16" s="38" t="n">
        <v>23</v>
      </c>
      <c r="G16" s="38" t="n">
        <v>22</v>
      </c>
      <c r="H16" s="38" t="n">
        <v>20</v>
      </c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fsa:OtherShorttermDebtRaisedByIssuanceOfBonds</t>
        </is>
      </c>
      <c r="C17" s="34" t="inlineStr">
        <is>
          <t>fsa:OtherShorttermDebtRaisedByIssuanceOfBonds</t>
        </is>
      </c>
      <c r="D17" s="35" t="n"/>
      <c r="E17" s="35" t="n"/>
      <c r="F17" s="35" t="n">
        <v>50000</v>
      </c>
      <c r="G17" s="35" t="n"/>
      <c r="H17" s="35" t="n"/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fsa:PensionsAndSimilarLiabilitiesLiabilitiesLongterm</t>
        </is>
      </c>
      <c r="C18" s="37" t="inlineStr">
        <is>
          <t>fsa:PensionsAndSimilarLiabilitiesLiabilitiesLongterm</t>
        </is>
      </c>
      <c r="D18" s="38" t="n"/>
      <c r="E18" s="38" t="n">
        <v>21922</v>
      </c>
      <c r="F18" s="38" t="n"/>
      <c r="G18" s="38" t="n"/>
      <c r="H18" s="38" t="n"/>
      <c r="I18" s="39" t="inlineStr">
        <is>
          <t>Ingen forklaring tilgængelig.</t>
        </is>
      </c>
    </row>
    <row r="19" ht="30" customHeight="1">
      <c r="A19" s="34" t="inlineStr">
        <is>
          <t>Øvrige (ukendt)</t>
        </is>
      </c>
      <c r="B19" s="34" t="inlineStr">
        <is>
          <t>fsa:PurchaseOfMinorityShares</t>
        </is>
      </c>
      <c r="C19" s="34" t="inlineStr">
        <is>
          <t>fsa:PurchaseOfMinorityShares</t>
        </is>
      </c>
      <c r="D19" s="35" t="n">
        <v>0</v>
      </c>
      <c r="E19" s="35" t="n"/>
      <c r="F19" s="35" t="n"/>
      <c r="G19" s="35" t="n"/>
      <c r="H19" s="35" t="n"/>
      <c r="I19" s="36" t="inlineStr">
        <is>
          <t>Ingen forklaring tilgængelig.</t>
        </is>
      </c>
    </row>
    <row r="20" ht="30" customHeight="1">
      <c r="A20" s="37" t="inlineStr">
        <is>
          <t>Øvrige (ukendt)</t>
        </is>
      </c>
      <c r="B20" s="37" t="inlineStr">
        <is>
          <t>fsa:SaleOfMinorityShares</t>
        </is>
      </c>
      <c r="C20" s="37" t="inlineStr">
        <is>
          <t>fsa:SaleOfMinorityShares</t>
        </is>
      </c>
      <c r="D20" s="38" t="n">
        <v>0</v>
      </c>
      <c r="E20" s="38" t="n"/>
      <c r="F20" s="38" t="n"/>
      <c r="G20" s="38" t="n"/>
      <c r="H20" s="38" t="n"/>
      <c r="I20" s="39" t="inlineStr">
        <is>
          <t>Ingen forklaring tilgængelig.</t>
        </is>
      </c>
    </row>
    <row r="21" ht="30" customHeight="1">
      <c r="A21" s="34" t="inlineStr">
        <is>
          <t>Øvrige (ukendt)</t>
        </is>
      </c>
      <c r="B21" s="34" t="inlineStr">
        <is>
          <t>fsa:SalesOfTreasuryShares</t>
        </is>
      </c>
      <c r="C21" s="34" t="inlineStr">
        <is>
          <t>fsa:SalesOfTreasuryShares</t>
        </is>
      </c>
      <c r="D21" s="35" t="n"/>
      <c r="E21" s="35" t="n"/>
      <c r="F21" s="35" t="n"/>
      <c r="G21" s="35" t="n">
        <v>-205</v>
      </c>
      <c r="H21" s="35" t="n">
        <v>-5494</v>
      </c>
      <c r="I21" s="36" t="inlineStr">
        <is>
          <t>Ingen forklaring tilgængelig.</t>
        </is>
      </c>
    </row>
    <row r="22" ht="30" customHeight="1">
      <c r="A22" s="37" t="inlineStr">
        <is>
          <t>Øvrige (ukendt)</t>
        </is>
      </c>
      <c r="B22" s="37" t="inlineStr">
        <is>
          <t>fsa:ShorttermPayablesToAssociates</t>
        </is>
      </c>
      <c r="C22" s="37" t="inlineStr">
        <is>
          <t>fsa:ShorttermPayablesToAssociates</t>
        </is>
      </c>
      <c r="D22" s="38" t="n">
        <v>76515</v>
      </c>
      <c r="E22" s="38" t="n">
        <v>31679</v>
      </c>
      <c r="F22" s="38" t="n">
        <v>16887</v>
      </c>
      <c r="G22" s="38" t="n"/>
      <c r="H22" s="38" t="n"/>
      <c r="I22" s="39" t="inlineStr">
        <is>
          <t>Ingen forklaring tilgængelig.</t>
        </is>
      </c>
    </row>
    <row r="23" ht="30" customHeight="1">
      <c r="A23" s="34" t="inlineStr">
        <is>
          <t>Øvrige (ukendt)</t>
        </is>
      </c>
      <c r="B23" s="34" t="inlineStr">
        <is>
          <t>fsa:ShorttermPayablesToParticipatingInterest</t>
        </is>
      </c>
      <c r="C23" s="34" t="inlineStr">
        <is>
          <t>fsa:ShorttermPayablesToParticipatingInterest</t>
        </is>
      </c>
      <c r="D23" s="35" t="n"/>
      <c r="E23" s="35" t="n"/>
      <c r="F23" s="35" t="n"/>
      <c r="G23" s="35" t="n">
        <v>15353</v>
      </c>
      <c r="H23" s="35" t="n">
        <v>163</v>
      </c>
      <c r="I23" s="36" t="inlineStr">
        <is>
          <t>Ingen forklaring tilgængelig.</t>
        </is>
      </c>
    </row>
    <row r="24" ht="30" customHeight="1">
      <c r="A24" s="37" t="inlineStr">
        <is>
          <t>Øvrige (ukendt)</t>
        </is>
      </c>
      <c r="B24" s="37" t="inlineStr">
        <is>
          <t>fsa:ShorttermReceivablesFromParticipatingInterests</t>
        </is>
      </c>
      <c r="C24" s="37" t="inlineStr">
        <is>
          <t>fsa:ShorttermReceivablesFromParticipatingInterests</t>
        </is>
      </c>
      <c r="D24" s="38" t="n"/>
      <c r="E24" s="38" t="n"/>
      <c r="F24" s="38" t="n"/>
      <c r="G24" s="38" t="n">
        <v>195</v>
      </c>
      <c r="H24" s="38" t="n">
        <v>656</v>
      </c>
      <c r="I24" s="39" t="inlineStr">
        <is>
          <t>Ingen forklaring tilgængelig.</t>
        </is>
      </c>
    </row>
    <row r="25" ht="30" customHeight="1">
      <c r="A25" s="34" t="inlineStr">
        <is>
          <t>Øvrige (ukendt)</t>
        </is>
      </c>
      <c r="B25" s="34" t="inlineStr">
        <is>
          <t>fsa:TransferredToFromMinorityInterests</t>
        </is>
      </c>
      <c r="C25" s="34" t="inlineStr">
        <is>
          <t>fsa:TransferredToFromMinorityInterests</t>
        </is>
      </c>
      <c r="D25" s="35" t="n"/>
      <c r="E25" s="35" t="n"/>
      <c r="F25" s="35" t="n"/>
      <c r="G25" s="35" t="n"/>
      <c r="H25" s="35" t="n">
        <v>7125</v>
      </c>
      <c r="I25" s="36" t="inlineStr">
        <is>
          <t>Ingen forklaring tilgængelig.</t>
        </is>
      </c>
    </row>
    <row r="26" ht="30" customHeight="1">
      <c r="A26" s="37" t="inlineStr">
        <is>
          <t>Øvrige (ukendt)</t>
        </is>
      </c>
      <c r="B26" s="37" t="inlineStr">
        <is>
          <t>fsa:TransferredToFromOtherStatutoryReserves</t>
        </is>
      </c>
      <c r="C26" s="37" t="inlineStr">
        <is>
          <t>fsa:TransferredToFromOtherStatutoryReserves</t>
        </is>
      </c>
      <c r="D26" s="38" t="n"/>
      <c r="E26" s="38" t="n"/>
      <c r="F26" s="38" t="n"/>
      <c r="G26" s="38" t="n">
        <v>-16560</v>
      </c>
      <c r="H26" s="38" t="n"/>
      <c r="I26" s="39" t="inlineStr">
        <is>
          <t>Ingen forklaring tilgængelig.</t>
        </is>
      </c>
    </row>
    <row r="27" ht="30" customHeight="1">
      <c r="A27" s="34" t="inlineStr">
        <is>
          <t>Øvrige (ukendt)</t>
        </is>
      </c>
      <c r="B27" s="34" t="inlineStr">
        <is>
          <t>fsa:TransferredToReserveForEntrepreneurialCompany</t>
        </is>
      </c>
      <c r="C27" s="34" t="inlineStr">
        <is>
          <t>fsa:TransferredToReserveForEntrepreneurialCompany</t>
        </is>
      </c>
      <c r="D27" s="35" t="n"/>
      <c r="E27" s="35" t="n"/>
      <c r="F27" s="35" t="n">
        <v>66779</v>
      </c>
      <c r="G27" s="35" t="n"/>
      <c r="H27" s="35" t="n"/>
      <c r="I2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2026-09-11T07:36:25Z</dcterms:created>
  <dcterms:modified xmlns:dcterms="http://purl.org/dc/terms/" xmlns:xsi="http://www.w3.org/2001/XMLSchema-instance" xsi:type="dcterms:W3CDTF">2026-09-11T07:36:26Z</dcterms:modified>
</cp:coreProperties>
</file>