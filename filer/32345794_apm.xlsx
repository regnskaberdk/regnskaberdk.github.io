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7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(2020=100)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2020</v>
      </c>
      <c r="C3" s="3" t="n">
        <v>2021</v>
      </c>
      <c r="D3" s="3" t="n">
        <v>2022</v>
      </c>
      <c r="E3" s="3" t="n">
        <v>2023</v>
      </c>
      <c r="F3" s="3" t="n">
        <v>2024</v>
      </c>
      <c r="G3" t="inlineStr"/>
      <c r="H3" s="3" t="n">
        <v>2020</v>
      </c>
      <c r="I3" s="3" t="n">
        <v>2021</v>
      </c>
      <c r="J3" s="3" t="n">
        <v>2022</v>
      </c>
      <c r="K3" s="3" t="n">
        <v>2023</v>
      </c>
      <c r="L3" s="3" t="n">
        <v>2024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'res_raw'!$B$4</f>
        <v/>
      </c>
      <c r="C6" s="5">
        <f>'res_raw'!$C$4</f>
        <v/>
      </c>
      <c r="D6" s="5">
        <f>'res_raw'!$D$4</f>
        <v/>
      </c>
      <c r="E6" s="5">
        <f>'res_raw'!$E$4</f>
        <v/>
      </c>
      <c r="F6" s="5">
        <f>'res_raw'!$F$4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'res_raw'!$B$6</f>
        <v/>
      </c>
      <c r="C8" s="11">
        <f>'res_raw'!$C$6</f>
        <v/>
      </c>
      <c r="D8" s="11">
        <f>'res_raw'!$D$6</f>
        <v/>
      </c>
      <c r="E8" s="11">
        <f>'res_raw'!$E$6</f>
        <v/>
      </c>
      <c r="F8" s="11">
        <f>'res_raw'!$F$6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'res_raw'!$B$7</f>
        <v/>
      </c>
      <c r="C9" s="8">
        <f>'res_raw'!$C$7</f>
        <v/>
      </c>
      <c r="D9" s="8">
        <f>'res_raw'!$D$7</f>
        <v/>
      </c>
      <c r="E9" s="8">
        <f>'res_raw'!$E$7</f>
        <v/>
      </c>
      <c r="F9" s="8">
        <f>'res_raw'!$F$7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'res_raw'!$B$14</f>
        <v/>
      </c>
      <c r="C16" s="5">
        <f>'res_raw'!$C$14</f>
        <v/>
      </c>
      <c r="D16" s="5">
        <f>'res_raw'!$D$14</f>
        <v/>
      </c>
      <c r="E16" s="5">
        <f>'res_raw'!$E$14</f>
        <v/>
      </c>
      <c r="F16" s="5">
        <f>'res_raw'!$F$14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'res_raw'!$B$16</f>
        <v/>
      </c>
      <c r="C18" s="11">
        <f>'res_raw'!$C$16</f>
        <v/>
      </c>
      <c r="D18" s="11">
        <f>'res_raw'!$D$16</f>
        <v/>
      </c>
      <c r="E18" s="11">
        <f>'res_raw'!$E$16</f>
        <v/>
      </c>
      <c r="F18" s="11">
        <f>'res_raw'!$F$16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'res_raw'!$B$17</f>
        <v/>
      </c>
      <c r="C19" s="8">
        <f>'res_raw'!$C$17</f>
        <v/>
      </c>
      <c r="D19" s="8">
        <f>'res_raw'!$D$17</f>
        <v/>
      </c>
      <c r="E19" s="8">
        <f>'res_raw'!$E$17</f>
        <v/>
      </c>
      <c r="F19" s="8">
        <f>'res_raw'!$F$17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'res_raw'!$B$18</f>
        <v/>
      </c>
      <c r="C20" s="11">
        <f>'res_raw'!$C$18</f>
        <v/>
      </c>
      <c r="D20" s="11">
        <f>'res_raw'!$D$18</f>
        <v/>
      </c>
      <c r="E20" s="11">
        <f>'res_raw'!$E$18</f>
        <v/>
      </c>
      <c r="F20" s="11">
        <f>'res_raw'!$F$18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2020</v>
      </c>
      <c r="C22" s="3" t="n">
        <v>2021</v>
      </c>
      <c r="D22" s="3" t="n">
        <v>2022</v>
      </c>
      <c r="E22" s="3" t="n">
        <v>2023</v>
      </c>
      <c r="F22" s="3" t="n">
        <v>2024</v>
      </c>
      <c r="G22" t="inlineStr"/>
      <c r="H22" s="3" t="n">
        <v>2020</v>
      </c>
      <c r="I22" s="3" t="n">
        <v>2021</v>
      </c>
      <c r="J22" s="3" t="n">
        <v>2022</v>
      </c>
      <c r="K22" s="3" t="n">
        <v>2023</v>
      </c>
      <c r="L22" s="3" t="n">
        <v>2024</v>
      </c>
    </row>
    <row r="23" ht="16" customHeight="1">
      <c r="A23" s="10" t="inlineStr">
        <is>
          <t>Immaterielle anlægsaktiver</t>
        </is>
      </c>
      <c r="B23" s="11">
        <f>'balance_raw'!$B$2</f>
        <v/>
      </c>
      <c r="C23" s="11">
        <f>'balance_raw'!$C$2</f>
        <v/>
      </c>
      <c r="D23" s="11">
        <f>'balance_raw'!$D$2</f>
        <v/>
      </c>
      <c r="E23" s="11">
        <f>'balance_raw'!$E$2</f>
        <v/>
      </c>
      <c r="F23" s="11">
        <f>'balance_raw'!$F$2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10" t="inlineStr">
        <is>
          <t>Materielle anlægsaktiver</t>
        </is>
      </c>
      <c r="B24" s="11">
        <f>'balance_raw'!$B$3</f>
        <v/>
      </c>
      <c r="C24" s="11">
        <f>'balance_raw'!$C$3</f>
        <v/>
      </c>
      <c r="D24" s="11">
        <f>'balance_raw'!$D$3</f>
        <v/>
      </c>
      <c r="E24" s="11">
        <f>'balance_raw'!$E$3</f>
        <v/>
      </c>
      <c r="F24" s="11">
        <f>'balance_raw'!$F$3</f>
        <v/>
      </c>
      <c r="G24" t="inlineStr"/>
      <c r="H24" s="12">
        <f>IFERROR(B24/$B$24*100,"")</f>
        <v/>
      </c>
      <c r="I24" s="12">
        <f>IFERROR(C24/$B$24*100,"")</f>
        <v/>
      </c>
      <c r="J24" s="12">
        <f>IFERROR(D24/$B$24*100,"")</f>
        <v/>
      </c>
      <c r="K24" s="12">
        <f>IFERROR(E24/$B$24*100,"")</f>
        <v/>
      </c>
      <c r="L24" s="12">
        <f>IFERROR(F24/$B$24*100,"")</f>
        <v/>
      </c>
    </row>
    <row r="25" ht="16" customHeight="1">
      <c r="A25" s="7" t="inlineStr">
        <is>
          <t>Kapitalandele, dattervirksomheder</t>
        </is>
      </c>
      <c r="B25" s="8">
        <f>'balance_raw'!$B$4</f>
        <v/>
      </c>
      <c r="C25" s="8">
        <f>'balance_raw'!$C$4</f>
        <v/>
      </c>
      <c r="D25" s="8">
        <f>'balance_raw'!$D$4</f>
        <v/>
      </c>
      <c r="E25" s="8">
        <f>'balance_raw'!$E$4</f>
        <v/>
      </c>
      <c r="F25" s="8">
        <f>'balance_raw'!$F$4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Deposita</t>
        </is>
      </c>
      <c r="B26" s="5">
        <f>'balance_raw'!$B$5</f>
        <v/>
      </c>
      <c r="C26" s="5">
        <f>'balance_raw'!$C$5</f>
        <v/>
      </c>
      <c r="D26" s="5">
        <f>'balance_raw'!$D$5</f>
        <v/>
      </c>
      <c r="E26" s="5">
        <f>'balance_raw'!$E$5</f>
        <v/>
      </c>
      <c r="F26" s="5">
        <f>'balance_raw'!$F$5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Finansielle anlægsaktiver</t>
        </is>
      </c>
      <c r="B27" s="11">
        <f>'balance_raw'!$B$6</f>
        <v/>
      </c>
      <c r="C27" s="11">
        <f>'balance_raw'!$C$6</f>
        <v/>
      </c>
      <c r="D27" s="11">
        <f>'balance_raw'!$D$6</f>
        <v/>
      </c>
      <c r="E27" s="11">
        <f>'balance_raw'!$E$6</f>
        <v/>
      </c>
      <c r="F27" s="11">
        <f>'balance_raw'!$F$6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10" t="inlineStr">
        <is>
          <t>Anlægsaktiver</t>
        </is>
      </c>
      <c r="B28" s="11">
        <f>'balance_raw'!$B$7</f>
        <v/>
      </c>
      <c r="C28" s="11">
        <f>'balance_raw'!$C$7</f>
        <v/>
      </c>
      <c r="D28" s="11">
        <f>'balance_raw'!$D$7</f>
        <v/>
      </c>
      <c r="E28" s="11">
        <f>'balance_raw'!$E$7</f>
        <v/>
      </c>
      <c r="F28" s="11">
        <f>'balance_raw'!$F$7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10" t="inlineStr">
        <is>
          <t>Varebeholdninger</t>
        </is>
      </c>
      <c r="B29" s="11">
        <f>'balance_raw'!$B$8</f>
        <v/>
      </c>
      <c r="C29" s="11">
        <f>'balance_raw'!$C$8</f>
        <v/>
      </c>
      <c r="D29" s="11">
        <f>'balance_raw'!$D$8</f>
        <v/>
      </c>
      <c r="E29" s="11">
        <f>'balance_raw'!$E$8</f>
        <v/>
      </c>
      <c r="F29" s="11">
        <f>'balance_raw'!$F$8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Tilgodehavender fra salg og tjenesteydelser</t>
        </is>
      </c>
      <c r="B30" s="5">
        <f>'balance_raw'!$B$9</f>
        <v/>
      </c>
      <c r="C30" s="5">
        <f>'balance_raw'!$C$9</f>
        <v/>
      </c>
      <c r="D30" s="5">
        <f>'balance_raw'!$D$9</f>
        <v/>
      </c>
      <c r="E30" s="5">
        <f>'balance_raw'!$E$9</f>
        <v/>
      </c>
      <c r="F30" s="5">
        <f>'balance_raw'!$F$9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Tilgodehavender hos tilknyttede virksomheder</t>
        </is>
      </c>
      <c r="B31" s="8">
        <f>'balance_raw'!$B$10</f>
        <v/>
      </c>
      <c r="C31" s="8">
        <f>'balance_raw'!$C$10</f>
        <v/>
      </c>
      <c r="D31" s="8">
        <f>'balance_raw'!$D$10</f>
        <v/>
      </c>
      <c r="E31" s="8">
        <f>'balance_raw'!$E$10</f>
        <v/>
      </c>
      <c r="F31" s="8">
        <f>'balance_raw'!$F$10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Andre tilgodehavender</t>
        </is>
      </c>
      <c r="B32" s="5">
        <f>'balance_raw'!$B$11</f>
        <v/>
      </c>
      <c r="C32" s="5">
        <f>'balance_raw'!$C$11</f>
        <v/>
      </c>
      <c r="D32" s="5">
        <f>'balance_raw'!$D$11</f>
        <v/>
      </c>
      <c r="E32" s="5">
        <f>'balance_raw'!$E$11</f>
        <v/>
      </c>
      <c r="F32" s="5">
        <f>'balance_raw'!$F$11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Periodeafgrænsningsposter (aktiver)</t>
        </is>
      </c>
      <c r="B33" s="8">
        <f>'balance_raw'!$B$12</f>
        <v/>
      </c>
      <c r="C33" s="8">
        <f>'balance_raw'!$C$12</f>
        <v/>
      </c>
      <c r="D33" s="8">
        <f>'balance_raw'!$D$12</f>
        <v/>
      </c>
      <c r="E33" s="8">
        <f>'balance_raw'!$E$12</f>
        <v/>
      </c>
      <c r="F33" s="8">
        <f>'balance_raw'!$F$12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Udskudt skatteaktiv</t>
        </is>
      </c>
      <c r="B34" s="5">
        <f>'balance_raw'!$B$13</f>
        <v/>
      </c>
      <c r="C34" s="5">
        <f>'balance_raw'!$C$13</f>
        <v/>
      </c>
      <c r="D34" s="5">
        <f>'balance_raw'!$D$13</f>
        <v/>
      </c>
      <c r="E34" s="5">
        <f>'balance_raw'!$E$13</f>
        <v/>
      </c>
      <c r="F34" s="5">
        <f>'balance_raw'!$F$13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Tilgodehavende skat hos tilknyttede virksomheder</t>
        </is>
      </c>
      <c r="B35" s="8">
        <f>'balance_raw'!$B$14</f>
        <v/>
      </c>
      <c r="C35" s="8">
        <f>'balance_raw'!$C$14</f>
        <v/>
      </c>
      <c r="D35" s="8">
        <f>'balance_raw'!$D$14</f>
        <v/>
      </c>
      <c r="E35" s="8">
        <f>'balance_raw'!$E$14</f>
        <v/>
      </c>
      <c r="F35" s="8">
        <f>'balance_raw'!$F$14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Kortfristede skattetilgodehavender</t>
        </is>
      </c>
      <c r="B36" s="5">
        <f>'balance_raw'!$B$15</f>
        <v/>
      </c>
      <c r="C36" s="5">
        <f>'balance_raw'!$C$15</f>
        <v/>
      </c>
      <c r="D36" s="5">
        <f>'balance_raw'!$D$15</f>
        <v/>
      </c>
      <c r="E36" s="5">
        <f>'balance_raw'!$E$15</f>
        <v/>
      </c>
      <c r="F36" s="5">
        <f>'balance_raw'!$F$15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Tilgodehavender</t>
        </is>
      </c>
      <c r="B37" s="11">
        <f>'balance_raw'!$B$16</f>
        <v/>
      </c>
      <c r="C37" s="11">
        <f>'balance_raw'!$C$16</f>
        <v/>
      </c>
      <c r="D37" s="11">
        <f>'balance_raw'!$D$16</f>
        <v/>
      </c>
      <c r="E37" s="11">
        <f>'balance_raw'!$E$16</f>
        <v/>
      </c>
      <c r="F37" s="11">
        <f>'balance_raw'!$F$16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Værdipapirer</t>
        </is>
      </c>
      <c r="B38" s="5">
        <f>'balance_raw'!$B$17</f>
        <v/>
      </c>
      <c r="C38" s="5">
        <f>'balance_raw'!$C$17</f>
        <v/>
      </c>
      <c r="D38" s="5">
        <f>'balance_raw'!$D$17</f>
        <v/>
      </c>
      <c r="E38" s="5">
        <f>'balance_raw'!$E$17</f>
        <v/>
      </c>
      <c r="F38" s="5">
        <f>'balance_raw'!$F$17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Likvide beholdninger</t>
        </is>
      </c>
      <c r="B39" s="8">
        <f>'balance_raw'!$B$18</f>
        <v/>
      </c>
      <c r="C39" s="8">
        <f>'balance_raw'!$C$18</f>
        <v/>
      </c>
      <c r="D39" s="8">
        <f>'balance_raw'!$D$18</f>
        <v/>
      </c>
      <c r="E39" s="8">
        <f>'balance_raw'!$E$18</f>
        <v/>
      </c>
      <c r="F39" s="8">
        <f>'balance_raw'!$F$18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Omsætningsaktiver</t>
        </is>
      </c>
      <c r="B40" s="11">
        <f>'balance_raw'!$B$19</f>
        <v/>
      </c>
      <c r="C40" s="11">
        <f>'balance_raw'!$C$19</f>
        <v/>
      </c>
      <c r="D40" s="11">
        <f>'balance_raw'!$D$19</f>
        <v/>
      </c>
      <c r="E40" s="11">
        <f>'balance_raw'!$E$19</f>
        <v/>
      </c>
      <c r="F40" s="11">
        <f>'balance_raw'!$F$19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10" t="inlineStr">
        <is>
          <t>Aktiver</t>
        </is>
      </c>
      <c r="B41" s="11">
        <f>'balance_raw'!$B$20</f>
        <v/>
      </c>
      <c r="C41" s="11">
        <f>'balance_raw'!$C$20</f>
        <v/>
      </c>
      <c r="D41" s="11">
        <f>'balance_raw'!$D$20</f>
        <v/>
      </c>
      <c r="E41" s="11">
        <f>'balance_raw'!$E$20</f>
        <v/>
      </c>
      <c r="F41" s="11">
        <f>'balance_raw'!$F$20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3" ht="22" customHeight="1">
      <c r="A43" s="3" t="inlineStr">
        <is>
          <t>PASSIVER t.kr.</t>
        </is>
      </c>
      <c r="B43" s="3" t="n">
        <v>2020</v>
      </c>
      <c r="C43" s="3" t="n">
        <v>2021</v>
      </c>
      <c r="D43" s="3" t="n">
        <v>2022</v>
      </c>
      <c r="E43" s="3" t="n">
        <v>2023</v>
      </c>
      <c r="F43" s="3" t="n">
        <v>2024</v>
      </c>
      <c r="G43" t="inlineStr"/>
      <c r="H43" s="3" t="n">
        <v>2020</v>
      </c>
      <c r="I43" s="3" t="n">
        <v>2021</v>
      </c>
      <c r="J43" s="3" t="n">
        <v>2022</v>
      </c>
      <c r="K43" s="3" t="n">
        <v>2023</v>
      </c>
      <c r="L43" s="3" t="n">
        <v>2024</v>
      </c>
    </row>
    <row r="44" ht="16" customHeight="1">
      <c r="A44" s="4" t="inlineStr">
        <is>
          <t>Selskabskapital</t>
        </is>
      </c>
      <c r="B44" s="5">
        <f>'balance_raw'!$B$21</f>
        <v/>
      </c>
      <c r="C44" s="5">
        <f>'balance_raw'!$C$21</f>
        <v/>
      </c>
      <c r="D44" s="5">
        <f>'balance_raw'!$D$21</f>
        <v/>
      </c>
      <c r="E44" s="5">
        <f>'balance_raw'!$E$21</f>
        <v/>
      </c>
      <c r="F44" s="5">
        <f>'balance_raw'!$F$21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Reserve for nettoopskrivning (indre værdis metode)</t>
        </is>
      </c>
      <c r="B45" s="8">
        <f>'balance_raw'!$B$22</f>
        <v/>
      </c>
      <c r="C45" s="8">
        <f>'balance_raw'!$C$22</f>
        <v/>
      </c>
      <c r="D45" s="8">
        <f>'balance_raw'!$D$22</f>
        <v/>
      </c>
      <c r="E45" s="8">
        <f>'balance_raw'!$E$22</f>
        <v/>
      </c>
      <c r="F45" s="8">
        <f>'balance_raw'!$F$22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Reserve for udviklingsomkostninger</t>
        </is>
      </c>
      <c r="B46" s="5">
        <f>'balance_raw'!$B$23</f>
        <v/>
      </c>
      <c r="C46" s="5">
        <f>'balance_raw'!$C$23</f>
        <v/>
      </c>
      <c r="D46" s="5">
        <f>'balance_raw'!$D$23</f>
        <v/>
      </c>
      <c r="E46" s="5">
        <f>'balance_raw'!$E$23</f>
        <v/>
      </c>
      <c r="F46" s="5">
        <f>'balance_raw'!$F$23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Reserve for sikringstransaktioner</t>
        </is>
      </c>
      <c r="B47" s="8">
        <f>'balance_raw'!$B$24</f>
        <v/>
      </c>
      <c r="C47" s="8">
        <f>'balance_raw'!$C$24</f>
        <v/>
      </c>
      <c r="D47" s="8">
        <f>'balance_raw'!$D$24</f>
        <v/>
      </c>
      <c r="E47" s="8">
        <f>'balance_raw'!$E$24</f>
        <v/>
      </c>
      <c r="F47" s="8">
        <f>'balance_raw'!$F$24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4" t="inlineStr">
        <is>
          <t>Andre reserver</t>
        </is>
      </c>
      <c r="B48" s="5">
        <f>'balance_raw'!$B$25</f>
        <v/>
      </c>
      <c r="C48" s="5">
        <f>'balance_raw'!$C$25</f>
        <v/>
      </c>
      <c r="D48" s="5">
        <f>'balance_raw'!$D$25</f>
        <v/>
      </c>
      <c r="E48" s="5">
        <f>'balance_raw'!$E$25</f>
        <v/>
      </c>
      <c r="F48" s="5">
        <f>'balance_raw'!$F$25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Overført resultat</t>
        </is>
      </c>
      <c r="B49" s="8">
        <f>'balance_raw'!$B$26</f>
        <v/>
      </c>
      <c r="C49" s="8">
        <f>'balance_raw'!$C$26</f>
        <v/>
      </c>
      <c r="D49" s="8">
        <f>'balance_raw'!$D$26</f>
        <v/>
      </c>
      <c r="E49" s="8">
        <f>'balance_raw'!$E$26</f>
        <v/>
      </c>
      <c r="F49" s="8">
        <f>'balance_raw'!$F$26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10" t="inlineStr">
        <is>
          <t>Egenkapital i alt</t>
        </is>
      </c>
      <c r="B50" s="11">
        <f>'balance_raw'!$B$27</f>
        <v/>
      </c>
      <c r="C50" s="11">
        <f>'balance_raw'!$C$27</f>
        <v/>
      </c>
      <c r="D50" s="11">
        <f>'balance_raw'!$D$27</f>
        <v/>
      </c>
      <c r="E50" s="11">
        <f>'balance_raw'!$E$27</f>
        <v/>
      </c>
      <c r="F50" s="11">
        <f>'balance_raw'!$F$27</f>
        <v/>
      </c>
      <c r="G50" t="inlineStr"/>
      <c r="H50" s="12">
        <f>IFERROR(B50/$B$50*100,"")</f>
        <v/>
      </c>
      <c r="I50" s="12">
        <f>IFERROR(C50/$B$50*100,"")</f>
        <v/>
      </c>
      <c r="J50" s="12">
        <f>IFERROR(D50/$B$50*100,"")</f>
        <v/>
      </c>
      <c r="K50" s="12">
        <f>IFERROR(E50/$B$50*100,"")</f>
        <v/>
      </c>
      <c r="L50" s="12">
        <f>IFERROR(F50/$B$50*100,"")</f>
        <v/>
      </c>
    </row>
    <row r="51" ht="16" customHeight="1">
      <c r="A51" s="10" t="inlineStr">
        <is>
          <t>Hensatte forpligtelser</t>
        </is>
      </c>
      <c r="B51" s="11">
        <f>'balance_raw'!$B$28</f>
        <v/>
      </c>
      <c r="C51" s="11">
        <f>'balance_raw'!$C$28</f>
        <v/>
      </c>
      <c r="D51" s="11">
        <f>'balance_raw'!$D$28</f>
        <v/>
      </c>
      <c r="E51" s="11">
        <f>'balance_raw'!$E$28</f>
        <v/>
      </c>
      <c r="F51" s="11">
        <f>'balance_raw'!$F$28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Ansvarlig lånekapital (langfristet)</t>
        </is>
      </c>
      <c r="B52" s="5">
        <f>'balance_raw'!$B$29</f>
        <v/>
      </c>
      <c r="C52" s="5">
        <f>'balance_raw'!$C$29</f>
        <v/>
      </c>
      <c r="D52" s="5">
        <f>'balance_raw'!$D$29</f>
        <v/>
      </c>
      <c r="E52" s="5">
        <f>'balance_raw'!$E$29</f>
        <v/>
      </c>
      <c r="F52" s="5">
        <f>'balance_raw'!$F$29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Langfristede lån</t>
        </is>
      </c>
      <c r="B53" s="8">
        <f>'balance_raw'!$B$30</f>
        <v/>
      </c>
      <c r="C53" s="8">
        <f>'balance_raw'!$C$30</f>
        <v/>
      </c>
      <c r="D53" s="8">
        <f>'balance_raw'!$D$30</f>
        <v/>
      </c>
      <c r="E53" s="8">
        <f>'balance_raw'!$E$30</f>
        <v/>
      </c>
      <c r="F53" s="8">
        <f>'balance_raw'!$F$30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Leasingforpligtelser (langfristet)</t>
        </is>
      </c>
      <c r="B54" s="5">
        <f>'balance_raw'!$B$31</f>
        <v/>
      </c>
      <c r="C54" s="5">
        <f>'balance_raw'!$C$31</f>
        <v/>
      </c>
      <c r="D54" s="5">
        <f>'balance_raw'!$D$31</f>
        <v/>
      </c>
      <c r="E54" s="5">
        <f>'balance_raw'!$E$31</f>
        <v/>
      </c>
      <c r="F54" s="5">
        <f>'balance_raw'!$F$31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Anden gæld (langfristet)</t>
        </is>
      </c>
      <c r="B55" s="8">
        <f>'balance_raw'!$B$32</f>
        <v/>
      </c>
      <c r="C55" s="8">
        <f>'balance_raw'!$C$32</f>
        <v/>
      </c>
      <c r="D55" s="8">
        <f>'balance_raw'!$D$32</f>
        <v/>
      </c>
      <c r="E55" s="8">
        <f>'balance_raw'!$E$32</f>
        <v/>
      </c>
      <c r="F55" s="8">
        <f>'balance_raw'!$F$32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10" t="inlineStr">
        <is>
          <t>Langfristede gældsforpligtelser</t>
        </is>
      </c>
      <c r="B56" s="11">
        <f>'balance_raw'!$B$33</f>
        <v/>
      </c>
      <c r="C56" s="11">
        <f>'balance_raw'!$C$33</f>
        <v/>
      </c>
      <c r="D56" s="11">
        <f>'balance_raw'!$D$33</f>
        <v/>
      </c>
      <c r="E56" s="11">
        <f>'balance_raw'!$E$33</f>
        <v/>
      </c>
      <c r="F56" s="11">
        <f>'balance_raw'!$F$33</f>
        <v/>
      </c>
      <c r="G56" t="inlineStr"/>
      <c r="H56" s="12">
        <f>IFERROR(B56/$B$56*100,"")</f>
        <v/>
      </c>
      <c r="I56" s="12">
        <f>IFERROR(C56/$B$56*100,"")</f>
        <v/>
      </c>
      <c r="J56" s="12">
        <f>IFERROR(D56/$B$56*100,"")</f>
        <v/>
      </c>
      <c r="K56" s="12">
        <f>IFERROR(E56/$B$56*100,"")</f>
        <v/>
      </c>
      <c r="L56" s="12">
        <f>IFERROR(F56/$B$56*100,"")</f>
        <v/>
      </c>
    </row>
    <row r="57" ht="16" customHeight="1">
      <c r="A57" s="7" t="inlineStr">
        <is>
          <t>Ansvarlig lånekapital (kortfristet)</t>
        </is>
      </c>
      <c r="B57" s="8">
        <f>'balance_raw'!$B$34</f>
        <v/>
      </c>
      <c r="C57" s="8">
        <f>'balance_raw'!$C$34</f>
        <v/>
      </c>
      <c r="D57" s="8">
        <f>'balance_raw'!$D$34</f>
        <v/>
      </c>
      <c r="E57" s="8">
        <f>'balance_raw'!$E$34</f>
        <v/>
      </c>
      <c r="F57" s="8">
        <f>'balance_raw'!$F$34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Kortfristet del af langfristede gældsforpligtelser</t>
        </is>
      </c>
      <c r="B58" s="5">
        <f>'balance_raw'!$B$35</f>
        <v/>
      </c>
      <c r="C58" s="5">
        <f>'balance_raw'!$C$35</f>
        <v/>
      </c>
      <c r="D58" s="5">
        <f>'balance_raw'!$D$35</f>
        <v/>
      </c>
      <c r="E58" s="5">
        <f>'balance_raw'!$E$35</f>
        <v/>
      </c>
      <c r="F58" s="5">
        <f>'balance_raw'!$F$35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Kreditinstitutter</t>
        </is>
      </c>
      <c r="B59" s="8">
        <f>'balance_raw'!$B$36</f>
        <v/>
      </c>
      <c r="C59" s="8">
        <f>'balance_raw'!$C$36</f>
        <v/>
      </c>
      <c r="D59" s="8">
        <f>'balance_raw'!$D$36</f>
        <v/>
      </c>
      <c r="E59" s="8">
        <f>'balance_raw'!$E$36</f>
        <v/>
      </c>
      <c r="F59" s="8">
        <f>'balance_raw'!$F$36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Leasingforpligtelser (kortfristet)</t>
        </is>
      </c>
      <c r="B60" s="5">
        <f>'balance_raw'!$B$37</f>
        <v/>
      </c>
      <c r="C60" s="5">
        <f>'balance_raw'!$C$37</f>
        <v/>
      </c>
      <c r="D60" s="5">
        <f>'balance_raw'!$D$37</f>
        <v/>
      </c>
      <c r="E60" s="5">
        <f>'balance_raw'!$E$37</f>
        <v/>
      </c>
      <c r="F60" s="5">
        <f>'balance_raw'!$F$37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Leverandører af varer og tjenesteydelser</t>
        </is>
      </c>
      <c r="B61" s="8">
        <f>'balance_raw'!$B$38</f>
        <v/>
      </c>
      <c r="C61" s="8">
        <f>'balance_raw'!$C$38</f>
        <v/>
      </c>
      <c r="D61" s="8">
        <f>'balance_raw'!$D$38</f>
        <v/>
      </c>
      <c r="E61" s="8">
        <f>'balance_raw'!$E$38</f>
        <v/>
      </c>
      <c r="F61" s="8">
        <f>'balance_raw'!$F$38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Gæld til tilknyttede virksomheder</t>
        </is>
      </c>
      <c r="B62" s="5">
        <f>'balance_raw'!$B$39</f>
        <v/>
      </c>
      <c r="C62" s="5">
        <f>'balance_raw'!$C$39</f>
        <v/>
      </c>
      <c r="D62" s="5">
        <f>'balance_raw'!$D$39</f>
        <v/>
      </c>
      <c r="E62" s="5">
        <f>'balance_raw'!$E$39</f>
        <v/>
      </c>
      <c r="F62" s="5">
        <f>'balance_raw'!$F$39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Gæld til selskabsdeltagere og ledelse</t>
        </is>
      </c>
      <c r="B63" s="8">
        <f>'balance_raw'!$B$40</f>
        <v/>
      </c>
      <c r="C63" s="8">
        <f>'balance_raw'!$C$40</f>
        <v/>
      </c>
      <c r="D63" s="8">
        <f>'balance_raw'!$D$40</f>
        <v/>
      </c>
      <c r="E63" s="8">
        <f>'balance_raw'!$E$40</f>
        <v/>
      </c>
      <c r="F63" s="8">
        <f>'balance_raw'!$F$40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Selskabsskat</t>
        </is>
      </c>
      <c r="B64" s="5">
        <f>'balance_raw'!$B$41</f>
        <v/>
      </c>
      <c r="C64" s="5">
        <f>'balance_raw'!$C$41</f>
        <v/>
      </c>
      <c r="D64" s="5">
        <f>'balance_raw'!$D$41</f>
        <v/>
      </c>
      <c r="E64" s="5">
        <f>'balance_raw'!$E$41</f>
        <v/>
      </c>
      <c r="F64" s="5">
        <f>'balance_raw'!$F$41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Gæld til tilknyttede virksomheder vedr. selskabsskat</t>
        </is>
      </c>
      <c r="B65" s="8">
        <f>'balance_raw'!$B$42</f>
        <v/>
      </c>
      <c r="C65" s="8">
        <f>'balance_raw'!$C$42</f>
        <v/>
      </c>
      <c r="D65" s="8">
        <f>'balance_raw'!$D$42</f>
        <v/>
      </c>
      <c r="E65" s="8">
        <f>'balance_raw'!$E$42</f>
        <v/>
      </c>
      <c r="F65" s="8">
        <f>'balance_raw'!$F$42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Anden gæld (kortfristet)</t>
        </is>
      </c>
      <c r="B66" s="5">
        <f>'balance_raw'!$B$43</f>
        <v/>
      </c>
      <c r="C66" s="5">
        <f>'balance_raw'!$C$43</f>
        <v/>
      </c>
      <c r="D66" s="5">
        <f>'balance_raw'!$D$43</f>
        <v/>
      </c>
      <c r="E66" s="5">
        <f>'balance_raw'!$E$43</f>
        <v/>
      </c>
      <c r="F66" s="5">
        <f>'balance_raw'!$F$43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Periodeafgrænsningsposter (passiver)</t>
        </is>
      </c>
      <c r="B67" s="8">
        <f>'balance_raw'!$B$44</f>
        <v/>
      </c>
      <c r="C67" s="8">
        <f>'balance_raw'!$C$44</f>
        <v/>
      </c>
      <c r="D67" s="8">
        <f>'balance_raw'!$D$44</f>
        <v/>
      </c>
      <c r="E67" s="8">
        <f>'balance_raw'!$E$44</f>
        <v/>
      </c>
      <c r="F67" s="8">
        <f>'balance_raw'!$F$44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Kortfristede gældsforpligtelser</t>
        </is>
      </c>
      <c r="B68" s="11">
        <f>'balance_raw'!$B$45</f>
        <v/>
      </c>
      <c r="C68" s="11">
        <f>'balance_raw'!$C$45</f>
        <v/>
      </c>
      <c r="D68" s="11">
        <f>'balance_raw'!$D$45</f>
        <v/>
      </c>
      <c r="E68" s="11">
        <f>'balance_raw'!$E$45</f>
        <v/>
      </c>
      <c r="F68" s="11">
        <f>'balance_raw'!$F$45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10" t="inlineStr">
        <is>
          <t>Gældsforpligtelser</t>
        </is>
      </c>
      <c r="B69" s="11">
        <f>'balance_raw'!$B$46</f>
        <v/>
      </c>
      <c r="C69" s="11">
        <f>'balance_raw'!$C$46</f>
        <v/>
      </c>
      <c r="D69" s="11">
        <f>'balance_raw'!$D$46</f>
        <v/>
      </c>
      <c r="E69" s="11">
        <f>'balance_raw'!$E$46</f>
        <v/>
      </c>
      <c r="F69" s="11">
        <f>'balance_raw'!$F$46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10" t="inlineStr">
        <is>
          <t>Passiver</t>
        </is>
      </c>
      <c r="B70" s="11">
        <f>'balance_raw'!$B$47</f>
        <v/>
      </c>
      <c r="C70" s="11">
        <f>'balance_raw'!$C$47</f>
        <v/>
      </c>
      <c r="D70" s="11">
        <f>'balance_raw'!$D$47</f>
        <v/>
      </c>
      <c r="E70" s="11">
        <f>'balance_raw'!$E$47</f>
        <v/>
      </c>
      <c r="F70" s="11">
        <f>'balance_raw'!$F$47</f>
        <v/>
      </c>
      <c r="G70" t="inlineStr"/>
      <c r="H70" s="12">
        <f>IFERROR(B70/$B$70*100,"")</f>
        <v/>
      </c>
      <c r="I70" s="12">
        <f>IFERROR(C70/$B$70*100,"")</f>
        <v/>
      </c>
      <c r="J70" s="12">
        <f>IFERROR(D70/$B$70*100,"")</f>
        <v/>
      </c>
      <c r="K70" s="12">
        <f>IFERROR(E70/$B$70*100,"")</f>
        <v/>
      </c>
      <c r="L70" s="12">
        <f>IFERROR(F70/$B$70*100,"")</f>
        <v/>
      </c>
    </row>
    <row r="72" ht="22" customHeight="1">
      <c r="A72" s="3" t="inlineStr">
        <is>
          <t>NØGLEOPLYSNINGER</t>
        </is>
      </c>
      <c r="B72" s="3" t="n">
        <v>2020</v>
      </c>
      <c r="C72" s="3" t="n">
        <v>2021</v>
      </c>
      <c r="D72" s="3" t="n">
        <v>2022</v>
      </c>
      <c r="E72" s="3" t="n">
        <v>2023</v>
      </c>
      <c r="F72" s="3" t="n">
        <v>2024</v>
      </c>
    </row>
    <row r="73" ht="16" customHeight="1">
      <c r="A73" s="7" t="inlineStr">
        <is>
          <t>Gns. antal medarbejdere</t>
        </is>
      </c>
      <c r="B73" s="8">
        <f>'res_raw'!$B$19</f>
        <v/>
      </c>
      <c r="C73" s="8">
        <f>'res_raw'!$C$19</f>
        <v/>
      </c>
      <c r="D73" s="8">
        <f>'res_raw'!$D$19</f>
        <v/>
      </c>
      <c r="E73" s="8">
        <f>'res_raw'!$E$19</f>
        <v/>
      </c>
      <c r="F73" s="8">
        <f>'res_raw'!$F$19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Investering i materielle anlægsaktiver</t>
        </is>
      </c>
      <c r="B74" s="5">
        <f>'res_raw'!$B$20</f>
        <v/>
      </c>
      <c r="C74" s="5">
        <f>'res_raw'!$C$20</f>
        <v/>
      </c>
      <c r="D74" s="5">
        <f>'res_raw'!$D$20</f>
        <v/>
      </c>
      <c r="E74" s="5">
        <f>'res_raw'!$E$20</f>
        <v/>
      </c>
      <c r="F74" s="5">
        <f>'res_raw'!$F$20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6" ht="22" customHeight="1">
      <c r="A76" s="3" t="inlineStr">
        <is>
          <t>NØGLETAL</t>
        </is>
      </c>
      <c r="B76" s="3" t="n">
        <v>2020</v>
      </c>
      <c r="C76" s="3" t="n">
        <v>2021</v>
      </c>
      <c r="D76" s="3" t="n">
        <v>2022</v>
      </c>
      <c r="E76" s="3" t="n">
        <v>2023</v>
      </c>
      <c r="F76" s="3" t="n">
        <v>2024</v>
      </c>
    </row>
    <row r="77" ht="16" customHeight="1">
      <c r="A77" s="7" t="inlineStr">
        <is>
          <t>Afkastningsgrad, %</t>
        </is>
      </c>
      <c r="B77" s="13">
        <f>IFERROR(($B$13+$B$15+$B$14)/$B$41*100,"")</f>
        <v/>
      </c>
      <c r="C77" s="13">
        <f>IFERROR(($C$13+$C$15+$C$14)/$C$41*100,"")</f>
        <v/>
      </c>
      <c r="D77" s="13">
        <f>IFERROR(($D$13+$D$15+$D$14)/$D$41*100,"")</f>
        <v/>
      </c>
      <c r="E77" s="13">
        <f>IFERROR(($E$13+$E$15+$E$14)/$E$41*100,"")</f>
        <v/>
      </c>
      <c r="F77" s="13">
        <f>IFERROR(($F$13+$F$15+$F$14)/$F$41*100,"")</f>
        <v/>
      </c>
    </row>
    <row r="78" ht="16" customHeight="1">
      <c r="A78" s="4" t="inlineStr">
        <is>
          <t>Overskudsgrad, %</t>
        </is>
      </c>
      <c r="B78" s="14">
        <f>IFERROR(($B$13+$B$15+$B$14)/$B$4*100,"")</f>
        <v/>
      </c>
      <c r="C78" s="14">
        <f>IFERROR(($C$13+$C$15+$C$14)/$C$4*100,"")</f>
        <v/>
      </c>
      <c r="D78" s="14">
        <f>IFERROR(($D$13+$D$15+$D$14)/$D$4*100,"")</f>
        <v/>
      </c>
      <c r="E78" s="14">
        <f>IFERROR(($E$13+$E$15+$E$14)/$E$4*100,"")</f>
        <v/>
      </c>
      <c r="F78" s="14">
        <f>IFERROR(($F$13+$F$15+$F$14)/$F$4*100,"")</f>
        <v/>
      </c>
    </row>
    <row r="79" ht="16" customHeight="1">
      <c r="A79" s="7" t="inlineStr">
        <is>
          <t>Aktivernes omsætningshastighed, gange</t>
        </is>
      </c>
      <c r="B79" s="13">
        <f>IFERROR($B$4/$B$41,"")</f>
        <v/>
      </c>
      <c r="C79" s="13">
        <f>IFERROR($C$4/$C$41,"")</f>
        <v/>
      </c>
      <c r="D79" s="13">
        <f>IFERROR($D$4/$D$41,"")</f>
        <v/>
      </c>
      <c r="E79" s="13">
        <f>IFERROR($E$4/$E$41,"")</f>
        <v/>
      </c>
      <c r="F79" s="13">
        <f>IFERROR($F$4/$F$41,"")</f>
        <v/>
      </c>
    </row>
    <row r="80" ht="16" customHeight="1">
      <c r="A80" s="4" t="inlineStr">
        <is>
          <t>Egenkapitalens forrentning, %</t>
        </is>
      </c>
      <c r="B80" s="14">
        <f>IFERROR($B$18/$B$50*100,"")</f>
        <v/>
      </c>
      <c r="C80" s="14">
        <f>IFERROR($C$18/$C$50*100,"")</f>
        <v/>
      </c>
      <c r="D80" s="14">
        <f>IFERROR($D$18/$D$50*100,"")</f>
        <v/>
      </c>
      <c r="E80" s="14">
        <f>IFERROR($E$18/$E$50*100,"")</f>
        <v/>
      </c>
      <c r="F80" s="14">
        <f>IFERROR($F$18/$F$50*100,"")</f>
        <v/>
      </c>
    </row>
    <row r="81" ht="16" customHeight="1">
      <c r="A81" s="7" t="inlineStr">
        <is>
          <t>Gældsrente, %</t>
        </is>
      </c>
      <c r="B81" s="13">
        <f>IFERROR($B$16/($B$70-$B$50)*100,"")</f>
        <v/>
      </c>
      <c r="C81" s="13">
        <f>IFERROR($C$16/($C$70-$C$50)*100,"")</f>
        <v/>
      </c>
      <c r="D81" s="13">
        <f>IFERROR($D$16/($D$70-$D$50)*100,"")</f>
        <v/>
      </c>
      <c r="E81" s="13">
        <f>IFERROR($E$16/($E$70-$E$50)*100,"")</f>
        <v/>
      </c>
      <c r="F81" s="13">
        <f>IFERROR($F$16/($F$70-$F$50)*100,"")</f>
        <v/>
      </c>
    </row>
    <row r="82" ht="16" customHeight="1">
      <c r="A82" s="4" t="inlineStr">
        <is>
          <t>Soliditetsgrad, %</t>
        </is>
      </c>
      <c r="B82" s="14">
        <f>IFERROR($B$50/$B$41*100,"")</f>
        <v/>
      </c>
      <c r="C82" s="14">
        <f>IFERROR($C$50/$C$41*100,"")</f>
        <v/>
      </c>
      <c r="D82" s="14">
        <f>IFERROR($D$50/$D$41*100,"")</f>
        <v/>
      </c>
      <c r="E82" s="14">
        <f>IFERROR($E$50/$E$41*100,"")</f>
        <v/>
      </c>
      <c r="F82" s="14">
        <f>IFERROR($F$50/$F$41*100,"")</f>
        <v/>
      </c>
    </row>
    <row r="83" ht="16" customHeight="1">
      <c r="A83" s="7" t="inlineStr">
        <is>
          <t>Gearing</t>
        </is>
      </c>
      <c r="B83" s="13">
        <f>IFERROR(($B$70-$B$50)/$B$50,"")</f>
        <v/>
      </c>
      <c r="C83" s="13">
        <f>IFERROR(($C$70-$C$50)/$C$50,"")</f>
        <v/>
      </c>
      <c r="D83" s="13">
        <f>IFERROR(($D$70-$D$50)/$D$50,"")</f>
        <v/>
      </c>
      <c r="E83" s="13">
        <f>IFERROR(($E$70-$E$50)/$E$50,"")</f>
        <v/>
      </c>
      <c r="F83" s="13">
        <f>IFERROR(($F$70-$F$50)/$F$50,"")</f>
        <v/>
      </c>
    </row>
    <row r="84" ht="16" customHeight="1">
      <c r="A84" s="4" t="inlineStr">
        <is>
          <t>Likviditetsgrad, %</t>
        </is>
      </c>
      <c r="B84" s="14">
        <f>IFERROR($B$40/$B$68*100,"")</f>
        <v/>
      </c>
      <c r="C84" s="14">
        <f>IFERROR($C$40/$C$68*100,"")</f>
        <v/>
      </c>
      <c r="D84" s="14">
        <f>IFERROR($D$40/$D$68*100,"")</f>
        <v/>
      </c>
      <c r="E84" s="14">
        <f>IFERROR($E$40/$E$68*100,"")</f>
        <v/>
      </c>
      <c r="F84" s="14">
        <f>IFERROR($F$40/$F$68*100,"")</f>
        <v/>
      </c>
    </row>
    <row r="85" ht="16" customHeight="1">
      <c r="A85" s="7" t="inlineStr">
        <is>
          <t>Rentemarginal, %</t>
        </is>
      </c>
      <c r="B85" s="13">
        <f>IFERROR(B77-B81,"")</f>
        <v/>
      </c>
      <c r="C85" s="13">
        <f>IFERROR(C77-C81,"")</f>
        <v/>
      </c>
      <c r="D85" s="13">
        <f>IFERROR(D77-D81,"")</f>
        <v/>
      </c>
      <c r="E85" s="13">
        <f>IFERROR(E77-E81,"")</f>
        <v/>
      </c>
      <c r="F85" s="13">
        <f>IFERROR(F77-F81,"")</f>
        <v/>
      </c>
    </row>
    <row r="86" ht="16" customHeight="1">
      <c r="A86" s="4" t="inlineStr">
        <is>
          <t>Gældsandel, %</t>
        </is>
      </c>
      <c r="B86" s="14">
        <f>IFERROR(($B$70-$B$50)/$B$41*100,"")</f>
        <v/>
      </c>
      <c r="C86" s="14">
        <f>IFERROR(($C$70-$C$50)/$C$41*100,"")</f>
        <v/>
      </c>
      <c r="D86" s="14">
        <f>IFERROR(($D$70-$D$50)/$D$41*100,"")</f>
        <v/>
      </c>
      <c r="E86" s="14">
        <f>IFERROR(($E$70-$E$50)/$E$41*100,"")</f>
        <v/>
      </c>
      <c r="F86" s="14">
        <f>IFERROR(($F$70-$F$50)/$F$41*100,"")</f>
        <v/>
      </c>
    </row>
    <row r="87" ht="16" customHeight="1">
      <c r="A87" s="7" t="inlineStr">
        <is>
          <t>Kapitalbindingsgrad, %</t>
        </is>
      </c>
      <c r="B87" s="13">
        <f>IFERROR($B$28/($B$50+$B$56)*100,"")</f>
        <v/>
      </c>
      <c r="C87" s="13">
        <f>IFERROR($C$28/($C$50+$C$56)*100,"")</f>
        <v/>
      </c>
      <c r="D87" s="13">
        <f>IFERROR($D$28/($D$50+$D$56)*100,"")</f>
        <v/>
      </c>
      <c r="E87" s="13">
        <f>IFERROR($E$28/($E$50+$E$56)*100,"")</f>
        <v/>
      </c>
      <c r="F87" s="13">
        <f>IFERROR($F$28/($F$50+$F$56)*100,"")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Nettoomsætning</t>
        </is>
      </c>
      <c r="B2" s="16" t="n"/>
      <c r="C2" s="16" t="n">
        <v>40737000</v>
      </c>
      <c r="D2" s="16" t="n">
        <v>62465000</v>
      </c>
      <c r="E2" s="16" t="n">
        <v>34520000</v>
      </c>
      <c r="F2" s="16" t="n">
        <v>39498000</v>
      </c>
    </row>
    <row r="3">
      <c r="A3" s="15" t="inlineStr">
        <is>
          <t>Andre driftsindtægter</t>
        </is>
      </c>
      <c r="B3" s="16" t="n"/>
      <c r="C3" s="16" t="n">
        <v>96000</v>
      </c>
      <c r="D3" s="16" t="n">
        <v>201000</v>
      </c>
      <c r="E3" s="16" t="n">
        <v>294000</v>
      </c>
      <c r="F3" s="16" t="n">
        <v>264000</v>
      </c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>
        <v>24625000</v>
      </c>
      <c r="D5" s="16" t="n">
        <v>31274000</v>
      </c>
      <c r="E5" s="16" t="n"/>
      <c r="F5" s="16" t="n"/>
    </row>
    <row r="6">
      <c r="A6" s="17" t="inlineStr">
        <is>
          <t>Bruttoresultat</t>
        </is>
      </c>
      <c r="B6" s="16" t="n"/>
      <c r="C6" s="16" t="n"/>
      <c r="D6" s="16" t="n"/>
      <c r="E6" s="16" t="n"/>
      <c r="F6" s="16" t="n"/>
    </row>
    <row r="7">
      <c r="A7" s="15" t="inlineStr">
        <is>
          <t>Personaleomkostninger</t>
        </is>
      </c>
      <c r="B7" s="16" t="n"/>
      <c r="C7" s="16" t="n"/>
      <c r="D7" s="16" t="n"/>
      <c r="E7" s="16" t="n"/>
      <c r="F7" s="16" t="n"/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/>
      <c r="C9" s="16" t="n">
        <v>3027000</v>
      </c>
      <c r="D9" s="16" t="n">
        <v>5538000</v>
      </c>
      <c r="E9" s="16" t="n">
        <v>5933000</v>
      </c>
      <c r="F9" s="16" t="n">
        <v>5669000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/>
      <c r="C11" s="16" t="n">
        <v>13181000</v>
      </c>
      <c r="D11" s="16" t="n">
        <v>25854000</v>
      </c>
      <c r="E11" s="16" t="n">
        <v>1199000</v>
      </c>
      <c r="F11" s="16" t="n">
        <v>4049000</v>
      </c>
    </row>
    <row r="12">
      <c r="A12" s="15" t="inlineStr">
        <is>
          <t>Indtægter af kapitalandele, dattervirksomheder</t>
        </is>
      </c>
      <c r="B12" s="16" t="n"/>
      <c r="C12" s="16" t="n">
        <v>2814000</v>
      </c>
      <c r="D12" s="16" t="n">
        <v>3734000</v>
      </c>
      <c r="E12" s="16" t="n">
        <v>3013000</v>
      </c>
      <c r="F12" s="16" t="n">
        <v>4447000</v>
      </c>
    </row>
    <row r="13">
      <c r="A13" s="15" t="inlineStr">
        <is>
          <t>Finansielle indtægter</t>
        </is>
      </c>
      <c r="B13" s="16" t="n"/>
      <c r="C13" s="16" t="n">
        <v>73000</v>
      </c>
      <c r="D13" s="16" t="n">
        <v>582000</v>
      </c>
      <c r="E13" s="16" t="n">
        <v>847000</v>
      </c>
      <c r="F13" s="16" t="n">
        <v>524000</v>
      </c>
    </row>
    <row r="14">
      <c r="A14" s="15" t="inlineStr">
        <is>
          <t>Finansielle omkostninger</t>
        </is>
      </c>
      <c r="B14" s="16" t="n"/>
      <c r="C14" s="16" t="n">
        <v>1601000</v>
      </c>
      <c r="D14" s="16" t="n">
        <v>935000</v>
      </c>
      <c r="E14" s="16" t="n">
        <v>1120000</v>
      </c>
      <c r="F14" s="16" t="n">
        <v>1420000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/>
      <c r="C16" s="16" t="n">
        <v>14467000</v>
      </c>
      <c r="D16" s="16" t="n">
        <v>29235000</v>
      </c>
      <c r="E16" s="16" t="n">
        <v>3939000</v>
      </c>
      <c r="F16" s="16" t="n">
        <v>7600000</v>
      </c>
    </row>
    <row r="17">
      <c r="A17" s="15" t="inlineStr">
        <is>
          <t>Skat af årets resultat</t>
        </is>
      </c>
      <c r="B17" s="16" t="n"/>
      <c r="C17" s="16" t="n">
        <v>59000</v>
      </c>
      <c r="D17" s="16" t="n">
        <v>424000</v>
      </c>
      <c r="E17" s="16" t="n">
        <v>41000</v>
      </c>
      <c r="F17" s="16" t="n">
        <v>25000</v>
      </c>
    </row>
    <row r="18">
      <c r="A18" s="17" t="inlineStr">
        <is>
          <t>Årets resultat</t>
        </is>
      </c>
      <c r="B18" s="16" t="n"/>
      <c r="C18" s="16" t="n">
        <v>14408000</v>
      </c>
      <c r="D18" s="16" t="n">
        <v>28811000</v>
      </c>
      <c r="E18" s="16" t="n">
        <v>3898000</v>
      </c>
      <c r="F18" s="16" t="n">
        <v>7575000</v>
      </c>
    </row>
    <row r="19">
      <c r="A19" s="15" t="inlineStr">
        <is>
          <t>Gns. antal medarbejdere</t>
        </is>
      </c>
      <c r="B19" s="16" t="n"/>
      <c r="C19" s="16" t="n"/>
      <c r="D19" s="16" t="n"/>
      <c r="E19" s="16" t="n"/>
      <c r="F19" s="16" t="n"/>
    </row>
    <row r="20">
      <c r="A20" s="15" t="inlineStr">
        <is>
          <t>Investering i materielle anlægsaktiver</t>
        </is>
      </c>
      <c r="B20" s="16" t="n"/>
      <c r="C20" s="16" t="n">
        <v>1707000</v>
      </c>
      <c r="D20" s="16" t="n">
        <v>1637000</v>
      </c>
      <c r="E20" s="16" t="n">
        <v>1755000</v>
      </c>
      <c r="F20" s="16" t="n">
        <v>2197000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7" t="inlineStr">
        <is>
          <t>Immaterielle anlægsaktiver</t>
        </is>
      </c>
      <c r="B2" s="16" t="n"/>
      <c r="C2" s="16" t="n">
        <v>1325000</v>
      </c>
      <c r="D2" s="16" t="n">
        <v>1195000</v>
      </c>
      <c r="E2" s="16" t="n">
        <v>851000</v>
      </c>
      <c r="F2" s="16" t="n">
        <v>822000</v>
      </c>
    </row>
    <row r="3">
      <c r="A3" s="17" t="inlineStr">
        <is>
          <t>Materielle anlægsaktiver</t>
        </is>
      </c>
      <c r="B3" s="16" t="n"/>
      <c r="C3" s="16" t="n">
        <v>13405000</v>
      </c>
      <c r="D3" s="16" t="n">
        <v>13545000</v>
      </c>
      <c r="E3" s="16" t="n">
        <v>14625000</v>
      </c>
      <c r="F3" s="16" t="n">
        <v>15247000</v>
      </c>
    </row>
    <row r="4">
      <c r="A4" s="15" t="inlineStr">
        <is>
          <t>Kapitalandele, dattervirksomheder</t>
        </is>
      </c>
      <c r="B4" s="16" t="n"/>
      <c r="C4" s="16" t="n"/>
      <c r="D4" s="16" t="n"/>
      <c r="E4" s="16" t="n"/>
      <c r="F4" s="16" t="n"/>
    </row>
    <row r="5">
      <c r="A5" s="15" t="inlineStr">
        <is>
          <t>Deposita</t>
        </is>
      </c>
      <c r="B5" s="16" t="n"/>
      <c r="C5" s="16" t="n">
        <v>4000</v>
      </c>
      <c r="D5" s="16" t="n">
        <v>11000</v>
      </c>
      <c r="E5" s="16" t="n">
        <v>1000</v>
      </c>
      <c r="F5" s="16" t="n"/>
    </row>
    <row r="6">
      <c r="A6" s="17" t="inlineStr">
        <is>
          <t>Finansielle anlægsaktiver</t>
        </is>
      </c>
      <c r="B6" s="16" t="n"/>
      <c r="C6" s="16" t="n"/>
      <c r="D6" s="16" t="n"/>
      <c r="E6" s="16" t="n"/>
      <c r="F6" s="16" t="n"/>
    </row>
    <row r="7">
      <c r="A7" s="17" t="inlineStr">
        <is>
          <t>Anlægsaktiver</t>
        </is>
      </c>
      <c r="B7" s="16" t="n"/>
      <c r="C7" s="16" t="n">
        <v>30226000</v>
      </c>
      <c r="D7" s="16" t="n">
        <v>34045000</v>
      </c>
      <c r="E7" s="16" t="n">
        <v>31512000</v>
      </c>
      <c r="F7" s="16" t="n">
        <v>31991000</v>
      </c>
    </row>
    <row r="8">
      <c r="A8" s="17" t="inlineStr">
        <is>
          <t>Varebeholdninger</t>
        </is>
      </c>
      <c r="B8" s="16" t="n"/>
      <c r="C8" s="16" t="n">
        <v>889000</v>
      </c>
      <c r="D8" s="16" t="n">
        <v>926000</v>
      </c>
      <c r="E8" s="16" t="n">
        <v>1009000</v>
      </c>
      <c r="F8" s="16" t="n">
        <v>928000</v>
      </c>
    </row>
    <row r="9">
      <c r="A9" s="15" t="inlineStr">
        <is>
          <t>Tilgodehavender fra salg og tjenesteydelser</t>
        </is>
      </c>
      <c r="B9" s="16" t="n"/>
      <c r="C9" s="16" t="n">
        <v>5243000</v>
      </c>
      <c r="D9" s="16" t="n">
        <v>4802000</v>
      </c>
      <c r="E9" s="16" t="n">
        <v>3338000</v>
      </c>
      <c r="F9" s="16" t="n">
        <v>4435000</v>
      </c>
    </row>
    <row r="10">
      <c r="A10" s="15" t="inlineStr">
        <is>
          <t>Tilgodehavender hos tilknyttede virksomheder</t>
        </is>
      </c>
      <c r="B10" s="16" t="n"/>
      <c r="C10" s="16" t="n"/>
      <c r="D10" s="16" t="n"/>
      <c r="E10" s="16" t="n"/>
      <c r="F10" s="16" t="n"/>
    </row>
    <row r="11">
      <c r="A11" s="15" t="inlineStr">
        <is>
          <t>Andre tilgodehavender</t>
        </is>
      </c>
      <c r="B11" s="16" t="n"/>
      <c r="C11" s="16" t="n"/>
      <c r="D11" s="16" t="n">
        <v>52000</v>
      </c>
      <c r="E11" s="16" t="n">
        <v>50000</v>
      </c>
      <c r="F11" s="16" t="n">
        <v>1000</v>
      </c>
    </row>
    <row r="12">
      <c r="A12" s="15" t="inlineStr">
        <is>
          <t>Periodeafgrænsningsposter (aktiver)</t>
        </is>
      </c>
      <c r="B12" s="16" t="n"/>
      <c r="C12" s="16" t="n">
        <v>238000</v>
      </c>
      <c r="D12" s="16" t="n">
        <v>991000</v>
      </c>
      <c r="E12" s="16" t="n">
        <v>909000</v>
      </c>
      <c r="F12" s="16" t="n">
        <v>310000</v>
      </c>
    </row>
    <row r="13">
      <c r="A13" s="15" t="inlineStr">
        <is>
          <t>Udskudt skatteaktiv</t>
        </is>
      </c>
      <c r="B13" s="16" t="n"/>
      <c r="C13" s="16" t="n">
        <v>48000</v>
      </c>
      <c r="D13" s="16" t="n">
        <v>0</v>
      </c>
      <c r="E13" s="16" t="n">
        <v>0</v>
      </c>
      <c r="F13" s="16" t="n">
        <v>0</v>
      </c>
    </row>
    <row r="14">
      <c r="A14" s="15" t="inlineStr">
        <is>
          <t>Tilgodehavende skat hos tilknyttede virksomheder</t>
        </is>
      </c>
      <c r="B14" s="16" t="n"/>
      <c r="C14" s="16" t="n"/>
      <c r="D14" s="16" t="n"/>
      <c r="E14" s="16" t="n"/>
      <c r="F14" s="16" t="n"/>
    </row>
    <row r="15">
      <c r="A15" s="15" t="inlineStr">
        <is>
          <t>Kortfristede skattetilgodehavender</t>
        </is>
      </c>
      <c r="B15" s="16" t="n"/>
      <c r="C15" s="16" t="n">
        <v>92000</v>
      </c>
      <c r="D15" s="16" t="n">
        <v>1000</v>
      </c>
      <c r="E15" s="16" t="n">
        <v>85000</v>
      </c>
      <c r="F15" s="16" t="n">
        <v>64000</v>
      </c>
    </row>
    <row r="16">
      <c r="A16" s="17" t="inlineStr">
        <is>
          <t>Tilgodehavender</t>
        </is>
      </c>
      <c r="B16" s="16" t="n"/>
      <c r="C16" s="16" t="n">
        <v>138000</v>
      </c>
      <c r="D16" s="16" t="n">
        <v>114000</v>
      </c>
      <c r="E16" s="16" t="n">
        <v>137000</v>
      </c>
      <c r="F16" s="16" t="n">
        <v>323000</v>
      </c>
    </row>
    <row r="17">
      <c r="A17" s="15" t="inlineStr">
        <is>
          <t>Værdipapirer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Likvide beholdninger</t>
        </is>
      </c>
      <c r="B18" s="16" t="n">
        <v>15000</v>
      </c>
      <c r="C18" s="16" t="n">
        <v>38000</v>
      </c>
      <c r="D18" s="16" t="n">
        <v>20000</v>
      </c>
      <c r="E18" s="16" t="n">
        <v>16000</v>
      </c>
      <c r="F18" s="16" t="n">
        <v>9000</v>
      </c>
    </row>
    <row r="19">
      <c r="A19" s="17" t="inlineStr">
        <is>
          <t>Omsætningsaktiver</t>
        </is>
      </c>
      <c r="B19" s="16" t="n"/>
      <c r="C19" s="16" t="n">
        <v>14316000</v>
      </c>
      <c r="D19" s="16" t="n">
        <v>43872000</v>
      </c>
      <c r="E19" s="16" t="n">
        <v>8329000</v>
      </c>
      <c r="F19" s="16" t="n">
        <v>10581000</v>
      </c>
    </row>
    <row r="20">
      <c r="A20" s="17" t="inlineStr">
        <is>
          <t>Aktiver</t>
        </is>
      </c>
      <c r="B20" s="16" t="n"/>
      <c r="C20" s="16" t="n">
        <v>44542000</v>
      </c>
      <c r="D20" s="16" t="n">
        <v>77917000</v>
      </c>
      <c r="E20" s="16" t="n">
        <v>39841000</v>
      </c>
      <c r="F20" s="16" t="n">
        <v>42572000</v>
      </c>
    </row>
    <row r="21">
      <c r="A21" s="15" t="inlineStr">
        <is>
          <t>Selskabskapital</t>
        </is>
      </c>
      <c r="B21" s="16" t="n"/>
      <c r="C21" s="16" t="n">
        <v>82000</v>
      </c>
      <c r="D21" s="16" t="n">
        <v>82000</v>
      </c>
      <c r="E21" s="16" t="n">
        <v>82000</v>
      </c>
      <c r="F21" s="16" t="n">
        <v>82000</v>
      </c>
    </row>
    <row r="22">
      <c r="A22" s="15" t="inlineStr">
        <is>
          <t>Reserve for nettoopskrivning (indre værdis metode)</t>
        </is>
      </c>
      <c r="B22" s="16" t="n"/>
      <c r="C22" s="16" t="n"/>
      <c r="D22" s="16" t="n"/>
      <c r="E22" s="16" t="n"/>
      <c r="F22" s="16" t="n"/>
    </row>
    <row r="23">
      <c r="A23" s="15" t="inlineStr">
        <is>
          <t>Reserve for udviklingsomkostninger</t>
        </is>
      </c>
      <c r="B23" s="16" t="n"/>
      <c r="C23" s="16" t="n"/>
      <c r="D23" s="16" t="n"/>
      <c r="E23" s="16" t="n"/>
      <c r="F23" s="16" t="n"/>
    </row>
    <row r="24">
      <c r="A24" s="15" t="inlineStr">
        <is>
          <t>Reserve for sikringstransaktioner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Andre reserver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Overført resultat</t>
        </is>
      </c>
      <c r="B26" s="16" t="n"/>
      <c r="C26" s="16" t="n"/>
      <c r="D26" s="16" t="n"/>
      <c r="E26" s="16" t="n"/>
      <c r="F26" s="16" t="n"/>
    </row>
    <row r="27">
      <c r="A27" s="17" t="inlineStr">
        <is>
          <t>Egenkapital i alt</t>
        </is>
      </c>
      <c r="B27" s="16" t="n">
        <v>82000</v>
      </c>
      <c r="C27" s="16" t="n">
        <v>26912000</v>
      </c>
      <c r="D27" s="16" t="n">
        <v>55923000</v>
      </c>
      <c r="E27" s="16" t="n">
        <v>15475000</v>
      </c>
      <c r="F27" s="16" t="n">
        <v>22962000</v>
      </c>
    </row>
    <row r="28">
      <c r="A28" s="17" t="inlineStr">
        <is>
          <t>Hensatte forpligtelser</t>
        </is>
      </c>
      <c r="B28" s="16" t="n"/>
      <c r="C28" s="16" t="n">
        <v>223000</v>
      </c>
      <c r="D28" s="16" t="n">
        <v>254000</v>
      </c>
      <c r="E28" s="16" t="n">
        <v>275000</v>
      </c>
      <c r="F28" s="16" t="n">
        <v>300000</v>
      </c>
    </row>
    <row r="29">
      <c r="A29" s="15" t="inlineStr">
        <is>
          <t>Ansvarlig lånekapital (langfristet)</t>
        </is>
      </c>
      <c r="B29" s="16" t="n"/>
      <c r="C29" s="16" t="n"/>
      <c r="D29" s="16" t="n"/>
      <c r="E29" s="16" t="n"/>
      <c r="F29" s="16" t="n"/>
    </row>
    <row r="30">
      <c r="A30" s="15" t="inlineStr">
        <is>
          <t>Langfristede lån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Leasingforpligtelser (langfristet)</t>
        </is>
      </c>
      <c r="B31" s="16" t="n"/>
      <c r="C31" s="16" t="n">
        <v>6809000</v>
      </c>
      <c r="D31" s="16" t="n">
        <v>8598000</v>
      </c>
      <c r="E31" s="16" t="n">
        <v>5881000</v>
      </c>
      <c r="F31" s="16" t="n">
        <v>5997000</v>
      </c>
    </row>
    <row r="32">
      <c r="A32" s="15" t="inlineStr">
        <is>
          <t>Anden gæld (langfristet)</t>
        </is>
      </c>
      <c r="B32" s="16" t="n"/>
      <c r="C32" s="16" t="n">
        <v>44000</v>
      </c>
      <c r="D32" s="16" t="n">
        <v>45000</v>
      </c>
      <c r="E32" s="16" t="n">
        <v>416000</v>
      </c>
      <c r="F32" s="16" t="n">
        <v>428000</v>
      </c>
    </row>
    <row r="33">
      <c r="A33" s="17" t="inlineStr">
        <is>
          <t>Langfristede gældsforpligtelser</t>
        </is>
      </c>
      <c r="B33" s="16" t="n"/>
      <c r="C33" s="16" t="n">
        <v>7148000</v>
      </c>
      <c r="D33" s="16" t="n">
        <v>9026000</v>
      </c>
      <c r="E33" s="16" t="n">
        <v>6297000</v>
      </c>
      <c r="F33" s="16" t="n">
        <v>6425000</v>
      </c>
    </row>
    <row r="34">
      <c r="A34" s="15" t="inlineStr">
        <is>
          <t>Ansvarlig lånekapital (kortfristet)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Kortfristet del af langfristede gældsforpligtelser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Kreditinstitutter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Leasingforpligtelser (kortfristet)</t>
        </is>
      </c>
      <c r="B37" s="16" t="n"/>
      <c r="C37" s="16" t="n">
        <v>2782000</v>
      </c>
      <c r="D37" s="16" t="n">
        <v>4322000</v>
      </c>
      <c r="E37" s="16" t="n">
        <v>3803000</v>
      </c>
      <c r="F37" s="16" t="n">
        <v>3063000</v>
      </c>
    </row>
    <row r="38">
      <c r="A38" s="15" t="inlineStr">
        <is>
          <t>Leverandører af varer og tjenesteydelser</t>
        </is>
      </c>
      <c r="B38" s="16" t="n"/>
      <c r="C38" s="16" t="n">
        <v>5189000</v>
      </c>
      <c r="D38" s="16" t="n">
        <v>5494000</v>
      </c>
      <c r="E38" s="16" t="n">
        <v>5337000</v>
      </c>
      <c r="F38" s="16" t="n">
        <v>5816000</v>
      </c>
    </row>
    <row r="39">
      <c r="A39" s="15" t="inlineStr">
        <is>
          <t>Gæld til tilknyttede virksomheder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Gæld til selskabsdeltagere og ledelse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Selskabsskat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Gæld til tilknyttede virksomheder vedr. selskabsskat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Anden gæld (kortfristet)</t>
        </is>
      </c>
      <c r="B43" s="16" t="n"/>
      <c r="C43" s="16" t="n">
        <v>285000</v>
      </c>
      <c r="D43" s="16" t="n">
        <v>282000</v>
      </c>
      <c r="E43" s="16" t="n">
        <v>705000</v>
      </c>
      <c r="F43" s="16" t="n">
        <v>1365000</v>
      </c>
    </row>
    <row r="44">
      <c r="A44" s="15" t="inlineStr">
        <is>
          <t>Periodeafgrænsningsposter (passiver)</t>
        </is>
      </c>
      <c r="B44" s="16" t="n"/>
      <c r="C44" s="16" t="n"/>
      <c r="D44" s="16" t="n"/>
      <c r="E44" s="16" t="n"/>
      <c r="F44" s="16" t="n"/>
    </row>
    <row r="45">
      <c r="A45" s="17" t="inlineStr">
        <is>
          <t>Kortfristede gældsforpligtelser</t>
        </is>
      </c>
      <c r="B45" s="16" t="n"/>
      <c r="C45" s="16" t="n">
        <v>10482000</v>
      </c>
      <c r="D45" s="16" t="n">
        <v>12968000</v>
      </c>
      <c r="E45" s="16" t="n">
        <v>18069000</v>
      </c>
      <c r="F45" s="16" t="n">
        <v>13185000</v>
      </c>
    </row>
    <row r="46">
      <c r="A46" s="17" t="inlineStr">
        <is>
          <t>Gældsforpligtelser</t>
        </is>
      </c>
      <c r="B46" s="16" t="n"/>
      <c r="C46" s="16" t="n">
        <v>17630000</v>
      </c>
      <c r="D46" s="16" t="n">
        <v>21994000</v>
      </c>
      <c r="E46" s="16" t="n">
        <v>24366000</v>
      </c>
      <c r="F46" s="16" t="n">
        <v>19610000</v>
      </c>
    </row>
    <row r="47">
      <c r="A47" s="17" t="inlineStr">
        <is>
          <t>Passiver</t>
        </is>
      </c>
      <c r="B47" s="16" t="n"/>
      <c r="C47" s="16" t="n">
        <v>44542000</v>
      </c>
      <c r="D47" s="16" t="n">
        <v>77917000</v>
      </c>
      <c r="E47" s="16" t="n">
        <v>39841000</v>
      </c>
      <c r="F47" s="16" t="n">
        <v>42572000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— artsopdelt</t>
        </is>
      </c>
    </row>
    <row r="3">
      <c r="A3" s="19" t="inlineStr">
        <is>
          <t>Beløb i 1.000 kr.</t>
        </is>
      </c>
      <c r="B3" s="20" t="n">
        <v>2024</v>
      </c>
      <c r="C3" s="20" t="n">
        <v>2023</v>
      </c>
      <c r="D3" s="20" t="n">
        <v>2022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'res_raw'!$F$3</f>
        <v/>
      </c>
      <c r="C6" s="24">
        <f>'res_raw'!$E$3</f>
        <v/>
      </c>
      <c r="D6" s="24">
        <f>'res_raw'!$D$3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-'res_raw'!$F$4</f>
        <v/>
      </c>
      <c r="C7" s="24">
        <f>-'res_raw'!$E$4</f>
        <v/>
      </c>
      <c r="D7" s="24">
        <f>-'res_raw'!$D$4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-'res_raw'!$F$7</f>
        <v/>
      </c>
      <c r="C10" s="24">
        <f>-'res_raw'!$E$7</f>
        <v/>
      </c>
      <c r="D10" s="24">
        <f>-'res_raw'!$D$7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-'res_raw'!$F$9</f>
        <v/>
      </c>
      <c r="C11" s="24">
        <f>-'res_raw'!$E$9</f>
        <v/>
      </c>
      <c r="D11" s="24">
        <f>-'res_raw'!$D$9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-'res_raw'!$F$10</f>
        <v/>
      </c>
      <c r="C12" s="24">
        <f>-'res_raw'!$E$10</f>
        <v/>
      </c>
      <c r="D12" s="24">
        <f>-'res_raw'!$D$10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N('res_raw'!$F$12)+N('res_raw'!$F$13)</f>
        <v/>
      </c>
      <c r="C14" s="24">
        <f>N('res_raw'!$E$12)+N('res_raw'!$E$13)</f>
        <v/>
      </c>
      <c r="D14" s="24">
        <f>N('res_raw'!$D$12)+N('res_raw'!$D$13)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-'res_raw'!$F$14</f>
        <v/>
      </c>
      <c r="C15" s="24">
        <f>-'res_raw'!$E$14</f>
        <v/>
      </c>
      <c r="D15" s="24">
        <f>-'res_raw'!$D$14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'balance_raw'!$F$7</f>
        <v/>
      </c>
      <c r="C19" s="24">
        <f>'balance_raw'!$E$7</f>
        <v/>
      </c>
      <c r="D19" s="24">
        <f>'balance_raw'!$D$7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'balance_raw'!$F$19</f>
        <v/>
      </c>
      <c r="C20" s="24">
        <f>'balance_raw'!$E$19</f>
        <v/>
      </c>
      <c r="D20" s="24">
        <f>'balance_raw'!$D$19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'balance_raw'!$F$27</f>
        <v/>
      </c>
      <c r="C23" s="24">
        <f>'balance_raw'!$E$27</f>
        <v/>
      </c>
      <c r="D23" s="24">
        <f>'balance_raw'!$D$27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'balance_raw'!$F$47-'balance_raw'!$F$27</f>
        <v/>
      </c>
      <c r="C24" s="24">
        <f>'balance_raw'!$E$47-'balance_raw'!$E$27</f>
        <v/>
      </c>
      <c r="D24" s="24">
        <f>'balance_raw'!$D$47-'balance_raw'!$D$27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'balance_raw'!$F$8</f>
        <v/>
      </c>
      <c r="C28" s="24">
        <f>'balance_raw'!$E$8</f>
        <v/>
      </c>
      <c r="D28" s="24">
        <f>'balance_raw'!$D$8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'balance_raw'!$F$9</f>
        <v/>
      </c>
      <c r="C29" s="24">
        <f>'balance_raw'!$E$9</f>
        <v/>
      </c>
      <c r="D29" s="24">
        <f>'balance_raw'!$D$9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'balance_raw'!$F$45</f>
        <v/>
      </c>
      <c r="C30" s="24">
        <f>'balance_raw'!$E$45</f>
        <v/>
      </c>
      <c r="D30" s="24">
        <f>'balance_raw'!$D$45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(2022=100)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(2022=100)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2022-2024.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IF('balance_raw'!$F$20="","—",IF(ABS(B21-'balance_raw'!$F$20)&lt;=1,"✓ OK","❌ "&amp;TEXT(B21-'balance_raw'!$F$20,"+#,##0;-#,##0")&amp;" t.kr."))</f>
        <v/>
      </c>
      <c r="C61" s="29">
        <f>IF('balance_raw'!$E$20="","—",IF(ABS(C21-'balance_raw'!$E$20)&lt;=1,"✓ OK","❌ "&amp;TEXT(C21-'balance_raw'!$E$20,"+#,##0;-#,##0")&amp;" t.kr."))</f>
        <v/>
      </c>
      <c r="D61" s="29">
        <f>IF('balance_raw'!$D$20="","—",IF(ABS(D21-'balance_raw'!$D$20)&lt;=1,"✓ OK","❌ "&amp;TEXT(D21-'balance_raw'!$D$20,"+#,##0;-#,##0")&amp;"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IF('balance_raw'!$F$47="","—",IF(ABS(B25-'balance_raw'!$F$47)&lt;=1,"✓ OK","❌ "&amp;TEXT(B25-'balance_raw'!$F$47,"+#,##0;-#,##0")&amp;" t.kr."))</f>
        <v/>
      </c>
      <c r="C62" s="29">
        <f>IF('balance_raw'!$E$47="","—",IF(ABS(C25-'balance_raw'!$E$47)&lt;=1,"✓ OK","❌ "&amp;TEXT(C25-'balance_raw'!$E$47,"+#,##0;-#,##0")&amp;" t.kr."))</f>
        <v/>
      </c>
      <c r="D62" s="29">
        <f>IF('balance_raw'!$D$47="","—",IF(ABS(D25-'balance_raw'!$D$47)&lt;=1,"✓ OK","❌ "&amp;TEXT(D25-'balance_raw'!$D$47,"+#,##0;-#,##0")&amp;"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IF('res_raw'!$F$6="","—",IF(ABS(B9-'res_raw'!$F$6)&lt;=1,"✓ OK","❌ "&amp;TEXT(B9-'res_raw'!$F$6,"+#,##0;-#,##0")&amp;" t.kr."))</f>
        <v/>
      </c>
      <c r="C64" s="29">
        <f>IF('res_raw'!$E$6="","—",IF(ABS(C9-'res_raw'!$E$6)&lt;=1,"✓ OK","❌ "&amp;TEXT(C9-'res_raw'!$E$6,"+#,##0;-#,##0")&amp;" t.kr."))</f>
        <v/>
      </c>
      <c r="D64" s="29">
        <f>IF('res_raw'!$D$6="","—",IF(ABS(D9-'res_raw'!$D$6)&lt;=1,"✓ OK","❌ "&amp;TEXT(D9-'res_raw'!$D$6,"+#,##0;-#,##0")&amp;"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IF('res_raw'!$F$11="","—",IF(ABS(B13-'res_raw'!$F$11)&lt;=1,"✓ OK","❌ "&amp;TEXT(B13-'res_raw'!$F$11,"+#,##0;-#,##0")&amp;" t.kr."))</f>
        <v/>
      </c>
      <c r="C65" s="29">
        <f>IF('res_raw'!$E$11="","—",IF(ABS(C13-'res_raw'!$E$11)&lt;=1,"✓ OK","❌ "&amp;TEXT(C13-'res_raw'!$E$11,"+#,##0;-#,##0")&amp;" t.kr."))</f>
        <v/>
      </c>
      <c r="D65" s="29">
        <f>IF('res_raw'!$D$11="","—",IF(ABS(D13-'res_raw'!$D$11)&lt;=1,"✓ OK","❌ "&amp;TEXT(D13-'res_raw'!$D$11,"+#,##0;-#,##0")&amp;"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IF('res_raw'!$F$16="","—",IF(ABS(B16-'res_raw'!$F$16)&lt;=1,"✓ OK","❌ "&amp;TEXT(B16-'res_raw'!$F$16,"+#,##0;-#,##0")&amp;" t.kr."))</f>
        <v/>
      </c>
      <c r="C66" s="29">
        <f>IF('res_raw'!$E$16="","—",IF(ABS(C16-'res_raw'!$E$16)&lt;=1,"✓ OK","❌ "&amp;TEXT(C16-'res_raw'!$E$16,"+#,##0;-#,##0")&amp;" t.kr."))</f>
        <v/>
      </c>
      <c r="D66" s="29">
        <f>IF('res_raw'!$D$16="","—",IF(ABS(D16-'res_raw'!$D$16)&lt;=1,"✓ OK","❌ "&amp;TEXT(D16-'res_raw'!$D$16,"+#,##0;-#,##0")&amp;"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2020 t.kr.</t>
        </is>
      </c>
      <c r="E2" s="3" t="inlineStr">
        <is>
          <t>2021 t.kr.</t>
        </is>
      </c>
      <c r="F2" s="3" t="inlineStr">
        <is>
          <t>2022 t.kr.</t>
        </is>
      </c>
      <c r="G2" s="3" t="inlineStr">
        <is>
          <t>2023 t.kr.</t>
        </is>
      </c>
      <c r="H2" s="3" t="inlineStr">
        <is>
          <t>2024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ifrs-full:NoncurrentReceivablesDueFromRelatedParties</t>
        </is>
      </c>
      <c r="C3" s="34" t="inlineStr">
        <is>
          <t>ifrs-full:NoncurrentReceivablesDueFromRelatedParties</t>
        </is>
      </c>
      <c r="D3" s="35" t="n"/>
      <c r="E3" s="35" t="n">
        <v>13000</v>
      </c>
      <c r="F3" s="35" t="n">
        <v>7000</v>
      </c>
      <c r="G3" s="35" t="n">
        <v>7000</v>
      </c>
      <c r="H3" s="35" t="n">
        <v>7000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ifrs-full:OtherComprehensiveIncomeNetOfTaxGainsLossesOnRemeasurementsOfDefinedBenefitPlans</t>
        </is>
      </c>
      <c r="C4" s="37" t="inlineStr">
        <is>
          <t>ifrs-full:OtherComprehensiveIncomeNetOfTaxGainsLossesOnRemeasurementsOfDefinedBenefitPlans</t>
        </is>
      </c>
      <c r="D4" s="38" t="n"/>
      <c r="E4" s="38" t="n">
        <v>2000</v>
      </c>
      <c r="F4" s="38" t="n">
        <v>2000</v>
      </c>
      <c r="G4" s="38" t="n">
        <v>0</v>
      </c>
      <c r="H4" s="38" t="n">
        <v>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ifrs-full:OtherInflowsOutflowsOfCashClassifiedAsFinancingActivities</t>
        </is>
      </c>
      <c r="C5" s="34" t="inlineStr">
        <is>
          <t>ifrs-full:OtherInflowsOutflowsOfCashClassifiedAsFinancingActivities</t>
        </is>
      </c>
      <c r="D5" s="35" t="n"/>
      <c r="E5" s="35" t="n">
        <v>-125000</v>
      </c>
      <c r="F5" s="35" t="n">
        <v>83000</v>
      </c>
      <c r="G5" s="35" t="n"/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ifrs-full:TradeAndOtherCurrentReceivablesDueFromRelatedParties</t>
        </is>
      </c>
      <c r="C6" s="37" t="inlineStr">
        <is>
          <t>ifrs-full:TradeAndOtherCurrentReceivablesDueFromRelatedParties</t>
        </is>
      </c>
      <c r="D6" s="38" t="n"/>
      <c r="E6" s="38" t="n">
        <v>7521000</v>
      </c>
      <c r="F6" s="38" t="n">
        <v>36785000</v>
      </c>
      <c r="G6" s="38" t="n">
        <v>1970000</v>
      </c>
      <c r="H6" s="38" t="n">
        <v>4222000</v>
      </c>
      <c r="I6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2026-09-07T18:21:02Z</dcterms:created>
  <dcterms:modified xmlns:dcterms="http://purl.org/dc/terms/" xmlns:xsi="http://www.w3.org/2001/XMLSchema-instance" xsi:type="dcterms:W3CDTF">2026-09-07T18:21:02Z</dcterms:modified>
</cp:coreProperties>
</file>