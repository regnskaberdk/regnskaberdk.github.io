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2020</v>
      </c>
      <c r="C40" s="3" t="n">
        <v>2021</v>
      </c>
      <c r="D40" s="3" t="n">
        <v>2022</v>
      </c>
      <c r="E40" s="3" t="n">
        <v>2023</v>
      </c>
      <c r="F40" s="3" t="n">
        <v>2024</v>
      </c>
      <c r="G40" t="inlineStr"/>
      <c r="H40" s="3" t="n">
        <v>2020</v>
      </c>
      <c r="I40" s="3" t="n">
        <v>2021</v>
      </c>
      <c r="J40" s="3" t="n">
        <v>2022</v>
      </c>
      <c r="K40" s="3" t="n">
        <v>2023</v>
      </c>
      <c r="L40" s="3" t="n">
        <v>2024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Hensatte forpligtelser</t>
        </is>
      </c>
      <c r="B48" s="11">
        <f>'balance_raw'!$B$25</f>
        <v/>
      </c>
      <c r="C48" s="11">
        <f>'balance_raw'!$C$25</f>
        <v/>
      </c>
      <c r="D48" s="11">
        <f>'balance_raw'!$D$25</f>
        <v/>
      </c>
      <c r="E48" s="11">
        <f>'balance_raw'!$E$25</f>
        <v/>
      </c>
      <c r="F48" s="11">
        <f>'balance_raw'!$F$25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Ansvarlig lånekapital (langfristet)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Langfristede lån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Leasingforpligtelser (langfristet)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Anden gæld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'balance_raw'!$B$30</f>
        <v/>
      </c>
      <c r="C53" s="11">
        <f>'balance_raw'!$C$30</f>
        <v/>
      </c>
      <c r="D53" s="11">
        <f>'balance_raw'!$D$30</f>
        <v/>
      </c>
      <c r="E53" s="11">
        <f>'balance_raw'!$E$30</f>
        <v/>
      </c>
      <c r="F53" s="11">
        <f>'balance_raw'!$F$30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2020</v>
      </c>
      <c r="C69" s="3" t="n">
        <v>2021</v>
      </c>
      <c r="D69" s="3" t="n">
        <v>2022</v>
      </c>
      <c r="E69" s="3" t="n">
        <v>2023</v>
      </c>
      <c r="F69" s="3" t="n">
        <v>2024</v>
      </c>
    </row>
    <row r="70" ht="16" customHeight="1">
      <c r="A70" s="4" t="inlineStr">
        <is>
          <t>Gns. antal medarbejdere</t>
        </is>
      </c>
      <c r="B70" s="5">
        <f>'res_raw'!$B$19</f>
        <v/>
      </c>
      <c r="C70" s="5">
        <f>'res_raw'!$C$19</f>
        <v/>
      </c>
      <c r="D70" s="5">
        <f>'res_raw'!$D$19</f>
        <v/>
      </c>
      <c r="E70" s="5">
        <f>'res_raw'!$E$19</f>
        <v/>
      </c>
      <c r="F70" s="5">
        <f>'res_raw'!$F$19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'res_raw'!$B$20</f>
        <v/>
      </c>
      <c r="C71" s="8">
        <f>'res_raw'!$C$20</f>
        <v/>
      </c>
      <c r="D71" s="8">
        <f>'res_raw'!$D$20</f>
        <v/>
      </c>
      <c r="E71" s="8">
        <f>'res_raw'!$E$20</f>
        <v/>
      </c>
      <c r="F71" s="8">
        <f>'res_raw'!$F$20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2020</v>
      </c>
      <c r="C73" s="3" t="n">
        <v>2021</v>
      </c>
      <c r="D73" s="3" t="n">
        <v>2022</v>
      </c>
      <c r="E73" s="3" t="n">
        <v>2023</v>
      </c>
      <c r="F73" s="3" t="n">
        <v>2024</v>
      </c>
    </row>
    <row r="74" ht="16" customHeight="1">
      <c r="A74" s="4" t="inlineStr">
        <is>
          <t>Afkastningsgrad, %</t>
        </is>
      </c>
      <c r="B74" s="13">
        <f>IFERROR(($B$13+$B$15+$B$14)/$B$38*100,"")</f>
        <v/>
      </c>
      <c r="C74" s="13">
        <f>IFERROR(($C$13+$C$15+$C$14)/$C$38*100,"")</f>
        <v/>
      </c>
      <c r="D74" s="13">
        <f>IFERROR(($D$13+$D$15+$D$14)/$D$38*100,"")</f>
        <v/>
      </c>
      <c r="E74" s="13">
        <f>IFERROR(($E$13+$E$15+$E$14)/$E$38*100,"")</f>
        <v/>
      </c>
      <c r="F74" s="13">
        <f>IFERROR(($F$13+$F$15+$F$14)/$F$38*100,"")</f>
        <v/>
      </c>
    </row>
    <row r="75" ht="16" customHeight="1">
      <c r="A75" s="7" t="inlineStr">
        <is>
          <t>Overskudsgrad, %</t>
        </is>
      </c>
      <c r="B75" s="14">
        <f>IFERROR(($B$13+$B$15+$B$14)/$B$4*100,"")</f>
        <v/>
      </c>
      <c r="C75" s="14">
        <f>IFERROR(($C$13+$C$15+$C$14)/$C$4*100,"")</f>
        <v/>
      </c>
      <c r="D75" s="14">
        <f>IFERROR(($D$13+$D$15+$D$14)/$D$4*100,"")</f>
        <v/>
      </c>
      <c r="E75" s="14">
        <f>IFERROR(($E$13+$E$15+$E$14)/$E$4*100,"")</f>
        <v/>
      </c>
      <c r="F75" s="14">
        <f>IFERROR(($F$13+$F$15+$F$14)/$F$4*100,"")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IFERROR($B$4/$B$38,"")</f>
        <v/>
      </c>
      <c r="C76" s="13">
        <f>IFERROR($C$4/$C$38,"")</f>
        <v/>
      </c>
      <c r="D76" s="13">
        <f>IFERROR($D$4/$D$38,"")</f>
        <v/>
      </c>
      <c r="E76" s="13">
        <f>IFERROR($E$4/$E$38,"")</f>
        <v/>
      </c>
      <c r="F76" s="13">
        <f>IFERROR($F$4/$F$38,"")</f>
        <v/>
      </c>
    </row>
    <row r="77" ht="16" customHeight="1">
      <c r="A77" s="7" t="inlineStr">
        <is>
          <t>Egenkapitalens forrentning, %</t>
        </is>
      </c>
      <c r="B77" s="14">
        <f>IFERROR($B$18/$B$47*100,"")</f>
        <v/>
      </c>
      <c r="C77" s="14">
        <f>IFERROR($C$18/$C$47*100,"")</f>
        <v/>
      </c>
      <c r="D77" s="14">
        <f>IFERROR($D$18/$D$47*100,"")</f>
        <v/>
      </c>
      <c r="E77" s="14">
        <f>IFERROR($E$18/$E$47*100,"")</f>
        <v/>
      </c>
      <c r="F77" s="14">
        <f>IFERROR($F$18/$F$47*100,"")</f>
        <v/>
      </c>
    </row>
    <row r="78" ht="16" customHeight="1">
      <c r="A78" s="4" t="inlineStr">
        <is>
          <t>Gældsrente, %</t>
        </is>
      </c>
      <c r="B78" s="13">
        <f>IFERROR($B$16/($B$67-$B$47)*100,"")</f>
        <v/>
      </c>
      <c r="C78" s="13">
        <f>IFERROR($C$16/($C$67-$C$47)*100,"")</f>
        <v/>
      </c>
      <c r="D78" s="13">
        <f>IFERROR($D$16/($D$67-$D$47)*100,"")</f>
        <v/>
      </c>
      <c r="E78" s="13">
        <f>IFERROR($E$16/($E$67-$E$47)*100,"")</f>
        <v/>
      </c>
      <c r="F78" s="13">
        <f>IFERROR($F$16/($F$67-$F$47)*100,"")</f>
        <v/>
      </c>
    </row>
    <row r="79" ht="16" customHeight="1">
      <c r="A79" s="7" t="inlineStr">
        <is>
          <t>Soliditetsgrad, %</t>
        </is>
      </c>
      <c r="B79" s="14">
        <f>IFERROR($B$47/$B$38*100,"")</f>
        <v/>
      </c>
      <c r="C79" s="14">
        <f>IFERROR($C$47/$C$38*100,"")</f>
        <v/>
      </c>
      <c r="D79" s="14">
        <f>IFERROR($D$47/$D$38*100,"")</f>
        <v/>
      </c>
      <c r="E79" s="14">
        <f>IFERROR($E$47/$E$38*100,"")</f>
        <v/>
      </c>
      <c r="F79" s="14">
        <f>IFERROR($F$47/$F$38*100,"")</f>
        <v/>
      </c>
    </row>
    <row r="80" ht="16" customHeight="1">
      <c r="A80" s="4" t="inlineStr">
        <is>
          <t>Gearing</t>
        </is>
      </c>
      <c r="B80" s="13">
        <f>IFERROR(($B$67-$B$47)/$B$47,"")</f>
        <v/>
      </c>
      <c r="C80" s="13">
        <f>IFERROR(($C$67-$C$47)/$C$47,"")</f>
        <v/>
      </c>
      <c r="D80" s="13">
        <f>IFERROR(($D$67-$D$47)/$D$47,"")</f>
        <v/>
      </c>
      <c r="E80" s="13">
        <f>IFERROR(($E$67-$E$47)/$E$47,"")</f>
        <v/>
      </c>
      <c r="F80" s="13">
        <f>IFERROR(($F$67-$F$47)/$F$47,"")</f>
        <v/>
      </c>
    </row>
    <row r="81" ht="16" customHeight="1">
      <c r="A81" s="7" t="inlineStr">
        <is>
          <t>Likviditetsgrad, %</t>
        </is>
      </c>
      <c r="B81" s="14">
        <f>IFERROR($B$37/$B$65*100,"")</f>
        <v/>
      </c>
      <c r="C81" s="14">
        <f>IFERROR($C$37/$C$65*100,"")</f>
        <v/>
      </c>
      <c r="D81" s="14">
        <f>IFERROR($D$37/$D$65*100,"")</f>
        <v/>
      </c>
      <c r="E81" s="14">
        <f>IFERROR($E$37/$E$65*100,"")</f>
        <v/>
      </c>
      <c r="F81" s="14">
        <f>IFERROR($F$37/$F$65*100,"")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IFERROR(($B$67-$B$47)/$B$38*100,"")</f>
        <v/>
      </c>
      <c r="C83" s="14">
        <f>IFERROR(($C$67-$C$47)/$C$38*100,"")</f>
        <v/>
      </c>
      <c r="D83" s="14">
        <f>IFERROR(($D$67-$D$47)/$D$38*100,"")</f>
        <v/>
      </c>
      <c r="E83" s="14">
        <f>IFERROR(($E$67-$E$47)/$E$38*100,"")</f>
        <v/>
      </c>
      <c r="F83" s="14">
        <f>IFERROR(($F$67-$F$47)/$F$38*100,"")</f>
        <v/>
      </c>
    </row>
    <row r="84" ht="16" customHeight="1">
      <c r="A84" s="4" t="inlineStr">
        <is>
          <t>Kapitalbindingsgrad, %</t>
        </is>
      </c>
      <c r="B84" s="13">
        <f>IFERROR($B$25/($B$47+$B$53)*100,"")</f>
        <v/>
      </c>
      <c r="C84" s="13">
        <f>IFERROR($C$25/($C$47+$C$53)*100,"")</f>
        <v/>
      </c>
      <c r="D84" s="13">
        <f>IFERROR($D$25/($D$47+$D$53)*100,"")</f>
        <v/>
      </c>
      <c r="E84" s="13">
        <f>IFERROR($E$25/($E$47+$E$53)*100,"")</f>
        <v/>
      </c>
      <c r="F84" s="13">
        <f>IFERROR($F$25/($F$47+$F$53)*100,"")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>
        <v>40737000</v>
      </c>
      <c r="D2" s="16" t="n">
        <v>62465000</v>
      </c>
      <c r="E2" s="16" t="n">
        <v>34520000</v>
      </c>
      <c r="F2" s="16" t="n">
        <v>39498000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>
        <v>24625000</v>
      </c>
      <c r="D5" s="16" t="n">
        <v>31274000</v>
      </c>
      <c r="E5" s="16" t="n"/>
      <c r="F5" s="16" t="n"/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3027000</v>
      </c>
      <c r="D9" s="16" t="n">
        <v>5538000</v>
      </c>
      <c r="E9" s="16" t="n">
        <v>5933000</v>
      </c>
      <c r="F9" s="16" t="n">
        <v>5669000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/>
      <c r="C11" s="16" t="n">
        <v>13181000</v>
      </c>
      <c r="D11" s="16" t="n">
        <v>25854000</v>
      </c>
      <c r="E11" s="16" t="n">
        <v>1199000</v>
      </c>
      <c r="F11" s="16" t="n">
        <v>4049000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73000</v>
      </c>
      <c r="D13" s="16" t="n">
        <v>582000</v>
      </c>
      <c r="E13" s="16" t="n">
        <v>847000</v>
      </c>
      <c r="F13" s="16" t="n">
        <v>524000</v>
      </c>
    </row>
    <row r="14">
      <c r="A14" s="15" t="inlineStr">
        <is>
          <t>Finansielle omkostninger</t>
        </is>
      </c>
      <c r="B14" s="16" t="n"/>
      <c r="C14" s="16" t="n">
        <v>1009000</v>
      </c>
      <c r="D14" s="16" t="n">
        <v>885000</v>
      </c>
      <c r="E14" s="16" t="n">
        <v>1053000</v>
      </c>
      <c r="F14" s="16" t="n">
        <v>1098000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/>
      <c r="C16" s="16" t="n">
        <v>14467000</v>
      </c>
      <c r="D16" s="16" t="n">
        <v>29235000</v>
      </c>
      <c r="E16" s="16" t="n">
        <v>3939000</v>
      </c>
      <c r="F16" s="16" t="n">
        <v>7600000</v>
      </c>
    </row>
    <row r="17">
      <c r="A17" s="15" t="inlineStr">
        <is>
          <t>Skat af årets resultat</t>
        </is>
      </c>
      <c r="B17" s="16" t="n"/>
      <c r="C17" s="16" t="n">
        <v>59000</v>
      </c>
      <c r="D17" s="16" t="n">
        <v>424000</v>
      </c>
      <c r="E17" s="16" t="n">
        <v>41000</v>
      </c>
      <c r="F17" s="16" t="n">
        <v>25000</v>
      </c>
    </row>
    <row r="18">
      <c r="A18" s="17" t="inlineStr">
        <is>
          <t>Årets resultat</t>
        </is>
      </c>
      <c r="B18" s="16" t="n"/>
      <c r="C18" s="16" t="n">
        <v>14408000</v>
      </c>
      <c r="D18" s="16" t="n">
        <v>28811000</v>
      </c>
      <c r="E18" s="16" t="n">
        <v>3898000</v>
      </c>
      <c r="F18" s="16" t="n">
        <v>7575000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>
        <v>1707000</v>
      </c>
      <c r="D20" s="16" t="n">
        <v>1637000</v>
      </c>
      <c r="E20" s="16" t="n">
        <v>1755000</v>
      </c>
      <c r="F20" s="16" t="n">
        <v>2197000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/>
      <c r="C2" s="16" t="n">
        <v>1325000</v>
      </c>
      <c r="D2" s="16" t="n">
        <v>1195000</v>
      </c>
      <c r="E2" s="16" t="n">
        <v>851000</v>
      </c>
      <c r="F2" s="16" t="n">
        <v>822000</v>
      </c>
    </row>
    <row r="3">
      <c r="A3" s="17" t="inlineStr">
        <is>
          <t>Materielle anlægsaktiver</t>
        </is>
      </c>
      <c r="B3" s="16" t="n"/>
      <c r="C3" s="16" t="n">
        <v>13405000</v>
      </c>
      <c r="D3" s="16" t="n">
        <v>13545000</v>
      </c>
      <c r="E3" s="16" t="n">
        <v>14625000</v>
      </c>
      <c r="F3" s="16" t="n">
        <v>15247000</v>
      </c>
    </row>
    <row r="4">
      <c r="A4" s="17" t="inlineStr">
        <is>
          <t>Anlægsaktiver</t>
        </is>
      </c>
      <c r="B4" s="16" t="n"/>
      <c r="C4" s="16" t="n">
        <v>30226000</v>
      </c>
      <c r="D4" s="16" t="n">
        <v>34045000</v>
      </c>
      <c r="E4" s="16" t="n">
        <v>31512000</v>
      </c>
      <c r="F4" s="16" t="n">
        <v>31991000</v>
      </c>
    </row>
    <row r="5">
      <c r="A5" s="17" t="inlineStr">
        <is>
          <t>Varebeholdninger</t>
        </is>
      </c>
      <c r="B5" s="16" t="n"/>
      <c r="C5" s="16" t="n">
        <v>889000</v>
      </c>
      <c r="D5" s="16" t="n">
        <v>926000</v>
      </c>
      <c r="E5" s="16" t="n">
        <v>1009000</v>
      </c>
      <c r="F5" s="16" t="n">
        <v>928000</v>
      </c>
    </row>
    <row r="6">
      <c r="A6" s="15" t="inlineStr">
        <is>
          <t>Tilgodehavender fra salg og tjenesteydelser</t>
        </is>
      </c>
      <c r="B6" s="16" t="n"/>
      <c r="C6" s="16" t="n">
        <v>5243000</v>
      </c>
      <c r="D6" s="16" t="n">
        <v>4802000</v>
      </c>
      <c r="E6" s="16" t="n">
        <v>3338000</v>
      </c>
      <c r="F6" s="16" t="n">
        <v>4435000</v>
      </c>
    </row>
    <row r="7">
      <c r="A7" s="15" t="inlineStr">
        <is>
          <t>Tilgodehavender hos tilknyttede virksomheder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tilgodehavender</t>
        </is>
      </c>
      <c r="B8" s="16" t="n"/>
      <c r="C8" s="16" t="n"/>
      <c r="D8" s="16" t="n"/>
      <c r="E8" s="16" t="n"/>
      <c r="F8" s="16" t="n"/>
    </row>
    <row r="9">
      <c r="A9" s="15" t="inlineStr">
        <is>
          <t>Periodeafgrænsningsposter (aktiver)</t>
        </is>
      </c>
      <c r="B9" s="16" t="n"/>
      <c r="C9" s="16" t="n">
        <v>238000</v>
      </c>
      <c r="D9" s="16" t="n">
        <v>991000</v>
      </c>
      <c r="E9" s="16" t="n">
        <v>909000</v>
      </c>
      <c r="F9" s="16" t="n">
        <v>310000</v>
      </c>
    </row>
    <row r="10">
      <c r="A10" s="15" t="inlineStr">
        <is>
          <t>Udskudt skatteaktiv</t>
        </is>
      </c>
      <c r="B10" s="16" t="n"/>
      <c r="C10" s="16" t="n">
        <v>48000</v>
      </c>
      <c r="D10" s="16" t="n">
        <v>0</v>
      </c>
      <c r="E10" s="16" t="n">
        <v>0</v>
      </c>
      <c r="F10" s="16" t="n">
        <v>0</v>
      </c>
    </row>
    <row r="11">
      <c r="A11" s="15" t="inlineStr">
        <is>
          <t>Tilgodehavende skat hos tilknyttede virksomheder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Kortfristede skattetilgodehavender</t>
        </is>
      </c>
      <c r="B12" s="16" t="n"/>
      <c r="C12" s="16" t="n">
        <v>92000</v>
      </c>
      <c r="D12" s="16" t="n">
        <v>1000</v>
      </c>
      <c r="E12" s="16" t="n">
        <v>85000</v>
      </c>
      <c r="F12" s="16" t="n">
        <v>64000</v>
      </c>
    </row>
    <row r="13">
      <c r="A13" s="17" t="inlineStr">
        <is>
          <t>Tilgodehavender</t>
        </is>
      </c>
      <c r="B13" s="16" t="n"/>
      <c r="C13" s="16" t="n">
        <v>138000</v>
      </c>
      <c r="D13" s="16" t="n">
        <v>114000</v>
      </c>
      <c r="E13" s="16" t="n">
        <v>137000</v>
      </c>
      <c r="F13" s="16" t="n">
        <v>323000</v>
      </c>
    </row>
    <row r="14">
      <c r="A14" s="15" t="inlineStr">
        <is>
          <t>Værdipapirer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Likvide beholdninger</t>
        </is>
      </c>
      <c r="B15" s="16" t="n">
        <v>15000</v>
      </c>
      <c r="C15" s="16" t="n">
        <v>38000</v>
      </c>
      <c r="D15" s="16" t="n">
        <v>20000</v>
      </c>
      <c r="E15" s="16" t="n">
        <v>16000</v>
      </c>
      <c r="F15" s="16" t="n">
        <v>9000</v>
      </c>
    </row>
    <row r="16">
      <c r="A16" s="17" t="inlineStr">
        <is>
          <t>Omsætningsaktiver</t>
        </is>
      </c>
      <c r="B16" s="16" t="n"/>
      <c r="C16" s="16" t="n">
        <v>14316000</v>
      </c>
      <c r="D16" s="16" t="n">
        <v>43872000</v>
      </c>
      <c r="E16" s="16" t="n">
        <v>8329000</v>
      </c>
      <c r="F16" s="16" t="n">
        <v>10581000</v>
      </c>
    </row>
    <row r="17">
      <c r="A17" s="17" t="inlineStr">
        <is>
          <t>Aktiver</t>
        </is>
      </c>
      <c r="B17" s="16" t="n"/>
      <c r="C17" s="16" t="n">
        <v>44542000</v>
      </c>
      <c r="D17" s="16" t="n">
        <v>77917000</v>
      </c>
      <c r="E17" s="16" t="n">
        <v>39841000</v>
      </c>
      <c r="F17" s="16" t="n">
        <v>42572000</v>
      </c>
    </row>
    <row r="18">
      <c r="A18" s="15" t="inlineStr">
        <is>
          <t>Selskabskapital</t>
        </is>
      </c>
      <c r="B18" s="16" t="n"/>
      <c r="C18" s="16" t="n">
        <v>82000</v>
      </c>
      <c r="D18" s="16" t="n">
        <v>82000</v>
      </c>
      <c r="E18" s="16" t="n">
        <v>82000</v>
      </c>
      <c r="F18" s="16" t="n">
        <v>82000</v>
      </c>
    </row>
    <row r="19">
      <c r="A19" s="15" t="inlineStr">
        <is>
          <t>Reserve for nettoopskrivning (indre værdis metode)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Reserve for udviklingsomkostninger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Reserve for sikringstransaktioner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reserver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Overført resultat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Egenkapital i alt</t>
        </is>
      </c>
      <c r="B24" s="16" t="n">
        <v>82000</v>
      </c>
      <c r="C24" s="16" t="n">
        <v>26912000</v>
      </c>
      <c r="D24" s="16" t="n">
        <v>55923000</v>
      </c>
      <c r="E24" s="16" t="n">
        <v>15475000</v>
      </c>
      <c r="F24" s="16" t="n">
        <v>22962000</v>
      </c>
    </row>
    <row r="25">
      <c r="A25" s="17" t="inlineStr">
        <is>
          <t>Hensatte forpligtelser</t>
        </is>
      </c>
      <c r="B25" s="16" t="n"/>
      <c r="C25" s="16" t="n">
        <v>223000</v>
      </c>
      <c r="D25" s="16" t="n">
        <v>254000</v>
      </c>
      <c r="E25" s="16" t="n">
        <v>275000</v>
      </c>
      <c r="F25" s="16" t="n">
        <v>300000</v>
      </c>
    </row>
    <row r="26">
      <c r="A26" s="15" t="inlineStr">
        <is>
          <t>Ansvarlig lånekapital (langfristet)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Langfristede lån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Leasingforpligtelser (langfristet)</t>
        </is>
      </c>
      <c r="B28" s="16" t="n"/>
      <c r="C28" s="16" t="n">
        <v>6809000</v>
      </c>
      <c r="D28" s="16" t="n">
        <v>8598000</v>
      </c>
      <c r="E28" s="16" t="n">
        <v>5881000</v>
      </c>
      <c r="F28" s="16" t="n">
        <v>5997000</v>
      </c>
    </row>
    <row r="29">
      <c r="A29" s="15" t="inlineStr">
        <is>
          <t>Anden gæld (langfristet)</t>
        </is>
      </c>
      <c r="B29" s="16" t="n"/>
      <c r="C29" s="16" t="n">
        <v>44000</v>
      </c>
      <c r="D29" s="16" t="n">
        <v>45000</v>
      </c>
      <c r="E29" s="16" t="n">
        <v>416000</v>
      </c>
      <c r="F29" s="16" t="n">
        <v>428000</v>
      </c>
    </row>
    <row r="30">
      <c r="A30" s="17" t="inlineStr">
        <is>
          <t>Langfristede gældsforpligtelser</t>
        </is>
      </c>
      <c r="B30" s="16" t="n"/>
      <c r="C30" s="16" t="n">
        <v>7148000</v>
      </c>
      <c r="D30" s="16" t="n">
        <v>9026000</v>
      </c>
      <c r="E30" s="16" t="n">
        <v>6297000</v>
      </c>
      <c r="F30" s="16" t="n">
        <v>6425000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Leasingforpligtelser (kortfristet)</t>
        </is>
      </c>
      <c r="B34" s="16" t="n"/>
      <c r="C34" s="16" t="n">
        <v>2782000</v>
      </c>
      <c r="D34" s="16" t="n">
        <v>4322000</v>
      </c>
      <c r="E34" s="16" t="n">
        <v>3803000</v>
      </c>
      <c r="F34" s="16" t="n">
        <v>3063000</v>
      </c>
    </row>
    <row r="35">
      <c r="A35" s="15" t="inlineStr">
        <is>
          <t>Leverandører af varer og tjenesteydelser</t>
        </is>
      </c>
      <c r="B35" s="16" t="n"/>
      <c r="C35" s="16" t="n">
        <v>5189000</v>
      </c>
      <c r="D35" s="16" t="n">
        <v>5494000</v>
      </c>
      <c r="E35" s="16" t="n">
        <v>5337000</v>
      </c>
      <c r="F35" s="16" t="n">
        <v>5816000</v>
      </c>
    </row>
    <row r="36">
      <c r="A36" s="15" t="inlineStr">
        <is>
          <t>Gæld til tilknyttede virksomheder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/>
      <c r="C40" s="16" t="n">
        <v>285000</v>
      </c>
      <c r="D40" s="16" t="n">
        <v>282000</v>
      </c>
      <c r="E40" s="16" t="n">
        <v>705000</v>
      </c>
      <c r="F40" s="16" t="n">
        <v>1365000</v>
      </c>
    </row>
    <row r="41">
      <c r="A41" s="15" t="inlineStr">
        <is>
          <t>Periodeafgrænsningsposter (passiver)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Kortfristede gældsforpligtelser</t>
        </is>
      </c>
      <c r="B42" s="16" t="n"/>
      <c r="C42" s="16" t="n">
        <v>10482000</v>
      </c>
      <c r="D42" s="16" t="n">
        <v>12968000</v>
      </c>
      <c r="E42" s="16" t="n">
        <v>18069000</v>
      </c>
      <c r="F42" s="16" t="n">
        <v>13185000</v>
      </c>
    </row>
    <row r="43">
      <c r="A43" s="17" t="inlineStr">
        <is>
          <t>Gældsforpligtelser</t>
        </is>
      </c>
      <c r="B43" s="16" t="n"/>
      <c r="C43" s="16" t="n">
        <v>17630000</v>
      </c>
      <c r="D43" s="16" t="n">
        <v>21994000</v>
      </c>
      <c r="E43" s="16" t="n">
        <v>24366000</v>
      </c>
      <c r="F43" s="16" t="n">
        <v>19610000</v>
      </c>
    </row>
    <row r="44">
      <c r="A44" s="17" t="inlineStr">
        <is>
          <t>Passiver</t>
        </is>
      </c>
      <c r="B44" s="16" t="n"/>
      <c r="C44" s="16" t="n">
        <v>44542000</v>
      </c>
      <c r="D44" s="16" t="n">
        <v>77917000</v>
      </c>
      <c r="E44" s="16" t="n">
        <v>39841000</v>
      </c>
      <c r="F44" s="16" t="n">
        <v>42572000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'balance_raw'!$F$44-'balance_raw'!$F$24</f>
        <v/>
      </c>
      <c r="C24" s="24">
        <f>'balance_raw'!$E$44-'balance_raw'!$E$24</f>
        <v/>
      </c>
      <c r="D24" s="24">
        <f>'balance_raw'!$D$44-'balance_raw'!$D$24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'balance_raw'!$F$42</f>
        <v/>
      </c>
      <c r="C30" s="24">
        <f>'balance_raw'!$E$42</f>
        <v/>
      </c>
      <c r="D30" s="24">
        <f>'balance_raw'!$D$42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IF('balance_raw'!$F$44="","—",IF(ABS(B25-'balance_raw'!$F$44)&lt;=1,"✓ OK","❌ "&amp;TEXT(B25-'balance_raw'!$F$44,"+#,##0;-#,##0")&amp;" t.kr."))</f>
        <v/>
      </c>
      <c r="C62" s="29">
        <f>IF('balance_raw'!$E$44="","—",IF(ABS(C25-'balance_raw'!$E$44)&lt;=1,"✓ OK","❌ "&amp;TEXT(C25-'balance_raw'!$E$44,"+#,##0;-#,##0")&amp;" t.kr."))</f>
        <v/>
      </c>
      <c r="D62" s="29">
        <f>IF('balance_raw'!$D$44="","—",IF(ABS(D25-'balance_raw'!$D$44)&lt;=1,"✓ OK","❌ "&amp;TEXT(D25-'balance_raw'!$D$44,"+#,##0;-#,##0")&amp;"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ifrs-full:CurrentDerivativeFinancialAssets</t>
        </is>
      </c>
      <c r="C3" s="34" t="inlineStr">
        <is>
          <t>ifrs-full:CurrentDerivativeFinancialAssets</t>
        </is>
      </c>
      <c r="D3" s="35" t="n"/>
      <c r="E3" s="35" t="n">
        <v>0</v>
      </c>
      <c r="F3" s="35" t="n">
        <v>52000</v>
      </c>
      <c r="G3" s="35" t="n">
        <v>50000</v>
      </c>
      <c r="H3" s="35" t="n">
        <v>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ifrs-full:CurrentDerivativeFinancialLiabilities</t>
        </is>
      </c>
      <c r="C4" s="37" t="inlineStr">
        <is>
          <t>ifrs-full:CurrentDerivativeFinancialLiabilities</t>
        </is>
      </c>
      <c r="D4" s="38" t="n"/>
      <c r="E4" s="38" t="n">
        <v>45000</v>
      </c>
      <c r="F4" s="38" t="n">
        <v>5000</v>
      </c>
      <c r="G4" s="38" t="n">
        <v>1000</v>
      </c>
      <c r="H4" s="38" t="n">
        <v>75000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ifrs-full:GainsLossesOnDisposalsOfNoncurrentAssets</t>
        </is>
      </c>
      <c r="C5" s="34" t="inlineStr">
        <is>
          <t>ifrs-full:GainsLossesOnDisposalsOfNoncurrentAssets</t>
        </is>
      </c>
      <c r="D5" s="35" t="n"/>
      <c r="E5" s="35" t="n">
        <v>96000</v>
      </c>
      <c r="F5" s="35" t="n">
        <v>201000</v>
      </c>
      <c r="G5" s="35" t="n">
        <v>294000</v>
      </c>
      <c r="H5" s="35" t="n">
        <v>264000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ifrs-full:ImpairmentLossOnFinancialAssets</t>
        </is>
      </c>
      <c r="C6" s="37" t="inlineStr">
        <is>
          <t>ifrs-full:ImpairmentLossOnFinancialAssets</t>
        </is>
      </c>
      <c r="D6" s="38" t="n"/>
      <c r="E6" s="38" t="n">
        <v>592000</v>
      </c>
      <c r="F6" s="38" t="n">
        <v>50000</v>
      </c>
      <c r="G6" s="38" t="n">
        <v>67000</v>
      </c>
      <c r="H6" s="38" t="n">
        <v>322000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ifrs-full:NoncurrentDerivativeFinancialAssets</t>
        </is>
      </c>
      <c r="C7" s="34" t="inlineStr">
        <is>
          <t>ifrs-full:NoncurrentDerivativeFinancialAssets</t>
        </is>
      </c>
      <c r="D7" s="35" t="n"/>
      <c r="E7" s="35" t="n">
        <v>4000</v>
      </c>
      <c r="F7" s="35" t="n">
        <v>11000</v>
      </c>
      <c r="G7" s="35" t="n">
        <v>1000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ifrs-full:NoncurrentDerivativeFinancialLiabilities</t>
        </is>
      </c>
      <c r="C8" s="37" t="inlineStr">
        <is>
          <t>ifrs-full:NoncurrentDerivativeFinancialLiabilities</t>
        </is>
      </c>
      <c r="D8" s="38" t="n"/>
      <c r="E8" s="38" t="n">
        <v>1000</v>
      </c>
      <c r="F8" s="38" t="n">
        <v>11000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ifrs-full:NoncurrentReceivablesDueFromRelatedParties</t>
        </is>
      </c>
      <c r="C9" s="34" t="inlineStr">
        <is>
          <t>ifrs-full:NoncurrentReceivablesDueFromRelatedParties</t>
        </is>
      </c>
      <c r="D9" s="35" t="n"/>
      <c r="E9" s="35" t="n">
        <v>13000</v>
      </c>
      <c r="F9" s="35" t="n">
        <v>7000</v>
      </c>
      <c r="G9" s="35" t="n">
        <v>7000</v>
      </c>
      <c r="H9" s="35" t="n">
        <v>7000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ifrs-full:OtherComprehensiveIncomeNetOfTaxGainsLossesOnRemeasurementsOfDefinedBenefitPlans</t>
        </is>
      </c>
      <c r="C10" s="37" t="inlineStr">
        <is>
          <t>ifrs-full:OtherComprehensiveIncomeNetOfTaxGainsLossesOnRemeasurementsOfDefinedBenefitPlans</t>
        </is>
      </c>
      <c r="D10" s="38" t="n"/>
      <c r="E10" s="38" t="n">
        <v>2000</v>
      </c>
      <c r="F10" s="38" t="n">
        <v>2000</v>
      </c>
      <c r="G10" s="38" t="n">
        <v>0</v>
      </c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ifrs-full:OtherInflowsOutflowsOfCashClassifiedAsFinancingActivities</t>
        </is>
      </c>
      <c r="C11" s="34" t="inlineStr">
        <is>
          <t>ifrs-full:OtherInflowsOutflowsOfCashClassifiedAsFinancingActivities</t>
        </is>
      </c>
      <c r="D11" s="35" t="n"/>
      <c r="E11" s="35" t="n">
        <v>-125000</v>
      </c>
      <c r="F11" s="35" t="n">
        <v>83000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ifrs-full:RevenueFromDividends</t>
        </is>
      </c>
      <c r="C12" s="37" t="inlineStr">
        <is>
          <t>ifrs-full:RevenueFromDividends</t>
        </is>
      </c>
      <c r="D12" s="38" t="n"/>
      <c r="E12" s="38" t="n">
        <v>2814000</v>
      </c>
      <c r="F12" s="38" t="n">
        <v>3734000</v>
      </c>
      <c r="G12" s="38" t="n">
        <v>3013000</v>
      </c>
      <c r="H12" s="38" t="n">
        <v>4447000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ifrs-full:TradeAndOtherCurrentReceivablesDueFromRelatedParties</t>
        </is>
      </c>
      <c r="C13" s="34" t="inlineStr">
        <is>
          <t>ifrs-full:TradeAndOtherCurrentReceivablesDueFromRelatedParties</t>
        </is>
      </c>
      <c r="D13" s="35" t="n"/>
      <c r="E13" s="35" t="n">
        <v>7521000</v>
      </c>
      <c r="F13" s="35" t="n">
        <v>36785000</v>
      </c>
      <c r="G13" s="35" t="n">
        <v>1970000</v>
      </c>
      <c r="H13" s="35" t="n">
        <v>4222000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2026-08-28T20:13:59Z</dcterms:created>
  <dcterms:modified xmlns:dcterms="http://purl.org/dc/terms/" xmlns:xsi="http://www.w3.org/2001/XMLSchema-instance" xsi:type="dcterms:W3CDTF">2026-08-28T20:13:59Z</dcterms:modified>
</cp:coreProperties>
</file>