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pandora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  <row r="91">
      <c r="A91" s="15" t="inlineStr">
        <is>
          <t>PENGESTRØMSOPGØRELSE t.kr.</t>
        </is>
      </c>
    </row>
    <row r="92">
      <c r="A92" s="16" t="inlineStr">
        <is>
          <t>Pengestrømme fra driftsaktivitet</t>
        </is>
      </c>
      <c r="B92" s="17">
        <f>'pengestrom_raw'!$B$2</f>
        <v/>
      </c>
      <c r="C92" s="17">
        <f>'pengestrom_raw'!$C$2</f>
        <v/>
      </c>
      <c r="D92" s="17">
        <f>'pengestrom_raw'!$D$2</f>
        <v/>
      </c>
      <c r="E92" s="17">
        <f>'pengestrom_raw'!$E$2</f>
        <v/>
      </c>
      <c r="F92" s="17">
        <f>'pengestrom_raw'!$F$2</f>
        <v/>
      </c>
    </row>
    <row r="93">
      <c r="A93" s="16" t="inlineStr">
        <is>
          <t>Pengestrømme fra investeringsaktivitet</t>
        </is>
      </c>
      <c r="B93" s="17">
        <f>'pengestrom_raw'!$B$3</f>
        <v/>
      </c>
      <c r="C93" s="17">
        <f>'pengestrom_raw'!$C$3</f>
        <v/>
      </c>
      <c r="D93" s="17">
        <f>'pengestrom_raw'!$D$3</f>
        <v/>
      </c>
      <c r="E93" s="17">
        <f>'pengestrom_raw'!$E$3</f>
        <v/>
      </c>
      <c r="F93" s="17">
        <f>'pengestrom_raw'!$F$3</f>
        <v/>
      </c>
    </row>
    <row r="94">
      <c r="A94" s="16" t="inlineStr">
        <is>
          <t>Pengestrømme fra finansieringsaktivitet</t>
        </is>
      </c>
      <c r="B94" s="17">
        <f>'pengestrom_raw'!$B$4</f>
        <v/>
      </c>
      <c r="C94" s="17">
        <f>'pengestrom_raw'!$C$4</f>
        <v/>
      </c>
      <c r="D94" s="17">
        <f>'pengestrom_raw'!$D$4</f>
        <v/>
      </c>
      <c r="E94" s="17">
        <f>'pengestrom_raw'!$E$4</f>
        <v/>
      </c>
      <c r="F94" s="17">
        <f>'pengestrom_raw'!$F$4</f>
        <v/>
      </c>
    </row>
    <row r="95">
      <c r="A95" s="16" t="inlineStr">
        <is>
          <t>Årets pengestrøm (rapporteret)</t>
        </is>
      </c>
      <c r="B95" s="17">
        <f>'pengestrom_raw'!$B$5</f>
        <v/>
      </c>
      <c r="C95" s="17">
        <f>'pengestrom_raw'!$C$5</f>
        <v/>
      </c>
      <c r="D95" s="17">
        <f>'pengestrom_raw'!$D$5</f>
        <v/>
      </c>
      <c r="E95" s="17">
        <f>'pengestrom_raw'!$E$5</f>
        <v/>
      </c>
      <c r="F95" s="17">
        <f>'pengestrom_raw'!$F$5</f>
        <v/>
      </c>
    </row>
    <row r="96">
      <c r="A96" s="16" t="inlineStr">
        <is>
          <t>Krydstjek: drift + inv. + fin. = årets pengestrøm</t>
        </is>
      </c>
      <c r="B9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23394000</v>
      </c>
      <c r="C2" s="17" t="n">
        <v>26463000</v>
      </c>
      <c r="D2" s="17" t="n">
        <v>28136000</v>
      </c>
      <c r="E2" s="17" t="n">
        <v>31680000</v>
      </c>
      <c r="F2" s="17" t="n">
        <v>32549000</v>
      </c>
    </row>
    <row r="3">
      <c r="A3" s="16" t="inlineStr">
        <is>
          <t>Produktionsomkostninger</t>
        </is>
      </c>
      <c r="B3" s="17" t="n">
        <v>5590000</v>
      </c>
      <c r="C3" s="17" t="n">
        <v>6273000</v>
      </c>
      <c r="D3" s="17" t="n">
        <v>6012000</v>
      </c>
      <c r="E3" s="17" t="n">
        <v>6391000</v>
      </c>
      <c r="F3" s="17" t="n">
        <v>6802000</v>
      </c>
    </row>
    <row r="4">
      <c r="A4" s="15" t="inlineStr">
        <is>
          <t>Bruttoresultat</t>
        </is>
      </c>
      <c r="B4" s="17" t="n">
        <v>17803000</v>
      </c>
      <c r="C4" s="17" t="n">
        <v>20190000</v>
      </c>
      <c r="D4" s="17" t="n">
        <v>22125000</v>
      </c>
      <c r="E4" s="17" t="n">
        <v>25289000</v>
      </c>
      <c r="F4" s="17" t="n">
        <v>25747000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>
        <v>2026000</v>
      </c>
      <c r="C6" s="17" t="n">
        <v>2125000</v>
      </c>
      <c r="D6" s="17" t="n">
        <v>2379000</v>
      </c>
      <c r="E6" s="17" t="n">
        <v>2471000</v>
      </c>
      <c r="F6" s="17" t="n">
        <v>2495000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5839000</v>
      </c>
      <c r="C9" s="17" t="n">
        <v>6743000</v>
      </c>
      <c r="D9" s="17" t="n">
        <v>7039000</v>
      </c>
      <c r="E9" s="17" t="n">
        <v>7974000</v>
      </c>
      <c r="F9" s="17" t="n">
        <v>7783000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152000</v>
      </c>
      <c r="C11" s="17" t="n">
        <v>412000</v>
      </c>
      <c r="D11" s="17" t="n">
        <v>251000</v>
      </c>
      <c r="E11" s="17" t="n">
        <v>248000</v>
      </c>
      <c r="F11" s="17" t="n">
        <v>279000</v>
      </c>
    </row>
    <row r="12">
      <c r="A12" s="16" t="inlineStr">
        <is>
          <t>Finansielle omkostninger</t>
        </is>
      </c>
      <c r="B12" s="17" t="n">
        <v>613000</v>
      </c>
      <c r="C12" s="17" t="n">
        <v>622000</v>
      </c>
      <c r="D12" s="17" t="n">
        <v>1056000</v>
      </c>
      <c r="E12" s="17" t="n">
        <v>1297000</v>
      </c>
      <c r="F12" s="17" t="n">
        <v>1149000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5378000</v>
      </c>
      <c r="C14" s="17" t="n">
        <v>6533000</v>
      </c>
      <c r="D14" s="17" t="n">
        <v>6234000</v>
      </c>
      <c r="E14" s="17" t="n">
        <v>6926000</v>
      </c>
      <c r="F14" s="17" t="n">
        <v>6913000</v>
      </c>
    </row>
    <row r="15">
      <c r="A15" s="16" t="inlineStr">
        <is>
          <t>Skat af årets resultat</t>
        </is>
      </c>
      <c r="B15" s="17" t="n">
        <v>1218000</v>
      </c>
      <c r="C15" s="17" t="n">
        <v>1504000</v>
      </c>
      <c r="D15" s="17" t="n">
        <v>1494000</v>
      </c>
      <c r="E15" s="17" t="n">
        <v>1699000</v>
      </c>
      <c r="F15" s="17" t="n">
        <v>1671000</v>
      </c>
    </row>
    <row r="16">
      <c r="A16" s="15" t="inlineStr">
        <is>
          <t>Årets resultat</t>
        </is>
      </c>
      <c r="B16" s="17" t="n">
        <v>4160000</v>
      </c>
      <c r="C16" s="17" t="n">
        <v>5029000</v>
      </c>
      <c r="D16" s="17" t="n">
        <v>4740000</v>
      </c>
      <c r="E16" s="17" t="n">
        <v>5227000</v>
      </c>
      <c r="F16" s="17" t="n">
        <v>5241000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296000</v>
      </c>
      <c r="C18" s="17" t="n">
        <v>838000</v>
      </c>
      <c r="D18" s="17" t="n">
        <v>1129000</v>
      </c>
      <c r="E18" s="17" t="n">
        <v>1336000</v>
      </c>
      <c r="F18" s="17" t="n">
        <v>1449000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538000</v>
      </c>
      <c r="C2" s="17" t="n">
        <v>642000</v>
      </c>
      <c r="D2" s="17" t="n">
        <v>790000</v>
      </c>
      <c r="E2" s="17" t="n">
        <v>1015000</v>
      </c>
      <c r="F2" s="17" t="n">
        <v>1252000</v>
      </c>
    </row>
    <row r="3">
      <c r="A3" s="16" t="inlineStr">
        <is>
          <t>Patenter, varemærker mv.</t>
        </is>
      </c>
      <c r="B3" s="17" t="n">
        <v>1057000</v>
      </c>
      <c r="C3" s="17" t="n">
        <v>1057000</v>
      </c>
      <c r="D3" s="17" t="n">
        <v>1057000</v>
      </c>
      <c r="E3" s="17" t="n">
        <v>1057000</v>
      </c>
      <c r="F3" s="17" t="n">
        <v>1057000</v>
      </c>
    </row>
    <row r="4">
      <c r="A4" s="16" t="inlineStr">
        <is>
          <t>Goodwill</t>
        </is>
      </c>
      <c r="B4" s="17" t="n">
        <v>4418000</v>
      </c>
      <c r="C4" s="17" t="n">
        <v>4822000</v>
      </c>
      <c r="D4" s="17" t="n">
        <v>4914000</v>
      </c>
      <c r="E4" s="17" t="n">
        <v>5126000</v>
      </c>
      <c r="F4" s="17" t="n">
        <v>5020000</v>
      </c>
    </row>
    <row r="5">
      <c r="A5" s="15" t="inlineStr">
        <is>
          <t>Immaterielle anlægsaktiver</t>
        </is>
      </c>
      <c r="B5" s="17" t="n">
        <v>7094000</v>
      </c>
      <c r="C5" s="17" t="n">
        <v>7568000</v>
      </c>
      <c r="D5" s="17" t="n">
        <v>7801000</v>
      </c>
      <c r="E5" s="17" t="n">
        <v>8232000</v>
      </c>
      <c r="F5" s="17" t="n">
        <v>8364000</v>
      </c>
    </row>
    <row r="6">
      <c r="A6" s="15" t="inlineStr">
        <is>
          <t>Materielle anlægsaktiver</t>
        </is>
      </c>
      <c r="B6" s="17" t="n">
        <v>1816000</v>
      </c>
      <c r="C6" s="17" t="n">
        <v>2226000</v>
      </c>
      <c r="D6" s="17" t="n">
        <v>2746000</v>
      </c>
      <c r="E6" s="17" t="n">
        <v>3475000</v>
      </c>
      <c r="F6" s="17" t="n">
        <v>3817000</v>
      </c>
    </row>
    <row r="7">
      <c r="A7" s="16" t="inlineStr">
        <is>
          <t>Kapitalandele, dattervirksomheder</t>
        </is>
      </c>
      <c r="B7" s="17" t="n"/>
      <c r="C7" s="17" t="n"/>
      <c r="D7" s="17" t="n"/>
      <c r="E7" s="17" t="n"/>
      <c r="F7" s="17" t="n"/>
    </row>
    <row r="8">
      <c r="A8" s="16" t="inlineStr">
        <is>
          <t>Deposita</t>
        </is>
      </c>
      <c r="B8" s="17" t="n">
        <v>222000</v>
      </c>
      <c r="C8" s="17" t="n">
        <v>249000</v>
      </c>
      <c r="D8" s="17" t="n">
        <v>215000</v>
      </c>
      <c r="E8" s="17" t="n">
        <v>298000</v>
      </c>
      <c r="F8" s="17" t="n">
        <v>296000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12555000</v>
      </c>
      <c r="C10" s="17" t="n">
        <v>14282000</v>
      </c>
      <c r="D10" s="17" t="n">
        <v>15800000</v>
      </c>
      <c r="E10" s="17" t="n">
        <v>18532000</v>
      </c>
      <c r="F10" s="17" t="n">
        <v>19377000</v>
      </c>
    </row>
    <row r="11">
      <c r="A11" s="15" t="inlineStr">
        <is>
          <t>Varebeholdninger</t>
        </is>
      </c>
      <c r="B11" s="17" t="n">
        <v>2991000</v>
      </c>
      <c r="C11" s="17" t="n">
        <v>4211000</v>
      </c>
      <c r="D11" s="17" t="n">
        <v>4166000</v>
      </c>
      <c r="E11" s="17" t="n">
        <v>4426000</v>
      </c>
      <c r="F11" s="17" t="n">
        <v>4883000</v>
      </c>
    </row>
    <row r="12">
      <c r="A12" s="16" t="inlineStr">
        <is>
          <t>Tilgodehavender fra salg og tjenesteydelser</t>
        </is>
      </c>
      <c r="B12" s="17" t="n">
        <v>1009000</v>
      </c>
      <c r="C12" s="17" t="n">
        <v>1262000</v>
      </c>
      <c r="D12" s="17" t="n">
        <v>1342000</v>
      </c>
      <c r="E12" s="17" t="n">
        <v>1217000</v>
      </c>
      <c r="F12" s="17" t="n">
        <v>1163000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69000</v>
      </c>
      <c r="C14" s="17" t="n">
        <v>231000</v>
      </c>
      <c r="D14" s="17" t="n">
        <v>87000</v>
      </c>
      <c r="E14" s="17" t="n">
        <v>162000</v>
      </c>
      <c r="F14" s="17" t="n">
        <v>1709000</v>
      </c>
    </row>
    <row r="15">
      <c r="A15" s="16" t="inlineStr">
        <is>
          <t>Periodeafgrænsningsposter (aktiver)</t>
        </is>
      </c>
      <c r="B15" s="17" t="n"/>
      <c r="C15" s="17" t="n"/>
      <c r="D15" s="17" t="n">
        <v>55000</v>
      </c>
      <c r="E15" s="17" t="n">
        <v>91000</v>
      </c>
      <c r="F15" s="17" t="n">
        <v>72000</v>
      </c>
    </row>
    <row r="16">
      <c r="A16" s="16" t="inlineStr">
        <is>
          <t>Udskudt skatteaktiv</t>
        </is>
      </c>
      <c r="B16" s="17" t="n">
        <v>891000</v>
      </c>
      <c r="C16" s="17" t="n">
        <v>1261000</v>
      </c>
      <c r="D16" s="17" t="n">
        <v>1260000</v>
      </c>
      <c r="E16" s="17" t="n">
        <v>1530000</v>
      </c>
      <c r="F16" s="17" t="n">
        <v>1566000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68000</v>
      </c>
      <c r="C18" s="17" t="n">
        <v>155000</v>
      </c>
      <c r="D18" s="17" t="n">
        <v>103000</v>
      </c>
      <c r="E18" s="17" t="n">
        <v>153000</v>
      </c>
      <c r="F18" s="17" t="n">
        <v>158000</v>
      </c>
    </row>
    <row r="19">
      <c r="A19" s="15" t="inlineStr">
        <is>
          <t>Tilgodehavender</t>
        </is>
      </c>
      <c r="B19" s="17" t="n">
        <v>738000</v>
      </c>
      <c r="C19" s="17" t="n">
        <v>1024000</v>
      </c>
      <c r="D19" s="17" t="n">
        <v>849000</v>
      </c>
      <c r="E19" s="17" t="n">
        <v>782000</v>
      </c>
      <c r="F19" s="17" t="n">
        <v>936000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1043000</v>
      </c>
      <c r="C21" s="17" t="n">
        <v>794000</v>
      </c>
      <c r="D21" s="17" t="n">
        <v>1397000</v>
      </c>
      <c r="E21" s="17" t="n">
        <v>2394000</v>
      </c>
      <c r="F21" s="17" t="n">
        <v>1305000</v>
      </c>
    </row>
    <row r="22">
      <c r="A22" s="15" t="inlineStr">
        <is>
          <t>Omsætningsaktiver</t>
        </is>
      </c>
      <c r="B22" s="17" t="n">
        <v>5988000</v>
      </c>
      <c r="C22" s="17" t="n">
        <v>7731000</v>
      </c>
      <c r="D22" s="17" t="n">
        <v>7998000</v>
      </c>
      <c r="E22" s="17" t="n">
        <v>9226000</v>
      </c>
      <c r="F22" s="17" t="n">
        <v>10226000</v>
      </c>
    </row>
    <row r="23">
      <c r="A23" s="15" t="inlineStr">
        <is>
          <t>Aktiver</t>
        </is>
      </c>
      <c r="B23" s="17" t="n">
        <v>18542000</v>
      </c>
      <c r="C23" s="17" t="n">
        <v>22013000</v>
      </c>
      <c r="D23" s="17" t="n">
        <v>23798000</v>
      </c>
      <c r="E23" s="17" t="n">
        <v>27758000</v>
      </c>
      <c r="F23" s="17" t="n">
        <v>29603000</v>
      </c>
    </row>
    <row r="24">
      <c r="A24" s="16" t="inlineStr">
        <is>
          <t>Selskabskapital</t>
        </is>
      </c>
      <c r="B24" s="17" t="n">
        <v>100000</v>
      </c>
      <c r="C24" s="17" t="n">
        <v>96000</v>
      </c>
      <c r="D24" s="17" t="n">
        <v>89000</v>
      </c>
      <c r="E24" s="17" t="n">
        <v>82000</v>
      </c>
      <c r="F24" s="17" t="n">
        <v>79000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795000</v>
      </c>
      <c r="C28" s="17" t="n">
        <v>918000</v>
      </c>
      <c r="D28" s="17" t="n">
        <v>610000</v>
      </c>
      <c r="E28" s="17" t="n">
        <v>858000</v>
      </c>
      <c r="F28" s="17" t="n">
        <v>1263000</v>
      </c>
    </row>
    <row r="29">
      <c r="A29" s="16" t="inlineStr">
        <is>
          <t>Overført resultat</t>
        </is>
      </c>
      <c r="B29" s="17" t="n">
        <v>3416000</v>
      </c>
      <c r="C29" s="17" t="n">
        <v>3320000</v>
      </c>
      <c r="D29" s="17" t="n">
        <v>4353000</v>
      </c>
      <c r="E29" s="17" t="n">
        <v>3228000</v>
      </c>
      <c r="F29" s="17" t="n">
        <v>4236000</v>
      </c>
    </row>
    <row r="30">
      <c r="A30" s="15" t="inlineStr">
        <is>
          <t>Egenkapital i alt</t>
        </is>
      </c>
      <c r="B30" s="17" t="n">
        <v>7001000</v>
      </c>
      <c r="C30" s="17" t="n">
        <v>7167000</v>
      </c>
      <c r="D30" s="17" t="n">
        <v>5355000</v>
      </c>
      <c r="E30" s="17" t="n">
        <v>5508000</v>
      </c>
      <c r="F30" s="17" t="n">
        <v>5282000</v>
      </c>
    </row>
    <row r="31">
      <c r="A31" s="16" t="inlineStr">
        <is>
          <t>Hensættelse til udskudt skat</t>
        </is>
      </c>
      <c r="B31" s="17" t="n">
        <v>113000</v>
      </c>
      <c r="C31" s="17" t="n">
        <v>172000</v>
      </c>
      <c r="D31" s="17" t="n">
        <v>164000</v>
      </c>
      <c r="E31" s="17" t="n">
        <v>102000</v>
      </c>
      <c r="F31" s="17" t="n">
        <v>462000</v>
      </c>
    </row>
    <row r="32">
      <c r="A32" s="15" t="inlineStr">
        <is>
          <t>Hensatte forpligtelser</t>
        </is>
      </c>
      <c r="B32" s="17" t="n">
        <v>416000</v>
      </c>
      <c r="C32" s="17" t="n">
        <v>363000</v>
      </c>
      <c r="D32" s="17" t="n">
        <v>408000</v>
      </c>
      <c r="E32" s="17" t="n">
        <v>494000</v>
      </c>
      <c r="F32" s="17" t="n">
        <v>558000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/>
      <c r="C36" s="17" t="n"/>
      <c r="D36" s="17" t="n">
        <v>80000</v>
      </c>
      <c r="E36" s="17" t="n">
        <v>152000</v>
      </c>
      <c r="F36" s="17" t="n">
        <v>128000</v>
      </c>
    </row>
    <row r="37">
      <c r="A37" s="15" t="inlineStr">
        <is>
          <t>Langfristede gældsforpligtelser</t>
        </is>
      </c>
      <c r="B37" s="17" t="n">
        <v>2765000</v>
      </c>
      <c r="C37" s="17" t="n">
        <v>3130000</v>
      </c>
      <c r="D37" s="17" t="n">
        <v>9737000</v>
      </c>
      <c r="E37" s="17" t="n">
        <v>11625000</v>
      </c>
      <c r="F37" s="17" t="n">
        <v>11922000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1161000</v>
      </c>
      <c r="C40" s="17" t="n">
        <v>4458000</v>
      </c>
      <c r="D40" s="17" t="n">
        <v>1430000</v>
      </c>
      <c r="E40" s="17" t="n">
        <v>1776000</v>
      </c>
      <c r="F40" s="17" t="n">
        <v>3102000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3267000</v>
      </c>
      <c r="C42" s="17" t="n">
        <v>3131000</v>
      </c>
      <c r="D42" s="17" t="n">
        <v>3211000</v>
      </c>
      <c r="E42" s="17" t="n">
        <v>3894000</v>
      </c>
      <c r="F42" s="17" t="n">
        <v>4623000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1694000</v>
      </c>
      <c r="C47" s="17" t="n">
        <v>1666000</v>
      </c>
      <c r="D47" s="17" t="n">
        <v>1773000</v>
      </c>
      <c r="E47" s="17" t="n">
        <v>2057000</v>
      </c>
      <c r="F47" s="17" t="n">
        <v>1710000</v>
      </c>
    </row>
    <row r="48">
      <c r="A48" s="16" t="inlineStr">
        <is>
          <t>Periodeafgrænsningsposter (passiver)</t>
        </is>
      </c>
      <c r="B48" s="17" t="n">
        <v>163000</v>
      </c>
      <c r="C48" s="17" t="n">
        <v>136000</v>
      </c>
      <c r="D48" s="17" t="n">
        <v>185000</v>
      </c>
      <c r="E48" s="17" t="n">
        <v>237000</v>
      </c>
      <c r="F48" s="17" t="n">
        <v>271000</v>
      </c>
    </row>
    <row r="49">
      <c r="A49" s="15" t="inlineStr">
        <is>
          <t>Kortfristede gældsforpligtelser</t>
        </is>
      </c>
      <c r="B49" s="17" t="n">
        <v>8246000</v>
      </c>
      <c r="C49" s="17" t="n">
        <v>11181000</v>
      </c>
      <c r="D49" s="17" t="n">
        <v>8053000</v>
      </c>
      <c r="E49" s="17" t="n">
        <v>9877000</v>
      </c>
      <c r="F49" s="17" t="n">
        <v>11252000</v>
      </c>
    </row>
    <row r="50">
      <c r="A50" s="15" t="inlineStr">
        <is>
          <t>Gældsforpligtelser</t>
        </is>
      </c>
      <c r="B50" s="17" t="n">
        <v>11541000</v>
      </c>
      <c r="C50" s="17" t="n">
        <v>14846000</v>
      </c>
      <c r="D50" s="17" t="n">
        <v>18443000</v>
      </c>
      <c r="E50" s="17" t="n">
        <v>22250000</v>
      </c>
      <c r="F50" s="17" t="n">
        <v>24321000</v>
      </c>
    </row>
    <row r="51">
      <c r="A51" s="15" t="inlineStr">
        <is>
          <t>Passiver</t>
        </is>
      </c>
      <c r="B51" s="17" t="n">
        <v>18542000</v>
      </c>
      <c r="C51" s="17" t="n">
        <v>22013000</v>
      </c>
      <c r="D51" s="17" t="n">
        <v>23798000</v>
      </c>
      <c r="E51" s="17" t="n">
        <v>27758000</v>
      </c>
      <c r="F51" s="17" t="n">
        <v>29603000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6228000</v>
      </c>
      <c r="C2" s="17" t="n">
        <v>4434000</v>
      </c>
      <c r="D2" s="17" t="n">
        <v>7384000</v>
      </c>
      <c r="E2" s="17" t="n">
        <v>8721000</v>
      </c>
      <c r="F2" s="17" t="n">
        <v>7361000</v>
      </c>
    </row>
    <row r="3">
      <c r="A3" s="16" t="inlineStr">
        <is>
          <t>Pengestrømme fra investeringsaktivitet</t>
        </is>
      </c>
      <c r="B3" s="17" t="n">
        <v>-631000</v>
      </c>
      <c r="C3" s="17" t="n">
        <v>-1785000</v>
      </c>
      <c r="D3" s="17" t="n">
        <v>-1800000</v>
      </c>
      <c r="E3" s="17" t="n">
        <v>-1889000</v>
      </c>
      <c r="F3" s="17" t="n">
        <v>-2286000</v>
      </c>
    </row>
    <row r="4">
      <c r="A4" s="16" t="inlineStr">
        <is>
          <t>Pengestrømme fra finansieringsaktivitet</t>
        </is>
      </c>
      <c r="B4" s="17" t="n">
        <v>-7484000</v>
      </c>
      <c r="C4" s="17" t="n">
        <v>-3100000</v>
      </c>
      <c r="D4" s="17" t="n">
        <v>-4935000</v>
      </c>
      <c r="E4" s="17" t="n">
        <v>-5701000</v>
      </c>
      <c r="F4" s="17" t="n">
        <v>-6119000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pandora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pandora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166000</v>
      </c>
      <c r="E3" s="35" t="n">
        <v>87000</v>
      </c>
      <c r="F3" s="35" t="n">
        <v>105000</v>
      </c>
      <c r="G3" s="35" t="n">
        <v>166000</v>
      </c>
      <c r="H3" s="35" t="n">
        <v>103000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ifrs-full:BankOverdraftsClassifiedAsCashEquivalents</t>
        </is>
      </c>
      <c r="C4" s="37" t="inlineStr">
        <is>
          <t>ifrs-full:BankOverdraftsClassifiedAsCashEquivalents</t>
        </is>
      </c>
      <c r="D4" s="38" t="n">
        <v>0</v>
      </c>
      <c r="E4" s="38" t="n">
        <v>199000</v>
      </c>
      <c r="F4" s="38" t="n">
        <v>214000</v>
      </c>
      <c r="G4" s="38" t="n">
        <v>90000</v>
      </c>
      <c r="H4" s="38" t="n">
        <v>111000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ifrs-full:CurrentRefundsProvision</t>
        </is>
      </c>
      <c r="C5" s="34" t="inlineStr">
        <is>
          <t>ifrs-full:CurrentRefundsProvision</t>
        </is>
      </c>
      <c r="D5" s="35" t="n">
        <v>724000</v>
      </c>
      <c r="E5" s="35" t="n">
        <v>628000</v>
      </c>
      <c r="F5" s="35" t="n">
        <v>721000</v>
      </c>
      <c r="G5" s="35" t="n">
        <v>840000</v>
      </c>
      <c r="H5" s="35" t="n">
        <v>793000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ifrs-full:DividendsRecognisedAsDistributionsToOwnersPerShare</t>
        </is>
      </c>
      <c r="C6" s="37" t="inlineStr">
        <is>
          <t>ifrs-full:DividendsRecognisedAsDistributionsToOwnersPerShare</t>
        </is>
      </c>
      <c r="D6" s="38" t="n"/>
      <c r="E6" s="38" t="n">
        <v>0</v>
      </c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ifrs-full:GainsLossesOnChangeInValueOfForwardElementsOfForwardContractsBeforeTax</t>
        </is>
      </c>
      <c r="C7" s="34" t="inlineStr">
        <is>
          <t>ifrs-full:GainsLossesOnChangeInValueOfForwardElementsOfForwardContractsBeforeTax</t>
        </is>
      </c>
      <c r="D7" s="35" t="n"/>
      <c r="E7" s="35" t="n"/>
      <c r="F7" s="35" t="n">
        <v>0</v>
      </c>
      <c r="G7" s="35" t="n">
        <v>7000</v>
      </c>
      <c r="H7" s="35" t="n">
        <v>50000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ifrs-full:GainsLossesOnHedgesOfNetInvestmentsInForeignOperationsBeforeTax</t>
        </is>
      </c>
      <c r="C8" s="37" t="inlineStr">
        <is>
          <t>ifrs-full:GainsLossesOnHedgesOfNetInvestmentsInForeignOperationsBeforeTax</t>
        </is>
      </c>
      <c r="D8" s="38" t="n">
        <v>-287000</v>
      </c>
      <c r="E8" s="38" t="n">
        <v>-61000</v>
      </c>
      <c r="F8" s="38" t="n">
        <v>-151000</v>
      </c>
      <c r="G8" s="38" t="n">
        <v>-70000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ifrs-full:OtherComprehensiveIncomeNetOfTaxGainsLossesOnRemeasurementsOfDefinedBenefitPlans</t>
        </is>
      </c>
      <c r="C9" s="34" t="inlineStr">
        <is>
          <t>ifrs-full:OtherComprehensiveIncomeNetOfTaxGainsLossesOnRemeasurementsOfDefinedBenefitPlans</t>
        </is>
      </c>
      <c r="D9" s="35" t="n">
        <v>10000</v>
      </c>
      <c r="E9" s="35" t="n">
        <v>12000</v>
      </c>
      <c r="F9" s="35" t="n">
        <v>-9000</v>
      </c>
      <c r="G9" s="35" t="n">
        <v>-12000</v>
      </c>
      <c r="H9" s="35" t="n">
        <v>-23000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ifrs-full:PaymentsFromChangesInOwnershipInterestsInSubsidiaries</t>
        </is>
      </c>
      <c r="C10" s="37" t="inlineStr">
        <is>
          <t>ifrs-full:PaymentsFromChangesInOwnershipInterestsInSubsidiaries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ifrs-full:ReclassificationAdjustmentsOnChangeInValueOfForwardElementsOfForwardContractsBeforeTax</t>
        </is>
      </c>
      <c r="C11" s="34" t="inlineStr">
        <is>
          <t>ifrs-full:ReclassificationAdjustmentsOnChangeInValueOfForwardElementsOfForwardContractsBeforeTax</t>
        </is>
      </c>
      <c r="D11" s="35" t="n"/>
      <c r="E11" s="35" t="n"/>
      <c r="F11" s="35" t="n"/>
      <c r="G11" s="35" t="n"/>
      <c r="H11" s="35" t="n">
        <v>115000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ifrs-full:SalesAndMarketingExpense</t>
        </is>
      </c>
      <c r="C12" s="37" t="inlineStr">
        <is>
          <t>ifrs-full:SalesAndMarketingExpense</t>
        </is>
      </c>
      <c r="D12" s="38" t="n">
        <v>9939000</v>
      </c>
      <c r="E12" s="38" t="n">
        <v>11322000</v>
      </c>
      <c r="F12" s="38" t="n">
        <v>12707000</v>
      </c>
      <c r="G12" s="38" t="n">
        <v>14844000</v>
      </c>
      <c r="H12" s="38" t="n">
        <v>15469000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ifrs-full:UndrawnBorrowingFacilities</t>
        </is>
      </c>
      <c r="C13" s="34" t="inlineStr">
        <is>
          <t>ifrs-full:UndrawnBorrowingFacilities</t>
        </is>
      </c>
      <c r="D13" s="35" t="n">
        <v>6023000</v>
      </c>
      <c r="E13" s="35" t="n">
        <v>6693000</v>
      </c>
      <c r="F13" s="35" t="n">
        <v>4472000</v>
      </c>
      <c r="G13" s="35" t="n">
        <v>7087000</v>
      </c>
      <c r="H13" s="35" t="n">
        <v>7095000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2026-09-10T15:35:54Z</dcterms:created>
  <dcterms:modified xmlns:dcterms="http://purl.org/dc/terms/" xmlns:xsi="http://www.w3.org/2001/XMLSchema-instance" xsi:type="dcterms:W3CDTF">2026-09-10T15:35:55Z</dcterms:modified>
</cp:coreProperties>
</file>