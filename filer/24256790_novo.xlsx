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140800000</v>
      </c>
      <c r="C2" s="16" t="n">
        <v>176954000</v>
      </c>
      <c r="D2" s="16" t="n">
        <v>232261000</v>
      </c>
      <c r="E2" s="16" t="n">
        <v>290403000</v>
      </c>
      <c r="F2" s="16" t="n">
        <v>309064000</v>
      </c>
    </row>
    <row r="3">
      <c r="A3" s="15" t="inlineStr">
        <is>
          <t>Produktionsomkostninger</t>
        </is>
      </c>
      <c r="B3" s="16" t="n">
        <v>23658000</v>
      </c>
      <c r="C3" s="16" t="n">
        <v>28448000</v>
      </c>
      <c r="D3" s="16" t="n">
        <v>35765000</v>
      </c>
      <c r="E3" s="16" t="n">
        <v>44522000</v>
      </c>
      <c r="F3" s="16" t="n">
        <v>58788000</v>
      </c>
    </row>
    <row r="4">
      <c r="A4" s="17" t="inlineStr">
        <is>
          <t>Bruttoresultat</t>
        </is>
      </c>
      <c r="B4" s="16" t="n">
        <v>117142000</v>
      </c>
      <c r="C4" s="16" t="n">
        <v>148506000</v>
      </c>
      <c r="D4" s="16" t="n">
        <v>196496000</v>
      </c>
      <c r="E4" s="16" t="n">
        <v>245881000</v>
      </c>
      <c r="F4" s="16" t="n">
        <v>250276000</v>
      </c>
    </row>
    <row r="5">
      <c r="A5" s="15" t="inlineStr">
        <is>
          <t>Salgs- og distributionsomkostninger</t>
        </is>
      </c>
      <c r="B5" s="16" t="n">
        <v>37008000</v>
      </c>
      <c r="C5" s="16" t="n">
        <v>46217000</v>
      </c>
      <c r="D5" s="16" t="n">
        <v>56743000</v>
      </c>
      <c r="E5" s="16" t="n">
        <v>62101000</v>
      </c>
      <c r="F5" s="16" t="n">
        <v>64310000</v>
      </c>
    </row>
    <row r="6">
      <c r="A6" s="15" t="inlineStr">
        <is>
          <t>Administrationsomkostninger</t>
        </is>
      </c>
      <c r="B6" s="16" t="n">
        <v>4050000</v>
      </c>
      <c r="C6" s="16" t="n">
        <v>4467000</v>
      </c>
      <c r="D6" s="16" t="n">
        <v>4855000</v>
      </c>
      <c r="E6" s="16" t="n">
        <v>5276000</v>
      </c>
      <c r="F6" s="16" t="n">
        <v>5969000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58644000</v>
      </c>
      <c r="C9" s="16" t="n">
        <v>74809000</v>
      </c>
      <c r="D9" s="16" t="n">
        <v>102574000</v>
      </c>
      <c r="E9" s="16" t="n">
        <v>128339000</v>
      </c>
      <c r="F9" s="16" t="n">
        <v>127658000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2887000</v>
      </c>
      <c r="C11" s="16" t="n">
        <v>239000</v>
      </c>
      <c r="D11" s="16" t="n">
        <v>2945000</v>
      </c>
      <c r="E11" s="16" t="n">
        <v>6198000</v>
      </c>
      <c r="F11" s="16" t="n">
        <v>9660000</v>
      </c>
    </row>
    <row r="12">
      <c r="A12" s="15" t="inlineStr">
        <is>
          <t>Finansielle omkostninger</t>
        </is>
      </c>
      <c r="B12" s="16" t="n">
        <v>2451000</v>
      </c>
      <c r="C12" s="16" t="n">
        <v>5986000</v>
      </c>
      <c r="D12" s="16" t="n">
        <v>845000</v>
      </c>
      <c r="E12" s="16" t="n">
        <v>7346000</v>
      </c>
      <c r="F12" s="16" t="n">
        <v>6778000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59080000</v>
      </c>
      <c r="C14" s="16" t="n">
        <v>69062000</v>
      </c>
      <c r="D14" s="16" t="n">
        <v>104674000</v>
      </c>
      <c r="E14" s="16" t="n">
        <v>127191000</v>
      </c>
      <c r="F14" s="16" t="n">
        <v>130540000</v>
      </c>
    </row>
    <row r="15">
      <c r="A15" s="15" t="inlineStr">
        <is>
          <t>Skat af årets resultat</t>
        </is>
      </c>
      <c r="B15" s="16" t="n">
        <v>11323000</v>
      </c>
      <c r="C15" s="16" t="n">
        <v>13537000</v>
      </c>
      <c r="D15" s="16" t="n">
        <v>20991000</v>
      </c>
      <c r="E15" s="16" t="n">
        <v>26203000</v>
      </c>
      <c r="F15" s="16" t="n">
        <v>28106000</v>
      </c>
    </row>
    <row r="16">
      <c r="A16" s="17" t="inlineStr">
        <is>
          <t>Årets resultat</t>
        </is>
      </c>
      <c r="B16" s="16" t="n">
        <v>47757000</v>
      </c>
      <c r="C16" s="16" t="n">
        <v>55525000</v>
      </c>
      <c r="D16" s="16" t="n">
        <v>83683000</v>
      </c>
      <c r="E16" s="16" t="n">
        <v>100988000</v>
      </c>
      <c r="F16" s="16" t="n">
        <v>102434000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6335000</v>
      </c>
      <c r="C18" s="16" t="n">
        <v>12146000</v>
      </c>
      <c r="D18" s="16" t="n">
        <v>25806000</v>
      </c>
      <c r="E18" s="16" t="n">
        <v>47164000</v>
      </c>
      <c r="F18" s="16" t="n">
        <v>60140000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>
        <v>19845000</v>
      </c>
    </row>
    <row r="5">
      <c r="A5" s="17" t="inlineStr">
        <is>
          <t>Immaterielle anlægsaktiver</t>
        </is>
      </c>
      <c r="B5" s="16" t="n">
        <v>43171000</v>
      </c>
      <c r="C5" s="16" t="n">
        <v>51416000</v>
      </c>
      <c r="D5" s="16" t="n">
        <v>60406000</v>
      </c>
      <c r="E5" s="16" t="n">
        <v>111090000</v>
      </c>
      <c r="F5" s="16" t="n">
        <v>110208000</v>
      </c>
    </row>
    <row r="6">
      <c r="A6" s="17" t="inlineStr">
        <is>
          <t>Materielle anlægsaktiver</t>
        </is>
      </c>
      <c r="B6" s="16" t="n">
        <v>55362000</v>
      </c>
      <c r="C6" s="16" t="n">
        <v>66671000</v>
      </c>
      <c r="D6" s="16" t="n">
        <v>90961000</v>
      </c>
      <c r="E6" s="16" t="n">
        <v>162488000</v>
      </c>
      <c r="F6" s="16" t="n">
        <v>208378000</v>
      </c>
    </row>
    <row r="7">
      <c r="A7" s="15" t="inlineStr">
        <is>
          <t>Kapitalandele, dattervirksomheder</t>
        </is>
      </c>
      <c r="B7" s="16" t="n">
        <v>525000</v>
      </c>
      <c r="C7" s="16" t="n">
        <v>327000</v>
      </c>
      <c r="D7" s="16" t="n">
        <v>410000</v>
      </c>
      <c r="E7" s="16" t="n">
        <v>400000</v>
      </c>
      <c r="F7" s="16" t="n">
        <v>366000</v>
      </c>
    </row>
    <row r="8">
      <c r="A8" s="15" t="inlineStr">
        <is>
          <t>Deposita</t>
        </is>
      </c>
      <c r="B8" s="16" t="n">
        <v>916000</v>
      </c>
      <c r="C8" s="16" t="n">
        <v>1016000</v>
      </c>
      <c r="D8" s="16" t="n">
        <v>1253000</v>
      </c>
      <c r="E8" s="16" t="n">
        <v>2277000</v>
      </c>
      <c r="F8" s="16" t="n">
        <v>2141000</v>
      </c>
    </row>
    <row r="9">
      <c r="A9" s="17" t="inlineStr">
        <is>
          <t>Finansielle anlægsaktiver</t>
        </is>
      </c>
      <c r="B9" s="16" t="n"/>
      <c r="C9" s="16" t="n"/>
      <c r="D9" s="16" t="n"/>
      <c r="E9" s="16" t="n"/>
      <c r="F9" s="16" t="n"/>
    </row>
    <row r="10">
      <c r="A10" s="17" t="inlineStr">
        <is>
          <t>Anlægsaktiver</t>
        </is>
      </c>
      <c r="B10" s="16" t="n">
        <v>108913000</v>
      </c>
      <c r="C10" s="16" t="n">
        <v>133063000</v>
      </c>
      <c r="D10" s="16" t="n">
        <v>174840000</v>
      </c>
      <c r="E10" s="16" t="n">
        <v>304898000</v>
      </c>
      <c r="F10" s="16" t="n">
        <v>370449000</v>
      </c>
    </row>
    <row r="11">
      <c r="A11" s="17" t="inlineStr">
        <is>
          <t>Varebeholdninger</t>
        </is>
      </c>
      <c r="B11" s="16" t="n">
        <v>19621000</v>
      </c>
      <c r="C11" s="16" t="n">
        <v>24388000</v>
      </c>
      <c r="D11" s="16" t="n">
        <v>31811000</v>
      </c>
      <c r="E11" s="16" t="n">
        <v>40849000</v>
      </c>
      <c r="F11" s="16" t="n">
        <v>49623000</v>
      </c>
    </row>
    <row r="12">
      <c r="A12" s="15" t="inlineStr">
        <is>
          <t>Tilgodehavender fra salg og tjenesteydelser</t>
        </is>
      </c>
      <c r="B12" s="16" t="n">
        <v>40643000</v>
      </c>
      <c r="C12" s="16" t="n">
        <v>50560000</v>
      </c>
      <c r="D12" s="16" t="n">
        <v>64770000</v>
      </c>
      <c r="E12" s="16" t="n">
        <v>71949000</v>
      </c>
      <c r="F12" s="16" t="n">
        <v>70856000</v>
      </c>
    </row>
    <row r="13">
      <c r="A13" s="15" t="inlineStr">
        <is>
          <t>Tilgodehavender hos tilknyttede virksomheder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Andre tilgodehavender</t>
        </is>
      </c>
      <c r="B14" s="16" t="n">
        <v>1690000</v>
      </c>
      <c r="C14" s="16" t="n">
        <v>2727000</v>
      </c>
      <c r="D14" s="16" t="n">
        <v>2344000</v>
      </c>
      <c r="E14" s="16" t="n">
        <v>6326000</v>
      </c>
      <c r="F14" s="16" t="n">
        <v>6682000</v>
      </c>
    </row>
    <row r="15">
      <c r="A15" s="15" t="inlineStr">
        <is>
          <t>Periodeafgrænsningsposter (aktiver)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Udskudt skatteaktiv</t>
        </is>
      </c>
      <c r="B16" s="16" t="n">
        <v>8672000</v>
      </c>
      <c r="C16" s="16" t="n">
        <v>13427000</v>
      </c>
      <c r="D16" s="16" t="n">
        <v>20380000</v>
      </c>
      <c r="E16" s="16" t="n">
        <v>24627000</v>
      </c>
      <c r="F16" s="16" t="n">
        <v>23647000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>
        <v>1119000</v>
      </c>
      <c r="C18" s="16" t="n">
        <v>940000</v>
      </c>
      <c r="D18" s="16" t="n">
        <v>2423000</v>
      </c>
      <c r="E18" s="16" t="n">
        <v>2853000</v>
      </c>
      <c r="F18" s="16" t="n">
        <v>4848000</v>
      </c>
    </row>
    <row r="19">
      <c r="A19" s="17" t="inlineStr">
        <is>
          <t>Tilgodehavender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21439000</v>
      </c>
      <c r="C21" s="16" t="n">
        <v>12653000</v>
      </c>
      <c r="D21" s="16" t="n">
        <v>14392000</v>
      </c>
      <c r="E21" s="16" t="n">
        <v>15655000</v>
      </c>
      <c r="F21" s="16" t="n">
        <v>26464000</v>
      </c>
    </row>
    <row r="22">
      <c r="A22" s="17" t="inlineStr">
        <is>
          <t>Omsætningsaktiver</t>
        </is>
      </c>
      <c r="B22" s="16" t="n">
        <v>85595000</v>
      </c>
      <c r="C22" s="16" t="n">
        <v>108194000</v>
      </c>
      <c r="D22" s="16" t="n">
        <v>139646000</v>
      </c>
      <c r="E22" s="16" t="n">
        <v>160897000</v>
      </c>
      <c r="F22" s="16" t="n">
        <v>172453000</v>
      </c>
    </row>
    <row r="23">
      <c r="A23" s="17" t="inlineStr">
        <is>
          <t>Aktiver</t>
        </is>
      </c>
      <c r="B23" s="16" t="n">
        <v>194508000</v>
      </c>
      <c r="C23" s="16" t="n">
        <v>241257000</v>
      </c>
      <c r="D23" s="16" t="n">
        <v>314486000</v>
      </c>
      <c r="E23" s="16" t="n">
        <v>465795000</v>
      </c>
      <c r="F23" s="16" t="n">
        <v>542902000</v>
      </c>
    </row>
    <row r="24">
      <c r="A24" s="15" t="inlineStr">
        <is>
          <t>Selskabskapital</t>
        </is>
      </c>
      <c r="B24" s="16" t="n">
        <v>462000</v>
      </c>
      <c r="C24" s="16" t="n">
        <v>456000</v>
      </c>
      <c r="D24" s="16" t="n">
        <v>451000</v>
      </c>
      <c r="E24" s="16" t="n">
        <v>446000</v>
      </c>
      <c r="F24" s="16" t="n">
        <v>446000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>
        <v>-1714000</v>
      </c>
      <c r="C28" s="16" t="n">
        <v>2449000</v>
      </c>
      <c r="D28" s="16" t="n">
        <v>1276000</v>
      </c>
      <c r="E28" s="16" t="n">
        <v>-1406000</v>
      </c>
      <c r="F28" s="16" t="n">
        <v>-1695000</v>
      </c>
    </row>
    <row r="29">
      <c r="A29" s="15" t="inlineStr">
        <is>
          <t>Overført resultat</t>
        </is>
      </c>
      <c r="B29" s="16" t="n">
        <v>6000</v>
      </c>
      <c r="C29" s="16" t="n">
        <v>6000</v>
      </c>
      <c r="D29" s="16" t="n">
        <v>5000</v>
      </c>
      <c r="E29" s="16" t="n">
        <v>2000</v>
      </c>
      <c r="F29" s="16" t="n">
        <v>2000</v>
      </c>
    </row>
    <row r="30">
      <c r="A30" s="17" t="inlineStr">
        <is>
          <t>Egenkapital i alt</t>
        </is>
      </c>
      <c r="B30" s="16" t="n">
        <v>70746000</v>
      </c>
      <c r="C30" s="16" t="n">
        <v>83486000</v>
      </c>
      <c r="D30" s="16" t="n">
        <v>106561000</v>
      </c>
      <c r="E30" s="16" t="n">
        <v>143486000</v>
      </c>
      <c r="F30" s="16" t="n">
        <v>194047000</v>
      </c>
    </row>
    <row r="31">
      <c r="A31" s="15" t="inlineStr">
        <is>
          <t>Hensættelse til udskudt skat</t>
        </is>
      </c>
      <c r="B31" s="16" t="n">
        <v>5271000</v>
      </c>
      <c r="C31" s="16" t="n">
        <v>7061000</v>
      </c>
      <c r="D31" s="16" t="n">
        <v>10162000</v>
      </c>
      <c r="E31" s="16" t="n">
        <v>5426000</v>
      </c>
      <c r="F31" s="16" t="n">
        <v>6611000</v>
      </c>
    </row>
    <row r="32">
      <c r="A32" s="17" t="inlineStr">
        <is>
          <t>Hensatte forpligtelser</t>
        </is>
      </c>
      <c r="B32" s="16" t="n">
        <v>1280000</v>
      </c>
      <c r="C32" s="16" t="n">
        <v>762000</v>
      </c>
      <c r="D32" s="16" t="n">
        <v>742000</v>
      </c>
      <c r="E32" s="16" t="n">
        <v>903000</v>
      </c>
      <c r="F32" s="16" t="n">
        <v>861000</v>
      </c>
    </row>
    <row r="33">
      <c r="A33" s="15" t="inlineStr">
        <is>
          <t>Ansvarlig lånekapital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Langfristede lån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Anden gæld (langfristet)</t>
        </is>
      </c>
      <c r="B36" s="16" t="n">
        <v>360000</v>
      </c>
      <c r="C36" s="16" t="n">
        <v>100000</v>
      </c>
      <c r="D36" s="16" t="n">
        <v>189000</v>
      </c>
      <c r="E36" s="16" t="n">
        <v>23000</v>
      </c>
      <c r="F36" s="16" t="n"/>
    </row>
    <row r="37">
      <c r="A37" s="17" t="inlineStr">
        <is>
          <t>Langfristede gældsforpligtelser</t>
        </is>
      </c>
      <c r="B37" s="16" t="n">
        <v>12961000</v>
      </c>
      <c r="C37" s="16" t="n">
        <v>24318000</v>
      </c>
      <c r="D37" s="16" t="n">
        <v>20528000</v>
      </c>
      <c r="E37" s="16" t="n">
        <v>89674000</v>
      </c>
      <c r="F37" s="16" t="n">
        <v>118941000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13684000</v>
      </c>
      <c r="C40" s="16" t="n">
        <v>1466000</v>
      </c>
      <c r="D40" s="16" t="n">
        <v>6478000</v>
      </c>
      <c r="E40" s="16" t="n">
        <v>13113000</v>
      </c>
      <c r="F40" s="16" t="n">
        <v>12017000</v>
      </c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8870000</v>
      </c>
      <c r="C42" s="16" t="n">
        <v>15587000</v>
      </c>
      <c r="D42" s="16" t="n">
        <v>25606000</v>
      </c>
      <c r="E42" s="16" t="n">
        <v>28846000</v>
      </c>
      <c r="F42" s="16" t="n">
        <v>19758000</v>
      </c>
    </row>
    <row r="43">
      <c r="A43" s="15" t="inlineStr">
        <is>
          <t>Gæld til tilknyttede virksomheder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19600000</v>
      </c>
      <c r="C47" s="16" t="n">
        <v>23606000</v>
      </c>
      <c r="D47" s="16" t="n">
        <v>28705000</v>
      </c>
      <c r="E47" s="16" t="n">
        <v>37993000</v>
      </c>
      <c r="F47" s="16" t="n">
        <v>39721000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Kortfristede gældsforpligtelser</t>
        </is>
      </c>
      <c r="B49" s="16" t="n">
        <v>99516000</v>
      </c>
      <c r="C49" s="16" t="n">
        <v>120940000</v>
      </c>
      <c r="D49" s="16" t="n">
        <v>169655000</v>
      </c>
      <c r="E49" s="16" t="n">
        <v>217528000</v>
      </c>
      <c r="F49" s="16" t="n">
        <v>215661000</v>
      </c>
    </row>
    <row r="50">
      <c r="A50" s="17" t="inlineStr">
        <is>
          <t>Gældsforpligtelser</t>
        </is>
      </c>
      <c r="B50" s="16" t="n">
        <v>123762000</v>
      </c>
      <c r="C50" s="16" t="n">
        <v>157771000</v>
      </c>
      <c r="D50" s="16" t="n">
        <v>207925000</v>
      </c>
      <c r="E50" s="16" t="n">
        <v>322309000</v>
      </c>
      <c r="F50" s="16" t="n">
        <v>348855000</v>
      </c>
    </row>
    <row r="51">
      <c r="A51" s="17" t="inlineStr">
        <is>
          <t>Passiver</t>
        </is>
      </c>
      <c r="B51" s="16" t="n">
        <v>194508000</v>
      </c>
      <c r="C51" s="16" t="n">
        <v>241257000</v>
      </c>
      <c r="D51" s="16" t="n">
        <v>314486000</v>
      </c>
      <c r="E51" s="16" t="n">
        <v>465795000</v>
      </c>
      <c r="F51" s="16" t="n">
        <v>542902000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t.kr."))</f>
        <v/>
      </c>
      <c r="C60" s="29">
        <f>IF('balance_raw'!$E$23="","—",IF(ABS(C20-'balance_raw'!$E$23)&lt;=1,"✓ OK","❌ "&amp;TEXT(C20-'balance_raw'!$E$23,"+#,##0;-#,##0")&amp;" t.kr."))</f>
        <v/>
      </c>
      <c r="D60" s="29">
        <f>IF('balance_raw'!$D$23="","—",IF(ABS(D20-'balance_raw'!$D$23)&lt;=1,"✓ OK","❌ "&amp;TEXT(D20-'balance_raw'!$D$23,"+#,##0;-#,##0")&amp;"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t.kr."))</f>
        <v/>
      </c>
      <c r="C61" s="29">
        <f>IF('balance_raw'!$E$51="","—",IF(ABS(C24-'balance_raw'!$E$51)&lt;=1,"✓ OK","❌ "&amp;TEXT(C24-'balance_raw'!$E$51,"+#,##0;-#,##0")&amp;" t.kr."))</f>
        <v/>
      </c>
      <c r="D61" s="29">
        <f>IF('balance_raw'!$D$51="","—",IF(ABS(D24-'balance_raw'!$D$51)&lt;=1,"✓ OK","❌ "&amp;TEXT(D24-'balance_raw'!$D$51,"+#,##0;-#,##0")&amp;"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ifrs-full:AdjustmentsForIncomeTaxExpense</t>
        </is>
      </c>
      <c r="C3" s="34" t="inlineStr">
        <is>
          <t>ifrs-full:AdjustmentsForIncomeTaxExpense</t>
        </is>
      </c>
      <c r="D3" s="35" t="n">
        <v>11323000</v>
      </c>
      <c r="E3" s="35" t="n">
        <v>13537000</v>
      </c>
      <c r="F3" s="35" t="n">
        <v>20991000</v>
      </c>
      <c r="G3" s="35" t="n">
        <v>26203000</v>
      </c>
      <c r="H3" s="35" t="n">
        <v>28106000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ifrs-full:CurrentFinancialAssetsAtFairValueThroughProfitOrLoss</t>
        </is>
      </c>
      <c r="C4" s="37" t="inlineStr">
        <is>
          <t>ifrs-full:CurrentFinancialAssetsAtFairValueThroughProfitOrLoss</t>
        </is>
      </c>
      <c r="D4" s="38" t="n"/>
      <c r="E4" s="38" t="n"/>
      <c r="F4" s="38" t="n"/>
      <c r="G4" s="38" t="n">
        <v>10653000</v>
      </c>
      <c r="H4" s="38" t="n">
        <v>498000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ifrs-full:CurrentInvestments</t>
        </is>
      </c>
      <c r="C5" s="34" t="inlineStr">
        <is>
          <t>ifrs-full:CurrentInvestments</t>
        </is>
      </c>
      <c r="D5" s="35" t="n">
        <v>6765000</v>
      </c>
      <c r="E5" s="35" t="n">
        <v>10921000</v>
      </c>
      <c r="F5" s="35" t="n">
        <v>15838000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ifrs-full:OtherComprehensiveIncomeThatWillNotBeReclassifiedToProfitOrLossBeforeTax</t>
        </is>
      </c>
      <c r="C6" s="37" t="inlineStr">
        <is>
          <t>ifrs-full:OtherComprehensiveIncomeThatWillNotBeReclassifiedToProfitOrLossBeforeTax</t>
        </is>
      </c>
      <c r="D6" s="38" t="n"/>
      <c r="E6" s="38" t="n"/>
      <c r="F6" s="38" t="n">
        <v>13000</v>
      </c>
      <c r="G6" s="38" t="n">
        <v>-119000</v>
      </c>
      <c r="H6" s="38" t="n">
        <v>26000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ifrs-full:OtherIndividuallyImmaterialComponentsOfOtherComprehensiveIncomeBeforeTax</t>
        </is>
      </c>
      <c r="C7" s="34" t="inlineStr">
        <is>
          <t>ifrs-full:OtherIndividuallyImmaterialComponentsOfOtherComprehensiveIncomeBeforeTax</t>
        </is>
      </c>
      <c r="D7" s="35" t="n">
        <v>112000</v>
      </c>
      <c r="E7" s="35" t="n">
        <v>-3000</v>
      </c>
      <c r="F7" s="35" t="n">
        <v>4000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ifrs-full:ProceedsFromSalesOrMaturityOfFinancialInstrumentsClassifiedAsInvestingActivities</t>
        </is>
      </c>
      <c r="C8" s="37" t="inlineStr">
        <is>
          <t>ifrs-full:ProceedsFromSalesOrMaturityOfFinancialInstrumentsClassifiedAsInvestingActivities</t>
        </is>
      </c>
      <c r="D8" s="38" t="n"/>
      <c r="E8" s="38" t="n"/>
      <c r="F8" s="38" t="n"/>
      <c r="G8" s="38" t="n">
        <v>24391000</v>
      </c>
      <c r="H8" s="38" t="n">
        <v>10644000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ifrs-full:ResearchAndDevelopmentExpense</t>
        </is>
      </c>
      <c r="C9" s="34" t="inlineStr">
        <is>
          <t>ifrs-full:ResearchAndDevelopmentExpense</t>
        </is>
      </c>
      <c r="D9" s="35" t="n">
        <v>17772000</v>
      </c>
      <c r="E9" s="35" t="n">
        <v>24047000</v>
      </c>
      <c r="F9" s="35" t="n">
        <v>32443000</v>
      </c>
      <c r="G9" s="35" t="n">
        <v>48062000</v>
      </c>
      <c r="H9" s="35" t="n">
        <v>52039000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2026-09-07T18:22:23Z</dcterms:created>
  <dcterms:modified xmlns:dcterms="http://purl.org/dc/terms/" xmlns:xsi="http://www.w3.org/2001/XMLSchema-instance" xsi:type="dcterms:W3CDTF">2026-09-07T18:22:23Z</dcterms:modified>
</cp:coreProperties>
</file>