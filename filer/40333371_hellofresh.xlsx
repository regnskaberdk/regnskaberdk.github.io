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0333371" sheetId="1" state="visible" r:id="rId1"/>
    <sheet xmlns:r="http://schemas.openxmlformats.org/officeDocument/2006/relationships" name="res_raw_40333371" sheetId="2" state="visible" r:id="rId2"/>
    <sheet xmlns:r="http://schemas.openxmlformats.org/officeDocument/2006/relationships" name="balance_raw_4033337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'res_raw_40333371'!$B$2</f>
        <v/>
      </c>
      <c r="C4" s="5">
        <f>'res_raw_40333371'!$C$2</f>
        <v/>
      </c>
      <c r="D4" s="5">
        <f>'res_raw_40333371'!$D$2</f>
        <v/>
      </c>
      <c r="E4" s="5">
        <f>'res_raw_40333371'!$E$2</f>
        <v/>
      </c>
      <c r="F4" s="5">
        <f>'res_raw_40333371'!$F$2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'res_raw_40333371'!$B$3</f>
        <v/>
      </c>
      <c r="C5" s="8">
        <f>'res_raw_40333371'!$C$3</f>
        <v/>
      </c>
      <c r="D5" s="8">
        <f>'res_raw_40333371'!$D$3</f>
        <v/>
      </c>
      <c r="E5" s="8">
        <f>'res_raw_40333371'!$E$3</f>
        <v/>
      </c>
      <c r="F5" s="8">
        <f>'res_raw_40333371'!$F$3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'res_raw_40333371'!$B$4</f>
        <v/>
      </c>
      <c r="C6" s="5">
        <f>'res_raw_40333371'!$C$4</f>
        <v/>
      </c>
      <c r="D6" s="5">
        <f>'res_raw_40333371'!$D$4</f>
        <v/>
      </c>
      <c r="E6" s="5">
        <f>'res_raw_40333371'!$E$4</f>
        <v/>
      </c>
      <c r="F6" s="5">
        <f>'res_raw_40333371'!$F$4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'res_raw_40333371'!$B$5</f>
        <v/>
      </c>
      <c r="C7" s="8">
        <f>'res_raw_40333371'!$C$5</f>
        <v/>
      </c>
      <c r="D7" s="8">
        <f>'res_raw_40333371'!$D$5</f>
        <v/>
      </c>
      <c r="E7" s="8">
        <f>'res_raw_40333371'!$E$5</f>
        <v/>
      </c>
      <c r="F7" s="8">
        <f>'res_raw_40333371'!$F$5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'res_raw_40333371'!$B$6</f>
        <v/>
      </c>
      <c r="C8" s="11">
        <f>'res_raw_40333371'!$C$6</f>
        <v/>
      </c>
      <c r="D8" s="11">
        <f>'res_raw_40333371'!$D$6</f>
        <v/>
      </c>
      <c r="E8" s="11">
        <f>'res_raw_40333371'!$E$6</f>
        <v/>
      </c>
      <c r="F8" s="11">
        <f>'res_raw_40333371'!$F$6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'res_raw_40333371'!$B$7</f>
        <v/>
      </c>
      <c r="C9" s="8">
        <f>'res_raw_40333371'!$C$7</f>
        <v/>
      </c>
      <c r="D9" s="8">
        <f>'res_raw_40333371'!$D$7</f>
        <v/>
      </c>
      <c r="E9" s="8">
        <f>'res_raw_40333371'!$E$7</f>
        <v/>
      </c>
      <c r="F9" s="8">
        <f>'res_raw_40333371'!$F$7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'res_raw_40333371'!$B$9</f>
        <v/>
      </c>
      <c r="C11" s="8">
        <f>'res_raw_40333371'!$C$9</f>
        <v/>
      </c>
      <c r="D11" s="8">
        <f>'res_raw_40333371'!$D$9</f>
        <v/>
      </c>
      <c r="E11" s="8">
        <f>'res_raw_40333371'!$E$9</f>
        <v/>
      </c>
      <c r="F11" s="8">
        <f>'res_raw_40333371'!$F$9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'res_raw_40333371'!$B$10</f>
        <v/>
      </c>
      <c r="C12" s="5">
        <f>'res_raw_40333371'!$C$10</f>
        <v/>
      </c>
      <c r="D12" s="5">
        <f>'res_raw_40333371'!$D$10</f>
        <v/>
      </c>
      <c r="E12" s="5">
        <f>'res_raw_40333371'!$E$10</f>
        <v/>
      </c>
      <c r="F12" s="5">
        <f>'res_raw_40333371'!$F$10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'res_raw_40333371'!$B$11</f>
        <v/>
      </c>
      <c r="C13" s="11">
        <f>'res_raw_40333371'!$C$11</f>
        <v/>
      </c>
      <c r="D13" s="11">
        <f>'res_raw_40333371'!$D$11</f>
        <v/>
      </c>
      <c r="E13" s="11">
        <f>'res_raw_40333371'!$E$11</f>
        <v/>
      </c>
      <c r="F13" s="11">
        <f>'res_raw_40333371'!$F$11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'res_raw_40333371'!$B$12</f>
        <v/>
      </c>
      <c r="C14" s="5">
        <f>'res_raw_40333371'!$C$12</f>
        <v/>
      </c>
      <c r="D14" s="5">
        <f>'res_raw_40333371'!$D$12</f>
        <v/>
      </c>
      <c r="E14" s="5">
        <f>'res_raw_40333371'!$E$12</f>
        <v/>
      </c>
      <c r="F14" s="5">
        <f>'res_raw_40333371'!$F$12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'res_raw_40333371'!$B$13</f>
        <v/>
      </c>
      <c r="C15" s="8">
        <f>'res_raw_40333371'!$C$13</f>
        <v/>
      </c>
      <c r="D15" s="8">
        <f>'res_raw_40333371'!$D$13</f>
        <v/>
      </c>
      <c r="E15" s="8">
        <f>'res_raw_40333371'!$E$13</f>
        <v/>
      </c>
      <c r="F15" s="8">
        <f>'res_raw_40333371'!$F$13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'res_raw_40333371'!$B$14</f>
        <v/>
      </c>
      <c r="C16" s="5">
        <f>'res_raw_40333371'!$C$14</f>
        <v/>
      </c>
      <c r="D16" s="5">
        <f>'res_raw_40333371'!$D$14</f>
        <v/>
      </c>
      <c r="E16" s="5">
        <f>'res_raw_40333371'!$E$14</f>
        <v/>
      </c>
      <c r="F16" s="5">
        <f>'res_raw_40333371'!$F$14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'res_raw_40333371'!$B$15</f>
        <v/>
      </c>
      <c r="C17" s="11">
        <f>'res_raw_40333371'!$C$15</f>
        <v/>
      </c>
      <c r="D17" s="11">
        <f>'res_raw_40333371'!$D$15</f>
        <v/>
      </c>
      <c r="E17" s="11">
        <f>'res_raw_40333371'!$E$15</f>
        <v/>
      </c>
      <c r="F17" s="11">
        <f>'res_raw_40333371'!$F$15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'res_raw_40333371'!$B$16</f>
        <v/>
      </c>
      <c r="C18" s="11">
        <f>'res_raw_40333371'!$C$16</f>
        <v/>
      </c>
      <c r="D18" s="11">
        <f>'res_raw_40333371'!$D$16</f>
        <v/>
      </c>
      <c r="E18" s="11">
        <f>'res_raw_40333371'!$E$16</f>
        <v/>
      </c>
      <c r="F18" s="11">
        <f>'res_raw_40333371'!$F$16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'res_raw_40333371'!$B$17</f>
        <v/>
      </c>
      <c r="C19" s="8">
        <f>'res_raw_40333371'!$C$17</f>
        <v/>
      </c>
      <c r="D19" s="8">
        <f>'res_raw_40333371'!$D$17</f>
        <v/>
      </c>
      <c r="E19" s="8">
        <f>'res_raw_40333371'!$E$17</f>
        <v/>
      </c>
      <c r="F19" s="8">
        <f>'res_raw_40333371'!$F$17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'res_raw_40333371'!$B$18</f>
        <v/>
      </c>
      <c r="C20" s="11">
        <f>'res_raw_40333371'!$C$18</f>
        <v/>
      </c>
      <c r="D20" s="11">
        <f>'res_raw_40333371'!$D$18</f>
        <v/>
      </c>
      <c r="E20" s="11">
        <f>'res_raw_40333371'!$E$18</f>
        <v/>
      </c>
      <c r="F20" s="11">
        <f>'res_raw_40333371'!$F$18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'balance_raw_40333371'!$B$2</f>
        <v/>
      </c>
      <c r="C23" s="8">
        <f>'balance_raw_40333371'!$C$2</f>
        <v/>
      </c>
      <c r="D23" s="8">
        <f>'balance_raw_40333371'!$D$2</f>
        <v/>
      </c>
      <c r="E23" s="8">
        <f>'balance_raw_40333371'!$E$2</f>
        <v/>
      </c>
      <c r="F23" s="8">
        <f>'balance_raw_40333371'!$F$2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'balance_raw_40333371'!$B$3</f>
        <v/>
      </c>
      <c r="C24" s="5">
        <f>'balance_raw_40333371'!$C$3</f>
        <v/>
      </c>
      <c r="D24" s="5">
        <f>'balance_raw_40333371'!$D$3</f>
        <v/>
      </c>
      <c r="E24" s="5">
        <f>'balance_raw_40333371'!$E$3</f>
        <v/>
      </c>
      <c r="F24" s="5">
        <f>'balance_raw_40333371'!$F$3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'balance_raw_40333371'!$B$4</f>
        <v/>
      </c>
      <c r="C25" s="8">
        <f>'balance_raw_40333371'!$C$4</f>
        <v/>
      </c>
      <c r="D25" s="8">
        <f>'balance_raw_40333371'!$D$4</f>
        <v/>
      </c>
      <c r="E25" s="8">
        <f>'balance_raw_40333371'!$E$4</f>
        <v/>
      </c>
      <c r="F25" s="8">
        <f>'balance_raw_40333371'!$F$4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'balance_raw_40333371'!$B$5</f>
        <v/>
      </c>
      <c r="C26" s="5">
        <f>'balance_raw_40333371'!$C$5</f>
        <v/>
      </c>
      <c r="D26" s="5">
        <f>'balance_raw_40333371'!$D$5</f>
        <v/>
      </c>
      <c r="E26" s="5">
        <f>'balance_raw_40333371'!$E$5</f>
        <v/>
      </c>
      <c r="F26" s="5">
        <f>'balance_raw_40333371'!$F$5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'balance_raw_40333371'!$B$6</f>
        <v/>
      </c>
      <c r="C27" s="8">
        <f>'balance_raw_40333371'!$C$6</f>
        <v/>
      </c>
      <c r="D27" s="8">
        <f>'balance_raw_40333371'!$D$6</f>
        <v/>
      </c>
      <c r="E27" s="8">
        <f>'balance_raw_40333371'!$E$6</f>
        <v/>
      </c>
      <c r="F27" s="8">
        <f>'balance_raw_40333371'!$F$6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'balance_raw_40333371'!$B$7</f>
        <v/>
      </c>
      <c r="C28" s="11">
        <f>'balance_raw_40333371'!$C$7</f>
        <v/>
      </c>
      <c r="D28" s="11">
        <f>'balance_raw_40333371'!$D$7</f>
        <v/>
      </c>
      <c r="E28" s="11">
        <f>'balance_raw_40333371'!$E$7</f>
        <v/>
      </c>
      <c r="F28" s="11">
        <f>'balance_raw_40333371'!$F$7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'balance_raw_40333371'!$B$8</f>
        <v/>
      </c>
      <c r="C29" s="8">
        <f>'balance_raw_40333371'!$C$8</f>
        <v/>
      </c>
      <c r="D29" s="8">
        <f>'balance_raw_40333371'!$D$8</f>
        <v/>
      </c>
      <c r="E29" s="8">
        <f>'balance_raw_40333371'!$E$8</f>
        <v/>
      </c>
      <c r="F29" s="8">
        <f>'balance_raw_40333371'!$F$8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'balance_raw_40333371'!$B$9</f>
        <v/>
      </c>
      <c r="C30" s="5">
        <f>'balance_raw_40333371'!$C$9</f>
        <v/>
      </c>
      <c r="D30" s="5">
        <f>'balance_raw_40333371'!$D$9</f>
        <v/>
      </c>
      <c r="E30" s="5">
        <f>'balance_raw_40333371'!$E$9</f>
        <v/>
      </c>
      <c r="F30" s="5">
        <f>'balance_raw_40333371'!$F$9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'balance_raw_40333371'!$B$10</f>
        <v/>
      </c>
      <c r="C31" s="11">
        <f>'balance_raw_40333371'!$C$10</f>
        <v/>
      </c>
      <c r="D31" s="11">
        <f>'balance_raw_40333371'!$D$10</f>
        <v/>
      </c>
      <c r="E31" s="11">
        <f>'balance_raw_40333371'!$E$10</f>
        <v/>
      </c>
      <c r="F31" s="11">
        <f>'balance_raw_40333371'!$F$10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'balance_raw_40333371'!$B$11</f>
        <v/>
      </c>
      <c r="C32" s="11">
        <f>'balance_raw_40333371'!$C$11</f>
        <v/>
      </c>
      <c r="D32" s="11">
        <f>'balance_raw_40333371'!$D$11</f>
        <v/>
      </c>
      <c r="E32" s="11">
        <f>'balance_raw_40333371'!$E$11</f>
        <v/>
      </c>
      <c r="F32" s="11">
        <f>'balance_raw_40333371'!$F$11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Varebeholdninger</t>
        </is>
      </c>
      <c r="B33" s="11">
        <f>'balance_raw_40333371'!$B$12</f>
        <v/>
      </c>
      <c r="C33" s="11">
        <f>'balance_raw_40333371'!$C$12</f>
        <v/>
      </c>
      <c r="D33" s="11">
        <f>'balance_raw_40333371'!$D$12</f>
        <v/>
      </c>
      <c r="E33" s="11">
        <f>'balance_raw_40333371'!$E$12</f>
        <v/>
      </c>
      <c r="F33" s="11">
        <f>'balance_raw_40333371'!$F$12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'balance_raw_40333371'!$B$13</f>
        <v/>
      </c>
      <c r="C34" s="5">
        <f>'balance_raw_40333371'!$C$13</f>
        <v/>
      </c>
      <c r="D34" s="5">
        <f>'balance_raw_40333371'!$D$13</f>
        <v/>
      </c>
      <c r="E34" s="5">
        <f>'balance_raw_40333371'!$E$13</f>
        <v/>
      </c>
      <c r="F34" s="5">
        <f>'balance_raw_40333371'!$F$13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'balance_raw_40333371'!$B$14</f>
        <v/>
      </c>
      <c r="C35" s="8">
        <f>'balance_raw_40333371'!$C$14</f>
        <v/>
      </c>
      <c r="D35" s="8">
        <f>'balance_raw_40333371'!$D$14</f>
        <v/>
      </c>
      <c r="E35" s="8">
        <f>'balance_raw_40333371'!$E$14</f>
        <v/>
      </c>
      <c r="F35" s="8">
        <f>'balance_raw_40333371'!$F$14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'balance_raw_40333371'!$B$15</f>
        <v/>
      </c>
      <c r="C36" s="5">
        <f>'balance_raw_40333371'!$C$15</f>
        <v/>
      </c>
      <c r="D36" s="5">
        <f>'balance_raw_40333371'!$D$15</f>
        <v/>
      </c>
      <c r="E36" s="5">
        <f>'balance_raw_40333371'!$E$15</f>
        <v/>
      </c>
      <c r="F36" s="5">
        <f>'balance_raw_40333371'!$F$15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'balance_raw_40333371'!$B$16</f>
        <v/>
      </c>
      <c r="C37" s="8">
        <f>'balance_raw_40333371'!$C$16</f>
        <v/>
      </c>
      <c r="D37" s="8">
        <f>'balance_raw_40333371'!$D$16</f>
        <v/>
      </c>
      <c r="E37" s="8">
        <f>'balance_raw_40333371'!$E$16</f>
        <v/>
      </c>
      <c r="F37" s="8">
        <f>'balance_raw_40333371'!$F$16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'balance_raw_40333371'!$B$17</f>
        <v/>
      </c>
      <c r="C38" s="5">
        <f>'balance_raw_40333371'!$C$17</f>
        <v/>
      </c>
      <c r="D38" s="5">
        <f>'balance_raw_40333371'!$D$17</f>
        <v/>
      </c>
      <c r="E38" s="5">
        <f>'balance_raw_40333371'!$E$17</f>
        <v/>
      </c>
      <c r="F38" s="5">
        <f>'balance_raw_40333371'!$F$17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'balance_raw_40333371'!$B$18</f>
        <v/>
      </c>
      <c r="C39" s="8">
        <f>'balance_raw_40333371'!$C$18</f>
        <v/>
      </c>
      <c r="D39" s="8">
        <f>'balance_raw_40333371'!$D$18</f>
        <v/>
      </c>
      <c r="E39" s="8">
        <f>'balance_raw_40333371'!$E$18</f>
        <v/>
      </c>
      <c r="F39" s="8">
        <f>'balance_raw_40333371'!$F$18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'balance_raw_40333371'!$B$19</f>
        <v/>
      </c>
      <c r="C40" s="5">
        <f>'balance_raw_40333371'!$C$19</f>
        <v/>
      </c>
      <c r="D40" s="5">
        <f>'balance_raw_40333371'!$D$19</f>
        <v/>
      </c>
      <c r="E40" s="5">
        <f>'balance_raw_40333371'!$E$19</f>
        <v/>
      </c>
      <c r="F40" s="5">
        <f>'balance_raw_40333371'!$F$19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'balance_raw_40333371'!$B$20</f>
        <v/>
      </c>
      <c r="C41" s="11">
        <f>'balance_raw_40333371'!$C$20</f>
        <v/>
      </c>
      <c r="D41" s="11">
        <f>'balance_raw_40333371'!$D$20</f>
        <v/>
      </c>
      <c r="E41" s="11">
        <f>'balance_raw_40333371'!$E$20</f>
        <v/>
      </c>
      <c r="F41" s="11">
        <f>'balance_raw_40333371'!$F$20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'balance_raw_40333371'!$B$21</f>
        <v/>
      </c>
      <c r="C42" s="5">
        <f>'balance_raw_40333371'!$C$21</f>
        <v/>
      </c>
      <c r="D42" s="5">
        <f>'balance_raw_40333371'!$D$21</f>
        <v/>
      </c>
      <c r="E42" s="5">
        <f>'balance_raw_40333371'!$E$21</f>
        <v/>
      </c>
      <c r="F42" s="5">
        <f>'balance_raw_40333371'!$F$21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'balance_raw_40333371'!$B$22</f>
        <v/>
      </c>
      <c r="C43" s="8">
        <f>'balance_raw_40333371'!$C$22</f>
        <v/>
      </c>
      <c r="D43" s="8">
        <f>'balance_raw_40333371'!$D$22</f>
        <v/>
      </c>
      <c r="E43" s="8">
        <f>'balance_raw_40333371'!$E$22</f>
        <v/>
      </c>
      <c r="F43" s="8">
        <f>'balance_raw_40333371'!$F$22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'balance_raw_40333371'!$B$23</f>
        <v/>
      </c>
      <c r="C44" s="11">
        <f>'balance_raw_40333371'!$C$23</f>
        <v/>
      </c>
      <c r="D44" s="11">
        <f>'balance_raw_40333371'!$D$23</f>
        <v/>
      </c>
      <c r="E44" s="11">
        <f>'balance_raw_40333371'!$E$23</f>
        <v/>
      </c>
      <c r="F44" s="11">
        <f>'balance_raw_40333371'!$F$23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'balance_raw_40333371'!$B$24</f>
        <v/>
      </c>
      <c r="C45" s="11">
        <f>'balance_raw_40333371'!$C$24</f>
        <v/>
      </c>
      <c r="D45" s="11">
        <f>'balance_raw_40333371'!$D$24</f>
        <v/>
      </c>
      <c r="E45" s="11">
        <f>'balance_raw_40333371'!$E$24</f>
        <v/>
      </c>
      <c r="F45" s="11">
        <f>'balance_raw_40333371'!$F$24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2020</v>
      </c>
      <c r="C47" s="3" t="n">
        <v>2021</v>
      </c>
      <c r="D47" s="3" t="n">
        <v>2022</v>
      </c>
      <c r="E47" s="3" t="n">
        <v>2023</v>
      </c>
      <c r="F47" s="3" t="n">
        <v>2024</v>
      </c>
      <c r="G47" t="inlineStr"/>
      <c r="H47" s="3" t="n">
        <v>2020</v>
      </c>
      <c r="I47" s="3" t="n">
        <v>2021</v>
      </c>
      <c r="J47" s="3" t="n">
        <v>2022</v>
      </c>
      <c r="K47" s="3" t="n">
        <v>2023</v>
      </c>
      <c r="L47" s="3" t="n">
        <v>2024</v>
      </c>
    </row>
    <row r="48" ht="16" customHeight="1">
      <c r="A48" s="4" t="inlineStr">
        <is>
          <t>Selskabskapital</t>
        </is>
      </c>
      <c r="B48" s="5">
        <f>'balance_raw_40333371'!$B$25</f>
        <v/>
      </c>
      <c r="C48" s="5">
        <f>'balance_raw_40333371'!$C$25</f>
        <v/>
      </c>
      <c r="D48" s="5">
        <f>'balance_raw_40333371'!$D$25</f>
        <v/>
      </c>
      <c r="E48" s="5">
        <f>'balance_raw_40333371'!$E$25</f>
        <v/>
      </c>
      <c r="F48" s="5">
        <f>'balance_raw_40333371'!$F$25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'balance_raw_40333371'!$B$26</f>
        <v/>
      </c>
      <c r="C49" s="8">
        <f>'balance_raw_40333371'!$C$26</f>
        <v/>
      </c>
      <c r="D49" s="8">
        <f>'balance_raw_40333371'!$D$26</f>
        <v/>
      </c>
      <c r="E49" s="8">
        <f>'balance_raw_40333371'!$E$26</f>
        <v/>
      </c>
      <c r="F49" s="8">
        <f>'balance_raw_40333371'!$F$26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'balance_raw_40333371'!$B$27</f>
        <v/>
      </c>
      <c r="C50" s="5">
        <f>'balance_raw_40333371'!$C$27</f>
        <v/>
      </c>
      <c r="D50" s="5">
        <f>'balance_raw_40333371'!$D$27</f>
        <v/>
      </c>
      <c r="E50" s="5">
        <f>'balance_raw_40333371'!$E$27</f>
        <v/>
      </c>
      <c r="F50" s="5">
        <f>'balance_raw_40333371'!$F$27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'balance_raw_40333371'!$B$28</f>
        <v/>
      </c>
      <c r="C51" s="8">
        <f>'balance_raw_40333371'!$C$28</f>
        <v/>
      </c>
      <c r="D51" s="8">
        <f>'balance_raw_40333371'!$D$28</f>
        <v/>
      </c>
      <c r="E51" s="8">
        <f>'balance_raw_40333371'!$E$28</f>
        <v/>
      </c>
      <c r="F51" s="8">
        <f>'balance_raw_40333371'!$F$28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'balance_raw_40333371'!$B$29</f>
        <v/>
      </c>
      <c r="C52" s="5">
        <f>'balance_raw_40333371'!$C$29</f>
        <v/>
      </c>
      <c r="D52" s="5">
        <f>'balance_raw_40333371'!$D$29</f>
        <v/>
      </c>
      <c r="E52" s="5">
        <f>'balance_raw_40333371'!$E$29</f>
        <v/>
      </c>
      <c r="F52" s="5">
        <f>'balance_raw_40333371'!$F$29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'balance_raw_40333371'!$B$30</f>
        <v/>
      </c>
      <c r="C53" s="8">
        <f>'balance_raw_40333371'!$C$30</f>
        <v/>
      </c>
      <c r="D53" s="8">
        <f>'balance_raw_40333371'!$D$30</f>
        <v/>
      </c>
      <c r="E53" s="8">
        <f>'balance_raw_40333371'!$E$30</f>
        <v/>
      </c>
      <c r="F53" s="8">
        <f>'balance_raw_40333371'!$F$30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'balance_raw_40333371'!$B$31</f>
        <v/>
      </c>
      <c r="C54" s="11">
        <f>'balance_raw_40333371'!$C$31</f>
        <v/>
      </c>
      <c r="D54" s="11">
        <f>'balance_raw_40333371'!$D$31</f>
        <v/>
      </c>
      <c r="E54" s="11">
        <f>'balance_raw_40333371'!$E$31</f>
        <v/>
      </c>
      <c r="F54" s="11">
        <f>'balance_raw_40333371'!$F$31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(langfristet)</t>
        </is>
      </c>
      <c r="B55" s="8">
        <f>'balance_raw_40333371'!$B$32</f>
        <v/>
      </c>
      <c r="C55" s="8">
        <f>'balance_raw_40333371'!$C$32</f>
        <v/>
      </c>
      <c r="D55" s="8">
        <f>'balance_raw_40333371'!$D$32</f>
        <v/>
      </c>
      <c r="E55" s="8">
        <f>'balance_raw_40333371'!$E$32</f>
        <v/>
      </c>
      <c r="F55" s="8">
        <f>'balance_raw_40333371'!$F$32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Langfristede lån</t>
        </is>
      </c>
      <c r="B56" s="5">
        <f>'balance_raw_40333371'!$B$33</f>
        <v/>
      </c>
      <c r="C56" s="5">
        <f>'balance_raw_40333371'!$C$33</f>
        <v/>
      </c>
      <c r="D56" s="5">
        <f>'balance_raw_40333371'!$D$33</f>
        <v/>
      </c>
      <c r="E56" s="5">
        <f>'balance_raw_40333371'!$E$33</f>
        <v/>
      </c>
      <c r="F56" s="5">
        <f>'balance_raw_40333371'!$F$33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Leasingforpligtelser (langfristet)</t>
        </is>
      </c>
      <c r="B57" s="8">
        <f>'balance_raw_40333371'!$B$34</f>
        <v/>
      </c>
      <c r="C57" s="8">
        <f>'balance_raw_40333371'!$C$34</f>
        <v/>
      </c>
      <c r="D57" s="8">
        <f>'balance_raw_40333371'!$D$34</f>
        <v/>
      </c>
      <c r="E57" s="8">
        <f>'balance_raw_40333371'!$E$34</f>
        <v/>
      </c>
      <c r="F57" s="8">
        <f>'balance_raw_40333371'!$F$34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'balance_raw_40333371'!$B$35</f>
        <v/>
      </c>
      <c r="C58" s="5">
        <f>'balance_raw_40333371'!$C$35</f>
        <v/>
      </c>
      <c r="D58" s="5">
        <f>'balance_raw_40333371'!$D$35</f>
        <v/>
      </c>
      <c r="E58" s="5">
        <f>'balance_raw_40333371'!$E$35</f>
        <v/>
      </c>
      <c r="F58" s="5">
        <f>'balance_raw_40333371'!$F$35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gældsforpligtelser</t>
        </is>
      </c>
      <c r="B59" s="11">
        <f>'balance_raw_40333371'!$B$36</f>
        <v/>
      </c>
      <c r="C59" s="11">
        <f>'balance_raw_40333371'!$C$36</f>
        <v/>
      </c>
      <c r="D59" s="11">
        <f>'balance_raw_40333371'!$D$36</f>
        <v/>
      </c>
      <c r="E59" s="11">
        <f>'balance_raw_40333371'!$E$36</f>
        <v/>
      </c>
      <c r="F59" s="11">
        <f>'balance_raw_40333371'!$F$36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'balance_raw_40333371'!$B$37</f>
        <v/>
      </c>
      <c r="C60" s="5">
        <f>'balance_raw_40333371'!$C$37</f>
        <v/>
      </c>
      <c r="D60" s="5">
        <f>'balance_raw_40333371'!$D$37</f>
        <v/>
      </c>
      <c r="E60" s="5">
        <f>'balance_raw_40333371'!$E$37</f>
        <v/>
      </c>
      <c r="F60" s="5">
        <f>'balance_raw_40333371'!$F$37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'balance_raw_40333371'!$B$38</f>
        <v/>
      </c>
      <c r="C61" s="8">
        <f>'balance_raw_40333371'!$C$38</f>
        <v/>
      </c>
      <c r="D61" s="8">
        <f>'balance_raw_40333371'!$D$38</f>
        <v/>
      </c>
      <c r="E61" s="8">
        <f>'balance_raw_40333371'!$E$38</f>
        <v/>
      </c>
      <c r="F61" s="8">
        <f>'balance_raw_40333371'!$F$38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'balance_raw_40333371'!$B$39</f>
        <v/>
      </c>
      <c r="C62" s="5">
        <f>'balance_raw_40333371'!$C$39</f>
        <v/>
      </c>
      <c r="D62" s="5">
        <f>'balance_raw_40333371'!$D$39</f>
        <v/>
      </c>
      <c r="E62" s="5">
        <f>'balance_raw_40333371'!$E$39</f>
        <v/>
      </c>
      <c r="F62" s="5">
        <f>'balance_raw_40333371'!$F$39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'balance_raw_40333371'!$B$40</f>
        <v/>
      </c>
      <c r="C63" s="8">
        <f>'balance_raw_40333371'!$C$40</f>
        <v/>
      </c>
      <c r="D63" s="8">
        <f>'balance_raw_40333371'!$D$40</f>
        <v/>
      </c>
      <c r="E63" s="8">
        <f>'balance_raw_40333371'!$E$40</f>
        <v/>
      </c>
      <c r="F63" s="8">
        <f>'balance_raw_40333371'!$F$40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'balance_raw_40333371'!$B$41</f>
        <v/>
      </c>
      <c r="C64" s="5">
        <f>'balance_raw_40333371'!$C$41</f>
        <v/>
      </c>
      <c r="D64" s="5">
        <f>'balance_raw_40333371'!$D$41</f>
        <v/>
      </c>
      <c r="E64" s="5">
        <f>'balance_raw_40333371'!$E$41</f>
        <v/>
      </c>
      <c r="F64" s="5">
        <f>'balance_raw_40333371'!$F$41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'balance_raw_40333371'!$B$42</f>
        <v/>
      </c>
      <c r="C65" s="8">
        <f>'balance_raw_40333371'!$C$42</f>
        <v/>
      </c>
      <c r="D65" s="8">
        <f>'balance_raw_40333371'!$D$42</f>
        <v/>
      </c>
      <c r="E65" s="8">
        <f>'balance_raw_40333371'!$E$42</f>
        <v/>
      </c>
      <c r="F65" s="8">
        <f>'balance_raw_40333371'!$F$42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'balance_raw_40333371'!$B$43</f>
        <v/>
      </c>
      <c r="C66" s="5">
        <f>'balance_raw_40333371'!$C$43</f>
        <v/>
      </c>
      <c r="D66" s="5">
        <f>'balance_raw_40333371'!$D$43</f>
        <v/>
      </c>
      <c r="E66" s="5">
        <f>'balance_raw_40333371'!$E$43</f>
        <v/>
      </c>
      <c r="F66" s="5">
        <f>'balance_raw_40333371'!$F$43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'balance_raw_40333371'!$B$44</f>
        <v/>
      </c>
      <c r="C67" s="8">
        <f>'balance_raw_40333371'!$C$44</f>
        <v/>
      </c>
      <c r="D67" s="8">
        <f>'balance_raw_40333371'!$D$44</f>
        <v/>
      </c>
      <c r="E67" s="8">
        <f>'balance_raw_40333371'!$E$44</f>
        <v/>
      </c>
      <c r="F67" s="8">
        <f>'balance_raw_40333371'!$F$44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'balance_raw_40333371'!$B$45</f>
        <v/>
      </c>
      <c r="C68" s="5">
        <f>'balance_raw_40333371'!$C$45</f>
        <v/>
      </c>
      <c r="D68" s="5">
        <f>'balance_raw_40333371'!$D$45</f>
        <v/>
      </c>
      <c r="E68" s="5">
        <f>'balance_raw_40333371'!$E$45</f>
        <v/>
      </c>
      <c r="F68" s="5">
        <f>'balance_raw_40333371'!$F$45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'balance_raw_40333371'!$B$46</f>
        <v/>
      </c>
      <c r="C69" s="8">
        <f>'balance_raw_40333371'!$C$46</f>
        <v/>
      </c>
      <c r="D69" s="8">
        <f>'balance_raw_40333371'!$D$46</f>
        <v/>
      </c>
      <c r="E69" s="8">
        <f>'balance_raw_40333371'!$E$46</f>
        <v/>
      </c>
      <c r="F69" s="8">
        <f>'balance_raw_40333371'!$F$46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'balance_raw_40333371'!$B$47</f>
        <v/>
      </c>
      <c r="C70" s="5">
        <f>'balance_raw_40333371'!$C$47</f>
        <v/>
      </c>
      <c r="D70" s="5">
        <f>'balance_raw_40333371'!$D$47</f>
        <v/>
      </c>
      <c r="E70" s="5">
        <f>'balance_raw_40333371'!$E$47</f>
        <v/>
      </c>
      <c r="F70" s="5">
        <f>'balance_raw_40333371'!$F$47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'balance_raw_40333371'!$B$48</f>
        <v/>
      </c>
      <c r="C71" s="11">
        <f>'balance_raw_40333371'!$C$48</f>
        <v/>
      </c>
      <c r="D71" s="11">
        <f>'balance_raw_40333371'!$D$48</f>
        <v/>
      </c>
      <c r="E71" s="11">
        <f>'balance_raw_40333371'!$E$48</f>
        <v/>
      </c>
      <c r="F71" s="11">
        <f>'balance_raw_40333371'!$F$48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'balance_raw_40333371'!$B$49</f>
        <v/>
      </c>
      <c r="C72" s="11">
        <f>'balance_raw_40333371'!$C$49</f>
        <v/>
      </c>
      <c r="D72" s="11">
        <f>'balance_raw_40333371'!$D$49</f>
        <v/>
      </c>
      <c r="E72" s="11">
        <f>'balance_raw_40333371'!$E$49</f>
        <v/>
      </c>
      <c r="F72" s="11">
        <f>'balance_raw_40333371'!$F$49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'balance_raw_40333371'!$B$50</f>
        <v/>
      </c>
      <c r="C73" s="11">
        <f>'balance_raw_40333371'!$C$50</f>
        <v/>
      </c>
      <c r="D73" s="11">
        <f>'balance_raw_40333371'!$D$50</f>
        <v/>
      </c>
      <c r="E73" s="11">
        <f>'balance_raw_40333371'!$E$50</f>
        <v/>
      </c>
      <c r="F73" s="11">
        <f>'balance_raw_40333371'!$F$50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2020</v>
      </c>
      <c r="C75" s="3" t="n">
        <v>2021</v>
      </c>
      <c r="D75" s="3" t="n">
        <v>2022</v>
      </c>
      <c r="E75" s="3" t="n">
        <v>2023</v>
      </c>
      <c r="F75" s="3" t="n">
        <v>2024</v>
      </c>
    </row>
    <row r="76" ht="16" customHeight="1">
      <c r="A76" s="4" t="inlineStr">
        <is>
          <t>Gns. antal medarbejdere</t>
        </is>
      </c>
      <c r="B76" s="5">
        <f>'res_raw_40333371'!$B$19</f>
        <v/>
      </c>
      <c r="C76" s="5">
        <f>'res_raw_40333371'!$C$19</f>
        <v/>
      </c>
      <c r="D76" s="5">
        <f>'res_raw_40333371'!$D$19</f>
        <v/>
      </c>
      <c r="E76" s="5">
        <f>'res_raw_40333371'!$E$19</f>
        <v/>
      </c>
      <c r="F76" s="5">
        <f>'res_raw_40333371'!$F$19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'res_raw_40333371'!$B$20</f>
        <v/>
      </c>
      <c r="C77" s="8">
        <f>'res_raw_40333371'!$C$20</f>
        <v/>
      </c>
      <c r="D77" s="8">
        <f>'res_raw_40333371'!$D$20</f>
        <v/>
      </c>
      <c r="E77" s="8">
        <f>'res_raw_40333371'!$E$20</f>
        <v/>
      </c>
      <c r="F77" s="8">
        <f>'res_raw_40333371'!$F$20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Afkastningsgrad, %</t>
        </is>
      </c>
      <c r="B80" s="13">
        <f>IFERROR(($B$13+$B$15+$B$14)/$B$45*100,"")</f>
        <v/>
      </c>
      <c r="C80" s="13">
        <f>IFERROR(($C$13+$C$15+$C$14)/$C$45*100,"")</f>
        <v/>
      </c>
      <c r="D80" s="13">
        <f>IFERROR(($D$13+$D$15+$D$14)/$D$45*100,"")</f>
        <v/>
      </c>
      <c r="E80" s="13">
        <f>IFERROR(($E$13+$E$15+$E$14)/$E$45*100,"")</f>
        <v/>
      </c>
      <c r="F80" s="13">
        <f>IFERROR(($F$13+$F$15+$F$14)/$F$45*100,"")</f>
        <v/>
      </c>
    </row>
    <row r="81" ht="16" customHeight="1">
      <c r="A81" s="7" t="inlineStr">
        <is>
          <t>Overskudsgrad, %</t>
        </is>
      </c>
      <c r="B81" s="14">
        <f>IFERROR(($B$13+$B$15+$B$14)/$B$4*100,"")</f>
        <v/>
      </c>
      <c r="C81" s="14">
        <f>IFERROR(($C$13+$C$15+$C$14)/$C$4*100,"")</f>
        <v/>
      </c>
      <c r="D81" s="14">
        <f>IFERROR(($D$13+$D$15+$D$14)/$D$4*100,"")</f>
        <v/>
      </c>
      <c r="E81" s="14">
        <f>IFERROR(($E$13+$E$15+$E$14)/$E$4*100,"")</f>
        <v/>
      </c>
      <c r="F81" s="14">
        <f>IFERROR(($F$13+$F$15+$F$14)/$F$4*100,"")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IFERROR($B$4/$B$45,"")</f>
        <v/>
      </c>
      <c r="C82" s="13">
        <f>IFERROR($C$4/$C$45,"")</f>
        <v/>
      </c>
      <c r="D82" s="13">
        <f>IFERROR($D$4/$D$45,"")</f>
        <v/>
      </c>
      <c r="E82" s="13">
        <f>IFERROR($E$4/$E$45,"")</f>
        <v/>
      </c>
      <c r="F82" s="13">
        <f>IFERROR($F$4/$F$45,"")</f>
        <v/>
      </c>
    </row>
    <row r="83" ht="16" customHeight="1">
      <c r="A83" s="7" t="inlineStr">
        <is>
          <t>Egenkapitalens forrentning, %</t>
        </is>
      </c>
      <c r="B83" s="14">
        <f>IFERROR($B$18/$B$54*100,"")</f>
        <v/>
      </c>
      <c r="C83" s="14">
        <f>IFERROR($C$18/$C$54*100,"")</f>
        <v/>
      </c>
      <c r="D83" s="14">
        <f>IFERROR($D$18/$D$54*100,"")</f>
        <v/>
      </c>
      <c r="E83" s="14">
        <f>IFERROR($E$18/$E$54*100,"")</f>
        <v/>
      </c>
      <c r="F83" s="14">
        <f>IFERROR($F$18/$F$54*100,"")</f>
        <v/>
      </c>
    </row>
    <row r="84" ht="16" customHeight="1">
      <c r="A84" s="4" t="inlineStr">
        <is>
          <t>Gældsrente, %</t>
        </is>
      </c>
      <c r="B84" s="13">
        <f>IFERROR($B$16/($B$73-$B$54)*100,"")</f>
        <v/>
      </c>
      <c r="C84" s="13">
        <f>IFERROR($C$16/($C$73-$C$54)*100,"")</f>
        <v/>
      </c>
      <c r="D84" s="13">
        <f>IFERROR($D$16/($D$73-$D$54)*100,"")</f>
        <v/>
      </c>
      <c r="E84" s="13">
        <f>IFERROR($E$16/($E$73-$E$54)*100,"")</f>
        <v/>
      </c>
      <c r="F84" s="13">
        <f>IFERROR($F$16/($F$73-$F$54)*100,"")</f>
        <v/>
      </c>
    </row>
    <row r="85" ht="16" customHeight="1">
      <c r="A85" s="7" t="inlineStr">
        <is>
          <t>Soliditetsgrad, %</t>
        </is>
      </c>
      <c r="B85" s="14">
        <f>IFERROR($B$54/$B$45*100,"")</f>
        <v/>
      </c>
      <c r="C85" s="14">
        <f>IFERROR($C$54/$C$45*100,"")</f>
        <v/>
      </c>
      <c r="D85" s="14">
        <f>IFERROR($D$54/$D$45*100,"")</f>
        <v/>
      </c>
      <c r="E85" s="14">
        <f>IFERROR($E$54/$E$45*100,"")</f>
        <v/>
      </c>
      <c r="F85" s="14">
        <f>IFERROR($F$54/$F$45*100,"")</f>
        <v/>
      </c>
    </row>
    <row r="86" ht="16" customHeight="1">
      <c r="A86" s="4" t="inlineStr">
        <is>
          <t>Gearing</t>
        </is>
      </c>
      <c r="B86" s="13">
        <f>IFERROR(($B$73-$B$54)/$B$54,"")</f>
        <v/>
      </c>
      <c r="C86" s="13">
        <f>IFERROR(($C$73-$C$54)/$C$54,"")</f>
        <v/>
      </c>
      <c r="D86" s="13">
        <f>IFERROR(($D$73-$D$54)/$D$54,"")</f>
        <v/>
      </c>
      <c r="E86" s="13">
        <f>IFERROR(($E$73-$E$54)/$E$54,"")</f>
        <v/>
      </c>
      <c r="F86" s="13">
        <f>IFERROR(($F$73-$F$54)/$F$54,"")</f>
        <v/>
      </c>
    </row>
    <row r="87" ht="16" customHeight="1">
      <c r="A87" s="7" t="inlineStr">
        <is>
          <t>Likviditetsgrad, %</t>
        </is>
      </c>
      <c r="B87" s="14">
        <f>IFERROR($B$44/$B$71*100,"")</f>
        <v/>
      </c>
      <c r="C87" s="14">
        <f>IFERROR($C$44/$C$71*100,"")</f>
        <v/>
      </c>
      <c r="D87" s="14">
        <f>IFERROR($D$44/$D$71*100,"")</f>
        <v/>
      </c>
      <c r="E87" s="14">
        <f>IFERROR($E$44/$E$71*100,"")</f>
        <v/>
      </c>
      <c r="F87" s="14">
        <f>IFERROR($F$44/$F$71*100,"")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IFERROR(($B$73-$B$54)/$B$45*100,"")</f>
        <v/>
      </c>
      <c r="C89" s="14">
        <f>IFERROR(($C$73-$C$54)/$C$45*100,"")</f>
        <v/>
      </c>
      <c r="D89" s="14">
        <f>IFERROR(($D$73-$D$54)/$D$45*100,"")</f>
        <v/>
      </c>
      <c r="E89" s="14">
        <f>IFERROR(($E$73-$E$54)/$E$45*100,"")</f>
        <v/>
      </c>
      <c r="F89" s="14">
        <f>IFERROR(($F$73-$F$54)/$F$45*100,"")</f>
        <v/>
      </c>
    </row>
    <row r="90" ht="16" customHeight="1">
      <c r="A90" s="4" t="inlineStr">
        <is>
          <t>Kapitalbindingsgrad, %</t>
        </is>
      </c>
      <c r="B90" s="13">
        <f>IFERROR($B$32/($B$54+$B$59)*100,"")</f>
        <v/>
      </c>
      <c r="C90" s="13">
        <f>IFERROR($C$32/($C$54+$C$59)*100,"")</f>
        <v/>
      </c>
      <c r="D90" s="13">
        <f>IFERROR($D$32/($D$54+$D$59)*100,"")</f>
        <v/>
      </c>
      <c r="E90" s="13">
        <f>IFERROR($E$32/($E$54+$E$59)*100,"")</f>
        <v/>
      </c>
      <c r="F90" s="13">
        <f>IFERROR($F$32/($F$54+$F$59)*100,"")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74251</v>
      </c>
      <c r="C2" s="16" t="n">
        <v>539751</v>
      </c>
      <c r="D2" s="16" t="n">
        <v>809082</v>
      </c>
      <c r="E2" s="16" t="n">
        <v>836929</v>
      </c>
      <c r="F2" s="16" t="n">
        <v>770270</v>
      </c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>
        <v>423201</v>
      </c>
      <c r="D4" s="16" t="n">
        <v>576365</v>
      </c>
      <c r="E4" s="16" t="n">
        <v>494763</v>
      </c>
      <c r="F4" s="16" t="n">
        <v>374538</v>
      </c>
    </row>
    <row r="5">
      <c r="A5" s="15" t="inlineStr">
        <is>
          <t>Andre eksterne omkostninger</t>
        </is>
      </c>
      <c r="B5" s="16" t="n"/>
      <c r="C5" s="16" t="n">
        <v>87409</v>
      </c>
      <c r="D5" s="16" t="n">
        <v>148869</v>
      </c>
      <c r="E5" s="16" t="n">
        <v>222024</v>
      </c>
      <c r="F5" s="16" t="n">
        <v>283834</v>
      </c>
    </row>
    <row r="6">
      <c r="A6" s="17" t="inlineStr">
        <is>
          <t>Bruttoresultat</t>
        </is>
      </c>
      <c r="B6" s="16" t="n">
        <v>2021</v>
      </c>
      <c r="C6" s="16" t="n">
        <v>29140</v>
      </c>
      <c r="D6" s="16" t="n">
        <v>83848</v>
      </c>
      <c r="E6" s="16" t="n">
        <v>120142</v>
      </c>
      <c r="F6" s="16" t="n">
        <v>111898</v>
      </c>
    </row>
    <row r="7">
      <c r="A7" s="15" t="inlineStr">
        <is>
          <t>Personaleomkostninger</t>
        </is>
      </c>
      <c r="B7" s="16" t="n">
        <v>13297</v>
      </c>
      <c r="C7" s="16" t="n">
        <v>27765</v>
      </c>
      <c r="D7" s="16" t="n">
        <v>57996</v>
      </c>
      <c r="E7" s="16" t="n">
        <v>86555</v>
      </c>
      <c r="F7" s="16" t="n">
        <v>85024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193</v>
      </c>
      <c r="C9" s="16" t="n">
        <v>624</v>
      </c>
      <c r="D9" s="16" t="n">
        <v>821</v>
      </c>
      <c r="E9" s="16" t="n">
        <v>964</v>
      </c>
      <c r="F9" s="16" t="n">
        <v>690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-11469</v>
      </c>
      <c r="C11" s="16" t="n">
        <v>752</v>
      </c>
      <c r="D11" s="16" t="n">
        <v>25031</v>
      </c>
      <c r="E11" s="16" t="n">
        <v>32623</v>
      </c>
      <c r="F11" s="16" t="n">
        <v>26185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465</v>
      </c>
      <c r="C13" s="16" t="n">
        <v>2735</v>
      </c>
      <c r="D13" s="16" t="n">
        <v>9287</v>
      </c>
      <c r="E13" s="16" t="n">
        <v>11096</v>
      </c>
      <c r="F13" s="16" t="n">
        <v>10586</v>
      </c>
    </row>
    <row r="14">
      <c r="A14" s="15" t="inlineStr">
        <is>
          <t>Finansielle omkostninger</t>
        </is>
      </c>
      <c r="B14" s="16" t="n">
        <v>1196</v>
      </c>
      <c r="C14" s="16" t="n">
        <v>4888</v>
      </c>
      <c r="D14" s="16" t="n">
        <v>13875</v>
      </c>
      <c r="E14" s="16" t="n">
        <v>11973</v>
      </c>
      <c r="F14" s="16" t="n">
        <v>6945</v>
      </c>
    </row>
    <row r="15">
      <c r="A15" s="17" t="inlineStr">
        <is>
          <t>Finansielle poster, netto</t>
        </is>
      </c>
      <c r="B15" s="16" t="n"/>
      <c r="C15" s="16" t="n">
        <v>-2153</v>
      </c>
      <c r="D15" s="16" t="n">
        <v>-4588</v>
      </c>
      <c r="E15" s="16" t="n">
        <v>-876</v>
      </c>
      <c r="F15" s="16" t="n">
        <v>3641</v>
      </c>
    </row>
    <row r="16">
      <c r="A16" s="17" t="inlineStr">
        <is>
          <t>Resultat før skat</t>
        </is>
      </c>
      <c r="B16" s="16" t="n">
        <v>-12200</v>
      </c>
      <c r="C16" s="16" t="n">
        <v>-1402</v>
      </c>
      <c r="D16" s="16" t="n">
        <v>20443</v>
      </c>
      <c r="E16" s="16" t="n">
        <v>31746</v>
      </c>
      <c r="F16" s="16" t="n">
        <v>29826</v>
      </c>
    </row>
    <row r="17">
      <c r="A17" s="15" t="inlineStr">
        <is>
          <t>Skat af årets resultat</t>
        </is>
      </c>
      <c r="B17" s="16" t="n">
        <v>-2761</v>
      </c>
      <c r="C17" s="16" t="n">
        <v>-280</v>
      </c>
      <c r="D17" s="16" t="n">
        <v>4635</v>
      </c>
      <c r="E17" s="16" t="n">
        <v>7105</v>
      </c>
      <c r="F17" s="16" t="n">
        <v>6616</v>
      </c>
    </row>
    <row r="18">
      <c r="A18" s="17" t="inlineStr">
        <is>
          <t>Årets resultat</t>
        </is>
      </c>
      <c r="B18" s="16" t="n">
        <v>-9440</v>
      </c>
      <c r="C18" s="16" t="n">
        <v>-1122</v>
      </c>
      <c r="D18" s="16" t="n">
        <v>15808</v>
      </c>
      <c r="E18" s="16" t="n">
        <v>24642</v>
      </c>
      <c r="F18" s="16" t="n">
        <v>23209</v>
      </c>
    </row>
    <row r="19">
      <c r="A19" s="15" t="inlineStr">
        <is>
          <t>Gns. antal medarbejdere</t>
        </is>
      </c>
      <c r="B19" s="16" t="n">
        <v>25</v>
      </c>
      <c r="C19" s="16" t="n">
        <v>53</v>
      </c>
      <c r="D19" s="16" t="n">
        <v>96</v>
      </c>
      <c r="E19" s="16" t="n">
        <v>119</v>
      </c>
      <c r="F19" s="16" t="n">
        <v>126</v>
      </c>
    </row>
    <row r="20">
      <c r="A20" s="15" t="inlineStr">
        <is>
          <t>Investering i materielle anlægsaktiver</t>
        </is>
      </c>
      <c r="B20" s="16" t="n">
        <v>2285</v>
      </c>
      <c r="C20" s="16" t="n">
        <v>1324</v>
      </c>
      <c r="D20" s="16" t="n">
        <v>342</v>
      </c>
      <c r="E20" s="16" t="n">
        <v>628</v>
      </c>
      <c r="F20" s="16" t="n">
        <v>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788</v>
      </c>
      <c r="C4" s="16" t="n">
        <v>1692</v>
      </c>
      <c r="D4" s="16" t="n">
        <v>1305</v>
      </c>
      <c r="E4" s="16" t="n">
        <v>731</v>
      </c>
      <c r="F4" s="16" t="n">
        <v>787</v>
      </c>
    </row>
    <row r="5">
      <c r="A5" s="15" t="inlineStr">
        <is>
          <t>Indretning af lejede lokaler</t>
        </is>
      </c>
      <c r="B5" s="16" t="n">
        <v>920</v>
      </c>
      <c r="C5" s="16" t="n">
        <v>716</v>
      </c>
      <c r="D5" s="16" t="n">
        <v>625</v>
      </c>
      <c r="E5" s="16" t="n">
        <v>383</v>
      </c>
      <c r="F5" s="16" t="n">
        <v>105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>
        <v>223</v>
      </c>
      <c r="F6" s="16" t="n">
        <v>0</v>
      </c>
    </row>
    <row r="7">
      <c r="A7" s="17" t="inlineStr">
        <is>
          <t>Materielle anlægsaktiver</t>
        </is>
      </c>
      <c r="B7" s="16" t="n">
        <v>1708</v>
      </c>
      <c r="C7" s="16" t="n">
        <v>2408</v>
      </c>
      <c r="D7" s="16" t="n">
        <v>1930</v>
      </c>
      <c r="E7" s="16" t="n">
        <v>1336</v>
      </c>
      <c r="F7" s="16" t="n">
        <v>891</v>
      </c>
    </row>
    <row r="8">
      <c r="A8" s="15" t="inlineStr">
        <is>
          <t>Kapitalandele, dattervirksomheder</t>
        </is>
      </c>
      <c r="B8" s="16" t="n">
        <v>35</v>
      </c>
      <c r="C8" s="16" t="n">
        <v>224318</v>
      </c>
      <c r="D8" s="16" t="n">
        <v>224318</v>
      </c>
      <c r="E8" s="16" t="n">
        <v>293022</v>
      </c>
      <c r="F8" s="16" t="n">
        <v>293022</v>
      </c>
    </row>
    <row r="9">
      <c r="A9" s="15" t="inlineStr">
        <is>
          <t>Deposita</t>
        </is>
      </c>
      <c r="B9" s="16" t="n">
        <v>454</v>
      </c>
      <c r="C9" s="16" t="n">
        <v>658</v>
      </c>
      <c r="D9" s="16" t="n">
        <v>602</v>
      </c>
      <c r="E9" s="16" t="n">
        <v>631</v>
      </c>
      <c r="F9" s="16" t="n">
        <v>602</v>
      </c>
    </row>
    <row r="10">
      <c r="A10" s="17" t="inlineStr">
        <is>
          <t>Finansielle anlægsaktiver</t>
        </is>
      </c>
      <c r="B10" s="16" t="n">
        <v>489</v>
      </c>
      <c r="C10" s="16" t="n">
        <v>239866</v>
      </c>
      <c r="D10" s="16" t="n">
        <v>224920</v>
      </c>
      <c r="E10" s="16" t="n">
        <v>293653</v>
      </c>
      <c r="F10" s="16" t="n">
        <v>293625</v>
      </c>
    </row>
    <row r="11">
      <c r="A11" s="17" t="inlineStr">
        <is>
          <t>Anlægsaktiver</t>
        </is>
      </c>
      <c r="B11" s="16" t="n">
        <v>2198</v>
      </c>
      <c r="C11" s="16" t="n">
        <v>242274</v>
      </c>
      <c r="D11" s="16" t="n">
        <v>226850</v>
      </c>
      <c r="E11" s="16" t="n">
        <v>294990</v>
      </c>
      <c r="F11" s="16" t="n">
        <v>294516</v>
      </c>
    </row>
    <row r="12">
      <c r="A12" s="17" t="inlineStr">
        <is>
          <t>Varebeholdninger</t>
        </is>
      </c>
      <c r="B12" s="16" t="n">
        <v>28</v>
      </c>
      <c r="C12" s="16" t="n"/>
      <c r="D12" s="16" t="n"/>
      <c r="E12" s="16" t="n"/>
      <c r="F12" s="16" t="n"/>
    </row>
    <row r="13">
      <c r="A13" s="15" t="inlineStr">
        <is>
          <t>Tilgodehavender fra salg og tjenesteydelser</t>
        </is>
      </c>
      <c r="B13" s="16" t="n">
        <v>5600</v>
      </c>
      <c r="C13" s="16" t="n">
        <v>99</v>
      </c>
      <c r="D13" s="16" t="n">
        <v>431</v>
      </c>
      <c r="E13" s="16" t="n">
        <v>822</v>
      </c>
      <c r="F13" s="16" t="n">
        <v>776</v>
      </c>
    </row>
    <row r="14">
      <c r="A14" s="15" t="inlineStr">
        <is>
          <t>Tilgodehavender hos tilknyttede virksomheder</t>
        </is>
      </c>
      <c r="B14" s="16" t="n">
        <v>3795</v>
      </c>
      <c r="C14" s="16" t="n">
        <v>2893</v>
      </c>
      <c r="D14" s="16" t="n">
        <v>30652</v>
      </c>
      <c r="E14" s="16" t="n">
        <v>5268</v>
      </c>
      <c r="F14" s="16" t="n">
        <v>74498</v>
      </c>
    </row>
    <row r="15">
      <c r="A15" s="15" t="inlineStr">
        <is>
          <t>Andre tilgodehavender</t>
        </is>
      </c>
      <c r="B15" s="16" t="n">
        <v>0</v>
      </c>
      <c r="C15" s="16" t="n">
        <v>1563</v>
      </c>
      <c r="D15" s="16" t="n">
        <v>0</v>
      </c>
      <c r="E15" s="16" t="n"/>
      <c r="F15" s="16" t="n"/>
    </row>
    <row r="16">
      <c r="A16" s="15" t="inlineStr">
        <is>
          <t>Periodeafgrænsningsposter (aktiver)</t>
        </is>
      </c>
      <c r="B16" s="16" t="n">
        <v>513</v>
      </c>
      <c r="C16" s="16" t="n">
        <v>176</v>
      </c>
      <c r="D16" s="16" t="n">
        <v>290</v>
      </c>
      <c r="E16" s="16" t="n">
        <v>375</v>
      </c>
      <c r="F16" s="16" t="n">
        <v>392</v>
      </c>
    </row>
    <row r="17">
      <c r="A17" s="15" t="inlineStr">
        <is>
          <t>Udskudt skatteaktiv</t>
        </is>
      </c>
      <c r="B17" s="16" t="n">
        <v>2769</v>
      </c>
      <c r="C17" s="16" t="n">
        <v>3049</v>
      </c>
      <c r="D17" s="16" t="n">
        <v>137</v>
      </c>
      <c r="E17" s="16" t="n">
        <v>165</v>
      </c>
      <c r="F17" s="16" t="n">
        <v>131</v>
      </c>
    </row>
    <row r="18">
      <c r="A18" s="15" t="inlineStr">
        <is>
          <t>Tilgodehavende skat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Kortfristede skattetilgodehavender</t>
        </is>
      </c>
      <c r="B19" s="16" t="n"/>
      <c r="C19" s="16" t="n">
        <v>0</v>
      </c>
      <c r="D19" s="16" t="n">
        <v>3478</v>
      </c>
      <c r="E19" s="16" t="n">
        <v>0</v>
      </c>
      <c r="F19" s="16" t="n">
        <v>395</v>
      </c>
    </row>
    <row r="20">
      <c r="A20" s="17" t="inlineStr">
        <is>
          <t>Tilgodehavender</t>
        </is>
      </c>
      <c r="B20" s="16" t="n">
        <v>12677</v>
      </c>
      <c r="C20" s="16" t="n">
        <v>7780</v>
      </c>
      <c r="D20" s="16" t="n">
        <v>34988</v>
      </c>
      <c r="E20" s="16" t="n">
        <v>6629</v>
      </c>
      <c r="F20" s="16" t="n">
        <v>76191</v>
      </c>
    </row>
    <row r="21">
      <c r="A21" s="15" t="inlineStr">
        <is>
          <t>Værdipapirer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21459</v>
      </c>
      <c r="C22" s="16" t="n">
        <v>111522</v>
      </c>
      <c r="D22" s="16" t="n">
        <v>104229</v>
      </c>
      <c r="E22" s="16" t="n">
        <v>65599</v>
      </c>
      <c r="F22" s="16" t="n">
        <v>9110</v>
      </c>
    </row>
    <row r="23">
      <c r="A23" s="17" t="inlineStr">
        <is>
          <t>Omsætningsaktiver</t>
        </is>
      </c>
      <c r="B23" s="16" t="n">
        <v>34164</v>
      </c>
      <c r="C23" s="16" t="n">
        <v>119302</v>
      </c>
      <c r="D23" s="16" t="n">
        <v>139217</v>
      </c>
      <c r="E23" s="16" t="n">
        <v>72229</v>
      </c>
      <c r="F23" s="16" t="n">
        <v>85301</v>
      </c>
    </row>
    <row r="24">
      <c r="A24" s="17" t="inlineStr">
        <is>
          <t>Aktiver</t>
        </is>
      </c>
      <c r="B24" s="16" t="n">
        <v>36361</v>
      </c>
      <c r="C24" s="16" t="n">
        <v>361576</v>
      </c>
      <c r="D24" s="16" t="n">
        <v>366067</v>
      </c>
      <c r="E24" s="16" t="n">
        <v>367218</v>
      </c>
      <c r="F24" s="16" t="n">
        <v>379817</v>
      </c>
    </row>
    <row r="25">
      <c r="A25" s="15" t="inlineStr">
        <is>
          <t>Selskabskapital</t>
        </is>
      </c>
      <c r="B25" s="16" t="n">
        <v>51</v>
      </c>
      <c r="C25" s="16" t="n">
        <v>101</v>
      </c>
      <c r="D25" s="16" t="n">
        <v>101</v>
      </c>
      <c r="E25" s="16" t="n">
        <v>101</v>
      </c>
      <c r="F25" s="16" t="n">
        <v>101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Overført resultat</t>
        </is>
      </c>
      <c r="B30" s="16" t="n">
        <v>-9434</v>
      </c>
      <c r="C30" s="16" t="n">
        <v>-10555</v>
      </c>
      <c r="D30" s="16" t="n">
        <v>265202</v>
      </c>
      <c r="E30" s="16" t="n">
        <v>289844</v>
      </c>
      <c r="F30" s="16" t="n">
        <v>313053</v>
      </c>
    </row>
    <row r="31">
      <c r="A31" s="17" t="inlineStr">
        <is>
          <t>Egenkapital i alt</t>
        </is>
      </c>
      <c r="B31" s="16" t="n">
        <v>-9383</v>
      </c>
      <c r="C31" s="16" t="n">
        <v>249495</v>
      </c>
      <c r="D31" s="16" t="n">
        <v>265303</v>
      </c>
      <c r="E31" s="16" t="n">
        <v>289945</v>
      </c>
      <c r="F31" s="16" t="n">
        <v>313154</v>
      </c>
    </row>
    <row r="32">
      <c r="A32" s="15" t="inlineStr">
        <is>
          <t>Ansvarlig lånekapital (langfristet)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Langfristede lån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Leasingforpligtelser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Anden gæld (langfristet)</t>
        </is>
      </c>
      <c r="B35" s="16" t="n">
        <v>13467</v>
      </c>
      <c r="C35" s="16" t="n">
        <v>20456</v>
      </c>
      <c r="D35" s="16" t="n">
        <v>0</v>
      </c>
      <c r="E35" s="16" t="n"/>
      <c r="F35" s="16" t="n"/>
    </row>
    <row r="36">
      <c r="A36" s="17" t="inlineStr">
        <is>
          <t>Langfristede gældsforpligtelser</t>
        </is>
      </c>
      <c r="B36" s="16" t="n">
        <v>13467</v>
      </c>
      <c r="C36" s="16" t="n">
        <v>20456</v>
      </c>
      <c r="D36" s="16" t="n">
        <v>0</v>
      </c>
      <c r="E36" s="16" t="n"/>
      <c r="F36" s="16" t="n"/>
    </row>
    <row r="37">
      <c r="A37" s="15" t="inlineStr">
        <is>
          <t>Ansvarlig lånekapital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Kortfristet del af langfristede gældsforpligtelser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Kreditinstitutter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Leverandører af varer og tjenesteydelser</t>
        </is>
      </c>
      <c r="B41" s="16" t="n">
        <v>659</v>
      </c>
      <c r="C41" s="16" t="n">
        <v>4206</v>
      </c>
      <c r="D41" s="16" t="n">
        <v>3902</v>
      </c>
      <c r="E41" s="16" t="n">
        <v>2745</v>
      </c>
      <c r="F41" s="16" t="n">
        <v>2144</v>
      </c>
    </row>
    <row r="42">
      <c r="A42" s="15" t="inlineStr">
        <is>
          <t>Gæld til tilknyttede virksomheder</t>
        </is>
      </c>
      <c r="B42" s="16" t="n">
        <v>12843</v>
      </c>
      <c r="C42" s="16" t="n">
        <v>39598</v>
      </c>
      <c r="D42" s="16" t="n">
        <v>21943</v>
      </c>
      <c r="E42" s="16" t="n">
        <v>40745</v>
      </c>
      <c r="F42" s="16" t="n">
        <v>35498</v>
      </c>
    </row>
    <row r="43">
      <c r="A43" s="15" t="inlineStr">
        <is>
          <t>Gæld til selskabsdeltagere og ledelse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Selskabsskat</t>
        </is>
      </c>
      <c r="B44" s="16" t="n"/>
      <c r="C44" s="16" t="n"/>
      <c r="D44" s="16" t="n"/>
      <c r="E44" s="16" t="n">
        <v>5072</v>
      </c>
      <c r="F44" s="16" t="n">
        <v>0</v>
      </c>
    </row>
    <row r="45">
      <c r="A45" s="15" t="inlineStr">
        <is>
          <t>Gæld til tilknyttede virksomheder vedr. 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Anden gæld (kortfristet)</t>
        </is>
      </c>
      <c r="B46" s="16" t="n">
        <v>14480</v>
      </c>
      <c r="C46" s="16" t="n">
        <v>36523</v>
      </c>
      <c r="D46" s="16" t="n">
        <v>64479</v>
      </c>
      <c r="E46" s="16" t="n">
        <v>21243</v>
      </c>
      <c r="F46" s="16" t="n">
        <v>21443</v>
      </c>
    </row>
    <row r="47">
      <c r="A47" s="15" t="inlineStr">
        <is>
          <t>Periodeafgrænsningsposter (passiver)</t>
        </is>
      </c>
      <c r="B47" s="16" t="n">
        <v>4296</v>
      </c>
      <c r="C47" s="16" t="n">
        <v>11296</v>
      </c>
      <c r="D47" s="16" t="n">
        <v>10439</v>
      </c>
      <c r="E47" s="16" t="n">
        <v>7468</v>
      </c>
      <c r="F47" s="16" t="n">
        <v>7577</v>
      </c>
    </row>
    <row r="48">
      <c r="A48" s="17" t="inlineStr">
        <is>
          <t>Kortfristede gældsforpligtelser</t>
        </is>
      </c>
      <c r="B48" s="16" t="n">
        <v>32278</v>
      </c>
      <c r="C48" s="16" t="n">
        <v>91624</v>
      </c>
      <c r="D48" s="16" t="n">
        <v>100763</v>
      </c>
      <c r="E48" s="16" t="n">
        <v>77273</v>
      </c>
      <c r="F48" s="16" t="n">
        <v>66662</v>
      </c>
    </row>
    <row r="49">
      <c r="A49" s="17" t="inlineStr">
        <is>
          <t>Gældsforpligtelser</t>
        </is>
      </c>
      <c r="B49" s="16" t="n">
        <v>45744</v>
      </c>
      <c r="C49" s="16" t="n">
        <v>112080</v>
      </c>
      <c r="D49" s="16" t="n">
        <v>100763</v>
      </c>
      <c r="E49" s="16" t="n">
        <v>77273</v>
      </c>
      <c r="F49" s="16" t="n">
        <v>66662</v>
      </c>
    </row>
    <row r="50">
      <c r="A50" s="17" t="inlineStr">
        <is>
          <t>Passiver</t>
        </is>
      </c>
      <c r="B50" s="16" t="n">
        <v>36361</v>
      </c>
      <c r="C50" s="16" t="n">
        <v>361576</v>
      </c>
      <c r="D50" s="16" t="n">
        <v>366067</v>
      </c>
      <c r="E50" s="16" t="n">
        <v>367218</v>
      </c>
      <c r="F50" s="16" t="n">
        <v>379817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40333371)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'res_raw_40333371'!$F$2</f>
        <v/>
      </c>
      <c r="C5" s="24">
        <f>'res_raw_40333371'!$E$2</f>
        <v/>
      </c>
      <c r="D5" s="24">
        <f>'res_raw_40333371'!$D$2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'res_raw_40333371'!$F$3</f>
        <v/>
      </c>
      <c r="C6" s="24">
        <f>'res_raw_40333371'!$E$3</f>
        <v/>
      </c>
      <c r="D6" s="24">
        <f>'res_raw_40333371'!$D$3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-'res_raw_40333371'!$F$4</f>
        <v/>
      </c>
      <c r="C7" s="24">
        <f>-'res_raw_40333371'!$E$4</f>
        <v/>
      </c>
      <c r="D7" s="24">
        <f>-'res_raw_40333371'!$D$4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-'res_raw_40333371'!$F$5</f>
        <v/>
      </c>
      <c r="C8" s="24">
        <f>-'res_raw_40333371'!$E$5</f>
        <v/>
      </c>
      <c r="D8" s="24">
        <f>-'res_raw_40333371'!$D$5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-'res_raw_40333371'!$F$7</f>
        <v/>
      </c>
      <c r="C10" s="24">
        <f>-'res_raw_40333371'!$E$7</f>
        <v/>
      </c>
      <c r="D10" s="24">
        <f>-'res_raw_40333371'!$D$7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-'res_raw_40333371'!$F$9</f>
        <v/>
      </c>
      <c r="C11" s="24">
        <f>-'res_raw_40333371'!$E$9</f>
        <v/>
      </c>
      <c r="D11" s="24">
        <f>-'res_raw_40333371'!$D$9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-'res_raw_40333371'!$F$10</f>
        <v/>
      </c>
      <c r="C12" s="24">
        <f>-'res_raw_40333371'!$E$10</f>
        <v/>
      </c>
      <c r="D12" s="24">
        <f>-'res_raw_40333371'!$D$10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N('res_raw_40333371'!$F$12)+N('res_raw_40333371'!$F$13)</f>
        <v/>
      </c>
      <c r="C14" s="24">
        <f>N('res_raw_40333371'!$E$12)+N('res_raw_40333371'!$E$13)</f>
        <v/>
      </c>
      <c r="D14" s="24">
        <f>N('res_raw_40333371'!$D$12)+N('res_raw_40333371'!$D$13)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-'res_raw_40333371'!$F$14</f>
        <v/>
      </c>
      <c r="C15" s="24">
        <f>-'res_raw_40333371'!$E$14</f>
        <v/>
      </c>
      <c r="D15" s="24">
        <f>-'res_raw_40333371'!$D$14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'balance_raw_40333371'!$F$11</f>
        <v/>
      </c>
      <c r="C19" s="24">
        <f>'balance_raw_40333371'!$E$11</f>
        <v/>
      </c>
      <c r="D19" s="24">
        <f>'balance_raw_40333371'!$D$11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'balance_raw_40333371'!$F$23</f>
        <v/>
      </c>
      <c r="C20" s="24">
        <f>'balance_raw_40333371'!$E$23</f>
        <v/>
      </c>
      <c r="D20" s="24">
        <f>'balance_raw_40333371'!$D$23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'balance_raw_40333371'!$F$31</f>
        <v/>
      </c>
      <c r="C23" s="24">
        <f>'balance_raw_40333371'!$E$31</f>
        <v/>
      </c>
      <c r="D23" s="24">
        <f>'balance_raw_40333371'!$D$31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'balance_raw_40333371'!$F$50-'balance_raw_40333371'!$F$31</f>
        <v/>
      </c>
      <c r="C24" s="24">
        <f>'balance_raw_40333371'!$E$50-'balance_raw_40333371'!$E$31</f>
        <v/>
      </c>
      <c r="D24" s="24">
        <f>'balance_raw_40333371'!$D$50-'balance_raw_40333371'!$D$31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'balance_raw_40333371'!$F$12</f>
        <v/>
      </c>
      <c r="C28" s="24">
        <f>'balance_raw_40333371'!$E$12</f>
        <v/>
      </c>
      <c r="D28" s="24">
        <f>'balance_raw_40333371'!$D$12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'balance_raw_40333371'!$F$13</f>
        <v/>
      </c>
      <c r="C29" s="24">
        <f>'balance_raw_40333371'!$E$13</f>
        <v/>
      </c>
      <c r="D29" s="24">
        <f>'balance_raw_40333371'!$D$13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'balance_raw_40333371'!$F$48</f>
        <v/>
      </c>
      <c r="C30" s="24">
        <f>'balance_raw_40333371'!$E$48</f>
        <v/>
      </c>
      <c r="D30" s="24">
        <f>'balance_raw_40333371'!$D$48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IF('balance_raw_40333371'!$F$24="","—",IF(ABS(B21-'balance_raw_40333371'!$F$24)&lt;=1,"✓ OK","❌ "&amp;TEXT(B21-'balance_raw_40333371'!$F$24,"+#,##0;-#,##0")&amp;" t.kr."))</f>
        <v/>
      </c>
      <c r="C61" s="29">
        <f>IF('balance_raw_40333371'!$E$24="","—",IF(ABS(C21-'balance_raw_40333371'!$E$24)&lt;=1,"✓ OK","❌ "&amp;TEXT(C21-'balance_raw_40333371'!$E$24,"+#,##0;-#,##0")&amp;" t.kr."))</f>
        <v/>
      </c>
      <c r="D61" s="29">
        <f>IF('balance_raw_40333371'!$D$24="","—",IF(ABS(D21-'balance_raw_40333371'!$D$24)&lt;=1,"✓ OK","❌ "&amp;TEXT(D21-'balance_raw_40333371'!$D$24,"+#,##0;-#,##0")&amp;"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IF('balance_raw_40333371'!$F$50="","—",IF(ABS(B25-'balance_raw_40333371'!$F$50)&lt;=1,"✓ OK","❌ "&amp;TEXT(B25-'balance_raw_40333371'!$F$50,"+#,##0;-#,##0")&amp;" t.kr."))</f>
        <v/>
      </c>
      <c r="C62" s="29">
        <f>IF('balance_raw_40333371'!$E$50="","—",IF(ABS(C25-'balance_raw_40333371'!$E$50)&lt;=1,"✓ OK","❌ "&amp;TEXT(C25-'balance_raw_40333371'!$E$50,"+#,##0;-#,##0")&amp;" t.kr."))</f>
        <v/>
      </c>
      <c r="D62" s="29">
        <f>IF('balance_raw_40333371'!$D$50="","—",IF(ABS(D25-'balance_raw_40333371'!$D$50)&lt;=1,"✓ OK","❌ "&amp;TEXT(D25-'balance_raw_40333371'!$D$50,"+#,##0;-#,##0")&amp;"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IF('res_raw_40333371'!$F$6="","—",IF(ABS(B9-'res_raw_40333371'!$F$6)&lt;=1,"✓ OK","❌ "&amp;TEXT(B9-'res_raw_40333371'!$F$6,"+#,##0;-#,##0")&amp;" t.kr."))</f>
        <v/>
      </c>
      <c r="C64" s="29">
        <f>IF('res_raw_40333371'!$E$6="","—",IF(ABS(C9-'res_raw_40333371'!$E$6)&lt;=1,"✓ OK","❌ "&amp;TEXT(C9-'res_raw_40333371'!$E$6,"+#,##0;-#,##0")&amp;" t.kr."))</f>
        <v/>
      </c>
      <c r="D64" s="29">
        <f>IF('res_raw_40333371'!$D$6="","—",IF(ABS(D9-'res_raw_40333371'!$D$6)&lt;=1,"✓ OK","❌ "&amp;TEXT(D9-'res_raw_40333371'!$D$6,"+#,##0;-#,##0")&amp;"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IF('res_raw_40333371'!$F$11="","—",IF(ABS(B13-'res_raw_40333371'!$F$11)&lt;=1,"✓ OK","❌ "&amp;TEXT(B13-'res_raw_40333371'!$F$11,"+#,##0;-#,##0")&amp;" t.kr."))</f>
        <v/>
      </c>
      <c r="C65" s="29">
        <f>IF('res_raw_40333371'!$E$11="","—",IF(ABS(C13-'res_raw_40333371'!$E$11)&lt;=1,"✓ OK","❌ "&amp;TEXT(C13-'res_raw_40333371'!$E$11,"+#,##0;-#,##0")&amp;" t.kr."))</f>
        <v/>
      </c>
      <c r="D65" s="29">
        <f>IF('res_raw_40333371'!$D$11="","—",IF(ABS(D13-'res_raw_40333371'!$D$11)&lt;=1,"✓ OK","❌ "&amp;TEXT(D13-'res_raw_40333371'!$D$11,"+#,##0;-#,##0")&amp;"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IF('res_raw_40333371'!$F$16="","—",IF(ABS(B16-'res_raw_40333371'!$F$16)&lt;=1,"✓ OK","❌ "&amp;TEXT(B16-'res_raw_40333371'!$F$16,"+#,##0;-#,##0")&amp;" t.kr."))</f>
        <v/>
      </c>
      <c r="C66" s="29">
        <f>IF('res_raw_40333371'!$E$16="","—",IF(ABS(C16-'res_raw_40333371'!$E$16)&lt;=1,"✓ OK","❌ "&amp;TEXT(C16-'res_raw_40333371'!$E$16,"+#,##0;-#,##0")&amp;" t.kr."))</f>
        <v/>
      </c>
      <c r="D66" s="29">
        <f>IF('res_raw_40333371'!$D$16="","—",IF(ABS(D16-'res_raw_40333371'!$D$16)&lt;=1,"✓ OK","❌ "&amp;TEXT(D16-'res_raw_40333371'!$D$16,"+#,##0;-#,##0")&amp;"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>
        <v>815</v>
      </c>
      <c r="E3" s="35" t="n">
        <v>3064</v>
      </c>
      <c r="F3" s="35" t="n">
        <v>12902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fsa:FinanceExpensesArisingFromGroupEnterprises</t>
        </is>
      </c>
      <c r="C4" s="37" t="inlineStr">
        <is>
          <t>fsa:FinanceExpensesArisingFromGroupEnterprises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fsa:SharePremium</t>
        </is>
      </c>
      <c r="C5" s="34" t="inlineStr">
        <is>
          <t>fsa:SharePremium</t>
        </is>
      </c>
      <c r="D5" s="35" t="n">
        <v>0</v>
      </c>
      <c r="E5" s="35" t="n">
        <v>259949</v>
      </c>
      <c r="F5" s="35" t="n">
        <v>0</v>
      </c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2026-09-07T19:37:57Z</dcterms:created>
  <dcterms:modified xmlns:dcterms="http://purl.org/dc/terms/" xmlns:xsi="http://www.w3.org/2001/XMLSchema-instance" xsi:type="dcterms:W3CDTF">2026-09-07T19:37:58Z</dcterms:modified>
</cp:coreProperties>
</file>