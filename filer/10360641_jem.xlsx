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0360641" sheetId="1" state="visible" r:id="rId1"/>
    <sheet xmlns:r="http://schemas.openxmlformats.org/officeDocument/2006/relationships" name="res_raw_10360641" sheetId="2" state="visible" r:id="rId2"/>
    <sheet xmlns:r="http://schemas.openxmlformats.org/officeDocument/2006/relationships" name="balance_raw_10360641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'res_raw_10360641'!$B$2</f>
        <v/>
      </c>
      <c r="C4" s="5">
        <f>'res_raw_10360641'!$C$2</f>
        <v/>
      </c>
      <c r="D4" s="5">
        <f>'res_raw_10360641'!$D$2</f>
        <v/>
      </c>
      <c r="E4" s="5">
        <f>'res_raw_10360641'!$E$2</f>
        <v/>
      </c>
      <c r="F4" s="5">
        <f>'res_raw_10360641'!$F$2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'res_raw_10360641'!$B$3</f>
        <v/>
      </c>
      <c r="C5" s="8">
        <f>'res_raw_10360641'!$C$3</f>
        <v/>
      </c>
      <c r="D5" s="8">
        <f>'res_raw_10360641'!$D$3</f>
        <v/>
      </c>
      <c r="E5" s="8">
        <f>'res_raw_10360641'!$E$3</f>
        <v/>
      </c>
      <c r="F5" s="8">
        <f>'res_raw_10360641'!$F$3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'res_raw_10360641'!$B$4</f>
        <v/>
      </c>
      <c r="C6" s="5">
        <f>'res_raw_10360641'!$C$4</f>
        <v/>
      </c>
      <c r="D6" s="5">
        <f>'res_raw_10360641'!$D$4</f>
        <v/>
      </c>
      <c r="E6" s="5">
        <f>'res_raw_10360641'!$E$4</f>
        <v/>
      </c>
      <c r="F6" s="5">
        <f>'res_raw_10360641'!$F$4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'res_raw_10360641'!$B$5</f>
        <v/>
      </c>
      <c r="C7" s="8">
        <f>'res_raw_10360641'!$C$5</f>
        <v/>
      </c>
      <c r="D7" s="8">
        <f>'res_raw_10360641'!$D$5</f>
        <v/>
      </c>
      <c r="E7" s="8">
        <f>'res_raw_10360641'!$E$5</f>
        <v/>
      </c>
      <c r="F7" s="8">
        <f>'res_raw_10360641'!$F$5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'res_raw_10360641'!$B$6</f>
        <v/>
      </c>
      <c r="C8" s="11">
        <f>'res_raw_10360641'!$C$6</f>
        <v/>
      </c>
      <c r="D8" s="11">
        <f>'res_raw_10360641'!$D$6</f>
        <v/>
      </c>
      <c r="E8" s="11">
        <f>'res_raw_10360641'!$E$6</f>
        <v/>
      </c>
      <c r="F8" s="11">
        <f>'res_raw_10360641'!$F$6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'res_raw_10360641'!$B$7</f>
        <v/>
      </c>
      <c r="C9" s="8">
        <f>'res_raw_10360641'!$C$7</f>
        <v/>
      </c>
      <c r="D9" s="8">
        <f>'res_raw_10360641'!$D$7</f>
        <v/>
      </c>
      <c r="E9" s="8">
        <f>'res_raw_10360641'!$E$7</f>
        <v/>
      </c>
      <c r="F9" s="8">
        <f>'res_raw_10360641'!$F$7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'res_raw_10360641'!$B$9</f>
        <v/>
      </c>
      <c r="C11" s="8">
        <f>'res_raw_10360641'!$C$9</f>
        <v/>
      </c>
      <c r="D11" s="8">
        <f>'res_raw_10360641'!$D$9</f>
        <v/>
      </c>
      <c r="E11" s="8">
        <f>'res_raw_10360641'!$E$9</f>
        <v/>
      </c>
      <c r="F11" s="8">
        <f>'res_raw_10360641'!$F$9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'res_raw_10360641'!$B$10</f>
        <v/>
      </c>
      <c r="C12" s="5">
        <f>'res_raw_10360641'!$C$10</f>
        <v/>
      </c>
      <c r="D12" s="5">
        <f>'res_raw_10360641'!$D$10</f>
        <v/>
      </c>
      <c r="E12" s="5">
        <f>'res_raw_10360641'!$E$10</f>
        <v/>
      </c>
      <c r="F12" s="5">
        <f>'res_raw_10360641'!$F$10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'res_raw_10360641'!$B$11</f>
        <v/>
      </c>
      <c r="C13" s="11">
        <f>'res_raw_10360641'!$C$11</f>
        <v/>
      </c>
      <c r="D13" s="11">
        <f>'res_raw_10360641'!$D$11</f>
        <v/>
      </c>
      <c r="E13" s="11">
        <f>'res_raw_10360641'!$E$11</f>
        <v/>
      </c>
      <c r="F13" s="11">
        <f>'res_raw_10360641'!$F$11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'res_raw_10360641'!$B$12</f>
        <v/>
      </c>
      <c r="C14" s="5">
        <f>'res_raw_10360641'!$C$12</f>
        <v/>
      </c>
      <c r="D14" s="5">
        <f>'res_raw_10360641'!$D$12</f>
        <v/>
      </c>
      <c r="E14" s="5">
        <f>'res_raw_10360641'!$E$12</f>
        <v/>
      </c>
      <c r="F14" s="5">
        <f>'res_raw_10360641'!$F$12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'res_raw_10360641'!$B$13</f>
        <v/>
      </c>
      <c r="C15" s="8">
        <f>'res_raw_10360641'!$C$13</f>
        <v/>
      </c>
      <c r="D15" s="8">
        <f>'res_raw_10360641'!$D$13</f>
        <v/>
      </c>
      <c r="E15" s="8">
        <f>'res_raw_10360641'!$E$13</f>
        <v/>
      </c>
      <c r="F15" s="8">
        <f>'res_raw_10360641'!$F$13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'res_raw_10360641'!$B$14</f>
        <v/>
      </c>
      <c r="C16" s="5">
        <f>'res_raw_10360641'!$C$14</f>
        <v/>
      </c>
      <c r="D16" s="5">
        <f>'res_raw_10360641'!$D$14</f>
        <v/>
      </c>
      <c r="E16" s="5">
        <f>'res_raw_10360641'!$E$14</f>
        <v/>
      </c>
      <c r="F16" s="5">
        <f>'res_raw_10360641'!$F$14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'res_raw_10360641'!$B$15</f>
        <v/>
      </c>
      <c r="C17" s="11">
        <f>'res_raw_10360641'!$C$15</f>
        <v/>
      </c>
      <c r="D17" s="11">
        <f>'res_raw_10360641'!$D$15</f>
        <v/>
      </c>
      <c r="E17" s="11">
        <f>'res_raw_10360641'!$E$15</f>
        <v/>
      </c>
      <c r="F17" s="11">
        <f>'res_raw_10360641'!$F$15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'res_raw_10360641'!$B$16</f>
        <v/>
      </c>
      <c r="C18" s="11">
        <f>'res_raw_10360641'!$C$16</f>
        <v/>
      </c>
      <c r="D18" s="11">
        <f>'res_raw_10360641'!$D$16</f>
        <v/>
      </c>
      <c r="E18" s="11">
        <f>'res_raw_10360641'!$E$16</f>
        <v/>
      </c>
      <c r="F18" s="11">
        <f>'res_raw_10360641'!$F$16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'res_raw_10360641'!$B$17</f>
        <v/>
      </c>
      <c r="C19" s="8">
        <f>'res_raw_10360641'!$C$17</f>
        <v/>
      </c>
      <c r="D19" s="8">
        <f>'res_raw_10360641'!$D$17</f>
        <v/>
      </c>
      <c r="E19" s="8">
        <f>'res_raw_10360641'!$E$17</f>
        <v/>
      </c>
      <c r="F19" s="8">
        <f>'res_raw_10360641'!$F$17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'res_raw_10360641'!$B$18</f>
        <v/>
      </c>
      <c r="C20" s="11">
        <f>'res_raw_10360641'!$C$18</f>
        <v/>
      </c>
      <c r="D20" s="11">
        <f>'res_raw_10360641'!$D$18</f>
        <v/>
      </c>
      <c r="E20" s="11">
        <f>'res_raw_10360641'!$E$18</f>
        <v/>
      </c>
      <c r="F20" s="11">
        <f>'res_raw_10360641'!$F$18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7" t="inlineStr">
        <is>
          <t>Grunde og bygninger</t>
        </is>
      </c>
      <c r="B23" s="8">
        <f>'balance_raw_10360641'!$B$2</f>
        <v/>
      </c>
      <c r="C23" s="8">
        <f>'balance_raw_10360641'!$C$2</f>
        <v/>
      </c>
      <c r="D23" s="8">
        <f>'balance_raw_10360641'!$D$2</f>
        <v/>
      </c>
      <c r="E23" s="8">
        <f>'balance_raw_10360641'!$E$2</f>
        <v/>
      </c>
      <c r="F23" s="8">
        <f>'balance_raw_10360641'!$F$2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'balance_raw_10360641'!$B$3</f>
        <v/>
      </c>
      <c r="C24" s="5">
        <f>'balance_raw_10360641'!$C$3</f>
        <v/>
      </c>
      <c r="D24" s="5">
        <f>'balance_raw_10360641'!$D$3</f>
        <v/>
      </c>
      <c r="E24" s="5">
        <f>'balance_raw_10360641'!$E$3</f>
        <v/>
      </c>
      <c r="F24" s="5">
        <f>'balance_raw_10360641'!$F$3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'balance_raw_10360641'!$B$4</f>
        <v/>
      </c>
      <c r="C25" s="8">
        <f>'balance_raw_10360641'!$C$4</f>
        <v/>
      </c>
      <c r="D25" s="8">
        <f>'balance_raw_10360641'!$D$4</f>
        <v/>
      </c>
      <c r="E25" s="8">
        <f>'balance_raw_10360641'!$E$4</f>
        <v/>
      </c>
      <c r="F25" s="8">
        <f>'balance_raw_10360641'!$F$4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'balance_raw_10360641'!$B$5</f>
        <v/>
      </c>
      <c r="C26" s="5">
        <f>'balance_raw_10360641'!$C$5</f>
        <v/>
      </c>
      <c r="D26" s="5">
        <f>'balance_raw_10360641'!$D$5</f>
        <v/>
      </c>
      <c r="E26" s="5">
        <f>'balance_raw_10360641'!$E$5</f>
        <v/>
      </c>
      <c r="F26" s="5">
        <f>'balance_raw_10360641'!$F$5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'balance_raw_10360641'!$B$6</f>
        <v/>
      </c>
      <c r="C27" s="8">
        <f>'balance_raw_10360641'!$C$6</f>
        <v/>
      </c>
      <c r="D27" s="8">
        <f>'balance_raw_10360641'!$D$6</f>
        <v/>
      </c>
      <c r="E27" s="8">
        <f>'balance_raw_10360641'!$E$6</f>
        <v/>
      </c>
      <c r="F27" s="8">
        <f>'balance_raw_10360641'!$F$6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'balance_raw_10360641'!$B$7</f>
        <v/>
      </c>
      <c r="C28" s="11">
        <f>'balance_raw_10360641'!$C$7</f>
        <v/>
      </c>
      <c r="D28" s="11">
        <f>'balance_raw_10360641'!$D$7</f>
        <v/>
      </c>
      <c r="E28" s="11">
        <f>'balance_raw_10360641'!$E$7</f>
        <v/>
      </c>
      <c r="F28" s="11">
        <f>'balance_raw_10360641'!$F$7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'balance_raw_10360641'!$B$8</f>
        <v/>
      </c>
      <c r="C29" s="8">
        <f>'balance_raw_10360641'!$C$8</f>
        <v/>
      </c>
      <c r="D29" s="8">
        <f>'balance_raw_10360641'!$D$8</f>
        <v/>
      </c>
      <c r="E29" s="8">
        <f>'balance_raw_10360641'!$E$8</f>
        <v/>
      </c>
      <c r="F29" s="8">
        <f>'balance_raw_10360641'!$F$8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'balance_raw_10360641'!$B$9</f>
        <v/>
      </c>
      <c r="C30" s="5">
        <f>'balance_raw_10360641'!$C$9</f>
        <v/>
      </c>
      <c r="D30" s="5">
        <f>'balance_raw_10360641'!$D$9</f>
        <v/>
      </c>
      <c r="E30" s="5">
        <f>'balance_raw_10360641'!$E$9</f>
        <v/>
      </c>
      <c r="F30" s="5">
        <f>'balance_raw_10360641'!$F$9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'balance_raw_10360641'!$B$10</f>
        <v/>
      </c>
      <c r="C31" s="11">
        <f>'balance_raw_10360641'!$C$10</f>
        <v/>
      </c>
      <c r="D31" s="11">
        <f>'balance_raw_10360641'!$D$10</f>
        <v/>
      </c>
      <c r="E31" s="11">
        <f>'balance_raw_10360641'!$E$10</f>
        <v/>
      </c>
      <c r="F31" s="11">
        <f>'balance_raw_10360641'!$F$10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'balance_raw_10360641'!$B$11</f>
        <v/>
      </c>
      <c r="C32" s="11">
        <f>'balance_raw_10360641'!$C$11</f>
        <v/>
      </c>
      <c r="D32" s="11">
        <f>'balance_raw_10360641'!$D$11</f>
        <v/>
      </c>
      <c r="E32" s="11">
        <f>'balance_raw_10360641'!$E$11</f>
        <v/>
      </c>
      <c r="F32" s="11">
        <f>'balance_raw_10360641'!$F$11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'balance_raw_10360641'!$B$12</f>
        <v/>
      </c>
      <c r="C33" s="8">
        <f>'balance_raw_10360641'!$C$12</f>
        <v/>
      </c>
      <c r="D33" s="8">
        <f>'balance_raw_10360641'!$D$12</f>
        <v/>
      </c>
      <c r="E33" s="8">
        <f>'balance_raw_10360641'!$E$12</f>
        <v/>
      </c>
      <c r="F33" s="8">
        <f>'balance_raw_10360641'!$F$12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'balance_raw_10360641'!$B$13</f>
        <v/>
      </c>
      <c r="C34" s="5">
        <f>'balance_raw_10360641'!$C$13</f>
        <v/>
      </c>
      <c r="D34" s="5">
        <f>'balance_raw_10360641'!$D$13</f>
        <v/>
      </c>
      <c r="E34" s="5">
        <f>'balance_raw_10360641'!$E$13</f>
        <v/>
      </c>
      <c r="F34" s="5">
        <f>'balance_raw_10360641'!$F$13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'balance_raw_10360641'!$B$14</f>
        <v/>
      </c>
      <c r="C35" s="8">
        <f>'balance_raw_10360641'!$C$14</f>
        <v/>
      </c>
      <c r="D35" s="8">
        <f>'balance_raw_10360641'!$D$14</f>
        <v/>
      </c>
      <c r="E35" s="8">
        <f>'balance_raw_10360641'!$E$14</f>
        <v/>
      </c>
      <c r="F35" s="8">
        <f>'balance_raw_10360641'!$F$14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'balance_raw_10360641'!$B$15</f>
        <v/>
      </c>
      <c r="C36" s="11">
        <f>'balance_raw_10360641'!$C$15</f>
        <v/>
      </c>
      <c r="D36" s="11">
        <f>'balance_raw_10360641'!$D$15</f>
        <v/>
      </c>
      <c r="E36" s="11">
        <f>'balance_raw_10360641'!$E$15</f>
        <v/>
      </c>
      <c r="F36" s="11">
        <f>'balance_raw_10360641'!$F$15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'balance_raw_10360641'!$B$16</f>
        <v/>
      </c>
      <c r="C37" s="8">
        <f>'balance_raw_10360641'!$C$16</f>
        <v/>
      </c>
      <c r="D37" s="8">
        <f>'balance_raw_10360641'!$D$16</f>
        <v/>
      </c>
      <c r="E37" s="8">
        <f>'balance_raw_10360641'!$E$16</f>
        <v/>
      </c>
      <c r="F37" s="8">
        <f>'balance_raw_10360641'!$F$16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'balance_raw_10360641'!$B$17</f>
        <v/>
      </c>
      <c r="C38" s="5">
        <f>'balance_raw_10360641'!$C$17</f>
        <v/>
      </c>
      <c r="D38" s="5">
        <f>'balance_raw_10360641'!$D$17</f>
        <v/>
      </c>
      <c r="E38" s="5">
        <f>'balance_raw_10360641'!$E$17</f>
        <v/>
      </c>
      <c r="F38" s="5">
        <f>'balance_raw_10360641'!$F$17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'balance_raw_10360641'!$B$18</f>
        <v/>
      </c>
      <c r="C39" s="8">
        <f>'balance_raw_10360641'!$C$18</f>
        <v/>
      </c>
      <c r="D39" s="8">
        <f>'balance_raw_10360641'!$D$18</f>
        <v/>
      </c>
      <c r="E39" s="8">
        <f>'balance_raw_10360641'!$E$18</f>
        <v/>
      </c>
      <c r="F39" s="8">
        <f>'balance_raw_10360641'!$F$18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'balance_raw_10360641'!$B$19</f>
        <v/>
      </c>
      <c r="C40" s="5">
        <f>'balance_raw_10360641'!$C$19</f>
        <v/>
      </c>
      <c r="D40" s="5">
        <f>'balance_raw_10360641'!$D$19</f>
        <v/>
      </c>
      <c r="E40" s="5">
        <f>'balance_raw_10360641'!$E$19</f>
        <v/>
      </c>
      <c r="F40" s="5">
        <f>'balance_raw_10360641'!$F$19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'balance_raw_10360641'!$B$20</f>
        <v/>
      </c>
      <c r="C41" s="8">
        <f>'balance_raw_10360641'!$C$20</f>
        <v/>
      </c>
      <c r="D41" s="8">
        <f>'balance_raw_10360641'!$D$20</f>
        <v/>
      </c>
      <c r="E41" s="8">
        <f>'balance_raw_10360641'!$E$20</f>
        <v/>
      </c>
      <c r="F41" s="8">
        <f>'balance_raw_10360641'!$F$20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'balance_raw_10360641'!$B$21</f>
        <v/>
      </c>
      <c r="C42" s="5">
        <f>'balance_raw_10360641'!$C$21</f>
        <v/>
      </c>
      <c r="D42" s="5">
        <f>'balance_raw_10360641'!$D$21</f>
        <v/>
      </c>
      <c r="E42" s="5">
        <f>'balance_raw_10360641'!$E$21</f>
        <v/>
      </c>
      <c r="F42" s="5">
        <f>'balance_raw_10360641'!$F$21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'balance_raw_10360641'!$B$22</f>
        <v/>
      </c>
      <c r="C43" s="8">
        <f>'balance_raw_10360641'!$C$22</f>
        <v/>
      </c>
      <c r="D43" s="8">
        <f>'balance_raw_10360641'!$D$22</f>
        <v/>
      </c>
      <c r="E43" s="8">
        <f>'balance_raw_10360641'!$E$22</f>
        <v/>
      </c>
      <c r="F43" s="8">
        <f>'balance_raw_10360641'!$F$22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'balance_raw_10360641'!$B$23</f>
        <v/>
      </c>
      <c r="C44" s="11">
        <f>'balance_raw_10360641'!$C$23</f>
        <v/>
      </c>
      <c r="D44" s="11">
        <f>'balance_raw_10360641'!$D$23</f>
        <v/>
      </c>
      <c r="E44" s="11">
        <f>'balance_raw_10360641'!$E$23</f>
        <v/>
      </c>
      <c r="F44" s="11">
        <f>'balance_raw_10360641'!$F$23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'balance_raw_10360641'!$B$24</f>
        <v/>
      </c>
      <c r="C45" s="8">
        <f>'balance_raw_10360641'!$C$24</f>
        <v/>
      </c>
      <c r="D45" s="8">
        <f>'balance_raw_10360641'!$D$24</f>
        <v/>
      </c>
      <c r="E45" s="8">
        <f>'balance_raw_10360641'!$E$24</f>
        <v/>
      </c>
      <c r="F45" s="8">
        <f>'balance_raw_10360641'!$F$24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'balance_raw_10360641'!$B$25</f>
        <v/>
      </c>
      <c r="C46" s="5">
        <f>'balance_raw_10360641'!$C$25</f>
        <v/>
      </c>
      <c r="D46" s="5">
        <f>'balance_raw_10360641'!$D$25</f>
        <v/>
      </c>
      <c r="E46" s="5">
        <f>'balance_raw_10360641'!$E$25</f>
        <v/>
      </c>
      <c r="F46" s="5">
        <f>'balance_raw_10360641'!$F$25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'balance_raw_10360641'!$B$26</f>
        <v/>
      </c>
      <c r="C47" s="11">
        <f>'balance_raw_10360641'!$C$26</f>
        <v/>
      </c>
      <c r="D47" s="11">
        <f>'balance_raw_10360641'!$D$26</f>
        <v/>
      </c>
      <c r="E47" s="11">
        <f>'balance_raw_10360641'!$E$26</f>
        <v/>
      </c>
      <c r="F47" s="11">
        <f>'balance_raw_10360641'!$F$26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'balance_raw_10360641'!$B$27</f>
        <v/>
      </c>
      <c r="C48" s="11">
        <f>'balance_raw_10360641'!$C$27</f>
        <v/>
      </c>
      <c r="D48" s="11">
        <f>'balance_raw_10360641'!$D$27</f>
        <v/>
      </c>
      <c r="E48" s="11">
        <f>'balance_raw_10360641'!$E$27</f>
        <v/>
      </c>
      <c r="F48" s="11">
        <f>'balance_raw_10360641'!$F$27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2020</v>
      </c>
      <c r="C50" s="3" t="n">
        <v>2021</v>
      </c>
      <c r="D50" s="3" t="n">
        <v>2022</v>
      </c>
      <c r="E50" s="3" t="n">
        <v>2023</v>
      </c>
      <c r="F50" s="3" t="n">
        <v>2024</v>
      </c>
      <c r="G50" t="inlineStr"/>
      <c r="H50" s="3" t="n">
        <v>2020</v>
      </c>
      <c r="I50" s="3" t="n">
        <v>2021</v>
      </c>
      <c r="J50" s="3" t="n">
        <v>2022</v>
      </c>
      <c r="K50" s="3" t="n">
        <v>2023</v>
      </c>
      <c r="L50" s="3" t="n">
        <v>2024</v>
      </c>
    </row>
    <row r="51" ht="16" customHeight="1">
      <c r="A51" s="7" t="inlineStr">
        <is>
          <t>Selskabskapital</t>
        </is>
      </c>
      <c r="B51" s="8">
        <f>'balance_raw_10360641'!$B$28</f>
        <v/>
      </c>
      <c r="C51" s="8">
        <f>'balance_raw_10360641'!$C$28</f>
        <v/>
      </c>
      <c r="D51" s="8">
        <f>'balance_raw_10360641'!$D$28</f>
        <v/>
      </c>
      <c r="E51" s="8">
        <f>'balance_raw_10360641'!$E$28</f>
        <v/>
      </c>
      <c r="F51" s="8">
        <f>'balance_raw_10360641'!$F$28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'balance_raw_10360641'!$B$29</f>
        <v/>
      </c>
      <c r="C52" s="5">
        <f>'balance_raw_10360641'!$C$29</f>
        <v/>
      </c>
      <c r="D52" s="5">
        <f>'balance_raw_10360641'!$D$29</f>
        <v/>
      </c>
      <c r="E52" s="5">
        <f>'balance_raw_10360641'!$E$29</f>
        <v/>
      </c>
      <c r="F52" s="5">
        <f>'balance_raw_10360641'!$F$29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'balance_raw_10360641'!$B$30</f>
        <v/>
      </c>
      <c r="C53" s="8">
        <f>'balance_raw_10360641'!$C$30</f>
        <v/>
      </c>
      <c r="D53" s="8">
        <f>'balance_raw_10360641'!$D$30</f>
        <v/>
      </c>
      <c r="E53" s="8">
        <f>'balance_raw_10360641'!$E$30</f>
        <v/>
      </c>
      <c r="F53" s="8">
        <f>'balance_raw_10360641'!$F$30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'balance_raw_10360641'!$B$31</f>
        <v/>
      </c>
      <c r="C54" s="5">
        <f>'balance_raw_10360641'!$C$31</f>
        <v/>
      </c>
      <c r="D54" s="5">
        <f>'balance_raw_10360641'!$D$31</f>
        <v/>
      </c>
      <c r="E54" s="5">
        <f>'balance_raw_10360641'!$E$31</f>
        <v/>
      </c>
      <c r="F54" s="5">
        <f>'balance_raw_10360641'!$F$31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'balance_raw_10360641'!$B$32</f>
        <v/>
      </c>
      <c r="C55" s="8">
        <f>'balance_raw_10360641'!$C$32</f>
        <v/>
      </c>
      <c r="D55" s="8">
        <f>'balance_raw_10360641'!$D$32</f>
        <v/>
      </c>
      <c r="E55" s="8">
        <f>'balance_raw_10360641'!$E$32</f>
        <v/>
      </c>
      <c r="F55" s="8">
        <f>'balance_raw_10360641'!$F$32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'balance_raw_10360641'!$B$33</f>
        <v/>
      </c>
      <c r="C56" s="5">
        <f>'balance_raw_10360641'!$C$33</f>
        <v/>
      </c>
      <c r="D56" s="5">
        <f>'balance_raw_10360641'!$D$33</f>
        <v/>
      </c>
      <c r="E56" s="5">
        <f>'balance_raw_10360641'!$E$33</f>
        <v/>
      </c>
      <c r="F56" s="5">
        <f>'balance_raw_10360641'!$F$33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'balance_raw_10360641'!$B$34</f>
        <v/>
      </c>
      <c r="C57" s="11">
        <f>'balance_raw_10360641'!$C$34</f>
        <v/>
      </c>
      <c r="D57" s="11">
        <f>'balance_raw_10360641'!$D$34</f>
        <v/>
      </c>
      <c r="E57" s="11">
        <f>'balance_raw_10360641'!$E$34</f>
        <v/>
      </c>
      <c r="F57" s="11">
        <f>'balance_raw_10360641'!$F$34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Hensættelse til udskudt skat</t>
        </is>
      </c>
      <c r="B58" s="5">
        <f>'balance_raw_10360641'!$B$35</f>
        <v/>
      </c>
      <c r="C58" s="5">
        <f>'balance_raw_10360641'!$C$35</f>
        <v/>
      </c>
      <c r="D58" s="5">
        <f>'balance_raw_10360641'!$D$35</f>
        <v/>
      </c>
      <c r="E58" s="5">
        <f>'balance_raw_10360641'!$E$35</f>
        <v/>
      </c>
      <c r="F58" s="5">
        <f>'balance_raw_10360641'!$F$35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Hensatte forpligtelser</t>
        </is>
      </c>
      <c r="B59" s="11">
        <f>'balance_raw_10360641'!$B$36</f>
        <v/>
      </c>
      <c r="C59" s="11">
        <f>'balance_raw_10360641'!$C$36</f>
        <v/>
      </c>
      <c r="D59" s="11">
        <f>'balance_raw_10360641'!$D$36</f>
        <v/>
      </c>
      <c r="E59" s="11">
        <f>'balance_raw_10360641'!$E$36</f>
        <v/>
      </c>
      <c r="F59" s="11">
        <f>'balance_raw_10360641'!$F$36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(langfristet)</t>
        </is>
      </c>
      <c r="B60" s="5">
        <f>'balance_raw_10360641'!$B$37</f>
        <v/>
      </c>
      <c r="C60" s="5">
        <f>'balance_raw_10360641'!$C$37</f>
        <v/>
      </c>
      <c r="D60" s="5">
        <f>'balance_raw_10360641'!$D$37</f>
        <v/>
      </c>
      <c r="E60" s="5">
        <f>'balance_raw_10360641'!$E$37</f>
        <v/>
      </c>
      <c r="F60" s="5">
        <f>'balance_raw_10360641'!$F$37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lån</t>
        </is>
      </c>
      <c r="B61" s="8">
        <f>'balance_raw_10360641'!$B$38</f>
        <v/>
      </c>
      <c r="C61" s="8">
        <f>'balance_raw_10360641'!$C$38</f>
        <v/>
      </c>
      <c r="D61" s="8">
        <f>'balance_raw_10360641'!$D$38</f>
        <v/>
      </c>
      <c r="E61" s="8">
        <f>'balance_raw_10360641'!$E$38</f>
        <v/>
      </c>
      <c r="F61" s="8">
        <f>'balance_raw_10360641'!$F$38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Leasingforpligtelser (langfristet)</t>
        </is>
      </c>
      <c r="B62" s="5">
        <f>'balance_raw_10360641'!$B$39</f>
        <v/>
      </c>
      <c r="C62" s="5">
        <f>'balance_raw_10360641'!$C$39</f>
        <v/>
      </c>
      <c r="D62" s="5">
        <f>'balance_raw_10360641'!$D$39</f>
        <v/>
      </c>
      <c r="E62" s="5">
        <f>'balance_raw_10360641'!$E$39</f>
        <v/>
      </c>
      <c r="F62" s="5">
        <f>'balance_raw_10360641'!$F$39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Anden gæld (langfristet)</t>
        </is>
      </c>
      <c r="B63" s="8">
        <f>'balance_raw_10360641'!$B$40</f>
        <v/>
      </c>
      <c r="C63" s="8">
        <f>'balance_raw_10360641'!$C$40</f>
        <v/>
      </c>
      <c r="D63" s="8">
        <f>'balance_raw_10360641'!$D$40</f>
        <v/>
      </c>
      <c r="E63" s="8">
        <f>'balance_raw_10360641'!$E$40</f>
        <v/>
      </c>
      <c r="F63" s="8">
        <f>'balance_raw_10360641'!$F$40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10" t="inlineStr">
        <is>
          <t>Langfristede gældsforpligtelser</t>
        </is>
      </c>
      <c r="B64" s="11">
        <f>'balance_raw_10360641'!$B$41</f>
        <v/>
      </c>
      <c r="C64" s="11">
        <f>'balance_raw_10360641'!$C$41</f>
        <v/>
      </c>
      <c r="D64" s="11">
        <f>'balance_raw_10360641'!$D$41</f>
        <v/>
      </c>
      <c r="E64" s="11">
        <f>'balance_raw_10360641'!$E$41</f>
        <v/>
      </c>
      <c r="F64" s="11">
        <f>'balance_raw_10360641'!$F$41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5" ht="16" customHeight="1">
      <c r="A65" s="7" t="inlineStr">
        <is>
          <t>Ansvarlig lånekapital (kortfristet)</t>
        </is>
      </c>
      <c r="B65" s="8">
        <f>'balance_raw_10360641'!$B$42</f>
        <v/>
      </c>
      <c r="C65" s="8">
        <f>'balance_raw_10360641'!$C$42</f>
        <v/>
      </c>
      <c r="D65" s="8">
        <f>'balance_raw_10360641'!$D$42</f>
        <v/>
      </c>
      <c r="E65" s="8">
        <f>'balance_raw_10360641'!$E$42</f>
        <v/>
      </c>
      <c r="F65" s="8">
        <f>'balance_raw_10360641'!$F$42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'balance_raw_10360641'!$B$43</f>
        <v/>
      </c>
      <c r="C66" s="5">
        <f>'balance_raw_10360641'!$C$43</f>
        <v/>
      </c>
      <c r="D66" s="5">
        <f>'balance_raw_10360641'!$D$43</f>
        <v/>
      </c>
      <c r="E66" s="5">
        <f>'balance_raw_10360641'!$E$43</f>
        <v/>
      </c>
      <c r="F66" s="5">
        <f>'balance_raw_10360641'!$F$43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Kreditinstitutter</t>
        </is>
      </c>
      <c r="B67" s="8">
        <f>'balance_raw_10360641'!$B$44</f>
        <v/>
      </c>
      <c r="C67" s="8">
        <f>'balance_raw_10360641'!$C$44</f>
        <v/>
      </c>
      <c r="D67" s="8">
        <f>'balance_raw_10360641'!$D$44</f>
        <v/>
      </c>
      <c r="E67" s="8">
        <f>'balance_raw_10360641'!$E$44</f>
        <v/>
      </c>
      <c r="F67" s="8">
        <f>'balance_raw_10360641'!$F$44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Leasingforpligtelser (kortfristet)</t>
        </is>
      </c>
      <c r="B68" s="5">
        <f>'balance_raw_10360641'!$B$45</f>
        <v/>
      </c>
      <c r="C68" s="5">
        <f>'balance_raw_10360641'!$C$45</f>
        <v/>
      </c>
      <c r="D68" s="5">
        <f>'balance_raw_10360641'!$D$45</f>
        <v/>
      </c>
      <c r="E68" s="5">
        <f>'balance_raw_10360641'!$E$45</f>
        <v/>
      </c>
      <c r="F68" s="5">
        <f>'balance_raw_10360641'!$F$45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Leverandører af varer og tjenesteydelser</t>
        </is>
      </c>
      <c r="B69" s="8">
        <f>'balance_raw_10360641'!$B$46</f>
        <v/>
      </c>
      <c r="C69" s="8">
        <f>'balance_raw_10360641'!$C$46</f>
        <v/>
      </c>
      <c r="D69" s="8">
        <f>'balance_raw_10360641'!$D$46</f>
        <v/>
      </c>
      <c r="E69" s="8">
        <f>'balance_raw_10360641'!$E$46</f>
        <v/>
      </c>
      <c r="F69" s="8">
        <f>'balance_raw_10360641'!$F$46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</t>
        </is>
      </c>
      <c r="B70" s="5">
        <f>'balance_raw_10360641'!$B$47</f>
        <v/>
      </c>
      <c r="C70" s="5">
        <f>'balance_raw_10360641'!$C$47</f>
        <v/>
      </c>
      <c r="D70" s="5">
        <f>'balance_raw_10360641'!$D$47</f>
        <v/>
      </c>
      <c r="E70" s="5">
        <f>'balance_raw_10360641'!$E$47</f>
        <v/>
      </c>
      <c r="F70" s="5">
        <f>'balance_raw_10360641'!$F$47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selskabsdeltagere og ledelse</t>
        </is>
      </c>
      <c r="B71" s="8">
        <f>'balance_raw_10360641'!$B$48</f>
        <v/>
      </c>
      <c r="C71" s="8">
        <f>'balance_raw_10360641'!$C$48</f>
        <v/>
      </c>
      <c r="D71" s="8">
        <f>'balance_raw_10360641'!$D$48</f>
        <v/>
      </c>
      <c r="E71" s="8">
        <f>'balance_raw_10360641'!$E$48</f>
        <v/>
      </c>
      <c r="F71" s="8">
        <f>'balance_raw_10360641'!$F$48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Selskabsskat</t>
        </is>
      </c>
      <c r="B72" s="5">
        <f>'balance_raw_10360641'!$B$49</f>
        <v/>
      </c>
      <c r="C72" s="5">
        <f>'balance_raw_10360641'!$C$49</f>
        <v/>
      </c>
      <c r="D72" s="5">
        <f>'balance_raw_10360641'!$D$49</f>
        <v/>
      </c>
      <c r="E72" s="5">
        <f>'balance_raw_10360641'!$E$49</f>
        <v/>
      </c>
      <c r="F72" s="5">
        <f>'balance_raw_10360641'!$F$49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 vedr. selskabsskat</t>
        </is>
      </c>
      <c r="B73" s="8">
        <f>'balance_raw_10360641'!$B$50</f>
        <v/>
      </c>
      <c r="C73" s="8">
        <f>'balance_raw_10360641'!$C$50</f>
        <v/>
      </c>
      <c r="D73" s="8">
        <f>'balance_raw_10360641'!$D$50</f>
        <v/>
      </c>
      <c r="E73" s="8">
        <f>'balance_raw_10360641'!$E$50</f>
        <v/>
      </c>
      <c r="F73" s="8">
        <f>'balance_raw_10360641'!$F$50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Anden gæld (kortfristet)</t>
        </is>
      </c>
      <c r="B74" s="5">
        <f>'balance_raw_10360641'!$B$51</f>
        <v/>
      </c>
      <c r="C74" s="5">
        <f>'balance_raw_10360641'!$C$51</f>
        <v/>
      </c>
      <c r="D74" s="5">
        <f>'balance_raw_10360641'!$D$51</f>
        <v/>
      </c>
      <c r="E74" s="5">
        <f>'balance_raw_10360641'!$E$51</f>
        <v/>
      </c>
      <c r="F74" s="5">
        <f>'balance_raw_10360641'!$F$51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Periodeafgrænsningsposter (passiver)</t>
        </is>
      </c>
      <c r="B75" s="8">
        <f>'balance_raw_10360641'!$B$52</f>
        <v/>
      </c>
      <c r="C75" s="8">
        <f>'balance_raw_10360641'!$C$52</f>
        <v/>
      </c>
      <c r="D75" s="8">
        <f>'balance_raw_10360641'!$D$52</f>
        <v/>
      </c>
      <c r="E75" s="8">
        <f>'balance_raw_10360641'!$E$52</f>
        <v/>
      </c>
      <c r="F75" s="8">
        <f>'balance_raw_10360641'!$F$52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10" t="inlineStr">
        <is>
          <t>Kortfristede gældsforpligtelser</t>
        </is>
      </c>
      <c r="B76" s="11">
        <f>'balance_raw_10360641'!$B$53</f>
        <v/>
      </c>
      <c r="C76" s="11">
        <f>'balance_raw_10360641'!$C$53</f>
        <v/>
      </c>
      <c r="D76" s="11">
        <f>'balance_raw_10360641'!$D$53</f>
        <v/>
      </c>
      <c r="E76" s="11">
        <f>'balance_raw_10360641'!$E$53</f>
        <v/>
      </c>
      <c r="F76" s="11">
        <f>'balance_raw_10360641'!$F$53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Gældsforpligtelser</t>
        </is>
      </c>
      <c r="B77" s="11">
        <f>'balance_raw_10360641'!$B$54</f>
        <v/>
      </c>
      <c r="C77" s="11">
        <f>'balance_raw_10360641'!$C$54</f>
        <v/>
      </c>
      <c r="D77" s="11">
        <f>'balance_raw_10360641'!$D$54</f>
        <v/>
      </c>
      <c r="E77" s="11">
        <f>'balance_raw_10360641'!$E$54</f>
        <v/>
      </c>
      <c r="F77" s="11">
        <f>'balance_raw_10360641'!$F$54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Passiver</t>
        </is>
      </c>
      <c r="B78" s="11">
        <f>'balance_raw_10360641'!$B$55</f>
        <v/>
      </c>
      <c r="C78" s="11">
        <f>'balance_raw_10360641'!$C$55</f>
        <v/>
      </c>
      <c r="D78" s="11">
        <f>'balance_raw_10360641'!$D$55</f>
        <v/>
      </c>
      <c r="E78" s="11">
        <f>'balance_raw_10360641'!$E$55</f>
        <v/>
      </c>
      <c r="F78" s="11">
        <f>'balance_raw_10360641'!$F$55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80" ht="22" customHeight="1">
      <c r="A80" s="3" t="inlineStr">
        <is>
          <t>NØGLEOPLYSNINGER</t>
        </is>
      </c>
      <c r="B80" s="3" t="n">
        <v>2020</v>
      </c>
      <c r="C80" s="3" t="n">
        <v>2021</v>
      </c>
      <c r="D80" s="3" t="n">
        <v>2022</v>
      </c>
      <c r="E80" s="3" t="n">
        <v>2023</v>
      </c>
      <c r="F80" s="3" t="n">
        <v>2024</v>
      </c>
    </row>
    <row r="81" ht="16" customHeight="1">
      <c r="A81" s="7" t="inlineStr">
        <is>
          <t>Gns. antal medarbejdere</t>
        </is>
      </c>
      <c r="B81" s="8">
        <f>'res_raw_10360641'!$B$19</f>
        <v/>
      </c>
      <c r="C81" s="8">
        <f>'res_raw_10360641'!$C$19</f>
        <v/>
      </c>
      <c r="D81" s="8">
        <f>'res_raw_10360641'!$D$19</f>
        <v/>
      </c>
      <c r="E81" s="8">
        <f>'res_raw_10360641'!$E$19</f>
        <v/>
      </c>
      <c r="F81" s="8">
        <f>'res_raw_10360641'!$F$19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2" ht="16" customHeight="1">
      <c r="A82" s="4" t="inlineStr">
        <is>
          <t>Investering i materielle anlægsaktiver</t>
        </is>
      </c>
      <c r="B82" s="5">
        <f>'res_raw_10360641'!$B$20</f>
        <v/>
      </c>
      <c r="C82" s="5">
        <f>'res_raw_10360641'!$C$20</f>
        <v/>
      </c>
      <c r="D82" s="5">
        <f>'res_raw_10360641'!$D$20</f>
        <v/>
      </c>
      <c r="E82" s="5">
        <f>'res_raw_10360641'!$E$20</f>
        <v/>
      </c>
      <c r="F82" s="5">
        <f>'res_raw_10360641'!$F$20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4" ht="22" customHeight="1">
      <c r="A84" s="3" t="inlineStr">
        <is>
          <t>NØGLETAL</t>
        </is>
      </c>
      <c r="B84" s="3" t="n">
        <v>2020</v>
      </c>
      <c r="C84" s="3" t="n">
        <v>2021</v>
      </c>
      <c r="D84" s="3" t="n">
        <v>2022</v>
      </c>
      <c r="E84" s="3" t="n">
        <v>2023</v>
      </c>
      <c r="F84" s="3" t="n">
        <v>2024</v>
      </c>
    </row>
    <row r="85" ht="16" customHeight="1">
      <c r="A85" s="7" t="inlineStr">
        <is>
          <t>Afkastningsgrad, %</t>
        </is>
      </c>
      <c r="B85" s="13">
        <f>IFERROR(($B$13+$B$15+$B$14)/$B$48*100,"")</f>
        <v/>
      </c>
      <c r="C85" s="13">
        <f>IFERROR(($C$13+$C$15+$C$14)/$C$48*100,"")</f>
        <v/>
      </c>
      <c r="D85" s="13">
        <f>IFERROR(($D$13+$D$15+$D$14)/$D$48*100,"")</f>
        <v/>
      </c>
      <c r="E85" s="13">
        <f>IFERROR(($E$13+$E$15+$E$14)/$E$48*100,"")</f>
        <v/>
      </c>
      <c r="F85" s="13">
        <f>IFERROR(($F$13+$F$15+$F$14)/$F$48*100,"")</f>
        <v/>
      </c>
    </row>
    <row r="86" ht="16" customHeight="1">
      <c r="A86" s="4" t="inlineStr">
        <is>
          <t>Overskudsgrad, %</t>
        </is>
      </c>
      <c r="B86" s="14">
        <f>IFERROR(($B$13+$B$15+$B$14)/$B$4*100,"")</f>
        <v/>
      </c>
      <c r="C86" s="14">
        <f>IFERROR(($C$13+$C$15+$C$14)/$C$4*100,"")</f>
        <v/>
      </c>
      <c r="D86" s="14">
        <f>IFERROR(($D$13+$D$15+$D$14)/$D$4*100,"")</f>
        <v/>
      </c>
      <c r="E86" s="14">
        <f>IFERROR(($E$13+$E$15+$E$14)/$E$4*100,"")</f>
        <v/>
      </c>
      <c r="F86" s="14">
        <f>IFERROR(($F$13+$F$15+$F$14)/$F$4*100,"")</f>
        <v/>
      </c>
    </row>
    <row r="87" ht="16" customHeight="1">
      <c r="A87" s="7" t="inlineStr">
        <is>
          <t>Aktivernes omsætningshastighed, gange</t>
        </is>
      </c>
      <c r="B87" s="13">
        <f>IFERROR($B$4/$B$48,"")</f>
        <v/>
      </c>
      <c r="C87" s="13">
        <f>IFERROR($C$4/$C$48,"")</f>
        <v/>
      </c>
      <c r="D87" s="13">
        <f>IFERROR($D$4/$D$48,"")</f>
        <v/>
      </c>
      <c r="E87" s="13">
        <f>IFERROR($E$4/$E$48,"")</f>
        <v/>
      </c>
      <c r="F87" s="13">
        <f>IFERROR($F$4/$F$48,"")</f>
        <v/>
      </c>
    </row>
    <row r="88" ht="16" customHeight="1">
      <c r="A88" s="4" t="inlineStr">
        <is>
          <t>Egenkapitalens forrentning, %</t>
        </is>
      </c>
      <c r="B88" s="14">
        <f>IFERROR($B$18/$B$57*100,"")</f>
        <v/>
      </c>
      <c r="C88" s="14">
        <f>IFERROR($C$18/$C$57*100,"")</f>
        <v/>
      </c>
      <c r="D88" s="14">
        <f>IFERROR($D$18/$D$57*100,"")</f>
        <v/>
      </c>
      <c r="E88" s="14">
        <f>IFERROR($E$18/$E$57*100,"")</f>
        <v/>
      </c>
      <c r="F88" s="14">
        <f>IFERROR($F$18/$F$57*100,"")</f>
        <v/>
      </c>
    </row>
    <row r="89" ht="16" customHeight="1">
      <c r="A89" s="7" t="inlineStr">
        <is>
          <t>Gældsrente, %</t>
        </is>
      </c>
      <c r="B89" s="13">
        <f>IFERROR($B$16/($B$78-$B$57)*100,"")</f>
        <v/>
      </c>
      <c r="C89" s="13">
        <f>IFERROR($C$16/($C$78-$C$57)*100,"")</f>
        <v/>
      </c>
      <c r="D89" s="13">
        <f>IFERROR($D$16/($D$78-$D$57)*100,"")</f>
        <v/>
      </c>
      <c r="E89" s="13">
        <f>IFERROR($E$16/($E$78-$E$57)*100,"")</f>
        <v/>
      </c>
      <c r="F89" s="13">
        <f>IFERROR($F$16/($F$78-$F$57)*100,"")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  <c r="F90" s="14">
        <f>IFERROR($F$57/$F$48*100,"")</f>
        <v/>
      </c>
    </row>
    <row r="91" ht="16" customHeight="1">
      <c r="A91" s="7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  <c r="F91" s="13">
        <f>IFERROR(($F$78-$F$57)/$F$57,"")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  <c r="F92" s="14">
        <f>IFERROR($F$47/$F$76*100,"")</f>
        <v/>
      </c>
    </row>
    <row r="93" ht="16" customHeight="1">
      <c r="A93" s="7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  <c r="F93" s="13">
        <f>IFERROR(F85-F89,"")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  <c r="F94" s="14">
        <f>IFERROR(($F$78-$F$57)/$F$48*100,"")</f>
        <v/>
      </c>
    </row>
    <row r="95" ht="16" customHeight="1">
      <c r="A95" s="7" t="inlineStr">
        <is>
          <t>Kapitalbindingsgrad, %</t>
        </is>
      </c>
      <c r="B95" s="13">
        <f>IFERROR($B$32/($B$57+$B$64)*100,"")</f>
        <v/>
      </c>
      <c r="C95" s="13">
        <f>IFERROR($C$32/($C$57+$C$64)*100,"")</f>
        <v/>
      </c>
      <c r="D95" s="13">
        <f>IFERROR($D$32/($D$57+$D$64)*100,"")</f>
        <v/>
      </c>
      <c r="E95" s="13">
        <f>IFERROR($E$32/($E$57+$E$64)*100,"")</f>
        <v/>
      </c>
      <c r="F95" s="13">
        <f>IFERROR($F$32/($F$57+$F$64)*100,"")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3777761</v>
      </c>
      <c r="C2" s="16" t="n">
        <v>3769844</v>
      </c>
      <c r="D2" s="16" t="n">
        <v>3882492</v>
      </c>
      <c r="E2" s="16" t="n">
        <v>3997019</v>
      </c>
      <c r="F2" s="16" t="n">
        <v>4238726</v>
      </c>
    </row>
    <row r="3">
      <c r="A3" s="15" t="inlineStr">
        <is>
          <t>Andre driftsindtægter</t>
        </is>
      </c>
      <c r="B3" s="16" t="n">
        <v>1048</v>
      </c>
      <c r="C3" s="16" t="n">
        <v>12544</v>
      </c>
      <c r="D3" s="16" t="n">
        <v>13485</v>
      </c>
      <c r="E3" s="16" t="n">
        <v>22235</v>
      </c>
      <c r="F3" s="16" t="n">
        <v>23697</v>
      </c>
    </row>
    <row r="4">
      <c r="A4" s="15" t="inlineStr">
        <is>
          <t>Vareforbrug</t>
        </is>
      </c>
      <c r="B4" s="16" t="n">
        <v>2473888</v>
      </c>
      <c r="C4" s="16" t="n">
        <v>2437420</v>
      </c>
      <c r="D4" s="16" t="n">
        <v>2607385</v>
      </c>
      <c r="E4" s="16" t="n">
        <v>2697074</v>
      </c>
      <c r="F4" s="16" t="n">
        <v>2780119</v>
      </c>
    </row>
    <row r="5">
      <c r="A5" s="15" t="inlineStr">
        <is>
          <t>Andre eksterne omkostninger</t>
        </is>
      </c>
      <c r="B5" s="16" t="n">
        <v>363067</v>
      </c>
      <c r="C5" s="16" t="n">
        <v>368726</v>
      </c>
      <c r="D5" s="16" t="n">
        <v>383479</v>
      </c>
      <c r="E5" s="16" t="n">
        <v>403802</v>
      </c>
      <c r="F5" s="16" t="n">
        <v>435600</v>
      </c>
    </row>
    <row r="6">
      <c r="A6" s="17" t="inlineStr">
        <is>
          <t>Bruttoresultat</t>
        </is>
      </c>
      <c r="B6" s="16" t="n">
        <v>941854</v>
      </c>
      <c r="C6" s="16" t="n">
        <v>976242</v>
      </c>
      <c r="D6" s="16" t="n">
        <v>905113</v>
      </c>
      <c r="E6" s="16" t="n">
        <v>918378</v>
      </c>
      <c r="F6" s="16" t="n">
        <v>1046704</v>
      </c>
    </row>
    <row r="7">
      <c r="A7" s="15" t="inlineStr">
        <is>
          <t>Personaleomkostninger</t>
        </is>
      </c>
      <c r="B7" s="16" t="n">
        <v>381825</v>
      </c>
      <c r="C7" s="16" t="n">
        <v>406171</v>
      </c>
      <c r="D7" s="16" t="n">
        <v>404434</v>
      </c>
      <c r="E7" s="16" t="n">
        <v>424123</v>
      </c>
      <c r="F7" s="16" t="n">
        <v>457659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55744</v>
      </c>
      <c r="C9" s="16" t="n">
        <v>57288</v>
      </c>
      <c r="D9" s="16" t="n">
        <v>57637</v>
      </c>
      <c r="E9" s="16" t="n">
        <v>59652</v>
      </c>
      <c r="F9" s="16" t="n">
        <v>59312</v>
      </c>
    </row>
    <row r="10">
      <c r="A10" s="15" t="inlineStr">
        <is>
          <t>Andre driftsomkostninger</t>
        </is>
      </c>
      <c r="B10" s="16" t="n">
        <v>273</v>
      </c>
      <c r="C10" s="16" t="n">
        <v>412</v>
      </c>
      <c r="D10" s="16" t="n">
        <v>1424</v>
      </c>
      <c r="E10" s="16" t="n">
        <v>258</v>
      </c>
      <c r="F10" s="16" t="n">
        <v>160</v>
      </c>
    </row>
    <row r="11">
      <c r="A11" s="17" t="inlineStr">
        <is>
          <t>Resultat af primær drift</t>
        </is>
      </c>
      <c r="B11" s="16" t="n">
        <v>504012</v>
      </c>
      <c r="C11" s="16" t="n">
        <v>512371</v>
      </c>
      <c r="D11" s="16" t="n">
        <v>441618</v>
      </c>
      <c r="E11" s="16" t="n">
        <v>434345</v>
      </c>
      <c r="F11" s="16" t="n">
        <v>529573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8258</v>
      </c>
      <c r="C13" s="16" t="n">
        <v>14594</v>
      </c>
      <c r="D13" s="16" t="n">
        <v>8851</v>
      </c>
      <c r="E13" s="16" t="n">
        <v>58121</v>
      </c>
      <c r="F13" s="16" t="n">
        <v>60830</v>
      </c>
    </row>
    <row r="14">
      <c r="A14" s="15" t="inlineStr">
        <is>
          <t>Finansielle omkostninger</t>
        </is>
      </c>
      <c r="B14" s="16" t="n">
        <v>3576</v>
      </c>
      <c r="C14" s="16" t="n">
        <v>1873</v>
      </c>
      <c r="D14" s="16" t="n">
        <v>36300</v>
      </c>
      <c r="E14" s="16" t="n">
        <v>1207</v>
      </c>
      <c r="F14" s="16" t="n">
        <v>2560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508694</v>
      </c>
      <c r="C16" s="16" t="n">
        <v>525092</v>
      </c>
      <c r="D16" s="16" t="n">
        <v>414169</v>
      </c>
      <c r="E16" s="16" t="n">
        <v>491259</v>
      </c>
      <c r="F16" s="16" t="n">
        <v>587843</v>
      </c>
    </row>
    <row r="17">
      <c r="A17" s="15" t="inlineStr">
        <is>
          <t>Skat af årets resultat</t>
        </is>
      </c>
      <c r="B17" s="16" t="n">
        <v>112121</v>
      </c>
      <c r="C17" s="16" t="n">
        <v>115299</v>
      </c>
      <c r="D17" s="16" t="n">
        <v>90701</v>
      </c>
      <c r="E17" s="16" t="n">
        <v>107802</v>
      </c>
      <c r="F17" s="16" t="n">
        <v>129503</v>
      </c>
    </row>
    <row r="18">
      <c r="A18" s="17" t="inlineStr">
        <is>
          <t>Årets resultat</t>
        </is>
      </c>
      <c r="B18" s="16" t="n">
        <v>396573</v>
      </c>
      <c r="C18" s="16" t="n">
        <v>409793</v>
      </c>
      <c r="D18" s="16" t="n">
        <v>323468</v>
      </c>
      <c r="E18" s="16" t="n">
        <v>383457</v>
      </c>
      <c r="F18" s="16" t="n">
        <v>458340</v>
      </c>
    </row>
    <row r="19">
      <c r="A19" s="15" t="inlineStr">
        <is>
          <t>Gns. antal medarbejdere</t>
        </is>
      </c>
      <c r="B19" s="16" t="n">
        <v>908</v>
      </c>
      <c r="C19" s="16" t="n">
        <v>931</v>
      </c>
      <c r="D19" s="16" t="n">
        <v>958</v>
      </c>
      <c r="E19" s="16" t="n">
        <v>925</v>
      </c>
      <c r="F19" s="16" t="n">
        <v>954</v>
      </c>
    </row>
    <row r="20">
      <c r="A20" s="15" t="inlineStr">
        <is>
          <t>Investering i materielle anlægsaktiver</t>
        </is>
      </c>
      <c r="B20" s="16" t="n">
        <v>-56451</v>
      </c>
      <c r="C20" s="16" t="n">
        <v>-58277</v>
      </c>
      <c r="D20" s="16" t="n">
        <v>-70026</v>
      </c>
      <c r="E20" s="16" t="n">
        <v>-40377</v>
      </c>
      <c r="F20" s="16" t="n">
        <v>-62424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Grunde og bygninger</t>
        </is>
      </c>
      <c r="B2" s="16" t="n">
        <v>12414</v>
      </c>
      <c r="C2" s="16" t="n">
        <v>12269</v>
      </c>
      <c r="D2" s="16" t="n">
        <v>12123</v>
      </c>
      <c r="E2" s="16" t="n">
        <v>12127</v>
      </c>
      <c r="F2" s="16" t="n">
        <v>11980</v>
      </c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114602</v>
      </c>
      <c r="C4" s="16" t="n">
        <v>106131</v>
      </c>
      <c r="D4" s="16" t="n">
        <v>111531</v>
      </c>
      <c r="E4" s="16" t="n">
        <v>100948</v>
      </c>
      <c r="F4" s="16" t="n">
        <v>99962</v>
      </c>
    </row>
    <row r="5">
      <c r="A5" s="15" t="inlineStr">
        <is>
          <t>Indretning af lejede lokaler</t>
        </is>
      </c>
      <c r="B5" s="16" t="n">
        <v>135621</v>
      </c>
      <c r="C5" s="16" t="n">
        <v>144795</v>
      </c>
      <c r="D5" s="16" t="n">
        <v>149746</v>
      </c>
      <c r="E5" s="16" t="n">
        <v>139060</v>
      </c>
      <c r="F5" s="16" t="n">
        <v>141559</v>
      </c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>
        <v>1172</v>
      </c>
    </row>
    <row r="7">
      <c r="A7" s="17" t="inlineStr">
        <is>
          <t>Materielle anlægsaktiver</t>
        </is>
      </c>
      <c r="B7" s="16" t="n">
        <v>262637</v>
      </c>
      <c r="C7" s="16" t="n">
        <v>263195</v>
      </c>
      <c r="D7" s="16" t="n">
        <v>273400</v>
      </c>
      <c r="E7" s="16" t="n">
        <v>252135</v>
      </c>
      <c r="F7" s="16" t="n">
        <v>254673</v>
      </c>
    </row>
    <row r="8">
      <c r="A8" s="15" t="inlineStr">
        <is>
          <t>Kapitalandele, dattervirksomheder</t>
        </is>
      </c>
      <c r="B8" s="16" t="n"/>
      <c r="C8" s="16" t="n"/>
      <c r="D8" s="16" t="n"/>
      <c r="E8" s="16" t="n"/>
      <c r="F8" s="16" t="n"/>
    </row>
    <row r="9">
      <c r="A9" s="15" t="inlineStr">
        <is>
          <t>Deposita</t>
        </is>
      </c>
      <c r="B9" s="16" t="n">
        <v>1317</v>
      </c>
      <c r="C9" s="16" t="n">
        <v>1345</v>
      </c>
      <c r="D9" s="16" t="n">
        <v>990</v>
      </c>
      <c r="E9" s="16" t="n">
        <v>1019</v>
      </c>
      <c r="F9" s="16" t="n">
        <v>2038</v>
      </c>
    </row>
    <row r="10">
      <c r="A10" s="17" t="inlineStr">
        <is>
          <t>Finansielle anlægsaktiver</t>
        </is>
      </c>
      <c r="B10" s="16" t="n">
        <v>1317</v>
      </c>
      <c r="C10" s="16" t="n">
        <v>1345</v>
      </c>
      <c r="D10" s="16" t="n">
        <v>990</v>
      </c>
      <c r="E10" s="16" t="n">
        <v>1019</v>
      </c>
      <c r="F10" s="16" t="n">
        <v>2038</v>
      </c>
    </row>
    <row r="11">
      <c r="A11" s="17" t="inlineStr">
        <is>
          <t>Anlægsaktiver</t>
        </is>
      </c>
      <c r="B11" s="16" t="n">
        <v>263954</v>
      </c>
      <c r="C11" s="16" t="n">
        <v>264540</v>
      </c>
      <c r="D11" s="16" t="n">
        <v>274390</v>
      </c>
      <c r="E11" s="16" t="n">
        <v>253154</v>
      </c>
      <c r="F11" s="16" t="n">
        <v>256711</v>
      </c>
    </row>
    <row r="12">
      <c r="A12" s="15" t="inlineStr">
        <is>
          <t>Råvarer og hjælpematerialer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Varer under fremstilling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Færdigvarer og handelsvarer</t>
        </is>
      </c>
      <c r="B14" s="16" t="n">
        <v>396322</v>
      </c>
      <c r="C14" s="16" t="n">
        <v>449920</v>
      </c>
      <c r="D14" s="16" t="n">
        <v>577693</v>
      </c>
      <c r="E14" s="16" t="n">
        <v>505330</v>
      </c>
      <c r="F14" s="16" t="n">
        <v>501146</v>
      </c>
    </row>
    <row r="15">
      <c r="A15" s="17" t="inlineStr">
        <is>
          <t>Varebeholdninger</t>
        </is>
      </c>
      <c r="B15" s="16" t="n">
        <v>396322</v>
      </c>
      <c r="C15" s="16" t="n">
        <v>449920</v>
      </c>
      <c r="D15" s="16" t="n">
        <v>577693</v>
      </c>
      <c r="E15" s="16" t="n">
        <v>505330</v>
      </c>
      <c r="F15" s="16" t="n">
        <v>501146</v>
      </c>
    </row>
    <row r="16">
      <c r="A16" s="15" t="inlineStr">
        <is>
          <t>Tilgodehavender fra salg og tjenesteydelser</t>
        </is>
      </c>
      <c r="B16" s="16" t="n">
        <v>1470</v>
      </c>
      <c r="C16" s="16" t="n">
        <v>1707</v>
      </c>
      <c r="D16" s="16" t="n">
        <v>3794</v>
      </c>
      <c r="E16" s="16" t="n">
        <v>13732</v>
      </c>
      <c r="F16" s="16" t="n">
        <v>15</v>
      </c>
    </row>
    <row r="17">
      <c r="A17" s="15" t="inlineStr">
        <is>
          <t>Tilgodehavender hos tilknyttede virksomheder</t>
        </is>
      </c>
      <c r="B17" s="16" t="n">
        <v>74008</v>
      </c>
      <c r="C17" s="16" t="n">
        <v>64694</v>
      </c>
      <c r="D17" s="16" t="n">
        <v>363603</v>
      </c>
      <c r="E17" s="16" t="n">
        <v>405298</v>
      </c>
      <c r="F17" s="16" t="n">
        <v>338201</v>
      </c>
    </row>
    <row r="18">
      <c r="A18" s="15" t="inlineStr">
        <is>
          <t>Andre tilgodehavender</t>
        </is>
      </c>
      <c r="B18" s="16" t="n">
        <v>299653</v>
      </c>
      <c r="C18" s="16" t="n">
        <v>536335</v>
      </c>
      <c r="D18" s="16" t="n">
        <v>31907</v>
      </c>
      <c r="E18" s="16" t="n">
        <v>29931</v>
      </c>
      <c r="F18" s="16" t="n">
        <v>86765</v>
      </c>
    </row>
    <row r="19">
      <c r="A19" s="15" t="inlineStr">
        <is>
          <t>Periodeafgrænsningsposter (aktiver)</t>
        </is>
      </c>
      <c r="B19" s="16" t="n">
        <v>15805</v>
      </c>
      <c r="C19" s="16" t="n">
        <v>18447</v>
      </c>
      <c r="D19" s="16" t="n">
        <v>17771</v>
      </c>
      <c r="E19" s="16" t="n">
        <v>20931</v>
      </c>
      <c r="F19" s="16" t="n">
        <v>17468</v>
      </c>
    </row>
    <row r="20">
      <c r="A20" s="15" t="inlineStr">
        <is>
          <t>Udskudt skatteaktiv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/>
      <c r="C22" s="16" t="n"/>
      <c r="D22" s="16" t="n"/>
      <c r="E22" s="16" t="n"/>
      <c r="F22" s="16" t="n"/>
    </row>
    <row r="23">
      <c r="A23" s="17" t="inlineStr">
        <is>
          <t>Tilgodehavender</t>
        </is>
      </c>
      <c r="B23" s="16" t="n">
        <v>390936</v>
      </c>
      <c r="C23" s="16" t="n">
        <v>621183</v>
      </c>
      <c r="D23" s="16" t="n">
        <v>417075</v>
      </c>
      <c r="E23" s="16" t="n">
        <v>469892</v>
      </c>
      <c r="F23" s="16" t="n">
        <v>442449</v>
      </c>
    </row>
    <row r="24">
      <c r="A24" s="15" t="inlineStr">
        <is>
          <t>Værdipapirer</t>
        </is>
      </c>
      <c r="B24" s="16" t="n">
        <v>211617</v>
      </c>
      <c r="C24" s="16" t="n">
        <v>225312</v>
      </c>
      <c r="D24" s="16" t="n">
        <v>129879</v>
      </c>
      <c r="E24" s="16" t="n">
        <v>625704</v>
      </c>
      <c r="F24" s="16" t="n">
        <v>825582</v>
      </c>
    </row>
    <row r="25">
      <c r="A25" s="15" t="inlineStr">
        <is>
          <t>Likvide beholdninger</t>
        </is>
      </c>
      <c r="B25" s="16" t="n">
        <v>80481</v>
      </c>
      <c r="C25" s="16" t="n">
        <v>74833</v>
      </c>
      <c r="D25" s="16" t="n">
        <v>220644</v>
      </c>
      <c r="E25" s="16" t="n">
        <v>177212</v>
      </c>
      <c r="F25" s="16" t="n">
        <v>297642</v>
      </c>
    </row>
    <row r="26">
      <c r="A26" s="17" t="inlineStr">
        <is>
          <t>Omsætningsaktiver</t>
        </is>
      </c>
      <c r="B26" s="16" t="n">
        <v>1079356</v>
      </c>
      <c r="C26" s="16" t="n">
        <v>1371248</v>
      </c>
      <c r="D26" s="16" t="n">
        <v>1345291</v>
      </c>
      <c r="E26" s="16" t="n">
        <v>1778138</v>
      </c>
      <c r="F26" s="16" t="n">
        <v>2066819</v>
      </c>
    </row>
    <row r="27">
      <c r="A27" s="17" t="inlineStr">
        <is>
          <t>Aktiver</t>
        </is>
      </c>
      <c r="B27" s="16" t="n">
        <v>1343310</v>
      </c>
      <c r="C27" s="16" t="n">
        <v>1635788</v>
      </c>
      <c r="D27" s="16" t="n">
        <v>1619681</v>
      </c>
      <c r="E27" s="16" t="n">
        <v>2031292</v>
      </c>
      <c r="F27" s="16" t="n">
        <v>2323530</v>
      </c>
    </row>
    <row r="28">
      <c r="A28" s="15" t="inlineStr">
        <is>
          <t>Selskabskapital</t>
        </is>
      </c>
      <c r="B28" s="16" t="n">
        <v>3000</v>
      </c>
      <c r="C28" s="16" t="n">
        <v>3000</v>
      </c>
      <c r="D28" s="16" t="n">
        <v>3000</v>
      </c>
      <c r="E28" s="16" t="n">
        <v>3000</v>
      </c>
      <c r="F28" s="16" t="n">
        <v>3000</v>
      </c>
    </row>
    <row r="29">
      <c r="A29" s="15" t="inlineStr">
        <is>
          <t>Reserve for nettoopskrivning (indre værdis metode)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>
        <v>1530</v>
      </c>
      <c r="F31" s="16" t="n">
        <v>1592</v>
      </c>
    </row>
    <row r="32">
      <c r="A32" s="15" t="inlineStr">
        <is>
          <t>Andre reserver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Overført resultat</t>
        </is>
      </c>
      <c r="B33" s="16" t="n">
        <v>865379</v>
      </c>
      <c r="C33" s="16" t="n">
        <v>1275172</v>
      </c>
      <c r="D33" s="16" t="n">
        <v>1273641</v>
      </c>
      <c r="E33" s="16" t="n">
        <v>1493954</v>
      </c>
      <c r="F33" s="16" t="n">
        <v>1952295</v>
      </c>
    </row>
    <row r="34">
      <c r="A34" s="17" t="inlineStr">
        <is>
          <t>Egenkapital i alt</t>
        </is>
      </c>
      <c r="B34" s="16" t="n">
        <v>942381</v>
      </c>
      <c r="C34" s="16" t="n">
        <v>1278660</v>
      </c>
      <c r="D34" s="16" t="n">
        <v>1278293</v>
      </c>
      <c r="E34" s="16" t="n">
        <v>1661624</v>
      </c>
      <c r="F34" s="16" t="n">
        <v>1956887</v>
      </c>
    </row>
    <row r="35">
      <c r="A35" s="15" t="inlineStr">
        <is>
          <t>Hensættelse til udskudt skat</t>
        </is>
      </c>
      <c r="B35" s="16" t="n">
        <v>3200</v>
      </c>
      <c r="C35" s="16" t="n">
        <v>3008</v>
      </c>
      <c r="D35" s="16" t="n">
        <v>3593</v>
      </c>
      <c r="E35" s="16" t="n">
        <v>3827</v>
      </c>
      <c r="F35" s="16" t="n">
        <v>3977</v>
      </c>
    </row>
    <row r="36">
      <c r="A36" s="17" t="inlineStr">
        <is>
          <t>Hensatte forpligtelser</t>
        </is>
      </c>
      <c r="B36" s="16" t="n">
        <v>4873</v>
      </c>
      <c r="C36" s="16" t="n">
        <v>4398</v>
      </c>
      <c r="D36" s="16" t="n">
        <v>4912</v>
      </c>
      <c r="E36" s="16" t="n">
        <v>5223</v>
      </c>
      <c r="F36" s="16" t="n">
        <v>5398</v>
      </c>
    </row>
    <row r="37">
      <c r="A37" s="15" t="inlineStr">
        <is>
          <t>Ansvarlig lånekapital (langfristet)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Langfristede lån</t>
        </is>
      </c>
      <c r="B38" s="16" t="n">
        <v>5648</v>
      </c>
      <c r="C38" s="16" t="n">
        <v>5251</v>
      </c>
      <c r="D38" s="16" t="n">
        <v>4863</v>
      </c>
      <c r="E38" s="16" t="n">
        <v>4652</v>
      </c>
      <c r="F38" s="16" t="n">
        <v>4329</v>
      </c>
    </row>
    <row r="39">
      <c r="A39" s="15" t="inlineStr">
        <is>
          <t>Leasingforpligtelser (langfristet)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Anden gæld (langfristet)</t>
        </is>
      </c>
      <c r="B40" s="16" t="n">
        <v>29620</v>
      </c>
      <c r="C40" s="16" t="n">
        <v>0</v>
      </c>
      <c r="D40" s="16" t="n"/>
      <c r="E40" s="16" t="n"/>
      <c r="F40" s="16" t="n"/>
    </row>
    <row r="41">
      <c r="A41" s="17" t="inlineStr">
        <is>
          <t>Langfristede gældsforpligtelser</t>
        </is>
      </c>
      <c r="B41" s="16" t="n">
        <v>35268</v>
      </c>
      <c r="C41" s="16" t="n">
        <v>5251</v>
      </c>
      <c r="D41" s="16" t="n">
        <v>4863</v>
      </c>
      <c r="E41" s="16" t="n">
        <v>4652</v>
      </c>
      <c r="F41" s="16" t="n">
        <v>4329</v>
      </c>
    </row>
    <row r="42">
      <c r="A42" s="15" t="inlineStr">
        <is>
          <t>Ansvarlig lånekapital (kortfristet)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Kortfristet del af langfristede gældsforpligtelser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Kreditinstitutter</t>
        </is>
      </c>
      <c r="B44" s="16" t="n">
        <v>81</v>
      </c>
      <c r="C44" s="16" t="n">
        <v>575</v>
      </c>
      <c r="D44" s="16" t="n">
        <v>6</v>
      </c>
      <c r="E44" s="16" t="n">
        <v>0</v>
      </c>
      <c r="F44" s="16" t="n">
        <v>313</v>
      </c>
    </row>
    <row r="45">
      <c r="A45" s="15" t="inlineStr">
        <is>
          <t>Leasingforpligtelser (kortfristet)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Leverandører af varer og tjenesteydelser</t>
        </is>
      </c>
      <c r="B46" s="16" t="n">
        <v>225411</v>
      </c>
      <c r="C46" s="16" t="n">
        <v>220723</v>
      </c>
      <c r="D46" s="16" t="n">
        <v>227162</v>
      </c>
      <c r="E46" s="16" t="n">
        <v>170880</v>
      </c>
      <c r="F46" s="16" t="n">
        <v>197405</v>
      </c>
    </row>
    <row r="47">
      <c r="A47" s="15" t="inlineStr">
        <is>
          <t>Gæld til tilknyttede virksomheder</t>
        </is>
      </c>
      <c r="B47" s="16" t="n"/>
      <c r="C47" s="16" t="n"/>
      <c r="D47" s="16" t="n"/>
      <c r="E47" s="16" t="n">
        <v>51240</v>
      </c>
      <c r="F47" s="16" t="n">
        <v>49476</v>
      </c>
    </row>
    <row r="48">
      <c r="A48" s="15" t="inlineStr">
        <is>
          <t>Gæld til selskabsdeltagere og ledelse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Selskabsskat</t>
        </is>
      </c>
      <c r="B49" s="16" t="n">
        <v>10044</v>
      </c>
      <c r="C49" s="16" t="n">
        <v>3783</v>
      </c>
      <c r="D49" s="16" t="n">
        <v>3011</v>
      </c>
      <c r="E49" s="16" t="n">
        <v>23614</v>
      </c>
      <c r="F49" s="16" t="n">
        <v>7071</v>
      </c>
    </row>
    <row r="50">
      <c r="A50" s="15" t="inlineStr">
        <is>
          <t>Gæld til tilknyttede virksomheder vedr. selskabsskat</t>
        </is>
      </c>
      <c r="B50" s="16" t="n"/>
      <c r="C50" s="16" t="n"/>
      <c r="D50" s="16" t="n"/>
      <c r="E50" s="16" t="n"/>
      <c r="F50" s="16" t="n"/>
    </row>
    <row r="51">
      <c r="A51" s="15" t="inlineStr">
        <is>
          <t>Anden gæld (kortfristet)</t>
        </is>
      </c>
      <c r="B51" s="16" t="n">
        <v>124852</v>
      </c>
      <c r="C51" s="16" t="n">
        <v>121998</v>
      </c>
      <c r="D51" s="16" t="n"/>
      <c r="E51" s="16" t="n"/>
      <c r="F51" s="16" t="n"/>
    </row>
    <row r="52">
      <c r="A52" s="15" t="inlineStr">
        <is>
          <t>Periodeafgrænsningsposter (passiver)</t>
        </is>
      </c>
      <c r="B52" s="16" t="n"/>
      <c r="C52" s="16" t="n"/>
      <c r="D52" s="16" t="n"/>
      <c r="E52" s="16" t="n"/>
      <c r="F52" s="16" t="n"/>
    </row>
    <row r="53">
      <c r="A53" s="17" t="inlineStr">
        <is>
          <t>Kortfristede gældsforpligtelser</t>
        </is>
      </c>
      <c r="B53" s="16" t="n">
        <v>360788</v>
      </c>
      <c r="C53" s="16" t="n">
        <v>347479</v>
      </c>
      <c r="D53" s="16" t="n">
        <v>331613</v>
      </c>
      <c r="E53" s="16" t="n">
        <v>359793</v>
      </c>
      <c r="F53" s="16" t="n">
        <v>356916</v>
      </c>
    </row>
    <row r="54">
      <c r="A54" s="17" t="inlineStr">
        <is>
          <t>Gældsforpligtelser</t>
        </is>
      </c>
      <c r="B54" s="16" t="n">
        <v>396056</v>
      </c>
      <c r="C54" s="16" t="n">
        <v>352730</v>
      </c>
      <c r="D54" s="16" t="n">
        <v>336476</v>
      </c>
      <c r="E54" s="16" t="n">
        <v>364445</v>
      </c>
      <c r="F54" s="16" t="n">
        <v>361245</v>
      </c>
    </row>
    <row r="55">
      <c r="A55" s="17" t="inlineStr">
        <is>
          <t>Passiver</t>
        </is>
      </c>
      <c r="B55" s="16" t="n">
        <v>1343310</v>
      </c>
      <c r="C55" s="16" t="n">
        <v>1635788</v>
      </c>
      <c r="D55" s="16" t="n">
        <v>1619681</v>
      </c>
      <c r="E55" s="16" t="n">
        <v>2031292</v>
      </c>
      <c r="F55" s="16" t="n">
        <v>2323530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10360641)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'res_raw_10360641'!$F$2</f>
        <v/>
      </c>
      <c r="C5" s="24">
        <f>'res_raw_10360641'!$E$2</f>
        <v/>
      </c>
      <c r="D5" s="24">
        <f>'res_raw_10360641'!$D$2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'res_raw_10360641'!$F$3</f>
        <v/>
      </c>
      <c r="C6" s="24">
        <f>'res_raw_10360641'!$E$3</f>
        <v/>
      </c>
      <c r="D6" s="24">
        <f>'res_raw_10360641'!$D$3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-'res_raw_10360641'!$F$4</f>
        <v/>
      </c>
      <c r="C7" s="24">
        <f>-'res_raw_10360641'!$E$4</f>
        <v/>
      </c>
      <c r="D7" s="24">
        <f>-'res_raw_10360641'!$D$4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-'res_raw_10360641'!$F$5</f>
        <v/>
      </c>
      <c r="C8" s="24">
        <f>-'res_raw_10360641'!$E$5</f>
        <v/>
      </c>
      <c r="D8" s="24">
        <f>-'res_raw_10360641'!$D$5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-'res_raw_10360641'!$F$7</f>
        <v/>
      </c>
      <c r="C10" s="24">
        <f>-'res_raw_10360641'!$E$7</f>
        <v/>
      </c>
      <c r="D10" s="24">
        <f>-'res_raw_10360641'!$D$7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-'res_raw_10360641'!$F$9</f>
        <v/>
      </c>
      <c r="C11" s="24">
        <f>-'res_raw_10360641'!$E$9</f>
        <v/>
      </c>
      <c r="D11" s="24">
        <f>-'res_raw_10360641'!$D$9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-'res_raw_10360641'!$F$10</f>
        <v/>
      </c>
      <c r="C12" s="24">
        <f>-'res_raw_10360641'!$E$10</f>
        <v/>
      </c>
      <c r="D12" s="24">
        <f>-'res_raw_10360641'!$D$10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N('res_raw_10360641'!$F$12)+N('res_raw_10360641'!$F$13)</f>
        <v/>
      </c>
      <c r="C14" s="24">
        <f>N('res_raw_10360641'!$E$12)+N('res_raw_10360641'!$E$13)</f>
        <v/>
      </c>
      <c r="D14" s="24">
        <f>N('res_raw_10360641'!$D$12)+N('res_raw_10360641'!$D$13)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-'res_raw_10360641'!$F$14</f>
        <v/>
      </c>
      <c r="C15" s="24">
        <f>-'res_raw_10360641'!$E$14</f>
        <v/>
      </c>
      <c r="D15" s="24">
        <f>-'res_raw_10360641'!$D$14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'balance_raw_10360641'!$F$11</f>
        <v/>
      </c>
      <c r="C19" s="24">
        <f>'balance_raw_10360641'!$E$11</f>
        <v/>
      </c>
      <c r="D19" s="24">
        <f>'balance_raw_10360641'!$D$11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'balance_raw_10360641'!$F$26</f>
        <v/>
      </c>
      <c r="C20" s="24">
        <f>'balance_raw_10360641'!$E$26</f>
        <v/>
      </c>
      <c r="D20" s="24">
        <f>'balance_raw_10360641'!$D$26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'balance_raw_10360641'!$F$34</f>
        <v/>
      </c>
      <c r="C23" s="24">
        <f>'balance_raw_10360641'!$E$34</f>
        <v/>
      </c>
      <c r="D23" s="24">
        <f>'balance_raw_10360641'!$D$34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'balance_raw_10360641'!$F$55-'balance_raw_10360641'!$F$34</f>
        <v/>
      </c>
      <c r="C24" s="24">
        <f>'balance_raw_10360641'!$E$55-'balance_raw_10360641'!$E$34</f>
        <v/>
      </c>
      <c r="D24" s="24">
        <f>'balance_raw_10360641'!$D$55-'balance_raw_10360641'!$D$34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'balance_raw_10360641'!$F$15</f>
        <v/>
      </c>
      <c r="C28" s="24">
        <f>'balance_raw_10360641'!$E$15</f>
        <v/>
      </c>
      <c r="D28" s="24">
        <f>'balance_raw_10360641'!$D$15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'balance_raw_10360641'!$F$16</f>
        <v/>
      </c>
      <c r="C29" s="24">
        <f>'balance_raw_10360641'!$E$16</f>
        <v/>
      </c>
      <c r="D29" s="24">
        <f>'balance_raw_10360641'!$D$16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'balance_raw_10360641'!$F$53</f>
        <v/>
      </c>
      <c r="C30" s="24">
        <f>'balance_raw_10360641'!$E$53</f>
        <v/>
      </c>
      <c r="D30" s="24">
        <f>'balance_raw_10360641'!$D$53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IF('balance_raw_10360641'!$F$27="","—",IF(ABS(B21-'balance_raw_10360641'!$F$27)&lt;=1,"✓ OK","❌ "&amp;TEXT(B21-'balance_raw_10360641'!$F$27,"+#,##0;-#,##0")&amp;" t.kr."))</f>
        <v/>
      </c>
      <c r="C61" s="29">
        <f>IF('balance_raw_10360641'!$E$27="","—",IF(ABS(C21-'balance_raw_10360641'!$E$27)&lt;=1,"✓ OK","❌ "&amp;TEXT(C21-'balance_raw_10360641'!$E$27,"+#,##0;-#,##0")&amp;" t.kr."))</f>
        <v/>
      </c>
      <c r="D61" s="29">
        <f>IF('balance_raw_10360641'!$D$27="","—",IF(ABS(D21-'balance_raw_10360641'!$D$27)&lt;=1,"✓ OK","❌ "&amp;TEXT(D21-'balance_raw_10360641'!$D$27,"+#,##0;-#,##0")&amp;"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IF('balance_raw_10360641'!$F$55="","—",IF(ABS(B25-'balance_raw_10360641'!$F$55)&lt;=1,"✓ OK","❌ "&amp;TEXT(B25-'balance_raw_10360641'!$F$55,"+#,##0;-#,##0")&amp;" t.kr."))</f>
        <v/>
      </c>
      <c r="C62" s="29">
        <f>IF('balance_raw_10360641'!$E$55="","—",IF(ABS(C25-'balance_raw_10360641'!$E$55)&lt;=1,"✓ OK","❌ "&amp;TEXT(C25-'balance_raw_10360641'!$E$55,"+#,##0;-#,##0")&amp;" t.kr."))</f>
        <v/>
      </c>
      <c r="D62" s="29">
        <f>IF('balance_raw_10360641'!$D$55="","—",IF(ABS(D25-'balance_raw_10360641'!$D$55)&lt;=1,"✓ OK","❌ "&amp;TEXT(D25-'balance_raw_10360641'!$D$55,"+#,##0;-#,##0")&amp;"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IF('res_raw_10360641'!$F$6="","—",IF(ABS(B9-'res_raw_10360641'!$F$6)&lt;=1,"✓ OK","❌ "&amp;TEXT(B9-'res_raw_10360641'!$F$6,"+#,##0;-#,##0")&amp;" t.kr."))</f>
        <v/>
      </c>
      <c r="C64" s="29">
        <f>IF('res_raw_10360641'!$E$6="","—",IF(ABS(C9-'res_raw_10360641'!$E$6)&lt;=1,"✓ OK","❌ "&amp;TEXT(C9-'res_raw_10360641'!$E$6,"+#,##0;-#,##0")&amp;" t.kr."))</f>
        <v/>
      </c>
      <c r="D64" s="29">
        <f>IF('res_raw_10360641'!$D$6="","—",IF(ABS(D9-'res_raw_10360641'!$D$6)&lt;=1,"✓ OK","❌ "&amp;TEXT(D9-'res_raw_10360641'!$D$6,"+#,##0;-#,##0")&amp;"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IF('res_raw_10360641'!$F$11="","—",IF(ABS(B13-'res_raw_10360641'!$F$11)&lt;=1,"✓ OK","❌ "&amp;TEXT(B13-'res_raw_10360641'!$F$11,"+#,##0;-#,##0")&amp;" t.kr."))</f>
        <v/>
      </c>
      <c r="C65" s="29">
        <f>IF('res_raw_10360641'!$E$11="","—",IF(ABS(C13-'res_raw_10360641'!$E$11)&lt;=1,"✓ OK","❌ "&amp;TEXT(C13-'res_raw_10360641'!$E$11,"+#,##0;-#,##0")&amp;" t.kr."))</f>
        <v/>
      </c>
      <c r="D65" s="29">
        <f>IF('res_raw_10360641'!$D$11="","—",IF(ABS(D13-'res_raw_10360641'!$D$11)&lt;=1,"✓ OK","❌ "&amp;TEXT(D13-'res_raw_10360641'!$D$11,"+#,##0;-#,##0")&amp;"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IF('res_raw_10360641'!$F$16="","—",IF(ABS(B16-'res_raw_10360641'!$F$16)&lt;=1,"✓ OK","❌ "&amp;TEXT(B16-'res_raw_10360641'!$F$16,"+#,##0;-#,##0")&amp;" t.kr."))</f>
        <v/>
      </c>
      <c r="C66" s="29">
        <f>IF('res_raw_10360641'!$E$16="","—",IF(ABS(C16-'res_raw_10360641'!$E$16)&lt;=1,"✓ OK","❌ "&amp;TEXT(C16-'res_raw_10360641'!$E$16,"+#,##0;-#,##0")&amp;" t.kr."))</f>
        <v/>
      </c>
      <c r="D66" s="29">
        <f>IF('res_raw_10360641'!$D$16="","—",IF(ABS(D16-'res_raw_10360641'!$D$16)&lt;=1,"✓ OK","❌ "&amp;TEXT(D16-'res_raw_10360641'!$D$16,"+#,##0;-#,##0")&amp;"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2026-09-07T18:57:43Z</dcterms:created>
  <dcterms:modified xmlns:dcterms="http://purl.org/dc/terms/" xmlns:xsi="http://www.w3.org/2001/XMLSchema-instance" xsi:type="dcterms:W3CDTF">2026-09-07T18:57:43Z</dcterms:modified>
</cp:coreProperties>
</file>