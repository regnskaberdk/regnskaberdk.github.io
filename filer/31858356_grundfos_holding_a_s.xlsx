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grundfos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'balance_raw'!$B$6</f>
        <v/>
      </c>
      <c r="C25" s="11">
        <f>'balance_raw'!$C$6</f>
        <v/>
      </c>
      <c r="D25" s="11">
        <f>'balance_raw'!$D$6</f>
        <v/>
      </c>
      <c r="E25" s="11">
        <f>'balance_raw'!$E$6</f>
        <v/>
      </c>
      <c r="F25" s="11">
        <f>'balance_raw'!$F$6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Anlægsaktiver</t>
        </is>
      </c>
      <c r="B31" s="8">
        <f>'balance_raw'!$B$12</f>
        <v/>
      </c>
      <c r="C31" s="8">
        <f>'balance_raw'!$C$12</f>
        <v/>
      </c>
      <c r="D31" s="8">
        <f>'balance_raw'!$D$12</f>
        <v/>
      </c>
      <c r="E31" s="8">
        <f>'balance_raw'!$E$12</f>
        <v/>
      </c>
      <c r="F31" s="8">
        <f>'balance_raw'!$F$12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7" t="inlineStr">
        <is>
          <t>Varebeholdninger</t>
        </is>
      </c>
      <c r="B32" s="8">
        <f>'balance_raw'!$B$13</f>
        <v/>
      </c>
      <c r="C32" s="8">
        <f>'balance_raw'!$C$13</f>
        <v/>
      </c>
      <c r="D32" s="8">
        <f>'balance_raw'!$D$13</f>
        <v/>
      </c>
      <c r="E32" s="8">
        <f>'balance_raw'!$E$13</f>
        <v/>
      </c>
      <c r="F32" s="8">
        <f>'balance_raw'!$F$13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10" t="inlineStr">
        <is>
          <t>Tilgodehavender fra salg og tjenesteydelser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Andre tilgodehavender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Udskudt skatteaktiv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'balance_raw'!$B$19</f>
        <v/>
      </c>
      <c r="C38" s="5">
        <f>'balance_raw'!$C$19</f>
        <v/>
      </c>
      <c r="D38" s="5">
        <f>'balance_raw'!$D$19</f>
        <v/>
      </c>
      <c r="E38" s="5">
        <f>'balance_raw'!$E$19</f>
        <v/>
      </c>
      <c r="F38" s="5">
        <f>'balance_raw'!$F$19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Kortfristede skattetilgodehavender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7" t="inlineStr">
        <is>
          <t>Tilgodehavender</t>
        </is>
      </c>
      <c r="B40" s="8">
        <f>'balance_raw'!$B$21</f>
        <v/>
      </c>
      <c r="C40" s="8">
        <f>'balance_raw'!$C$21</f>
        <v/>
      </c>
      <c r="D40" s="8">
        <f>'balance_raw'!$D$21</f>
        <v/>
      </c>
      <c r="E40" s="8">
        <f>'balance_raw'!$E$21</f>
        <v/>
      </c>
      <c r="F40" s="8">
        <f>'balance_raw'!$F$21</f>
        <v/>
      </c>
      <c r="G40" t="inlineStr"/>
      <c r="H40" s="9">
        <f>IFERROR(B40/$B$40*100,"")</f>
        <v/>
      </c>
      <c r="I40" s="9">
        <f>IFERROR(C40/$B$40*100,"")</f>
        <v/>
      </c>
      <c r="J40" s="9">
        <f>IFERROR(D40/$B$40*100,"")</f>
        <v/>
      </c>
      <c r="K40" s="9">
        <f>IFERROR(E40/$B$40*100,"")</f>
        <v/>
      </c>
      <c r="L40" s="9">
        <f>IFERROR(F40/$B$40*100,"")</f>
        <v/>
      </c>
    </row>
    <row r="41" ht="16" customHeight="1">
      <c r="A41" s="10" t="inlineStr">
        <is>
          <t>Værdipapirer</t>
        </is>
      </c>
      <c r="B41" s="11">
        <f>'balance_raw'!$B$22</f>
        <v/>
      </c>
      <c r="C41" s="11">
        <f>'balance_raw'!$C$22</f>
        <v/>
      </c>
      <c r="D41" s="11">
        <f>'balance_raw'!$D$22</f>
        <v/>
      </c>
      <c r="E41" s="11">
        <f>'balance_raw'!$E$22</f>
        <v/>
      </c>
      <c r="F41" s="11">
        <f>'balance_raw'!$F$22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'balance_raw'!$B$23</f>
        <v/>
      </c>
      <c r="C42" s="5">
        <f>'balance_raw'!$C$23</f>
        <v/>
      </c>
      <c r="D42" s="5">
        <f>'balance_raw'!$D$23</f>
        <v/>
      </c>
      <c r="E42" s="5">
        <f>'balance_raw'!$E$23</f>
        <v/>
      </c>
      <c r="F42" s="5">
        <f>'balance_raw'!$F$23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Omsætningsaktiver</t>
        </is>
      </c>
      <c r="B43" s="8">
        <f>'balance_raw'!$B$24</f>
        <v/>
      </c>
      <c r="C43" s="8">
        <f>'balance_raw'!$C$24</f>
        <v/>
      </c>
      <c r="D43" s="8">
        <f>'balance_raw'!$D$24</f>
        <v/>
      </c>
      <c r="E43" s="8">
        <f>'balance_raw'!$E$24</f>
        <v/>
      </c>
      <c r="F43" s="8">
        <f>'balance_raw'!$F$24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7" t="inlineStr">
        <is>
          <t>Aktiver</t>
        </is>
      </c>
      <c r="B44" s="8">
        <f>'balance_raw'!$B$25</f>
        <v/>
      </c>
      <c r="C44" s="8">
        <f>'balance_raw'!$C$25</f>
        <v/>
      </c>
      <c r="D44" s="8">
        <f>'balance_raw'!$D$25</f>
        <v/>
      </c>
      <c r="E44" s="8">
        <f>'balance_raw'!$E$25</f>
        <v/>
      </c>
      <c r="F44" s="8">
        <f>'balance_raw'!$F$25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6" ht="22" customHeight="1">
      <c r="A46" s="3" t="inlineStr">
        <is>
          <t>PASSIVER t.kr.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10" t="inlineStr">
        <is>
          <t>Selskabskapital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'balance_raw'!$B$27</f>
        <v/>
      </c>
      <c r="C48" s="5">
        <f>'balance_raw'!$C$27</f>
        <v/>
      </c>
      <c r="D48" s="5">
        <f>'balance_raw'!$D$27</f>
        <v/>
      </c>
      <c r="E48" s="5">
        <f>'balance_raw'!$E$27</f>
        <v/>
      </c>
      <c r="F48" s="5">
        <f>'balance_raw'!$F$27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udviklingsomkostninger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Andre reserver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Egenkapital i alt</t>
        </is>
      </c>
      <c r="B53" s="8">
        <f>'balance_raw'!$B$32</f>
        <v/>
      </c>
      <c r="C53" s="8">
        <f>'balance_raw'!$C$32</f>
        <v/>
      </c>
      <c r="D53" s="8">
        <f>'balance_raw'!$D$32</f>
        <v/>
      </c>
      <c r="E53" s="8">
        <f>'balance_raw'!$E$32</f>
        <v/>
      </c>
      <c r="F53" s="8">
        <f>'balance_raw'!$F$32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Hensættelse til udskudt skat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Hensatte forpligtelser</t>
        </is>
      </c>
      <c r="B55" s="8">
        <f>'balance_raw'!$B$34</f>
        <v/>
      </c>
      <c r="C55" s="8">
        <f>'balance_raw'!$C$34</f>
        <v/>
      </c>
      <c r="D55" s="8">
        <f>'balance_raw'!$D$34</f>
        <v/>
      </c>
      <c r="E55" s="8">
        <f>'balance_raw'!$E$34</f>
        <v/>
      </c>
      <c r="F55" s="8">
        <f>'balance_raw'!$F$34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(langfristet)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Langfristede lån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Leasingforpligtelser (langfristet)</t>
        </is>
      </c>
      <c r="B58" s="5">
        <f>'balance_raw'!$B$37</f>
        <v/>
      </c>
      <c r="C58" s="5">
        <f>'balance_raw'!$C$37</f>
        <v/>
      </c>
      <c r="D58" s="5">
        <f>'balance_raw'!$D$37</f>
        <v/>
      </c>
      <c r="E58" s="5">
        <f>'balance_raw'!$E$37</f>
        <v/>
      </c>
      <c r="F58" s="5">
        <f>'balance_raw'!$F$37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Anden gæld (langfristet)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Langfristede gældsforpligtelser</t>
        </is>
      </c>
      <c r="B60" s="8">
        <f>'balance_raw'!$B$39</f>
        <v/>
      </c>
      <c r="C60" s="8">
        <f>'balance_raw'!$C$39</f>
        <v/>
      </c>
      <c r="D60" s="8">
        <f>'balance_raw'!$D$39</f>
        <v/>
      </c>
      <c r="E60" s="8">
        <f>'balance_raw'!$E$39</f>
        <v/>
      </c>
      <c r="F60" s="8">
        <f>'balance_raw'!$F$39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Ansvarlig lånekapital (kortfristet)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Kortfristet del af langfristede gældsforpligtelser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Kreditinstitutter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(kortfristet)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Leverandører af varer og tjenesteydelser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Gæld til tilknyttede virksomheder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selskabsdeltagere og ledelse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Selskabsskat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tilknyttede virksomheder vedr. selskabsskat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Anden gæld (kortfristet)</t>
        </is>
      </c>
      <c r="B70" s="5">
        <f>'balance_raw'!$B$49</f>
        <v/>
      </c>
      <c r="C70" s="5">
        <f>'balance_raw'!$C$49</f>
        <v/>
      </c>
      <c r="D70" s="5">
        <f>'balance_raw'!$D$49</f>
        <v/>
      </c>
      <c r="E70" s="5">
        <f>'balance_raw'!$E$49</f>
        <v/>
      </c>
      <c r="F70" s="5">
        <f>'balance_raw'!$F$49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Periodeafgrænsningsposter (passiver)</t>
        </is>
      </c>
      <c r="B71" s="11">
        <f>'balance_raw'!$B$50</f>
        <v/>
      </c>
      <c r="C71" s="11">
        <f>'balance_raw'!$C$50</f>
        <v/>
      </c>
      <c r="D71" s="11">
        <f>'balance_raw'!$D$50</f>
        <v/>
      </c>
      <c r="E71" s="11">
        <f>'balance_raw'!$E$50</f>
        <v/>
      </c>
      <c r="F71" s="11">
        <f>'balance_raw'!$F$50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7" t="inlineStr">
        <is>
          <t>Kortfristede gældsforpligtelser</t>
        </is>
      </c>
      <c r="B72" s="8">
        <f>'balance_raw'!$B$51</f>
        <v/>
      </c>
      <c r="C72" s="8">
        <f>'balance_raw'!$C$51</f>
        <v/>
      </c>
      <c r="D72" s="8">
        <f>'balance_raw'!$D$51</f>
        <v/>
      </c>
      <c r="E72" s="8">
        <f>'balance_raw'!$E$51</f>
        <v/>
      </c>
      <c r="F72" s="8">
        <f>'balance_raw'!$F$51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3" ht="16" customHeight="1">
      <c r="A73" s="7" t="inlineStr">
        <is>
          <t>Gældsforpligtelser</t>
        </is>
      </c>
      <c r="B73" s="8">
        <f>'balance_raw'!$B$52</f>
        <v/>
      </c>
      <c r="C73" s="8">
        <f>'balance_raw'!$C$52</f>
        <v/>
      </c>
      <c r="D73" s="8">
        <f>'balance_raw'!$D$52</f>
        <v/>
      </c>
      <c r="E73" s="8">
        <f>'balance_raw'!$E$52</f>
        <v/>
      </c>
      <c r="F73" s="8">
        <f>'balance_raw'!$F$52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Passiver</t>
        </is>
      </c>
      <c r="B74" s="8">
        <f>'balance_raw'!$B$53</f>
        <v/>
      </c>
      <c r="C74" s="8">
        <f>'balance_raw'!$C$53</f>
        <v/>
      </c>
      <c r="D74" s="8">
        <f>'balance_raw'!$D$53</f>
        <v/>
      </c>
      <c r="E74" s="8">
        <f>'balance_raw'!$E$53</f>
        <v/>
      </c>
      <c r="F74" s="8">
        <f>'balance_raw'!$F$53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6" ht="22" customHeight="1">
      <c r="A76" s="3" t="inlineStr">
        <is>
          <t>NØGLEOPLYSNINGER</t>
        </is>
      </c>
      <c r="B76" s="3" t="n">
        <v>2021</v>
      </c>
      <c r="C76" s="3" t="n">
        <v>2022</v>
      </c>
      <c r="D76" s="3" t="n">
        <v>2023</v>
      </c>
      <c r="E76" s="3" t="n">
        <v>2024</v>
      </c>
      <c r="F76" s="3" t="n">
        <v>2025</v>
      </c>
    </row>
    <row r="77" ht="16" customHeight="1">
      <c r="A77" s="10" t="inlineStr">
        <is>
          <t>Gns. antal medarbejdere</t>
        </is>
      </c>
      <c r="B77" s="11">
        <f>'res_raw'!$B$17</f>
        <v/>
      </c>
      <c r="C77" s="11">
        <f>'res_raw'!$C$17</f>
        <v/>
      </c>
      <c r="D77" s="11">
        <f>'res_raw'!$D$17</f>
        <v/>
      </c>
      <c r="E77" s="11">
        <f>'res_raw'!$E$17</f>
        <v/>
      </c>
      <c r="F77" s="11">
        <f>'res_raw'!$F$17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Investering i materielle anlægsaktiver</t>
        </is>
      </c>
      <c r="B78" s="5">
        <f>'res_raw'!$B$18</f>
        <v/>
      </c>
      <c r="C78" s="5">
        <f>'res_raw'!$C$18</f>
        <v/>
      </c>
      <c r="D78" s="5">
        <f>'res_raw'!$D$18</f>
        <v/>
      </c>
      <c r="E78" s="5">
        <f>'res_raw'!$E$18</f>
        <v/>
      </c>
      <c r="F78" s="5">
        <f>'res_raw'!$F$18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80" ht="22" customHeight="1">
      <c r="A80" s="3" t="inlineStr">
        <is>
          <t>NØGLETAL</t>
        </is>
      </c>
      <c r="B80" s="3" t="n">
        <v>2021</v>
      </c>
      <c r="C80" s="3" t="n">
        <v>2022</v>
      </c>
      <c r="D80" s="3" t="n">
        <v>2023</v>
      </c>
      <c r="E80" s="3" t="n">
        <v>2024</v>
      </c>
      <c r="F80" s="3" t="n">
        <v>2025</v>
      </c>
    </row>
    <row r="81" ht="16" customHeight="1">
      <c r="A81" s="10" t="inlineStr">
        <is>
          <t>Afkastningsgrad, %</t>
        </is>
      </c>
      <c r="B81" s="13">
        <f>IFERROR(($B$11+$B$13+$B$12)/$B$44*100,"")</f>
        <v/>
      </c>
      <c r="C81" s="13">
        <f>IFERROR(($C$11+$C$13+$C$12)/$C$44*100,"")</f>
        <v/>
      </c>
      <c r="D81" s="13">
        <f>IFERROR(($D$11+$D$13+$D$12)/$D$44*100,"")</f>
        <v/>
      </c>
      <c r="E81" s="13">
        <f>IFERROR(($E$11+$E$13+$E$12)/$E$44*100,"")</f>
        <v/>
      </c>
      <c r="F81" s="13">
        <f>IFERROR(($F$11+$F$13+$F$12)/$F$44*100,"")</f>
        <v/>
      </c>
    </row>
    <row r="82" ht="16" customHeight="1">
      <c r="A82" s="4" t="inlineStr">
        <is>
          <t>Overskudsgrad, %</t>
        </is>
      </c>
      <c r="B82" s="14">
        <f>IFERROR(($B$11+$B$13+$B$12)/$B$4*100,"")</f>
        <v/>
      </c>
      <c r="C82" s="14">
        <f>IFERROR(($C$11+$C$13+$C$12)/$C$4*100,"")</f>
        <v/>
      </c>
      <c r="D82" s="14">
        <f>IFERROR(($D$11+$D$13+$D$12)/$D$4*100,"")</f>
        <v/>
      </c>
      <c r="E82" s="14">
        <f>IFERROR(($E$11+$E$13+$E$12)/$E$4*100,"")</f>
        <v/>
      </c>
      <c r="F82" s="14">
        <f>IFERROR(($F$11+$F$13+$F$12)/$F$4*100,"")</f>
        <v/>
      </c>
    </row>
    <row r="83" ht="16" customHeight="1">
      <c r="A83" s="10" t="inlineStr">
        <is>
          <t>Aktivernes omsætningshastighed, gange</t>
        </is>
      </c>
      <c r="B83" s="13">
        <f>IFERROR($B$4/$B$44,"")</f>
        <v/>
      </c>
      <c r="C83" s="13">
        <f>IFERROR($C$4/$C$44,"")</f>
        <v/>
      </c>
      <c r="D83" s="13">
        <f>IFERROR($D$4/$D$44,"")</f>
        <v/>
      </c>
      <c r="E83" s="13">
        <f>IFERROR($E$4/$E$44,"")</f>
        <v/>
      </c>
      <c r="F83" s="13">
        <f>IFERROR($F$4/$F$44,"")</f>
        <v/>
      </c>
    </row>
    <row r="84" ht="16" customHeight="1">
      <c r="A84" s="4" t="inlineStr">
        <is>
          <t>Egenkapitalens forrentning, %</t>
        </is>
      </c>
      <c r="B84" s="14">
        <f>IFERROR($B$16/$B$53*100,"")</f>
        <v/>
      </c>
      <c r="C84" s="14">
        <f>IFERROR($C$16/$C$53*100,"")</f>
        <v/>
      </c>
      <c r="D84" s="14">
        <f>IFERROR($D$16/$D$53*100,"")</f>
        <v/>
      </c>
      <c r="E84" s="14">
        <f>IFERROR($E$16/$E$53*100,"")</f>
        <v/>
      </c>
      <c r="F84" s="14">
        <f>IFERROR($F$16/$F$53*100,"")</f>
        <v/>
      </c>
    </row>
    <row r="85" ht="16" customHeight="1">
      <c r="A85" s="10" t="inlineStr">
        <is>
          <t>Gældsrente, %</t>
        </is>
      </c>
      <c r="B85" s="13">
        <f>IFERROR($B$14/($B$74-$B$53)*100,"")</f>
        <v/>
      </c>
      <c r="C85" s="13">
        <f>IFERROR($C$14/($C$74-$C$53)*100,"")</f>
        <v/>
      </c>
      <c r="D85" s="13">
        <f>IFERROR($D$14/($D$74-$D$53)*100,"")</f>
        <v/>
      </c>
      <c r="E85" s="13">
        <f>IFERROR($E$14/($E$74-$E$53)*100,"")</f>
        <v/>
      </c>
      <c r="F85" s="13">
        <f>IFERROR($F$14/($F$74-$F$53)*100,"")</f>
        <v/>
      </c>
    </row>
    <row r="86" ht="16" customHeight="1">
      <c r="A86" s="4" t="inlineStr">
        <is>
          <t>Soliditetsgrad, %</t>
        </is>
      </c>
      <c r="B86" s="14">
        <f>IFERROR($B$53/$B$44*100,"")</f>
        <v/>
      </c>
      <c r="C86" s="14">
        <f>IFERROR($C$53/$C$44*100,"")</f>
        <v/>
      </c>
      <c r="D86" s="14">
        <f>IFERROR($D$53/$D$44*100,"")</f>
        <v/>
      </c>
      <c r="E86" s="14">
        <f>IFERROR($E$53/$E$44*100,"")</f>
        <v/>
      </c>
      <c r="F86" s="14">
        <f>IFERROR($F$53/$F$44*100,"")</f>
        <v/>
      </c>
    </row>
    <row r="87" ht="16" customHeight="1">
      <c r="A87" s="10" t="inlineStr">
        <is>
          <t>Gearing</t>
        </is>
      </c>
      <c r="B87" s="13">
        <f>IFERROR(($B$74-$B$53)/$B$53,"")</f>
        <v/>
      </c>
      <c r="C87" s="13">
        <f>IFERROR(($C$74-$C$53)/$C$53,"")</f>
        <v/>
      </c>
      <c r="D87" s="13">
        <f>IFERROR(($D$74-$D$53)/$D$53,"")</f>
        <v/>
      </c>
      <c r="E87" s="13">
        <f>IFERROR(($E$74-$E$53)/$E$53,"")</f>
        <v/>
      </c>
      <c r="F87" s="13">
        <f>IFERROR(($F$74-$F$53)/$F$53,"")</f>
        <v/>
      </c>
    </row>
    <row r="88" ht="16" customHeight="1">
      <c r="A88" s="4" t="inlineStr">
        <is>
          <t>Likviditetsgrad, %</t>
        </is>
      </c>
      <c r="B88" s="14">
        <f>IFERROR($B$43/$B$72*100,"")</f>
        <v/>
      </c>
      <c r="C88" s="14">
        <f>IFERROR($C$43/$C$72*100,"")</f>
        <v/>
      </c>
      <c r="D88" s="14">
        <f>IFERROR($D$43/$D$72*100,"")</f>
        <v/>
      </c>
      <c r="E88" s="14">
        <f>IFERROR($E$43/$E$72*100,"")</f>
        <v/>
      </c>
      <c r="F88" s="14">
        <f>IFERROR($F$43/$F$72*100,"")</f>
        <v/>
      </c>
    </row>
    <row r="89" ht="16" customHeight="1">
      <c r="A89" s="10" t="inlineStr">
        <is>
          <t>Rentemarginal, %</t>
        </is>
      </c>
      <c r="B89" s="13">
        <f>IFERROR(B81-B85,"")</f>
        <v/>
      </c>
      <c r="C89" s="13">
        <f>IFERROR(C81-C85,"")</f>
        <v/>
      </c>
      <c r="D89" s="13">
        <f>IFERROR(D81-D85,"")</f>
        <v/>
      </c>
      <c r="E89" s="13">
        <f>IFERROR(E81-E85,"")</f>
        <v/>
      </c>
      <c r="F89" s="13">
        <f>IFERROR(F81-F85,"")</f>
        <v/>
      </c>
    </row>
    <row r="90" ht="16" customHeight="1">
      <c r="A90" s="4" t="inlineStr">
        <is>
          <t>Gældsandel, %</t>
        </is>
      </c>
      <c r="B90" s="14">
        <f>IFERROR(($B$74-$B$53)/$B$44*100,"")</f>
        <v/>
      </c>
      <c r="C90" s="14">
        <f>IFERROR(($C$74-$C$53)/$C$44*100,"")</f>
        <v/>
      </c>
      <c r="D90" s="14">
        <f>IFERROR(($D$74-$D$53)/$D$44*100,"")</f>
        <v/>
      </c>
      <c r="E90" s="14">
        <f>IFERROR(($E$74-$E$53)/$E$44*100,"")</f>
        <v/>
      </c>
      <c r="F90" s="14">
        <f>IFERROR(($F$74-$F$53)/$F$44*100,"")</f>
        <v/>
      </c>
    </row>
    <row r="91" ht="16" customHeight="1">
      <c r="A91" s="10" t="inlineStr">
        <is>
          <t>Kapitalbindingsgrad, %</t>
        </is>
      </c>
      <c r="B91" s="13">
        <f>IFERROR($B$31/($B$53+$B$60)*100,"")</f>
        <v/>
      </c>
      <c r="C91" s="13">
        <f>IFERROR($C$31/($C$53+$C$60)*100,"")</f>
        <v/>
      </c>
      <c r="D91" s="13">
        <f>IFERROR($D$31/($D$53+$D$60)*100,"")</f>
        <v/>
      </c>
      <c r="E91" s="13">
        <f>IFERROR($E$31/($E$53+$E$60)*100,"")</f>
        <v/>
      </c>
      <c r="F91" s="13">
        <f>IFERROR($F$31/($F$53+$F$60)*100,"")</f>
        <v/>
      </c>
    </row>
    <row r="93">
      <c r="A93" s="15" t="inlineStr">
        <is>
          <t>PENGESTRØMSOPGØRELSE t.kr.</t>
        </is>
      </c>
    </row>
    <row r="94">
      <c r="A94" s="16" t="inlineStr">
        <is>
          <t>Pengestrømme fra driftsaktivitet</t>
        </is>
      </c>
      <c r="B94" s="17">
        <f>'pengestrom_raw'!$B$2</f>
        <v/>
      </c>
      <c r="C94" s="17">
        <f>'pengestrom_raw'!$C$2</f>
        <v/>
      </c>
      <c r="D94" s="17">
        <f>'pengestrom_raw'!$D$2</f>
        <v/>
      </c>
      <c r="E94" s="17">
        <f>'pengestrom_raw'!$E$2</f>
        <v/>
      </c>
      <c r="F94" s="17">
        <f>'pengestrom_raw'!$F$2</f>
        <v/>
      </c>
    </row>
    <row r="95">
      <c r="A95" s="16" t="inlineStr">
        <is>
          <t>Pengestrømme fra investeringsaktivitet</t>
        </is>
      </c>
      <c r="B95" s="17">
        <f>'pengestrom_raw'!$B$3</f>
        <v/>
      </c>
      <c r="C95" s="17">
        <f>'pengestrom_raw'!$C$3</f>
        <v/>
      </c>
      <c r="D95" s="17">
        <f>'pengestrom_raw'!$D$3</f>
        <v/>
      </c>
      <c r="E95" s="17">
        <f>'pengestrom_raw'!$E$3</f>
        <v/>
      </c>
      <c r="F95" s="17">
        <f>'pengestrom_raw'!$F$3</f>
        <v/>
      </c>
    </row>
    <row r="96">
      <c r="A96" s="16" t="inlineStr">
        <is>
          <t>Pengestrømme fra finansieringsaktivitet</t>
        </is>
      </c>
      <c r="B96" s="17">
        <f>'pengestrom_raw'!$B$4</f>
        <v/>
      </c>
      <c r="C96" s="17">
        <f>'pengestrom_raw'!$C$4</f>
        <v/>
      </c>
      <c r="D96" s="17">
        <f>'pengestrom_raw'!$D$4</f>
        <v/>
      </c>
      <c r="E96" s="17">
        <f>'pengestrom_raw'!$E$4</f>
        <v/>
      </c>
      <c r="F96" s="17">
        <f>'pengestrom_raw'!$F$4</f>
        <v/>
      </c>
    </row>
    <row r="97">
      <c r="A97" s="16" t="inlineStr">
        <is>
          <t>Årets pengestrøm (rapporteret)</t>
        </is>
      </c>
      <c r="B97" s="17">
        <f>'pengestrom_raw'!$B$5</f>
        <v/>
      </c>
      <c r="C97" s="17">
        <f>'pengestrom_raw'!$C$5</f>
        <v/>
      </c>
      <c r="D97" s="17">
        <f>'pengestrom_raw'!$D$5</f>
        <v/>
      </c>
      <c r="E97" s="17">
        <f>'pengestrom_raw'!$E$5</f>
        <v/>
      </c>
      <c r="F97" s="17">
        <f>'pengestrom_raw'!$F$5</f>
        <v/>
      </c>
    </row>
    <row r="98">
      <c r="A98" s="16" t="inlineStr">
        <is>
          <t>Krydstjek: drift + inv. + fin. = årets pengestrøm</t>
        </is>
      </c>
      <c r="B98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8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8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8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8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grundfos (CVR None)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28733000</v>
      </c>
      <c r="C2" s="17" t="n">
        <v>33341000</v>
      </c>
      <c r="D2" s="17" t="n">
        <v>34407000</v>
      </c>
      <c r="E2" s="17" t="n">
        <v>33226000</v>
      </c>
      <c r="F2" s="17" t="n">
        <v>34733000</v>
      </c>
    </row>
    <row r="3">
      <c r="A3" s="16" t="inlineStr">
        <is>
          <t>Produktionsomkostninger</t>
        </is>
      </c>
      <c r="B3" s="17" t="n">
        <v>16850000</v>
      </c>
      <c r="C3" s="17" t="n">
        <v>19727000</v>
      </c>
      <c r="D3" s="17" t="n">
        <v>19474000</v>
      </c>
      <c r="E3" s="17" t="n">
        <v>19343000</v>
      </c>
      <c r="F3" s="17" t="n">
        <v>19520000</v>
      </c>
    </row>
    <row r="4">
      <c r="A4" s="15" t="inlineStr">
        <is>
          <t>Bruttoresultat</t>
        </is>
      </c>
      <c r="B4" s="17" t="n">
        <v>11883000</v>
      </c>
      <c r="C4" s="17" t="n">
        <v>13614000</v>
      </c>
      <c r="D4" s="17" t="n">
        <v>14933000</v>
      </c>
      <c r="E4" s="17" t="n">
        <v>13883000</v>
      </c>
      <c r="F4" s="17" t="n">
        <v>15213000</v>
      </c>
    </row>
    <row r="5">
      <c r="A5" s="16" t="inlineStr">
        <is>
          <t>Salgs- og distributionsomkostninger</t>
        </is>
      </c>
      <c r="B5" s="17" t="n">
        <v>4686000</v>
      </c>
      <c r="C5" s="17" t="n">
        <v>5118000</v>
      </c>
      <c r="D5" s="17" t="n">
        <v>5674000</v>
      </c>
      <c r="E5" s="17" t="n">
        <v>5127000</v>
      </c>
      <c r="F5" s="17" t="n">
        <v>5616000</v>
      </c>
    </row>
    <row r="6">
      <c r="A6" s="16" t="inlineStr">
        <is>
          <t>Administrationsomkostninger</t>
        </is>
      </c>
      <c r="B6" s="17" t="n">
        <v>2389000</v>
      </c>
      <c r="C6" s="17" t="n">
        <v>2903000</v>
      </c>
      <c r="D6" s="17" t="n">
        <v>3217000</v>
      </c>
      <c r="E6" s="17" t="n">
        <v>3327000</v>
      </c>
      <c r="F6" s="17" t="n">
        <v>3736000</v>
      </c>
    </row>
    <row r="7">
      <c r="A7" s="16" t="inlineStr">
        <is>
          <t>Andre driftsindtægter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3266000</v>
      </c>
      <c r="C9" s="17" t="n">
        <v>3088000</v>
      </c>
      <c r="D9" s="17" t="n">
        <v>4309000</v>
      </c>
      <c r="E9" s="17" t="n">
        <v>4064000</v>
      </c>
      <c r="F9" s="17" t="n">
        <v>3666000</v>
      </c>
    </row>
    <row r="10">
      <c r="A10" s="16" t="inlineStr">
        <is>
          <t>Indtægter af kapitalandele, dattervirksomheder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Finansielle indtægter</t>
        </is>
      </c>
      <c r="B11" s="17" t="n">
        <v>293000</v>
      </c>
      <c r="C11" s="17" t="n">
        <v>147000</v>
      </c>
      <c r="D11" s="17" t="n">
        <v>463000</v>
      </c>
      <c r="E11" s="17" t="n">
        <v>420000</v>
      </c>
      <c r="F11" s="17" t="n">
        <v>260000</v>
      </c>
    </row>
    <row r="12">
      <c r="A12" s="16" t="inlineStr">
        <is>
          <t>Finansielle omkostninger</t>
        </is>
      </c>
      <c r="B12" s="17" t="n">
        <v>189000</v>
      </c>
      <c r="C12" s="17" t="n">
        <v>486000</v>
      </c>
      <c r="D12" s="17" t="n">
        <v>68000</v>
      </c>
      <c r="E12" s="17" t="n">
        <v>105000</v>
      </c>
      <c r="F12" s="17" t="n">
        <v>156000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3370000</v>
      </c>
      <c r="C14" s="17" t="n">
        <v>2749000</v>
      </c>
      <c r="D14" s="17" t="n">
        <v>4704000</v>
      </c>
      <c r="E14" s="17" t="n">
        <v>4379000</v>
      </c>
      <c r="F14" s="17" t="n">
        <v>3770000</v>
      </c>
    </row>
    <row r="15">
      <c r="A15" s="16" t="inlineStr">
        <is>
          <t>Skat af årets resultat</t>
        </is>
      </c>
      <c r="B15" s="17" t="n">
        <v>711000</v>
      </c>
      <c r="C15" s="17" t="n">
        <v>733000</v>
      </c>
      <c r="D15" s="17" t="n">
        <v>1282000</v>
      </c>
      <c r="E15" s="17" t="n">
        <v>946000</v>
      </c>
      <c r="F15" s="17" t="n">
        <v>921000</v>
      </c>
    </row>
    <row r="16">
      <c r="A16" s="15" t="inlineStr">
        <is>
          <t>Årets resultat</t>
        </is>
      </c>
      <c r="B16" s="17" t="n">
        <v>2659000</v>
      </c>
      <c r="C16" s="17" t="n">
        <v>2016000</v>
      </c>
      <c r="D16" s="17" t="n">
        <v>3422000</v>
      </c>
      <c r="E16" s="17" t="n">
        <v>3433000</v>
      </c>
      <c r="F16" s="17" t="n">
        <v>2849000</v>
      </c>
    </row>
    <row r="17">
      <c r="A17" s="16" t="inlineStr">
        <is>
          <t>Gns. antal medarbejdere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>
        <v>1078000</v>
      </c>
      <c r="C18" s="17" t="n">
        <v>1234000</v>
      </c>
      <c r="D18" s="17" t="n">
        <v>1593000</v>
      </c>
      <c r="E18" s="17" t="n">
        <v>1278000</v>
      </c>
      <c r="F18" s="17" t="n">
        <v>1104000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grundfos (CVR None)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100000</v>
      </c>
      <c r="C2" s="17" t="n">
        <v>91000</v>
      </c>
      <c r="D2" s="17" t="n">
        <v>29000</v>
      </c>
      <c r="E2" s="17" t="n">
        <v>111000</v>
      </c>
      <c r="F2" s="17" t="n">
        <v>163000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1181000</v>
      </c>
      <c r="C4" s="17" t="n">
        <v>1228000</v>
      </c>
      <c r="D4" s="17" t="n">
        <v>1078000</v>
      </c>
      <c r="E4" s="17" t="n">
        <v>2177000</v>
      </c>
      <c r="F4" s="17" t="n">
        <v>3532000</v>
      </c>
    </row>
    <row r="5">
      <c r="A5" s="15" t="inlineStr">
        <is>
          <t>Immaterielle anlægsaktiver</t>
        </is>
      </c>
      <c r="B5" s="17" t="n">
        <v>1226000</v>
      </c>
      <c r="C5" s="17" t="n">
        <v>1138000</v>
      </c>
      <c r="D5" s="17" t="n">
        <v>1447000</v>
      </c>
      <c r="E5" s="17" t="n">
        <v>1900000</v>
      </c>
      <c r="F5" s="17" t="n">
        <v>1918000</v>
      </c>
    </row>
    <row r="6">
      <c r="A6" s="16" t="inlineStr">
        <is>
          <t>Grunde og bygninger</t>
        </is>
      </c>
      <c r="B6" s="17" t="n">
        <v>2981000</v>
      </c>
      <c r="C6" s="17" t="n">
        <v>2836000</v>
      </c>
      <c r="D6" s="17" t="n">
        <v>3029000</v>
      </c>
      <c r="E6" s="17" t="n">
        <v>3128000</v>
      </c>
      <c r="F6" s="17" t="n">
        <v>2907000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899000</v>
      </c>
      <c r="C10" s="17" t="n">
        <v>1004000</v>
      </c>
      <c r="D10" s="17" t="n">
        <v>1135000</v>
      </c>
      <c r="E10" s="17" t="n">
        <v>952000</v>
      </c>
      <c r="F10" s="17" t="n">
        <v>931000</v>
      </c>
    </row>
    <row r="11">
      <c r="A11" s="15" t="inlineStr">
        <is>
          <t>Materielle anlægsaktiver</t>
        </is>
      </c>
      <c r="B11" s="17" t="n">
        <v>339000</v>
      </c>
      <c r="C11" s="17" t="n">
        <v>341000</v>
      </c>
      <c r="D11" s="17" t="n">
        <v>338000</v>
      </c>
      <c r="E11" s="17" t="n">
        <v>314000</v>
      </c>
      <c r="F11" s="17" t="n">
        <v>299000</v>
      </c>
    </row>
    <row r="12">
      <c r="A12" s="15" t="inlineStr">
        <is>
          <t>Anlægsaktiver</t>
        </is>
      </c>
      <c r="B12" s="17" t="n">
        <v>10072000</v>
      </c>
      <c r="C12" s="17" t="n">
        <v>10110000</v>
      </c>
      <c r="D12" s="17" t="n">
        <v>10879000</v>
      </c>
      <c r="E12" s="17" t="n">
        <v>13340000</v>
      </c>
      <c r="F12" s="17" t="n">
        <v>15136000</v>
      </c>
    </row>
    <row r="13">
      <c r="A13" s="15" t="inlineStr">
        <is>
          <t>Varebeholdninger</t>
        </is>
      </c>
      <c r="B13" s="17" t="n">
        <v>5304000</v>
      </c>
      <c r="C13" s="17" t="n">
        <v>6520000</v>
      </c>
      <c r="D13" s="17" t="n">
        <v>5663000</v>
      </c>
      <c r="E13" s="17" t="n">
        <v>5916000</v>
      </c>
      <c r="F13" s="17" t="n">
        <v>6048000</v>
      </c>
    </row>
    <row r="14">
      <c r="A14" s="16" t="inlineStr">
        <is>
          <t>Tilgodehavender fra salg og tjenesteydelser</t>
        </is>
      </c>
      <c r="B14" s="17" t="n">
        <v>5706000</v>
      </c>
      <c r="C14" s="17" t="n">
        <v>7013000</v>
      </c>
      <c r="D14" s="17" t="n">
        <v>6574000</v>
      </c>
      <c r="E14" s="17" t="n">
        <v>7579000</v>
      </c>
      <c r="F14" s="17" t="n">
        <v>6688000</v>
      </c>
    </row>
    <row r="15">
      <c r="A15" s="16" t="inlineStr">
        <is>
          <t>Tilgodehavender hos tilknyttede virksomheder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Andre tilgodehavender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Periodeafgrænsningsposter (aktiver)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Udskudt skatteaktiv</t>
        </is>
      </c>
      <c r="B18" s="17" t="n">
        <v>758000</v>
      </c>
      <c r="C18" s="17" t="n">
        <v>780000</v>
      </c>
      <c r="D18" s="17" t="n">
        <v>794000</v>
      </c>
      <c r="E18" s="17" t="n">
        <v>1013000</v>
      </c>
      <c r="F18" s="17" t="n">
        <v>1077000</v>
      </c>
    </row>
    <row r="19">
      <c r="A19" s="16" t="inlineStr">
        <is>
          <t>Tilgodehavende skat hos tilknyttede virksomheder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Kortfristede skattetilgodehavender</t>
        </is>
      </c>
      <c r="B20" s="17" t="n">
        <v>512000</v>
      </c>
      <c r="C20" s="17" t="n">
        <v>479000</v>
      </c>
      <c r="D20" s="17" t="n">
        <v>630000</v>
      </c>
      <c r="E20" s="17" t="n">
        <v>783000</v>
      </c>
      <c r="F20" s="17" t="n">
        <v>565000</v>
      </c>
    </row>
    <row r="21">
      <c r="A21" s="15" t="inlineStr">
        <is>
          <t>Tilgodehavender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Værdipapirer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Likvide beholdninger</t>
        </is>
      </c>
      <c r="B23" s="17" t="n">
        <v>4087000</v>
      </c>
      <c r="C23" s="17" t="n">
        <v>3523000</v>
      </c>
      <c r="D23" s="17" t="n">
        <v>5808000</v>
      </c>
      <c r="E23" s="17" t="n">
        <v>3509000</v>
      </c>
      <c r="F23" s="17" t="n">
        <v>2850000</v>
      </c>
    </row>
    <row r="24">
      <c r="A24" s="15" t="inlineStr">
        <is>
          <t>Omsætningsaktiver</t>
        </is>
      </c>
      <c r="B24" s="17" t="n">
        <v>19196000</v>
      </c>
      <c r="C24" s="17" t="n">
        <v>20682000</v>
      </c>
      <c r="D24" s="17" t="n">
        <v>21819000</v>
      </c>
      <c r="E24" s="17" t="n">
        <v>22494000</v>
      </c>
      <c r="F24" s="17" t="n">
        <v>20028000</v>
      </c>
    </row>
    <row r="25">
      <c r="A25" s="15" t="inlineStr">
        <is>
          <t>Aktiver</t>
        </is>
      </c>
      <c r="B25" s="17" t="n">
        <v>29268000</v>
      </c>
      <c r="C25" s="17" t="n">
        <v>30792000</v>
      </c>
      <c r="D25" s="17" t="n">
        <v>32698000</v>
      </c>
      <c r="E25" s="17" t="n">
        <v>35834000</v>
      </c>
      <c r="F25" s="17" t="n">
        <v>35164000</v>
      </c>
    </row>
    <row r="26">
      <c r="A26" s="16" t="inlineStr">
        <is>
          <t>Selskabskapital</t>
        </is>
      </c>
      <c r="B26" s="17" t="n">
        <v>381000</v>
      </c>
      <c r="C26" s="17" t="n">
        <v>381000</v>
      </c>
      <c r="D26" s="17" t="n">
        <v>381000</v>
      </c>
      <c r="E26" s="17" t="n">
        <v>381000</v>
      </c>
      <c r="F26" s="17" t="n">
        <v>381000</v>
      </c>
    </row>
    <row r="27">
      <c r="A27" s="16" t="inlineStr">
        <is>
          <t>Reserve for nettoopskrivning (indre værdis metode)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udviklingsomkostninger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sikringstransaktioner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Andre reserver</t>
        </is>
      </c>
      <c r="B30" s="17" t="n">
        <v>-136000</v>
      </c>
      <c r="C30" s="17" t="n">
        <v>47000</v>
      </c>
      <c r="D30" s="17" t="n">
        <v>12000</v>
      </c>
      <c r="E30" s="17" t="n">
        <v>-101000</v>
      </c>
      <c r="F30" s="17" t="n">
        <v>72000</v>
      </c>
    </row>
    <row r="31">
      <c r="A31" s="16" t="inlineStr">
        <is>
          <t>Overført resultat</t>
        </is>
      </c>
      <c r="B31" s="17" t="n">
        <v>17740000</v>
      </c>
      <c r="C31" s="17" t="n">
        <v>19035000</v>
      </c>
      <c r="D31" s="17" t="n">
        <v>20790000</v>
      </c>
      <c r="E31" s="17" t="n">
        <v>22536000</v>
      </c>
      <c r="F31" s="17" t="n">
        <v>23995000</v>
      </c>
    </row>
    <row r="32">
      <c r="A32" s="15" t="inlineStr">
        <is>
          <t>Egenkapital i alt</t>
        </is>
      </c>
      <c r="B32" s="17" t="n">
        <v>19484000</v>
      </c>
      <c r="C32" s="17" t="n">
        <v>20922000</v>
      </c>
      <c r="D32" s="17" t="n">
        <v>23127000</v>
      </c>
      <c r="E32" s="17" t="n">
        <v>24489000</v>
      </c>
      <c r="F32" s="17" t="n">
        <v>25292000</v>
      </c>
    </row>
    <row r="33">
      <c r="A33" s="16" t="inlineStr">
        <is>
          <t>Hensættelse til udskudt skat</t>
        </is>
      </c>
      <c r="B33" s="17" t="n">
        <v>213000</v>
      </c>
      <c r="C33" s="17" t="n">
        <v>218000</v>
      </c>
      <c r="D33" s="17" t="n">
        <v>302000</v>
      </c>
      <c r="E33" s="17" t="n">
        <v>410000</v>
      </c>
      <c r="F33" s="17" t="n">
        <v>661000</v>
      </c>
    </row>
    <row r="34">
      <c r="A34" s="15" t="inlineStr">
        <is>
          <t>Hensatte forpligtelser</t>
        </is>
      </c>
      <c r="B34" s="17" t="n">
        <v>380000</v>
      </c>
      <c r="C34" s="17" t="n">
        <v>180000</v>
      </c>
      <c r="D34" s="17" t="n">
        <v>140000</v>
      </c>
      <c r="E34" s="17" t="n">
        <v>135000</v>
      </c>
      <c r="F34" s="17" t="n">
        <v>124000</v>
      </c>
    </row>
    <row r="35">
      <c r="A35" s="16" t="inlineStr">
        <is>
          <t>Ansvarlig lånekapital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Langfristede lån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Leasingforpligtelser (langfristet)</t>
        </is>
      </c>
      <c r="B37" s="17" t="n">
        <v>323000</v>
      </c>
      <c r="C37" s="17" t="n">
        <v>237000</v>
      </c>
      <c r="D37" s="17" t="n">
        <v>239000</v>
      </c>
      <c r="E37" s="17" t="n">
        <v>364000</v>
      </c>
      <c r="F37" s="17" t="n">
        <v>463000</v>
      </c>
    </row>
    <row r="38">
      <c r="A38" s="16" t="inlineStr">
        <is>
          <t>Anden gæld (langfristet)</t>
        </is>
      </c>
      <c r="B38" s="17" t="n"/>
      <c r="C38" s="17" t="n"/>
      <c r="D38" s="17" t="n"/>
      <c r="E38" s="17" t="n"/>
      <c r="F38" s="17" t="n"/>
    </row>
    <row r="39">
      <c r="A39" s="15" t="inlineStr">
        <is>
          <t>Langfristede gældsforpligtelser</t>
        </is>
      </c>
      <c r="B39" s="17" t="n">
        <v>31000</v>
      </c>
      <c r="C39" s="17" t="n">
        <v>3000</v>
      </c>
      <c r="D39" s="17" t="n">
        <v>8000</v>
      </c>
      <c r="E39" s="17" t="n">
        <v>58000</v>
      </c>
      <c r="F39" s="17" t="n">
        <v>10000</v>
      </c>
    </row>
    <row r="40">
      <c r="A40" s="16" t="inlineStr">
        <is>
          <t>Ansvarlig lånekapital (kortfristet)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Kortfristet del af langfristede gældsforpligtelser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Kreditinstitutter</t>
        </is>
      </c>
      <c r="B42" s="17" t="n">
        <v>98000</v>
      </c>
      <c r="C42" s="17" t="n">
        <v>100000</v>
      </c>
      <c r="D42" s="17" t="n">
        <v>123000</v>
      </c>
      <c r="E42" s="17" t="n">
        <v>57000</v>
      </c>
      <c r="F42" s="17" t="n">
        <v>16000</v>
      </c>
    </row>
    <row r="43">
      <c r="A43" s="16" t="inlineStr">
        <is>
          <t>Leasingforpligtelser (kortfristet)</t>
        </is>
      </c>
      <c r="B43" s="17" t="n">
        <v>223000</v>
      </c>
      <c r="C43" s="17" t="n">
        <v>164000</v>
      </c>
      <c r="D43" s="17" t="n">
        <v>162000</v>
      </c>
      <c r="E43" s="17" t="n">
        <v>243000</v>
      </c>
      <c r="F43" s="17" t="n">
        <v>309000</v>
      </c>
    </row>
    <row r="44">
      <c r="A44" s="16" t="inlineStr">
        <is>
          <t>Leverandører af varer og tjenesteydelser</t>
        </is>
      </c>
      <c r="B44" s="17" t="n">
        <v>3095000</v>
      </c>
      <c r="C44" s="17" t="n">
        <v>2845000</v>
      </c>
      <c r="D44" s="17" t="n">
        <v>2656000</v>
      </c>
      <c r="E44" s="17" t="n">
        <v>2938000</v>
      </c>
      <c r="F44" s="17" t="n">
        <v>2840000</v>
      </c>
    </row>
    <row r="45">
      <c r="A45" s="16" t="inlineStr">
        <is>
          <t>Gæld til tilknyttede virksomheder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selskabsdeltagere og ledelse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Selskabsskat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Gæld til tilknyttede virksomheder vedr. selskabsskat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Anden gæld (kortfristet)</t>
        </is>
      </c>
      <c r="B49" s="17" t="n">
        <v>3876000</v>
      </c>
      <c r="C49" s="17" t="n">
        <v>4048000</v>
      </c>
      <c r="D49" s="17" t="n">
        <v>3797000</v>
      </c>
      <c r="E49" s="17" t="n">
        <v>4443000</v>
      </c>
      <c r="F49" s="17" t="n">
        <v>3585000</v>
      </c>
    </row>
    <row r="50">
      <c r="A50" s="16" t="inlineStr">
        <is>
          <t>Periodeafgrænsningsposter (passiver)</t>
        </is>
      </c>
      <c r="B50" s="17" t="n"/>
      <c r="C50" s="17" t="n"/>
      <c r="D50" s="17" t="n"/>
      <c r="E50" s="17" t="n"/>
      <c r="F50" s="17" t="n"/>
    </row>
    <row r="51">
      <c r="A51" s="15" t="inlineStr">
        <is>
          <t>Kortfristede gældsforpligtelser</t>
        </is>
      </c>
      <c r="B51" s="17" t="n">
        <v>8325000</v>
      </c>
      <c r="C51" s="17" t="n">
        <v>8432000</v>
      </c>
      <c r="D51" s="17" t="n">
        <v>8098000</v>
      </c>
      <c r="E51" s="17" t="n">
        <v>9142000</v>
      </c>
      <c r="F51" s="17" t="n">
        <v>7897000</v>
      </c>
    </row>
    <row r="52">
      <c r="A52" s="15" t="inlineStr">
        <is>
          <t>Gældsforpligtelser</t>
        </is>
      </c>
      <c r="B52" s="17" t="n">
        <v>9761000</v>
      </c>
      <c r="C52" s="17" t="n">
        <v>9846000</v>
      </c>
      <c r="D52" s="17" t="n">
        <v>9542000</v>
      </c>
      <c r="E52" s="17" t="n">
        <v>11310000</v>
      </c>
      <c r="F52" s="17" t="n">
        <v>9841000</v>
      </c>
    </row>
    <row r="53">
      <c r="A53" s="15" t="inlineStr">
        <is>
          <t>Passiver</t>
        </is>
      </c>
      <c r="B53" s="17" t="n">
        <v>29268000</v>
      </c>
      <c r="C53" s="17" t="n">
        <v>30792000</v>
      </c>
      <c r="D53" s="17" t="n">
        <v>32698000</v>
      </c>
      <c r="E53" s="17" t="n">
        <v>35834000</v>
      </c>
      <c r="F53" s="17" t="n">
        <v>35164000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grundfos (CVR None)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4083000</v>
      </c>
      <c r="C2" s="17" t="n">
        <v>2412000</v>
      </c>
      <c r="D2" s="17" t="n">
        <v>5943000</v>
      </c>
      <c r="E2" s="17" t="n">
        <v>4471000</v>
      </c>
      <c r="F2" s="17" t="n">
        <v>4199000</v>
      </c>
    </row>
    <row r="3">
      <c r="A3" s="16" t="inlineStr">
        <is>
          <t>Pengestrømme fra investeringsaktivitet</t>
        </is>
      </c>
      <c r="B3" s="17" t="n">
        <v>-4044000</v>
      </c>
      <c r="C3" s="17" t="n">
        <v>-1417000</v>
      </c>
      <c r="D3" s="17" t="n">
        <v>-2341000</v>
      </c>
      <c r="E3" s="17" t="n">
        <v>-4701000</v>
      </c>
      <c r="F3" s="17" t="n">
        <v>-2552000</v>
      </c>
    </row>
    <row r="4">
      <c r="A4" s="16" t="inlineStr">
        <is>
          <t>Pengestrømme fra finansieringsaktivitet</t>
        </is>
      </c>
      <c r="B4" s="17" t="n">
        <v>-1406000</v>
      </c>
      <c r="C4" s="17" t="n">
        <v>-1546000</v>
      </c>
      <c r="D4" s="17" t="n">
        <v>-1176000</v>
      </c>
      <c r="E4" s="17" t="n">
        <v>-2024000</v>
      </c>
      <c r="F4" s="17" t="n">
        <v>-2212000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grundfos (CVR None)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'balance_raw'!$F$12</f>
        <v/>
      </c>
      <c r="C18" s="24">
        <f>'balance_raw'!$E$12</f>
        <v/>
      </c>
      <c r="D18" s="24">
        <f>'balance_raw'!$D$12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'balance_raw'!$F$24</f>
        <v/>
      </c>
      <c r="C19" s="24">
        <f>'balance_raw'!$E$24</f>
        <v/>
      </c>
      <c r="D19" s="24">
        <f>'balance_raw'!$D$24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'balance_raw'!$F$32</f>
        <v/>
      </c>
      <c r="C22" s="24">
        <f>'balance_raw'!$E$32</f>
        <v/>
      </c>
      <c r="D22" s="24">
        <f>'balance_raw'!$D$32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'balance_raw'!$F$53-'balance_raw'!$F$32</f>
        <v/>
      </c>
      <c r="C23" s="24">
        <f>'balance_raw'!$E$53-'balance_raw'!$E$32</f>
        <v/>
      </c>
      <c r="D23" s="24">
        <f>'balance_raw'!$D$53-'balance_raw'!$D$32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'balance_raw'!$F$13</f>
        <v/>
      </c>
      <c r="C27" s="24">
        <f>'balance_raw'!$E$13</f>
        <v/>
      </c>
      <c r="D27" s="24">
        <f>'balance_raw'!$D$13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'balance_raw'!$F$14</f>
        <v/>
      </c>
      <c r="C28" s="24">
        <f>'balance_raw'!$E$14</f>
        <v/>
      </c>
      <c r="D28" s="24">
        <f>'balance_raw'!$D$14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'balance_raw'!$F$51</f>
        <v/>
      </c>
      <c r="C29" s="24">
        <f>'balance_raw'!$E$51</f>
        <v/>
      </c>
      <c r="D29" s="24">
        <f>'balance_raw'!$D$51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IF('balance_raw'!$F$25="","—",IF(ABS(B20-'balance_raw'!$F$25)&lt;=1,"✓ OK","❌ "&amp;TEXT(B20-'balance_raw'!$F$25,"+#,##0;-#,##0")&amp;" t.kr."))</f>
        <v/>
      </c>
      <c r="C60" s="29">
        <f>IF('balance_raw'!$E$25="","—",IF(ABS(C20-'balance_raw'!$E$25)&lt;=1,"✓ OK","❌ "&amp;TEXT(C20-'balance_raw'!$E$25,"+#,##0;-#,##0")&amp;" t.kr."))</f>
        <v/>
      </c>
      <c r="D60" s="29">
        <f>IF('balance_raw'!$D$25="","—",IF(ABS(D20-'balance_raw'!$D$25)&lt;=1,"✓ OK","❌ "&amp;TEXT(D20-'balance_raw'!$D$25,"+#,##0;-#,##0")&amp;"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IF('balance_raw'!$F$53="","—",IF(ABS(B24-'balance_raw'!$F$53)&lt;=1,"✓ OK","❌ "&amp;TEXT(B24-'balance_raw'!$F$53,"+#,##0;-#,##0")&amp;" t.kr."))</f>
        <v/>
      </c>
      <c r="C61" s="29">
        <f>IF('balance_raw'!$E$53="","—",IF(ABS(C24-'balance_raw'!$E$53)&lt;=1,"✓ OK","❌ "&amp;TEXT(C24-'balance_raw'!$E$53,"+#,##0;-#,##0")&amp;" t.kr."))</f>
        <v/>
      </c>
      <c r="D61" s="29">
        <f>IF('balance_raw'!$D$53="","—",IF(ABS(D24-'balance_raw'!$D$53)&lt;=1,"✓ OK","❌ "&amp;TEXT(D24-'balance_raw'!$D$53,"+#,##0;-#,##0")&amp;"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grundfos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ifrs-full:AdjustmentsForFinanceCosts</t>
        </is>
      </c>
      <c r="C3" s="34" t="inlineStr">
        <is>
          <t>ifrs-full:AdjustmentsForFinanceCosts</t>
        </is>
      </c>
      <c r="D3" s="35" t="n">
        <v>191000</v>
      </c>
      <c r="E3" s="35" t="n">
        <v>486000</v>
      </c>
      <c r="F3" s="35" t="n">
        <v>68000</v>
      </c>
      <c r="G3" s="35" t="n">
        <v>105000</v>
      </c>
      <c r="H3" s="35" t="n">
        <v>156000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ifrs-full:AdjustmentsForFinanceIncome</t>
        </is>
      </c>
      <c r="C4" s="37" t="inlineStr">
        <is>
          <t>ifrs-full:AdjustmentsForFinanceIncome</t>
        </is>
      </c>
      <c r="D4" s="38" t="n">
        <v>292000</v>
      </c>
      <c r="E4" s="38" t="n">
        <v>147000</v>
      </c>
      <c r="F4" s="38" t="n">
        <v>463000</v>
      </c>
      <c r="G4" s="38" t="n">
        <v>420000</v>
      </c>
      <c r="H4" s="38" t="n">
        <v>260000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ifrs-full:AdjustmentsForGainLossOnDisposalsPropertyPlantAndEquipment</t>
        </is>
      </c>
      <c r="C5" s="34" t="inlineStr">
        <is>
          <t>ifrs-full:AdjustmentsForGainLossOnDisposalsPropertyPlantAndEquipment</t>
        </is>
      </c>
      <c r="D5" s="35" t="n">
        <v>-2000</v>
      </c>
      <c r="E5" s="35" t="n">
        <v>-8000</v>
      </c>
      <c r="F5" s="35" t="n">
        <v>-64000</v>
      </c>
      <c r="G5" s="35" t="n">
        <v>24000</v>
      </c>
      <c r="H5" s="35" t="n">
        <v>45000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ifrs-full:AdjustmentsForIncomeTaxExpense</t>
        </is>
      </c>
      <c r="C6" s="37" t="inlineStr">
        <is>
          <t>ifrs-full:AdjustmentsForIncomeTaxExpense</t>
        </is>
      </c>
      <c r="D6" s="38" t="n">
        <v>711000</v>
      </c>
      <c r="E6" s="38" t="n">
        <v>733000</v>
      </c>
      <c r="F6" s="38" t="n">
        <v>1282000</v>
      </c>
      <c r="G6" s="38" t="n">
        <v>946000</v>
      </c>
      <c r="H6" s="38" t="n">
        <v>921000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ifrs-full:AdjustmentsForUnrealisedForeignExchangeLossesGains</t>
        </is>
      </c>
      <c r="C7" s="34" t="inlineStr">
        <is>
          <t>ifrs-full:AdjustmentsForUnrealisedForeignExchangeLossesGains</t>
        </is>
      </c>
      <c r="D7" s="35" t="n"/>
      <c r="E7" s="35" t="n"/>
      <c r="F7" s="35" t="n"/>
      <c r="G7" s="35" t="n">
        <v>-56000</v>
      </c>
      <c r="H7" s="35" t="n">
        <v>-1000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ifrs-full:Machinery</t>
        </is>
      </c>
      <c r="C8" s="37" t="inlineStr">
        <is>
          <t>ifrs-full:Machinery</t>
        </is>
      </c>
      <c r="D8" s="38" t="n">
        <v>1879000</v>
      </c>
      <c r="E8" s="38" t="n">
        <v>1925000</v>
      </c>
      <c r="F8" s="38" t="n">
        <v>2217000</v>
      </c>
      <c r="G8" s="38" t="n">
        <v>2616000</v>
      </c>
      <c r="H8" s="38" t="n">
        <v>2709000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ifrs-full:ProceedsFromSalesOrMaturityOfFinancialInstrumentsClassifiedAsInvestingActivities</t>
        </is>
      </c>
      <c r="C9" s="34" t="inlineStr">
        <is>
          <t>ifrs-full:ProceedsFromSalesOrMaturityOfFinancialInstrumentsClassifiedAsInvestingActivities</t>
        </is>
      </c>
      <c r="D9" s="35" t="n">
        <v>1255000</v>
      </c>
      <c r="E9" s="35" t="n">
        <v>2241000</v>
      </c>
      <c r="F9" s="35" t="n">
        <v>1441000</v>
      </c>
      <c r="G9" s="35" t="n">
        <v>1891000</v>
      </c>
      <c r="H9" s="35" t="n">
        <v>3644000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ifrs-full:ResearchAndDevelopmentExpense</t>
        </is>
      </c>
      <c r="C10" s="37" t="inlineStr">
        <is>
          <t>ifrs-full:ResearchAndDevelopmentExpense</t>
        </is>
      </c>
      <c r="D10" s="38" t="n">
        <v>1542000</v>
      </c>
      <c r="E10" s="38" t="n">
        <v>1654000</v>
      </c>
      <c r="F10" s="38" t="n">
        <v>1733000</v>
      </c>
      <c r="G10" s="38" t="n">
        <v>1839000</v>
      </c>
      <c r="H10" s="38" t="n">
        <v>2195000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ifrs-full:ReserveOfExchangeDifferencesOnTranslation</t>
        </is>
      </c>
      <c r="C11" s="34" t="inlineStr">
        <is>
          <t>ifrs-full:ReserveOfExchangeDifferencesOnTranslation</t>
        </is>
      </c>
      <c r="D11" s="35" t="n">
        <v>224000</v>
      </c>
      <c r="E11" s="35" t="n">
        <v>459000</v>
      </c>
      <c r="F11" s="35" t="n">
        <v>244000</v>
      </c>
      <c r="G11" s="35" t="n">
        <v>-27000</v>
      </c>
      <c r="H11" s="35" t="n">
        <v>-556000</v>
      </c>
      <c r="I11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2026-09-11T07:36:40Z</dcterms:created>
  <dcterms:modified xmlns:dcterms="http://purl.org/dc/terms/" xmlns:xsi="http://www.w3.org/2001/XMLSchema-instance" xsi:type="dcterms:W3CDTF">2026-09-11T07:36:40Z</dcterms:modified>
</cp:coreProperties>
</file>