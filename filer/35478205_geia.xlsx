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'balance_raw_35478205'!$B$36</f>
        <v/>
      </c>
      <c r="C59" s="8">
        <f>'balance_raw_35478205'!$C$36</f>
        <v/>
      </c>
      <c r="D59" s="8">
        <f>'balance_raw_35478205'!$D$36</f>
        <v/>
      </c>
      <c r="E59" s="8">
        <f>'balance_raw_35478205'!$E$36</f>
        <v/>
      </c>
      <c r="F59" s="8">
        <f>'balance_raw_35478205'!$F$36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'balance_raw_35478205'!$B$40</f>
        <v/>
      </c>
      <c r="C63" s="11">
        <f>'balance_raw_35478205'!$C$40</f>
        <v/>
      </c>
      <c r="D63" s="11">
        <f>'balance_raw_35478205'!$D$40</f>
        <v/>
      </c>
      <c r="E63" s="11">
        <f>'balance_raw_35478205'!$E$40</f>
        <v/>
      </c>
      <c r="F63" s="11">
        <f>'balance_raw_35478205'!$F$40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'balance_raw_35478205'!$B$48</f>
        <v/>
      </c>
      <c r="C71" s="8">
        <f>'balance_raw_35478205'!$C$48</f>
        <v/>
      </c>
      <c r="D71" s="8">
        <f>'balance_raw_35478205'!$D$48</f>
        <v/>
      </c>
      <c r="E71" s="8">
        <f>'balance_raw_35478205'!$E$48</f>
        <v/>
      </c>
      <c r="F71" s="8">
        <f>'balance_raw_35478205'!$F$48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'balance_raw_35478205'!$B$49</f>
        <v/>
      </c>
      <c r="C72" s="5">
        <f>'balance_raw_35478205'!$C$49</f>
        <v/>
      </c>
      <c r="D72" s="5">
        <f>'balance_raw_35478205'!$D$49</f>
        <v/>
      </c>
      <c r="E72" s="5">
        <f>'balance_raw_35478205'!$E$49</f>
        <v/>
      </c>
      <c r="F72" s="5">
        <f>'balance_raw_35478205'!$F$49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'balance_raw_35478205'!$B$50</f>
        <v/>
      </c>
      <c r="C73" s="8">
        <f>'balance_raw_35478205'!$C$50</f>
        <v/>
      </c>
      <c r="D73" s="8">
        <f>'balance_raw_35478205'!$D$50</f>
        <v/>
      </c>
      <c r="E73" s="8">
        <f>'balance_raw_35478205'!$E$50</f>
        <v/>
      </c>
      <c r="F73" s="8">
        <f>'balance_raw_35478205'!$F$50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'balance_raw_35478205'!$B$51</f>
        <v/>
      </c>
      <c r="C74" s="5">
        <f>'balance_raw_35478205'!$C$51</f>
        <v/>
      </c>
      <c r="D74" s="5">
        <f>'balance_raw_35478205'!$D$51</f>
        <v/>
      </c>
      <c r="E74" s="5">
        <f>'balance_raw_35478205'!$E$51</f>
        <v/>
      </c>
      <c r="F74" s="5">
        <f>'balance_raw_35478205'!$F$51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'balance_raw_35478205'!$B$52</f>
        <v/>
      </c>
      <c r="C75" s="11">
        <f>'balance_raw_35478205'!$C$52</f>
        <v/>
      </c>
      <c r="D75" s="11">
        <f>'balance_raw_35478205'!$D$52</f>
        <v/>
      </c>
      <c r="E75" s="11">
        <f>'balance_raw_35478205'!$E$52</f>
        <v/>
      </c>
      <c r="F75" s="11">
        <f>'balance_raw_35478205'!$F$52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'balance_raw_35478205'!$B$53</f>
        <v/>
      </c>
      <c r="C76" s="11">
        <f>'balance_raw_35478205'!$C$53</f>
        <v/>
      </c>
      <c r="D76" s="11">
        <f>'balance_raw_35478205'!$D$53</f>
        <v/>
      </c>
      <c r="E76" s="11">
        <f>'balance_raw_35478205'!$E$53</f>
        <v/>
      </c>
      <c r="F76" s="11">
        <f>'balance_raw_35478205'!$F$53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'balance_raw_35478205'!$B$54</f>
        <v/>
      </c>
      <c r="C77" s="11">
        <f>'balance_raw_35478205'!$C$54</f>
        <v/>
      </c>
      <c r="D77" s="11">
        <f>'balance_raw_35478205'!$D$54</f>
        <v/>
      </c>
      <c r="E77" s="11">
        <f>'balance_raw_35478205'!$E$54</f>
        <v/>
      </c>
      <c r="F77" s="11">
        <f>'balance_raw_35478205'!$F$54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'res_raw_35478205'!$B$19</f>
        <v/>
      </c>
      <c r="C80" s="5">
        <f>'res_raw_35478205'!$C$19</f>
        <v/>
      </c>
      <c r="D80" s="5">
        <f>'res_raw_35478205'!$D$19</f>
        <v/>
      </c>
      <c r="E80" s="5">
        <f>'res_raw_35478205'!$E$19</f>
        <v/>
      </c>
      <c r="F80" s="5">
        <f>'res_raw_35478205'!$F$19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'res_raw_35478205'!$B$20</f>
        <v/>
      </c>
      <c r="C81" s="8">
        <f>'res_raw_35478205'!$C$20</f>
        <v/>
      </c>
      <c r="D81" s="8">
        <f>'res_raw_35478205'!$D$20</f>
        <v/>
      </c>
      <c r="E81" s="8">
        <f>'res_raw_35478205'!$E$20</f>
        <v/>
      </c>
      <c r="F81" s="8">
        <f>'res_raw_35478205'!$F$20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2331</v>
      </c>
      <c r="C6" s="16" t="n">
        <v>7432</v>
      </c>
      <c r="D6" s="16" t="n">
        <v>-1808</v>
      </c>
      <c r="E6" s="16" t="n">
        <v>-1635</v>
      </c>
      <c r="F6" s="16" t="n">
        <v>2980</v>
      </c>
    </row>
    <row r="7">
      <c r="A7" s="15" t="inlineStr">
        <is>
          <t>Personaleomkostninger</t>
        </is>
      </c>
      <c r="B7" s="16" t="n">
        <v>3081</v>
      </c>
      <c r="C7" s="16" t="n">
        <v>3090</v>
      </c>
      <c r="D7" s="16" t="n">
        <v>2923</v>
      </c>
      <c r="E7" s="16" t="n">
        <v>3042</v>
      </c>
      <c r="F7" s="16" t="n">
        <v>3374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61</v>
      </c>
      <c r="C9" s="16" t="n">
        <v>63</v>
      </c>
      <c r="D9" s="16" t="n">
        <v>50</v>
      </c>
      <c r="E9" s="16" t="n">
        <v>66</v>
      </c>
      <c r="F9" s="16" t="n">
        <v>52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-811</v>
      </c>
      <c r="C11" s="16" t="n">
        <v>4279</v>
      </c>
      <c r="D11" s="16" t="n">
        <v>-4782</v>
      </c>
      <c r="E11" s="16" t="n">
        <v>-4743</v>
      </c>
      <c r="F11" s="16" t="n">
        <v>-446</v>
      </c>
    </row>
    <row r="12">
      <c r="A12" s="15" t="inlineStr">
        <is>
          <t>Indtægter af kapitalandele, dattervirksomheder</t>
        </is>
      </c>
      <c r="B12" s="16" t="n">
        <v>2133</v>
      </c>
      <c r="C12" s="16" t="n">
        <v>110</v>
      </c>
      <c r="D12" s="16" t="n">
        <v>8369</v>
      </c>
      <c r="E12" s="16" t="n">
        <v>5900</v>
      </c>
      <c r="F12" s="16" t="n">
        <v>377</v>
      </c>
    </row>
    <row r="13">
      <c r="A13" s="15" t="inlineStr">
        <is>
          <t>Finansielle indtægter</t>
        </is>
      </c>
      <c r="B13" s="16" t="n">
        <v>79</v>
      </c>
      <c r="C13" s="16" t="n">
        <v>58</v>
      </c>
      <c r="D13" s="16" t="n">
        <v>130</v>
      </c>
      <c r="E13" s="16" t="n">
        <v>160</v>
      </c>
      <c r="F13" s="16" t="n">
        <v>2032</v>
      </c>
    </row>
    <row r="14">
      <c r="A14" s="15" t="inlineStr">
        <is>
          <t>Finansielle omkostninger</t>
        </is>
      </c>
      <c r="B14" s="16" t="n">
        <v>158</v>
      </c>
      <c r="C14" s="16" t="n">
        <v>110</v>
      </c>
      <c r="D14" s="16" t="n">
        <v>53</v>
      </c>
      <c r="E14" s="16" t="n">
        <v>281</v>
      </c>
      <c r="F14" s="16" t="n">
        <v>986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760</v>
      </c>
      <c r="C16" s="16" t="n">
        <v>4803</v>
      </c>
      <c r="D16" s="16" t="n">
        <v>3595</v>
      </c>
      <c r="E16" s="16" t="n">
        <v>1101</v>
      </c>
      <c r="F16" s="16" t="n">
        <v>998</v>
      </c>
    </row>
    <row r="17">
      <c r="A17" s="15" t="inlineStr">
        <is>
          <t>Skat af årets resultat</t>
        </is>
      </c>
      <c r="B17" s="16" t="n">
        <v>-181</v>
      </c>
      <c r="C17" s="16" t="n">
        <v>941</v>
      </c>
      <c r="D17" s="16" t="n">
        <v>534</v>
      </c>
      <c r="E17" s="16" t="n">
        <v>-2947</v>
      </c>
      <c r="F17" s="16" t="n">
        <v>-488</v>
      </c>
    </row>
    <row r="18">
      <c r="A18" s="17" t="inlineStr">
        <is>
          <t>Årets resultat</t>
        </is>
      </c>
      <c r="B18" s="16" t="n">
        <v>940</v>
      </c>
      <c r="C18" s="16" t="n">
        <v>3862</v>
      </c>
      <c r="D18" s="16" t="n">
        <v>3061</v>
      </c>
      <c r="E18" s="16" t="n">
        <v>4049</v>
      </c>
      <c r="F18" s="16" t="n">
        <v>1486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142</v>
      </c>
      <c r="C4" s="16" t="n">
        <v>114</v>
      </c>
      <c r="D4" s="16" t="n">
        <v>239</v>
      </c>
      <c r="E4" s="16" t="n">
        <v>188</v>
      </c>
      <c r="F4" s="16" t="n">
        <v>151</v>
      </c>
    </row>
    <row r="5">
      <c r="A5" s="15" t="inlineStr">
        <is>
          <t>Indretning af lejede lokaler</t>
        </is>
      </c>
      <c r="B5" s="16" t="n">
        <v>86</v>
      </c>
      <c r="C5" s="16" t="n">
        <v>71</v>
      </c>
      <c r="D5" s="16" t="n">
        <v>56</v>
      </c>
      <c r="E5" s="16" t="n">
        <v>41</v>
      </c>
      <c r="F5" s="16" t="n">
        <v>26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228</v>
      </c>
      <c r="C7" s="16" t="n">
        <v>185</v>
      </c>
      <c r="D7" s="16" t="n">
        <v>294</v>
      </c>
      <c r="E7" s="16" t="n">
        <v>229</v>
      </c>
      <c r="F7" s="16" t="n">
        <v>176</v>
      </c>
    </row>
    <row r="8">
      <c r="A8" s="15" t="inlineStr">
        <is>
          <t>Kapitalandele, dattervirksomheder</t>
        </is>
      </c>
      <c r="B8" s="16" t="n">
        <v>2769</v>
      </c>
      <c r="C8" s="16" t="n">
        <v>3128</v>
      </c>
      <c r="D8" s="16" t="n">
        <v>2640</v>
      </c>
      <c r="E8" s="16" t="n">
        <v>7745</v>
      </c>
      <c r="F8" s="16" t="n">
        <v>12703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12</v>
      </c>
      <c r="E9" s="16" t="n">
        <v>0</v>
      </c>
      <c r="F9" s="16" t="n">
        <v>3436</v>
      </c>
    </row>
    <row r="10">
      <c r="A10" s="17" t="inlineStr">
        <is>
          <t>Finansielle anlægsaktiver</t>
        </is>
      </c>
      <c r="B10" s="16" t="n">
        <v>13061</v>
      </c>
      <c r="C10" s="16" t="n">
        <v>7286</v>
      </c>
      <c r="D10" s="16" t="n">
        <v>12478</v>
      </c>
      <c r="E10" s="16" t="n">
        <v>20879</v>
      </c>
      <c r="F10" s="16" t="n">
        <v>26223</v>
      </c>
    </row>
    <row r="11">
      <c r="A11" s="17" t="inlineStr">
        <is>
          <t>Anlægsaktiver</t>
        </is>
      </c>
      <c r="B11" s="16" t="n">
        <v>13289</v>
      </c>
      <c r="C11" s="16" t="n">
        <v>7471</v>
      </c>
      <c r="D11" s="16" t="n">
        <v>12773</v>
      </c>
      <c r="E11" s="16" t="n">
        <v>21108</v>
      </c>
      <c r="F11" s="16" t="n">
        <v>26400</v>
      </c>
    </row>
    <row r="12">
      <c r="A12" s="15" t="inlineStr">
        <is>
          <t>Råvarer og hjælpematerialer</t>
        </is>
      </c>
      <c r="B12" s="16" t="n">
        <v>382</v>
      </c>
      <c r="C12" s="16" t="n">
        <v>248</v>
      </c>
      <c r="D12" s="16" t="n">
        <v>116</v>
      </c>
      <c r="E12" s="16" t="n">
        <v>520</v>
      </c>
      <c r="F12" s="16" t="n">
        <v>400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382</v>
      </c>
      <c r="C15" s="16" t="n">
        <v>248</v>
      </c>
      <c r="D15" s="16" t="n">
        <v>116</v>
      </c>
      <c r="E15" s="16" t="n">
        <v>520</v>
      </c>
      <c r="F15" s="16" t="n">
        <v>400</v>
      </c>
    </row>
    <row r="16">
      <c r="A16" s="15" t="inlineStr">
        <is>
          <t>Tilgodehavender fra salg og tjenesteydelser</t>
        </is>
      </c>
      <c r="B16" s="16" t="n"/>
      <c r="C16" s="16" t="n"/>
      <c r="D16" s="16" t="n">
        <v>1633</v>
      </c>
      <c r="E16" s="16" t="n">
        <v>14</v>
      </c>
      <c r="F16" s="16" t="n">
        <v>5063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438</v>
      </c>
      <c r="D17" s="16" t="n">
        <v>459</v>
      </c>
      <c r="E17" s="16" t="n">
        <v>7108</v>
      </c>
      <c r="F17" s="16" t="n">
        <v>7386</v>
      </c>
    </row>
    <row r="18">
      <c r="A18" s="15" t="inlineStr">
        <is>
          <t>Andre tilgodehavender</t>
        </is>
      </c>
      <c r="B18" s="16" t="n">
        <v>4245</v>
      </c>
      <c r="C18" s="16" t="n">
        <v>14233</v>
      </c>
      <c r="D18" s="16" t="n">
        <v>3262</v>
      </c>
      <c r="E18" s="16" t="n">
        <v>3373</v>
      </c>
      <c r="F18" s="16" t="n">
        <v>8115</v>
      </c>
    </row>
    <row r="19">
      <c r="A19" s="15" t="inlineStr">
        <is>
          <t>Periodeafgrænsningsposter (aktiver)</t>
        </is>
      </c>
      <c r="B19" s="16" t="n">
        <v>205</v>
      </c>
      <c r="C19" s="16" t="n">
        <v>89</v>
      </c>
      <c r="D19" s="16" t="n">
        <v>226</v>
      </c>
      <c r="E19" s="16" t="n">
        <v>1113</v>
      </c>
      <c r="F19" s="16" t="n">
        <v>141</v>
      </c>
    </row>
    <row r="20">
      <c r="A20" s="15" t="inlineStr">
        <is>
          <t>Udskudt skatteaktiv</t>
        </is>
      </c>
      <c r="B20" s="16" t="n">
        <v>1479</v>
      </c>
      <c r="C20" s="16" t="n">
        <v>534</v>
      </c>
      <c r="D20" s="16" t="n">
        <v>0</v>
      </c>
      <c r="E20" s="16" t="n">
        <v>2814</v>
      </c>
      <c r="F20" s="16" t="n">
        <v>2778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48</v>
      </c>
      <c r="C22" s="16" t="n">
        <v>4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5976</v>
      </c>
      <c r="C23" s="16" t="n">
        <v>15893</v>
      </c>
      <c r="D23" s="16" t="n">
        <v>18257</v>
      </c>
      <c r="E23" s="16" t="n">
        <v>14422</v>
      </c>
      <c r="F23" s="16" t="n">
        <v>23482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8934</v>
      </c>
      <c r="C25" s="16" t="n">
        <v>5997</v>
      </c>
      <c r="D25" s="16" t="n">
        <v>301</v>
      </c>
      <c r="E25" s="16" t="n">
        <v>224</v>
      </c>
      <c r="F25" s="16" t="n">
        <v>146</v>
      </c>
    </row>
    <row r="26">
      <c r="A26" s="17" t="inlineStr">
        <is>
          <t>Omsætningsaktiver</t>
        </is>
      </c>
      <c r="B26" s="16" t="n">
        <v>15292</v>
      </c>
      <c r="C26" s="16" t="n">
        <v>22139</v>
      </c>
      <c r="D26" s="16" t="n">
        <v>18674</v>
      </c>
      <c r="E26" s="16" t="n">
        <v>15166</v>
      </c>
      <c r="F26" s="16" t="n">
        <v>24028</v>
      </c>
    </row>
    <row r="27">
      <c r="A27" s="17" t="inlineStr">
        <is>
          <t>Aktiver</t>
        </is>
      </c>
      <c r="B27" s="16" t="n">
        <v>28581</v>
      </c>
      <c r="C27" s="16" t="n">
        <v>29609</v>
      </c>
      <c r="D27" s="16" t="n">
        <v>31447</v>
      </c>
      <c r="E27" s="16" t="n">
        <v>36273</v>
      </c>
      <c r="F27" s="16" t="n">
        <v>50428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2651</v>
      </c>
      <c r="C29" s="16" t="n">
        <v>3190</v>
      </c>
      <c r="D29" s="16" t="n">
        <v>8381</v>
      </c>
      <c r="E29" s="16" t="n">
        <v>8381</v>
      </c>
      <c r="F29" s="16" t="n">
        <v>11068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21151</v>
      </c>
      <c r="C33" s="16" t="n">
        <v>23474</v>
      </c>
      <c r="D33" s="16" t="n">
        <v>21344</v>
      </c>
      <c r="E33" s="16" t="n">
        <v>11392</v>
      </c>
      <c r="F33" s="16" t="n">
        <v>10192</v>
      </c>
    </row>
    <row r="34">
      <c r="A34" s="17" t="inlineStr">
        <is>
          <t>Egenkapital i alt</t>
        </is>
      </c>
      <c r="B34" s="16" t="n">
        <v>27302</v>
      </c>
      <c r="C34" s="16" t="n">
        <v>28165</v>
      </c>
      <c r="D34" s="16" t="n">
        <v>30225</v>
      </c>
      <c r="E34" s="16" t="n">
        <v>20774</v>
      </c>
      <c r="F34" s="16" t="n">
        <v>22260</v>
      </c>
    </row>
    <row r="35">
      <c r="A35" s="17" t="inlineStr">
        <is>
          <t>Hensatte forpligtelser</t>
        </is>
      </c>
      <c r="B35" s="16" t="n"/>
      <c r="C35" s="16" t="n"/>
      <c r="D35" s="16" t="n">
        <v>325</v>
      </c>
      <c r="E35" s="16" t="n">
        <v>250</v>
      </c>
      <c r="F35" s="16" t="n">
        <v>250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146</v>
      </c>
      <c r="C39" s="16" t="n">
        <v>0</v>
      </c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146</v>
      </c>
      <c r="C40" s="16" t="n">
        <v>0</v>
      </c>
      <c r="D40" s="16" t="n">
        <v>0</v>
      </c>
      <c r="E40" s="16" t="n">
        <v>7030</v>
      </c>
      <c r="F40" s="16" t="n">
        <v>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2</v>
      </c>
      <c r="C43" s="16" t="n">
        <v>3</v>
      </c>
      <c r="D43" s="16" t="n">
        <v>8</v>
      </c>
      <c r="E43" s="16" t="n">
        <v>40</v>
      </c>
      <c r="F43" s="16" t="n">
        <v>79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406</v>
      </c>
      <c r="C45" s="16" t="n">
        <v>1068</v>
      </c>
      <c r="D45" s="16" t="n">
        <v>290</v>
      </c>
      <c r="E45" s="16" t="n">
        <v>366</v>
      </c>
      <c r="F45" s="16" t="n">
        <v>298</v>
      </c>
    </row>
    <row r="46">
      <c r="A46" s="15" t="inlineStr">
        <is>
          <t>Gæld til tilknyttede virksomheder</t>
        </is>
      </c>
      <c r="B46" s="16" t="n">
        <v>0</v>
      </c>
      <c r="C46" s="16" t="n">
        <v>1</v>
      </c>
      <c r="D46" s="16" t="n">
        <v>500</v>
      </c>
      <c r="E46" s="16" t="n">
        <v>7650</v>
      </c>
      <c r="F46" s="16" t="n">
        <v>14450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725</v>
      </c>
      <c r="C50" s="16" t="n">
        <v>373</v>
      </c>
      <c r="D50" s="16" t="n">
        <v>99</v>
      </c>
      <c r="E50" s="16" t="n">
        <v>163</v>
      </c>
      <c r="F50" s="16" t="n">
        <v>13092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1133</v>
      </c>
      <c r="C52" s="16" t="n">
        <v>1445</v>
      </c>
      <c r="D52" s="16" t="n">
        <v>897</v>
      </c>
      <c r="E52" s="16" t="n">
        <v>8219</v>
      </c>
      <c r="F52" s="16" t="n">
        <v>27918</v>
      </c>
    </row>
    <row r="53">
      <c r="A53" s="17" t="inlineStr">
        <is>
          <t>Gældsforpligtelser</t>
        </is>
      </c>
      <c r="B53" s="16" t="n">
        <v>1279</v>
      </c>
      <c r="C53" s="16" t="n">
        <v>1445</v>
      </c>
      <c r="D53" s="16" t="n">
        <v>897</v>
      </c>
      <c r="E53" s="16" t="n">
        <v>15250</v>
      </c>
      <c r="F53" s="16" t="n">
        <v>27918</v>
      </c>
    </row>
    <row r="54">
      <c r="A54" s="17" t="inlineStr">
        <is>
          <t>Passiver</t>
        </is>
      </c>
      <c r="B54" s="16" t="n">
        <v>28581</v>
      </c>
      <c r="C54" s="16" t="n">
        <v>29609</v>
      </c>
      <c r="D54" s="16" t="n">
        <v>31447</v>
      </c>
      <c r="E54" s="16" t="n">
        <v>36273</v>
      </c>
      <c r="F54" s="16" t="n">
        <v>50428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35478205)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'balance_raw_35478205'!$F$54-'balance_raw_35478205'!$F$34</f>
        <v/>
      </c>
      <c r="C24" s="24">
        <f>'balance_raw_35478205'!$E$54-'balance_raw_35478205'!$E$34</f>
        <v/>
      </c>
      <c r="D24" s="24">
        <f>'balance_raw_35478205'!$D$54-'balance_raw_35478205'!$D$34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'balance_raw_35478205'!$F$52</f>
        <v/>
      </c>
      <c r="C30" s="24">
        <f>'balance_raw_35478205'!$E$52</f>
        <v/>
      </c>
      <c r="D30" s="24">
        <f>'balance_raw_35478205'!$D$52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IF('balance_raw_35478205'!$F$54="","—",IF(ABS(B25-'balance_raw_35478205'!$F$54)&lt;=1,"✓ OK","❌ "&amp;TEXT(B25-'balance_raw_35478205'!$F$54,"+#,##0;-#,##0")&amp;" t.kr."))</f>
        <v/>
      </c>
      <c r="C62" s="29">
        <f>IF('balance_raw_35478205'!$E$54="","—",IF(ABS(C25-'balance_raw_35478205'!$E$54)&lt;=1,"✓ OK","❌ "&amp;TEXT(C25-'balance_raw_35478205'!$E$54,"+#,##0;-#,##0")&amp;" t.kr."))</f>
        <v/>
      </c>
      <c r="D62" s="29">
        <f>IF('balance_raw_35478205'!$D$54="","—",IF(ABS(D25-'balance_raw_35478205'!$D$54)&lt;=1,"✓ OK","❌ "&amp;TEXT(D25-'balance_raw_35478205'!$D$54,"+#,##0;-#,##0")&amp;"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2026-09-07T18:57:34Z</dcterms:created>
  <dcterms:modified xmlns:dcterms="http://purl.org/dc/terms/" xmlns:xsi="http://www.w3.org/2001/XMLSchema-instance" xsi:type="dcterms:W3CDTF">2026-09-07T18:57:34Z</dcterms:modified>
</cp:coreProperties>
</file>