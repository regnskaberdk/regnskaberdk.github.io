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9220814" sheetId="1" state="visible" r:id="rId1"/>
    <sheet xmlns:r="http://schemas.openxmlformats.org/officeDocument/2006/relationships" name="res_raw_39220814" sheetId="2" state="visible" r:id="rId2"/>
    <sheet xmlns:r="http://schemas.openxmlformats.org/officeDocument/2006/relationships" name="balance_raw_39220814" sheetId="3" state="visible" r:id="rId3"/>
    <sheet xmlns:r="http://schemas.openxmlformats.org/officeDocument/2006/relationships" name="pengestrom_raw_39220814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A/S Thisted Bryghus og Thisted Mineralvandsfabrik (CVR 39220814) — Regnskabsanalyse – Resultatopgørelse &amp; Balance (t.kr.) · Klasse B · Revision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'res_raw_39220814'!$B$2</f>
        <v/>
      </c>
      <c r="C4" s="5">
        <f>'res_raw_39220814'!$C$2</f>
        <v/>
      </c>
      <c r="D4" s="5">
        <f>'res_raw_39220814'!$D$2</f>
        <v/>
      </c>
      <c r="E4" s="5">
        <f>'res_raw_39220814'!$E$2</f>
        <v/>
      </c>
      <c r="F4" s="5">
        <f>'res_raw_39220814'!$F$2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'res_raw_39220814'!$B$3</f>
        <v/>
      </c>
      <c r="C5" s="8">
        <f>'res_raw_39220814'!$C$3</f>
        <v/>
      </c>
      <c r="D5" s="8">
        <f>'res_raw_39220814'!$D$3</f>
        <v/>
      </c>
      <c r="E5" s="8">
        <f>'res_raw_39220814'!$E$3</f>
        <v/>
      </c>
      <c r="F5" s="8">
        <f>'res_raw_39220814'!$F$3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'res_raw_39220814'!$B$4</f>
        <v/>
      </c>
      <c r="C6" s="8">
        <f>'res_raw_39220814'!$C$4</f>
        <v/>
      </c>
      <c r="D6" s="8">
        <f>'res_raw_39220814'!$D$4</f>
        <v/>
      </c>
      <c r="E6" s="8">
        <f>'res_raw_39220814'!$E$4</f>
        <v/>
      </c>
      <c r="F6" s="8">
        <f>'res_raw_39220814'!$F$4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'res_raw_39220814'!$B$5</f>
        <v/>
      </c>
      <c r="C7" s="8">
        <f>'res_raw_39220814'!$C$5</f>
        <v/>
      </c>
      <c r="D7" s="8">
        <f>'res_raw_39220814'!$D$5</f>
        <v/>
      </c>
      <c r="E7" s="8">
        <f>'res_raw_39220814'!$E$5</f>
        <v/>
      </c>
      <c r="F7" s="8">
        <f>'res_raw_39220814'!$F$5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'res_raw_39220814'!$B$6</f>
        <v/>
      </c>
      <c r="C8" s="8">
        <f>'res_raw_39220814'!$C$6</f>
        <v/>
      </c>
      <c r="D8" s="8">
        <f>'res_raw_39220814'!$D$6</f>
        <v/>
      </c>
      <c r="E8" s="8">
        <f>'res_raw_39220814'!$E$6</f>
        <v/>
      </c>
      <c r="F8" s="8">
        <f>'res_raw_39220814'!$F$6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'res_raw_39220814'!$B$7</f>
        <v/>
      </c>
      <c r="C9" s="11">
        <f>'res_raw_39220814'!$C$7</f>
        <v/>
      </c>
      <c r="D9" s="11">
        <f>'res_raw_39220814'!$D$7</f>
        <v/>
      </c>
      <c r="E9" s="11">
        <f>'res_raw_39220814'!$E$7</f>
        <v/>
      </c>
      <c r="F9" s="11">
        <f>'res_raw_39220814'!$F$7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'res_raw_39220814'!$B$8</f>
        <v/>
      </c>
      <c r="C10" s="5">
        <f>'res_raw_39220814'!$C$8</f>
        <v/>
      </c>
      <c r="D10" s="5">
        <f>'res_raw_39220814'!$D$8</f>
        <v/>
      </c>
      <c r="E10" s="5">
        <f>'res_raw_39220814'!$E$8</f>
        <v/>
      </c>
      <c r="F10" s="5">
        <f>'res_raw_39220814'!$F$8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'res_raw_39220814'!$B$9</f>
        <v/>
      </c>
      <c r="C11" s="8">
        <f>'res_raw_39220814'!$C$9</f>
        <v/>
      </c>
      <c r="D11" s="8">
        <f>'res_raw_39220814'!$D$9</f>
        <v/>
      </c>
      <c r="E11" s="8">
        <f>'res_raw_39220814'!$E$9</f>
        <v/>
      </c>
      <c r="F11" s="8">
        <f>'res_raw_39220814'!$F$9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'res_raw_39220814'!$B$10</f>
        <v/>
      </c>
      <c r="C12" s="5">
        <f>'res_raw_39220814'!$C$10</f>
        <v/>
      </c>
      <c r="D12" s="5">
        <f>'res_raw_39220814'!$D$10</f>
        <v/>
      </c>
      <c r="E12" s="5">
        <f>'res_raw_39220814'!$E$10</f>
        <v/>
      </c>
      <c r="F12" s="5">
        <f>'res_raw_39220814'!$F$10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'res_raw_39220814'!$B$11</f>
        <v/>
      </c>
      <c r="C13" s="11">
        <f>'res_raw_39220814'!$C$11</f>
        <v/>
      </c>
      <c r="D13" s="11">
        <f>'res_raw_39220814'!$D$11</f>
        <v/>
      </c>
      <c r="E13" s="11">
        <f>'res_raw_39220814'!$E$11</f>
        <v/>
      </c>
      <c r="F13" s="11">
        <f>'res_raw_39220814'!$F$11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'res_raw_39220814'!$B$12</f>
        <v/>
      </c>
      <c r="C14" s="5">
        <f>'res_raw_39220814'!$C$12</f>
        <v/>
      </c>
      <c r="D14" s="5">
        <f>'res_raw_39220814'!$D$12</f>
        <v/>
      </c>
      <c r="E14" s="5">
        <f>'res_raw_39220814'!$E$12</f>
        <v/>
      </c>
      <c r="F14" s="5">
        <f>'res_raw_39220814'!$F$12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'res_raw_39220814'!$B$13</f>
        <v/>
      </c>
      <c r="C15" s="8">
        <f>'res_raw_39220814'!$C$13</f>
        <v/>
      </c>
      <c r="D15" s="8">
        <f>'res_raw_39220814'!$D$13</f>
        <v/>
      </c>
      <c r="E15" s="8">
        <f>'res_raw_39220814'!$E$13</f>
        <v/>
      </c>
      <c r="F15" s="8">
        <f>'res_raw_39220814'!$F$13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'res_raw_39220814'!$B$14</f>
        <v/>
      </c>
      <c r="C16" s="8">
        <f>'res_raw_39220814'!$C$14</f>
        <v/>
      </c>
      <c r="D16" s="8">
        <f>'res_raw_39220814'!$D$14</f>
        <v/>
      </c>
      <c r="E16" s="8">
        <f>'res_raw_39220814'!$E$14</f>
        <v/>
      </c>
      <c r="F16" s="8">
        <f>'res_raw_39220814'!$F$14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'res_raw_39220814'!$B$15</f>
        <v/>
      </c>
      <c r="C17" s="11">
        <f>'res_raw_39220814'!$C$15</f>
        <v/>
      </c>
      <c r="D17" s="11">
        <f>'res_raw_39220814'!$D$15</f>
        <v/>
      </c>
      <c r="E17" s="11">
        <f>'res_raw_39220814'!$E$15</f>
        <v/>
      </c>
      <c r="F17" s="11">
        <f>'res_raw_39220814'!$F$15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'res_raw_39220814'!$B$16</f>
        <v/>
      </c>
      <c r="C18" s="8">
        <f>'res_raw_39220814'!$C$16</f>
        <v/>
      </c>
      <c r="D18" s="8">
        <f>'res_raw_39220814'!$D$16</f>
        <v/>
      </c>
      <c r="E18" s="8">
        <f>'res_raw_39220814'!$E$16</f>
        <v/>
      </c>
      <c r="F18" s="8">
        <f>'res_raw_39220814'!$F$16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Grunde og bygninger</t>
        </is>
      </c>
      <c r="B21" s="11">
        <f>'balance_raw_39220814'!$B$2</f>
        <v/>
      </c>
      <c r="C21" s="11">
        <f>'balance_raw_39220814'!$C$2</f>
        <v/>
      </c>
      <c r="D21" s="11">
        <f>'balance_raw_39220814'!$D$2</f>
        <v/>
      </c>
      <c r="E21" s="11">
        <f>'balance_raw_39220814'!$E$2</f>
        <v/>
      </c>
      <c r="F21" s="11">
        <f>'balance_raw_39220814'!$F$2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Produktionsanlæg og maskiner</t>
        </is>
      </c>
      <c r="B22" s="5">
        <f>'balance_raw_39220814'!$B$3</f>
        <v/>
      </c>
      <c r="C22" s="5">
        <f>'balance_raw_39220814'!$C$3</f>
        <v/>
      </c>
      <c r="D22" s="5">
        <f>'balance_raw_39220814'!$D$3</f>
        <v/>
      </c>
      <c r="E22" s="5">
        <f>'balance_raw_39220814'!$E$3</f>
        <v/>
      </c>
      <c r="F22" s="5">
        <f>'balance_raw_39220814'!$F$3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Driftsmateriel og inventar</t>
        </is>
      </c>
      <c r="B23" s="11">
        <f>'balance_raw_39220814'!$B$4</f>
        <v/>
      </c>
      <c r="C23" s="11">
        <f>'balance_raw_39220814'!$C$4</f>
        <v/>
      </c>
      <c r="D23" s="11">
        <f>'balance_raw_39220814'!$D$4</f>
        <v/>
      </c>
      <c r="E23" s="11">
        <f>'balance_raw_39220814'!$E$4</f>
        <v/>
      </c>
      <c r="F23" s="11">
        <f>'balance_raw_39220814'!$F$4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Indretning af lejede lokaler</t>
        </is>
      </c>
      <c r="B24" s="5">
        <f>'balance_raw_39220814'!$B$5</f>
        <v/>
      </c>
      <c r="C24" s="5">
        <f>'balance_raw_39220814'!$C$5</f>
        <v/>
      </c>
      <c r="D24" s="5">
        <f>'balance_raw_39220814'!$D$5</f>
        <v/>
      </c>
      <c r="E24" s="5">
        <f>'balance_raw_39220814'!$E$5</f>
        <v/>
      </c>
      <c r="F24" s="5">
        <f>'balance_raw_39220814'!$F$5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Forudbetaling og anlægsaktiver under opførelse</t>
        </is>
      </c>
      <c r="B25" s="11">
        <f>'balance_raw_39220814'!$B$6</f>
        <v/>
      </c>
      <c r="C25" s="11">
        <f>'balance_raw_39220814'!$C$6</f>
        <v/>
      </c>
      <c r="D25" s="11">
        <f>'balance_raw_39220814'!$D$6</f>
        <v/>
      </c>
      <c r="E25" s="11">
        <f>'balance_raw_39220814'!$E$6</f>
        <v/>
      </c>
      <c r="F25" s="11">
        <f>'balance_raw_39220814'!$F$6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7" t="inlineStr">
        <is>
          <t>Materielle anlægsaktiver</t>
        </is>
      </c>
      <c r="B26" s="8">
        <f>'balance_raw_39220814'!$B$7</f>
        <v/>
      </c>
      <c r="C26" s="8">
        <f>'balance_raw_39220814'!$C$7</f>
        <v/>
      </c>
      <c r="D26" s="8">
        <f>'balance_raw_39220814'!$D$7</f>
        <v/>
      </c>
      <c r="E26" s="8">
        <f>'balance_raw_39220814'!$E$7</f>
        <v/>
      </c>
      <c r="F26" s="8">
        <f>'balance_raw_39220814'!$F$7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7" t="inlineStr">
        <is>
          <t>Finansielle anlægsaktiver</t>
        </is>
      </c>
      <c r="B27" s="8">
        <f>'balance_raw_39220814'!$B$8</f>
        <v/>
      </c>
      <c r="C27" s="8">
        <f>'balance_raw_39220814'!$C$8</f>
        <v/>
      </c>
      <c r="D27" s="8">
        <f>'balance_raw_39220814'!$D$8</f>
        <v/>
      </c>
      <c r="E27" s="8">
        <f>'balance_raw_39220814'!$E$8</f>
        <v/>
      </c>
      <c r="F27" s="8">
        <f>'balance_raw_39220814'!$F$8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7" t="inlineStr">
        <is>
          <t>Anlægsaktiver</t>
        </is>
      </c>
      <c r="B28" s="8">
        <f>'balance_raw_39220814'!$B$9</f>
        <v/>
      </c>
      <c r="C28" s="8">
        <f>'balance_raw_39220814'!$C$9</f>
        <v/>
      </c>
      <c r="D28" s="8">
        <f>'balance_raw_39220814'!$D$9</f>
        <v/>
      </c>
      <c r="E28" s="8">
        <f>'balance_raw_39220814'!$E$9</f>
        <v/>
      </c>
      <c r="F28" s="8">
        <f>'balance_raw_39220814'!$F$9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10" t="inlineStr">
        <is>
          <t>Råvarer og hjælpematerialer</t>
        </is>
      </c>
      <c r="B29" s="11">
        <f>'balance_raw_39220814'!$B$10</f>
        <v/>
      </c>
      <c r="C29" s="11">
        <f>'balance_raw_39220814'!$C$10</f>
        <v/>
      </c>
      <c r="D29" s="11">
        <f>'balance_raw_39220814'!$D$10</f>
        <v/>
      </c>
      <c r="E29" s="11">
        <f>'balance_raw_39220814'!$E$10</f>
        <v/>
      </c>
      <c r="F29" s="11">
        <f>'balance_raw_39220814'!$F$10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Varer under fremstilling</t>
        </is>
      </c>
      <c r="B30" s="5">
        <f>'balance_raw_39220814'!$B$11</f>
        <v/>
      </c>
      <c r="C30" s="5">
        <f>'balance_raw_39220814'!$C$11</f>
        <v/>
      </c>
      <c r="D30" s="5">
        <f>'balance_raw_39220814'!$D$11</f>
        <v/>
      </c>
      <c r="E30" s="5">
        <f>'balance_raw_39220814'!$E$11</f>
        <v/>
      </c>
      <c r="F30" s="5">
        <f>'balance_raw_39220814'!$F$11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Færdigvarer og handelsvarer</t>
        </is>
      </c>
      <c r="B31" s="11">
        <f>'balance_raw_39220814'!$B$12</f>
        <v/>
      </c>
      <c r="C31" s="11">
        <f>'balance_raw_39220814'!$C$12</f>
        <v/>
      </c>
      <c r="D31" s="11">
        <f>'balance_raw_39220814'!$D$12</f>
        <v/>
      </c>
      <c r="E31" s="11">
        <f>'balance_raw_39220814'!$E$12</f>
        <v/>
      </c>
      <c r="F31" s="11">
        <f>'balance_raw_39220814'!$F$12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7" t="inlineStr">
        <is>
          <t>Varebeholdninger</t>
        </is>
      </c>
      <c r="B32" s="8">
        <f>'balance_raw_39220814'!$B$13</f>
        <v/>
      </c>
      <c r="C32" s="8">
        <f>'balance_raw_39220814'!$C$13</f>
        <v/>
      </c>
      <c r="D32" s="8">
        <f>'balance_raw_39220814'!$D$13</f>
        <v/>
      </c>
      <c r="E32" s="8">
        <f>'balance_raw_39220814'!$E$13</f>
        <v/>
      </c>
      <c r="F32" s="8">
        <f>'balance_raw_39220814'!$F$13</f>
        <v/>
      </c>
      <c r="G32" t="inlineStr"/>
      <c r="H32" s="9">
        <f>IFERROR(B32/$B$32*100,"")</f>
        <v/>
      </c>
      <c r="I32" s="9">
        <f>IFERROR(C32/$B$32*100,"")</f>
        <v/>
      </c>
      <c r="J32" s="9">
        <f>IFERROR(D32/$B$32*100,"")</f>
        <v/>
      </c>
      <c r="K32" s="9">
        <f>IFERROR(E32/$B$32*100,"")</f>
        <v/>
      </c>
      <c r="L32" s="9">
        <f>IFERROR(F32/$B$32*100,"")</f>
        <v/>
      </c>
    </row>
    <row r="33" ht="16" customHeight="1">
      <c r="A33" s="10" t="inlineStr">
        <is>
          <t>Tilgodehavender fra salg og tjenesteydelser</t>
        </is>
      </c>
      <c r="B33" s="11">
        <f>'balance_raw_39220814'!$B$14</f>
        <v/>
      </c>
      <c r="C33" s="11">
        <f>'balance_raw_39220814'!$C$14</f>
        <v/>
      </c>
      <c r="D33" s="11">
        <f>'balance_raw_39220814'!$D$14</f>
        <v/>
      </c>
      <c r="E33" s="11">
        <f>'balance_raw_39220814'!$E$14</f>
        <v/>
      </c>
      <c r="F33" s="11">
        <f>'balance_raw_39220814'!$F$14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Tilgodehavender hos tilknyttede virksomheder</t>
        </is>
      </c>
      <c r="B34" s="5">
        <f>'balance_raw_39220814'!$B$15</f>
        <v/>
      </c>
      <c r="C34" s="5">
        <f>'balance_raw_39220814'!$C$15</f>
        <v/>
      </c>
      <c r="D34" s="5">
        <f>'balance_raw_39220814'!$D$15</f>
        <v/>
      </c>
      <c r="E34" s="5">
        <f>'balance_raw_39220814'!$E$15</f>
        <v/>
      </c>
      <c r="F34" s="5">
        <f>'balance_raw_39220814'!$F$15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Andre tilgodehavender</t>
        </is>
      </c>
      <c r="B35" s="11">
        <f>'balance_raw_39220814'!$B$16</f>
        <v/>
      </c>
      <c r="C35" s="11">
        <f>'balance_raw_39220814'!$C$16</f>
        <v/>
      </c>
      <c r="D35" s="11">
        <f>'balance_raw_39220814'!$D$16</f>
        <v/>
      </c>
      <c r="E35" s="11">
        <f>'balance_raw_39220814'!$E$16</f>
        <v/>
      </c>
      <c r="F35" s="11">
        <f>'balance_raw_39220814'!$F$16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Periodeafgrænsningsposter (aktiver)</t>
        </is>
      </c>
      <c r="B36" s="5">
        <f>'balance_raw_39220814'!$B$17</f>
        <v/>
      </c>
      <c r="C36" s="5">
        <f>'balance_raw_39220814'!$C$17</f>
        <v/>
      </c>
      <c r="D36" s="5">
        <f>'balance_raw_39220814'!$D$17</f>
        <v/>
      </c>
      <c r="E36" s="5">
        <f>'balance_raw_39220814'!$E$17</f>
        <v/>
      </c>
      <c r="F36" s="5">
        <f>'balance_raw_39220814'!$F$17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Udskudt skatteaktiv</t>
        </is>
      </c>
      <c r="B37" s="11">
        <f>'balance_raw_39220814'!$B$18</f>
        <v/>
      </c>
      <c r="C37" s="11">
        <f>'balance_raw_39220814'!$C$18</f>
        <v/>
      </c>
      <c r="D37" s="11">
        <f>'balance_raw_39220814'!$D$18</f>
        <v/>
      </c>
      <c r="E37" s="11">
        <f>'balance_raw_39220814'!$E$18</f>
        <v/>
      </c>
      <c r="F37" s="11">
        <f>'balance_raw_39220814'!$F$18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 skat hos tilknyttede virksomheder</t>
        </is>
      </c>
      <c r="B38" s="5">
        <f>'balance_raw_39220814'!$B$19</f>
        <v/>
      </c>
      <c r="C38" s="5">
        <f>'balance_raw_39220814'!$C$19</f>
        <v/>
      </c>
      <c r="D38" s="5">
        <f>'balance_raw_39220814'!$D$19</f>
        <v/>
      </c>
      <c r="E38" s="5">
        <f>'balance_raw_39220814'!$E$19</f>
        <v/>
      </c>
      <c r="F38" s="5">
        <f>'balance_raw_39220814'!$F$19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Kortfristede skattetilgodehavender</t>
        </is>
      </c>
      <c r="B39" s="11">
        <f>'balance_raw_39220814'!$B$20</f>
        <v/>
      </c>
      <c r="C39" s="11">
        <f>'balance_raw_39220814'!$C$20</f>
        <v/>
      </c>
      <c r="D39" s="11">
        <f>'balance_raw_39220814'!$D$20</f>
        <v/>
      </c>
      <c r="E39" s="11">
        <f>'balance_raw_39220814'!$E$20</f>
        <v/>
      </c>
      <c r="F39" s="11">
        <f>'balance_raw_39220814'!$F$20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7" t="inlineStr">
        <is>
          <t>Tilgodehavender</t>
        </is>
      </c>
      <c r="B40" s="8">
        <f>'balance_raw_39220814'!$B$21</f>
        <v/>
      </c>
      <c r="C40" s="8">
        <f>'balance_raw_39220814'!$C$21</f>
        <v/>
      </c>
      <c r="D40" s="8">
        <f>'balance_raw_39220814'!$D$21</f>
        <v/>
      </c>
      <c r="E40" s="8">
        <f>'balance_raw_39220814'!$E$21</f>
        <v/>
      </c>
      <c r="F40" s="8">
        <f>'balance_raw_39220814'!$F$21</f>
        <v/>
      </c>
      <c r="G40" t="inlineStr"/>
      <c r="H40" s="9">
        <f>IFERROR(B40/$B$40*100,"")</f>
        <v/>
      </c>
      <c r="I40" s="9">
        <f>IFERROR(C40/$B$40*100,"")</f>
        <v/>
      </c>
      <c r="J40" s="9">
        <f>IFERROR(D40/$B$40*100,"")</f>
        <v/>
      </c>
      <c r="K40" s="9">
        <f>IFERROR(E40/$B$40*100,"")</f>
        <v/>
      </c>
      <c r="L40" s="9">
        <f>IFERROR(F40/$B$40*100,"")</f>
        <v/>
      </c>
    </row>
    <row r="41" ht="16" customHeight="1">
      <c r="A41" s="10" t="inlineStr">
        <is>
          <t>Værdipapirer</t>
        </is>
      </c>
      <c r="B41" s="11">
        <f>'balance_raw_39220814'!$B$22</f>
        <v/>
      </c>
      <c r="C41" s="11">
        <f>'balance_raw_39220814'!$C$22</f>
        <v/>
      </c>
      <c r="D41" s="11">
        <f>'balance_raw_39220814'!$D$22</f>
        <v/>
      </c>
      <c r="E41" s="11">
        <f>'balance_raw_39220814'!$E$22</f>
        <v/>
      </c>
      <c r="F41" s="11">
        <f>'balance_raw_39220814'!$F$22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Likvide beholdninger</t>
        </is>
      </c>
      <c r="B42" s="5">
        <f>'balance_raw_39220814'!$B$23</f>
        <v/>
      </c>
      <c r="C42" s="5">
        <f>'balance_raw_39220814'!$C$23</f>
        <v/>
      </c>
      <c r="D42" s="5">
        <f>'balance_raw_39220814'!$D$23</f>
        <v/>
      </c>
      <c r="E42" s="5">
        <f>'balance_raw_39220814'!$E$23</f>
        <v/>
      </c>
      <c r="F42" s="5">
        <f>'balance_raw_39220814'!$F$23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Omsætningsaktiver</t>
        </is>
      </c>
      <c r="B43" s="8">
        <f>'balance_raw_39220814'!$B$24</f>
        <v/>
      </c>
      <c r="C43" s="8">
        <f>'balance_raw_39220814'!$C$24</f>
        <v/>
      </c>
      <c r="D43" s="8">
        <f>'balance_raw_39220814'!$D$24</f>
        <v/>
      </c>
      <c r="E43" s="8">
        <f>'balance_raw_39220814'!$E$24</f>
        <v/>
      </c>
      <c r="F43" s="8">
        <f>'balance_raw_39220814'!$F$24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7" t="inlineStr">
        <is>
          <t>Aktiver</t>
        </is>
      </c>
      <c r="B44" s="8">
        <f>'balance_raw_39220814'!$B$25</f>
        <v/>
      </c>
      <c r="C44" s="8">
        <f>'balance_raw_39220814'!$C$25</f>
        <v/>
      </c>
      <c r="D44" s="8">
        <f>'balance_raw_39220814'!$D$25</f>
        <v/>
      </c>
      <c r="E44" s="8">
        <f>'balance_raw_39220814'!$E$25</f>
        <v/>
      </c>
      <c r="F44" s="8">
        <f>'balance_raw_39220814'!$F$25</f>
        <v/>
      </c>
      <c r="G44" t="inlineStr"/>
      <c r="H44" s="9">
        <f>IFERROR(B44/$B$44*100,"")</f>
        <v/>
      </c>
      <c r="I44" s="9">
        <f>IFERROR(C44/$B$44*100,"")</f>
        <v/>
      </c>
      <c r="J44" s="9">
        <f>IFERROR(D44/$B$44*100,"")</f>
        <v/>
      </c>
      <c r="K44" s="9">
        <f>IFERROR(E44/$B$44*100,"")</f>
        <v/>
      </c>
      <c r="L44" s="9">
        <f>IFERROR(F44/$B$44*100,"")</f>
        <v/>
      </c>
    </row>
    <row r="46" ht="22" customHeight="1">
      <c r="A46" s="3" t="inlineStr">
        <is>
          <t>PASSIVER t.kr.</t>
        </is>
      </c>
      <c r="B46" s="3" t="n">
        <v>2021</v>
      </c>
      <c r="C46" s="3" t="n">
        <v>2022</v>
      </c>
      <c r="D46" s="3" t="n">
        <v>2023</v>
      </c>
      <c r="E46" s="3" t="n">
        <v>2024</v>
      </c>
      <c r="F46" s="3" t="n">
        <v>2025</v>
      </c>
      <c r="G46" t="inlineStr"/>
      <c r="H46" s="3" t="n">
        <v>2021</v>
      </c>
      <c r="I46" s="3" t="n">
        <v>2022</v>
      </c>
      <c r="J46" s="3" t="n">
        <v>2023</v>
      </c>
      <c r="K46" s="3" t="n">
        <v>2024</v>
      </c>
      <c r="L46" s="3" t="n">
        <v>2025</v>
      </c>
    </row>
    <row r="47" ht="16" customHeight="1">
      <c r="A47" s="10" t="inlineStr">
        <is>
          <t>Selskabskapital</t>
        </is>
      </c>
      <c r="B47" s="11">
        <f>'balance_raw_39220814'!$B$26</f>
        <v/>
      </c>
      <c r="C47" s="11">
        <f>'balance_raw_39220814'!$C$26</f>
        <v/>
      </c>
      <c r="D47" s="11">
        <f>'balance_raw_39220814'!$D$26</f>
        <v/>
      </c>
      <c r="E47" s="11">
        <f>'balance_raw_39220814'!$E$26</f>
        <v/>
      </c>
      <c r="F47" s="11">
        <f>'balance_raw_39220814'!$F$26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nettoopskrivning (indre værdis metode)</t>
        </is>
      </c>
      <c r="B48" s="5">
        <f>'balance_raw_39220814'!$B$27</f>
        <v/>
      </c>
      <c r="C48" s="5">
        <f>'balance_raw_39220814'!$C$27</f>
        <v/>
      </c>
      <c r="D48" s="5">
        <f>'balance_raw_39220814'!$D$27</f>
        <v/>
      </c>
      <c r="E48" s="5">
        <f>'balance_raw_39220814'!$E$27</f>
        <v/>
      </c>
      <c r="F48" s="5">
        <f>'balance_raw_39220814'!$F$27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Reserve for udviklingsomkostninger</t>
        </is>
      </c>
      <c r="B49" s="11">
        <f>'balance_raw_39220814'!$B$28</f>
        <v/>
      </c>
      <c r="C49" s="11">
        <f>'balance_raw_39220814'!$C$28</f>
        <v/>
      </c>
      <c r="D49" s="11">
        <f>'balance_raw_39220814'!$D$28</f>
        <v/>
      </c>
      <c r="E49" s="11">
        <f>'balance_raw_39220814'!$E$28</f>
        <v/>
      </c>
      <c r="F49" s="11">
        <f>'balance_raw_39220814'!$F$28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sikringstransaktioner</t>
        </is>
      </c>
      <c r="B50" s="5">
        <f>'balance_raw_39220814'!$B$29</f>
        <v/>
      </c>
      <c r="C50" s="5">
        <f>'balance_raw_39220814'!$C$29</f>
        <v/>
      </c>
      <c r="D50" s="5">
        <f>'balance_raw_39220814'!$D$29</f>
        <v/>
      </c>
      <c r="E50" s="5">
        <f>'balance_raw_39220814'!$E$29</f>
        <v/>
      </c>
      <c r="F50" s="5">
        <f>'balance_raw_39220814'!$F$29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Andre reserver</t>
        </is>
      </c>
      <c r="B51" s="11">
        <f>'balance_raw_39220814'!$B$30</f>
        <v/>
      </c>
      <c r="C51" s="11">
        <f>'balance_raw_39220814'!$C$30</f>
        <v/>
      </c>
      <c r="D51" s="11">
        <f>'balance_raw_39220814'!$D$30</f>
        <v/>
      </c>
      <c r="E51" s="11">
        <f>'balance_raw_39220814'!$E$30</f>
        <v/>
      </c>
      <c r="F51" s="11">
        <f>'balance_raw_39220814'!$F$30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Overført resultat</t>
        </is>
      </c>
      <c r="B52" s="5">
        <f>'balance_raw_39220814'!$B$31</f>
        <v/>
      </c>
      <c r="C52" s="5">
        <f>'balance_raw_39220814'!$C$31</f>
        <v/>
      </c>
      <c r="D52" s="5">
        <f>'balance_raw_39220814'!$D$31</f>
        <v/>
      </c>
      <c r="E52" s="5">
        <f>'balance_raw_39220814'!$E$31</f>
        <v/>
      </c>
      <c r="F52" s="5">
        <f>'balance_raw_39220814'!$F$31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Egenkapital i alt</t>
        </is>
      </c>
      <c r="B53" s="8">
        <f>'balance_raw_39220814'!$B$32</f>
        <v/>
      </c>
      <c r="C53" s="8">
        <f>'balance_raw_39220814'!$C$32</f>
        <v/>
      </c>
      <c r="D53" s="8">
        <f>'balance_raw_39220814'!$D$32</f>
        <v/>
      </c>
      <c r="E53" s="8">
        <f>'balance_raw_39220814'!$E$32</f>
        <v/>
      </c>
      <c r="F53" s="8">
        <f>'balance_raw_39220814'!$F$32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Hensættelse til udskudt skat</t>
        </is>
      </c>
      <c r="B54" s="5">
        <f>'balance_raw_39220814'!$B$33</f>
        <v/>
      </c>
      <c r="C54" s="5">
        <f>'balance_raw_39220814'!$C$33</f>
        <v/>
      </c>
      <c r="D54" s="5">
        <f>'balance_raw_39220814'!$D$33</f>
        <v/>
      </c>
      <c r="E54" s="5">
        <f>'balance_raw_39220814'!$E$33</f>
        <v/>
      </c>
      <c r="F54" s="5">
        <f>'balance_raw_39220814'!$F$33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Hensatte forpligtelser</t>
        </is>
      </c>
      <c r="B55" s="8">
        <f>'balance_raw_39220814'!$B$34</f>
        <v/>
      </c>
      <c r="C55" s="8">
        <f>'balance_raw_39220814'!$C$34</f>
        <v/>
      </c>
      <c r="D55" s="8">
        <f>'balance_raw_39220814'!$D$34</f>
        <v/>
      </c>
      <c r="E55" s="8">
        <f>'balance_raw_39220814'!$E$34</f>
        <v/>
      </c>
      <c r="F55" s="8">
        <f>'balance_raw_39220814'!$F$34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Ansvarlig lånekapital (langfristet)</t>
        </is>
      </c>
      <c r="B56" s="5">
        <f>'balance_raw_39220814'!$B$35</f>
        <v/>
      </c>
      <c r="C56" s="5">
        <f>'balance_raw_39220814'!$C$35</f>
        <v/>
      </c>
      <c r="D56" s="5">
        <f>'balance_raw_39220814'!$D$35</f>
        <v/>
      </c>
      <c r="E56" s="5">
        <f>'balance_raw_39220814'!$E$35</f>
        <v/>
      </c>
      <c r="F56" s="5">
        <f>'balance_raw_39220814'!$F$35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Langfristede lån</t>
        </is>
      </c>
      <c r="B57" s="11">
        <f>'balance_raw_39220814'!$B$36</f>
        <v/>
      </c>
      <c r="C57" s="11">
        <f>'balance_raw_39220814'!$C$36</f>
        <v/>
      </c>
      <c r="D57" s="11">
        <f>'balance_raw_39220814'!$D$36</f>
        <v/>
      </c>
      <c r="E57" s="11">
        <f>'balance_raw_39220814'!$E$36</f>
        <v/>
      </c>
      <c r="F57" s="11">
        <f>'balance_raw_39220814'!$F$36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Leasingforpligtelser (langfristet)</t>
        </is>
      </c>
      <c r="B58" s="5">
        <f>'balance_raw_39220814'!$B$37</f>
        <v/>
      </c>
      <c r="C58" s="5">
        <f>'balance_raw_39220814'!$C$37</f>
        <v/>
      </c>
      <c r="D58" s="5">
        <f>'balance_raw_39220814'!$D$37</f>
        <v/>
      </c>
      <c r="E58" s="5">
        <f>'balance_raw_39220814'!$E$37</f>
        <v/>
      </c>
      <c r="F58" s="5">
        <f>'balance_raw_39220814'!$F$37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Anden gæld (langfristet)</t>
        </is>
      </c>
      <c r="B59" s="11">
        <f>'balance_raw_39220814'!$B$38</f>
        <v/>
      </c>
      <c r="C59" s="11">
        <f>'balance_raw_39220814'!$C$38</f>
        <v/>
      </c>
      <c r="D59" s="11">
        <f>'balance_raw_39220814'!$D$38</f>
        <v/>
      </c>
      <c r="E59" s="11">
        <f>'balance_raw_39220814'!$E$38</f>
        <v/>
      </c>
      <c r="F59" s="11">
        <f>'balance_raw_39220814'!$F$38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7" t="inlineStr">
        <is>
          <t>Langfristede gældsforpligtelser</t>
        </is>
      </c>
      <c r="B60" s="8">
        <f>'balance_raw_39220814'!$B$39</f>
        <v/>
      </c>
      <c r="C60" s="8">
        <f>'balance_raw_39220814'!$C$39</f>
        <v/>
      </c>
      <c r="D60" s="8">
        <f>'balance_raw_39220814'!$D$39</f>
        <v/>
      </c>
      <c r="E60" s="8">
        <f>'balance_raw_39220814'!$E$39</f>
        <v/>
      </c>
      <c r="F60" s="8">
        <f>'balance_raw_39220814'!$F$39</f>
        <v/>
      </c>
      <c r="G60" t="inlineStr"/>
      <c r="H60" s="9">
        <f>IFERROR(B60/$B$60*100,"")</f>
        <v/>
      </c>
      <c r="I60" s="9">
        <f>IFERROR(C60/$B$60*100,"")</f>
        <v/>
      </c>
      <c r="J60" s="9">
        <f>IFERROR(D60/$B$60*100,"")</f>
        <v/>
      </c>
      <c r="K60" s="9">
        <f>IFERROR(E60/$B$60*100,"")</f>
        <v/>
      </c>
      <c r="L60" s="9">
        <f>IFERROR(F60/$B$60*100,"")</f>
        <v/>
      </c>
    </row>
    <row r="61" ht="16" customHeight="1">
      <c r="A61" s="10" t="inlineStr">
        <is>
          <t>Ansvarlig lånekapital (kortfristet)</t>
        </is>
      </c>
      <c r="B61" s="11">
        <f>'balance_raw_39220814'!$B$40</f>
        <v/>
      </c>
      <c r="C61" s="11">
        <f>'balance_raw_39220814'!$C$40</f>
        <v/>
      </c>
      <c r="D61" s="11">
        <f>'balance_raw_39220814'!$D$40</f>
        <v/>
      </c>
      <c r="E61" s="11">
        <f>'balance_raw_39220814'!$E$40</f>
        <v/>
      </c>
      <c r="F61" s="11">
        <f>'balance_raw_39220814'!$F$40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'balance_raw_39220814'!$B$41</f>
        <v/>
      </c>
      <c r="C62" s="5">
        <f>'balance_raw_39220814'!$C$41</f>
        <v/>
      </c>
      <c r="D62" s="5">
        <f>'balance_raw_39220814'!$D$41</f>
        <v/>
      </c>
      <c r="E62" s="5">
        <f>'balance_raw_39220814'!$E$41</f>
        <v/>
      </c>
      <c r="F62" s="5">
        <f>'balance_raw_39220814'!$F$41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Kreditinstitutter</t>
        </is>
      </c>
      <c r="B63" s="11">
        <f>'balance_raw_39220814'!$B$42</f>
        <v/>
      </c>
      <c r="C63" s="11">
        <f>'balance_raw_39220814'!$C$42</f>
        <v/>
      </c>
      <c r="D63" s="11">
        <f>'balance_raw_39220814'!$D$42</f>
        <v/>
      </c>
      <c r="E63" s="11">
        <f>'balance_raw_39220814'!$E$42</f>
        <v/>
      </c>
      <c r="F63" s="11">
        <f>'balance_raw_39220814'!$F$42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'balance_raw_39220814'!$B$43</f>
        <v/>
      </c>
      <c r="C64" s="5">
        <f>'balance_raw_39220814'!$C$43</f>
        <v/>
      </c>
      <c r="D64" s="5">
        <f>'balance_raw_39220814'!$D$43</f>
        <v/>
      </c>
      <c r="E64" s="5">
        <f>'balance_raw_39220814'!$E$43</f>
        <v/>
      </c>
      <c r="F64" s="5">
        <f>'balance_raw_39220814'!$F$43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Leverandører af varer og tjenesteydelser</t>
        </is>
      </c>
      <c r="B65" s="11">
        <f>'balance_raw_39220814'!$B$44</f>
        <v/>
      </c>
      <c r="C65" s="11">
        <f>'balance_raw_39220814'!$C$44</f>
        <v/>
      </c>
      <c r="D65" s="11">
        <f>'balance_raw_39220814'!$D$44</f>
        <v/>
      </c>
      <c r="E65" s="11">
        <f>'balance_raw_39220814'!$E$44</f>
        <v/>
      </c>
      <c r="F65" s="11">
        <f>'balance_raw_39220814'!$F$44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'balance_raw_39220814'!$B$45</f>
        <v/>
      </c>
      <c r="C66" s="5">
        <f>'balance_raw_39220814'!$C$45</f>
        <v/>
      </c>
      <c r="D66" s="5">
        <f>'balance_raw_39220814'!$D$45</f>
        <v/>
      </c>
      <c r="E66" s="5">
        <f>'balance_raw_39220814'!$E$45</f>
        <v/>
      </c>
      <c r="F66" s="5">
        <f>'balance_raw_39220814'!$F$45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selskabsdeltagere og ledelse</t>
        </is>
      </c>
      <c r="B67" s="11">
        <f>'balance_raw_39220814'!$B$46</f>
        <v/>
      </c>
      <c r="C67" s="11">
        <f>'balance_raw_39220814'!$C$46</f>
        <v/>
      </c>
      <c r="D67" s="11">
        <f>'balance_raw_39220814'!$D$46</f>
        <v/>
      </c>
      <c r="E67" s="11">
        <f>'balance_raw_39220814'!$E$46</f>
        <v/>
      </c>
      <c r="F67" s="11">
        <f>'balance_raw_39220814'!$F$46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Selskabsskat</t>
        </is>
      </c>
      <c r="B68" s="5">
        <f>'balance_raw_39220814'!$B$47</f>
        <v/>
      </c>
      <c r="C68" s="5">
        <f>'balance_raw_39220814'!$C$47</f>
        <v/>
      </c>
      <c r="D68" s="5">
        <f>'balance_raw_39220814'!$D$47</f>
        <v/>
      </c>
      <c r="E68" s="5">
        <f>'balance_raw_39220814'!$E$47</f>
        <v/>
      </c>
      <c r="F68" s="5">
        <f>'balance_raw_39220814'!$F$47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 vedr. selskabsskat</t>
        </is>
      </c>
      <c r="B69" s="11">
        <f>'balance_raw_39220814'!$B$48</f>
        <v/>
      </c>
      <c r="C69" s="11">
        <f>'balance_raw_39220814'!$C$48</f>
        <v/>
      </c>
      <c r="D69" s="11">
        <f>'balance_raw_39220814'!$D$48</f>
        <v/>
      </c>
      <c r="E69" s="11">
        <f>'balance_raw_39220814'!$E$48</f>
        <v/>
      </c>
      <c r="F69" s="11">
        <f>'balance_raw_39220814'!$F$48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'balance_raw_39220814'!$B$49</f>
        <v/>
      </c>
      <c r="C70" s="5">
        <f>'balance_raw_39220814'!$C$49</f>
        <v/>
      </c>
      <c r="D70" s="5">
        <f>'balance_raw_39220814'!$D$49</f>
        <v/>
      </c>
      <c r="E70" s="5">
        <f>'balance_raw_39220814'!$E$49</f>
        <v/>
      </c>
      <c r="F70" s="5">
        <f>'balance_raw_39220814'!$F$49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Periodeafgrænsningsposter (passiver)</t>
        </is>
      </c>
      <c r="B71" s="11">
        <f>'balance_raw_39220814'!$B$50</f>
        <v/>
      </c>
      <c r="C71" s="11">
        <f>'balance_raw_39220814'!$C$50</f>
        <v/>
      </c>
      <c r="D71" s="11">
        <f>'balance_raw_39220814'!$D$50</f>
        <v/>
      </c>
      <c r="E71" s="11">
        <f>'balance_raw_39220814'!$E$50</f>
        <v/>
      </c>
      <c r="F71" s="11">
        <f>'balance_raw_39220814'!$F$50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7" t="inlineStr">
        <is>
          <t>Kortfristede gældsforpligtelser</t>
        </is>
      </c>
      <c r="B72" s="8">
        <f>'balance_raw_39220814'!$B$51</f>
        <v/>
      </c>
      <c r="C72" s="8">
        <f>'balance_raw_39220814'!$C$51</f>
        <v/>
      </c>
      <c r="D72" s="8">
        <f>'balance_raw_39220814'!$D$51</f>
        <v/>
      </c>
      <c r="E72" s="8">
        <f>'balance_raw_39220814'!$E$51</f>
        <v/>
      </c>
      <c r="F72" s="8">
        <f>'balance_raw_39220814'!$F$51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3" ht="16" customHeight="1">
      <c r="A73" s="7" t="inlineStr">
        <is>
          <t>Gældsforpligtelser</t>
        </is>
      </c>
      <c r="B73" s="8">
        <f>'balance_raw_39220814'!$B$52</f>
        <v/>
      </c>
      <c r="C73" s="8">
        <f>'balance_raw_39220814'!$C$52</f>
        <v/>
      </c>
      <c r="D73" s="8">
        <f>'balance_raw_39220814'!$D$52</f>
        <v/>
      </c>
      <c r="E73" s="8">
        <f>'balance_raw_39220814'!$E$52</f>
        <v/>
      </c>
      <c r="F73" s="8">
        <f>'balance_raw_39220814'!$F$52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7" t="inlineStr">
        <is>
          <t>Passiver</t>
        </is>
      </c>
      <c r="B74" s="8">
        <f>'balance_raw_39220814'!$B$53</f>
        <v/>
      </c>
      <c r="C74" s="8">
        <f>'balance_raw_39220814'!$C$53</f>
        <v/>
      </c>
      <c r="D74" s="8">
        <f>'balance_raw_39220814'!$D$53</f>
        <v/>
      </c>
      <c r="E74" s="8">
        <f>'balance_raw_39220814'!$E$53</f>
        <v/>
      </c>
      <c r="F74" s="8">
        <f>'balance_raw_39220814'!$F$53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6" ht="22" customHeight="1">
      <c r="A76" s="3" t="inlineStr">
        <is>
          <t>NØGLEOPLYSNINGER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10" t="inlineStr">
        <is>
          <t>Gns. antal medarbejdere</t>
        </is>
      </c>
      <c r="B77" s="11">
        <f>'res_raw_39220814'!$B$17</f>
        <v/>
      </c>
      <c r="C77" s="11">
        <f>'res_raw_39220814'!$C$17</f>
        <v/>
      </c>
      <c r="D77" s="11">
        <f>'res_raw_39220814'!$D$17</f>
        <v/>
      </c>
      <c r="E77" s="11">
        <f>'res_raw_39220814'!$E$17</f>
        <v/>
      </c>
      <c r="F77" s="11">
        <f>'res_raw_39220814'!$F$17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'res_raw_39220814'!$B$18</f>
        <v/>
      </c>
      <c r="C78" s="5">
        <f>'res_raw_39220814'!$C$18</f>
        <v/>
      </c>
      <c r="D78" s="5">
        <f>'res_raw_39220814'!$D$18</f>
        <v/>
      </c>
      <c r="E78" s="5">
        <f>'res_raw_39220814'!$E$18</f>
        <v/>
      </c>
      <c r="F78" s="5">
        <f>'res_raw_39220814'!$F$18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10" t="inlineStr">
        <is>
          <t>Afkastningsgrad, %</t>
        </is>
      </c>
      <c r="B81" s="13">
        <f>IFERROR(($B$11+$B$13+$B$12)/$B$44*100,"")</f>
        <v/>
      </c>
      <c r="C81" s="13">
        <f>IFERROR(($C$11+$C$13+$C$12)/$C$44*100,"")</f>
        <v/>
      </c>
      <c r="D81" s="13">
        <f>IFERROR(($D$11+$D$13+$D$12)/$D$44*100,"")</f>
        <v/>
      </c>
      <c r="E81" s="13">
        <f>IFERROR(($E$11+$E$13+$E$12)/$E$44*100,"")</f>
        <v/>
      </c>
      <c r="F81" s="13">
        <f>IFERROR(($F$11+$F$13+$F$12)/$F$44*100,"")</f>
        <v/>
      </c>
    </row>
    <row r="82" ht="16" customHeight="1">
      <c r="A82" s="4" t="inlineStr">
        <is>
          <t>Overskudsgrad, %</t>
        </is>
      </c>
      <c r="B82" s="14">
        <f>IFERROR(($B$11+$B$13+$B$12)/$B$4*100,"")</f>
        <v/>
      </c>
      <c r="C82" s="14">
        <f>IFERROR(($C$11+$C$13+$C$12)/$C$4*100,"")</f>
        <v/>
      </c>
      <c r="D82" s="14">
        <f>IFERROR(($D$11+$D$13+$D$12)/$D$4*100,"")</f>
        <v/>
      </c>
      <c r="E82" s="14">
        <f>IFERROR(($E$11+$E$13+$E$12)/$E$4*100,"")</f>
        <v/>
      </c>
      <c r="F82" s="14">
        <f>IFERROR(($F$11+$F$13+$F$12)/$F$4*100,"")</f>
        <v/>
      </c>
    </row>
    <row r="83" ht="16" customHeight="1">
      <c r="A83" s="10" t="inlineStr">
        <is>
          <t>Aktivernes omsætningshastighed, gange</t>
        </is>
      </c>
      <c r="B83" s="13">
        <f>IFERROR($B$4/$B$44,"")</f>
        <v/>
      </c>
      <c r="C83" s="13">
        <f>IFERROR($C$4/$C$44,"")</f>
        <v/>
      </c>
      <c r="D83" s="13">
        <f>IFERROR($D$4/$D$44,"")</f>
        <v/>
      </c>
      <c r="E83" s="13">
        <f>IFERROR($E$4/$E$44,"")</f>
        <v/>
      </c>
      <c r="F83" s="13">
        <f>IFERROR($F$4/$F$44,"")</f>
        <v/>
      </c>
    </row>
    <row r="84" ht="16" customHeight="1">
      <c r="A84" s="4" t="inlineStr">
        <is>
          <t>Egenkapitalens forrentning, %</t>
        </is>
      </c>
      <c r="B84" s="14">
        <f>IFERROR($B$16/$B$53*100,"")</f>
        <v/>
      </c>
      <c r="C84" s="14">
        <f>IFERROR($C$16/$C$53*100,"")</f>
        <v/>
      </c>
      <c r="D84" s="14">
        <f>IFERROR($D$16/$D$53*100,"")</f>
        <v/>
      </c>
      <c r="E84" s="14">
        <f>IFERROR($E$16/$E$53*100,"")</f>
        <v/>
      </c>
      <c r="F84" s="14">
        <f>IFERROR($F$16/$F$53*100,"")</f>
        <v/>
      </c>
    </row>
    <row r="85" ht="16" customHeight="1">
      <c r="A85" s="10" t="inlineStr">
        <is>
          <t>Gældsrente, %</t>
        </is>
      </c>
      <c r="B85" s="13">
        <f>IFERROR($B$14/($B$74-$B$53)*100,"")</f>
        <v/>
      </c>
      <c r="C85" s="13">
        <f>IFERROR($C$14/($C$74-$C$53)*100,"")</f>
        <v/>
      </c>
      <c r="D85" s="13">
        <f>IFERROR($D$14/($D$74-$D$53)*100,"")</f>
        <v/>
      </c>
      <c r="E85" s="13">
        <f>IFERROR($E$14/($E$74-$E$53)*100,"")</f>
        <v/>
      </c>
      <c r="F85" s="13">
        <f>IFERROR($F$14/($F$74-$F$53)*100,"")</f>
        <v/>
      </c>
    </row>
    <row r="86" ht="16" customHeight="1">
      <c r="A86" s="4" t="inlineStr">
        <is>
          <t>Soliditetsgrad, %</t>
        </is>
      </c>
      <c r="B86" s="14">
        <f>IFERROR($B$53/$B$44*100,"")</f>
        <v/>
      </c>
      <c r="C86" s="14">
        <f>IFERROR($C$53/$C$44*100,"")</f>
        <v/>
      </c>
      <c r="D86" s="14">
        <f>IFERROR($D$53/$D$44*100,"")</f>
        <v/>
      </c>
      <c r="E86" s="14">
        <f>IFERROR($E$53/$E$44*100,"")</f>
        <v/>
      </c>
      <c r="F86" s="14">
        <f>IFERROR($F$53/$F$44*100,"")</f>
        <v/>
      </c>
    </row>
    <row r="87" ht="16" customHeight="1">
      <c r="A87" s="10" t="inlineStr">
        <is>
          <t>Gearing</t>
        </is>
      </c>
      <c r="B87" s="13">
        <f>IFERROR(($B$74-$B$53)/$B$53,"")</f>
        <v/>
      </c>
      <c r="C87" s="13">
        <f>IFERROR(($C$74-$C$53)/$C$53,"")</f>
        <v/>
      </c>
      <c r="D87" s="13">
        <f>IFERROR(($D$74-$D$53)/$D$53,"")</f>
        <v/>
      </c>
      <c r="E87" s="13">
        <f>IFERROR(($E$74-$E$53)/$E$53,"")</f>
        <v/>
      </c>
      <c r="F87" s="13">
        <f>IFERROR(($F$74-$F$53)/$F$53,"")</f>
        <v/>
      </c>
    </row>
    <row r="88" ht="16" customHeight="1">
      <c r="A88" s="4" t="inlineStr">
        <is>
          <t>Likviditetsgrad, %</t>
        </is>
      </c>
      <c r="B88" s="14">
        <f>IFERROR($B$43/$B$72*100,"")</f>
        <v/>
      </c>
      <c r="C88" s="14">
        <f>IFERROR($C$43/$C$72*100,"")</f>
        <v/>
      </c>
      <c r="D88" s="14">
        <f>IFERROR($D$43/$D$72*100,"")</f>
        <v/>
      </c>
      <c r="E88" s="14">
        <f>IFERROR($E$43/$E$72*100,"")</f>
        <v/>
      </c>
      <c r="F88" s="14">
        <f>IFERROR($F$43/$F$72*100,"")</f>
        <v/>
      </c>
    </row>
    <row r="89" ht="16" customHeight="1">
      <c r="A89" s="10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IFERROR(($B$74-$B$53)/$B$44*100,"")</f>
        <v/>
      </c>
      <c r="C90" s="14">
        <f>IFERROR(($C$74-$C$53)/$C$44*100,"")</f>
        <v/>
      </c>
      <c r="D90" s="14">
        <f>IFERROR(($D$74-$D$53)/$D$44*100,"")</f>
        <v/>
      </c>
      <c r="E90" s="14">
        <f>IFERROR(($E$74-$E$53)/$E$44*100,"")</f>
        <v/>
      </c>
      <c r="F90" s="14">
        <f>IFERROR(($F$74-$F$53)/$F$44*100,"")</f>
        <v/>
      </c>
    </row>
    <row r="91" ht="16" customHeight="1">
      <c r="A91" s="10" t="inlineStr">
        <is>
          <t>Kapitalbindingsgrad, %</t>
        </is>
      </c>
      <c r="B91" s="13">
        <f>IFERROR($B$28/($B$53+$B$60)*100,"")</f>
        <v/>
      </c>
      <c r="C91" s="13">
        <f>IFERROR($C$28/($C$53+$C$60)*100,"")</f>
        <v/>
      </c>
      <c r="D91" s="13">
        <f>IFERROR($D$28/($D$53+$D$60)*100,"")</f>
        <v/>
      </c>
      <c r="E91" s="13">
        <f>IFERROR($E$28/($E$53+$E$60)*100,"")</f>
        <v/>
      </c>
      <c r="F91" s="13">
        <f>IFERROR($F$28/($F$53+$F$60)*100,"")</f>
        <v/>
      </c>
    </row>
    <row r="93">
      <c r="A93" s="15" t="inlineStr">
        <is>
          <t>PENGESTRØMSOPGØRELSE t.kr.</t>
        </is>
      </c>
    </row>
    <row r="94">
      <c r="A94" s="16" t="inlineStr">
        <is>
          <t>Pengestrømme fra driftsaktivitet</t>
        </is>
      </c>
      <c r="B94" s="17">
        <f>'pengestrom_raw_39220814'!$B$2</f>
        <v/>
      </c>
      <c r="C94" s="17">
        <f>'pengestrom_raw_39220814'!$C$2</f>
        <v/>
      </c>
      <c r="D94" s="17">
        <f>'pengestrom_raw_39220814'!$D$2</f>
        <v/>
      </c>
      <c r="E94" s="17">
        <f>'pengestrom_raw_39220814'!$E$2</f>
        <v/>
      </c>
      <c r="F94" s="17">
        <f>'pengestrom_raw_39220814'!$F$2</f>
        <v/>
      </c>
    </row>
    <row r="95">
      <c r="A95" s="16" t="inlineStr">
        <is>
          <t>Pengestrømme fra investeringsaktivitet</t>
        </is>
      </c>
      <c r="B95" s="17">
        <f>'pengestrom_raw_39220814'!$B$3</f>
        <v/>
      </c>
      <c r="C95" s="17">
        <f>'pengestrom_raw_39220814'!$C$3</f>
        <v/>
      </c>
      <c r="D95" s="17">
        <f>'pengestrom_raw_39220814'!$D$3</f>
        <v/>
      </c>
      <c r="E95" s="17">
        <f>'pengestrom_raw_39220814'!$E$3</f>
        <v/>
      </c>
      <c r="F95" s="17">
        <f>'pengestrom_raw_39220814'!$F$3</f>
        <v/>
      </c>
    </row>
    <row r="96">
      <c r="A96" s="16" t="inlineStr">
        <is>
          <t>Pengestrømme fra finansieringsaktivitet</t>
        </is>
      </c>
      <c r="B96" s="17">
        <f>'pengestrom_raw_39220814'!$B$4</f>
        <v/>
      </c>
      <c r="C96" s="17">
        <f>'pengestrom_raw_39220814'!$C$4</f>
        <v/>
      </c>
      <c r="D96" s="17">
        <f>'pengestrom_raw_39220814'!$D$4</f>
        <v/>
      </c>
      <c r="E96" s="17">
        <f>'pengestrom_raw_39220814'!$E$4</f>
        <v/>
      </c>
      <c r="F96" s="17">
        <f>'pengestrom_raw_39220814'!$F$4</f>
        <v/>
      </c>
    </row>
    <row r="97">
      <c r="A97" s="16" t="inlineStr">
        <is>
          <t>Årets pengestrøm (rapporteret)</t>
        </is>
      </c>
      <c r="B97" s="17">
        <f>'pengestrom_raw_39220814'!$B$5</f>
        <v/>
      </c>
      <c r="C97" s="17">
        <f>'pengestrom_raw_39220814'!$C$5</f>
        <v/>
      </c>
      <c r="D97" s="17">
        <f>'pengestrom_raw_39220814'!$D$5</f>
        <v/>
      </c>
      <c r="E97" s="17">
        <f>'pengestrom_raw_39220814'!$E$5</f>
        <v/>
      </c>
      <c r="F97" s="17">
        <f>'pengestrom_raw_39220814'!$F$5</f>
        <v/>
      </c>
    </row>
    <row r="98">
      <c r="A98" s="16" t="inlineStr">
        <is>
          <t>Krydstjek: drift + inv. + fin. = årets pengestrøm</t>
        </is>
      </c>
      <c r="B98">
        <f>IF(ABS(('pengestrom_raw_39220814'!$B$2+'pengestrom_raw_39220814'!$B$3+'pengestrom_raw_39220814'!$B$4)-'pengestrom_raw_39220814'!$B$5)&lt;=2,"✓","⚠ "&amp;TEXT(('pengestrom_raw_39220814'!$B$2+'pengestrom_raw_39220814'!$B$3+'pengestrom_raw_39220814'!$B$4)-'pengestrom_raw_39220814'!$B$5,"+#,##0;-#,##0"))</f>
        <v/>
      </c>
      <c r="C98">
        <f>IF(ABS(('pengestrom_raw_39220814'!$C$2+'pengestrom_raw_39220814'!$C$3+'pengestrom_raw_39220814'!$C$4)-'pengestrom_raw_39220814'!$C$5)&lt;=2,"✓","⚠ "&amp;TEXT(('pengestrom_raw_39220814'!$C$2+'pengestrom_raw_39220814'!$C$3+'pengestrom_raw_39220814'!$C$4)-'pengestrom_raw_39220814'!$C$5,"+#,##0;-#,##0"))</f>
        <v/>
      </c>
      <c r="D98">
        <f>IF(ABS(('pengestrom_raw_39220814'!$D$2+'pengestrom_raw_39220814'!$D$3+'pengestrom_raw_39220814'!$D$4)-'pengestrom_raw_39220814'!$D$5)&lt;=2,"✓","⚠ "&amp;TEXT(('pengestrom_raw_39220814'!$D$2+'pengestrom_raw_39220814'!$D$3+'pengestrom_raw_39220814'!$D$4)-'pengestrom_raw_39220814'!$D$5,"+#,##0;-#,##0"))</f>
        <v/>
      </c>
      <c r="E98">
        <f>IF(ABS(('pengestrom_raw_39220814'!$E$2+'pengestrom_raw_39220814'!$E$3+'pengestrom_raw_39220814'!$E$4)-'pengestrom_raw_39220814'!$E$5)&lt;=2,"✓","⚠ "&amp;TEXT(('pengestrom_raw_39220814'!$E$2+'pengestrom_raw_39220814'!$E$3+'pengestrom_raw_39220814'!$E$4)-'pengestrom_raw_39220814'!$E$5,"+#,##0;-#,##0"))</f>
        <v/>
      </c>
      <c r="F98">
        <f>IF(ABS(('pengestrom_raw_39220814'!$F$2+'pengestrom_raw_39220814'!$F$3+'pengestrom_raw_39220814'!$F$4)-'pengestrom_raw_39220814'!$F$5)&lt;=2,"✓","⚠ "&amp;TEXT(('pengestrom_raw_39220814'!$F$2+'pengestrom_raw_39220814'!$F$3+'pengestrom_raw_39220814'!$F$4)-'pengestrom_raw_39220814'!$F$5,"+#,##0;-#,##0"))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A/S Thisted Bryghus og Thisted Mineralvandsfabrik (CVR 39220814)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59157</v>
      </c>
      <c r="C2" s="17" t="n">
        <v>56713</v>
      </c>
      <c r="D2" s="17" t="n">
        <v>56247</v>
      </c>
      <c r="E2" s="17" t="n">
        <v>58463</v>
      </c>
      <c r="F2" s="17" t="n">
        <v>58793</v>
      </c>
    </row>
    <row r="3">
      <c r="A3" s="16" t="inlineStr">
        <is>
          <t>Produktionsomkostninger</t>
        </is>
      </c>
      <c r="B3" s="17" t="n">
        <v>37885</v>
      </c>
      <c r="C3" s="17" t="n">
        <v>40570</v>
      </c>
      <c r="D3" s="17" t="n">
        <v>39178</v>
      </c>
      <c r="E3" s="17" t="n">
        <v>40649</v>
      </c>
      <c r="F3" s="17" t="n">
        <v>39823</v>
      </c>
    </row>
    <row r="4">
      <c r="A4" s="15" t="inlineStr">
        <is>
          <t>Bruttoresultat</t>
        </is>
      </c>
      <c r="B4" s="17" t="n">
        <v>21272</v>
      </c>
      <c r="C4" s="17" t="n">
        <v>16143</v>
      </c>
      <c r="D4" s="17" t="n">
        <v>17069</v>
      </c>
      <c r="E4" s="17" t="n">
        <v>17814</v>
      </c>
      <c r="F4" s="17" t="n">
        <v>18969</v>
      </c>
    </row>
    <row r="5">
      <c r="A5" s="16" t="inlineStr">
        <is>
          <t>Salgs- og distributionsomkostninger</t>
        </is>
      </c>
      <c r="B5" s="17" t="n">
        <v>10908</v>
      </c>
      <c r="C5" s="17" t="n">
        <v>11268</v>
      </c>
      <c r="D5" s="17" t="n">
        <v>10573</v>
      </c>
      <c r="E5" s="17" t="n">
        <v>11949</v>
      </c>
      <c r="F5" s="17" t="n">
        <v>12518</v>
      </c>
    </row>
    <row r="6">
      <c r="A6" s="16" t="inlineStr">
        <is>
          <t>Administrationsomkostninger</t>
        </is>
      </c>
      <c r="B6" s="17" t="n">
        <v>3813</v>
      </c>
      <c r="C6" s="17" t="n">
        <v>3952</v>
      </c>
      <c r="D6" s="17" t="n">
        <v>4465</v>
      </c>
      <c r="E6" s="17" t="n">
        <v>5127</v>
      </c>
      <c r="F6" s="17" t="n">
        <v>5169</v>
      </c>
    </row>
    <row r="7">
      <c r="A7" s="16" t="inlineStr">
        <is>
          <t>Andre driftsindtægter</t>
        </is>
      </c>
      <c r="B7" s="17" t="n"/>
      <c r="C7" s="17" t="n"/>
      <c r="D7" s="17" t="n"/>
      <c r="E7" s="17" t="n">
        <v>-86</v>
      </c>
      <c r="F7" s="17" t="n">
        <v>12</v>
      </c>
    </row>
    <row r="8">
      <c r="A8" s="16" t="inlineStr">
        <is>
          <t>Andre driftsomkostninger</t>
        </is>
      </c>
      <c r="B8" s="17" t="n"/>
      <c r="C8" s="17" t="n"/>
      <c r="D8" s="17" t="n"/>
      <c r="E8" s="17" t="n"/>
      <c r="F8" s="17" t="n"/>
    </row>
    <row r="9">
      <c r="A9" s="15" t="inlineStr">
        <is>
          <t>Resultat af primær drift</t>
        </is>
      </c>
      <c r="B9" s="17" t="n">
        <v>6551</v>
      </c>
      <c r="C9" s="17" t="n">
        <v>923</v>
      </c>
      <c r="D9" s="17" t="n">
        <v>2031</v>
      </c>
      <c r="E9" s="17" t="n">
        <v>738</v>
      </c>
      <c r="F9" s="17" t="n">
        <v>1282</v>
      </c>
    </row>
    <row r="10">
      <c r="A10" s="16" t="inlineStr">
        <is>
          <t>Indtægter af kapitalandele, dattervirksomheder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Finansielle indtægter</t>
        </is>
      </c>
      <c r="B11" s="17" t="n">
        <v>24</v>
      </c>
      <c r="C11" s="17" t="n">
        <v>4</v>
      </c>
      <c r="D11" s="17" t="n">
        <v>13</v>
      </c>
      <c r="E11" s="17" t="n">
        <v>308</v>
      </c>
      <c r="F11" s="17" t="n">
        <v>6</v>
      </c>
    </row>
    <row r="12">
      <c r="A12" s="16" t="inlineStr">
        <is>
          <t>Finansielle omkostninger</t>
        </is>
      </c>
      <c r="B12" s="17" t="n">
        <v>497</v>
      </c>
      <c r="C12" s="17" t="n">
        <v>505</v>
      </c>
      <c r="D12" s="17" t="n">
        <v>891</v>
      </c>
      <c r="E12" s="17" t="n">
        <v>1045</v>
      </c>
      <c r="F12" s="17" t="n">
        <v>907</v>
      </c>
    </row>
    <row r="13">
      <c r="A13" s="15" t="inlineStr">
        <is>
          <t>Finansielle poster, netto</t>
        </is>
      </c>
      <c r="B13" s="17" t="n">
        <v>-6078</v>
      </c>
      <c r="C13" s="17" t="n">
        <v>501</v>
      </c>
      <c r="D13" s="17" t="n">
        <v>878</v>
      </c>
      <c r="E13" s="17" t="n">
        <v>737</v>
      </c>
      <c r="F13" s="17" t="n">
        <v>-901</v>
      </c>
    </row>
    <row r="14">
      <c r="A14" s="15" t="inlineStr">
        <is>
          <t>Resultat før skat</t>
        </is>
      </c>
      <c r="B14" s="17" t="n">
        <v>6078</v>
      </c>
      <c r="C14" s="17" t="n">
        <v>422</v>
      </c>
      <c r="D14" s="17" t="n">
        <v>1153</v>
      </c>
      <c r="E14" s="17" t="n">
        <v>1</v>
      </c>
      <c r="F14" s="17" t="n">
        <v>382</v>
      </c>
    </row>
    <row r="15">
      <c r="A15" s="16" t="inlineStr">
        <is>
          <t>Skat af årets resultat</t>
        </is>
      </c>
      <c r="B15" s="17" t="n">
        <v>1340</v>
      </c>
      <c r="C15" s="17" t="n">
        <v>64</v>
      </c>
      <c r="D15" s="17" t="n">
        <v>238</v>
      </c>
      <c r="E15" s="17" t="n">
        <v>-79</v>
      </c>
      <c r="F15" s="17" t="n">
        <v>79</v>
      </c>
    </row>
    <row r="16">
      <c r="A16" s="15" t="inlineStr">
        <is>
          <t>Årets resultat</t>
        </is>
      </c>
      <c r="B16" s="17" t="n">
        <v>4738</v>
      </c>
      <c r="C16" s="17" t="n">
        <v>358</v>
      </c>
      <c r="D16" s="17" t="n">
        <v>915</v>
      </c>
      <c r="E16" s="17" t="n">
        <v>80</v>
      </c>
      <c r="F16" s="17" t="n">
        <v>303</v>
      </c>
    </row>
    <row r="17">
      <c r="A17" s="16" t="inlineStr">
        <is>
          <t>Gns. antal medarbejdere</t>
        </is>
      </c>
      <c r="B17" s="17" t="n">
        <v>25</v>
      </c>
      <c r="C17" s="17" t="n">
        <v>26</v>
      </c>
      <c r="D17" s="17" t="n">
        <v>24</v>
      </c>
      <c r="E17" s="17" t="n">
        <v>24</v>
      </c>
      <c r="F17" s="17" t="n">
        <v>24</v>
      </c>
    </row>
    <row r="18">
      <c r="A18" s="16" t="inlineStr">
        <is>
          <t>Investering i materielle anlægsaktiver</t>
        </is>
      </c>
      <c r="B18" s="17" t="n">
        <v>1422</v>
      </c>
      <c r="C18" s="17" t="n">
        <v>11096</v>
      </c>
      <c r="D18" s="17" t="n">
        <v>6679</v>
      </c>
      <c r="E18" s="17" t="n">
        <v>750</v>
      </c>
      <c r="F18" s="17" t="n">
        <v>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A/S Thisted Bryghus og Thisted Mineralvandsfabrik (CVR 39220814)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Grunde og bygninger</t>
        </is>
      </c>
      <c r="B2" s="17" t="n">
        <v>20167</v>
      </c>
      <c r="C2" s="17" t="n">
        <v>21052</v>
      </c>
      <c r="D2" s="17" t="n">
        <v>20631</v>
      </c>
      <c r="E2" s="17" t="n">
        <v>19889</v>
      </c>
      <c r="F2" s="17" t="n">
        <v>19145</v>
      </c>
    </row>
    <row r="3">
      <c r="A3" s="16" t="inlineStr">
        <is>
          <t>Produktionsanlæg og maskiner</t>
        </is>
      </c>
      <c r="B3" s="17" t="n">
        <v>27757</v>
      </c>
      <c r="C3" s="17" t="n">
        <v>28884</v>
      </c>
      <c r="D3" s="17" t="n">
        <v>35060</v>
      </c>
      <c r="E3" s="17" t="n">
        <v>30610</v>
      </c>
      <c r="F3" s="17" t="n">
        <v>26168</v>
      </c>
    </row>
    <row r="4">
      <c r="A4" s="16" t="inlineStr">
        <is>
          <t>Driftsmateriel og inventar</t>
        </is>
      </c>
      <c r="B4" s="17" t="n">
        <v>859</v>
      </c>
      <c r="C4" s="17" t="n">
        <v>642</v>
      </c>
      <c r="D4" s="17" t="n">
        <v>559</v>
      </c>
      <c r="E4" s="17" t="n">
        <v>594</v>
      </c>
      <c r="F4" s="17" t="n">
        <v>568</v>
      </c>
    </row>
    <row r="5">
      <c r="A5" s="16" t="inlineStr">
        <is>
          <t>Indretning af lejede lokaler</t>
        </is>
      </c>
      <c r="B5" s="17" t="n"/>
      <c r="C5" s="17" t="n"/>
      <c r="D5" s="17" t="n"/>
      <c r="E5" s="17" t="n"/>
      <c r="F5" s="17" t="n"/>
    </row>
    <row r="6">
      <c r="A6" s="16" t="inlineStr">
        <is>
          <t>Forudbetaling og anlægsaktiver under opførelse</t>
        </is>
      </c>
      <c r="B6" s="17" t="n">
        <v>80</v>
      </c>
      <c r="C6" s="17" t="n">
        <v>4607</v>
      </c>
      <c r="D6" s="17" t="n">
        <v>0</v>
      </c>
      <c r="E6" s="17" t="n"/>
      <c r="F6" s="17" t="n"/>
    </row>
    <row r="7">
      <c r="A7" s="15" t="inlineStr">
        <is>
          <t>Materielle anlægsaktiver</t>
        </is>
      </c>
      <c r="B7" s="17" t="n">
        <v>48863</v>
      </c>
      <c r="C7" s="17" t="n">
        <v>55185</v>
      </c>
      <c r="D7" s="17" t="n">
        <v>56250</v>
      </c>
      <c r="E7" s="17" t="n">
        <v>51093</v>
      </c>
      <c r="F7" s="17" t="n">
        <v>45881</v>
      </c>
    </row>
    <row r="8">
      <c r="A8" s="15" t="inlineStr">
        <is>
          <t>Finansielle anlægsaktiver</t>
        </is>
      </c>
      <c r="B8" s="17" t="n">
        <v>121</v>
      </c>
      <c r="C8" s="17" t="n">
        <v>112</v>
      </c>
      <c r="D8" s="17" t="n">
        <v>111</v>
      </c>
      <c r="E8" s="17" t="n">
        <v>113</v>
      </c>
      <c r="F8" s="17" t="n">
        <v>106</v>
      </c>
    </row>
    <row r="9">
      <c r="A9" s="15" t="inlineStr">
        <is>
          <t>Anlægsaktiver</t>
        </is>
      </c>
      <c r="B9" s="17" t="n">
        <v>48984</v>
      </c>
      <c r="C9" s="17" t="n">
        <v>55297</v>
      </c>
      <c r="D9" s="17" t="n">
        <v>56361</v>
      </c>
      <c r="E9" s="17" t="n">
        <v>51206</v>
      </c>
      <c r="F9" s="17" t="n">
        <v>45987</v>
      </c>
    </row>
    <row r="10">
      <c r="A10" s="16" t="inlineStr">
        <is>
          <t>Råvarer og hjælpematerialer</t>
        </is>
      </c>
      <c r="B10" s="17" t="n">
        <v>4165</v>
      </c>
      <c r="C10" s="17" t="n">
        <v>4622</v>
      </c>
      <c r="D10" s="17" t="n">
        <v>4582</v>
      </c>
      <c r="E10" s="17" t="n">
        <v>5786</v>
      </c>
      <c r="F10" s="17" t="n">
        <v>5491</v>
      </c>
    </row>
    <row r="11">
      <c r="A11" s="16" t="inlineStr">
        <is>
          <t>Varer under fremstilling</t>
        </is>
      </c>
      <c r="B11" s="17" t="n">
        <v>1017</v>
      </c>
      <c r="C11" s="17" t="n">
        <v>1508</v>
      </c>
      <c r="D11" s="17" t="n">
        <v>1640</v>
      </c>
      <c r="E11" s="17" t="n">
        <v>1415</v>
      </c>
      <c r="F11" s="17" t="n">
        <v>1304</v>
      </c>
    </row>
    <row r="12">
      <c r="A12" s="16" t="inlineStr">
        <is>
          <t>Færdigvarer og handelsvarer</t>
        </is>
      </c>
      <c r="B12" s="17" t="n">
        <v>3427</v>
      </c>
      <c r="C12" s="17" t="n">
        <v>4195</v>
      </c>
      <c r="D12" s="17" t="n">
        <v>3691</v>
      </c>
      <c r="E12" s="17" t="n">
        <v>4016</v>
      </c>
      <c r="F12" s="17" t="n">
        <v>5076</v>
      </c>
    </row>
    <row r="13">
      <c r="A13" s="15" t="inlineStr">
        <is>
          <t>Varebeholdninger</t>
        </is>
      </c>
      <c r="B13" s="17" t="n">
        <v>8609</v>
      </c>
      <c r="C13" s="17" t="n">
        <v>10325</v>
      </c>
      <c r="D13" s="17" t="n">
        <v>9913</v>
      </c>
      <c r="E13" s="17" t="n">
        <v>11217</v>
      </c>
      <c r="F13" s="17" t="n">
        <v>11871</v>
      </c>
    </row>
    <row r="14">
      <c r="A14" s="16" t="inlineStr">
        <is>
          <t>Tilgodehavender fra salg og tjenesteydelser</t>
        </is>
      </c>
      <c r="B14" s="17" t="n">
        <v>13580</v>
      </c>
      <c r="C14" s="17" t="n">
        <v>9531</v>
      </c>
      <c r="D14" s="17" t="n">
        <v>10105</v>
      </c>
      <c r="E14" s="17" t="n">
        <v>12496</v>
      </c>
      <c r="F14" s="17" t="n">
        <v>11744</v>
      </c>
    </row>
    <row r="15">
      <c r="A15" s="16" t="inlineStr">
        <is>
          <t>Tilgodehavender hos tilknyttede virksomheder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Andre tilgodehavender</t>
        </is>
      </c>
      <c r="B16" s="17" t="n">
        <v>124</v>
      </c>
      <c r="C16" s="17" t="n">
        <v>422</v>
      </c>
      <c r="D16" s="17" t="n">
        <v>278</v>
      </c>
      <c r="E16" s="17" t="n">
        <v>44</v>
      </c>
      <c r="F16" s="17" t="n">
        <v>186</v>
      </c>
    </row>
    <row r="17">
      <c r="A17" s="16" t="inlineStr">
        <is>
          <t>Periodeafgrænsningsposter (aktiver)</t>
        </is>
      </c>
      <c r="B17" s="17" t="n">
        <v>109</v>
      </c>
      <c r="C17" s="17" t="n">
        <v>297</v>
      </c>
      <c r="D17" s="17" t="n">
        <v>118</v>
      </c>
      <c r="E17" s="17" t="n">
        <v>120</v>
      </c>
      <c r="F17" s="17" t="n">
        <v>172</v>
      </c>
    </row>
    <row r="18">
      <c r="A18" s="16" t="inlineStr">
        <is>
          <t>Udskudt skatteaktiv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Tilgodehavende skat hos tilknyttede virksomheder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Kortfristede skattetilgodehavender</t>
        </is>
      </c>
      <c r="B20" s="17" t="n"/>
      <c r="C20" s="17" t="n">
        <v>82</v>
      </c>
      <c r="D20" s="17" t="n">
        <v>82</v>
      </c>
      <c r="E20" s="17" t="n">
        <v>177</v>
      </c>
      <c r="F20" s="17" t="n">
        <v>46</v>
      </c>
    </row>
    <row r="21">
      <c r="A21" s="15" t="inlineStr">
        <is>
          <t>Tilgodehavender</t>
        </is>
      </c>
      <c r="B21" s="17" t="n">
        <v>13813</v>
      </c>
      <c r="C21" s="17" t="n">
        <v>10332</v>
      </c>
      <c r="D21" s="17" t="n">
        <v>10583</v>
      </c>
      <c r="E21" s="17" t="n">
        <v>12837</v>
      </c>
      <c r="F21" s="17" t="n">
        <v>12147</v>
      </c>
    </row>
    <row r="22">
      <c r="A22" s="16" t="inlineStr">
        <is>
          <t>Værdipapirer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Likvide beholdninger</t>
        </is>
      </c>
      <c r="B23" s="17" t="n">
        <v>2837</v>
      </c>
      <c r="C23" s="17" t="n">
        <v>3</v>
      </c>
      <c r="D23" s="17" t="n">
        <v>2</v>
      </c>
      <c r="E23" s="17" t="n">
        <v>6</v>
      </c>
      <c r="F23" s="17" t="n">
        <v>6</v>
      </c>
    </row>
    <row r="24">
      <c r="A24" s="15" t="inlineStr">
        <is>
          <t>Omsætningsaktiver</t>
        </is>
      </c>
      <c r="B24" s="17" t="n">
        <v>25259</v>
      </c>
      <c r="C24" s="17" t="n">
        <v>20660</v>
      </c>
      <c r="D24" s="17" t="n">
        <v>20498</v>
      </c>
      <c r="E24" s="17" t="n">
        <v>24060</v>
      </c>
      <c r="F24" s="17" t="n">
        <v>24024</v>
      </c>
    </row>
    <row r="25">
      <c r="A25" s="15" t="inlineStr">
        <is>
          <t>Aktiver</t>
        </is>
      </c>
      <c r="B25" s="17" t="n">
        <v>74243</v>
      </c>
      <c r="C25" s="17" t="n">
        <v>75957</v>
      </c>
      <c r="D25" s="17" t="n">
        <v>76859</v>
      </c>
      <c r="E25" s="17" t="n">
        <v>75266</v>
      </c>
      <c r="F25" s="17" t="n">
        <v>70011</v>
      </c>
    </row>
    <row r="26">
      <c r="A26" s="16" t="inlineStr">
        <is>
          <t>Selskabskapital</t>
        </is>
      </c>
      <c r="B26" s="17" t="n">
        <v>900</v>
      </c>
      <c r="C26" s="17" t="n">
        <v>900</v>
      </c>
      <c r="D26" s="17" t="n">
        <v>900</v>
      </c>
      <c r="E26" s="17" t="n">
        <v>900</v>
      </c>
      <c r="F26" s="17" t="n">
        <v>900</v>
      </c>
    </row>
    <row r="27">
      <c r="A27" s="16" t="inlineStr">
        <is>
          <t>Reserve for nettoopskrivning (indre værdis metode)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Reserve for udviklingsomkostninger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Reserve for sikringstransaktioner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Andre reserver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Overført resultat</t>
        </is>
      </c>
      <c r="B31" s="17" t="n">
        <v>38191</v>
      </c>
      <c r="C31" s="17" t="n">
        <v>38550</v>
      </c>
      <c r="D31" s="17" t="n">
        <v>39465</v>
      </c>
      <c r="E31" s="17" t="n">
        <v>37632</v>
      </c>
      <c r="F31" s="17" t="n">
        <v>37935</v>
      </c>
    </row>
    <row r="32">
      <c r="A32" s="15" t="inlineStr">
        <is>
          <t>Egenkapital i alt</t>
        </is>
      </c>
      <c r="B32" s="17" t="n">
        <v>39091</v>
      </c>
      <c r="C32" s="17" t="n">
        <v>39450</v>
      </c>
      <c r="D32" s="17" t="n">
        <v>40365</v>
      </c>
      <c r="E32" s="17" t="n">
        <v>38532</v>
      </c>
      <c r="F32" s="17" t="n">
        <v>38835</v>
      </c>
    </row>
    <row r="33">
      <c r="A33" s="16" t="inlineStr">
        <is>
          <t>Hensættelse til udskudt skat</t>
        </is>
      </c>
      <c r="B33" s="17" t="n">
        <v>4528</v>
      </c>
      <c r="C33" s="17" t="n">
        <v>4591</v>
      </c>
      <c r="D33" s="17" t="n">
        <v>4829</v>
      </c>
      <c r="E33" s="17" t="n">
        <v>4211</v>
      </c>
      <c r="F33" s="17" t="n">
        <v>4290</v>
      </c>
    </row>
    <row r="34">
      <c r="A34" s="15" t="inlineStr">
        <is>
          <t>Hensatte forpligtelser</t>
        </is>
      </c>
      <c r="B34" s="17" t="n">
        <v>4528</v>
      </c>
      <c r="C34" s="17" t="n">
        <v>4591</v>
      </c>
      <c r="D34" s="17" t="n">
        <v>4829</v>
      </c>
      <c r="E34" s="17" t="n">
        <v>4211</v>
      </c>
      <c r="F34" s="17" t="n">
        <v>4290</v>
      </c>
    </row>
    <row r="35">
      <c r="A35" s="16" t="inlineStr">
        <is>
          <t>Ansvarlig lånekapital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Langfristede lån</t>
        </is>
      </c>
      <c r="B36" s="17" t="n">
        <v>8835</v>
      </c>
      <c r="C36" s="17" t="n">
        <v>8370</v>
      </c>
      <c r="D36" s="17" t="n">
        <v>7901</v>
      </c>
      <c r="E36" s="17" t="n">
        <v>7429</v>
      </c>
      <c r="F36" s="17" t="n">
        <v>6951</v>
      </c>
    </row>
    <row r="37">
      <c r="A37" s="16" t="inlineStr">
        <is>
          <t>Leasingforpligtelser (langfristet)</t>
        </is>
      </c>
      <c r="B37" s="17" t="n"/>
      <c r="C37" s="17" t="n"/>
      <c r="D37" s="17" t="n"/>
      <c r="E37" s="17" t="n"/>
      <c r="F37" s="17" t="n"/>
    </row>
    <row r="38">
      <c r="A38" s="16" t="inlineStr">
        <is>
          <t>Anden gæld (langfristet)</t>
        </is>
      </c>
      <c r="B38" s="17" t="n">
        <v>962</v>
      </c>
      <c r="C38" s="17" t="n"/>
      <c r="D38" s="17" t="n"/>
      <c r="E38" s="17" t="n"/>
      <c r="F38" s="17" t="n"/>
    </row>
    <row r="39">
      <c r="A39" s="15" t="inlineStr">
        <is>
          <t>Langfristede gældsforpligtelser</t>
        </is>
      </c>
      <c r="B39" s="17" t="n">
        <v>17769</v>
      </c>
      <c r="C39" s="17" t="n">
        <v>16695</v>
      </c>
      <c r="D39" s="17" t="n">
        <v>18688</v>
      </c>
      <c r="E39" s="17" t="n">
        <v>17394</v>
      </c>
      <c r="F39" s="17" t="n">
        <v>16016</v>
      </c>
    </row>
    <row r="40">
      <c r="A40" s="16" t="inlineStr">
        <is>
          <t>Ansvarlig lånekapital (kortfristet)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Kortfristet del af langfristede gældsforpligtelser</t>
        </is>
      </c>
      <c r="B41" s="17" t="n">
        <v>1287</v>
      </c>
      <c r="C41" s="17" t="n">
        <v>1269</v>
      </c>
      <c r="D41" s="17" t="n">
        <v>1354</v>
      </c>
      <c r="E41" s="17" t="n">
        <v>1343</v>
      </c>
      <c r="F41" s="17" t="n">
        <v>1294</v>
      </c>
    </row>
    <row r="42">
      <c r="A42" s="16" t="inlineStr">
        <is>
          <t>Kreditinstitutter</t>
        </is>
      </c>
      <c r="B42" s="17" t="n">
        <v>0</v>
      </c>
      <c r="C42" s="17" t="n">
        <v>1870</v>
      </c>
      <c r="D42" s="17" t="n">
        <v>1952</v>
      </c>
      <c r="E42" s="17" t="n">
        <v>3627</v>
      </c>
      <c r="F42" s="17" t="n">
        <v>309</v>
      </c>
    </row>
    <row r="43">
      <c r="A43" s="16" t="inlineStr">
        <is>
          <t>Leasingforpligtelser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Leverandører af varer og tjenesteydelser</t>
        </is>
      </c>
      <c r="B44" s="17" t="n">
        <v>5946</v>
      </c>
      <c r="C44" s="17" t="n">
        <v>9709</v>
      </c>
      <c r="D44" s="17" t="n">
        <v>5940</v>
      </c>
      <c r="E44" s="17" t="n">
        <v>6581</v>
      </c>
      <c r="F44" s="17" t="n">
        <v>5349</v>
      </c>
    </row>
    <row r="45">
      <c r="A45" s="16" t="inlineStr">
        <is>
          <t>Gæld til tilknyttede virksomheder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Gæld til selskabsdeltagere og ledelse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Selskabsskat</t>
        </is>
      </c>
      <c r="B47" s="17" t="n">
        <v>540</v>
      </c>
      <c r="C47" s="17" t="n"/>
      <c r="D47" s="17" t="n"/>
      <c r="E47" s="17" t="n"/>
      <c r="F47" s="17" t="n"/>
    </row>
    <row r="48">
      <c r="A48" s="16" t="inlineStr">
        <is>
          <t>Gæld til tilknyttede virksomheder vedr. selskabsskat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Anden gæld (kortfristet)</t>
        </is>
      </c>
      <c r="B49" s="17" t="n">
        <v>2729</v>
      </c>
      <c r="C49" s="17" t="n">
        <v>1344</v>
      </c>
      <c r="D49" s="17" t="n">
        <v>2241</v>
      </c>
      <c r="E49" s="17" t="n">
        <v>1881</v>
      </c>
      <c r="F49" s="17" t="n">
        <v>3584</v>
      </c>
    </row>
    <row r="50">
      <c r="A50" s="16" t="inlineStr">
        <is>
          <t>Periodeafgrænsningsposter (passiver)</t>
        </is>
      </c>
      <c r="B50" s="17" t="n">
        <v>2088</v>
      </c>
      <c r="C50" s="17" t="n">
        <v>785</v>
      </c>
      <c r="D50" s="17" t="n">
        <v>1267</v>
      </c>
      <c r="E50" s="17" t="n">
        <v>1463</v>
      </c>
      <c r="F50" s="17" t="n">
        <v>336</v>
      </c>
    </row>
    <row r="51">
      <c r="A51" s="15" t="inlineStr">
        <is>
          <t>Kortfristede gældsforpligtelser</t>
        </is>
      </c>
      <c r="B51" s="17" t="n">
        <v>12855</v>
      </c>
      <c r="C51" s="17" t="n">
        <v>15221</v>
      </c>
      <c r="D51" s="17" t="n">
        <v>12977</v>
      </c>
      <c r="E51" s="17" t="n">
        <v>15129</v>
      </c>
      <c r="F51" s="17" t="n">
        <v>10870</v>
      </c>
    </row>
    <row r="52">
      <c r="A52" s="15" t="inlineStr">
        <is>
          <t>Gældsforpligtelser</t>
        </is>
      </c>
      <c r="B52" s="17" t="n">
        <v>30624</v>
      </c>
      <c r="C52" s="17" t="n">
        <v>31916</v>
      </c>
      <c r="D52" s="17" t="n">
        <v>31665</v>
      </c>
      <c r="E52" s="17" t="n">
        <v>32523</v>
      </c>
      <c r="F52" s="17" t="n">
        <v>26886</v>
      </c>
    </row>
    <row r="53">
      <c r="A53" s="15" t="inlineStr">
        <is>
          <t>Passiver</t>
        </is>
      </c>
      <c r="B53" s="17" t="n">
        <v>74243</v>
      </c>
      <c r="C53" s="17" t="n">
        <v>75957</v>
      </c>
      <c r="D53" s="17" t="n">
        <v>76859</v>
      </c>
      <c r="E53" s="17" t="n">
        <v>75266</v>
      </c>
      <c r="F53" s="17" t="n">
        <v>70011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A/S Thisted Bryghus og Thisted Mineralvandsfabrik (CVR 39220814)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6858</v>
      </c>
      <c r="C2" s="17" t="n">
        <v>4645</v>
      </c>
      <c r="D2" s="17" t="n">
        <v>7533</v>
      </c>
      <c r="E2" s="17" t="n">
        <v>116</v>
      </c>
      <c r="F2" s="17" t="n">
        <v>5092</v>
      </c>
    </row>
    <row r="3">
      <c r="A3" s="16" t="inlineStr">
        <is>
          <t>Pengestrømme fra investeringsaktivitet</t>
        </is>
      </c>
      <c r="B3" s="17" t="n">
        <v>-1306</v>
      </c>
      <c r="C3" s="17" t="n">
        <v>-10959</v>
      </c>
      <c r="D3" s="17" t="n">
        <v>-6389</v>
      </c>
      <c r="E3" s="17" t="n">
        <v>-364</v>
      </c>
      <c r="F3" s="17" t="n">
        <v>-459</v>
      </c>
    </row>
    <row r="4">
      <c r="A4" s="16" t="inlineStr">
        <is>
          <t>Pengestrømme fra finansieringsaktivitet</t>
        </is>
      </c>
      <c r="B4" s="17" t="n">
        <v>-816</v>
      </c>
      <c r="C4" s="17" t="n">
        <v>4102</v>
      </c>
      <c r="D4" s="17" t="n">
        <v>-1144</v>
      </c>
      <c r="E4" s="17" t="n">
        <v>341</v>
      </c>
      <c r="F4" s="17" t="n">
        <v>-4764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A/S Thisted Bryghus og Thisted Mineralvandsfabrik (CVR 39220814) — Regnskabs- og nøgletal (CVR: 39220814)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'res_raw_39220814'!$F$2</f>
        <v/>
      </c>
      <c r="C5" s="24">
        <f>'res_raw_39220814'!$E$2</f>
        <v/>
      </c>
      <c r="D5" s="24">
        <f>'res_raw_39220814'!$D$2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-'res_raw_39220814'!$F$3</f>
        <v/>
      </c>
      <c r="C6" s="24">
        <f>-'res_raw_39220814'!$E$3</f>
        <v/>
      </c>
      <c r="D6" s="24">
        <f>-'res_raw_39220814'!$D$3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-'res_raw_39220814'!$F$5</f>
        <v/>
      </c>
      <c r="C8" s="24">
        <f>-'res_raw_39220814'!$E$5</f>
        <v/>
      </c>
      <c r="D8" s="24">
        <f>-'res_raw_39220814'!$D$5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-'res_raw_39220814'!$F$6</f>
        <v/>
      </c>
      <c r="C9" s="24">
        <f>-'res_raw_39220814'!$E$6</f>
        <v/>
      </c>
      <c r="D9" s="24">
        <f>-'res_raw_39220814'!$D$6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'res_raw_39220814'!$F$7</f>
        <v/>
      </c>
      <c r="C10" s="24">
        <f>'res_raw_39220814'!$E$7</f>
        <v/>
      </c>
      <c r="D10" s="24">
        <f>'res_raw_39220814'!$D$7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-'res_raw_39220814'!$F$8</f>
        <v/>
      </c>
      <c r="C11" s="24">
        <f>-'res_raw_39220814'!$E$8</f>
        <v/>
      </c>
      <c r="D11" s="24">
        <f>-'res_raw_39220814'!$D$8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N('res_raw_39220814'!$F$10)+N('res_raw_39220814'!$F$11)</f>
        <v/>
      </c>
      <c r="C13" s="24">
        <f>N('res_raw_39220814'!$E$10)+N('res_raw_39220814'!$E$11)</f>
        <v/>
      </c>
      <c r="D13" s="24">
        <f>N('res_raw_39220814'!$D$10)+N('res_raw_39220814'!$D$11)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-'res_raw_39220814'!$F$12</f>
        <v/>
      </c>
      <c r="C14" s="24">
        <f>-'res_raw_39220814'!$E$12</f>
        <v/>
      </c>
      <c r="D14" s="24">
        <f>-'res_raw_39220814'!$D$12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'balance_raw_39220814'!$F$9</f>
        <v/>
      </c>
      <c r="C18" s="24">
        <f>'balance_raw_39220814'!$E$9</f>
        <v/>
      </c>
      <c r="D18" s="24">
        <f>'balance_raw_39220814'!$D$9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'balance_raw_39220814'!$F$24</f>
        <v/>
      </c>
      <c r="C19" s="24">
        <f>'balance_raw_39220814'!$E$24</f>
        <v/>
      </c>
      <c r="D19" s="24">
        <f>'balance_raw_39220814'!$D$24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'balance_raw_39220814'!$F$32</f>
        <v/>
      </c>
      <c r="C22" s="24">
        <f>'balance_raw_39220814'!$E$32</f>
        <v/>
      </c>
      <c r="D22" s="24">
        <f>'balance_raw_39220814'!$D$32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'balance_raw_39220814'!$F$53-'balance_raw_39220814'!$F$32</f>
        <v/>
      </c>
      <c r="C23" s="24">
        <f>'balance_raw_39220814'!$E$53-'balance_raw_39220814'!$E$32</f>
        <v/>
      </c>
      <c r="D23" s="24">
        <f>'balance_raw_39220814'!$D$53-'balance_raw_39220814'!$D$32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'balance_raw_39220814'!$F$13</f>
        <v/>
      </c>
      <c r="C27" s="24">
        <f>'balance_raw_39220814'!$E$13</f>
        <v/>
      </c>
      <c r="D27" s="24">
        <f>'balance_raw_39220814'!$D$13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'balance_raw_39220814'!$F$14</f>
        <v/>
      </c>
      <c r="C28" s="24">
        <f>'balance_raw_39220814'!$E$14</f>
        <v/>
      </c>
      <c r="D28" s="24">
        <f>'balance_raw_39220814'!$D$14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'balance_raw_39220814'!$F$51</f>
        <v/>
      </c>
      <c r="C29" s="24">
        <f>'balance_raw_39220814'!$E$51</f>
        <v/>
      </c>
      <c r="D29" s="24">
        <f>'balance_raw_39220814'!$D$51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IF('balance_raw_39220814'!$F$25="","—",IF(ABS(B20-'balance_raw_39220814'!$F$25)&lt;=1,"✓ OK","❌ "&amp;TEXT(B20-'balance_raw_39220814'!$F$25,"+#,##0;-#,##0")&amp;" t.kr."))</f>
        <v/>
      </c>
      <c r="C60" s="29">
        <f>IF('balance_raw_39220814'!$E$25="","—",IF(ABS(C20-'balance_raw_39220814'!$E$25)&lt;=1,"✓ OK","❌ "&amp;TEXT(C20-'balance_raw_39220814'!$E$25,"+#,##0;-#,##0")&amp;" t.kr."))</f>
        <v/>
      </c>
      <c r="D60" s="29">
        <f>IF('balance_raw_39220814'!$D$25="","—",IF(ABS(D20-'balance_raw_39220814'!$D$25)&lt;=1,"✓ OK","❌ "&amp;TEXT(D20-'balance_raw_39220814'!$D$25,"+#,##0;-#,##0")&amp;"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IF('balance_raw_39220814'!$F$53="","—",IF(ABS(B24-'balance_raw_39220814'!$F$53)&lt;=1,"✓ OK","❌ "&amp;TEXT(B24-'balance_raw_39220814'!$F$53,"+#,##0;-#,##0")&amp;" t.kr."))</f>
        <v/>
      </c>
      <c r="C61" s="29">
        <f>IF('balance_raw_39220814'!$E$53="","—",IF(ABS(C24-'balance_raw_39220814'!$E$53)&lt;=1,"✓ OK","❌ "&amp;TEXT(C24-'balance_raw_39220814'!$E$53,"+#,##0;-#,##0")&amp;" t.kr."))</f>
        <v/>
      </c>
      <c r="D61" s="29">
        <f>IF('balance_raw_39220814'!$D$53="","—",IF(ABS(D24-'balance_raw_39220814'!$D$53)&lt;=1,"✓ OK","❌ "&amp;TEXT(D24-'balance_raw_39220814'!$D$53,"+#,##0;-#,##0")&amp;"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IF('res_raw_39220814'!$F$4="","—",IF(ABS(B7-'res_raw_39220814'!$F$4)&lt;=1,"✓ OK","❌ "&amp;TEXT(B7-'res_raw_39220814'!$F$4,"+#,##0;-#,##0")&amp;" t.kr."))</f>
        <v/>
      </c>
      <c r="C63" s="29">
        <f>IF('res_raw_39220814'!$E$4="","—",IF(ABS(C7-'res_raw_39220814'!$E$4)&lt;=1,"✓ OK","❌ "&amp;TEXT(C7-'res_raw_39220814'!$E$4,"+#,##0;-#,##0")&amp;" t.kr."))</f>
        <v/>
      </c>
      <c r="D63" s="29">
        <f>IF('res_raw_39220814'!$D$4="","—",IF(ABS(D7-'res_raw_39220814'!$D$4)&lt;=1,"✓ OK","❌ "&amp;TEXT(D7-'res_raw_39220814'!$D$4,"+#,##0;-#,##0")&amp;"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IF('res_raw_39220814'!$F$9="","—",IF(ABS(B12-'res_raw_39220814'!$F$9)&lt;=1,"✓ OK","❌ "&amp;TEXT(B12-'res_raw_39220814'!$F$9,"+#,##0;-#,##0")&amp;" t.kr."))</f>
        <v/>
      </c>
      <c r="C64" s="29">
        <f>IF('res_raw_39220814'!$E$9="","—",IF(ABS(C12-'res_raw_39220814'!$E$9)&lt;=1,"✓ OK","❌ "&amp;TEXT(C12-'res_raw_39220814'!$E$9,"+#,##0;-#,##0")&amp;" t.kr."))</f>
        <v/>
      </c>
      <c r="D64" s="29">
        <f>IF('res_raw_39220814'!$D$9="","—",IF(ABS(D12-'res_raw_39220814'!$D$9)&lt;=1,"✓ OK","❌ "&amp;TEXT(D12-'res_raw_39220814'!$D$9,"+#,##0;-#,##0")&amp;"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IF('res_raw_39220814'!$F$14="","—",IF(ABS(B15-'res_raw_39220814'!$F$14)&lt;=1,"✓ OK","❌ "&amp;TEXT(B15-'res_raw_39220814'!$F$14,"+#,##0;-#,##0")&amp;" t.kr."))</f>
        <v/>
      </c>
      <c r="C65" s="29">
        <f>IF('res_raw_39220814'!$E$14="","—",IF(ABS(C15-'res_raw_39220814'!$E$14)&lt;=1,"✓ OK","❌ "&amp;TEXT(C15-'res_raw_39220814'!$E$14,"+#,##0;-#,##0")&amp;" t.kr."))</f>
        <v/>
      </c>
      <c r="D65" s="29">
        <f>IF('res_raw_39220814'!$D$14="","—",IF(ABS(D15-'res_raw_39220814'!$D$14)&lt;=1,"✓ OK","❌ "&amp;TEXT(D15-'res_raw_39220814'!$D$14,"+#,##0;-#,##0")&amp;"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A/S Thisted Bryghus og Thisted Mineralvandsfabrik (CVR 39220814)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fsa:CashCapitalIncrease</t>
        </is>
      </c>
      <c r="C3" s="34" t="inlineStr">
        <is>
          <t>fsa:CashCapitalIncrease</t>
        </is>
      </c>
      <c r="D3" s="35" t="n">
        <v>-6</v>
      </c>
      <c r="E3" s="35" t="n">
        <v>-1020</v>
      </c>
      <c r="F3" s="35" t="n">
        <v>-876</v>
      </c>
      <c r="G3" s="35" t="n">
        <v>-1324</v>
      </c>
      <c r="H3" s="35" t="n">
        <v>-1446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fsa:ExtraordinaryPaymentsInflow</t>
        </is>
      </c>
      <c r="C4" s="37" t="inlineStr">
        <is>
          <t>fsa:ExtraordinaryPaymentsInflow</t>
        </is>
      </c>
      <c r="D4" s="38" t="n">
        <v>531</v>
      </c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fsa:SaleOfTreasuryShares</t>
        </is>
      </c>
      <c r="C5" s="34" t="inlineStr">
        <is>
          <t>fsa:SaleOfTreasuryShares</t>
        </is>
      </c>
      <c r="D5" s="35" t="n">
        <v>0</v>
      </c>
      <c r="E5" s="35" t="n">
        <v>0</v>
      </c>
      <c r="F5" s="35" t="n">
        <v>-98</v>
      </c>
      <c r="G5" s="35" t="n">
        <v>-10</v>
      </c>
      <c r="H5" s="35" t="n">
        <v>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fsa:ShareBasedPayment</t>
        </is>
      </c>
      <c r="C6" s="37" t="inlineStr">
        <is>
          <t>fsa:ShareBasedPayment</t>
        </is>
      </c>
      <c r="D6" s="38" t="n">
        <v>0</v>
      </c>
      <c r="E6" s="38" t="n"/>
      <c r="F6" s="38" t="n"/>
      <c r="G6" s="38" t="n"/>
      <c r="H6" s="38" t="n"/>
      <c r="I6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2026-09-11T07:38:10Z</dcterms:created>
  <dcterms:modified xmlns:dcterms="http://purl.org/dc/terms/" xmlns:xsi="http://www.w3.org/2001/XMLSchema-instance" xsi:type="dcterms:W3CDTF">2026-09-11T07:38:11Z</dcterms:modified>
</cp:coreProperties>
</file>