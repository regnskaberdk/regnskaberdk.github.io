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4707204" sheetId="1" state="visible" r:id="rId1"/>
    <sheet xmlns:r="http://schemas.openxmlformats.org/officeDocument/2006/relationships" name="res_raw_14707204" sheetId="2" state="visible" r:id="rId2"/>
    <sheet xmlns:r="http://schemas.openxmlformats.org/officeDocument/2006/relationships" name="balance_raw_14707204" sheetId="3" state="visible" r:id="rId3"/>
    <sheet xmlns:r="http://schemas.openxmlformats.org/officeDocument/2006/relationships" name="pengestrom_raw_14707204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Copenhagen Airports A/S (CVR 14707204) — Regnskabsanalyse – Resultatopgørelse &amp; Balance (t.kr.)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'res_raw_14707204'!$B$2</f>
        <v/>
      </c>
      <c r="C4" s="5">
        <f>'res_raw_14707204'!$C$2</f>
        <v/>
      </c>
      <c r="D4" s="5">
        <f>'res_raw_14707204'!$D$2</f>
        <v/>
      </c>
      <c r="E4" s="5">
        <f>'res_raw_14707204'!$E$2</f>
        <v/>
      </c>
      <c r="F4" s="5">
        <f>'res_raw_14707204'!$F$2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'res_raw_14707204'!$B$3</f>
        <v/>
      </c>
      <c r="C5" s="8">
        <f>'res_raw_14707204'!$C$3</f>
        <v/>
      </c>
      <c r="D5" s="8">
        <f>'res_raw_14707204'!$D$3</f>
        <v/>
      </c>
      <c r="E5" s="8">
        <f>'res_raw_14707204'!$E$3</f>
        <v/>
      </c>
      <c r="F5" s="8">
        <f>'res_raw_14707204'!$F$3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'res_raw_14707204'!$B$4</f>
        <v/>
      </c>
      <c r="C6" s="5">
        <f>'res_raw_14707204'!$C$4</f>
        <v/>
      </c>
      <c r="D6" s="5">
        <f>'res_raw_14707204'!$D$4</f>
        <v/>
      </c>
      <c r="E6" s="5">
        <f>'res_raw_14707204'!$E$4</f>
        <v/>
      </c>
      <c r="F6" s="5">
        <f>'res_raw_14707204'!$F$4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'res_raw_14707204'!$B$5</f>
        <v/>
      </c>
      <c r="C7" s="8">
        <f>'res_raw_14707204'!$C$5</f>
        <v/>
      </c>
      <c r="D7" s="8">
        <f>'res_raw_14707204'!$D$5</f>
        <v/>
      </c>
      <c r="E7" s="8">
        <f>'res_raw_14707204'!$E$5</f>
        <v/>
      </c>
      <c r="F7" s="8">
        <f>'res_raw_14707204'!$F$5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'res_raw_14707204'!$B$6</f>
        <v/>
      </c>
      <c r="C8" s="11">
        <f>'res_raw_14707204'!$C$6</f>
        <v/>
      </c>
      <c r="D8" s="11">
        <f>'res_raw_14707204'!$D$6</f>
        <v/>
      </c>
      <c r="E8" s="11">
        <f>'res_raw_14707204'!$E$6</f>
        <v/>
      </c>
      <c r="F8" s="11">
        <f>'res_raw_14707204'!$F$6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'res_raw_14707204'!$B$7</f>
        <v/>
      </c>
      <c r="C9" s="8">
        <f>'res_raw_14707204'!$C$7</f>
        <v/>
      </c>
      <c r="D9" s="8">
        <f>'res_raw_14707204'!$D$7</f>
        <v/>
      </c>
      <c r="E9" s="8">
        <f>'res_raw_14707204'!$E$7</f>
        <v/>
      </c>
      <c r="F9" s="8">
        <f>'res_raw_14707204'!$F$7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'res_raw_14707204'!$B$9</f>
        <v/>
      </c>
      <c r="C11" s="8">
        <f>'res_raw_14707204'!$C$9</f>
        <v/>
      </c>
      <c r="D11" s="8">
        <f>'res_raw_14707204'!$D$9</f>
        <v/>
      </c>
      <c r="E11" s="8">
        <f>'res_raw_14707204'!$E$9</f>
        <v/>
      </c>
      <c r="F11" s="8">
        <f>'res_raw_14707204'!$F$9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'res_raw_14707204'!$B$10</f>
        <v/>
      </c>
      <c r="C12" s="5">
        <f>'res_raw_14707204'!$C$10</f>
        <v/>
      </c>
      <c r="D12" s="5">
        <f>'res_raw_14707204'!$D$10</f>
        <v/>
      </c>
      <c r="E12" s="5">
        <f>'res_raw_14707204'!$E$10</f>
        <v/>
      </c>
      <c r="F12" s="5">
        <f>'res_raw_14707204'!$F$10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'res_raw_14707204'!$B$11</f>
        <v/>
      </c>
      <c r="C13" s="11">
        <f>'res_raw_14707204'!$C$11</f>
        <v/>
      </c>
      <c r="D13" s="11">
        <f>'res_raw_14707204'!$D$11</f>
        <v/>
      </c>
      <c r="E13" s="11">
        <f>'res_raw_14707204'!$E$11</f>
        <v/>
      </c>
      <c r="F13" s="11">
        <f>'res_raw_14707204'!$F$11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'res_raw_14707204'!$B$12</f>
        <v/>
      </c>
      <c r="C14" s="5">
        <f>'res_raw_14707204'!$C$12</f>
        <v/>
      </c>
      <c r="D14" s="5">
        <f>'res_raw_14707204'!$D$12</f>
        <v/>
      </c>
      <c r="E14" s="5">
        <f>'res_raw_14707204'!$E$12</f>
        <v/>
      </c>
      <c r="F14" s="5">
        <f>'res_raw_14707204'!$F$12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'res_raw_14707204'!$B$13</f>
        <v/>
      </c>
      <c r="C15" s="8">
        <f>'res_raw_14707204'!$C$13</f>
        <v/>
      </c>
      <c r="D15" s="8">
        <f>'res_raw_14707204'!$D$13</f>
        <v/>
      </c>
      <c r="E15" s="8">
        <f>'res_raw_14707204'!$E$13</f>
        <v/>
      </c>
      <c r="F15" s="8">
        <f>'res_raw_14707204'!$F$13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'res_raw_14707204'!$B$14</f>
        <v/>
      </c>
      <c r="C16" s="5">
        <f>'res_raw_14707204'!$C$14</f>
        <v/>
      </c>
      <c r="D16" s="5">
        <f>'res_raw_14707204'!$D$14</f>
        <v/>
      </c>
      <c r="E16" s="5">
        <f>'res_raw_14707204'!$E$14</f>
        <v/>
      </c>
      <c r="F16" s="5">
        <f>'res_raw_14707204'!$F$14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'res_raw_14707204'!$B$15</f>
        <v/>
      </c>
      <c r="C17" s="11">
        <f>'res_raw_14707204'!$C$15</f>
        <v/>
      </c>
      <c r="D17" s="11">
        <f>'res_raw_14707204'!$D$15</f>
        <v/>
      </c>
      <c r="E17" s="11">
        <f>'res_raw_14707204'!$E$15</f>
        <v/>
      </c>
      <c r="F17" s="11">
        <f>'res_raw_14707204'!$F$15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'res_raw_14707204'!$B$16</f>
        <v/>
      </c>
      <c r="C18" s="11">
        <f>'res_raw_14707204'!$C$16</f>
        <v/>
      </c>
      <c r="D18" s="11">
        <f>'res_raw_14707204'!$D$16</f>
        <v/>
      </c>
      <c r="E18" s="11">
        <f>'res_raw_14707204'!$E$16</f>
        <v/>
      </c>
      <c r="F18" s="11">
        <f>'res_raw_14707204'!$F$16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'res_raw_14707204'!$B$17</f>
        <v/>
      </c>
      <c r="C19" s="8">
        <f>'res_raw_14707204'!$C$17</f>
        <v/>
      </c>
      <c r="D19" s="8">
        <f>'res_raw_14707204'!$D$17</f>
        <v/>
      </c>
      <c r="E19" s="8">
        <f>'res_raw_14707204'!$E$17</f>
        <v/>
      </c>
      <c r="F19" s="8">
        <f>'res_raw_14707204'!$F$17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'res_raw_14707204'!$B$18</f>
        <v/>
      </c>
      <c r="C20" s="11">
        <f>'res_raw_14707204'!$C$18</f>
        <v/>
      </c>
      <c r="D20" s="11">
        <f>'res_raw_14707204'!$D$18</f>
        <v/>
      </c>
      <c r="E20" s="11">
        <f>'res_raw_14707204'!$E$18</f>
        <v/>
      </c>
      <c r="F20" s="11">
        <f>'res_raw_14707204'!$F$18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'balance_raw_14707204'!$B$2</f>
        <v/>
      </c>
      <c r="C23" s="11">
        <f>'balance_raw_14707204'!$C$2</f>
        <v/>
      </c>
      <c r="D23" s="11">
        <f>'balance_raw_14707204'!$D$2</f>
        <v/>
      </c>
      <c r="E23" s="11">
        <f>'balance_raw_14707204'!$E$2</f>
        <v/>
      </c>
      <c r="F23" s="11">
        <f>'balance_raw_14707204'!$F$2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Grunde og bygninger</t>
        </is>
      </c>
      <c r="B24" s="5">
        <f>'balance_raw_14707204'!$B$3</f>
        <v/>
      </c>
      <c r="C24" s="5">
        <f>'balance_raw_14707204'!$C$3</f>
        <v/>
      </c>
      <c r="D24" s="5">
        <f>'balance_raw_14707204'!$D$3</f>
        <v/>
      </c>
      <c r="E24" s="5">
        <f>'balance_raw_14707204'!$E$3</f>
        <v/>
      </c>
      <c r="F24" s="5">
        <f>'balance_raw_14707204'!$F$3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Produktionsanlæg og maskiner</t>
        </is>
      </c>
      <c r="B25" s="8">
        <f>'balance_raw_14707204'!$B$4</f>
        <v/>
      </c>
      <c r="C25" s="8">
        <f>'balance_raw_14707204'!$C$4</f>
        <v/>
      </c>
      <c r="D25" s="8">
        <f>'balance_raw_14707204'!$D$4</f>
        <v/>
      </c>
      <c r="E25" s="8">
        <f>'balance_raw_14707204'!$E$4</f>
        <v/>
      </c>
      <c r="F25" s="8">
        <f>'balance_raw_14707204'!$F$4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Driftsmateriel og inventar</t>
        </is>
      </c>
      <c r="B26" s="5">
        <f>'balance_raw_14707204'!$B$5</f>
        <v/>
      </c>
      <c r="C26" s="5">
        <f>'balance_raw_14707204'!$C$5</f>
        <v/>
      </c>
      <c r="D26" s="5">
        <f>'balance_raw_14707204'!$D$5</f>
        <v/>
      </c>
      <c r="E26" s="5">
        <f>'balance_raw_14707204'!$E$5</f>
        <v/>
      </c>
      <c r="F26" s="5">
        <f>'balance_raw_14707204'!$F$5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Indretning af lejede lokaler</t>
        </is>
      </c>
      <c r="B27" s="8">
        <f>'balance_raw_14707204'!$B$6</f>
        <v/>
      </c>
      <c r="C27" s="8">
        <f>'balance_raw_14707204'!$C$6</f>
        <v/>
      </c>
      <c r="D27" s="8">
        <f>'balance_raw_14707204'!$D$6</f>
        <v/>
      </c>
      <c r="E27" s="8">
        <f>'balance_raw_14707204'!$E$6</f>
        <v/>
      </c>
      <c r="F27" s="8">
        <f>'balance_raw_14707204'!$F$6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Forudbetaling og anlægsaktiver under opførelse</t>
        </is>
      </c>
      <c r="B28" s="5">
        <f>'balance_raw_14707204'!$B$7</f>
        <v/>
      </c>
      <c r="C28" s="5">
        <f>'balance_raw_14707204'!$C$7</f>
        <v/>
      </c>
      <c r="D28" s="5">
        <f>'balance_raw_14707204'!$D$7</f>
        <v/>
      </c>
      <c r="E28" s="5">
        <f>'balance_raw_14707204'!$E$7</f>
        <v/>
      </c>
      <c r="F28" s="5">
        <f>'balance_raw_14707204'!$F$7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Materielle anlægsaktiver</t>
        </is>
      </c>
      <c r="B29" s="11">
        <f>'balance_raw_14707204'!$B$8</f>
        <v/>
      </c>
      <c r="C29" s="11">
        <f>'balance_raw_14707204'!$C$8</f>
        <v/>
      </c>
      <c r="D29" s="11">
        <f>'balance_raw_14707204'!$D$8</f>
        <v/>
      </c>
      <c r="E29" s="11">
        <f>'balance_raw_14707204'!$E$8</f>
        <v/>
      </c>
      <c r="F29" s="11">
        <f>'balance_raw_14707204'!$F$8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Kapitalandele, dattervirksomheder</t>
        </is>
      </c>
      <c r="B30" s="5">
        <f>'balance_raw_14707204'!$B$9</f>
        <v/>
      </c>
      <c r="C30" s="5">
        <f>'balance_raw_14707204'!$C$9</f>
        <v/>
      </c>
      <c r="D30" s="5">
        <f>'balance_raw_14707204'!$D$9</f>
        <v/>
      </c>
      <c r="E30" s="5">
        <f>'balance_raw_14707204'!$E$9</f>
        <v/>
      </c>
      <c r="F30" s="5">
        <f>'balance_raw_14707204'!$F$9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Deposita</t>
        </is>
      </c>
      <c r="B31" s="8">
        <f>'balance_raw_14707204'!$B$10</f>
        <v/>
      </c>
      <c r="C31" s="8">
        <f>'balance_raw_14707204'!$C$10</f>
        <v/>
      </c>
      <c r="D31" s="8">
        <f>'balance_raw_14707204'!$D$10</f>
        <v/>
      </c>
      <c r="E31" s="8">
        <f>'balance_raw_14707204'!$E$10</f>
        <v/>
      </c>
      <c r="F31" s="8">
        <f>'balance_raw_14707204'!$F$10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Finansielle anlægsaktiver</t>
        </is>
      </c>
      <c r="B32" s="11">
        <f>'balance_raw_14707204'!$B$11</f>
        <v/>
      </c>
      <c r="C32" s="11">
        <f>'balance_raw_14707204'!$C$11</f>
        <v/>
      </c>
      <c r="D32" s="11">
        <f>'balance_raw_14707204'!$D$11</f>
        <v/>
      </c>
      <c r="E32" s="11">
        <f>'balance_raw_14707204'!$E$11</f>
        <v/>
      </c>
      <c r="F32" s="11">
        <f>'balance_raw_14707204'!$F$11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'balance_raw_14707204'!$B$12</f>
        <v/>
      </c>
      <c r="C33" s="11">
        <f>'balance_raw_14707204'!$C$12</f>
        <v/>
      </c>
      <c r="D33" s="11">
        <f>'balance_raw_14707204'!$D$12</f>
        <v/>
      </c>
      <c r="E33" s="11">
        <f>'balance_raw_14707204'!$E$12</f>
        <v/>
      </c>
      <c r="F33" s="11">
        <f>'balance_raw_14707204'!$F$12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'balance_raw_14707204'!$B$13</f>
        <v/>
      </c>
      <c r="C34" s="5">
        <f>'balance_raw_14707204'!$C$13</f>
        <v/>
      </c>
      <c r="D34" s="5">
        <f>'balance_raw_14707204'!$D$13</f>
        <v/>
      </c>
      <c r="E34" s="5">
        <f>'balance_raw_14707204'!$E$13</f>
        <v/>
      </c>
      <c r="F34" s="5">
        <f>'balance_raw_14707204'!$F$13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 hos tilknyttede virksomheder</t>
        </is>
      </c>
      <c r="B35" s="8">
        <f>'balance_raw_14707204'!$B$14</f>
        <v/>
      </c>
      <c r="C35" s="8">
        <f>'balance_raw_14707204'!$C$14</f>
        <v/>
      </c>
      <c r="D35" s="8">
        <f>'balance_raw_14707204'!$D$14</f>
        <v/>
      </c>
      <c r="E35" s="8">
        <f>'balance_raw_14707204'!$E$14</f>
        <v/>
      </c>
      <c r="F35" s="8">
        <f>'balance_raw_14707204'!$F$14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'balance_raw_14707204'!$B$15</f>
        <v/>
      </c>
      <c r="C36" s="5">
        <f>'balance_raw_14707204'!$C$15</f>
        <v/>
      </c>
      <c r="D36" s="5">
        <f>'balance_raw_14707204'!$D$15</f>
        <v/>
      </c>
      <c r="E36" s="5">
        <f>'balance_raw_14707204'!$E$15</f>
        <v/>
      </c>
      <c r="F36" s="5">
        <f>'balance_raw_14707204'!$F$15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Periodeafgrænsningsposter (aktiver)</t>
        </is>
      </c>
      <c r="B37" s="8">
        <f>'balance_raw_14707204'!$B$16</f>
        <v/>
      </c>
      <c r="C37" s="8">
        <f>'balance_raw_14707204'!$C$16</f>
        <v/>
      </c>
      <c r="D37" s="8">
        <f>'balance_raw_14707204'!$D$16</f>
        <v/>
      </c>
      <c r="E37" s="8">
        <f>'balance_raw_14707204'!$E$16</f>
        <v/>
      </c>
      <c r="F37" s="8">
        <f>'balance_raw_14707204'!$F$16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'balance_raw_14707204'!$B$17</f>
        <v/>
      </c>
      <c r="C38" s="5">
        <f>'balance_raw_14707204'!$C$17</f>
        <v/>
      </c>
      <c r="D38" s="5">
        <f>'balance_raw_14707204'!$D$17</f>
        <v/>
      </c>
      <c r="E38" s="5">
        <f>'balance_raw_14707204'!$E$17</f>
        <v/>
      </c>
      <c r="F38" s="5">
        <f>'balance_raw_14707204'!$F$17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 skat hos tilknyttede virksomheder</t>
        </is>
      </c>
      <c r="B39" s="8">
        <f>'balance_raw_14707204'!$B$18</f>
        <v/>
      </c>
      <c r="C39" s="8">
        <f>'balance_raw_14707204'!$C$18</f>
        <v/>
      </c>
      <c r="D39" s="8">
        <f>'balance_raw_14707204'!$D$18</f>
        <v/>
      </c>
      <c r="E39" s="8">
        <f>'balance_raw_14707204'!$E$18</f>
        <v/>
      </c>
      <c r="F39" s="8">
        <f>'balance_raw_14707204'!$F$18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'balance_raw_14707204'!$B$19</f>
        <v/>
      </c>
      <c r="C40" s="5">
        <f>'balance_raw_14707204'!$C$19</f>
        <v/>
      </c>
      <c r="D40" s="5">
        <f>'balance_raw_14707204'!$D$19</f>
        <v/>
      </c>
      <c r="E40" s="5">
        <f>'balance_raw_14707204'!$E$19</f>
        <v/>
      </c>
      <c r="F40" s="5">
        <f>'balance_raw_14707204'!$F$19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</t>
        </is>
      </c>
      <c r="B41" s="11">
        <f>'balance_raw_14707204'!$B$20</f>
        <v/>
      </c>
      <c r="C41" s="11">
        <f>'balance_raw_14707204'!$C$20</f>
        <v/>
      </c>
      <c r="D41" s="11">
        <f>'balance_raw_14707204'!$D$20</f>
        <v/>
      </c>
      <c r="E41" s="11">
        <f>'balance_raw_14707204'!$E$20</f>
        <v/>
      </c>
      <c r="F41" s="11">
        <f>'balance_raw_14707204'!$F$20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Værdipapirer</t>
        </is>
      </c>
      <c r="B42" s="5">
        <f>'balance_raw_14707204'!$B$21</f>
        <v/>
      </c>
      <c r="C42" s="5">
        <f>'balance_raw_14707204'!$C$21</f>
        <v/>
      </c>
      <c r="D42" s="5">
        <f>'balance_raw_14707204'!$D$21</f>
        <v/>
      </c>
      <c r="E42" s="5">
        <f>'balance_raw_14707204'!$E$21</f>
        <v/>
      </c>
      <c r="F42" s="5">
        <f>'balance_raw_14707204'!$F$21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Likvide beholdninger</t>
        </is>
      </c>
      <c r="B43" s="8">
        <f>'balance_raw_14707204'!$B$22</f>
        <v/>
      </c>
      <c r="C43" s="8">
        <f>'balance_raw_14707204'!$C$22</f>
        <v/>
      </c>
      <c r="D43" s="8">
        <f>'balance_raw_14707204'!$D$22</f>
        <v/>
      </c>
      <c r="E43" s="8">
        <f>'balance_raw_14707204'!$E$22</f>
        <v/>
      </c>
      <c r="F43" s="8">
        <f>'balance_raw_14707204'!$F$22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Omsætningsaktiver</t>
        </is>
      </c>
      <c r="B44" s="11">
        <f>'balance_raw_14707204'!$B$23</f>
        <v/>
      </c>
      <c r="C44" s="11">
        <f>'balance_raw_14707204'!$C$23</f>
        <v/>
      </c>
      <c r="D44" s="11">
        <f>'balance_raw_14707204'!$D$23</f>
        <v/>
      </c>
      <c r="E44" s="11">
        <f>'balance_raw_14707204'!$E$23</f>
        <v/>
      </c>
      <c r="F44" s="11">
        <f>'balance_raw_14707204'!$F$23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10" t="inlineStr">
        <is>
          <t>Aktiver</t>
        </is>
      </c>
      <c r="B45" s="11">
        <f>'balance_raw_14707204'!$B$24</f>
        <v/>
      </c>
      <c r="C45" s="11">
        <f>'balance_raw_14707204'!$C$24</f>
        <v/>
      </c>
      <c r="D45" s="11">
        <f>'balance_raw_14707204'!$D$24</f>
        <v/>
      </c>
      <c r="E45" s="11">
        <f>'balance_raw_14707204'!$E$24</f>
        <v/>
      </c>
      <c r="F45" s="11">
        <f>'balance_raw_14707204'!$F$24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7" ht="22" customHeight="1">
      <c r="A47" s="3" t="inlineStr">
        <is>
          <t>PASSIVER t.kr.</t>
        </is>
      </c>
      <c r="B47" s="3" t="n">
        <v>2021</v>
      </c>
      <c r="C47" s="3" t="n">
        <v>2022</v>
      </c>
      <c r="D47" s="3" t="n">
        <v>2023</v>
      </c>
      <c r="E47" s="3" t="n">
        <v>2024</v>
      </c>
      <c r="F47" s="3" t="n">
        <v>2025</v>
      </c>
      <c r="G47" t="inlineStr"/>
      <c r="H47" s="3" t="n">
        <v>2021</v>
      </c>
      <c r="I47" s="3" t="n">
        <v>2022</v>
      </c>
      <c r="J47" s="3" t="n">
        <v>2023</v>
      </c>
      <c r="K47" s="3" t="n">
        <v>2024</v>
      </c>
      <c r="L47" s="3" t="n">
        <v>2025</v>
      </c>
    </row>
    <row r="48" ht="16" customHeight="1">
      <c r="A48" s="4" t="inlineStr">
        <is>
          <t>Selskabskapital</t>
        </is>
      </c>
      <c r="B48" s="5">
        <f>'balance_raw_14707204'!$B$25</f>
        <v/>
      </c>
      <c r="C48" s="5">
        <f>'balance_raw_14707204'!$C$25</f>
        <v/>
      </c>
      <c r="D48" s="5">
        <f>'balance_raw_14707204'!$D$25</f>
        <v/>
      </c>
      <c r="E48" s="5">
        <f>'balance_raw_14707204'!$E$25</f>
        <v/>
      </c>
      <c r="F48" s="5">
        <f>'balance_raw_14707204'!$F$25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nettoopskrivning (indre værdis metode)</t>
        </is>
      </c>
      <c r="B49" s="8">
        <f>'balance_raw_14707204'!$B$26</f>
        <v/>
      </c>
      <c r="C49" s="8">
        <f>'balance_raw_14707204'!$C$26</f>
        <v/>
      </c>
      <c r="D49" s="8">
        <f>'balance_raw_14707204'!$D$26</f>
        <v/>
      </c>
      <c r="E49" s="8">
        <f>'balance_raw_14707204'!$E$26</f>
        <v/>
      </c>
      <c r="F49" s="8">
        <f>'balance_raw_14707204'!$F$26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'balance_raw_14707204'!$B$27</f>
        <v/>
      </c>
      <c r="C50" s="5">
        <f>'balance_raw_14707204'!$C$27</f>
        <v/>
      </c>
      <c r="D50" s="5">
        <f>'balance_raw_14707204'!$D$27</f>
        <v/>
      </c>
      <c r="E50" s="5">
        <f>'balance_raw_14707204'!$E$27</f>
        <v/>
      </c>
      <c r="F50" s="5">
        <f>'balance_raw_14707204'!$F$27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sikringstransaktioner</t>
        </is>
      </c>
      <c r="B51" s="8">
        <f>'balance_raw_14707204'!$B$28</f>
        <v/>
      </c>
      <c r="C51" s="8">
        <f>'balance_raw_14707204'!$C$28</f>
        <v/>
      </c>
      <c r="D51" s="8">
        <f>'balance_raw_14707204'!$D$28</f>
        <v/>
      </c>
      <c r="E51" s="8">
        <f>'balance_raw_14707204'!$E$28</f>
        <v/>
      </c>
      <c r="F51" s="8">
        <f>'balance_raw_14707204'!$F$28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Andre reserver</t>
        </is>
      </c>
      <c r="B52" s="5">
        <f>'balance_raw_14707204'!$B$29</f>
        <v/>
      </c>
      <c r="C52" s="5">
        <f>'balance_raw_14707204'!$C$29</f>
        <v/>
      </c>
      <c r="D52" s="5">
        <f>'balance_raw_14707204'!$D$29</f>
        <v/>
      </c>
      <c r="E52" s="5">
        <f>'balance_raw_14707204'!$E$29</f>
        <v/>
      </c>
      <c r="F52" s="5">
        <f>'balance_raw_14707204'!$F$29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Overført resultat</t>
        </is>
      </c>
      <c r="B53" s="8">
        <f>'balance_raw_14707204'!$B$30</f>
        <v/>
      </c>
      <c r="C53" s="8">
        <f>'balance_raw_14707204'!$C$30</f>
        <v/>
      </c>
      <c r="D53" s="8">
        <f>'balance_raw_14707204'!$D$30</f>
        <v/>
      </c>
      <c r="E53" s="8">
        <f>'balance_raw_14707204'!$E$30</f>
        <v/>
      </c>
      <c r="F53" s="8">
        <f>'balance_raw_14707204'!$F$30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10" t="inlineStr">
        <is>
          <t>Egenkapital i alt</t>
        </is>
      </c>
      <c r="B54" s="11">
        <f>'balance_raw_14707204'!$B$31</f>
        <v/>
      </c>
      <c r="C54" s="11">
        <f>'balance_raw_14707204'!$C$31</f>
        <v/>
      </c>
      <c r="D54" s="11">
        <f>'balance_raw_14707204'!$D$31</f>
        <v/>
      </c>
      <c r="E54" s="11">
        <f>'balance_raw_14707204'!$E$31</f>
        <v/>
      </c>
      <c r="F54" s="11">
        <f>'balance_raw_14707204'!$F$31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Hensættelse til udskudt skat</t>
        </is>
      </c>
      <c r="B55" s="8">
        <f>'balance_raw_14707204'!$B$32</f>
        <v/>
      </c>
      <c r="C55" s="8">
        <f>'balance_raw_14707204'!$C$32</f>
        <v/>
      </c>
      <c r="D55" s="8">
        <f>'balance_raw_14707204'!$D$32</f>
        <v/>
      </c>
      <c r="E55" s="8">
        <f>'balance_raw_14707204'!$E$32</f>
        <v/>
      </c>
      <c r="F55" s="8">
        <f>'balance_raw_14707204'!$F$32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10" t="inlineStr">
        <is>
          <t>Hensatte forpligtelser</t>
        </is>
      </c>
      <c r="B56" s="11">
        <f>'balance_raw_14707204'!$B$33</f>
        <v/>
      </c>
      <c r="C56" s="11">
        <f>'balance_raw_14707204'!$C$33</f>
        <v/>
      </c>
      <c r="D56" s="11">
        <f>'balance_raw_14707204'!$D$33</f>
        <v/>
      </c>
      <c r="E56" s="11">
        <f>'balance_raw_14707204'!$E$33</f>
        <v/>
      </c>
      <c r="F56" s="11">
        <f>'balance_raw_14707204'!$F$33</f>
        <v/>
      </c>
      <c r="G56" t="inlineStr"/>
      <c r="H56" s="12">
        <f>IFERROR(B56/$B$56*100,"")</f>
        <v/>
      </c>
      <c r="I56" s="12">
        <f>IFERROR(C56/$B$56*100,"")</f>
        <v/>
      </c>
      <c r="J56" s="12">
        <f>IFERROR(D56/$B$56*100,"")</f>
        <v/>
      </c>
      <c r="K56" s="12">
        <f>IFERROR(E56/$B$56*100,"")</f>
        <v/>
      </c>
      <c r="L56" s="12">
        <f>IFERROR(F56/$B$56*100,"")</f>
        <v/>
      </c>
    </row>
    <row r="57" ht="16" customHeight="1">
      <c r="A57" s="7" t="inlineStr">
        <is>
          <t>Ansvarlig lånekapital (langfristet)</t>
        </is>
      </c>
      <c r="B57" s="8">
        <f>'balance_raw_14707204'!$B$34</f>
        <v/>
      </c>
      <c r="C57" s="8">
        <f>'balance_raw_14707204'!$C$34</f>
        <v/>
      </c>
      <c r="D57" s="8">
        <f>'balance_raw_14707204'!$D$34</f>
        <v/>
      </c>
      <c r="E57" s="8">
        <f>'balance_raw_14707204'!$E$34</f>
        <v/>
      </c>
      <c r="F57" s="8">
        <f>'balance_raw_14707204'!$F$34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Langfristede lån</t>
        </is>
      </c>
      <c r="B58" s="5">
        <f>'balance_raw_14707204'!$B$35</f>
        <v/>
      </c>
      <c r="C58" s="5">
        <f>'balance_raw_14707204'!$C$35</f>
        <v/>
      </c>
      <c r="D58" s="5">
        <f>'balance_raw_14707204'!$D$35</f>
        <v/>
      </c>
      <c r="E58" s="5">
        <f>'balance_raw_14707204'!$E$35</f>
        <v/>
      </c>
      <c r="F58" s="5">
        <f>'balance_raw_14707204'!$F$35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Leasingforpligtelser (langfristet)</t>
        </is>
      </c>
      <c r="B59" s="8">
        <f>'balance_raw_14707204'!$B$36</f>
        <v/>
      </c>
      <c r="C59" s="8">
        <f>'balance_raw_14707204'!$C$36</f>
        <v/>
      </c>
      <c r="D59" s="8">
        <f>'balance_raw_14707204'!$D$36</f>
        <v/>
      </c>
      <c r="E59" s="8">
        <f>'balance_raw_14707204'!$E$36</f>
        <v/>
      </c>
      <c r="F59" s="8">
        <f>'balance_raw_14707204'!$F$36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Anden gæld (langfristet)</t>
        </is>
      </c>
      <c r="B60" s="5">
        <f>'balance_raw_14707204'!$B$37</f>
        <v/>
      </c>
      <c r="C60" s="5">
        <f>'balance_raw_14707204'!$C$37</f>
        <v/>
      </c>
      <c r="D60" s="5">
        <f>'balance_raw_14707204'!$D$37</f>
        <v/>
      </c>
      <c r="E60" s="5">
        <f>'balance_raw_14707204'!$E$37</f>
        <v/>
      </c>
      <c r="F60" s="5">
        <f>'balance_raw_14707204'!$F$37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Langfristede gældsforpligtelser</t>
        </is>
      </c>
      <c r="B61" s="11">
        <f>'balance_raw_14707204'!$B$38</f>
        <v/>
      </c>
      <c r="C61" s="11">
        <f>'balance_raw_14707204'!$C$38</f>
        <v/>
      </c>
      <c r="D61" s="11">
        <f>'balance_raw_14707204'!$D$38</f>
        <v/>
      </c>
      <c r="E61" s="11">
        <f>'balance_raw_14707204'!$E$38</f>
        <v/>
      </c>
      <c r="F61" s="11">
        <f>'balance_raw_14707204'!$F$38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'balance_raw_14707204'!$B$39</f>
        <v/>
      </c>
      <c r="C62" s="5">
        <f>'balance_raw_14707204'!$C$39</f>
        <v/>
      </c>
      <c r="D62" s="5">
        <f>'balance_raw_14707204'!$D$39</f>
        <v/>
      </c>
      <c r="E62" s="5">
        <f>'balance_raw_14707204'!$E$39</f>
        <v/>
      </c>
      <c r="F62" s="5">
        <f>'balance_raw_14707204'!$F$39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Kortfristet del af langfristede gældsforpligtelser</t>
        </is>
      </c>
      <c r="B63" s="8">
        <f>'balance_raw_14707204'!$B$40</f>
        <v/>
      </c>
      <c r="C63" s="8">
        <f>'balance_raw_14707204'!$C$40</f>
        <v/>
      </c>
      <c r="D63" s="8">
        <f>'balance_raw_14707204'!$D$40</f>
        <v/>
      </c>
      <c r="E63" s="8">
        <f>'balance_raw_14707204'!$E$40</f>
        <v/>
      </c>
      <c r="F63" s="8">
        <f>'balance_raw_14707204'!$F$40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Kreditinstitutter</t>
        </is>
      </c>
      <c r="B64" s="5">
        <f>'balance_raw_14707204'!$B$41</f>
        <v/>
      </c>
      <c r="C64" s="5">
        <f>'balance_raw_14707204'!$C$41</f>
        <v/>
      </c>
      <c r="D64" s="5">
        <f>'balance_raw_14707204'!$D$41</f>
        <v/>
      </c>
      <c r="E64" s="5">
        <f>'balance_raw_14707204'!$E$41</f>
        <v/>
      </c>
      <c r="F64" s="5">
        <f>'balance_raw_14707204'!$F$41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(kortfristet)</t>
        </is>
      </c>
      <c r="B65" s="8">
        <f>'balance_raw_14707204'!$B$42</f>
        <v/>
      </c>
      <c r="C65" s="8">
        <f>'balance_raw_14707204'!$C$42</f>
        <v/>
      </c>
      <c r="D65" s="8">
        <f>'balance_raw_14707204'!$D$42</f>
        <v/>
      </c>
      <c r="E65" s="8">
        <f>'balance_raw_14707204'!$E$42</f>
        <v/>
      </c>
      <c r="F65" s="8">
        <f>'balance_raw_14707204'!$F$42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'balance_raw_14707204'!$B$43</f>
        <v/>
      </c>
      <c r="C66" s="5">
        <f>'balance_raw_14707204'!$C$43</f>
        <v/>
      </c>
      <c r="D66" s="5">
        <f>'balance_raw_14707204'!$D$43</f>
        <v/>
      </c>
      <c r="E66" s="5">
        <f>'balance_raw_14707204'!$E$43</f>
        <v/>
      </c>
      <c r="F66" s="5">
        <f>'balance_raw_14707204'!$F$43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tilknyttede virksomheder</t>
        </is>
      </c>
      <c r="B67" s="8">
        <f>'balance_raw_14707204'!$B$44</f>
        <v/>
      </c>
      <c r="C67" s="8">
        <f>'balance_raw_14707204'!$C$44</f>
        <v/>
      </c>
      <c r="D67" s="8">
        <f>'balance_raw_14707204'!$D$44</f>
        <v/>
      </c>
      <c r="E67" s="8">
        <f>'balance_raw_14707204'!$E$44</f>
        <v/>
      </c>
      <c r="F67" s="8">
        <f>'balance_raw_14707204'!$F$44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'balance_raw_14707204'!$B$45</f>
        <v/>
      </c>
      <c r="C68" s="5">
        <f>'balance_raw_14707204'!$C$45</f>
        <v/>
      </c>
      <c r="D68" s="5">
        <f>'balance_raw_14707204'!$D$45</f>
        <v/>
      </c>
      <c r="E68" s="5">
        <f>'balance_raw_14707204'!$E$45</f>
        <v/>
      </c>
      <c r="F68" s="5">
        <f>'balance_raw_14707204'!$F$45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Selskabsskat</t>
        </is>
      </c>
      <c r="B69" s="8">
        <f>'balance_raw_14707204'!$B$46</f>
        <v/>
      </c>
      <c r="C69" s="8">
        <f>'balance_raw_14707204'!$C$46</f>
        <v/>
      </c>
      <c r="D69" s="8">
        <f>'balance_raw_14707204'!$D$46</f>
        <v/>
      </c>
      <c r="E69" s="8">
        <f>'balance_raw_14707204'!$E$46</f>
        <v/>
      </c>
      <c r="F69" s="8">
        <f>'balance_raw_14707204'!$F$46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'balance_raw_14707204'!$B$47</f>
        <v/>
      </c>
      <c r="C70" s="5">
        <f>'balance_raw_14707204'!$C$47</f>
        <v/>
      </c>
      <c r="D70" s="5">
        <f>'balance_raw_14707204'!$D$47</f>
        <v/>
      </c>
      <c r="E70" s="5">
        <f>'balance_raw_14707204'!$E$47</f>
        <v/>
      </c>
      <c r="F70" s="5">
        <f>'balance_raw_14707204'!$F$47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Anden gæld (kortfristet)</t>
        </is>
      </c>
      <c r="B71" s="8">
        <f>'balance_raw_14707204'!$B$48</f>
        <v/>
      </c>
      <c r="C71" s="8">
        <f>'balance_raw_14707204'!$C$48</f>
        <v/>
      </c>
      <c r="D71" s="8">
        <f>'balance_raw_14707204'!$D$48</f>
        <v/>
      </c>
      <c r="E71" s="8">
        <f>'balance_raw_14707204'!$E$48</f>
        <v/>
      </c>
      <c r="F71" s="8">
        <f>'balance_raw_14707204'!$F$48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'balance_raw_14707204'!$B$49</f>
        <v/>
      </c>
      <c r="C72" s="5">
        <f>'balance_raw_14707204'!$C$49</f>
        <v/>
      </c>
      <c r="D72" s="5">
        <f>'balance_raw_14707204'!$D$49</f>
        <v/>
      </c>
      <c r="E72" s="5">
        <f>'balance_raw_14707204'!$E$49</f>
        <v/>
      </c>
      <c r="F72" s="5">
        <f>'balance_raw_14707204'!$F$49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Kortfristede gældsforpligtelser</t>
        </is>
      </c>
      <c r="B73" s="11">
        <f>'balance_raw_14707204'!$B$50</f>
        <v/>
      </c>
      <c r="C73" s="11">
        <f>'balance_raw_14707204'!$C$50</f>
        <v/>
      </c>
      <c r="D73" s="11">
        <f>'balance_raw_14707204'!$D$50</f>
        <v/>
      </c>
      <c r="E73" s="11">
        <f>'balance_raw_14707204'!$E$50</f>
        <v/>
      </c>
      <c r="F73" s="11">
        <f>'balance_raw_14707204'!$F$50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Gældsforpligtelser</t>
        </is>
      </c>
      <c r="B74" s="11">
        <f>'balance_raw_14707204'!$B$51</f>
        <v/>
      </c>
      <c r="C74" s="11">
        <f>'balance_raw_14707204'!$C$51</f>
        <v/>
      </c>
      <c r="D74" s="11">
        <f>'balance_raw_14707204'!$D$51</f>
        <v/>
      </c>
      <c r="E74" s="11">
        <f>'balance_raw_14707204'!$E$51</f>
        <v/>
      </c>
      <c r="F74" s="11">
        <f>'balance_raw_14707204'!$F$51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Passiver</t>
        </is>
      </c>
      <c r="B75" s="11">
        <f>'balance_raw_14707204'!$B$52</f>
        <v/>
      </c>
      <c r="C75" s="11">
        <f>'balance_raw_14707204'!$C$52</f>
        <v/>
      </c>
      <c r="D75" s="11">
        <f>'balance_raw_14707204'!$D$52</f>
        <v/>
      </c>
      <c r="E75" s="11">
        <f>'balance_raw_14707204'!$E$52</f>
        <v/>
      </c>
      <c r="F75" s="11">
        <f>'balance_raw_14707204'!$F$52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7" ht="22" customHeight="1">
      <c r="A77" s="3" t="inlineStr">
        <is>
          <t>NØGLEOPLYSNINGER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Gns. antal medarbejdere</t>
        </is>
      </c>
      <c r="B78" s="5">
        <f>'res_raw_14707204'!$B$19</f>
        <v/>
      </c>
      <c r="C78" s="5">
        <f>'res_raw_14707204'!$C$19</f>
        <v/>
      </c>
      <c r="D78" s="5">
        <f>'res_raw_14707204'!$D$19</f>
        <v/>
      </c>
      <c r="E78" s="5">
        <f>'res_raw_14707204'!$E$19</f>
        <v/>
      </c>
      <c r="F78" s="5">
        <f>'res_raw_14707204'!$F$19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Investering i materielle anlægsaktiver</t>
        </is>
      </c>
      <c r="B79" s="8">
        <f>'res_raw_14707204'!$B$20</f>
        <v/>
      </c>
      <c r="C79" s="8">
        <f>'res_raw_14707204'!$C$20</f>
        <v/>
      </c>
      <c r="D79" s="8">
        <f>'res_raw_14707204'!$D$20</f>
        <v/>
      </c>
      <c r="E79" s="8">
        <f>'res_raw_14707204'!$E$20</f>
        <v/>
      </c>
      <c r="F79" s="8">
        <f>'res_raw_14707204'!$F$20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1" ht="22" customHeight="1">
      <c r="A81" s="3" t="inlineStr">
        <is>
          <t>NØGLETAL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Afkastningsgrad, %</t>
        </is>
      </c>
      <c r="B82" s="13">
        <f>IFERROR(($B$13+$B$15+$B$14)/$B$45*100,"")</f>
        <v/>
      </c>
      <c r="C82" s="13">
        <f>IFERROR(($C$13+$C$15+$C$14)/$C$45*100,"")</f>
        <v/>
      </c>
      <c r="D82" s="13">
        <f>IFERROR(($D$13+$D$15+$D$14)/$D$45*100,"")</f>
        <v/>
      </c>
      <c r="E82" s="13">
        <f>IFERROR(($E$13+$E$15+$E$14)/$E$45*100,"")</f>
        <v/>
      </c>
      <c r="F82" s="13">
        <f>IFERROR(($F$13+$F$15+$F$14)/$F$45*100,"")</f>
        <v/>
      </c>
    </row>
    <row r="83" ht="16" customHeight="1">
      <c r="A83" s="7" t="inlineStr">
        <is>
          <t>Overskudsgrad, %</t>
        </is>
      </c>
      <c r="B83" s="14">
        <f>IFERROR(($B$13+$B$15+$B$14)/$B$4*100,"")</f>
        <v/>
      </c>
      <c r="C83" s="14">
        <f>IFERROR(($C$13+$C$15+$C$14)/$C$4*100,"")</f>
        <v/>
      </c>
      <c r="D83" s="14">
        <f>IFERROR(($D$13+$D$15+$D$14)/$D$4*100,"")</f>
        <v/>
      </c>
      <c r="E83" s="14">
        <f>IFERROR(($E$13+$E$15+$E$14)/$E$4*100,"")</f>
        <v/>
      </c>
      <c r="F83" s="14">
        <f>IFERROR(($F$13+$F$15+$F$14)/$F$4*100,"")</f>
        <v/>
      </c>
    </row>
    <row r="84" ht="16" customHeight="1">
      <c r="A84" s="4" t="inlineStr">
        <is>
          <t>Aktivernes omsætningshastighed, gange</t>
        </is>
      </c>
      <c r="B84" s="13">
        <f>IFERROR($B$4/$B$45,"")</f>
        <v/>
      </c>
      <c r="C84" s="13">
        <f>IFERROR($C$4/$C$45,"")</f>
        <v/>
      </c>
      <c r="D84" s="13">
        <f>IFERROR($D$4/$D$45,"")</f>
        <v/>
      </c>
      <c r="E84" s="13">
        <f>IFERROR($E$4/$E$45,"")</f>
        <v/>
      </c>
      <c r="F84" s="13">
        <f>IFERROR($F$4/$F$45,"")</f>
        <v/>
      </c>
    </row>
    <row r="85" ht="16" customHeight="1">
      <c r="A85" s="7" t="inlineStr">
        <is>
          <t>Egenkapitalens forrentning, %</t>
        </is>
      </c>
      <c r="B85" s="14">
        <f>IFERROR($B$18/$B$54*100,"")</f>
        <v/>
      </c>
      <c r="C85" s="14">
        <f>IFERROR($C$18/$C$54*100,"")</f>
        <v/>
      </c>
      <c r="D85" s="14">
        <f>IFERROR($D$18/$D$54*100,"")</f>
        <v/>
      </c>
      <c r="E85" s="14">
        <f>IFERROR($E$18/$E$54*100,"")</f>
        <v/>
      </c>
      <c r="F85" s="14">
        <f>IFERROR($F$18/$F$54*100,"")</f>
        <v/>
      </c>
    </row>
    <row r="86" ht="16" customHeight="1">
      <c r="A86" s="4" t="inlineStr">
        <is>
          <t>Gældsrente, %</t>
        </is>
      </c>
      <c r="B86" s="13">
        <f>IFERROR($B$16/($B$75-$B$54)*100,"")</f>
        <v/>
      </c>
      <c r="C86" s="13">
        <f>IFERROR($C$16/($C$75-$C$54)*100,"")</f>
        <v/>
      </c>
      <c r="D86" s="13">
        <f>IFERROR($D$16/($D$75-$D$54)*100,"")</f>
        <v/>
      </c>
      <c r="E86" s="13">
        <f>IFERROR($E$16/($E$75-$E$54)*100,"")</f>
        <v/>
      </c>
      <c r="F86" s="13">
        <f>IFERROR($F$16/($F$75-$F$54)*100,"")</f>
        <v/>
      </c>
    </row>
    <row r="87" ht="16" customHeight="1">
      <c r="A87" s="7" t="inlineStr">
        <is>
          <t>Soliditetsgrad, %</t>
        </is>
      </c>
      <c r="B87" s="14">
        <f>IFERROR($B$54/$B$45*100,"")</f>
        <v/>
      </c>
      <c r="C87" s="14">
        <f>IFERROR($C$54/$C$45*100,"")</f>
        <v/>
      </c>
      <c r="D87" s="14">
        <f>IFERROR($D$54/$D$45*100,"")</f>
        <v/>
      </c>
      <c r="E87" s="14">
        <f>IFERROR($E$54/$E$45*100,"")</f>
        <v/>
      </c>
      <c r="F87" s="14">
        <f>IFERROR($F$54/$F$45*100,"")</f>
        <v/>
      </c>
    </row>
    <row r="88" ht="16" customHeight="1">
      <c r="A88" s="4" t="inlineStr">
        <is>
          <t>Gearing</t>
        </is>
      </c>
      <c r="B88" s="13">
        <f>IFERROR(($B$75-$B$54)/$B$54,"")</f>
        <v/>
      </c>
      <c r="C88" s="13">
        <f>IFERROR(($C$75-$C$54)/$C$54,"")</f>
        <v/>
      </c>
      <c r="D88" s="13">
        <f>IFERROR(($D$75-$D$54)/$D$54,"")</f>
        <v/>
      </c>
      <c r="E88" s="13">
        <f>IFERROR(($E$75-$E$54)/$E$54,"")</f>
        <v/>
      </c>
      <c r="F88" s="13">
        <f>IFERROR(($F$75-$F$54)/$F$54,"")</f>
        <v/>
      </c>
    </row>
    <row r="89" ht="16" customHeight="1">
      <c r="A89" s="7" t="inlineStr">
        <is>
          <t>Likviditetsgrad, %</t>
        </is>
      </c>
      <c r="B89" s="14">
        <f>IFERROR($B$44/$B$73*100,"")</f>
        <v/>
      </c>
      <c r="C89" s="14">
        <f>IFERROR($C$44/$C$73*100,"")</f>
        <v/>
      </c>
      <c r="D89" s="14">
        <f>IFERROR($D$44/$D$73*100,"")</f>
        <v/>
      </c>
      <c r="E89" s="14">
        <f>IFERROR($E$44/$E$73*100,"")</f>
        <v/>
      </c>
      <c r="F89" s="14">
        <f>IFERROR($F$44/$F$73*100,"")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7" t="inlineStr">
        <is>
          <t>Gældsandel, %</t>
        </is>
      </c>
      <c r="B91" s="14">
        <f>IFERROR(($B$75-$B$54)/$B$45*100,"")</f>
        <v/>
      </c>
      <c r="C91" s="14">
        <f>IFERROR(($C$75-$C$54)/$C$45*100,"")</f>
        <v/>
      </c>
      <c r="D91" s="14">
        <f>IFERROR(($D$75-$D$54)/$D$45*100,"")</f>
        <v/>
      </c>
      <c r="E91" s="14">
        <f>IFERROR(($E$75-$E$54)/$E$45*100,"")</f>
        <v/>
      </c>
      <c r="F91" s="14">
        <f>IFERROR(($F$75-$F$54)/$F$45*100,"")</f>
        <v/>
      </c>
    </row>
    <row r="92" ht="16" customHeight="1">
      <c r="A92" s="4" t="inlineStr">
        <is>
          <t>Kapitalbindingsgrad, %</t>
        </is>
      </c>
      <c r="B92" s="13">
        <f>IFERROR($B$33/($B$54+$B$61)*100,"")</f>
        <v/>
      </c>
      <c r="C92" s="13">
        <f>IFERROR($C$33/($C$54+$C$61)*100,"")</f>
        <v/>
      </c>
      <c r="D92" s="13">
        <f>IFERROR($D$33/($D$54+$D$61)*100,"")</f>
        <v/>
      </c>
      <c r="E92" s="13">
        <f>IFERROR($E$33/($E$54+$E$61)*100,"")</f>
        <v/>
      </c>
      <c r="F92" s="13">
        <f>IFERROR($F$33/($F$54+$F$61)*100,"")</f>
        <v/>
      </c>
    </row>
    <row r="94">
      <c r="A94" s="15" t="inlineStr">
        <is>
          <t>PENGESTRØMSOPGØRELSE t.kr.</t>
        </is>
      </c>
    </row>
    <row r="95">
      <c r="A95" s="16" t="inlineStr">
        <is>
          <t>Pengestrømme fra driftsaktivitet</t>
        </is>
      </c>
      <c r="B95" s="17">
        <f>'pengestrom_raw_14707204'!$B$2</f>
        <v/>
      </c>
      <c r="C95" s="17">
        <f>'pengestrom_raw_14707204'!$C$2</f>
        <v/>
      </c>
      <c r="D95" s="17">
        <f>'pengestrom_raw_14707204'!$D$2</f>
        <v/>
      </c>
      <c r="E95" s="17">
        <f>'pengestrom_raw_14707204'!$E$2</f>
        <v/>
      </c>
      <c r="F95" s="17">
        <f>'pengestrom_raw_14707204'!$F$2</f>
        <v/>
      </c>
    </row>
    <row r="96">
      <c r="A96" s="16" t="inlineStr">
        <is>
          <t>Pengestrømme fra investeringsaktivitet</t>
        </is>
      </c>
      <c r="B96" s="17">
        <f>'pengestrom_raw_14707204'!$B$3</f>
        <v/>
      </c>
      <c r="C96" s="17">
        <f>'pengestrom_raw_14707204'!$C$3</f>
        <v/>
      </c>
      <c r="D96" s="17">
        <f>'pengestrom_raw_14707204'!$D$3</f>
        <v/>
      </c>
      <c r="E96" s="17">
        <f>'pengestrom_raw_14707204'!$E$3</f>
        <v/>
      </c>
      <c r="F96" s="17">
        <f>'pengestrom_raw_14707204'!$F$3</f>
        <v/>
      </c>
    </row>
    <row r="97">
      <c r="A97" s="16" t="inlineStr">
        <is>
          <t>Pengestrømme fra finansieringsaktivitet</t>
        </is>
      </c>
      <c r="B97" s="17">
        <f>'pengestrom_raw_14707204'!$B$4</f>
        <v/>
      </c>
      <c r="C97" s="17">
        <f>'pengestrom_raw_14707204'!$C$4</f>
        <v/>
      </c>
      <c r="D97" s="17">
        <f>'pengestrom_raw_14707204'!$D$4</f>
        <v/>
      </c>
      <c r="E97" s="17">
        <f>'pengestrom_raw_14707204'!$E$4</f>
        <v/>
      </c>
      <c r="F97" s="17">
        <f>'pengestrom_raw_14707204'!$F$4</f>
        <v/>
      </c>
    </row>
    <row r="98">
      <c r="A98" s="16" t="inlineStr">
        <is>
          <t>Årets pengestrøm (rapporteret)</t>
        </is>
      </c>
      <c r="B98" s="17">
        <f>'pengestrom_raw_14707204'!$B$5</f>
        <v/>
      </c>
      <c r="C98" s="17">
        <f>'pengestrom_raw_14707204'!$C$5</f>
        <v/>
      </c>
      <c r="D98" s="17">
        <f>'pengestrom_raw_14707204'!$D$5</f>
        <v/>
      </c>
      <c r="E98" s="17">
        <f>'pengestrom_raw_14707204'!$E$5</f>
        <v/>
      </c>
      <c r="F98" s="17">
        <f>'pengestrom_raw_14707204'!$F$5</f>
        <v/>
      </c>
    </row>
    <row r="99">
      <c r="A99" s="16" t="inlineStr">
        <is>
          <t>Krydstjek: drift + inv. + fin. = årets pengestrøm</t>
        </is>
      </c>
      <c r="B99">
        <f>IF(ABS(('pengestrom_raw_14707204'!$B$2+'pengestrom_raw_14707204'!$B$3+'pengestrom_raw_14707204'!$B$4)-'pengestrom_raw_14707204'!$B$5)&lt;=2,"✓","⚠ "&amp;TEXT(('pengestrom_raw_14707204'!$B$2+'pengestrom_raw_14707204'!$B$3+'pengestrom_raw_14707204'!$B$4)-'pengestrom_raw_14707204'!$B$5,"+#,##0;-#,##0"))</f>
        <v/>
      </c>
      <c r="C99">
        <f>IF(ABS(('pengestrom_raw_14707204'!$C$2+'pengestrom_raw_14707204'!$C$3+'pengestrom_raw_14707204'!$C$4)-'pengestrom_raw_14707204'!$C$5)&lt;=2,"✓","⚠ "&amp;TEXT(('pengestrom_raw_14707204'!$C$2+'pengestrom_raw_14707204'!$C$3+'pengestrom_raw_14707204'!$C$4)-'pengestrom_raw_14707204'!$C$5,"+#,##0;-#,##0"))</f>
        <v/>
      </c>
      <c r="D99">
        <f>IF(ABS(('pengestrom_raw_14707204'!$D$2+'pengestrom_raw_14707204'!$D$3+'pengestrom_raw_14707204'!$D$4)-'pengestrom_raw_14707204'!$D$5)&lt;=2,"✓","⚠ "&amp;TEXT(('pengestrom_raw_14707204'!$D$2+'pengestrom_raw_14707204'!$D$3+'pengestrom_raw_14707204'!$D$4)-'pengestrom_raw_14707204'!$D$5,"+#,##0;-#,##0"))</f>
        <v/>
      </c>
      <c r="E99">
        <f>IF(ABS(('pengestrom_raw_14707204'!$E$2+'pengestrom_raw_14707204'!$E$3+'pengestrom_raw_14707204'!$E$4)-'pengestrom_raw_14707204'!$E$5)&lt;=2,"✓","⚠ "&amp;TEXT(('pengestrom_raw_14707204'!$E$2+'pengestrom_raw_14707204'!$E$3+'pengestrom_raw_14707204'!$E$4)-'pengestrom_raw_14707204'!$E$5,"+#,##0;-#,##0"))</f>
        <v/>
      </c>
      <c r="F99">
        <f>IF(ABS(('pengestrom_raw_14707204'!$F$2+'pengestrom_raw_14707204'!$F$3+'pengestrom_raw_14707204'!$F$4)-'pengestrom_raw_14707204'!$F$5)&lt;=2,"✓","⚠ "&amp;TEXT(('pengestrom_raw_14707204'!$F$2+'pengestrom_raw_14707204'!$F$3+'pengestrom_raw_14707204'!$F$4)-'pengestrom_raw_14707204'!$F$5,"+#,##0;-#,##0"))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Copenhagen Airports A/S (CVR 14707204)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1761000</v>
      </c>
      <c r="C2" s="17" t="n">
        <v>3532000</v>
      </c>
      <c r="D2" s="17" t="n">
        <v>4061000</v>
      </c>
      <c r="E2" s="17" t="n">
        <v>5070000</v>
      </c>
      <c r="F2" s="17" t="n">
        <v>5521000</v>
      </c>
    </row>
    <row r="3">
      <c r="A3" s="16" t="inlineStr">
        <is>
          <t>Andre driftsindtægter</t>
        </is>
      </c>
      <c r="B3" s="17" t="n">
        <v>266000</v>
      </c>
      <c r="C3" s="17" t="n">
        <v>12000</v>
      </c>
      <c r="D3" s="17" t="n">
        <v>5000</v>
      </c>
      <c r="E3" s="17" t="n">
        <v>2000</v>
      </c>
      <c r="F3" s="17" t="n">
        <v>3000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1097000</v>
      </c>
      <c r="C7" s="17" t="n">
        <v>1436000</v>
      </c>
      <c r="D7" s="17" t="n">
        <v>1663000</v>
      </c>
      <c r="E7" s="17" t="n">
        <v>1778000</v>
      </c>
      <c r="F7" s="17" t="n">
        <v>1977000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1012000</v>
      </c>
      <c r="C9" s="17" t="n">
        <v>984000</v>
      </c>
      <c r="D9" s="17" t="n">
        <v>1006000</v>
      </c>
      <c r="E9" s="17" t="n">
        <v>967000</v>
      </c>
      <c r="F9" s="17" t="n">
        <v>901000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-506000</v>
      </c>
      <c r="C11" s="17" t="n">
        <v>414000</v>
      </c>
      <c r="D11" s="17" t="n">
        <v>679000</v>
      </c>
      <c r="E11" s="17" t="n">
        <v>1609000</v>
      </c>
      <c r="F11" s="17" t="n">
        <v>1839000</v>
      </c>
    </row>
    <row r="12">
      <c r="A12" s="16" t="inlineStr">
        <is>
          <t>Indtægter af kapitalandele, dattervirksomheder</t>
        </is>
      </c>
      <c r="B12" s="17" t="n">
        <v>-4000</v>
      </c>
      <c r="C12" s="17" t="n">
        <v>3000</v>
      </c>
      <c r="D12" s="17" t="n">
        <v>-9000</v>
      </c>
      <c r="E12" s="17" t="n">
        <v>-13000</v>
      </c>
      <c r="F12" s="17" t="n">
        <v>-15000</v>
      </c>
    </row>
    <row r="13">
      <c r="A13" s="16" t="inlineStr">
        <is>
          <t>Finansielle indtægter</t>
        </is>
      </c>
      <c r="B13" s="17" t="n">
        <v>4000</v>
      </c>
      <c r="C13" s="17" t="n">
        <v>11000</v>
      </c>
      <c r="D13" s="17" t="n">
        <v>10000</v>
      </c>
      <c r="E13" s="17" t="n">
        <v>6000</v>
      </c>
      <c r="F13" s="17" t="n">
        <v>5000</v>
      </c>
    </row>
    <row r="14">
      <c r="A14" s="16" t="inlineStr">
        <is>
          <t>Finansielle omkostninger</t>
        </is>
      </c>
      <c r="B14" s="17" t="n">
        <v>160000</v>
      </c>
      <c r="C14" s="17" t="n">
        <v>171000</v>
      </c>
      <c r="D14" s="17" t="n">
        <v>282000</v>
      </c>
      <c r="E14" s="17" t="n">
        <v>263000</v>
      </c>
      <c r="F14" s="17" t="n">
        <v>204000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-666000</v>
      </c>
      <c r="C16" s="17" t="n">
        <v>257000</v>
      </c>
      <c r="D16" s="17" t="n">
        <v>398000</v>
      </c>
      <c r="E16" s="17" t="n">
        <v>1339000</v>
      </c>
      <c r="F16" s="17" t="n">
        <v>1625000</v>
      </c>
    </row>
    <row r="17">
      <c r="A17" s="16" t="inlineStr">
        <is>
          <t>Skat af årets resultat</t>
        </is>
      </c>
      <c r="B17" s="17" t="n">
        <v>-149000</v>
      </c>
      <c r="C17" s="17" t="n">
        <v>50000</v>
      </c>
      <c r="D17" s="17" t="n">
        <v>112000</v>
      </c>
      <c r="E17" s="17" t="n">
        <v>299000</v>
      </c>
      <c r="F17" s="17" t="n">
        <v>382000</v>
      </c>
    </row>
    <row r="18">
      <c r="A18" s="15" t="inlineStr">
        <is>
          <t>Årets resultat</t>
        </is>
      </c>
      <c r="B18" s="17" t="n">
        <v>-517000</v>
      </c>
      <c r="C18" s="17" t="n">
        <v>207000</v>
      </c>
      <c r="D18" s="17" t="n">
        <v>286000</v>
      </c>
      <c r="E18" s="17" t="n">
        <v>1040000</v>
      </c>
      <c r="F18" s="17" t="n">
        <v>1243000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571000</v>
      </c>
      <c r="C20" s="17" t="n">
        <v>881000</v>
      </c>
      <c r="D20" s="17" t="n">
        <v>1238000</v>
      </c>
      <c r="E20" s="17" t="n">
        <v>1301000</v>
      </c>
      <c r="F20" s="17" t="n">
        <v>1810000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Copenhagen Airports A/S (CVR 14707204)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222000</v>
      </c>
      <c r="C2" s="17" t="n">
        <v>220000</v>
      </c>
      <c r="D2" s="17" t="n">
        <v>262000</v>
      </c>
      <c r="E2" s="17" t="n">
        <v>276000</v>
      </c>
      <c r="F2" s="17" t="n">
        <v>375000</v>
      </c>
    </row>
    <row r="3">
      <c r="A3" s="16" t="inlineStr">
        <is>
          <t>Grunde og bygninger</t>
        </is>
      </c>
      <c r="B3" s="17" t="n">
        <v>6284000</v>
      </c>
      <c r="C3" s="17" t="n">
        <v>6308000</v>
      </c>
      <c r="D3" s="17" t="n">
        <v>6007000</v>
      </c>
      <c r="E3" s="17" t="n">
        <v>5861000</v>
      </c>
      <c r="F3" s="17" t="n">
        <v>5751000</v>
      </c>
    </row>
    <row r="4">
      <c r="A4" s="16" t="inlineStr">
        <is>
          <t>Produktionsanlæg og maskiner</t>
        </is>
      </c>
      <c r="B4" s="17" t="n">
        <v>4972000</v>
      </c>
      <c r="C4" s="17" t="n">
        <v>4821000</v>
      </c>
      <c r="D4" s="17" t="n">
        <v>4328000</v>
      </c>
      <c r="E4" s="17" t="n">
        <v>4138000</v>
      </c>
      <c r="F4" s="17" t="n">
        <v>4226000</v>
      </c>
    </row>
    <row r="5">
      <c r="A5" s="16" t="inlineStr">
        <is>
          <t>Driftsmateriel og inventar</t>
        </is>
      </c>
      <c r="B5" s="17" t="n">
        <v>766000</v>
      </c>
      <c r="C5" s="17" t="n">
        <v>699000</v>
      </c>
      <c r="D5" s="17" t="n">
        <v>622000</v>
      </c>
      <c r="E5" s="17" t="n">
        <v>583000</v>
      </c>
      <c r="F5" s="17" t="n">
        <v>819000</v>
      </c>
    </row>
    <row r="6">
      <c r="A6" s="16" t="inlineStr">
        <is>
          <t>Indretning af lejede lokaler</t>
        </is>
      </c>
      <c r="B6" s="17" t="n"/>
      <c r="C6" s="17" t="n"/>
      <c r="D6" s="17" t="n"/>
      <c r="E6" s="17" t="n"/>
      <c r="F6" s="17" t="n"/>
    </row>
    <row r="7">
      <c r="A7" s="16" t="inlineStr">
        <is>
          <t>Forudbetaling og anlægsaktiver under opførelse</t>
        </is>
      </c>
      <c r="B7" s="17" t="n">
        <v>1316000</v>
      </c>
      <c r="C7" s="17" t="n">
        <v>1510000</v>
      </c>
      <c r="D7" s="17" t="n">
        <v>2282000</v>
      </c>
      <c r="E7" s="17" t="n">
        <v>3207000</v>
      </c>
      <c r="F7" s="17" t="n">
        <v>4170000</v>
      </c>
    </row>
    <row r="8">
      <c r="A8" s="15" t="inlineStr">
        <is>
          <t>Materielle anlægsaktiver</t>
        </is>
      </c>
      <c r="B8" s="17" t="n">
        <v>14212000</v>
      </c>
      <c r="C8" s="17" t="n">
        <v>14200000</v>
      </c>
      <c r="D8" s="17" t="n">
        <v>14556000</v>
      </c>
      <c r="E8" s="17" t="n">
        <v>15056000</v>
      </c>
      <c r="F8" s="17" t="n">
        <v>16213000</v>
      </c>
    </row>
    <row r="9">
      <c r="A9" s="16" t="inlineStr">
        <is>
          <t>Kapitalandele, dattervirksomheder</t>
        </is>
      </c>
      <c r="B9" s="17" t="n">
        <v>126000</v>
      </c>
      <c r="C9" s="17" t="n">
        <v>129000</v>
      </c>
      <c r="D9" s="17" t="n">
        <v>120000</v>
      </c>
      <c r="E9" s="17" t="n">
        <v>107000</v>
      </c>
      <c r="F9" s="17" t="n">
        <v>110000</v>
      </c>
    </row>
    <row r="10">
      <c r="A10" s="16" t="inlineStr">
        <is>
          <t>Deposita</t>
        </is>
      </c>
      <c r="B10" s="17" t="n">
        <v>143000</v>
      </c>
      <c r="C10" s="17" t="n">
        <v>0</v>
      </c>
      <c r="D10" s="17" t="n"/>
      <c r="E10" s="17" t="n"/>
      <c r="F10" s="17" t="n"/>
    </row>
    <row r="11">
      <c r="A11" s="15" t="inlineStr">
        <is>
          <t>Finansielle anlægsaktiver</t>
        </is>
      </c>
      <c r="B11" s="17" t="n"/>
      <c r="C11" s="17" t="n"/>
      <c r="D11" s="17" t="n"/>
      <c r="E11" s="17" t="n"/>
      <c r="F11" s="17" t="n"/>
    </row>
    <row r="12">
      <c r="A12" s="15" t="inlineStr">
        <is>
          <t>Anlægsaktiver</t>
        </is>
      </c>
      <c r="B12" s="17" t="n">
        <v>14703000</v>
      </c>
      <c r="C12" s="17" t="n">
        <v>14549000</v>
      </c>
      <c r="D12" s="17" t="n">
        <v>14938000</v>
      </c>
      <c r="E12" s="17" t="n">
        <v>15439000</v>
      </c>
      <c r="F12" s="17" t="n">
        <v>16698000</v>
      </c>
    </row>
    <row r="13">
      <c r="A13" s="16" t="inlineStr">
        <is>
          <t>Tilgodehavender fra salg og tjenesteydelser</t>
        </is>
      </c>
      <c r="B13" s="17" t="n">
        <v>449000</v>
      </c>
      <c r="C13" s="17" t="n">
        <v>295000</v>
      </c>
      <c r="D13" s="17" t="n">
        <v>379000</v>
      </c>
      <c r="E13" s="17" t="n">
        <v>435000</v>
      </c>
      <c r="F13" s="17" t="n">
        <v>517000</v>
      </c>
    </row>
    <row r="14">
      <c r="A14" s="16" t="inlineStr">
        <is>
          <t>Tilgodehavender hos tilknyttede 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Andre tilgodehavender</t>
        </is>
      </c>
      <c r="B15" s="17" t="n">
        <v>0</v>
      </c>
      <c r="C15" s="17" t="n">
        <v>199000</v>
      </c>
      <c r="D15" s="17" t="n">
        <v>284000</v>
      </c>
      <c r="E15" s="17" t="n">
        <v>214000</v>
      </c>
      <c r="F15" s="17" t="n">
        <v>189000</v>
      </c>
    </row>
    <row r="16">
      <c r="A16" s="16" t="inlineStr">
        <is>
          <t>Periodeafgrænsningsposter (aktiver)</t>
        </is>
      </c>
      <c r="B16" s="17" t="n">
        <v>106000</v>
      </c>
      <c r="C16" s="17" t="n">
        <v>46000</v>
      </c>
      <c r="D16" s="17" t="n">
        <v>71000</v>
      </c>
      <c r="E16" s="17" t="n">
        <v>129000</v>
      </c>
      <c r="F16" s="17" t="n">
        <v>127000</v>
      </c>
    </row>
    <row r="17">
      <c r="A17" s="16" t="inlineStr">
        <is>
          <t>Udskudt skatteaktiv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Tilgodehavende skat hos tilknyttede virksomheder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Kortfristede skattetilgodehavender</t>
        </is>
      </c>
      <c r="B19" s="17" t="n">
        <v>0</v>
      </c>
      <c r="C19" s="17" t="n">
        <v>58000</v>
      </c>
      <c r="D19" s="17" t="n">
        <v>25000</v>
      </c>
      <c r="E19" s="17" t="n">
        <v>0</v>
      </c>
      <c r="F19" s="17" t="n"/>
    </row>
    <row r="20">
      <c r="A20" s="15" t="inlineStr">
        <is>
          <t>Tilgodehavender</t>
        </is>
      </c>
      <c r="B20" s="17" t="n">
        <v>32000</v>
      </c>
      <c r="C20" s="17" t="n">
        <v>27000</v>
      </c>
      <c r="D20" s="17" t="n">
        <v>55000</v>
      </c>
      <c r="E20" s="17" t="n">
        <v>64000</v>
      </c>
      <c r="F20" s="17" t="n">
        <v>71000</v>
      </c>
    </row>
    <row r="21">
      <c r="A21" s="16" t="inlineStr">
        <is>
          <t>Værdipapirer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Likvide beholdninger</t>
        </is>
      </c>
      <c r="B22" s="17" t="n">
        <v>78000</v>
      </c>
      <c r="C22" s="17" t="n">
        <v>97000</v>
      </c>
      <c r="D22" s="17" t="n">
        <v>42000</v>
      </c>
      <c r="E22" s="17" t="n">
        <v>48000</v>
      </c>
      <c r="F22" s="17" t="n">
        <v>54000</v>
      </c>
    </row>
    <row r="23">
      <c r="A23" s="15" t="inlineStr">
        <is>
          <t>Omsætningsaktiver</t>
        </is>
      </c>
      <c r="B23" s="17" t="n">
        <v>665000</v>
      </c>
      <c r="C23" s="17" t="n">
        <v>722000</v>
      </c>
      <c r="D23" s="17" t="n">
        <v>572000</v>
      </c>
      <c r="E23" s="17" t="n">
        <v>676000</v>
      </c>
      <c r="F23" s="17" t="n">
        <v>769000</v>
      </c>
    </row>
    <row r="24">
      <c r="A24" s="15" t="inlineStr">
        <is>
          <t>Aktiver</t>
        </is>
      </c>
      <c r="B24" s="17" t="n">
        <v>15368000</v>
      </c>
      <c r="C24" s="17" t="n">
        <v>15271000</v>
      </c>
      <c r="D24" s="17" t="n">
        <v>15510000</v>
      </c>
      <c r="E24" s="17" t="n">
        <v>16115000</v>
      </c>
      <c r="F24" s="17" t="n">
        <v>17467000</v>
      </c>
    </row>
    <row r="25">
      <c r="A25" s="16" t="inlineStr">
        <is>
          <t>Selskabskapital</t>
        </is>
      </c>
      <c r="B25" s="17" t="n">
        <v>785000</v>
      </c>
      <c r="C25" s="17" t="n">
        <v>785000</v>
      </c>
      <c r="D25" s="17" t="n">
        <v>785000</v>
      </c>
      <c r="E25" s="17" t="n">
        <v>785000</v>
      </c>
      <c r="F25" s="17" t="n">
        <v>785000</v>
      </c>
    </row>
    <row r="26">
      <c r="A26" s="16" t="inlineStr">
        <is>
          <t>Reserve for nettoopskrivning (indre værdis metode)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Reserve for udviklingsomkostninger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sikringstransaktioner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Andre reserver</t>
        </is>
      </c>
      <c r="B29" s="17" t="n">
        <v>-1000</v>
      </c>
      <c r="C29" s="17" t="n">
        <v>-8000</v>
      </c>
      <c r="D29" s="17" t="n">
        <v>-114000</v>
      </c>
      <c r="E29" s="17" t="n">
        <v>-129000</v>
      </c>
      <c r="F29" s="17" t="n">
        <v>-35000</v>
      </c>
    </row>
    <row r="30">
      <c r="A30" s="16" t="inlineStr">
        <is>
          <t>Overført resultat</t>
        </is>
      </c>
      <c r="B30" s="17" t="n">
        <v>1731000</v>
      </c>
      <c r="C30" s="17" t="n">
        <v>1920000</v>
      </c>
      <c r="D30" s="17" t="n">
        <v>2181000</v>
      </c>
      <c r="E30" s="17" t="n">
        <v>3197000</v>
      </c>
      <c r="F30" s="17" t="n">
        <v>4210000</v>
      </c>
    </row>
    <row r="31">
      <c r="A31" s="15" t="inlineStr">
        <is>
          <t>Egenkapital i alt</t>
        </is>
      </c>
      <c r="B31" s="17" t="n">
        <v>3198000</v>
      </c>
      <c r="C31" s="17" t="n">
        <v>3337000</v>
      </c>
      <c r="D31" s="17" t="n">
        <v>3438000</v>
      </c>
      <c r="E31" s="17" t="n">
        <v>4416000</v>
      </c>
      <c r="F31" s="17" t="n">
        <v>5508000</v>
      </c>
    </row>
    <row r="32">
      <c r="A32" s="16" t="inlineStr">
        <is>
          <t>Hensættelse til udskudt skat</t>
        </is>
      </c>
      <c r="B32" s="17" t="n">
        <v>704000</v>
      </c>
      <c r="C32" s="17" t="n">
        <v>808000</v>
      </c>
      <c r="D32" s="17" t="n">
        <v>857000</v>
      </c>
      <c r="E32" s="17" t="n">
        <v>950000</v>
      </c>
      <c r="F32" s="17" t="n">
        <v>999000</v>
      </c>
    </row>
    <row r="33">
      <c r="A33" s="15" t="inlineStr">
        <is>
          <t>Hensatte forpligtelser</t>
        </is>
      </c>
      <c r="B33" s="17" t="n">
        <v>704000</v>
      </c>
      <c r="C33" s="17" t="n">
        <v>808000</v>
      </c>
      <c r="D33" s="17" t="n">
        <v>857000</v>
      </c>
      <c r="E33" s="17" t="n">
        <v>950000</v>
      </c>
      <c r="F33" s="17" t="n">
        <v>999000</v>
      </c>
    </row>
    <row r="34">
      <c r="A34" s="16" t="inlineStr">
        <is>
          <t>Ansvarlig lånekapital (langfristet)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Langfristede lån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Leasingforpligtelser (langfristet)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Anden gæld (langfristet)</t>
        </is>
      </c>
      <c r="B37" s="17" t="n">
        <v>155000</v>
      </c>
      <c r="C37" s="17" t="n">
        <v>156000</v>
      </c>
      <c r="D37" s="17" t="n">
        <v>305000</v>
      </c>
      <c r="E37" s="17" t="n">
        <v>322000</v>
      </c>
      <c r="F37" s="17" t="n">
        <v>204000</v>
      </c>
    </row>
    <row r="38">
      <c r="A38" s="15" t="inlineStr">
        <is>
          <t>Langfristede gældsforpligtelser</t>
        </is>
      </c>
      <c r="B38" s="17" t="n">
        <v>10257000</v>
      </c>
      <c r="C38" s="17" t="n">
        <v>4238000</v>
      </c>
      <c r="D38" s="17" t="n">
        <v>8753000</v>
      </c>
      <c r="E38" s="17" t="n">
        <v>7352000</v>
      </c>
      <c r="F38" s="17" t="n">
        <v>5888000</v>
      </c>
    </row>
    <row r="39">
      <c r="A39" s="16" t="inlineStr">
        <is>
          <t>Ansvarlig lånekapital (kortfristet)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Kortfristet del af langfristede gældsforpligtelser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Kreditinstitutter</t>
        </is>
      </c>
      <c r="B41" s="17" t="n">
        <v>218000</v>
      </c>
      <c r="C41" s="17" t="n">
        <v>5676000</v>
      </c>
      <c r="D41" s="17" t="n">
        <v>907000</v>
      </c>
      <c r="E41" s="17" t="n">
        <v>1824000</v>
      </c>
      <c r="F41" s="17" t="n">
        <v>3170000</v>
      </c>
    </row>
    <row r="42">
      <c r="A42" s="16" t="inlineStr">
        <is>
          <t>Leasingforpligtelser (kortfristet)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Leverandører af varer og tjenesteydelser</t>
        </is>
      </c>
      <c r="B43" s="17" t="n">
        <v>339000</v>
      </c>
      <c r="C43" s="17" t="n">
        <v>485000</v>
      </c>
      <c r="D43" s="17" t="n">
        <v>661000</v>
      </c>
      <c r="E43" s="17" t="n">
        <v>693000</v>
      </c>
      <c r="F43" s="17" t="n">
        <v>1033000</v>
      </c>
    </row>
    <row r="44">
      <c r="A44" s="16" t="inlineStr">
        <is>
          <t>Gæld til tilknyttede virksomheder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Gæld til selskabsdeltagere og ledelse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Selskabsskat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Gæld til tilknyttede virksomheder vedr. selskabsskat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Anden gæld (kortfristet)</t>
        </is>
      </c>
      <c r="B48" s="17" t="n">
        <v>283000</v>
      </c>
      <c r="C48" s="17" t="n">
        <v>274000</v>
      </c>
      <c r="D48" s="17" t="n">
        <v>301000</v>
      </c>
      <c r="E48" s="17" t="n">
        <v>244000</v>
      </c>
      <c r="F48" s="17" t="n">
        <v>240000</v>
      </c>
    </row>
    <row r="49">
      <c r="A49" s="16" t="inlineStr">
        <is>
          <t>Periodeafgrænsningsposter (passiver)</t>
        </is>
      </c>
      <c r="B49" s="17" t="n">
        <v>43000</v>
      </c>
      <c r="C49" s="17" t="n">
        <v>44000</v>
      </c>
      <c r="D49" s="17" t="n">
        <v>4000</v>
      </c>
      <c r="E49" s="17" t="n">
        <v>2000</v>
      </c>
      <c r="F49" s="17" t="n">
        <v>0</v>
      </c>
    </row>
    <row r="50">
      <c r="A50" s="15" t="inlineStr">
        <is>
          <t>Kortfristede gældsforpligtelser</t>
        </is>
      </c>
      <c r="B50" s="17" t="n">
        <v>1054000</v>
      </c>
      <c r="C50" s="17" t="n">
        <v>6732000</v>
      </c>
      <c r="D50" s="17" t="n">
        <v>2157000</v>
      </c>
      <c r="E50" s="17" t="n">
        <v>3075000</v>
      </c>
      <c r="F50" s="17" t="n">
        <v>4868000</v>
      </c>
    </row>
    <row r="51">
      <c r="A51" s="15" t="inlineStr">
        <is>
          <t>Gældsforpligtelser</t>
        </is>
      </c>
      <c r="B51" s="17" t="n">
        <v>12170000</v>
      </c>
      <c r="C51" s="17" t="n">
        <v>11934000</v>
      </c>
      <c r="D51" s="17" t="n">
        <v>12072000</v>
      </c>
      <c r="E51" s="17" t="n">
        <v>11699000</v>
      </c>
      <c r="F51" s="17" t="n">
        <v>11959000</v>
      </c>
    </row>
    <row r="52">
      <c r="A52" s="15" t="inlineStr">
        <is>
          <t>Passiver</t>
        </is>
      </c>
      <c r="B52" s="17" t="n">
        <v>15368000</v>
      </c>
      <c r="C52" s="17" t="n">
        <v>15271000</v>
      </c>
      <c r="D52" s="17" t="n">
        <v>15510000</v>
      </c>
      <c r="E52" s="17" t="n">
        <v>16115000</v>
      </c>
      <c r="F52" s="17" t="n">
        <v>17467000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Copenhagen Airports A/S (CVR 14707204)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-130000</v>
      </c>
      <c r="C2" s="17" t="n">
        <v>1652000</v>
      </c>
      <c r="D2" s="17" t="n">
        <v>1361000</v>
      </c>
      <c r="E2" s="17" t="n">
        <v>1915000</v>
      </c>
      <c r="F2" s="17" t="n">
        <v>2314000</v>
      </c>
    </row>
    <row r="3">
      <c r="A3" s="16" t="inlineStr">
        <is>
          <t>Pengestrømme fra investeringsaktivitet</t>
        </is>
      </c>
      <c r="B3" s="17" t="n">
        <v>-633000</v>
      </c>
      <c r="C3" s="17" t="n">
        <v>-944000</v>
      </c>
      <c r="D3" s="17" t="n">
        <v>-1337000</v>
      </c>
      <c r="E3" s="17" t="n">
        <v>-1372000</v>
      </c>
      <c r="F3" s="17" t="n">
        <v>-1963000</v>
      </c>
    </row>
    <row r="4">
      <c r="A4" s="16" t="inlineStr">
        <is>
          <t>Pengestrømme fra finansieringsaktivitet</t>
        </is>
      </c>
      <c r="B4" s="17" t="n">
        <v>799000</v>
      </c>
      <c r="C4" s="17" t="n">
        <v>-689000</v>
      </c>
      <c r="D4" s="17" t="n">
        <v>-79000</v>
      </c>
      <c r="E4" s="17" t="n">
        <v>-537000</v>
      </c>
      <c r="F4" s="17" t="n">
        <v>-345000</v>
      </c>
    </row>
    <row r="5">
      <c r="A5" s="16" t="inlineStr">
        <is>
          <t>Årets pengestrøm</t>
        </is>
      </c>
      <c r="B5" s="17" t="n">
        <v>36000</v>
      </c>
      <c r="C5" s="17" t="n">
        <v>19000</v>
      </c>
      <c r="D5" s="17" t="n">
        <v>-55000</v>
      </c>
      <c r="E5" s="17" t="n">
        <v>6000</v>
      </c>
      <c r="F5" s="17" t="n">
        <v>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Copenhagen Airports A/S (CVR 14707204) — Regnskabs- og nøgletal (CVR: 14707204)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'res_raw_14707204'!$F$2</f>
        <v/>
      </c>
      <c r="C5" s="24">
        <f>'res_raw_14707204'!$E$2</f>
        <v/>
      </c>
      <c r="D5" s="24">
        <f>'res_raw_14707204'!$D$2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'res_raw_14707204'!$F$3</f>
        <v/>
      </c>
      <c r="C6" s="24">
        <f>'res_raw_14707204'!$E$3</f>
        <v/>
      </c>
      <c r="D6" s="24">
        <f>'res_raw_14707204'!$D$3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-'res_raw_14707204'!$F$4</f>
        <v/>
      </c>
      <c r="C7" s="24">
        <f>-'res_raw_14707204'!$E$4</f>
        <v/>
      </c>
      <c r="D7" s="24">
        <f>-'res_raw_14707204'!$D$4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-'res_raw_14707204'!$F$5</f>
        <v/>
      </c>
      <c r="C8" s="24">
        <f>-'res_raw_14707204'!$E$5</f>
        <v/>
      </c>
      <c r="D8" s="24">
        <f>-'res_raw_14707204'!$D$5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-'res_raw_14707204'!$F$7</f>
        <v/>
      </c>
      <c r="C10" s="24">
        <f>-'res_raw_14707204'!$E$7</f>
        <v/>
      </c>
      <c r="D10" s="24">
        <f>-'res_raw_14707204'!$D$7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-'res_raw_14707204'!$F$9</f>
        <v/>
      </c>
      <c r="C11" s="24">
        <f>-'res_raw_14707204'!$E$9</f>
        <v/>
      </c>
      <c r="D11" s="24">
        <f>-'res_raw_14707204'!$D$9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-'res_raw_14707204'!$F$10</f>
        <v/>
      </c>
      <c r="C12" s="24">
        <f>-'res_raw_14707204'!$E$10</f>
        <v/>
      </c>
      <c r="D12" s="24">
        <f>-'res_raw_14707204'!$D$10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N('res_raw_14707204'!$F$12)+N('res_raw_14707204'!$F$13)</f>
        <v/>
      </c>
      <c r="C14" s="24">
        <f>N('res_raw_14707204'!$E$12)+N('res_raw_14707204'!$E$13)</f>
        <v/>
      </c>
      <c r="D14" s="24">
        <f>N('res_raw_14707204'!$D$12)+N('res_raw_14707204'!$D$13)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-'res_raw_14707204'!$F$14</f>
        <v/>
      </c>
      <c r="C15" s="24">
        <f>-'res_raw_14707204'!$E$14</f>
        <v/>
      </c>
      <c r="D15" s="24">
        <f>-'res_raw_14707204'!$D$14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'balance_raw_14707204'!$F$12</f>
        <v/>
      </c>
      <c r="C19" s="24">
        <f>'balance_raw_14707204'!$E$12</f>
        <v/>
      </c>
      <c r="D19" s="24">
        <f>'balance_raw_14707204'!$D$12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'balance_raw_14707204'!$F$23</f>
        <v/>
      </c>
      <c r="C20" s="24">
        <f>'balance_raw_14707204'!$E$23</f>
        <v/>
      </c>
      <c r="D20" s="24">
        <f>'balance_raw_14707204'!$D$23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'balance_raw_14707204'!$F$31</f>
        <v/>
      </c>
      <c r="C23" s="24">
        <f>'balance_raw_14707204'!$E$31</f>
        <v/>
      </c>
      <c r="D23" s="24">
        <f>'balance_raw_14707204'!$D$31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'balance_raw_14707204'!$F$52-'balance_raw_14707204'!$F$31</f>
        <v/>
      </c>
      <c r="C24" s="24">
        <f>'balance_raw_14707204'!$E$52-'balance_raw_14707204'!$E$31</f>
        <v/>
      </c>
      <c r="D24" s="24">
        <f>'balance_raw_14707204'!$D$52-'balance_raw_14707204'!$D$31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'balance_raw_14707204'!$F$13</f>
        <v/>
      </c>
      <c r="C29" s="24">
        <f>'balance_raw_14707204'!$E$13</f>
        <v/>
      </c>
      <c r="D29" s="24">
        <f>'balance_raw_14707204'!$D$13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'balance_raw_14707204'!$F$50</f>
        <v/>
      </c>
      <c r="C30" s="24">
        <f>'balance_raw_14707204'!$E$50</f>
        <v/>
      </c>
      <c r="D30" s="24">
        <f>'balance_raw_14707204'!$D$50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IF('balance_raw_14707204'!$F$24="","—",IF(ABS(B21-'balance_raw_14707204'!$F$24)&lt;=1,"✓ OK","❌ "&amp;TEXT(B21-'balance_raw_14707204'!$F$24,"+#,##0;-#,##0")&amp;" t.kr."))</f>
        <v/>
      </c>
      <c r="C61" s="29">
        <f>IF('balance_raw_14707204'!$E$24="","—",IF(ABS(C21-'balance_raw_14707204'!$E$24)&lt;=1,"✓ OK","❌ "&amp;TEXT(C21-'balance_raw_14707204'!$E$24,"+#,##0;-#,##0")&amp;" t.kr."))</f>
        <v/>
      </c>
      <c r="D61" s="29">
        <f>IF('balance_raw_14707204'!$D$24="","—",IF(ABS(D21-'balance_raw_14707204'!$D$24)&lt;=1,"✓ OK","❌ "&amp;TEXT(D21-'balance_raw_14707204'!$D$24,"+#,##0;-#,##0")&amp;"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IF('balance_raw_14707204'!$F$52="","—",IF(ABS(B25-'balance_raw_14707204'!$F$52)&lt;=1,"✓ OK","❌ "&amp;TEXT(B25-'balance_raw_14707204'!$F$52,"+#,##0;-#,##0")&amp;" t.kr."))</f>
        <v/>
      </c>
      <c r="C62" s="29">
        <f>IF('balance_raw_14707204'!$E$52="","—",IF(ABS(C25-'balance_raw_14707204'!$E$52)&lt;=1,"✓ OK","❌ "&amp;TEXT(C25-'balance_raw_14707204'!$E$52,"+#,##0;-#,##0")&amp;" t.kr."))</f>
        <v/>
      </c>
      <c r="D62" s="29">
        <f>IF('balance_raw_14707204'!$D$52="","—",IF(ABS(D25-'balance_raw_14707204'!$D$52)&lt;=1,"✓ OK","❌ "&amp;TEXT(D25-'balance_raw_14707204'!$D$52,"+#,##0;-#,##0")&amp;"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IF('res_raw_14707204'!$F$6="","—",IF(ABS(B9-'res_raw_14707204'!$F$6)&lt;=1,"✓ OK","❌ "&amp;TEXT(B9-'res_raw_14707204'!$F$6,"+#,##0;-#,##0")&amp;" t.kr."))</f>
        <v/>
      </c>
      <c r="C64" s="29">
        <f>IF('res_raw_14707204'!$E$6="","—",IF(ABS(C9-'res_raw_14707204'!$E$6)&lt;=1,"✓ OK","❌ "&amp;TEXT(C9-'res_raw_14707204'!$E$6,"+#,##0;-#,##0")&amp;" t.kr."))</f>
        <v/>
      </c>
      <c r="D64" s="29">
        <f>IF('res_raw_14707204'!$D$6="","—",IF(ABS(D9-'res_raw_14707204'!$D$6)&lt;=1,"✓ OK","❌ "&amp;TEXT(D9-'res_raw_14707204'!$D$6,"+#,##0;-#,##0")&amp;"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IF('res_raw_14707204'!$F$11="","—",IF(ABS(B13-'res_raw_14707204'!$F$11)&lt;=1,"✓ OK","❌ "&amp;TEXT(B13-'res_raw_14707204'!$F$11,"+#,##0;-#,##0")&amp;" t.kr."))</f>
        <v/>
      </c>
      <c r="C65" s="29">
        <f>IF('res_raw_14707204'!$E$11="","—",IF(ABS(C13-'res_raw_14707204'!$E$11)&lt;=1,"✓ OK","❌ "&amp;TEXT(C13-'res_raw_14707204'!$E$11,"+#,##0;-#,##0")&amp;" t.kr."))</f>
        <v/>
      </c>
      <c r="D65" s="29">
        <f>IF('res_raw_14707204'!$D$11="","—",IF(ABS(D13-'res_raw_14707204'!$D$11)&lt;=1,"✓ OK","❌ "&amp;TEXT(D13-'res_raw_14707204'!$D$11,"+#,##0;-#,##0")&amp;"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IF('res_raw_14707204'!$F$16="","—",IF(ABS(B16-'res_raw_14707204'!$F$16)&lt;=1,"✓ OK","❌ "&amp;TEXT(B16-'res_raw_14707204'!$F$16,"+#,##0;-#,##0")&amp;" t.kr."))</f>
        <v/>
      </c>
      <c r="C66" s="29">
        <f>IF('res_raw_14707204'!$E$16="","—",IF(ABS(C16-'res_raw_14707204'!$E$16)&lt;=1,"✓ OK","❌ "&amp;TEXT(C16-'res_raw_14707204'!$E$16,"+#,##0;-#,##0")&amp;" t.kr."))</f>
        <v/>
      </c>
      <c r="D66" s="29">
        <f>IF('res_raw_14707204'!$D$16="","—",IF(ABS(D16-'res_raw_14707204'!$D$16)&lt;=1,"✓ OK","❌ "&amp;TEXT(D16-'res_raw_14707204'!$D$16,"+#,##0;-#,##0")&amp;"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2026-09-11T07:35:52Z</dcterms:created>
  <dcterms:modified xmlns:dcterms="http://purl.org/dc/terms/" xmlns:xsi="http://www.w3.org/2001/XMLSchema-instance" xsi:type="dcterms:W3CDTF">2026-09-11T07:35:53Z</dcterms:modified>
</cp:coreProperties>
</file>