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pengestrom_raw_38841297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Silvan A/S (CVR 38841297) — 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valuta pr. år - se kolonneoverskrifter</t>
        </is>
      </c>
    </row>
    <row r="101">
      <c r="A101" s="16" t="inlineStr">
        <is>
          <t>Pengestrømme fra driftsaktivitet</t>
        </is>
      </c>
      <c r="B101" s="17">
        <f>'pengestrom_raw_38841297'!$B$2</f>
        <v/>
      </c>
      <c r="C101" s="17">
        <f>'pengestrom_raw_38841297'!$C$2</f>
        <v/>
      </c>
      <c r="D101" s="17">
        <f>'pengestrom_raw_38841297'!$D$2</f>
        <v/>
      </c>
      <c r="E101" s="17">
        <f>'pengestrom_raw_38841297'!$E$2</f>
        <v/>
      </c>
      <c r="F101" s="17">
        <f>'pengestrom_raw_38841297'!$F$2</f>
        <v/>
      </c>
    </row>
    <row r="102">
      <c r="A102" s="16" t="inlineStr">
        <is>
          <t>Pengestrømme fra investeringsaktivitet</t>
        </is>
      </c>
      <c r="B102" s="17">
        <f>'pengestrom_raw_38841297'!$B$3</f>
        <v/>
      </c>
      <c r="C102" s="17">
        <f>'pengestrom_raw_38841297'!$C$3</f>
        <v/>
      </c>
      <c r="D102" s="17">
        <f>'pengestrom_raw_38841297'!$D$3</f>
        <v/>
      </c>
      <c r="E102" s="17">
        <f>'pengestrom_raw_38841297'!$E$3</f>
        <v/>
      </c>
      <c r="F102" s="17">
        <f>'pengestrom_raw_38841297'!$F$3</f>
        <v/>
      </c>
    </row>
    <row r="103">
      <c r="A103" s="16" t="inlineStr">
        <is>
          <t>Pengestrømme fra finansieringsaktivitet</t>
        </is>
      </c>
      <c r="B103" s="17">
        <f>'pengestrom_raw_38841297'!$B$4</f>
        <v/>
      </c>
      <c r="C103" s="17">
        <f>'pengestrom_raw_38841297'!$C$4</f>
        <v/>
      </c>
      <c r="D103" s="17">
        <f>'pengestrom_raw_38841297'!$D$4</f>
        <v/>
      </c>
      <c r="E103" s="17">
        <f>'pengestrom_raw_38841297'!$E$4</f>
        <v/>
      </c>
      <c r="F103" s="17">
        <f>'pengestrom_raw_38841297'!$F$4</f>
        <v/>
      </c>
    </row>
    <row r="104">
      <c r="A104" s="16" t="inlineStr">
        <is>
          <t>Årets pengestrøm (rapporteret)</t>
        </is>
      </c>
      <c r="B104" s="17">
        <f>'pengestrom_raw_38841297'!$B$5</f>
        <v/>
      </c>
      <c r="C104" s="17">
        <f>'pengestrom_raw_38841297'!$C$5</f>
        <v/>
      </c>
      <c r="D104" s="17">
        <f>'pengestrom_raw_38841297'!$D$5</f>
        <v/>
      </c>
      <c r="E104" s="17">
        <f>'pengestrom_raw_38841297'!$E$5</f>
        <v/>
      </c>
      <c r="F104" s="17">
        <f>'pengestrom_raw_38841297'!$F$5</f>
        <v/>
      </c>
    </row>
    <row r="105">
      <c r="A105" s="16" t="inlineStr">
        <is>
          <t>Krydstjek: drift + inv. + fin. = årets pengestrøm</t>
        </is>
      </c>
      <c r="B105">
        <f>IF(ABS(('pengestrom_raw_38841297'!$B$2+'pengestrom_raw_38841297'!$B$3+'pengestrom_raw_38841297'!$B$4)-'pengestrom_raw_38841297'!$B$5)&lt;=2,"✓","⚠ "&amp;TEXT(('pengestrom_raw_38841297'!$B$2+'pengestrom_raw_38841297'!$B$3+'pengestrom_raw_38841297'!$B$4)-'pengestrom_raw_38841297'!$B$5,"+#,##0;-#,##0"))</f>
        <v/>
      </c>
      <c r="C105">
        <f>IF(ABS(('pengestrom_raw_38841297'!$C$2+'pengestrom_raw_38841297'!$C$3+'pengestrom_raw_38841297'!$C$4)-'pengestrom_raw_38841297'!$C$5)&lt;=2,"✓","⚠ "&amp;TEXT(('pengestrom_raw_38841297'!$C$2+'pengestrom_raw_38841297'!$C$3+'pengestrom_raw_38841297'!$C$4)-'pengestrom_raw_38841297'!$C$5,"+#,##0;-#,##0"))</f>
        <v/>
      </c>
      <c r="D105">
        <f>IF(ABS(('pengestrom_raw_38841297'!$D$2+'pengestrom_raw_38841297'!$D$3+'pengestrom_raw_38841297'!$D$4)-'pengestrom_raw_38841297'!$D$5)&lt;=2,"✓","⚠ "&amp;TEXT(('pengestrom_raw_38841297'!$D$2+'pengestrom_raw_38841297'!$D$3+'pengestrom_raw_38841297'!$D$4)-'pengestrom_raw_38841297'!$D$5,"+#,##0;-#,##0"))</f>
        <v/>
      </c>
      <c r="E105">
        <f>IF(ABS(('pengestrom_raw_38841297'!$E$2+'pengestrom_raw_38841297'!$E$3+'pengestrom_raw_38841297'!$E$4)-'pengestrom_raw_38841297'!$E$5)&lt;=2,"✓","⚠ "&amp;TEXT(('pengestrom_raw_38841297'!$E$2+'pengestrom_raw_38841297'!$E$3+'pengestrom_raw_38841297'!$E$4)-'pengestrom_raw_38841297'!$E$5,"+#,##0;-#,##0"))</f>
        <v/>
      </c>
      <c r="F105">
        <f>IF(ABS(('pengestrom_raw_38841297'!$F$2+'pengestrom_raw_38841297'!$F$3+'pengestrom_raw_38841297'!$F$4)-'pengestrom_raw_38841297'!$F$5)&lt;=2,"✓","⚠ "&amp;TEXT(('pengestrom_raw_38841297'!$F$2+'pengestrom_raw_38841297'!$F$3+'pengestrom_raw_38841297'!$F$4)-'pengestrom_raw_38841297'!$F$5,"+#,##0;-#,##0"))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Resultatopgørelse &amp; nøgleoplysninger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1241751</v>
      </c>
      <c r="C2" s="17" t="n">
        <v>1327494</v>
      </c>
      <c r="D2" s="17" t="n">
        <v>1365446</v>
      </c>
      <c r="E2" s="17" t="n">
        <v>1394619</v>
      </c>
      <c r="F2" s="17" t="n">
        <v>1527139</v>
      </c>
    </row>
    <row r="3">
      <c r="A3" s="16" t="inlineStr">
        <is>
          <t>Andre driftsindtægter</t>
        </is>
      </c>
      <c r="B3" s="17" t="n">
        <v>11965</v>
      </c>
      <c r="C3" s="17" t="n">
        <v>13830</v>
      </c>
      <c r="D3" s="17" t="n">
        <v>15709</v>
      </c>
      <c r="E3" s="17" t="n">
        <v>17433</v>
      </c>
      <c r="F3" s="17" t="n">
        <v>19440</v>
      </c>
    </row>
    <row r="4">
      <c r="A4" s="16" t="inlineStr">
        <is>
          <t>Vareforbrug</t>
        </is>
      </c>
      <c r="B4" s="17" t="n">
        <v>733061</v>
      </c>
      <c r="C4" s="17" t="n">
        <v>783500</v>
      </c>
      <c r="D4" s="17" t="n">
        <v>832963</v>
      </c>
      <c r="E4" s="17" t="n">
        <v>864923</v>
      </c>
      <c r="F4" s="17" t="n">
        <v>967616</v>
      </c>
    </row>
    <row r="5">
      <c r="A5" s="16" t="inlineStr">
        <is>
          <t>Andre eksterne omkostninger</t>
        </is>
      </c>
      <c r="B5" s="17" t="n">
        <v>184335</v>
      </c>
      <c r="C5" s="17" t="n">
        <v>215883</v>
      </c>
      <c r="D5" s="17" t="n">
        <v>232917</v>
      </c>
      <c r="E5" s="17" t="n">
        <v>238503</v>
      </c>
      <c r="F5" s="17" t="n">
        <v>235837</v>
      </c>
    </row>
    <row r="6">
      <c r="A6" s="15" t="inlineStr">
        <is>
          <t>Bruttoresultat</t>
        </is>
      </c>
      <c r="B6" s="17" t="n">
        <v>520655</v>
      </c>
      <c r="C6" s="17" t="n">
        <v>557824</v>
      </c>
      <c r="D6" s="17" t="n">
        <v>548192</v>
      </c>
      <c r="E6" s="17" t="n">
        <v>308626</v>
      </c>
      <c r="F6" s="17" t="n">
        <v>343126</v>
      </c>
    </row>
    <row r="7">
      <c r="A7" s="16" t="inlineStr">
        <is>
          <t>Personaleomkostninger</t>
        </is>
      </c>
      <c r="B7" s="17" t="n">
        <v>239224</v>
      </c>
      <c r="C7" s="17" t="n">
        <v>249467</v>
      </c>
      <c r="D7" s="17" t="n">
        <v>273658</v>
      </c>
      <c r="E7" s="17" t="n">
        <v>262539</v>
      </c>
      <c r="F7" s="17" t="n">
        <v>267701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24546</v>
      </c>
      <c r="C9" s="17" t="n">
        <v>25260</v>
      </c>
      <c r="D9" s="17" t="n">
        <v>32334</v>
      </c>
      <c r="E9" s="17" t="n">
        <v>31278</v>
      </c>
      <c r="F9" s="17" t="n">
        <v>37059</v>
      </c>
    </row>
    <row r="10">
      <c r="A10" s="16" t="inlineStr">
        <is>
          <t>Andre driftsomkostninger</t>
        </is>
      </c>
      <c r="B10" s="17" t="n">
        <v>6</v>
      </c>
      <c r="C10" s="17" t="n">
        <v>-25</v>
      </c>
      <c r="D10" s="17" t="n">
        <v>450</v>
      </c>
      <c r="E10" s="17" t="n">
        <v>0</v>
      </c>
      <c r="F10" s="17" t="n"/>
    </row>
    <row r="11">
      <c r="A11" s="15" t="inlineStr">
        <is>
          <t>Resultat af primær drift</t>
        </is>
      </c>
      <c r="B11" s="17" t="n">
        <v>72544</v>
      </c>
      <c r="C11" s="17" t="n">
        <v>67239</v>
      </c>
      <c r="D11" s="17" t="n">
        <v>8833</v>
      </c>
      <c r="E11" s="17" t="n">
        <v>14809</v>
      </c>
      <c r="F11" s="17" t="n">
        <v>38366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392</v>
      </c>
      <c r="C13" s="17" t="n">
        <v>4617</v>
      </c>
      <c r="D13" s="17" t="n">
        <v>6536</v>
      </c>
      <c r="E13" s="17" t="n">
        <v>7150</v>
      </c>
      <c r="F13" s="17" t="n">
        <v>10327</v>
      </c>
    </row>
    <row r="14">
      <c r="A14" s="16" t="inlineStr">
        <is>
          <t>Finansielle omkostninger</t>
        </is>
      </c>
      <c r="B14" s="17" t="n">
        <v>6347</v>
      </c>
      <c r="C14" s="17" t="n">
        <v>8082</v>
      </c>
      <c r="D14" s="17" t="n">
        <v>13138</v>
      </c>
      <c r="E14" s="17" t="n">
        <v>16722</v>
      </c>
      <c r="F14" s="17" t="n">
        <v>11845</v>
      </c>
    </row>
    <row r="15">
      <c r="A15" s="15" t="inlineStr">
        <is>
          <t>Finansielle poster, netto</t>
        </is>
      </c>
      <c r="B15" s="17" t="n"/>
      <c r="C15" s="17" t="n">
        <v>-23161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66589</v>
      </c>
      <c r="C16" s="17" t="n">
        <v>63774</v>
      </c>
      <c r="D16" s="17" t="n">
        <v>2231</v>
      </c>
      <c r="E16" s="17" t="n">
        <v>5237</v>
      </c>
      <c r="F16" s="17" t="n">
        <v>36848</v>
      </c>
    </row>
    <row r="17">
      <c r="A17" s="16" t="inlineStr">
        <is>
          <t>Skat af årets resultat</t>
        </is>
      </c>
      <c r="B17" s="17" t="n">
        <v>15116</v>
      </c>
      <c r="C17" s="17" t="n">
        <v>14234</v>
      </c>
      <c r="D17" s="17" t="n">
        <v>-1844</v>
      </c>
      <c r="E17" s="17" t="n">
        <v>2179</v>
      </c>
      <c r="F17" s="17" t="n">
        <v>8782</v>
      </c>
    </row>
    <row r="18">
      <c r="A18" s="15" t="inlineStr">
        <is>
          <t>Årets resultat</t>
        </is>
      </c>
      <c r="B18" s="17" t="n">
        <v>51473</v>
      </c>
      <c r="C18" s="17" t="n">
        <v>49540</v>
      </c>
      <c r="D18" s="17" t="n">
        <v>4075</v>
      </c>
      <c r="E18" s="17" t="n">
        <v>3058</v>
      </c>
      <c r="F18" s="17" t="n">
        <v>28066</v>
      </c>
    </row>
    <row r="19">
      <c r="A19" s="16" t="inlineStr">
        <is>
          <t>Gns. antal medarbejdere</t>
        </is>
      </c>
      <c r="B19" s="17" t="n">
        <v>597</v>
      </c>
      <c r="C19" s="17" t="n">
        <v>624</v>
      </c>
      <c r="D19" s="17" t="n">
        <v>639</v>
      </c>
      <c r="E19" s="17" t="n">
        <v>599</v>
      </c>
      <c r="F19" s="17" t="n">
        <v>565</v>
      </c>
    </row>
    <row r="20">
      <c r="A20" s="16" t="inlineStr">
        <is>
          <t>Investering i materielle anlægsaktiver</t>
        </is>
      </c>
      <c r="B20" s="17" t="n">
        <v>36344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Balance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7356</v>
      </c>
      <c r="C4" s="17" t="n">
        <v>6058</v>
      </c>
      <c r="D4" s="17" t="n">
        <v>4760</v>
      </c>
      <c r="E4" s="17" t="n">
        <v>3462</v>
      </c>
      <c r="F4" s="17" t="n">
        <v>2164</v>
      </c>
    </row>
    <row r="5">
      <c r="A5" s="15" t="inlineStr">
        <is>
          <t>Immaterielle anlægsaktiver</t>
        </is>
      </c>
      <c r="B5" s="17" t="n">
        <v>7356</v>
      </c>
      <c r="C5" s="17" t="n"/>
      <c r="D5" s="17" t="n"/>
      <c r="E5" s="17" t="n"/>
      <c r="F5" s="17" t="n">
        <v>2164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1789</v>
      </c>
      <c r="C7" s="17" t="n">
        <v>3285</v>
      </c>
      <c r="D7" s="17" t="n">
        <v>3001</v>
      </c>
      <c r="E7" s="17" t="n">
        <v>3024</v>
      </c>
      <c r="F7" s="17" t="n">
        <v>3735</v>
      </c>
    </row>
    <row r="8">
      <c r="A8" s="16" t="inlineStr">
        <is>
          <t>Driftsmateriel og inventar</t>
        </is>
      </c>
      <c r="B8" s="17" t="n">
        <v>47666</v>
      </c>
      <c r="C8" s="17" t="n">
        <v>82198</v>
      </c>
      <c r="D8" s="17" t="n">
        <v>98543</v>
      </c>
      <c r="E8" s="17" t="n">
        <v>139900</v>
      </c>
      <c r="F8" s="17" t="n">
        <v>127254</v>
      </c>
    </row>
    <row r="9">
      <c r="A9" s="16" t="inlineStr">
        <is>
          <t>Indretning af lejede lokaler</t>
        </is>
      </c>
      <c r="B9" s="17" t="n">
        <v>15586</v>
      </c>
      <c r="C9" s="17" t="n">
        <v>16266</v>
      </c>
      <c r="D9" s="17" t="n">
        <v>30717</v>
      </c>
      <c r="E9" s="17" t="n">
        <v>13660</v>
      </c>
      <c r="F9" s="17" t="n">
        <v>12043</v>
      </c>
    </row>
    <row r="10">
      <c r="A10" s="16" t="inlineStr">
        <is>
          <t>Forudbetaling og anlægsaktiver under opførelse</t>
        </is>
      </c>
      <c r="B10" s="17" t="n">
        <v>971</v>
      </c>
      <c r="C10" s="17" t="n">
        <v>186</v>
      </c>
      <c r="D10" s="17" t="n">
        <v>8967</v>
      </c>
      <c r="E10" s="17" t="n">
        <v>4046</v>
      </c>
      <c r="F10" s="17" t="n">
        <v>13363</v>
      </c>
    </row>
    <row r="11">
      <c r="A11" s="15" t="inlineStr">
        <is>
          <t>Materielle anlægsaktiver</t>
        </is>
      </c>
      <c r="B11" s="17" t="n">
        <v>66012</v>
      </c>
      <c r="C11" s="17" t="n">
        <v>101935</v>
      </c>
      <c r="D11" s="17" t="n">
        <v>141228</v>
      </c>
      <c r="E11" s="17" t="n">
        <v>160630</v>
      </c>
      <c r="F11" s="17" t="n">
        <v>156395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17522</v>
      </c>
      <c r="C13" s="17" t="n">
        <v>17582</v>
      </c>
      <c r="D13" s="17" t="n">
        <v>15976</v>
      </c>
      <c r="E13" s="17" t="n">
        <v>17083</v>
      </c>
      <c r="F13" s="17" t="n">
        <v>14991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>
        <v>14991</v>
      </c>
    </row>
    <row r="15">
      <c r="A15" s="15" t="inlineStr">
        <is>
          <t>Anlægsaktiver</t>
        </is>
      </c>
      <c r="B15" s="17" t="n">
        <v>90890</v>
      </c>
      <c r="C15" s="17" t="n">
        <v>125575</v>
      </c>
      <c r="D15" s="17" t="n">
        <v>161964</v>
      </c>
      <c r="E15" s="17" t="n">
        <v>181175</v>
      </c>
      <c r="F15" s="17" t="n">
        <v>173550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284091</v>
      </c>
      <c r="C18" s="17" t="n"/>
      <c r="D18" s="17" t="n"/>
      <c r="E18" s="17" t="n"/>
      <c r="F18" s="17" t="n">
        <v>333976</v>
      </c>
    </row>
    <row r="19">
      <c r="A19" s="15" t="inlineStr">
        <is>
          <t>Varebeholdninger</t>
        </is>
      </c>
      <c r="B19" s="17" t="n">
        <v>284091</v>
      </c>
      <c r="C19" s="17" t="n">
        <v>356595</v>
      </c>
      <c r="D19" s="17" t="n">
        <v>315841</v>
      </c>
      <c r="E19" s="17" t="n">
        <v>342973</v>
      </c>
      <c r="F19" s="17" t="n">
        <v>333976</v>
      </c>
    </row>
    <row r="20">
      <c r="A20" s="16" t="inlineStr">
        <is>
          <t>Tilgodehavender fra salg og tjenesteydelser</t>
        </is>
      </c>
      <c r="B20" s="17" t="n">
        <v>5479</v>
      </c>
      <c r="C20" s="17" t="n">
        <v>5610</v>
      </c>
      <c r="D20" s="17" t="n">
        <v>14966</v>
      </c>
      <c r="E20" s="17" t="n">
        <v>16499</v>
      </c>
      <c r="F20" s="17" t="n">
        <v>7310</v>
      </c>
    </row>
    <row r="21">
      <c r="A21" s="16" t="inlineStr">
        <is>
          <t>Tilgodehavender hos tilknyttede virksomheder</t>
        </is>
      </c>
      <c r="B21" s="17" t="n">
        <v>40367</v>
      </c>
      <c r="C21" s="17" t="n">
        <v>129480</v>
      </c>
      <c r="D21" s="17" t="n">
        <v>136125</v>
      </c>
      <c r="E21" s="17" t="n">
        <v>117811</v>
      </c>
      <c r="F21" s="17" t="n">
        <v>127951</v>
      </c>
    </row>
    <row r="22">
      <c r="A22" s="16" t="inlineStr">
        <is>
          <t>Andre tilgodehavender</t>
        </is>
      </c>
      <c r="B22" s="17" t="n">
        <v>5838</v>
      </c>
      <c r="C22" s="17" t="n">
        <v>4648</v>
      </c>
      <c r="D22" s="17" t="n">
        <v>855</v>
      </c>
      <c r="E22" s="17" t="n">
        <v>3149</v>
      </c>
      <c r="F22" s="17" t="n">
        <v>3306</v>
      </c>
    </row>
    <row r="23">
      <c r="A23" s="16" t="inlineStr">
        <is>
          <t>Periodeafgrænsningsposter (aktiver)</t>
        </is>
      </c>
      <c r="B23" s="17" t="n">
        <v>13187</v>
      </c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>
        <v>15246</v>
      </c>
      <c r="C24" s="17" t="n">
        <v>0</v>
      </c>
      <c r="D24" s="17" t="n">
        <v>1858</v>
      </c>
      <c r="E24" s="17" t="n">
        <v>0</v>
      </c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80117</v>
      </c>
      <c r="C27" s="17" t="n">
        <v>154691</v>
      </c>
      <c r="D27" s="17" t="n">
        <v>173180</v>
      </c>
      <c r="E27" s="17" t="n">
        <v>145537</v>
      </c>
      <c r="F27" s="17" t="n">
        <v>154657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51064</v>
      </c>
      <c r="C29" s="17" t="n">
        <v>27903</v>
      </c>
      <c r="D29" s="17" t="n">
        <v>28345</v>
      </c>
      <c r="E29" s="17" t="n">
        <v>26146</v>
      </c>
      <c r="F29" s="17" t="n">
        <v>18027</v>
      </c>
    </row>
    <row r="30">
      <c r="A30" s="15" t="inlineStr">
        <is>
          <t>Omsætningsaktiver</t>
        </is>
      </c>
      <c r="B30" s="17" t="n">
        <v>415272</v>
      </c>
      <c r="C30" s="17" t="n">
        <v>539189</v>
      </c>
      <c r="D30" s="17" t="n">
        <v>517366</v>
      </c>
      <c r="E30" s="17" t="n">
        <v>514656</v>
      </c>
      <c r="F30" s="17" t="n">
        <v>506660</v>
      </c>
    </row>
    <row r="31">
      <c r="A31" s="15" t="inlineStr">
        <is>
          <t>Aktiver</t>
        </is>
      </c>
      <c r="B31" s="17" t="n">
        <v>506162</v>
      </c>
      <c r="C31" s="17" t="n">
        <v>664764</v>
      </c>
      <c r="D31" s="17" t="n">
        <v>679330</v>
      </c>
      <c r="E31" s="17" t="n">
        <v>695831</v>
      </c>
      <c r="F31" s="17" t="n">
        <v>680210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73577</v>
      </c>
      <c r="C37" s="17" t="n">
        <v>98617</v>
      </c>
      <c r="D37" s="17" t="n">
        <v>77692</v>
      </c>
      <c r="E37" s="17" t="n">
        <v>80750</v>
      </c>
      <c r="F37" s="17" t="n">
        <v>38816</v>
      </c>
    </row>
    <row r="38">
      <c r="A38" s="15" t="inlineStr">
        <is>
          <t>Egenkapital i alt</t>
        </is>
      </c>
      <c r="B38" s="17" t="n">
        <v>74577</v>
      </c>
      <c r="C38" s="17" t="n">
        <v>124117</v>
      </c>
      <c r="D38" s="17" t="n">
        <v>103692</v>
      </c>
      <c r="E38" s="17" t="n">
        <v>81750</v>
      </c>
      <c r="F38" s="17" t="n">
        <v>109816</v>
      </c>
    </row>
    <row r="39">
      <c r="A39" s="15" t="inlineStr">
        <is>
          <t>Hensatte forpligtelser</t>
        </is>
      </c>
      <c r="B39" s="17" t="n">
        <v>1120</v>
      </c>
      <c r="C39" s="17" t="n">
        <v>1070</v>
      </c>
      <c r="D39" s="17" t="n">
        <v>1656</v>
      </c>
      <c r="E39" s="17" t="n">
        <v>4850</v>
      </c>
      <c r="F39" s="17" t="n">
        <v>4821</v>
      </c>
    </row>
    <row r="40">
      <c r="A40" s="16" t="inlineStr">
        <is>
          <t>Ansvarlig lånekapital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Langfristede lån</t>
        </is>
      </c>
      <c r="B41" s="17" t="n">
        <v>10000</v>
      </c>
      <c r="C41" s="17" t="n">
        <v>115096</v>
      </c>
      <c r="D41" s="17" t="n">
        <v>105000</v>
      </c>
      <c r="E41" s="17" t="n">
        <v>105000</v>
      </c>
      <c r="F41" s="17" t="n">
        <v>45000</v>
      </c>
    </row>
    <row r="42">
      <c r="A42" s="16" t="inlineStr">
        <is>
          <t>Leasingforpligtelser (langfristet)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(langfristet)</t>
        </is>
      </c>
      <c r="B43" s="17" t="n"/>
      <c r="C43" s="17" t="n"/>
      <c r="D43" s="17" t="n"/>
      <c r="E43" s="17" t="n"/>
      <c r="F43" s="17" t="n"/>
    </row>
    <row r="44">
      <c r="A44" s="15" t="inlineStr">
        <is>
          <t>Langfristede gældsforpligtelser</t>
        </is>
      </c>
      <c r="B44" s="17" t="n"/>
      <c r="C44" s="17" t="n"/>
      <c r="D44" s="17" t="n">
        <v>124379</v>
      </c>
      <c r="E44" s="17" t="n">
        <v>125022</v>
      </c>
      <c r="F44" s="17" t="n">
        <v>65815</v>
      </c>
    </row>
    <row r="45">
      <c r="A45" s="16" t="inlineStr">
        <is>
          <t>Ansvarlig lånekapital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Kortfristet del af langfristede gældsforpligtelser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Kreditinstitutter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Leasingforpligtelser (kortfristet)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Leverandører af varer og tjenesteydelser</t>
        </is>
      </c>
      <c r="B49" s="17" t="n">
        <v>291617</v>
      </c>
      <c r="C49" s="17" t="n">
        <v>318330</v>
      </c>
      <c r="D49" s="17" t="n">
        <v>339898</v>
      </c>
      <c r="E49" s="17" t="n">
        <v>404135</v>
      </c>
      <c r="F49" s="17" t="n">
        <v>411206</v>
      </c>
    </row>
    <row r="50">
      <c r="A50" s="16" t="inlineStr">
        <is>
          <t>Gæld til tilknyttede virksomheder</t>
        </is>
      </c>
      <c r="B50" s="17" t="n">
        <v>65</v>
      </c>
      <c r="C50" s="17" t="n">
        <v>0</v>
      </c>
      <c r="D50" s="17" t="n"/>
      <c r="E50" s="17" t="n"/>
      <c r="F50" s="17" t="n">
        <v>575</v>
      </c>
    </row>
    <row r="51">
      <c r="A51" s="16" t="inlineStr">
        <is>
          <t>Gæld til selskabsdeltagere og ledelse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Selskabsskat</t>
        </is>
      </c>
      <c r="B52" s="17" t="n"/>
      <c r="C52" s="17" t="n">
        <v>762</v>
      </c>
      <c r="D52" s="17" t="n">
        <v>0</v>
      </c>
      <c r="E52" s="17" t="n"/>
      <c r="F52" s="17" t="n"/>
    </row>
    <row r="53">
      <c r="A53" s="16" t="inlineStr">
        <is>
          <t>Gæld til tilknyttede virksomheder vedr. 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Anden gæld (kortfristet)</t>
        </is>
      </c>
      <c r="B54" s="17" t="n">
        <v>121062</v>
      </c>
      <c r="C54" s="17" t="n">
        <v>97446</v>
      </c>
      <c r="D54" s="17" t="n">
        <v>104504</v>
      </c>
      <c r="E54" s="17" t="n">
        <v>74748</v>
      </c>
      <c r="F54" s="17" t="n">
        <v>83197</v>
      </c>
    </row>
    <row r="55">
      <c r="A55" s="16" t="inlineStr">
        <is>
          <t>Periodeafgrænsningsposter (passiver)</t>
        </is>
      </c>
      <c r="B55" s="17" t="n">
        <v>7721</v>
      </c>
      <c r="C55" s="17" t="n">
        <v>7943</v>
      </c>
      <c r="D55" s="17" t="n">
        <v>5201</v>
      </c>
      <c r="E55" s="17" t="n">
        <v>5326</v>
      </c>
      <c r="F55" s="17" t="n">
        <v>4780</v>
      </c>
    </row>
    <row r="56">
      <c r="A56" s="15" t="inlineStr">
        <is>
          <t>Kortfristede gældsforpligtelser</t>
        </is>
      </c>
      <c r="B56" s="17" t="n">
        <v>420465</v>
      </c>
      <c r="C56" s="17" t="n">
        <v>424481</v>
      </c>
      <c r="D56" s="17" t="n">
        <v>449603</v>
      </c>
      <c r="E56" s="17" t="n">
        <v>484209</v>
      </c>
      <c r="F56" s="17" t="n">
        <v>499758</v>
      </c>
    </row>
    <row r="57">
      <c r="A57" s="15" t="inlineStr">
        <is>
          <t>Gældsforpligtelser</t>
        </is>
      </c>
      <c r="B57" s="17" t="n">
        <v>430465</v>
      </c>
      <c r="C57" s="17" t="n">
        <v>539577</v>
      </c>
      <c r="D57" s="17" t="n">
        <v>573982</v>
      </c>
      <c r="E57" s="17" t="n">
        <v>609231</v>
      </c>
      <c r="F57" s="17" t="n">
        <v>565573</v>
      </c>
    </row>
    <row r="58">
      <c r="A58" s="15" t="inlineStr">
        <is>
          <t>Passiver</t>
        </is>
      </c>
      <c r="B58" s="17" t="n">
        <v>506162</v>
      </c>
      <c r="C58" s="17" t="n">
        <v>664764</v>
      </c>
      <c r="D58" s="17" t="n">
        <v>679330</v>
      </c>
      <c r="E58" s="17" t="n">
        <v>695831</v>
      </c>
      <c r="F58" s="17" t="n">
        <v>680210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Silvan A/S (CVR 38841297) — Pengestrømsopgørelse (valuta pr. år - se kolonneoverskrifter)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100529</v>
      </c>
      <c r="C2" s="17" t="n">
        <v>16649</v>
      </c>
      <c r="D2" s="17" t="n">
        <v>104139</v>
      </c>
      <c r="E2" s="17" t="n">
        <v>48289</v>
      </c>
      <c r="F2" s="17" t="n">
        <v>81172</v>
      </c>
    </row>
    <row r="3">
      <c r="A3" s="16" t="inlineStr">
        <is>
          <t>Pengestrømme fra investeringsaktivitet</t>
        </is>
      </c>
      <c r="B3" s="17" t="n">
        <v>-36042</v>
      </c>
      <c r="C3" s="17" t="n">
        <v>-60264</v>
      </c>
      <c r="D3" s="17" t="n">
        <v>-68727</v>
      </c>
      <c r="E3" s="17" t="n">
        <v>-50488</v>
      </c>
      <c r="F3" s="17" t="n">
        <v>-29291</v>
      </c>
    </row>
    <row r="4">
      <c r="A4" s="16" t="inlineStr">
        <is>
          <t>Pengestrømme fra finansieringsaktivitet</t>
        </is>
      </c>
      <c r="B4" s="17" t="n">
        <v>-170000</v>
      </c>
      <c r="C4" s="17" t="n">
        <v>20454</v>
      </c>
      <c r="D4" s="17" t="n">
        <v>-34970</v>
      </c>
      <c r="E4" s="17" t="n">
        <v>0</v>
      </c>
      <c r="F4" s="17" t="n">
        <v>-60000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Silvan A/S (CVR 38841297) — Regnskabs- og nøgletal (CVR: 38841297)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2026-09-14T19:58:16Z</dcterms:created>
  <dcterms:modified xmlns:dcterms="http://purl.org/dc/terms/" xmlns:xsi="http://www.w3.org/2001/XMLSchema-instance" xsi:type="dcterms:W3CDTF">2026-09-14T19:58:16Z</dcterms:modified>
</cp:coreProperties>
</file>