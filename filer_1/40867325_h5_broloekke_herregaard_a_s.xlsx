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867325" sheetId="1" state="visible" r:id="rId1"/>
    <sheet xmlns:r="http://schemas.openxmlformats.org/officeDocument/2006/relationships" name="res_raw_40867325" sheetId="2" state="visible" r:id="rId2"/>
    <sheet xmlns:r="http://schemas.openxmlformats.org/officeDocument/2006/relationships" name="balance_raw_4086732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H5 Broløkke Herregård A/S (CVR 40867325)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'res_raw_40867325'!$B$2</f>
        <v/>
      </c>
      <c r="C4" s="5">
        <f>'res_raw_40867325'!$C$2</f>
        <v/>
      </c>
      <c r="D4" s="5">
        <f>'res_raw_40867325'!$D$2</f>
        <v/>
      </c>
      <c r="E4" s="5">
        <f>'res_raw_40867325'!$E$2</f>
        <v/>
      </c>
      <c r="F4" s="5">
        <f>'res_raw_40867325'!$F$2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'res_raw_40867325'!$B$3</f>
        <v/>
      </c>
      <c r="C5" s="8">
        <f>'res_raw_40867325'!$C$3</f>
        <v/>
      </c>
      <c r="D5" s="8">
        <f>'res_raw_40867325'!$D$3</f>
        <v/>
      </c>
      <c r="E5" s="8">
        <f>'res_raw_40867325'!$E$3</f>
        <v/>
      </c>
      <c r="F5" s="8">
        <f>'res_raw_40867325'!$F$3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'res_raw_40867325'!$B$4</f>
        <v/>
      </c>
      <c r="C6" s="5">
        <f>'res_raw_40867325'!$C$4</f>
        <v/>
      </c>
      <c r="D6" s="5">
        <f>'res_raw_40867325'!$D$4</f>
        <v/>
      </c>
      <c r="E6" s="5">
        <f>'res_raw_40867325'!$E$4</f>
        <v/>
      </c>
      <c r="F6" s="5">
        <f>'res_raw_40867325'!$F$4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'res_raw_40867325'!$B$5</f>
        <v/>
      </c>
      <c r="C7" s="8">
        <f>'res_raw_40867325'!$C$5</f>
        <v/>
      </c>
      <c r="D7" s="8">
        <f>'res_raw_40867325'!$D$5</f>
        <v/>
      </c>
      <c r="E7" s="8">
        <f>'res_raw_40867325'!$E$5</f>
        <v/>
      </c>
      <c r="F7" s="8">
        <f>'res_raw_40867325'!$F$5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'res_raw_40867325'!$B$6</f>
        <v/>
      </c>
      <c r="C8" s="11">
        <f>'res_raw_40867325'!$C$6</f>
        <v/>
      </c>
      <c r="D8" s="11">
        <f>'res_raw_40867325'!$D$6</f>
        <v/>
      </c>
      <c r="E8" s="11">
        <f>'res_raw_40867325'!$E$6</f>
        <v/>
      </c>
      <c r="F8" s="11">
        <f>'res_raw_40867325'!$F$6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'res_raw_40867325'!$B$7</f>
        <v/>
      </c>
      <c r="C9" s="8">
        <f>'res_raw_40867325'!$C$7</f>
        <v/>
      </c>
      <c r="D9" s="8">
        <f>'res_raw_40867325'!$D$7</f>
        <v/>
      </c>
      <c r="E9" s="8">
        <f>'res_raw_40867325'!$E$7</f>
        <v/>
      </c>
      <c r="F9" s="8">
        <f>'res_raw_40867325'!$F$7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'res_raw_40867325'!$B$9</f>
        <v/>
      </c>
      <c r="C11" s="8">
        <f>'res_raw_40867325'!$C$9</f>
        <v/>
      </c>
      <c r="D11" s="8">
        <f>'res_raw_40867325'!$D$9</f>
        <v/>
      </c>
      <c r="E11" s="8">
        <f>'res_raw_40867325'!$E$9</f>
        <v/>
      </c>
      <c r="F11" s="8">
        <f>'res_raw_40867325'!$F$9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'res_raw_40867325'!$B$10</f>
        <v/>
      </c>
      <c r="C12" s="5">
        <f>'res_raw_40867325'!$C$10</f>
        <v/>
      </c>
      <c r="D12" s="5">
        <f>'res_raw_40867325'!$D$10</f>
        <v/>
      </c>
      <c r="E12" s="5">
        <f>'res_raw_40867325'!$E$10</f>
        <v/>
      </c>
      <c r="F12" s="5">
        <f>'res_raw_40867325'!$F$10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'res_raw_40867325'!$B$11</f>
        <v/>
      </c>
      <c r="C13" s="11">
        <f>'res_raw_40867325'!$C$11</f>
        <v/>
      </c>
      <c r="D13" s="11">
        <f>'res_raw_40867325'!$D$11</f>
        <v/>
      </c>
      <c r="E13" s="11">
        <f>'res_raw_40867325'!$E$11</f>
        <v/>
      </c>
      <c r="F13" s="11">
        <f>'res_raw_40867325'!$F$11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'res_raw_40867325'!$B$12</f>
        <v/>
      </c>
      <c r="C14" s="5">
        <f>'res_raw_40867325'!$C$12</f>
        <v/>
      </c>
      <c r="D14" s="5">
        <f>'res_raw_40867325'!$D$12</f>
        <v/>
      </c>
      <c r="E14" s="5">
        <f>'res_raw_40867325'!$E$12</f>
        <v/>
      </c>
      <c r="F14" s="5">
        <f>'res_raw_40867325'!$F$12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'res_raw_40867325'!$B$13</f>
        <v/>
      </c>
      <c r="C15" s="8">
        <f>'res_raw_40867325'!$C$13</f>
        <v/>
      </c>
      <c r="D15" s="8">
        <f>'res_raw_40867325'!$D$13</f>
        <v/>
      </c>
      <c r="E15" s="8">
        <f>'res_raw_40867325'!$E$13</f>
        <v/>
      </c>
      <c r="F15" s="8">
        <f>'res_raw_40867325'!$F$13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'res_raw_40867325'!$B$14</f>
        <v/>
      </c>
      <c r="C16" s="5">
        <f>'res_raw_40867325'!$C$14</f>
        <v/>
      </c>
      <c r="D16" s="5">
        <f>'res_raw_40867325'!$D$14</f>
        <v/>
      </c>
      <c r="E16" s="5">
        <f>'res_raw_40867325'!$E$14</f>
        <v/>
      </c>
      <c r="F16" s="5">
        <f>'res_raw_40867325'!$F$14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'res_raw_40867325'!$B$15</f>
        <v/>
      </c>
      <c r="C17" s="11">
        <f>'res_raw_40867325'!$C$15</f>
        <v/>
      </c>
      <c r="D17" s="11">
        <f>'res_raw_40867325'!$D$15</f>
        <v/>
      </c>
      <c r="E17" s="11">
        <f>'res_raw_40867325'!$E$15</f>
        <v/>
      </c>
      <c r="F17" s="11">
        <f>'res_raw_40867325'!$F$15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'res_raw_40867325'!$B$16</f>
        <v/>
      </c>
      <c r="C18" s="11">
        <f>'res_raw_40867325'!$C$16</f>
        <v/>
      </c>
      <c r="D18" s="11">
        <f>'res_raw_40867325'!$D$16</f>
        <v/>
      </c>
      <c r="E18" s="11">
        <f>'res_raw_40867325'!$E$16</f>
        <v/>
      </c>
      <c r="F18" s="11">
        <f>'res_raw_40867325'!$F$16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'res_raw_40867325'!$B$17</f>
        <v/>
      </c>
      <c r="C19" s="8">
        <f>'res_raw_40867325'!$C$17</f>
        <v/>
      </c>
      <c r="D19" s="8">
        <f>'res_raw_40867325'!$D$17</f>
        <v/>
      </c>
      <c r="E19" s="8">
        <f>'res_raw_40867325'!$E$17</f>
        <v/>
      </c>
      <c r="F19" s="8">
        <f>'res_raw_40867325'!$F$17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'res_raw_40867325'!$B$18</f>
        <v/>
      </c>
      <c r="C20" s="11">
        <f>'res_raw_40867325'!$C$18</f>
        <v/>
      </c>
      <c r="D20" s="11">
        <f>'res_raw_40867325'!$D$18</f>
        <v/>
      </c>
      <c r="E20" s="11">
        <f>'res_raw_40867325'!$E$18</f>
        <v/>
      </c>
      <c r="F20" s="11">
        <f>'res_raw_40867325'!$F$18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'balance_raw_40867325'!$B$2</f>
        <v/>
      </c>
      <c r="C23" s="8">
        <f>'balance_raw_40867325'!$C$2</f>
        <v/>
      </c>
      <c r="D23" s="8">
        <f>'balance_raw_40867325'!$D$2</f>
        <v/>
      </c>
      <c r="E23" s="8">
        <f>'balance_raw_40867325'!$E$2</f>
        <v/>
      </c>
      <c r="F23" s="8">
        <f>'balance_raw_40867325'!$F$2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'balance_raw_40867325'!$B$3</f>
        <v/>
      </c>
      <c r="C24" s="5">
        <f>'balance_raw_40867325'!$C$3</f>
        <v/>
      </c>
      <c r="D24" s="5">
        <f>'balance_raw_40867325'!$D$3</f>
        <v/>
      </c>
      <c r="E24" s="5">
        <f>'balance_raw_40867325'!$E$3</f>
        <v/>
      </c>
      <c r="F24" s="5">
        <f>'balance_raw_40867325'!$F$3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'balance_raw_40867325'!$B$4</f>
        <v/>
      </c>
      <c r="C25" s="8">
        <f>'balance_raw_40867325'!$C$4</f>
        <v/>
      </c>
      <c r="D25" s="8">
        <f>'balance_raw_40867325'!$D$4</f>
        <v/>
      </c>
      <c r="E25" s="8">
        <f>'balance_raw_40867325'!$E$4</f>
        <v/>
      </c>
      <c r="F25" s="8">
        <f>'balance_raw_40867325'!$F$4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'balance_raw_40867325'!$B$5</f>
        <v/>
      </c>
      <c r="C26" s="5">
        <f>'balance_raw_40867325'!$C$5</f>
        <v/>
      </c>
      <c r="D26" s="5">
        <f>'balance_raw_40867325'!$D$5</f>
        <v/>
      </c>
      <c r="E26" s="5">
        <f>'balance_raw_40867325'!$E$5</f>
        <v/>
      </c>
      <c r="F26" s="5">
        <f>'balance_raw_40867325'!$F$5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'balance_raw_40867325'!$B$6</f>
        <v/>
      </c>
      <c r="C27" s="8">
        <f>'balance_raw_40867325'!$C$6</f>
        <v/>
      </c>
      <c r="D27" s="8">
        <f>'balance_raw_40867325'!$D$6</f>
        <v/>
      </c>
      <c r="E27" s="8">
        <f>'balance_raw_40867325'!$E$6</f>
        <v/>
      </c>
      <c r="F27" s="8">
        <f>'balance_raw_40867325'!$F$6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'balance_raw_40867325'!$B$7</f>
        <v/>
      </c>
      <c r="C28" s="11">
        <f>'balance_raw_40867325'!$C$7</f>
        <v/>
      </c>
      <c r="D28" s="11">
        <f>'balance_raw_40867325'!$D$7</f>
        <v/>
      </c>
      <c r="E28" s="11">
        <f>'balance_raw_40867325'!$E$7</f>
        <v/>
      </c>
      <c r="F28" s="11">
        <f>'balance_raw_40867325'!$F$7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'balance_raw_40867325'!$B$8</f>
        <v/>
      </c>
      <c r="C29" s="8">
        <f>'balance_raw_40867325'!$C$8</f>
        <v/>
      </c>
      <c r="D29" s="8">
        <f>'balance_raw_40867325'!$D$8</f>
        <v/>
      </c>
      <c r="E29" s="8">
        <f>'balance_raw_40867325'!$E$8</f>
        <v/>
      </c>
      <c r="F29" s="8">
        <f>'balance_raw_40867325'!$F$8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'balance_raw_40867325'!$B$9</f>
        <v/>
      </c>
      <c r="C30" s="5">
        <f>'balance_raw_40867325'!$C$9</f>
        <v/>
      </c>
      <c r="D30" s="5">
        <f>'balance_raw_40867325'!$D$9</f>
        <v/>
      </c>
      <c r="E30" s="5">
        <f>'balance_raw_40867325'!$E$9</f>
        <v/>
      </c>
      <c r="F30" s="5">
        <f>'balance_raw_40867325'!$F$9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'balance_raw_40867325'!$B$10</f>
        <v/>
      </c>
      <c r="C31" s="11">
        <f>'balance_raw_40867325'!$C$10</f>
        <v/>
      </c>
      <c r="D31" s="11">
        <f>'balance_raw_40867325'!$D$10</f>
        <v/>
      </c>
      <c r="E31" s="11">
        <f>'balance_raw_40867325'!$E$10</f>
        <v/>
      </c>
      <c r="F31" s="11">
        <f>'balance_raw_40867325'!$F$10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'balance_raw_40867325'!$B$11</f>
        <v/>
      </c>
      <c r="C32" s="11">
        <f>'balance_raw_40867325'!$C$11</f>
        <v/>
      </c>
      <c r="D32" s="11">
        <f>'balance_raw_40867325'!$D$11</f>
        <v/>
      </c>
      <c r="E32" s="11">
        <f>'balance_raw_40867325'!$E$11</f>
        <v/>
      </c>
      <c r="F32" s="11">
        <f>'balance_raw_40867325'!$F$11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'balance_raw_40867325'!$B$12</f>
        <v/>
      </c>
      <c r="C33" s="8">
        <f>'balance_raw_40867325'!$C$12</f>
        <v/>
      </c>
      <c r="D33" s="8">
        <f>'balance_raw_40867325'!$D$12</f>
        <v/>
      </c>
      <c r="E33" s="8">
        <f>'balance_raw_40867325'!$E$12</f>
        <v/>
      </c>
      <c r="F33" s="8">
        <f>'balance_raw_40867325'!$F$12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'balance_raw_40867325'!$B$13</f>
        <v/>
      </c>
      <c r="C34" s="5">
        <f>'balance_raw_40867325'!$C$13</f>
        <v/>
      </c>
      <c r="D34" s="5">
        <f>'balance_raw_40867325'!$D$13</f>
        <v/>
      </c>
      <c r="E34" s="5">
        <f>'balance_raw_40867325'!$E$13</f>
        <v/>
      </c>
      <c r="F34" s="5">
        <f>'balance_raw_40867325'!$F$13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'balance_raw_40867325'!$B$14</f>
        <v/>
      </c>
      <c r="C35" s="8">
        <f>'balance_raw_40867325'!$C$14</f>
        <v/>
      </c>
      <c r="D35" s="8">
        <f>'balance_raw_40867325'!$D$14</f>
        <v/>
      </c>
      <c r="E35" s="8">
        <f>'balance_raw_40867325'!$E$14</f>
        <v/>
      </c>
      <c r="F35" s="8">
        <f>'balance_raw_40867325'!$F$14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'balance_raw_40867325'!$B$15</f>
        <v/>
      </c>
      <c r="C36" s="11">
        <f>'balance_raw_40867325'!$C$15</f>
        <v/>
      </c>
      <c r="D36" s="11">
        <f>'balance_raw_40867325'!$D$15</f>
        <v/>
      </c>
      <c r="E36" s="11">
        <f>'balance_raw_40867325'!$E$15</f>
        <v/>
      </c>
      <c r="F36" s="11">
        <f>'balance_raw_40867325'!$F$15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'balance_raw_40867325'!$B$16</f>
        <v/>
      </c>
      <c r="C37" s="8">
        <f>'balance_raw_40867325'!$C$16</f>
        <v/>
      </c>
      <c r="D37" s="8">
        <f>'balance_raw_40867325'!$D$16</f>
        <v/>
      </c>
      <c r="E37" s="8">
        <f>'balance_raw_40867325'!$E$16</f>
        <v/>
      </c>
      <c r="F37" s="8">
        <f>'balance_raw_40867325'!$F$16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'balance_raw_40867325'!$B$17</f>
        <v/>
      </c>
      <c r="C38" s="5">
        <f>'balance_raw_40867325'!$C$17</f>
        <v/>
      </c>
      <c r="D38" s="5">
        <f>'balance_raw_40867325'!$D$17</f>
        <v/>
      </c>
      <c r="E38" s="5">
        <f>'balance_raw_40867325'!$E$17</f>
        <v/>
      </c>
      <c r="F38" s="5">
        <f>'balance_raw_40867325'!$F$17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'balance_raw_40867325'!$B$18</f>
        <v/>
      </c>
      <c r="C39" s="8">
        <f>'balance_raw_40867325'!$C$18</f>
        <v/>
      </c>
      <c r="D39" s="8">
        <f>'balance_raw_40867325'!$D$18</f>
        <v/>
      </c>
      <c r="E39" s="8">
        <f>'balance_raw_40867325'!$E$18</f>
        <v/>
      </c>
      <c r="F39" s="8">
        <f>'balance_raw_40867325'!$F$18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'balance_raw_40867325'!$B$19</f>
        <v/>
      </c>
      <c r="C40" s="5">
        <f>'balance_raw_40867325'!$C$19</f>
        <v/>
      </c>
      <c r="D40" s="5">
        <f>'balance_raw_40867325'!$D$19</f>
        <v/>
      </c>
      <c r="E40" s="5">
        <f>'balance_raw_40867325'!$E$19</f>
        <v/>
      </c>
      <c r="F40" s="5">
        <f>'balance_raw_40867325'!$F$19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'balance_raw_40867325'!$B$20</f>
        <v/>
      </c>
      <c r="C41" s="8">
        <f>'balance_raw_40867325'!$C$20</f>
        <v/>
      </c>
      <c r="D41" s="8">
        <f>'balance_raw_40867325'!$D$20</f>
        <v/>
      </c>
      <c r="E41" s="8">
        <f>'balance_raw_40867325'!$E$20</f>
        <v/>
      </c>
      <c r="F41" s="8">
        <f>'balance_raw_40867325'!$F$20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'balance_raw_40867325'!$B$21</f>
        <v/>
      </c>
      <c r="C42" s="5">
        <f>'balance_raw_40867325'!$C$21</f>
        <v/>
      </c>
      <c r="D42" s="5">
        <f>'balance_raw_40867325'!$D$21</f>
        <v/>
      </c>
      <c r="E42" s="5">
        <f>'balance_raw_40867325'!$E$21</f>
        <v/>
      </c>
      <c r="F42" s="5">
        <f>'balance_raw_40867325'!$F$21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'balance_raw_40867325'!$B$22</f>
        <v/>
      </c>
      <c r="C43" s="8">
        <f>'balance_raw_40867325'!$C$22</f>
        <v/>
      </c>
      <c r="D43" s="8">
        <f>'balance_raw_40867325'!$D$22</f>
        <v/>
      </c>
      <c r="E43" s="8">
        <f>'balance_raw_40867325'!$E$22</f>
        <v/>
      </c>
      <c r="F43" s="8">
        <f>'balance_raw_40867325'!$F$22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'balance_raw_40867325'!$B$23</f>
        <v/>
      </c>
      <c r="C44" s="11">
        <f>'balance_raw_40867325'!$C$23</f>
        <v/>
      </c>
      <c r="D44" s="11">
        <f>'balance_raw_40867325'!$D$23</f>
        <v/>
      </c>
      <c r="E44" s="11">
        <f>'balance_raw_40867325'!$E$23</f>
        <v/>
      </c>
      <c r="F44" s="11">
        <f>'balance_raw_40867325'!$F$23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'balance_raw_40867325'!$B$24</f>
        <v/>
      </c>
      <c r="C45" s="8">
        <f>'balance_raw_40867325'!$C$24</f>
        <v/>
      </c>
      <c r="D45" s="8">
        <f>'balance_raw_40867325'!$D$24</f>
        <v/>
      </c>
      <c r="E45" s="8">
        <f>'balance_raw_40867325'!$E$24</f>
        <v/>
      </c>
      <c r="F45" s="8">
        <f>'balance_raw_40867325'!$F$24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'balance_raw_40867325'!$B$25</f>
        <v/>
      </c>
      <c r="C46" s="5">
        <f>'balance_raw_40867325'!$C$25</f>
        <v/>
      </c>
      <c r="D46" s="5">
        <f>'balance_raw_40867325'!$D$25</f>
        <v/>
      </c>
      <c r="E46" s="5">
        <f>'balance_raw_40867325'!$E$25</f>
        <v/>
      </c>
      <c r="F46" s="5">
        <f>'balance_raw_40867325'!$F$25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'balance_raw_40867325'!$B$26</f>
        <v/>
      </c>
      <c r="C47" s="11">
        <f>'balance_raw_40867325'!$C$26</f>
        <v/>
      </c>
      <c r="D47" s="11">
        <f>'balance_raw_40867325'!$D$26</f>
        <v/>
      </c>
      <c r="E47" s="11">
        <f>'balance_raw_40867325'!$E$26</f>
        <v/>
      </c>
      <c r="F47" s="11">
        <f>'balance_raw_40867325'!$F$26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'balance_raw_40867325'!$B$27</f>
        <v/>
      </c>
      <c r="C48" s="11">
        <f>'balance_raw_40867325'!$C$27</f>
        <v/>
      </c>
      <c r="D48" s="11">
        <f>'balance_raw_40867325'!$D$27</f>
        <v/>
      </c>
      <c r="E48" s="11">
        <f>'balance_raw_40867325'!$E$27</f>
        <v/>
      </c>
      <c r="F48" s="11">
        <f>'balance_raw_40867325'!$F$27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'balance_raw_40867325'!$B$28</f>
        <v/>
      </c>
      <c r="C51" s="8">
        <f>'balance_raw_40867325'!$C$28</f>
        <v/>
      </c>
      <c r="D51" s="8">
        <f>'balance_raw_40867325'!$D$28</f>
        <v/>
      </c>
      <c r="E51" s="8">
        <f>'balance_raw_40867325'!$E$28</f>
        <v/>
      </c>
      <c r="F51" s="8">
        <f>'balance_raw_40867325'!$F$28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'balance_raw_40867325'!$B$29</f>
        <v/>
      </c>
      <c r="C52" s="5">
        <f>'balance_raw_40867325'!$C$29</f>
        <v/>
      </c>
      <c r="D52" s="5">
        <f>'balance_raw_40867325'!$D$29</f>
        <v/>
      </c>
      <c r="E52" s="5">
        <f>'balance_raw_40867325'!$E$29</f>
        <v/>
      </c>
      <c r="F52" s="5">
        <f>'balance_raw_40867325'!$F$29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'balance_raw_40867325'!$B$30</f>
        <v/>
      </c>
      <c r="C53" s="8">
        <f>'balance_raw_40867325'!$C$30</f>
        <v/>
      </c>
      <c r="D53" s="8">
        <f>'balance_raw_40867325'!$D$30</f>
        <v/>
      </c>
      <c r="E53" s="8">
        <f>'balance_raw_40867325'!$E$30</f>
        <v/>
      </c>
      <c r="F53" s="8">
        <f>'balance_raw_40867325'!$F$30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'balance_raw_40867325'!$B$31</f>
        <v/>
      </c>
      <c r="C54" s="5">
        <f>'balance_raw_40867325'!$C$31</f>
        <v/>
      </c>
      <c r="D54" s="5">
        <f>'balance_raw_40867325'!$D$31</f>
        <v/>
      </c>
      <c r="E54" s="5">
        <f>'balance_raw_40867325'!$E$31</f>
        <v/>
      </c>
      <c r="F54" s="5">
        <f>'balance_raw_40867325'!$F$31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'balance_raw_40867325'!$B$32</f>
        <v/>
      </c>
      <c r="C55" s="8">
        <f>'balance_raw_40867325'!$C$32</f>
        <v/>
      </c>
      <c r="D55" s="8">
        <f>'balance_raw_40867325'!$D$32</f>
        <v/>
      </c>
      <c r="E55" s="8">
        <f>'balance_raw_40867325'!$E$32</f>
        <v/>
      </c>
      <c r="F55" s="8">
        <f>'balance_raw_40867325'!$F$32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'balance_raw_40867325'!$B$33</f>
        <v/>
      </c>
      <c r="C56" s="5">
        <f>'balance_raw_40867325'!$C$33</f>
        <v/>
      </c>
      <c r="D56" s="5">
        <f>'balance_raw_40867325'!$D$33</f>
        <v/>
      </c>
      <c r="E56" s="5">
        <f>'balance_raw_40867325'!$E$33</f>
        <v/>
      </c>
      <c r="F56" s="5">
        <f>'balance_raw_40867325'!$F$33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'balance_raw_40867325'!$B$34</f>
        <v/>
      </c>
      <c r="C57" s="11">
        <f>'balance_raw_40867325'!$C$34</f>
        <v/>
      </c>
      <c r="D57" s="11">
        <f>'balance_raw_40867325'!$D$34</f>
        <v/>
      </c>
      <c r="E57" s="11">
        <f>'balance_raw_40867325'!$E$34</f>
        <v/>
      </c>
      <c r="F57" s="11">
        <f>'balance_raw_40867325'!$F$34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'balance_raw_40867325'!$B$35</f>
        <v/>
      </c>
      <c r="C58" s="5">
        <f>'balance_raw_40867325'!$C$35</f>
        <v/>
      </c>
      <c r="D58" s="5">
        <f>'balance_raw_40867325'!$D$35</f>
        <v/>
      </c>
      <c r="E58" s="5">
        <f>'balance_raw_40867325'!$E$35</f>
        <v/>
      </c>
      <c r="F58" s="5">
        <f>'balance_raw_40867325'!$F$35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'balance_raw_40867325'!$B$36</f>
        <v/>
      </c>
      <c r="C59" s="11">
        <f>'balance_raw_40867325'!$C$36</f>
        <v/>
      </c>
      <c r="D59" s="11">
        <f>'balance_raw_40867325'!$D$36</f>
        <v/>
      </c>
      <c r="E59" s="11">
        <f>'balance_raw_40867325'!$E$36</f>
        <v/>
      </c>
      <c r="F59" s="11">
        <f>'balance_raw_40867325'!$F$36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'balance_raw_40867325'!$B$37</f>
        <v/>
      </c>
      <c r="C60" s="5">
        <f>'balance_raw_40867325'!$C$37</f>
        <v/>
      </c>
      <c r="D60" s="5">
        <f>'balance_raw_40867325'!$D$37</f>
        <v/>
      </c>
      <c r="E60" s="5">
        <f>'balance_raw_40867325'!$E$37</f>
        <v/>
      </c>
      <c r="F60" s="5">
        <f>'balance_raw_40867325'!$F$37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'balance_raw_40867325'!$B$38</f>
        <v/>
      </c>
      <c r="C61" s="8">
        <f>'balance_raw_40867325'!$C$38</f>
        <v/>
      </c>
      <c r="D61" s="8">
        <f>'balance_raw_40867325'!$D$38</f>
        <v/>
      </c>
      <c r="E61" s="8">
        <f>'balance_raw_40867325'!$E$38</f>
        <v/>
      </c>
      <c r="F61" s="8">
        <f>'balance_raw_40867325'!$F$38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'balance_raw_40867325'!$B$39</f>
        <v/>
      </c>
      <c r="C62" s="5">
        <f>'balance_raw_40867325'!$C$39</f>
        <v/>
      </c>
      <c r="D62" s="5">
        <f>'balance_raw_40867325'!$D$39</f>
        <v/>
      </c>
      <c r="E62" s="5">
        <f>'balance_raw_40867325'!$E$39</f>
        <v/>
      </c>
      <c r="F62" s="5">
        <f>'balance_raw_40867325'!$F$39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'balance_raw_40867325'!$B$40</f>
        <v/>
      </c>
      <c r="C63" s="8">
        <f>'balance_raw_40867325'!$C$40</f>
        <v/>
      </c>
      <c r="D63" s="8">
        <f>'balance_raw_40867325'!$D$40</f>
        <v/>
      </c>
      <c r="E63" s="8">
        <f>'balance_raw_40867325'!$E$40</f>
        <v/>
      </c>
      <c r="F63" s="8">
        <f>'balance_raw_40867325'!$F$40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'balance_raw_40867325'!$B$41</f>
        <v/>
      </c>
      <c r="C64" s="5">
        <f>'balance_raw_40867325'!$C$41</f>
        <v/>
      </c>
      <c r="D64" s="5">
        <f>'balance_raw_40867325'!$D$41</f>
        <v/>
      </c>
      <c r="E64" s="5">
        <f>'balance_raw_40867325'!$E$41</f>
        <v/>
      </c>
      <c r="F64" s="5">
        <f>'balance_raw_40867325'!$F$41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'balance_raw_40867325'!$B$42</f>
        <v/>
      </c>
      <c r="C65" s="8">
        <f>'balance_raw_40867325'!$C$42</f>
        <v/>
      </c>
      <c r="D65" s="8">
        <f>'balance_raw_40867325'!$D$42</f>
        <v/>
      </c>
      <c r="E65" s="8">
        <f>'balance_raw_40867325'!$E$42</f>
        <v/>
      </c>
      <c r="F65" s="8">
        <f>'balance_raw_40867325'!$F$42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'balance_raw_40867325'!$B$43</f>
        <v/>
      </c>
      <c r="C66" s="5">
        <f>'balance_raw_40867325'!$C$43</f>
        <v/>
      </c>
      <c r="D66" s="5">
        <f>'balance_raw_40867325'!$D$43</f>
        <v/>
      </c>
      <c r="E66" s="5">
        <f>'balance_raw_40867325'!$E$43</f>
        <v/>
      </c>
      <c r="F66" s="5">
        <f>'balance_raw_40867325'!$F$43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'balance_raw_40867325'!$B$44</f>
        <v/>
      </c>
      <c r="C67" s="8">
        <f>'balance_raw_40867325'!$C$44</f>
        <v/>
      </c>
      <c r="D67" s="8">
        <f>'balance_raw_40867325'!$D$44</f>
        <v/>
      </c>
      <c r="E67" s="8">
        <f>'balance_raw_40867325'!$E$44</f>
        <v/>
      </c>
      <c r="F67" s="8">
        <f>'balance_raw_40867325'!$F$44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'balance_raw_40867325'!$B$45</f>
        <v/>
      </c>
      <c r="C68" s="5">
        <f>'balance_raw_40867325'!$C$45</f>
        <v/>
      </c>
      <c r="D68" s="5">
        <f>'balance_raw_40867325'!$D$45</f>
        <v/>
      </c>
      <c r="E68" s="5">
        <f>'balance_raw_40867325'!$E$45</f>
        <v/>
      </c>
      <c r="F68" s="5">
        <f>'balance_raw_40867325'!$F$45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'balance_raw_40867325'!$B$46</f>
        <v/>
      </c>
      <c r="C69" s="8">
        <f>'balance_raw_40867325'!$C$46</f>
        <v/>
      </c>
      <c r="D69" s="8">
        <f>'balance_raw_40867325'!$D$46</f>
        <v/>
      </c>
      <c r="E69" s="8">
        <f>'balance_raw_40867325'!$E$46</f>
        <v/>
      </c>
      <c r="F69" s="8">
        <f>'balance_raw_40867325'!$F$46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'balance_raw_40867325'!$B$47</f>
        <v/>
      </c>
      <c r="C70" s="5">
        <f>'balance_raw_40867325'!$C$47</f>
        <v/>
      </c>
      <c r="D70" s="5">
        <f>'balance_raw_40867325'!$D$47</f>
        <v/>
      </c>
      <c r="E70" s="5">
        <f>'balance_raw_40867325'!$E$47</f>
        <v/>
      </c>
      <c r="F70" s="5">
        <f>'balance_raw_40867325'!$F$47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'balance_raw_40867325'!$B$48</f>
        <v/>
      </c>
      <c r="C71" s="11">
        <f>'balance_raw_40867325'!$C$48</f>
        <v/>
      </c>
      <c r="D71" s="11">
        <f>'balance_raw_40867325'!$D$48</f>
        <v/>
      </c>
      <c r="E71" s="11">
        <f>'balance_raw_40867325'!$E$48</f>
        <v/>
      </c>
      <c r="F71" s="11">
        <f>'balance_raw_40867325'!$F$48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'balance_raw_40867325'!$B$49</f>
        <v/>
      </c>
      <c r="C72" s="11">
        <f>'balance_raw_40867325'!$C$49</f>
        <v/>
      </c>
      <c r="D72" s="11">
        <f>'balance_raw_40867325'!$D$49</f>
        <v/>
      </c>
      <c r="E72" s="11">
        <f>'balance_raw_40867325'!$E$49</f>
        <v/>
      </c>
      <c r="F72" s="11">
        <f>'balance_raw_40867325'!$F$49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'balance_raw_40867325'!$B$50</f>
        <v/>
      </c>
      <c r="C73" s="11">
        <f>'balance_raw_40867325'!$C$50</f>
        <v/>
      </c>
      <c r="D73" s="11">
        <f>'balance_raw_40867325'!$D$50</f>
        <v/>
      </c>
      <c r="E73" s="11">
        <f>'balance_raw_40867325'!$E$50</f>
        <v/>
      </c>
      <c r="F73" s="11">
        <f>'balance_raw_40867325'!$F$50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'res_raw_40867325'!$B$19</f>
        <v/>
      </c>
      <c r="C76" s="5">
        <f>'res_raw_40867325'!$C$19</f>
        <v/>
      </c>
      <c r="D76" s="5">
        <f>'res_raw_40867325'!$D$19</f>
        <v/>
      </c>
      <c r="E76" s="5">
        <f>'res_raw_40867325'!$E$19</f>
        <v/>
      </c>
      <c r="F76" s="5">
        <f>'res_raw_40867325'!$F$19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'res_raw_40867325'!$B$20</f>
        <v/>
      </c>
      <c r="C77" s="8">
        <f>'res_raw_40867325'!$C$20</f>
        <v/>
      </c>
      <c r="D77" s="8">
        <f>'res_raw_40867325'!$D$20</f>
        <v/>
      </c>
      <c r="E77" s="8">
        <f>'res_raw_40867325'!$E$20</f>
        <v/>
      </c>
      <c r="F77" s="8">
        <f>'res_raw_40867325'!$F$20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IFERROR($B$8/$B$48,"")</f>
        <v/>
      </c>
      <c r="C82" s="13">
        <f>IFERROR($C$8/$C$48,"")</f>
        <v/>
      </c>
      <c r="D82" s="13">
        <f>IFERROR($D$8/$D$48,"")</f>
        <v/>
      </c>
      <c r="E82" s="13">
        <f>IFERROR($E$8/$E$48,"")</f>
        <v/>
      </c>
      <c r="F82" s="13">
        <f>IFERROR($F$8/$F$48,"")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IFERROR($B$32/($B$57+0)*100,"")</f>
        <v/>
      </c>
      <c r="C90" s="13">
        <f>IFERROR($C$32/($C$57+0)*100,"")</f>
        <v/>
      </c>
      <c r="D90" s="13">
        <f>IFERROR($D$32/($D$57+0)*100,"")</f>
        <v/>
      </c>
      <c r="E90" s="13">
        <f>IFERROR($E$32/($E$57+0)*100,"")</f>
        <v/>
      </c>
      <c r="F90" s="13">
        <f>IFERROR($F$32/($F$57+0)*100,"")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-913</v>
      </c>
      <c r="C6" s="16" t="n">
        <v>-4585</v>
      </c>
      <c r="D6" s="16" t="n">
        <v>-3510</v>
      </c>
      <c r="E6" s="16" t="n">
        <v>8119</v>
      </c>
      <c r="F6" s="16" t="n">
        <v>10503</v>
      </c>
    </row>
    <row r="7">
      <c r="A7" s="15" t="inlineStr">
        <is>
          <t>Personaleomkostninger</t>
        </is>
      </c>
      <c r="B7" s="16" t="n">
        <v>317</v>
      </c>
      <c r="C7" s="16" t="n">
        <v>3738</v>
      </c>
      <c r="D7" s="16" t="n">
        <v>8421</v>
      </c>
      <c r="E7" s="16" t="n">
        <v>11557</v>
      </c>
      <c r="F7" s="16" t="n">
        <v>14398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125</v>
      </c>
      <c r="C9" s="16" t="n">
        <v>201</v>
      </c>
      <c r="D9" s="16" t="n">
        <v>894</v>
      </c>
      <c r="E9" s="16" t="n">
        <v>1196</v>
      </c>
      <c r="F9" s="16" t="n">
        <v>1532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-1355</v>
      </c>
      <c r="C11" s="16" t="n">
        <v>-8523</v>
      </c>
      <c r="D11" s="16" t="n">
        <v>-12826</v>
      </c>
      <c r="E11" s="16" t="n">
        <v>-4635</v>
      </c>
      <c r="F11" s="16" t="n">
        <v>-5427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15</v>
      </c>
      <c r="E13" s="16" t="n">
        <v>320</v>
      </c>
      <c r="F13" s="16" t="n">
        <v>7</v>
      </c>
    </row>
    <row r="14">
      <c r="A14" s="15" t="inlineStr">
        <is>
          <t>Finansielle omkostninger</t>
        </is>
      </c>
      <c r="B14" s="16" t="n">
        <v>18</v>
      </c>
      <c r="C14" s="16" t="n">
        <v>814</v>
      </c>
      <c r="D14" s="16" t="n">
        <v>3749</v>
      </c>
      <c r="E14" s="16" t="n">
        <v>165</v>
      </c>
      <c r="F14" s="16" t="n">
        <v>1201</v>
      </c>
    </row>
    <row r="15">
      <c r="A15" s="17" t="inlineStr">
        <is>
          <t>Finansielle poster, netto</t>
        </is>
      </c>
      <c r="B15" s="16" t="n">
        <v>-18</v>
      </c>
      <c r="C15" s="16" t="n">
        <v>-813</v>
      </c>
      <c r="D15" s="16" t="n">
        <v>-3734</v>
      </c>
      <c r="E15" s="16" t="n">
        <v>155</v>
      </c>
      <c r="F15" s="16" t="n">
        <v>-1195</v>
      </c>
    </row>
    <row r="16">
      <c r="A16" s="17" t="inlineStr">
        <is>
          <t>Resultat før skat</t>
        </is>
      </c>
      <c r="B16" s="16" t="n">
        <v>-1373</v>
      </c>
      <c r="C16" s="16" t="n">
        <v>-9337</v>
      </c>
      <c r="D16" s="16" t="n">
        <v>-16560</v>
      </c>
      <c r="E16" s="16" t="n">
        <v>-4480</v>
      </c>
      <c r="F16" s="16" t="n">
        <v>-6622</v>
      </c>
    </row>
    <row r="17">
      <c r="A17" s="15" t="inlineStr">
        <is>
          <t>Skat af årets resultat</t>
        </is>
      </c>
      <c r="B17" s="16" t="n">
        <v>-303</v>
      </c>
      <c r="C17" s="16" t="n">
        <v>-2090</v>
      </c>
      <c r="D17" s="16" t="n">
        <v>-3634</v>
      </c>
      <c r="E17" s="16" t="n">
        <v>-985</v>
      </c>
      <c r="F17" s="16" t="n">
        <v>-1464</v>
      </c>
    </row>
    <row r="18">
      <c r="A18" s="17" t="inlineStr">
        <is>
          <t>Årets resultat</t>
        </is>
      </c>
      <c r="B18" s="16" t="n">
        <v>-1070</v>
      </c>
      <c r="C18" s="16" t="n">
        <v>-7247</v>
      </c>
      <c r="D18" s="16" t="n">
        <v>-12926</v>
      </c>
      <c r="E18" s="16" t="n">
        <v>-3495</v>
      </c>
      <c r="F18" s="16" t="n">
        <v>-5158</v>
      </c>
    </row>
    <row r="19">
      <c r="A19" s="15" t="inlineStr">
        <is>
          <t>Gns. antal medarbejdere</t>
        </is>
      </c>
      <c r="B19" s="16" t="n">
        <v>1</v>
      </c>
      <c r="C19" s="16" t="n">
        <v>9</v>
      </c>
      <c r="D19" s="16" t="n">
        <v>20</v>
      </c>
      <c r="E19" s="16" t="n">
        <v>28</v>
      </c>
      <c r="F19" s="16" t="n">
        <v>27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40465</v>
      </c>
      <c r="C2" s="16" t="n">
        <v>107585</v>
      </c>
      <c r="D2" s="16" t="n">
        <v>141464</v>
      </c>
      <c r="E2" s="16" t="n">
        <v>197253</v>
      </c>
      <c r="F2" s="16" t="n">
        <v>236526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364</v>
      </c>
      <c r="D4" s="16" t="n">
        <v>562</v>
      </c>
      <c r="E4" s="16" t="n">
        <v>502</v>
      </c>
      <c r="F4" s="16" t="n">
        <v>423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40465</v>
      </c>
      <c r="C7" s="16" t="n">
        <v>107949</v>
      </c>
      <c r="D7" s="16" t="n">
        <v>142027</v>
      </c>
      <c r="E7" s="16" t="n">
        <v>197756</v>
      </c>
      <c r="F7" s="16" t="n">
        <v>236949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>
        <v>14</v>
      </c>
      <c r="E9" s="16" t="n">
        <v>2</v>
      </c>
      <c r="F9" s="16" t="n">
        <v>2</v>
      </c>
    </row>
    <row r="10">
      <c r="A10" s="17" t="inlineStr">
        <is>
          <t>Finansielle anlægsaktiver</t>
        </is>
      </c>
      <c r="B10" s="16" t="n"/>
      <c r="C10" s="16" t="n"/>
      <c r="D10" s="16" t="n">
        <v>14</v>
      </c>
      <c r="E10" s="16" t="n">
        <v>2</v>
      </c>
      <c r="F10" s="16" t="n">
        <v>2</v>
      </c>
    </row>
    <row r="11">
      <c r="A11" s="17" t="inlineStr">
        <is>
          <t>Anlægsaktiver</t>
        </is>
      </c>
      <c r="B11" s="16" t="n">
        <v>40465</v>
      </c>
      <c r="C11" s="16" t="n">
        <v>107949</v>
      </c>
      <c r="D11" s="16" t="n">
        <v>142041</v>
      </c>
      <c r="E11" s="16" t="n">
        <v>197758</v>
      </c>
      <c r="F11" s="16" t="n">
        <v>236951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495</v>
      </c>
      <c r="E14" s="16" t="n">
        <v>925</v>
      </c>
      <c r="F14" s="16" t="n">
        <v>1033</v>
      </c>
    </row>
    <row r="15">
      <c r="A15" s="17" t="inlineStr">
        <is>
          <t>Varebeholdninger</t>
        </is>
      </c>
      <c r="B15" s="16" t="n"/>
      <c r="C15" s="16" t="n"/>
      <c r="D15" s="16" t="n">
        <v>495</v>
      </c>
      <c r="E15" s="16" t="n">
        <v>925</v>
      </c>
      <c r="F15" s="16" t="n">
        <v>1033</v>
      </c>
    </row>
    <row r="16">
      <c r="A16" s="15" t="inlineStr">
        <is>
          <t>Tilgodehavender fra salg og tjenesteydelser</t>
        </is>
      </c>
      <c r="B16" s="16" t="n"/>
      <c r="C16" s="16" t="n">
        <v>270</v>
      </c>
      <c r="D16" s="16" t="n">
        <v>425</v>
      </c>
      <c r="E16" s="16" t="n">
        <v>5486</v>
      </c>
      <c r="F16" s="16" t="n">
        <v>1164</v>
      </c>
    </row>
    <row r="17">
      <c r="A17" s="15" t="inlineStr">
        <is>
          <t>Tilgodehavender hos tilknyttede virksomheder</t>
        </is>
      </c>
      <c r="B17" s="16" t="n">
        <v>4803</v>
      </c>
      <c r="C17" s="16" t="n">
        <v>275</v>
      </c>
      <c r="D17" s="16" t="n">
        <v>1691</v>
      </c>
      <c r="E17" s="16" t="n">
        <v>1242</v>
      </c>
      <c r="F17" s="16" t="n">
        <v>1968</v>
      </c>
    </row>
    <row r="18">
      <c r="A18" s="15" t="inlineStr">
        <is>
          <t>Andre tilgodehavender</t>
        </is>
      </c>
      <c r="B18" s="16" t="n">
        <v>3054</v>
      </c>
      <c r="C18" s="16" t="n">
        <v>4942</v>
      </c>
      <c r="D18" s="16" t="n">
        <v>3847</v>
      </c>
      <c r="E18" s="16" t="n">
        <v>3847</v>
      </c>
      <c r="F18" s="16" t="n">
        <v>544</v>
      </c>
    </row>
    <row r="19">
      <c r="A19" s="15" t="inlineStr">
        <is>
          <t>Periodeafgrænsningsposter (aktiver)</t>
        </is>
      </c>
      <c r="B19" s="16" t="n"/>
      <c r="C19" s="16" t="n">
        <v>203</v>
      </c>
      <c r="D19" s="16" t="n">
        <v>278</v>
      </c>
      <c r="E19" s="16" t="n">
        <v>229</v>
      </c>
      <c r="F19" s="16" t="n">
        <v>694</v>
      </c>
    </row>
    <row r="20">
      <c r="A20" s="15" t="inlineStr">
        <is>
          <t>Udskudt skatteaktiv</t>
        </is>
      </c>
      <c r="B20" s="16" t="n"/>
      <c r="C20" s="16" t="n">
        <v>630</v>
      </c>
      <c r="D20" s="16" t="n">
        <v>2573</v>
      </c>
      <c r="E20" s="16" t="n">
        <v>2328</v>
      </c>
      <c r="F20" s="16" t="n">
        <v>1824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112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7969</v>
      </c>
      <c r="C23" s="16" t="n">
        <v>6320</v>
      </c>
      <c r="D23" s="16" t="n">
        <v>8814</v>
      </c>
      <c r="E23" s="16" t="n">
        <v>13132</v>
      </c>
      <c r="F23" s="16" t="n">
        <v>6194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0</v>
      </c>
      <c r="C25" s="16" t="n">
        <v>3</v>
      </c>
      <c r="D25" s="16" t="n">
        <v>16</v>
      </c>
      <c r="E25" s="16" t="n">
        <v>15</v>
      </c>
      <c r="F25" s="16" t="n">
        <v>3054</v>
      </c>
    </row>
    <row r="26">
      <c r="A26" s="17" t="inlineStr">
        <is>
          <t>Omsætningsaktiver</t>
        </is>
      </c>
      <c r="B26" s="16" t="n">
        <v>7969</v>
      </c>
      <c r="C26" s="16" t="n">
        <v>6323</v>
      </c>
      <c r="D26" s="16" t="n">
        <v>9325</v>
      </c>
      <c r="E26" s="16" t="n">
        <v>14072</v>
      </c>
      <c r="F26" s="16" t="n">
        <v>10281</v>
      </c>
    </row>
    <row r="27">
      <c r="A27" s="17" t="inlineStr">
        <is>
          <t>Aktiver</t>
        </is>
      </c>
      <c r="B27" s="16" t="n">
        <v>48434</v>
      </c>
      <c r="C27" s="16" t="n">
        <v>114272</v>
      </c>
      <c r="D27" s="16" t="n">
        <v>151366</v>
      </c>
      <c r="E27" s="16" t="n">
        <v>211830</v>
      </c>
      <c r="F27" s="16" t="n">
        <v>247232</v>
      </c>
    </row>
    <row r="28">
      <c r="A28" s="15" t="inlineStr">
        <is>
          <t>Selskabskapital</t>
        </is>
      </c>
      <c r="B28" s="16" t="n">
        <v>40000</v>
      </c>
      <c r="C28" s="16" t="n">
        <v>40000</v>
      </c>
      <c r="D28" s="16" t="n">
        <v>11000</v>
      </c>
      <c r="E28" s="16" t="n">
        <v>11000</v>
      </c>
      <c r="F28" s="16" t="n">
        <v>11000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2926</v>
      </c>
      <c r="C33" s="16" t="n">
        <v>-4320</v>
      </c>
      <c r="D33" s="16" t="n">
        <v>123352</v>
      </c>
      <c r="E33" s="16" t="n">
        <v>179857</v>
      </c>
      <c r="F33" s="16" t="n">
        <v>174699</v>
      </c>
    </row>
    <row r="34">
      <c r="A34" s="17" t="inlineStr">
        <is>
          <t>Egenkapital i alt</t>
        </is>
      </c>
      <c r="B34" s="16" t="n">
        <v>42926</v>
      </c>
      <c r="C34" s="16" t="n">
        <v>35680</v>
      </c>
      <c r="D34" s="16" t="n">
        <v>134352</v>
      </c>
      <c r="E34" s="16" t="n">
        <v>190857</v>
      </c>
      <c r="F34" s="16" t="n">
        <v>185699</v>
      </c>
    </row>
    <row r="35">
      <c r="A35" s="15" t="inlineStr">
        <is>
          <t>Hensættelse til udskudt skat</t>
        </is>
      </c>
      <c r="B35" s="16" t="n">
        <v>1185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1185</v>
      </c>
      <c r="C36" s="16" t="n">
        <v>0</v>
      </c>
      <c r="D36" s="16" t="n"/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4252</v>
      </c>
      <c r="C41" s="16" t="n">
        <v>6619</v>
      </c>
      <c r="D41" s="16" t="n">
        <v>8584</v>
      </c>
      <c r="E41" s="16" t="n">
        <v>5254</v>
      </c>
      <c r="F41" s="16" t="n">
        <v>2755</v>
      </c>
    </row>
    <row r="42">
      <c r="A42" s="15" t="inlineStr">
        <is>
          <t>Gæld til tilknyttede virksomheder</t>
        </is>
      </c>
      <c r="B42" s="16" t="n"/>
      <c r="C42" s="16" t="n">
        <v>71608</v>
      </c>
      <c r="D42" s="16" t="n">
        <v>5908</v>
      </c>
      <c r="E42" s="16" t="n">
        <v>14150</v>
      </c>
      <c r="F42" s="16" t="n">
        <v>47980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71</v>
      </c>
      <c r="C46" s="16" t="n">
        <v>366</v>
      </c>
      <c r="D46" s="16" t="n"/>
      <c r="E46" s="16" t="n"/>
      <c r="F46" s="16" t="n"/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>
        <v>832</v>
      </c>
    </row>
    <row r="48">
      <c r="A48" s="17" t="inlineStr">
        <is>
          <t>Kortfristede gældsforpligtelser</t>
        </is>
      </c>
      <c r="B48" s="16" t="n">
        <v>4323</v>
      </c>
      <c r="C48" s="16" t="n">
        <v>78592</v>
      </c>
      <c r="D48" s="16" t="n">
        <v>17014</v>
      </c>
      <c r="E48" s="16" t="n">
        <v>20973</v>
      </c>
      <c r="F48" s="16" t="n">
        <v>61533</v>
      </c>
    </row>
    <row r="49">
      <c r="A49" s="17" t="inlineStr">
        <is>
          <t>Gældsforpligtelser</t>
        </is>
      </c>
      <c r="B49" s="16" t="n">
        <v>4323</v>
      </c>
      <c r="C49" s="16" t="n">
        <v>78592</v>
      </c>
      <c r="D49" s="16" t="n">
        <v>17014</v>
      </c>
      <c r="E49" s="16" t="n">
        <v>20973</v>
      </c>
      <c r="F49" s="16" t="n">
        <v>61533</v>
      </c>
    </row>
    <row r="50">
      <c r="A50" s="17" t="inlineStr">
        <is>
          <t>Passiver</t>
        </is>
      </c>
      <c r="B50" s="16" t="n">
        <v>48434</v>
      </c>
      <c r="C50" s="16" t="n">
        <v>114272</v>
      </c>
      <c r="D50" s="16" t="n">
        <v>151366</v>
      </c>
      <c r="E50" s="16" t="n">
        <v>211830</v>
      </c>
      <c r="F50" s="16" t="n">
        <v>247232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H5 Broløkke Herregård A/S (CVR 40867325) — Regnskabs- og nøgletal (CVR: 40867325)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'res_raw_40867325'!$F$2</f>
        <v/>
      </c>
      <c r="C5" s="24">
        <f>'res_raw_40867325'!$E$2</f>
        <v/>
      </c>
      <c r="D5" s="24">
        <f>'res_raw_40867325'!$D$2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'res_raw_40867325'!$F$3</f>
        <v/>
      </c>
      <c r="C6" s="24">
        <f>'res_raw_40867325'!$E$3</f>
        <v/>
      </c>
      <c r="D6" s="24">
        <f>'res_raw_40867325'!$D$3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-'res_raw_40867325'!$F$4</f>
        <v/>
      </c>
      <c r="C7" s="24">
        <f>-'res_raw_40867325'!$E$4</f>
        <v/>
      </c>
      <c r="D7" s="24">
        <f>-'res_raw_40867325'!$D$4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-'res_raw_40867325'!$F$5</f>
        <v/>
      </c>
      <c r="C8" s="24">
        <f>-'res_raw_40867325'!$E$5</f>
        <v/>
      </c>
      <c r="D8" s="24">
        <f>-'res_raw_40867325'!$D$5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IF(ABS((SUM(B5:B8))-'res_raw_40867325'!$F$6)&lt;=2,SUM(B5:B8),'res_raw_40867325'!$F$6)</f>
        <v/>
      </c>
      <c r="C9" s="27">
        <f>IF(ABS((SUM(C5:C8))-'res_raw_40867325'!$E$6)&lt;=2,SUM(C5:C8),'res_raw_40867325'!$E$6)</f>
        <v/>
      </c>
      <c r="D9" s="27">
        <f>IF(ABS((SUM(D5:D8))-'res_raw_40867325'!$D$6)&lt;=2,SUM(D5:D8),'res_raw_40867325'!$D$6)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-'res_raw_40867325'!$F$7</f>
        <v/>
      </c>
      <c r="C10" s="24">
        <f>-'res_raw_40867325'!$E$7</f>
        <v/>
      </c>
      <c r="D10" s="24">
        <f>-'res_raw_40867325'!$D$7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-'res_raw_40867325'!$F$9</f>
        <v/>
      </c>
      <c r="C11" s="24">
        <f>-'res_raw_40867325'!$E$9</f>
        <v/>
      </c>
      <c r="D11" s="24">
        <f>-'res_raw_40867325'!$D$9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-'res_raw_40867325'!$F$10</f>
        <v/>
      </c>
      <c r="C12" s="24">
        <f>-'res_raw_40867325'!$E$10</f>
        <v/>
      </c>
      <c r="D12" s="24">
        <f>-'res_raw_40867325'!$D$10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IF(ABS((SUM(B9:B12))-'res_raw_40867325'!$F$11)&lt;=2,SUM(B9:B12),'res_raw_40867325'!$F$11)</f>
        <v/>
      </c>
      <c r="C13" s="27">
        <f>IF(ABS((SUM(C9:C12))-'res_raw_40867325'!$E$11)&lt;=2,SUM(C9:C12),'res_raw_40867325'!$E$11)</f>
        <v/>
      </c>
      <c r="D13" s="27">
        <f>IF(ABS((SUM(D9:D12))-'res_raw_40867325'!$D$11)&lt;=2,SUM(D9:D12),'res_raw_40867325'!$D$11)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N('res_raw_40867325'!$F$12)+N('res_raw_40867325'!$F$13)</f>
        <v/>
      </c>
      <c r="C14" s="24">
        <f>N('res_raw_40867325'!$E$12)+N('res_raw_40867325'!$E$13)</f>
        <v/>
      </c>
      <c r="D14" s="24">
        <f>N('res_raw_40867325'!$D$12)+N('res_raw_40867325'!$D$13)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-'res_raw_40867325'!$F$14</f>
        <v/>
      </c>
      <c r="C15" s="24">
        <f>-'res_raw_40867325'!$E$14</f>
        <v/>
      </c>
      <c r="D15" s="24">
        <f>-'res_raw_40867325'!$D$14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IF(ABS((SUM(B13:B15))-'res_raw_40867325'!$F$16)&lt;=2,SUM(B13:B15),'res_raw_40867325'!$F$16)</f>
        <v/>
      </c>
      <c r="C16" s="27">
        <f>IF(ABS((SUM(C13:C15))-'res_raw_40867325'!$E$16)&lt;=2,SUM(C13:C15),'res_raw_40867325'!$E$16)</f>
        <v/>
      </c>
      <c r="D16" s="27">
        <f>IF(ABS((SUM(D13:D15))-'res_raw_40867325'!$D$16)&lt;=2,SUM(D13:D15),'res_raw_40867325'!$D$16)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'balance_raw_40867325'!$F$11</f>
        <v/>
      </c>
      <c r="C19" s="24">
        <f>'balance_raw_40867325'!$E$11</f>
        <v/>
      </c>
      <c r="D19" s="24">
        <f>'balance_raw_40867325'!$D$11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'balance_raw_40867325'!$F$26</f>
        <v/>
      </c>
      <c r="C20" s="24">
        <f>'balance_raw_40867325'!$E$26</f>
        <v/>
      </c>
      <c r="D20" s="24">
        <f>'balance_raw_40867325'!$D$26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'balance_raw_40867325'!$F$34</f>
        <v/>
      </c>
      <c r="C23" s="24">
        <f>'balance_raw_40867325'!$E$34</f>
        <v/>
      </c>
      <c r="D23" s="24">
        <f>'balance_raw_40867325'!$D$34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'balance_raw_40867325'!$F$50-'balance_raw_40867325'!$F$34</f>
        <v/>
      </c>
      <c r="C24" s="24">
        <f>'balance_raw_40867325'!$E$50-'balance_raw_40867325'!$E$34</f>
        <v/>
      </c>
      <c r="D24" s="24">
        <f>'balance_raw_40867325'!$D$50-'balance_raw_40867325'!$D$34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'balance_raw_40867325'!$F$15</f>
        <v/>
      </c>
      <c r="C28" s="24">
        <f>'balance_raw_40867325'!$E$15</f>
        <v/>
      </c>
      <c r="D28" s="24">
        <f>'balance_raw_40867325'!$D$15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'balance_raw_40867325'!$F$16</f>
        <v/>
      </c>
      <c r="C29" s="24">
        <f>'balance_raw_40867325'!$E$16</f>
        <v/>
      </c>
      <c r="D29" s="24">
        <f>'balance_raw_40867325'!$D$16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'balance_raw_40867325'!$F$48</f>
        <v/>
      </c>
      <c r="C30" s="24">
        <f>'balance_raw_40867325'!$E$48</f>
        <v/>
      </c>
      <c r="D30" s="24">
        <f>'balance_raw_40867325'!$D$48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IF('balance_raw_40867325'!$F$27="","—",IF(ABS(B21-'balance_raw_40867325'!$F$27)&lt;=1,"✓ OK","❌ "&amp;TEXT(B21-'balance_raw_40867325'!$F$27,"+#,##0;-#,##0")&amp;" t.kr."))</f>
        <v/>
      </c>
      <c r="C61" s="29">
        <f>IF('balance_raw_40867325'!$E$27="","—",IF(ABS(C21-'balance_raw_40867325'!$E$27)&lt;=1,"✓ OK","❌ "&amp;TEXT(C21-'balance_raw_40867325'!$E$27,"+#,##0;-#,##0")&amp;" t.kr."))</f>
        <v/>
      </c>
      <c r="D61" s="29">
        <f>IF('balance_raw_40867325'!$D$27="","—",IF(ABS(D21-'balance_raw_40867325'!$D$27)&lt;=1,"✓ OK","❌ "&amp;TEXT(D21-'balance_raw_40867325'!$D$27,"+#,##0;-#,##0")&amp;"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IF('balance_raw_40867325'!$F$50="","—",IF(ABS(B25-'balance_raw_40867325'!$F$50)&lt;=1,"✓ OK","❌ "&amp;TEXT(B25-'balance_raw_40867325'!$F$50,"+#,##0;-#,##0")&amp;" t.kr."))</f>
        <v/>
      </c>
      <c r="C62" s="29">
        <f>IF('balance_raw_40867325'!$E$50="","—",IF(ABS(C25-'balance_raw_40867325'!$E$50)&lt;=1,"✓ OK","❌ "&amp;TEXT(C25-'balance_raw_40867325'!$E$50,"+#,##0;-#,##0")&amp;" t.kr."))</f>
        <v/>
      </c>
      <c r="D62" s="29">
        <f>IF('balance_raw_40867325'!$D$50="","—",IF(ABS(D25-'balance_raw_40867325'!$D$50)&lt;=1,"✓ OK","❌ "&amp;TEXT(D25-'balance_raw_40867325'!$D$50,"+#,##0;-#,##0")&amp;"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IF('res_raw_40867325'!$F$6="","—",IF(ABS(B9-'res_raw_40867325'!$F$6)&lt;=1,"✓ OK","❌ "&amp;TEXT(B9-'res_raw_40867325'!$F$6,"+#,##0;-#,##0")&amp;" t.kr."))</f>
        <v/>
      </c>
      <c r="C64" s="29">
        <f>IF('res_raw_40867325'!$E$6="","—",IF(ABS(C9-'res_raw_40867325'!$E$6)&lt;=1,"✓ OK","❌ "&amp;TEXT(C9-'res_raw_40867325'!$E$6,"+#,##0;-#,##0")&amp;" t.kr."))</f>
        <v/>
      </c>
      <c r="D64" s="29">
        <f>IF('res_raw_40867325'!$D$6="","—",IF(ABS(D9-'res_raw_40867325'!$D$6)&lt;=1,"✓ OK","❌ "&amp;TEXT(D9-'res_raw_40867325'!$D$6,"+#,##0;-#,##0")&amp;"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IF('res_raw_40867325'!$F$11="","—",IF(ABS(B13-'res_raw_40867325'!$F$11)&lt;=1,"✓ OK","❌ "&amp;TEXT(B13-'res_raw_40867325'!$F$11,"+#,##0;-#,##0")&amp;" t.kr."))</f>
        <v/>
      </c>
      <c r="C65" s="29">
        <f>IF('res_raw_40867325'!$E$11="","—",IF(ABS(C13-'res_raw_40867325'!$E$11)&lt;=1,"✓ OK","❌ "&amp;TEXT(C13-'res_raw_40867325'!$E$11,"+#,##0;-#,##0")&amp;" t.kr."))</f>
        <v/>
      </c>
      <c r="D65" s="29">
        <f>IF('res_raw_40867325'!$D$11="","—",IF(ABS(D13-'res_raw_40867325'!$D$11)&lt;=1,"✓ OK","❌ "&amp;TEXT(D13-'res_raw_40867325'!$D$11,"+#,##0;-#,##0")&amp;"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IF('res_raw_40867325'!$F$16="","—",IF(ABS(B16-'res_raw_40867325'!$F$16)&lt;=1,"✓ OK","❌ "&amp;TEXT(B16-'res_raw_40867325'!$F$16,"+#,##0;-#,##0")&amp;" t.kr."))</f>
        <v/>
      </c>
      <c r="C66" s="29">
        <f>IF('res_raw_40867325'!$E$16="","—",IF(ABS(C16-'res_raw_40867325'!$E$16)&lt;=1,"✓ OK","❌ "&amp;TEXT(C16-'res_raw_40867325'!$E$16,"+#,##0;-#,##0")&amp;" t.kr."))</f>
        <v/>
      </c>
      <c r="D66" s="29">
        <f>IF('res_raw_40867325'!$D$16="","—",IF(ABS(D16-'res_raw_40867325'!$D$16)&lt;=1,"✓ OK","❌ "&amp;TEXT(D16-'res_raw_40867325'!$D$16,"+#,##0;-#,##0")&amp;"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H5 Broløkke Herregård A/S (CVR 40867325)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fsa:GainsLossesFromCurrentValueAdjustmentsOfInvestmentProperty</t>
        </is>
      </c>
      <c r="C3" s="34" t="inlineStr">
        <is>
          <t>fsa:GainsLossesFromCurrentValueAdjustmentsOfInvestmentProperty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fsa:InvestmentProperty</t>
        </is>
      </c>
      <c r="C4" s="37" t="inlineStr">
        <is>
          <t>fsa:InvestmentProperty</t>
        </is>
      </c>
      <c r="D4" s="38" t="n">
        <v>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fsa:OtherShorttermDebtRaisedByIssuanceOfBonds</t>
        </is>
      </c>
      <c r="C5" s="34" t="inlineStr">
        <is>
          <t>fsa:OtherShorttermDebtRaisedByIssuanceOfBonds</t>
        </is>
      </c>
      <c r="D5" s="35" t="n"/>
      <c r="E5" s="35" t="n"/>
      <c r="F5" s="35" t="n">
        <v>2522</v>
      </c>
      <c r="G5" s="35" t="n">
        <v>1569</v>
      </c>
      <c r="H5" s="35" t="n">
        <v>9966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2026-10-02T21:11:38Z</dcterms:created>
  <dcterms:modified xmlns:dcterms="http://purl.org/dc/terms/" xmlns:xsi="http://www.w3.org/2001/XMLSchema-instance" xsi:type="dcterms:W3CDTF">2026-10-02T21:11:39Z</dcterms:modified>
</cp:coreProperties>
</file>