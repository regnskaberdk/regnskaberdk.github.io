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rockwool (CVR None) — Regnskabsanalyse – Resultatopgørelse &amp; Balance (t.EUR)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t.EUR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'balance_raw'!$B$24</f>
        <v/>
      </c>
      <c r="C45" s="8">
        <f>'balance_raw'!$C$24</f>
        <v/>
      </c>
      <c r="D45" s="8">
        <f>'balance_raw'!$D$24</f>
        <v/>
      </c>
      <c r="E45" s="8">
        <f>'balance_raw'!$E$24</f>
        <v/>
      </c>
      <c r="F45" s="8">
        <f>'balance_raw'!$F$24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'balance_raw'!$B$28</f>
        <v/>
      </c>
      <c r="C49" s="8">
        <f>'balance_raw'!$C$28</f>
        <v/>
      </c>
      <c r="D49" s="8">
        <f>'balance_raw'!$D$28</f>
        <v/>
      </c>
      <c r="E49" s="8">
        <f>'balance_raw'!$E$28</f>
        <v/>
      </c>
      <c r="F49" s="8">
        <f>'balance_raw'!$F$28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'balance_raw'!$B$31</f>
        <v/>
      </c>
      <c r="C52" s="11">
        <f>'balance_raw'!$C$31</f>
        <v/>
      </c>
      <c r="D52" s="11">
        <f>'balance_raw'!$D$31</f>
        <v/>
      </c>
      <c r="E52" s="11">
        <f>'balance_raw'!$E$31</f>
        <v/>
      </c>
      <c r="F52" s="11">
        <f>'balance_raw'!$F$31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t.EUR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'balance_raw'!$B$38</f>
        <v/>
      </c>
      <c r="C61" s="11">
        <f>'balance_raw'!$C$38</f>
        <v/>
      </c>
      <c r="D61" s="11">
        <f>'balance_raw'!$D$38</f>
        <v/>
      </c>
      <c r="E61" s="11">
        <f>'balance_raw'!$E$38</f>
        <v/>
      </c>
      <c r="F61" s="11">
        <f>'balance_raw'!$F$38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'balance_raw'!$B$54</f>
        <v/>
      </c>
      <c r="C77" s="8">
        <f>'balance_raw'!$C$54</f>
        <v/>
      </c>
      <c r="D77" s="8">
        <f>'balance_raw'!$D$54</f>
        <v/>
      </c>
      <c r="E77" s="8">
        <f>'balance_raw'!$E$54</f>
        <v/>
      </c>
      <c r="F77" s="8">
        <f>'balance_raw'!$F$54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'balance_raw'!$B$55</f>
        <v/>
      </c>
      <c r="C78" s="5">
        <f>'balance_raw'!$C$55</f>
        <v/>
      </c>
      <c r="D78" s="5">
        <f>'balance_raw'!$D$55</f>
        <v/>
      </c>
      <c r="E78" s="5">
        <f>'balance_raw'!$E$55</f>
        <v/>
      </c>
      <c r="F78" s="5">
        <f>'balance_raw'!$F$55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'balance_raw'!$B$56</f>
        <v/>
      </c>
      <c r="C79" s="8">
        <f>'balance_raw'!$C$56</f>
        <v/>
      </c>
      <c r="D79" s="8">
        <f>'balance_raw'!$D$56</f>
        <v/>
      </c>
      <c r="E79" s="8">
        <f>'balance_raw'!$E$56</f>
        <v/>
      </c>
      <c r="F79" s="8">
        <f>'balance_raw'!$F$56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'balance_raw'!$B$57</f>
        <v/>
      </c>
      <c r="C80" s="11">
        <f>'balance_raw'!$C$57</f>
        <v/>
      </c>
      <c r="D80" s="11">
        <f>'balance_raw'!$D$57</f>
        <v/>
      </c>
      <c r="E80" s="11">
        <f>'balance_raw'!$E$57</f>
        <v/>
      </c>
      <c r="F80" s="11">
        <f>'balance_raw'!$F$57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'balance_raw'!$B$58</f>
        <v/>
      </c>
      <c r="C81" s="11">
        <f>'balance_raw'!$C$58</f>
        <v/>
      </c>
      <c r="D81" s="11">
        <f>'balance_raw'!$D$58</f>
        <v/>
      </c>
      <c r="E81" s="11">
        <f>'balance_raw'!$E$58</f>
        <v/>
      </c>
      <c r="F81" s="11">
        <f>'balance_raw'!$F$58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'balance_raw'!$B$59</f>
        <v/>
      </c>
      <c r="C82" s="11">
        <f>'balance_raw'!$C$59</f>
        <v/>
      </c>
      <c r="D82" s="11">
        <f>'balance_raw'!$D$59</f>
        <v/>
      </c>
      <c r="E82" s="11">
        <f>'balance_raw'!$E$59</f>
        <v/>
      </c>
      <c r="F82" s="11">
        <f>'balance_raw'!$F$59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'res_raw'!$B$19</f>
        <v/>
      </c>
      <c r="C85" s="8">
        <f>'res_raw'!$C$19</f>
        <v/>
      </c>
      <c r="D85" s="8">
        <f>'res_raw'!$D$19</f>
        <v/>
      </c>
      <c r="E85" s="8">
        <f>'res_raw'!$E$19</f>
        <v/>
      </c>
      <c r="F85" s="8">
        <f>'res_raw'!$F$19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'res_raw'!$B$20</f>
        <v/>
      </c>
      <c r="C86" s="5">
        <f>'res_raw'!$C$20</f>
        <v/>
      </c>
      <c r="D86" s="5">
        <f>'res_raw'!$D$20</f>
        <v/>
      </c>
      <c r="E86" s="5">
        <f>'res_raw'!$E$20</f>
        <v/>
      </c>
      <c r="F86" s="5">
        <f>'res_raw'!$F$20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t.EUR</t>
        </is>
      </c>
    </row>
    <row r="102">
      <c r="A102" s="16" t="inlineStr">
        <is>
          <t>Pengestrømme fra driftsaktivitet</t>
        </is>
      </c>
      <c r="B102" s="17">
        <f>'pengestrom_raw'!$B$2</f>
        <v/>
      </c>
      <c r="C102" s="17">
        <f>'pengestrom_raw'!$C$2</f>
        <v/>
      </c>
      <c r="D102" s="17">
        <f>'pengestrom_raw'!$D$2</f>
        <v/>
      </c>
      <c r="E102" s="17">
        <f>'pengestrom_raw'!$E$2</f>
        <v/>
      </c>
      <c r="F102" s="17">
        <f>'pengestrom_raw'!$F$2</f>
        <v/>
      </c>
    </row>
    <row r="103">
      <c r="A103" s="16" t="inlineStr">
        <is>
          <t>Pengestrømme fra investeringsaktivitet</t>
        </is>
      </c>
      <c r="B103" s="17">
        <f>'pengestrom_raw'!$B$3</f>
        <v/>
      </c>
      <c r="C103" s="17">
        <f>'pengestrom_raw'!$C$3</f>
        <v/>
      </c>
      <c r="D103" s="17">
        <f>'pengestrom_raw'!$D$3</f>
        <v/>
      </c>
      <c r="E103" s="17">
        <f>'pengestrom_raw'!$E$3</f>
        <v/>
      </c>
      <c r="F103" s="17">
        <f>'pengestrom_raw'!$F$3</f>
        <v/>
      </c>
    </row>
    <row r="104">
      <c r="A104" s="16" t="inlineStr">
        <is>
          <t>Pengestrømme fra finansieringsaktivitet</t>
        </is>
      </c>
      <c r="B104" s="17">
        <f>'pengestrom_raw'!$B$4</f>
        <v/>
      </c>
      <c r="C104" s="17">
        <f>'pengestrom_raw'!$C$4</f>
        <v/>
      </c>
      <c r="D104" s="17">
        <f>'pengestrom_raw'!$D$4</f>
        <v/>
      </c>
      <c r="E104" s="17">
        <f>'pengestrom_raw'!$E$4</f>
        <v/>
      </c>
      <c r="F104" s="17">
        <f>'pengestrom_raw'!$F$4</f>
        <v/>
      </c>
    </row>
    <row r="105">
      <c r="A105" s="16" t="inlineStr">
        <is>
          <t>Årets pengestrøm (rapporteret)</t>
        </is>
      </c>
      <c r="B105" s="17">
        <f>'pengestrom_raw'!$B$5</f>
        <v/>
      </c>
      <c r="C105" s="17">
        <f>'pengestrom_raw'!$C$5</f>
        <v/>
      </c>
      <c r="D105" s="17">
        <f>'pengestrom_raw'!$D$5</f>
        <v/>
      </c>
      <c r="E105" s="17">
        <f>'pengestrom_raw'!$E$5</f>
        <v/>
      </c>
      <c r="F105" s="17">
        <f>'pengestrom_raw'!$F$5</f>
        <v/>
      </c>
    </row>
    <row r="106">
      <c r="A106" s="16" t="inlineStr">
        <is>
          <t>Krydstjek: drift + inv. + fin. = årets pengestrøm</t>
        </is>
      </c>
      <c r="B10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rockwool (CVR None)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3088000</v>
      </c>
      <c r="C2" s="17" t="n">
        <v>3907000</v>
      </c>
      <c r="D2" s="17" t="n">
        <v>3620000</v>
      </c>
      <c r="E2" s="17" t="n">
        <v>3855000</v>
      </c>
      <c r="F2" s="17" t="n">
        <v>3877000</v>
      </c>
    </row>
    <row r="3">
      <c r="A3" s="16" t="inlineStr">
        <is>
          <t>Andre driftsindtægter</t>
        </is>
      </c>
      <c r="B3" s="17" t="n">
        <v>6000</v>
      </c>
      <c r="C3" s="17" t="n">
        <v>15000</v>
      </c>
      <c r="D3" s="17" t="n">
        <v>15000</v>
      </c>
      <c r="E3" s="17" t="n">
        <v>16000</v>
      </c>
      <c r="F3" s="17" t="n">
        <v>22000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2492000</v>
      </c>
      <c r="C5" s="17" t="n">
        <v>3284000</v>
      </c>
      <c r="D5" s="17" t="n">
        <v>2856000</v>
      </c>
      <c r="E5" s="17" t="n">
        <v>2931000</v>
      </c>
      <c r="F5" s="17" t="n">
        <v>351000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733000</v>
      </c>
      <c r="C7" s="17" t="n">
        <v>811000</v>
      </c>
      <c r="D7" s="17" t="n">
        <v>817000</v>
      </c>
      <c r="E7" s="17" t="n">
        <v>871000</v>
      </c>
      <c r="F7" s="17" t="n">
        <v>915000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201000</v>
      </c>
      <c r="C9" s="17" t="n">
        <v>236000</v>
      </c>
      <c r="D9" s="17" t="n">
        <v>261000</v>
      </c>
      <c r="E9" s="17" t="n">
        <v>263000</v>
      </c>
      <c r="F9" s="17" t="n">
        <v>294000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401000</v>
      </c>
      <c r="C11" s="17" t="n">
        <v>402000</v>
      </c>
      <c r="D11" s="17" t="n">
        <v>518000</v>
      </c>
      <c r="E11" s="17" t="n">
        <v>677000</v>
      </c>
      <c r="F11" s="17" t="n">
        <v>178000</v>
      </c>
    </row>
    <row r="12">
      <c r="A12" s="16" t="inlineStr">
        <is>
          <t>Indtægter af kapitalandele, dattervirksomheder</t>
        </is>
      </c>
      <c r="B12" s="17" t="n">
        <v>1000</v>
      </c>
      <c r="C12" s="17" t="n">
        <v>1000</v>
      </c>
      <c r="D12" s="17" t="n">
        <v>2000</v>
      </c>
      <c r="E12" s="17" t="n">
        <v>1000</v>
      </c>
      <c r="F12" s="17" t="n">
        <v>1000</v>
      </c>
    </row>
    <row r="13">
      <c r="A13" s="16" t="inlineStr">
        <is>
          <t>Finansielle indtægter</t>
        </is>
      </c>
      <c r="B13" s="17" t="n">
        <v>10000</v>
      </c>
      <c r="C13" s="17" t="n">
        <v>16000</v>
      </c>
      <c r="D13" s="17" t="n">
        <v>38000</v>
      </c>
      <c r="E13" s="17" t="n">
        <v>40000</v>
      </c>
      <c r="F13" s="17" t="n">
        <v>51000</v>
      </c>
    </row>
    <row r="14">
      <c r="A14" s="16" t="inlineStr">
        <is>
          <t>Finansielle omkostninger</t>
        </is>
      </c>
      <c r="B14" s="17" t="n">
        <v>19000</v>
      </c>
      <c r="C14" s="17" t="n">
        <v>61000</v>
      </c>
      <c r="D14" s="17" t="n">
        <v>36000</v>
      </c>
      <c r="E14" s="17" t="n">
        <v>22000</v>
      </c>
      <c r="F14" s="17" t="n">
        <v>37000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393000</v>
      </c>
      <c r="C16" s="17" t="n">
        <v>358000</v>
      </c>
      <c r="D16" s="17" t="n">
        <v>522000</v>
      </c>
      <c r="E16" s="17" t="n">
        <v>696000</v>
      </c>
      <c r="F16" s="17" t="n">
        <v>193000</v>
      </c>
    </row>
    <row r="17">
      <c r="A17" s="16" t="inlineStr">
        <is>
          <t>Skat af årets resultat</t>
        </is>
      </c>
      <c r="B17" s="17" t="n">
        <v>90000</v>
      </c>
      <c r="C17" s="17" t="n">
        <v>85000</v>
      </c>
      <c r="D17" s="17" t="n">
        <v>133000</v>
      </c>
      <c r="E17" s="17" t="n">
        <v>146000</v>
      </c>
      <c r="F17" s="17" t="n">
        <v>165000</v>
      </c>
    </row>
    <row r="18">
      <c r="A18" s="15" t="inlineStr">
        <is>
          <t>Årets resultat</t>
        </is>
      </c>
      <c r="B18" s="17" t="n">
        <v>303000</v>
      </c>
      <c r="C18" s="17" t="n">
        <v>273000</v>
      </c>
      <c r="D18" s="17" t="n">
        <v>389000</v>
      </c>
      <c r="E18" s="17" t="n">
        <v>550000</v>
      </c>
      <c r="F18" s="17" t="n">
        <v>28000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295000</v>
      </c>
      <c r="C20" s="17" t="n">
        <v>326000</v>
      </c>
      <c r="D20" s="17" t="n">
        <v>321000</v>
      </c>
      <c r="E20" s="17" t="n">
        <v>376000</v>
      </c>
      <c r="F20" s="17" t="n">
        <v>461000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rockwool (CVR None)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14000</v>
      </c>
      <c r="C2" s="17" t="n">
        <v>12000</v>
      </c>
      <c r="D2" s="17" t="n">
        <v>8000</v>
      </c>
      <c r="E2" s="17" t="n">
        <v>6000</v>
      </c>
      <c r="F2" s="17" t="n">
        <v>4000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102000</v>
      </c>
      <c r="C4" s="17" t="n">
        <v>107000</v>
      </c>
      <c r="D4" s="17" t="n">
        <v>98000</v>
      </c>
      <c r="E4" s="17" t="n">
        <v>136000</v>
      </c>
      <c r="F4" s="17" t="n">
        <v>114000</v>
      </c>
    </row>
    <row r="5">
      <c r="A5" s="15" t="inlineStr">
        <is>
          <t>Immaterielle anlægsaktiver</t>
        </is>
      </c>
      <c r="B5" s="17" t="n">
        <v>176000</v>
      </c>
      <c r="C5" s="17" t="n">
        <v>165000</v>
      </c>
      <c r="D5" s="17" t="n">
        <v>145000</v>
      </c>
      <c r="E5" s="17" t="n">
        <v>213000</v>
      </c>
      <c r="F5" s="17" t="n">
        <v>179000</v>
      </c>
    </row>
    <row r="6">
      <c r="A6" s="16" t="inlineStr">
        <is>
          <t>Grunde og bygninger</t>
        </is>
      </c>
      <c r="B6" s="17" t="n">
        <v>860000</v>
      </c>
      <c r="C6" s="17" t="n">
        <v>908000</v>
      </c>
      <c r="D6" s="17" t="n">
        <v>881000</v>
      </c>
      <c r="E6" s="17" t="n">
        <v>1019000</v>
      </c>
      <c r="F6" s="17" t="n">
        <v>964000</v>
      </c>
    </row>
    <row r="7">
      <c r="A7" s="16" t="inlineStr">
        <is>
          <t>Produktionsanlæg og maskiner</t>
        </is>
      </c>
      <c r="B7" s="17" t="n">
        <v>680000</v>
      </c>
      <c r="C7" s="17" t="n">
        <v>702000</v>
      </c>
      <c r="D7" s="17" t="n">
        <v>740000</v>
      </c>
      <c r="E7" s="17" t="n">
        <v>820000</v>
      </c>
      <c r="F7" s="17" t="n">
        <v>810000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273000</v>
      </c>
      <c r="C10" s="17" t="n">
        <v>359000</v>
      </c>
      <c r="D10" s="17" t="n">
        <v>432000</v>
      </c>
      <c r="E10" s="17" t="n">
        <v>382000</v>
      </c>
      <c r="F10" s="17" t="n">
        <v>520000</v>
      </c>
    </row>
    <row r="11">
      <c r="A11" s="15" t="inlineStr">
        <is>
          <t>Materielle anlægsaktiver</t>
        </is>
      </c>
      <c r="B11" s="17" t="n">
        <v>16000</v>
      </c>
      <c r="C11" s="17" t="n">
        <v>18000</v>
      </c>
      <c r="D11" s="17" t="n">
        <v>26000</v>
      </c>
      <c r="E11" s="17" t="n">
        <v>38000</v>
      </c>
      <c r="F11" s="17" t="n">
        <v>41000</v>
      </c>
    </row>
    <row r="12">
      <c r="A12" s="16" t="inlineStr">
        <is>
          <t>Kapitalandele, dattervirksomheder</t>
        </is>
      </c>
      <c r="B12" s="17" t="n">
        <v>8000</v>
      </c>
      <c r="C12" s="17" t="n">
        <v>9000</v>
      </c>
      <c r="D12" s="17" t="n">
        <v>11000</v>
      </c>
      <c r="E12" s="17" t="n">
        <v>11000</v>
      </c>
      <c r="F12" s="17" t="n">
        <v>12000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2129000</v>
      </c>
      <c r="C15" s="17" t="n">
        <v>2301000</v>
      </c>
      <c r="D15" s="17" t="n">
        <v>2361000</v>
      </c>
      <c r="E15" s="17" t="n">
        <v>2647000</v>
      </c>
      <c r="F15" s="17" t="n">
        <v>2692000</v>
      </c>
    </row>
    <row r="16">
      <c r="A16" s="16" t="inlineStr">
        <is>
          <t>Råvarer og hjælpematerialer</t>
        </is>
      </c>
      <c r="B16" s="17" t="n">
        <v>1116000</v>
      </c>
      <c r="C16" s="17" t="n">
        <v>1682000</v>
      </c>
      <c r="D16" s="17" t="n">
        <v>1302000</v>
      </c>
      <c r="E16" s="17" t="n">
        <v>1282000</v>
      </c>
      <c r="F16" s="17" t="n">
        <v>1264000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317000</v>
      </c>
      <c r="C19" s="17" t="n">
        <v>433000</v>
      </c>
      <c r="D19" s="17" t="n">
        <v>375000</v>
      </c>
      <c r="E19" s="17" t="n">
        <v>381000</v>
      </c>
      <c r="F19" s="17" t="n">
        <v>374000</v>
      </c>
    </row>
    <row r="20">
      <c r="A20" s="16" t="inlineStr">
        <is>
          <t>Tilgodehavender fra salg og tjenesteydelser</t>
        </is>
      </c>
      <c r="B20" s="17" t="n">
        <v>307000</v>
      </c>
      <c r="C20" s="17" t="n">
        <v>347000</v>
      </c>
      <c r="D20" s="17" t="n">
        <v>337000</v>
      </c>
      <c r="E20" s="17" t="n">
        <v>338000</v>
      </c>
      <c r="F20" s="17" t="n">
        <v>333000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>
        <v>24000</v>
      </c>
      <c r="C23" s="17" t="n">
        <v>31000</v>
      </c>
      <c r="D23" s="17" t="n">
        <v>30000</v>
      </c>
      <c r="E23" s="17" t="n">
        <v>31000</v>
      </c>
      <c r="F23" s="17" t="n">
        <v>42000</v>
      </c>
    </row>
    <row r="24">
      <c r="A24" s="16" t="inlineStr">
        <is>
          <t>Udskudt skatteaktiv</t>
        </is>
      </c>
      <c r="B24" s="17" t="n">
        <v>52000</v>
      </c>
      <c r="C24" s="17" t="n">
        <v>48000</v>
      </c>
      <c r="D24" s="17" t="n">
        <v>46000</v>
      </c>
      <c r="E24" s="17" t="n">
        <v>62000</v>
      </c>
      <c r="F24" s="17" t="n">
        <v>57000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39000</v>
      </c>
      <c r="C26" s="17" t="n">
        <v>27000</v>
      </c>
      <c r="D26" s="17" t="n">
        <v>44000</v>
      </c>
      <c r="E26" s="17" t="n">
        <v>31000</v>
      </c>
      <c r="F26" s="17" t="n">
        <v>44000</v>
      </c>
    </row>
    <row r="27">
      <c r="A27" s="15" t="inlineStr">
        <is>
          <t>Tilgodehavender</t>
        </is>
      </c>
      <c r="B27" s="17" t="n">
        <v>98000</v>
      </c>
      <c r="C27" s="17" t="n">
        <v>80000</v>
      </c>
      <c r="D27" s="17" t="n">
        <v>53000</v>
      </c>
      <c r="E27" s="17" t="n">
        <v>57000</v>
      </c>
      <c r="F27" s="17" t="n">
        <v>49000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166000</v>
      </c>
      <c r="C29" s="17" t="n">
        <v>411000</v>
      </c>
      <c r="D29" s="17" t="n">
        <v>354000</v>
      </c>
      <c r="E29" s="17" t="n">
        <v>403000</v>
      </c>
      <c r="F29" s="17" t="n">
        <v>108000</v>
      </c>
    </row>
    <row r="30">
      <c r="A30" s="15" t="inlineStr">
        <is>
          <t>Omsætningsaktiver</t>
        </is>
      </c>
      <c r="B30" s="17" t="n">
        <v>951000</v>
      </c>
      <c r="C30" s="17" t="n">
        <v>1127000</v>
      </c>
      <c r="D30" s="17" t="n">
        <v>1193000</v>
      </c>
      <c r="E30" s="17" t="n">
        <v>1241000</v>
      </c>
      <c r="F30" s="17" t="n">
        <v>950000</v>
      </c>
    </row>
    <row r="31">
      <c r="A31" s="15" t="inlineStr">
        <is>
          <t>Aktiver</t>
        </is>
      </c>
      <c r="B31" s="17" t="n">
        <v>3080000</v>
      </c>
      <c r="C31" s="17" t="n">
        <v>3428000</v>
      </c>
      <c r="D31" s="17" t="n">
        <v>3554000</v>
      </c>
      <c r="E31" s="17" t="n">
        <v>3888000</v>
      </c>
      <c r="F31" s="17" t="n">
        <v>3642000</v>
      </c>
    </row>
    <row r="32">
      <c r="A32" s="16" t="inlineStr">
        <is>
          <t>Selskabskapital</t>
        </is>
      </c>
      <c r="B32" s="17" t="n">
        <v>29000</v>
      </c>
      <c r="C32" s="17" t="n">
        <v>29000</v>
      </c>
      <c r="D32" s="17" t="n">
        <v>29000</v>
      </c>
      <c r="E32" s="17" t="n">
        <v>29000</v>
      </c>
      <c r="F32" s="17" t="n">
        <v>28000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-1000</v>
      </c>
      <c r="C36" s="17" t="n">
        <v>-1000</v>
      </c>
      <c r="D36" s="17" t="n">
        <v>-3000</v>
      </c>
      <c r="E36" s="17" t="n">
        <v>-2000</v>
      </c>
      <c r="F36" s="17" t="n">
        <v>-1000</v>
      </c>
    </row>
    <row r="37">
      <c r="A37" s="16" t="inlineStr">
        <is>
          <t>Overført resultat</t>
        </is>
      </c>
      <c r="B37" s="17" t="n">
        <v>2398000</v>
      </c>
      <c r="C37" s="17" t="n">
        <v>2567000</v>
      </c>
      <c r="D37" s="17" t="n">
        <v>2824000</v>
      </c>
      <c r="E37" s="17" t="n">
        <v>3038000</v>
      </c>
      <c r="F37" s="17" t="n">
        <v>2798000</v>
      </c>
    </row>
    <row r="38">
      <c r="A38" s="15" t="inlineStr">
        <is>
          <t>Egenkapital i alt</t>
        </is>
      </c>
      <c r="B38" s="17" t="n">
        <v>2394000</v>
      </c>
      <c r="C38" s="17" t="n">
        <v>2580000</v>
      </c>
      <c r="D38" s="17" t="n">
        <v>2804000</v>
      </c>
      <c r="E38" s="17" t="n">
        <v>3085000</v>
      </c>
      <c r="F38" s="17" t="n">
        <v>2741000</v>
      </c>
    </row>
    <row r="39">
      <c r="A39" s="16" t="inlineStr">
        <is>
          <t>Hensættelse til udskudt skat</t>
        </is>
      </c>
      <c r="B39" s="17" t="n">
        <v>51000</v>
      </c>
      <c r="C39" s="17" t="n">
        <v>55000</v>
      </c>
      <c r="D39" s="17" t="n">
        <v>66000</v>
      </c>
      <c r="E39" s="17" t="n">
        <v>72000</v>
      </c>
      <c r="F39" s="17" t="n">
        <v>86000</v>
      </c>
    </row>
    <row r="40">
      <c r="A40" s="15" t="inlineStr">
        <is>
          <t>Hensatte forpligtelser</t>
        </is>
      </c>
      <c r="B40" s="17" t="n">
        <v>35000</v>
      </c>
      <c r="C40" s="17" t="n">
        <v>32000</v>
      </c>
      <c r="D40" s="17" t="n">
        <v>39000</v>
      </c>
      <c r="E40" s="17" t="n">
        <v>42000</v>
      </c>
      <c r="F40" s="17" t="n">
        <v>39000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44000</v>
      </c>
      <c r="C43" s="17" t="n">
        <v>61000</v>
      </c>
      <c r="D43" s="17" t="n">
        <v>48000</v>
      </c>
      <c r="E43" s="17" t="n">
        <v>55000</v>
      </c>
      <c r="F43" s="17" t="n">
        <v>49000</v>
      </c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17000</v>
      </c>
      <c r="C45" s="17" t="n">
        <v>39000</v>
      </c>
      <c r="D45" s="17" t="n">
        <v>24000</v>
      </c>
      <c r="E45" s="17" t="n">
        <v>16000</v>
      </c>
      <c r="F45" s="17" t="n">
        <v>29000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1000</v>
      </c>
      <c r="C48" s="17" t="n">
        <v>7000</v>
      </c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>
        <v>19000</v>
      </c>
      <c r="C49" s="17" t="n">
        <v>24000</v>
      </c>
      <c r="D49" s="17" t="n">
        <v>29000</v>
      </c>
      <c r="E49" s="17" t="n">
        <v>28000</v>
      </c>
      <c r="F49" s="17" t="n">
        <v>33000</v>
      </c>
    </row>
    <row r="50">
      <c r="A50" s="16" t="inlineStr">
        <is>
          <t>Leverandører af varer og tjenesteydelser</t>
        </is>
      </c>
      <c r="B50" s="17" t="n">
        <v>283000</v>
      </c>
      <c r="C50" s="17" t="n">
        <v>270000</v>
      </c>
      <c r="D50" s="17" t="n">
        <v>241000</v>
      </c>
      <c r="E50" s="17" t="n">
        <v>256000</v>
      </c>
      <c r="F50" s="17" t="n">
        <v>243000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177000</v>
      </c>
      <c r="C55" s="17" t="n">
        <v>196000</v>
      </c>
      <c r="D55" s="17" t="n">
        <v>211000</v>
      </c>
      <c r="E55" s="17" t="n">
        <v>199000</v>
      </c>
      <c r="F55" s="17" t="n">
        <v>173000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523000</v>
      </c>
      <c r="C57" s="17" t="n">
        <v>642000</v>
      </c>
      <c r="D57" s="17" t="n">
        <v>551000</v>
      </c>
      <c r="E57" s="17" t="n">
        <v>597000</v>
      </c>
      <c r="F57" s="17" t="n">
        <v>671000</v>
      </c>
    </row>
    <row r="58">
      <c r="A58" s="15" t="inlineStr">
        <is>
          <t>Gældsforpligtelser</t>
        </is>
      </c>
      <c r="B58" s="17" t="n">
        <v>686000</v>
      </c>
      <c r="C58" s="17" t="n">
        <v>848000</v>
      </c>
      <c r="D58" s="17" t="n">
        <v>750000</v>
      </c>
      <c r="E58" s="17" t="n">
        <v>802000</v>
      </c>
      <c r="F58" s="17" t="n">
        <v>901000</v>
      </c>
    </row>
    <row r="59">
      <c r="A59" s="15" t="inlineStr">
        <is>
          <t>Passiver</t>
        </is>
      </c>
      <c r="B59" s="17" t="n">
        <v>3080000</v>
      </c>
      <c r="C59" s="17" t="n">
        <v>3428000</v>
      </c>
      <c r="D59" s="17" t="n">
        <v>3554000</v>
      </c>
      <c r="E59" s="17" t="n">
        <v>3888000</v>
      </c>
      <c r="F59" s="17" t="n">
        <v>3642000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rockwool (CVR None)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426000</v>
      </c>
      <c r="C2" s="17" t="n">
        <v>394000</v>
      </c>
      <c r="D2" s="17" t="n">
        <v>707000</v>
      </c>
      <c r="E2" s="17" t="n">
        <v>817000</v>
      </c>
      <c r="F2" s="17" t="n">
        <v>610000</v>
      </c>
    </row>
    <row r="3">
      <c r="A3" s="16" t="inlineStr">
        <is>
          <t>Pengestrømme fra investeringsaktivitet</t>
        </is>
      </c>
      <c r="B3" s="17" t="n">
        <v>-310000</v>
      </c>
      <c r="C3" s="17" t="n">
        <v>-334000</v>
      </c>
      <c r="D3" s="17" t="n">
        <v>-312000</v>
      </c>
      <c r="E3" s="17" t="n">
        <v>-453000</v>
      </c>
      <c r="F3" s="17" t="n">
        <v>-475000</v>
      </c>
    </row>
    <row r="4">
      <c r="A4" s="16" t="inlineStr">
        <is>
          <t>Pengestrømme fra finansieringsaktivitet</t>
        </is>
      </c>
      <c r="B4" s="17" t="n">
        <v>-194000</v>
      </c>
      <c r="C4" s="17" t="n">
        <v>-14000</v>
      </c>
      <c r="D4" s="17" t="n">
        <v>-238000</v>
      </c>
      <c r="E4" s="17" t="n">
        <v>-309000</v>
      </c>
      <c r="F4" s="17" t="n">
        <v>-218000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rockwool (CVR None)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IF(COUNT('res_raw'!$F$2,'res_raw'!$F$3,'res_raw'!$F$4,'res_raw'!$F$5)=0,'res_raw'!$F$6,SUM(B5:B8))</f>
        <v/>
      </c>
      <c r="C9" s="27">
        <f>IF(COUNT('res_raw'!$E$2,'res_raw'!$E$3,'res_raw'!$E$4,'res_raw'!$E$5)=0,'res_raw'!$E$6,SUM(C5:C8))</f>
        <v/>
      </c>
      <c r="D9" s="27">
        <f>IF(COUNT('res_raw'!$D$2,'res_raw'!$D$3,'res_raw'!$D$4,'res_raw'!$D$5)=0,'res_raw'!$D$6,SUM(D5:D8))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IF('balance_raw'!$F$31="","—",IF(ABS(B21-'balance_raw'!$F$31)&lt;=1,"✓ OK","❌ "&amp;TEXT(B21-'balance_raw'!$F$31,"+#,##0;-#,##0")&amp;" t.EUR"))</f>
        <v/>
      </c>
      <c r="C61" s="29">
        <f>IF('balance_raw'!$E$31="","—",IF(ABS(C21-'balance_raw'!$E$31)&lt;=1,"✓ OK","❌ "&amp;TEXT(C21-'balance_raw'!$E$31,"+#,##0;-#,##0")&amp;" t.EUR"))</f>
        <v/>
      </c>
      <c r="D61" s="29">
        <f>IF('balance_raw'!$D$31="","—",IF(ABS(D21-'balance_raw'!$D$31)&lt;=1,"✓ OK","❌ "&amp;TEXT(D21-'balance_raw'!$D$31,"+#,##0;-#,##0")&amp;" t.EUR"))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IF('balance_raw'!$F$59="","—",IF(ABS(B25-'balance_raw'!$F$59)&lt;=1,"✓ OK","❌ "&amp;TEXT(B25-'balance_raw'!$F$59,"+#,##0;-#,##0")&amp;" t.EUR"))</f>
        <v/>
      </c>
      <c r="C62" s="29">
        <f>IF('balance_raw'!$E$59="","—",IF(ABS(C25-'balance_raw'!$E$59)&lt;=1,"✓ OK","❌ "&amp;TEXT(C25-'balance_raw'!$E$59,"+#,##0;-#,##0")&amp;" t.EUR"))</f>
        <v/>
      </c>
      <c r="D62" s="29">
        <f>IF('balance_raw'!$D$59="","—",IF(ABS(D25-'balance_raw'!$D$59)&lt;=1,"✓ OK","❌ "&amp;TEXT(D25-'balance_raw'!$D$59,"+#,##0;-#,##0")&amp;" t.EUR"))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t.EUR")</f>
        <v/>
      </c>
      <c r="C63" s="29">
        <f>IF(ABS(C21-C25)&lt;=1,"✓ OK","❌ "&amp;TEXT(C21-C25,"+#,##0;-#,##0")&amp;" t.EUR")</f>
        <v/>
      </c>
      <c r="D63" s="29">
        <f>IF(ABS(D21-D25)&lt;=1,"✓ OK","❌ "&amp;TEXT(D21-D25,"+#,##0;-#,##0")&amp;" t.EUR")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t.EUR"))</f>
        <v/>
      </c>
      <c r="C64" s="29">
        <f>IF('res_raw'!$E$6="","—",IF(ABS(C9-'res_raw'!$E$6)&lt;=1,"✓ OK","❌ "&amp;TEXT(C9-'res_raw'!$E$6,"+#,##0;-#,##0")&amp;" t.EUR"))</f>
        <v/>
      </c>
      <c r="D64" s="29">
        <f>IF('res_raw'!$D$6="","—",IF(ABS(D9-'res_raw'!$D$6)&lt;=1,"✓ OK","❌ "&amp;TEXT(D9-'res_raw'!$D$6,"+#,##0;-#,##0")&amp;" t.EUR"))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t.EUR"))</f>
        <v/>
      </c>
      <c r="C65" s="29">
        <f>IF('res_raw'!$E$11="","—",IF(ABS(C13-'res_raw'!$E$11)&lt;=1,"✓ OK","❌ "&amp;TEXT(C13-'res_raw'!$E$11,"+#,##0;-#,##0")&amp;" t.EUR"))</f>
        <v/>
      </c>
      <c r="D65" s="29">
        <f>IF('res_raw'!$D$11="","—",IF(ABS(D13-'res_raw'!$D$11)&lt;=1,"✓ OK","❌ "&amp;TEXT(D13-'res_raw'!$D$11,"+#,##0;-#,##0")&amp;" t.EUR"))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t.EUR"))</f>
        <v/>
      </c>
      <c r="C66" s="29">
        <f>IF('res_raw'!$E$16="","—",IF(ABS(C16-'res_raw'!$E$16)&lt;=1,"✓ OK","❌ "&amp;TEXT(C16-'res_raw'!$E$16,"+#,##0;-#,##0")&amp;" t.EUR"))</f>
        <v/>
      </c>
      <c r="D66" s="29">
        <f>IF('res_raw'!$D$16="","—",IF(ABS(D16-'res_raw'!$D$16)&lt;=1,"✓ OK","❌ "&amp;TEXT(D16-'res_raw'!$D$16,"+#,##0;-#,##0")&amp;" t.EUR"))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rockwool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ifrs-full:ComputerSoftware</t>
        </is>
      </c>
      <c r="C3" s="34" t="inlineStr">
        <is>
          <t>ifrs-full:ComputerSoftware</t>
        </is>
      </c>
      <c r="D3" s="35" t="n">
        <v>9000</v>
      </c>
      <c r="E3" s="35" t="n">
        <v>14000</v>
      </c>
      <c r="F3" s="35" t="n">
        <v>10000</v>
      </c>
      <c r="G3" s="35" t="n">
        <v>12000</v>
      </c>
      <c r="H3" s="35" t="n">
        <v>10000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ifrs-full:CurrentPortionOfLongtermBorrowings</t>
        </is>
      </c>
      <c r="C4" s="37" t="inlineStr">
        <is>
          <t>ifrs-full:CurrentPortionOfLongtermBorrowings</t>
        </is>
      </c>
      <c r="D4" s="38" t="n">
        <v>9000</v>
      </c>
      <c r="E4" s="38" t="n">
        <v>102000</v>
      </c>
      <c r="F4" s="38" t="n">
        <v>14000</v>
      </c>
      <c r="G4" s="38" t="n">
        <v>23000</v>
      </c>
      <c r="H4" s="38" t="n">
        <v>165000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ifrs-full:DividendsRecognisedAsDistributionsToOwnersPerShare</t>
        </is>
      </c>
      <c r="C5" s="34" t="inlineStr">
        <is>
          <t>ifrs-full:DividendsRecognisedAsDistributionsToOwnersPerShare</t>
        </is>
      </c>
      <c r="D5" s="35" t="n"/>
      <c r="E5" s="35" t="n">
        <v>0</v>
      </c>
      <c r="F5" s="35" t="n">
        <v>0</v>
      </c>
      <c r="G5" s="35" t="n">
        <v>0</v>
      </c>
      <c r="H5" s="35" t="n">
        <v>4150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ifrs-full:NoncurrentPrepayments</t>
        </is>
      </c>
      <c r="C6" s="37" t="inlineStr">
        <is>
          <t>ifrs-full:NoncurrentPrepayments</t>
        </is>
      </c>
      <c r="D6" s="38" t="n"/>
      <c r="E6" s="38" t="n"/>
      <c r="F6" s="38" t="n">
        <v>0</v>
      </c>
      <c r="G6" s="38" t="n">
        <v>13000</v>
      </c>
      <c r="H6" s="38" t="n">
        <v>24000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ifrs-full:PaymentsFromChangesInOwnershipInterestsInSubsidiaries</t>
        </is>
      </c>
      <c r="C7" s="34" t="inlineStr">
        <is>
          <t>ifrs-full:PaymentsFromChangesInOwnershipInterestsInSubsidiaries</t>
        </is>
      </c>
      <c r="D7" s="35" t="n">
        <v>8000</v>
      </c>
      <c r="E7" s="35" t="n"/>
      <c r="F7" s="35" t="n"/>
      <c r="G7" s="35" t="n"/>
      <c r="H7" s="35" t="n">
        <v>3000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ifrs-full:ProceedsFromGovernmentGrantsClassifiedAsInvestingActivities</t>
        </is>
      </c>
      <c r="C8" s="37" t="inlineStr">
        <is>
          <t>ifrs-full:ProceedsFromGovernmentGrantsClassifiedAsInvestingActivities</t>
        </is>
      </c>
      <c r="D8" s="38" t="n">
        <v>0</v>
      </c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ifrs-full:ReserveOfExchangeDifferencesOnTranslation</t>
        </is>
      </c>
      <c r="C9" s="34" t="inlineStr">
        <is>
          <t>ifrs-full:ReserveOfExchangeDifferencesOnTranslation</t>
        </is>
      </c>
      <c r="D9" s="35" t="n">
        <v>-134000</v>
      </c>
      <c r="E9" s="35" t="n">
        <v>-117000</v>
      </c>
      <c r="F9" s="35" t="n">
        <v>-171000</v>
      </c>
      <c r="G9" s="35" t="n">
        <v>-162000</v>
      </c>
      <c r="H9" s="35" t="n">
        <v>-202000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ifrs-full:UndrawnBorrowingFacilities</t>
        </is>
      </c>
      <c r="C10" s="37" t="inlineStr">
        <is>
          <t>ifrs-full:UndrawnBorrowingFacilities</t>
        </is>
      </c>
      <c r="D10" s="38" t="n"/>
      <c r="E10" s="38" t="n">
        <v>500000</v>
      </c>
      <c r="F10" s="38" t="n">
        <v>600000</v>
      </c>
      <c r="G10" s="38" t="n">
        <v>600000</v>
      </c>
      <c r="H10" s="38" t="n">
        <v>650000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2026-09-27T21:19:23Z</dcterms:created>
  <dcterms:modified xmlns:dcterms="http://purl.org/dc/terms/" xmlns:xsi="http://www.w3.org/2001/XMLSchema-instance" xsi:type="dcterms:W3CDTF">2026-09-27T21:19:24Z</dcterms:modified>
</cp:coreProperties>
</file>