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1352523" sheetId="1" state="visible" r:id="rId1"/>
    <sheet xmlns:r="http://schemas.openxmlformats.org/officeDocument/2006/relationships" name="res_raw_41352523" sheetId="2" state="visible" r:id="rId2"/>
    <sheet xmlns:r="http://schemas.openxmlformats.org/officeDocument/2006/relationships" name="balance_raw_41352523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MorsøBryghus ApS (CVR 41352523) — Regnskabsanalyse – Resultatopgørelse &amp; Balance (t.kr.) · Klasse B · Ingen revisorbistand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'res_raw_41352523'!$B$2</f>
        <v/>
      </c>
      <c r="C4" s="5">
        <f>'res_raw_41352523'!$C$2</f>
        <v/>
      </c>
      <c r="D4" s="5">
        <f>'res_raw_41352523'!$D$2</f>
        <v/>
      </c>
      <c r="E4" s="5">
        <f>'res_raw_41352523'!$E$2</f>
        <v/>
      </c>
      <c r="F4" s="5">
        <f>'res_raw_41352523'!$F$2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'res_raw_41352523'!$B$3</f>
        <v/>
      </c>
      <c r="C5" s="8">
        <f>'res_raw_41352523'!$C$3</f>
        <v/>
      </c>
      <c r="D5" s="8">
        <f>'res_raw_41352523'!$D$3</f>
        <v/>
      </c>
      <c r="E5" s="8">
        <f>'res_raw_41352523'!$E$3</f>
        <v/>
      </c>
      <c r="F5" s="8">
        <f>'res_raw_41352523'!$F$3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'res_raw_41352523'!$B$4</f>
        <v/>
      </c>
      <c r="C6" s="5">
        <f>'res_raw_41352523'!$C$4</f>
        <v/>
      </c>
      <c r="D6" s="5">
        <f>'res_raw_41352523'!$D$4</f>
        <v/>
      </c>
      <c r="E6" s="5">
        <f>'res_raw_41352523'!$E$4</f>
        <v/>
      </c>
      <c r="F6" s="5">
        <f>'res_raw_41352523'!$F$4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'res_raw_41352523'!$B$5</f>
        <v/>
      </c>
      <c r="C7" s="8">
        <f>'res_raw_41352523'!$C$5</f>
        <v/>
      </c>
      <c r="D7" s="8">
        <f>'res_raw_41352523'!$D$5</f>
        <v/>
      </c>
      <c r="E7" s="8">
        <f>'res_raw_41352523'!$E$5</f>
        <v/>
      </c>
      <c r="F7" s="8">
        <f>'res_raw_41352523'!$F$5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'res_raw_41352523'!$B$6</f>
        <v/>
      </c>
      <c r="C8" s="11">
        <f>'res_raw_41352523'!$C$6</f>
        <v/>
      </c>
      <c r="D8" s="11">
        <f>'res_raw_41352523'!$D$6</f>
        <v/>
      </c>
      <c r="E8" s="11">
        <f>'res_raw_41352523'!$E$6</f>
        <v/>
      </c>
      <c r="F8" s="11">
        <f>'res_raw_41352523'!$F$6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'res_raw_41352523'!$B$7</f>
        <v/>
      </c>
      <c r="C9" s="8">
        <f>'res_raw_41352523'!$C$7</f>
        <v/>
      </c>
      <c r="D9" s="8">
        <f>'res_raw_41352523'!$D$7</f>
        <v/>
      </c>
      <c r="E9" s="8">
        <f>'res_raw_41352523'!$E$7</f>
        <v/>
      </c>
      <c r="F9" s="8">
        <f>'res_raw_41352523'!$F$7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'res_raw_41352523'!$B$9</f>
        <v/>
      </c>
      <c r="C11" s="8">
        <f>'res_raw_41352523'!$C$9</f>
        <v/>
      </c>
      <c r="D11" s="8">
        <f>'res_raw_41352523'!$D$9</f>
        <v/>
      </c>
      <c r="E11" s="8">
        <f>'res_raw_41352523'!$E$9</f>
        <v/>
      </c>
      <c r="F11" s="8">
        <f>'res_raw_41352523'!$F$9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'res_raw_41352523'!$B$10</f>
        <v/>
      </c>
      <c r="C12" s="5">
        <f>'res_raw_41352523'!$C$10</f>
        <v/>
      </c>
      <c r="D12" s="5">
        <f>'res_raw_41352523'!$D$10</f>
        <v/>
      </c>
      <c r="E12" s="5">
        <f>'res_raw_41352523'!$E$10</f>
        <v/>
      </c>
      <c r="F12" s="5">
        <f>'res_raw_41352523'!$F$10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'res_raw_41352523'!$B$11</f>
        <v/>
      </c>
      <c r="C13" s="11">
        <f>'res_raw_41352523'!$C$11</f>
        <v/>
      </c>
      <c r="D13" s="11">
        <f>'res_raw_41352523'!$D$11</f>
        <v/>
      </c>
      <c r="E13" s="11">
        <f>'res_raw_41352523'!$E$11</f>
        <v/>
      </c>
      <c r="F13" s="11">
        <f>'res_raw_41352523'!$F$11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'res_raw_41352523'!$B$12</f>
        <v/>
      </c>
      <c r="C14" s="5">
        <f>'res_raw_41352523'!$C$12</f>
        <v/>
      </c>
      <c r="D14" s="5">
        <f>'res_raw_41352523'!$D$12</f>
        <v/>
      </c>
      <c r="E14" s="5">
        <f>'res_raw_41352523'!$E$12</f>
        <v/>
      </c>
      <c r="F14" s="5">
        <f>'res_raw_41352523'!$F$12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'res_raw_41352523'!$B$13</f>
        <v/>
      </c>
      <c r="C15" s="8">
        <f>'res_raw_41352523'!$C$13</f>
        <v/>
      </c>
      <c r="D15" s="8">
        <f>'res_raw_41352523'!$D$13</f>
        <v/>
      </c>
      <c r="E15" s="8">
        <f>'res_raw_41352523'!$E$13</f>
        <v/>
      </c>
      <c r="F15" s="8">
        <f>'res_raw_41352523'!$F$13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'res_raw_41352523'!$B$14</f>
        <v/>
      </c>
      <c r="C16" s="5">
        <f>'res_raw_41352523'!$C$14</f>
        <v/>
      </c>
      <c r="D16" s="5">
        <f>'res_raw_41352523'!$D$14</f>
        <v/>
      </c>
      <c r="E16" s="5">
        <f>'res_raw_41352523'!$E$14</f>
        <v/>
      </c>
      <c r="F16" s="5">
        <f>'res_raw_41352523'!$F$14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'res_raw_41352523'!$B$15</f>
        <v/>
      </c>
      <c r="C17" s="11">
        <f>'res_raw_41352523'!$C$15</f>
        <v/>
      </c>
      <c r="D17" s="11">
        <f>'res_raw_41352523'!$D$15</f>
        <v/>
      </c>
      <c r="E17" s="11">
        <f>'res_raw_41352523'!$E$15</f>
        <v/>
      </c>
      <c r="F17" s="11">
        <f>'res_raw_41352523'!$F$15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'res_raw_41352523'!$B$16</f>
        <v/>
      </c>
      <c r="C18" s="11">
        <f>'res_raw_41352523'!$C$16</f>
        <v/>
      </c>
      <c r="D18" s="11">
        <f>'res_raw_41352523'!$D$16</f>
        <v/>
      </c>
      <c r="E18" s="11">
        <f>'res_raw_41352523'!$E$16</f>
        <v/>
      </c>
      <c r="F18" s="11">
        <f>'res_raw_41352523'!$F$16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'res_raw_41352523'!$B$17</f>
        <v/>
      </c>
      <c r="C19" s="8">
        <f>'res_raw_41352523'!$C$17</f>
        <v/>
      </c>
      <c r="D19" s="8">
        <f>'res_raw_41352523'!$D$17</f>
        <v/>
      </c>
      <c r="E19" s="8">
        <f>'res_raw_41352523'!$E$17</f>
        <v/>
      </c>
      <c r="F19" s="8">
        <f>'res_raw_41352523'!$F$17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'res_raw_41352523'!$B$18</f>
        <v/>
      </c>
      <c r="C20" s="11">
        <f>'res_raw_41352523'!$C$18</f>
        <v/>
      </c>
      <c r="D20" s="11">
        <f>'res_raw_41352523'!$D$18</f>
        <v/>
      </c>
      <c r="E20" s="11">
        <f>'res_raw_41352523'!$E$18</f>
        <v/>
      </c>
      <c r="F20" s="11">
        <f>'res_raw_41352523'!$F$18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'balance_raw_41352523'!$B$2</f>
        <v/>
      </c>
      <c r="C23" s="8">
        <f>'balance_raw_41352523'!$C$2</f>
        <v/>
      </c>
      <c r="D23" s="8">
        <f>'balance_raw_41352523'!$D$2</f>
        <v/>
      </c>
      <c r="E23" s="8">
        <f>'balance_raw_41352523'!$E$2</f>
        <v/>
      </c>
      <c r="F23" s="8">
        <f>'balance_raw_41352523'!$F$2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'balance_raw_41352523'!$B$3</f>
        <v/>
      </c>
      <c r="C24" s="5">
        <f>'balance_raw_41352523'!$C$3</f>
        <v/>
      </c>
      <c r="D24" s="5">
        <f>'balance_raw_41352523'!$D$3</f>
        <v/>
      </c>
      <c r="E24" s="5">
        <f>'balance_raw_41352523'!$E$3</f>
        <v/>
      </c>
      <c r="F24" s="5">
        <f>'balance_raw_41352523'!$F$3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'balance_raw_41352523'!$B$4</f>
        <v/>
      </c>
      <c r="C25" s="8">
        <f>'balance_raw_41352523'!$C$4</f>
        <v/>
      </c>
      <c r="D25" s="8">
        <f>'balance_raw_41352523'!$D$4</f>
        <v/>
      </c>
      <c r="E25" s="8">
        <f>'balance_raw_41352523'!$E$4</f>
        <v/>
      </c>
      <c r="F25" s="8">
        <f>'balance_raw_41352523'!$F$4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'balance_raw_41352523'!$B$5</f>
        <v/>
      </c>
      <c r="C26" s="5">
        <f>'balance_raw_41352523'!$C$5</f>
        <v/>
      </c>
      <c r="D26" s="5">
        <f>'balance_raw_41352523'!$D$5</f>
        <v/>
      </c>
      <c r="E26" s="5">
        <f>'balance_raw_41352523'!$E$5</f>
        <v/>
      </c>
      <c r="F26" s="5">
        <f>'balance_raw_41352523'!$F$5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'balance_raw_41352523'!$B$6</f>
        <v/>
      </c>
      <c r="C27" s="8">
        <f>'balance_raw_41352523'!$C$6</f>
        <v/>
      </c>
      <c r="D27" s="8">
        <f>'balance_raw_41352523'!$D$6</f>
        <v/>
      </c>
      <c r="E27" s="8">
        <f>'balance_raw_41352523'!$E$6</f>
        <v/>
      </c>
      <c r="F27" s="8">
        <f>'balance_raw_41352523'!$F$6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'balance_raw_41352523'!$B$7</f>
        <v/>
      </c>
      <c r="C28" s="11">
        <f>'balance_raw_41352523'!$C$7</f>
        <v/>
      </c>
      <c r="D28" s="11">
        <f>'balance_raw_41352523'!$D$7</f>
        <v/>
      </c>
      <c r="E28" s="11">
        <f>'balance_raw_41352523'!$E$7</f>
        <v/>
      </c>
      <c r="F28" s="11">
        <f>'balance_raw_41352523'!$F$7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'balance_raw_41352523'!$B$8</f>
        <v/>
      </c>
      <c r="C29" s="11">
        <f>'balance_raw_41352523'!$C$8</f>
        <v/>
      </c>
      <c r="D29" s="11">
        <f>'balance_raw_41352523'!$D$8</f>
        <v/>
      </c>
      <c r="E29" s="11">
        <f>'balance_raw_41352523'!$E$8</f>
        <v/>
      </c>
      <c r="F29" s="11">
        <f>'balance_raw_41352523'!$F$8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'balance_raw_41352523'!$B$9</f>
        <v/>
      </c>
      <c r="C30" s="5">
        <f>'balance_raw_41352523'!$C$9</f>
        <v/>
      </c>
      <c r="D30" s="5">
        <f>'balance_raw_41352523'!$D$9</f>
        <v/>
      </c>
      <c r="E30" s="5">
        <f>'balance_raw_41352523'!$E$9</f>
        <v/>
      </c>
      <c r="F30" s="5">
        <f>'balance_raw_41352523'!$F$9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Tilgodehavender hos tilknyttede virksomheder</t>
        </is>
      </c>
      <c r="B31" s="8">
        <f>'balance_raw_41352523'!$B$10</f>
        <v/>
      </c>
      <c r="C31" s="8">
        <f>'balance_raw_41352523'!$C$10</f>
        <v/>
      </c>
      <c r="D31" s="8">
        <f>'balance_raw_41352523'!$D$10</f>
        <v/>
      </c>
      <c r="E31" s="8">
        <f>'balance_raw_41352523'!$E$10</f>
        <v/>
      </c>
      <c r="F31" s="8">
        <f>'balance_raw_41352523'!$F$10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'balance_raw_41352523'!$B$11</f>
        <v/>
      </c>
      <c r="C32" s="5">
        <f>'balance_raw_41352523'!$C$11</f>
        <v/>
      </c>
      <c r="D32" s="5">
        <f>'balance_raw_41352523'!$D$11</f>
        <v/>
      </c>
      <c r="E32" s="5">
        <f>'balance_raw_41352523'!$E$11</f>
        <v/>
      </c>
      <c r="F32" s="5">
        <f>'balance_raw_41352523'!$F$11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Periodeafgrænsningsposter (aktiver)</t>
        </is>
      </c>
      <c r="B33" s="8">
        <f>'balance_raw_41352523'!$B$12</f>
        <v/>
      </c>
      <c r="C33" s="8">
        <f>'balance_raw_41352523'!$C$12</f>
        <v/>
      </c>
      <c r="D33" s="8">
        <f>'balance_raw_41352523'!$D$12</f>
        <v/>
      </c>
      <c r="E33" s="8">
        <f>'balance_raw_41352523'!$E$12</f>
        <v/>
      </c>
      <c r="F33" s="8">
        <f>'balance_raw_41352523'!$F$12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'balance_raw_41352523'!$B$13</f>
        <v/>
      </c>
      <c r="C34" s="5">
        <f>'balance_raw_41352523'!$C$13</f>
        <v/>
      </c>
      <c r="D34" s="5">
        <f>'balance_raw_41352523'!$D$13</f>
        <v/>
      </c>
      <c r="E34" s="5">
        <f>'balance_raw_41352523'!$E$13</f>
        <v/>
      </c>
      <c r="F34" s="5">
        <f>'balance_raw_41352523'!$F$13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 skat hos tilknyttede virksomheder</t>
        </is>
      </c>
      <c r="B35" s="8">
        <f>'balance_raw_41352523'!$B$14</f>
        <v/>
      </c>
      <c r="C35" s="8">
        <f>'balance_raw_41352523'!$C$14</f>
        <v/>
      </c>
      <c r="D35" s="8">
        <f>'balance_raw_41352523'!$D$14</f>
        <v/>
      </c>
      <c r="E35" s="8">
        <f>'balance_raw_41352523'!$E$14</f>
        <v/>
      </c>
      <c r="F35" s="8">
        <f>'balance_raw_41352523'!$F$14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'balance_raw_41352523'!$B$15</f>
        <v/>
      </c>
      <c r="C36" s="5">
        <f>'balance_raw_41352523'!$C$15</f>
        <v/>
      </c>
      <c r="D36" s="5">
        <f>'balance_raw_41352523'!$D$15</f>
        <v/>
      </c>
      <c r="E36" s="5">
        <f>'balance_raw_41352523'!$E$15</f>
        <v/>
      </c>
      <c r="F36" s="5">
        <f>'balance_raw_41352523'!$F$15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</t>
        </is>
      </c>
      <c r="B37" s="11">
        <f>'balance_raw_41352523'!$B$16</f>
        <v/>
      </c>
      <c r="C37" s="11">
        <f>'balance_raw_41352523'!$C$16</f>
        <v/>
      </c>
      <c r="D37" s="11">
        <f>'balance_raw_41352523'!$D$16</f>
        <v/>
      </c>
      <c r="E37" s="11">
        <f>'balance_raw_41352523'!$E$16</f>
        <v/>
      </c>
      <c r="F37" s="11">
        <f>'balance_raw_41352523'!$F$16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Værdipapirer</t>
        </is>
      </c>
      <c r="B38" s="5">
        <f>'balance_raw_41352523'!$B$17</f>
        <v/>
      </c>
      <c r="C38" s="5">
        <f>'balance_raw_41352523'!$C$17</f>
        <v/>
      </c>
      <c r="D38" s="5">
        <f>'balance_raw_41352523'!$D$17</f>
        <v/>
      </c>
      <c r="E38" s="5">
        <f>'balance_raw_41352523'!$E$17</f>
        <v/>
      </c>
      <c r="F38" s="5">
        <f>'balance_raw_41352523'!$F$17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Likvide beholdninger</t>
        </is>
      </c>
      <c r="B39" s="8">
        <f>'balance_raw_41352523'!$B$18</f>
        <v/>
      </c>
      <c r="C39" s="8">
        <f>'balance_raw_41352523'!$C$18</f>
        <v/>
      </c>
      <c r="D39" s="8">
        <f>'balance_raw_41352523'!$D$18</f>
        <v/>
      </c>
      <c r="E39" s="8">
        <f>'balance_raw_41352523'!$E$18</f>
        <v/>
      </c>
      <c r="F39" s="8">
        <f>'balance_raw_41352523'!$F$18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Omsætningsaktiver</t>
        </is>
      </c>
      <c r="B40" s="11">
        <f>'balance_raw_41352523'!$B$19</f>
        <v/>
      </c>
      <c r="C40" s="11">
        <f>'balance_raw_41352523'!$C$19</f>
        <v/>
      </c>
      <c r="D40" s="11">
        <f>'balance_raw_41352523'!$D$19</f>
        <v/>
      </c>
      <c r="E40" s="11">
        <f>'balance_raw_41352523'!$E$19</f>
        <v/>
      </c>
      <c r="F40" s="11">
        <f>'balance_raw_41352523'!$F$19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10" t="inlineStr">
        <is>
          <t>Aktiver</t>
        </is>
      </c>
      <c r="B41" s="11">
        <f>'balance_raw_41352523'!$B$20</f>
        <v/>
      </c>
      <c r="C41" s="11">
        <f>'balance_raw_41352523'!$C$20</f>
        <v/>
      </c>
      <c r="D41" s="11">
        <f>'balance_raw_41352523'!$D$20</f>
        <v/>
      </c>
      <c r="E41" s="11">
        <f>'balance_raw_41352523'!$E$20</f>
        <v/>
      </c>
      <c r="F41" s="11">
        <f>'balance_raw_41352523'!$F$20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3" ht="22" customHeight="1">
      <c r="A43" s="3" t="inlineStr">
        <is>
          <t>PASSIVER t.kr.</t>
        </is>
      </c>
      <c r="B43" s="3" t="n">
        <v>2021</v>
      </c>
      <c r="C43" s="3" t="n">
        <v>2022</v>
      </c>
      <c r="D43" s="3" t="n">
        <v>2023</v>
      </c>
      <c r="E43" s="3" t="n">
        <v>2024</v>
      </c>
      <c r="F43" s="3" t="n">
        <v>2025</v>
      </c>
      <c r="G43" t="inlineStr"/>
      <c r="H43" s="3" t="n">
        <v>2021</v>
      </c>
      <c r="I43" s="3" t="n">
        <v>2022</v>
      </c>
      <c r="J43" s="3" t="n">
        <v>2023</v>
      </c>
      <c r="K43" s="3" t="n">
        <v>2024</v>
      </c>
      <c r="L43" s="3" t="n">
        <v>2025</v>
      </c>
    </row>
    <row r="44" ht="16" customHeight="1">
      <c r="A44" s="4" t="inlineStr">
        <is>
          <t>Selskabskapital</t>
        </is>
      </c>
      <c r="B44" s="5">
        <f>'balance_raw_41352523'!$B$21</f>
        <v/>
      </c>
      <c r="C44" s="5">
        <f>'balance_raw_41352523'!$C$21</f>
        <v/>
      </c>
      <c r="D44" s="5">
        <f>'balance_raw_41352523'!$D$21</f>
        <v/>
      </c>
      <c r="E44" s="5">
        <f>'balance_raw_41352523'!$E$21</f>
        <v/>
      </c>
      <c r="F44" s="5">
        <f>'balance_raw_41352523'!$F$21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nettoopskrivning (indre værdis metode)</t>
        </is>
      </c>
      <c r="B45" s="8">
        <f>'balance_raw_41352523'!$B$22</f>
        <v/>
      </c>
      <c r="C45" s="8">
        <f>'balance_raw_41352523'!$C$22</f>
        <v/>
      </c>
      <c r="D45" s="8">
        <f>'balance_raw_41352523'!$D$22</f>
        <v/>
      </c>
      <c r="E45" s="8">
        <f>'balance_raw_41352523'!$E$22</f>
        <v/>
      </c>
      <c r="F45" s="8">
        <f>'balance_raw_41352523'!$F$22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'balance_raw_41352523'!$B$23</f>
        <v/>
      </c>
      <c r="C46" s="5">
        <f>'balance_raw_41352523'!$C$23</f>
        <v/>
      </c>
      <c r="D46" s="5">
        <f>'balance_raw_41352523'!$D$23</f>
        <v/>
      </c>
      <c r="E46" s="5">
        <f>'balance_raw_41352523'!$E$23</f>
        <v/>
      </c>
      <c r="F46" s="5">
        <f>'balance_raw_41352523'!$F$23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sikringstransaktioner</t>
        </is>
      </c>
      <c r="B47" s="8">
        <f>'balance_raw_41352523'!$B$24</f>
        <v/>
      </c>
      <c r="C47" s="8">
        <f>'balance_raw_41352523'!$C$24</f>
        <v/>
      </c>
      <c r="D47" s="8">
        <f>'balance_raw_41352523'!$D$24</f>
        <v/>
      </c>
      <c r="E47" s="8">
        <f>'balance_raw_41352523'!$E$24</f>
        <v/>
      </c>
      <c r="F47" s="8">
        <f>'balance_raw_41352523'!$F$24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Andre reserver</t>
        </is>
      </c>
      <c r="B48" s="5">
        <f>'balance_raw_41352523'!$B$25</f>
        <v/>
      </c>
      <c r="C48" s="5">
        <f>'balance_raw_41352523'!$C$25</f>
        <v/>
      </c>
      <c r="D48" s="5">
        <f>'balance_raw_41352523'!$D$25</f>
        <v/>
      </c>
      <c r="E48" s="5">
        <f>'balance_raw_41352523'!$E$25</f>
        <v/>
      </c>
      <c r="F48" s="5">
        <f>'balance_raw_41352523'!$F$25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Overført resultat</t>
        </is>
      </c>
      <c r="B49" s="8">
        <f>'balance_raw_41352523'!$B$26</f>
        <v/>
      </c>
      <c r="C49" s="8">
        <f>'balance_raw_41352523'!$C$26</f>
        <v/>
      </c>
      <c r="D49" s="8">
        <f>'balance_raw_41352523'!$D$26</f>
        <v/>
      </c>
      <c r="E49" s="8">
        <f>'balance_raw_41352523'!$E$26</f>
        <v/>
      </c>
      <c r="F49" s="8">
        <f>'balance_raw_41352523'!$F$26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Egenkapital i alt</t>
        </is>
      </c>
      <c r="B50" s="11">
        <f>'balance_raw_41352523'!$B$27</f>
        <v/>
      </c>
      <c r="C50" s="11">
        <f>'balance_raw_41352523'!$C$27</f>
        <v/>
      </c>
      <c r="D50" s="11">
        <f>'balance_raw_41352523'!$D$27</f>
        <v/>
      </c>
      <c r="E50" s="11">
        <f>'balance_raw_41352523'!$E$27</f>
        <v/>
      </c>
      <c r="F50" s="11">
        <f>'balance_raw_41352523'!$F$27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7" t="inlineStr">
        <is>
          <t>Ansvarlig lånekapital (langfristet)</t>
        </is>
      </c>
      <c r="B51" s="8">
        <f>'balance_raw_41352523'!$B$28</f>
        <v/>
      </c>
      <c r="C51" s="8">
        <f>'balance_raw_41352523'!$C$28</f>
        <v/>
      </c>
      <c r="D51" s="8">
        <f>'balance_raw_41352523'!$D$28</f>
        <v/>
      </c>
      <c r="E51" s="8">
        <f>'balance_raw_41352523'!$E$28</f>
        <v/>
      </c>
      <c r="F51" s="8">
        <f>'balance_raw_41352523'!$F$28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Langfristede lån</t>
        </is>
      </c>
      <c r="B52" s="5">
        <f>'balance_raw_41352523'!$B$29</f>
        <v/>
      </c>
      <c r="C52" s="5">
        <f>'balance_raw_41352523'!$C$29</f>
        <v/>
      </c>
      <c r="D52" s="5">
        <f>'balance_raw_41352523'!$D$29</f>
        <v/>
      </c>
      <c r="E52" s="5">
        <f>'balance_raw_41352523'!$E$29</f>
        <v/>
      </c>
      <c r="F52" s="5">
        <f>'balance_raw_41352523'!$F$29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Leasingforpligtelser (langfristet)</t>
        </is>
      </c>
      <c r="B53" s="8">
        <f>'balance_raw_41352523'!$B$30</f>
        <v/>
      </c>
      <c r="C53" s="8">
        <f>'balance_raw_41352523'!$C$30</f>
        <v/>
      </c>
      <c r="D53" s="8">
        <f>'balance_raw_41352523'!$D$30</f>
        <v/>
      </c>
      <c r="E53" s="8">
        <f>'balance_raw_41352523'!$E$30</f>
        <v/>
      </c>
      <c r="F53" s="8">
        <f>'balance_raw_41352523'!$F$30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Anden gæld (langfristet)</t>
        </is>
      </c>
      <c r="B54" s="5">
        <f>'balance_raw_41352523'!$B$31</f>
        <v/>
      </c>
      <c r="C54" s="5">
        <f>'balance_raw_41352523'!$C$31</f>
        <v/>
      </c>
      <c r="D54" s="5">
        <f>'balance_raw_41352523'!$D$31</f>
        <v/>
      </c>
      <c r="E54" s="5">
        <f>'balance_raw_41352523'!$E$31</f>
        <v/>
      </c>
      <c r="F54" s="5">
        <f>'balance_raw_41352523'!$F$31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Langfristede gældsforpligtelser</t>
        </is>
      </c>
      <c r="B55" s="11">
        <f>'balance_raw_41352523'!$B$32</f>
        <v/>
      </c>
      <c r="C55" s="11">
        <f>'balance_raw_41352523'!$C$32</f>
        <v/>
      </c>
      <c r="D55" s="11">
        <f>'balance_raw_41352523'!$D$32</f>
        <v/>
      </c>
      <c r="E55" s="11">
        <f>'balance_raw_41352523'!$E$32</f>
        <v/>
      </c>
      <c r="F55" s="11">
        <f>'balance_raw_41352523'!$F$32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Ansvarlig lånekapital (kortfristet)</t>
        </is>
      </c>
      <c r="B56" s="5">
        <f>'balance_raw_41352523'!$B$33</f>
        <v/>
      </c>
      <c r="C56" s="5">
        <f>'balance_raw_41352523'!$C$33</f>
        <v/>
      </c>
      <c r="D56" s="5">
        <f>'balance_raw_41352523'!$D$33</f>
        <v/>
      </c>
      <c r="E56" s="5">
        <f>'balance_raw_41352523'!$E$33</f>
        <v/>
      </c>
      <c r="F56" s="5">
        <f>'balance_raw_41352523'!$F$33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Kortfristet del af langfristede gældsforpligtelser</t>
        </is>
      </c>
      <c r="B57" s="8">
        <f>'balance_raw_41352523'!$B$34</f>
        <v/>
      </c>
      <c r="C57" s="8">
        <f>'balance_raw_41352523'!$C$34</f>
        <v/>
      </c>
      <c r="D57" s="8">
        <f>'balance_raw_41352523'!$D$34</f>
        <v/>
      </c>
      <c r="E57" s="8">
        <f>'balance_raw_41352523'!$E$34</f>
        <v/>
      </c>
      <c r="F57" s="8">
        <f>'balance_raw_41352523'!$F$34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Kreditinstitutter</t>
        </is>
      </c>
      <c r="B58" s="5">
        <f>'balance_raw_41352523'!$B$35</f>
        <v/>
      </c>
      <c r="C58" s="5">
        <f>'balance_raw_41352523'!$C$35</f>
        <v/>
      </c>
      <c r="D58" s="5">
        <f>'balance_raw_41352523'!$D$35</f>
        <v/>
      </c>
      <c r="E58" s="5">
        <f>'balance_raw_41352523'!$E$35</f>
        <v/>
      </c>
      <c r="F58" s="5">
        <f>'balance_raw_41352523'!$F$35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Leasingforpligtelser (kortfristet)</t>
        </is>
      </c>
      <c r="B59" s="8">
        <f>'balance_raw_41352523'!$B$36</f>
        <v/>
      </c>
      <c r="C59" s="8">
        <f>'balance_raw_41352523'!$C$36</f>
        <v/>
      </c>
      <c r="D59" s="8">
        <f>'balance_raw_41352523'!$D$36</f>
        <v/>
      </c>
      <c r="E59" s="8">
        <f>'balance_raw_41352523'!$E$36</f>
        <v/>
      </c>
      <c r="F59" s="8">
        <f>'balance_raw_41352523'!$F$36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Leverandører af varer og tjenesteydelser</t>
        </is>
      </c>
      <c r="B60" s="5">
        <f>'balance_raw_41352523'!$B$37</f>
        <v/>
      </c>
      <c r="C60" s="5">
        <f>'balance_raw_41352523'!$C$37</f>
        <v/>
      </c>
      <c r="D60" s="5">
        <f>'balance_raw_41352523'!$D$37</f>
        <v/>
      </c>
      <c r="E60" s="5">
        <f>'balance_raw_41352523'!$E$37</f>
        <v/>
      </c>
      <c r="F60" s="5">
        <f>'balance_raw_41352523'!$F$37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tilknyttede virksomheder</t>
        </is>
      </c>
      <c r="B61" s="8">
        <f>'balance_raw_41352523'!$B$38</f>
        <v/>
      </c>
      <c r="C61" s="8">
        <f>'balance_raw_41352523'!$C$38</f>
        <v/>
      </c>
      <c r="D61" s="8">
        <f>'balance_raw_41352523'!$D$38</f>
        <v/>
      </c>
      <c r="E61" s="8">
        <f>'balance_raw_41352523'!$E$38</f>
        <v/>
      </c>
      <c r="F61" s="8">
        <f>'balance_raw_41352523'!$F$38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Gæld til selskabsdeltagere og ledelse</t>
        </is>
      </c>
      <c r="B62" s="5">
        <f>'balance_raw_41352523'!$B$39</f>
        <v/>
      </c>
      <c r="C62" s="5">
        <f>'balance_raw_41352523'!$C$39</f>
        <v/>
      </c>
      <c r="D62" s="5">
        <f>'balance_raw_41352523'!$D$39</f>
        <v/>
      </c>
      <c r="E62" s="5">
        <f>'balance_raw_41352523'!$E$39</f>
        <v/>
      </c>
      <c r="F62" s="5">
        <f>'balance_raw_41352523'!$F$39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Selskabsskat</t>
        </is>
      </c>
      <c r="B63" s="8">
        <f>'balance_raw_41352523'!$B$40</f>
        <v/>
      </c>
      <c r="C63" s="8">
        <f>'balance_raw_41352523'!$C$40</f>
        <v/>
      </c>
      <c r="D63" s="8">
        <f>'balance_raw_41352523'!$D$40</f>
        <v/>
      </c>
      <c r="E63" s="8">
        <f>'balance_raw_41352523'!$E$40</f>
        <v/>
      </c>
      <c r="F63" s="8">
        <f>'balance_raw_41352523'!$F$40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Gæld til tilknyttede virksomheder vedr. selskabsskat</t>
        </is>
      </c>
      <c r="B64" s="5">
        <f>'balance_raw_41352523'!$B$41</f>
        <v/>
      </c>
      <c r="C64" s="5">
        <f>'balance_raw_41352523'!$C$41</f>
        <v/>
      </c>
      <c r="D64" s="5">
        <f>'balance_raw_41352523'!$D$41</f>
        <v/>
      </c>
      <c r="E64" s="5">
        <f>'balance_raw_41352523'!$E$41</f>
        <v/>
      </c>
      <c r="F64" s="5">
        <f>'balance_raw_41352523'!$F$41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(kortfristet)</t>
        </is>
      </c>
      <c r="B65" s="8">
        <f>'balance_raw_41352523'!$B$42</f>
        <v/>
      </c>
      <c r="C65" s="8">
        <f>'balance_raw_41352523'!$C$42</f>
        <v/>
      </c>
      <c r="D65" s="8">
        <f>'balance_raw_41352523'!$D$42</f>
        <v/>
      </c>
      <c r="E65" s="8">
        <f>'balance_raw_41352523'!$E$42</f>
        <v/>
      </c>
      <c r="F65" s="8">
        <f>'balance_raw_41352523'!$F$42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Periodeafgrænsningsposter (passiver)</t>
        </is>
      </c>
      <c r="B66" s="5">
        <f>'balance_raw_41352523'!$B$43</f>
        <v/>
      </c>
      <c r="C66" s="5">
        <f>'balance_raw_41352523'!$C$43</f>
        <v/>
      </c>
      <c r="D66" s="5">
        <f>'balance_raw_41352523'!$D$43</f>
        <v/>
      </c>
      <c r="E66" s="5">
        <f>'balance_raw_41352523'!$E$43</f>
        <v/>
      </c>
      <c r="F66" s="5">
        <f>'balance_raw_41352523'!$F$43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Kortfristede gældsforpligtelser</t>
        </is>
      </c>
      <c r="B67" s="11">
        <f>'balance_raw_41352523'!$B$44</f>
        <v/>
      </c>
      <c r="C67" s="11">
        <f>'balance_raw_41352523'!$C$44</f>
        <v/>
      </c>
      <c r="D67" s="11">
        <f>'balance_raw_41352523'!$D$44</f>
        <v/>
      </c>
      <c r="E67" s="11">
        <f>'balance_raw_41352523'!$E$44</f>
        <v/>
      </c>
      <c r="F67" s="11">
        <f>'balance_raw_41352523'!$F$44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10" t="inlineStr">
        <is>
          <t>Gældsforpligtelser</t>
        </is>
      </c>
      <c r="B68" s="11">
        <f>'balance_raw_41352523'!$B$45</f>
        <v/>
      </c>
      <c r="C68" s="11">
        <f>'balance_raw_41352523'!$C$45</f>
        <v/>
      </c>
      <c r="D68" s="11">
        <f>'balance_raw_41352523'!$D$45</f>
        <v/>
      </c>
      <c r="E68" s="11">
        <f>'balance_raw_41352523'!$E$45</f>
        <v/>
      </c>
      <c r="F68" s="11">
        <f>'balance_raw_41352523'!$F$45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10" t="inlineStr">
        <is>
          <t>Passiver</t>
        </is>
      </c>
      <c r="B69" s="11">
        <f>'balance_raw_41352523'!$B$46</f>
        <v/>
      </c>
      <c r="C69" s="11">
        <f>'balance_raw_41352523'!$C$46</f>
        <v/>
      </c>
      <c r="D69" s="11">
        <f>'balance_raw_41352523'!$D$46</f>
        <v/>
      </c>
      <c r="E69" s="11">
        <f>'balance_raw_41352523'!$E$46</f>
        <v/>
      </c>
      <c r="F69" s="11">
        <f>'balance_raw_41352523'!$F$46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1" ht="22" customHeight="1">
      <c r="A71" s="3" t="inlineStr">
        <is>
          <t>NØGLEOPLYSNINGER</t>
        </is>
      </c>
      <c r="B71" s="3" t="n">
        <v>2021</v>
      </c>
      <c r="C71" s="3" t="n">
        <v>2022</v>
      </c>
      <c r="D71" s="3" t="n">
        <v>2023</v>
      </c>
      <c r="E71" s="3" t="n">
        <v>2024</v>
      </c>
      <c r="F71" s="3" t="n">
        <v>2025</v>
      </c>
    </row>
    <row r="72" ht="16" customHeight="1">
      <c r="A72" s="4" t="inlineStr">
        <is>
          <t>Gns. antal medarbejdere</t>
        </is>
      </c>
      <c r="B72" s="5">
        <f>'res_raw_41352523'!$B$19</f>
        <v/>
      </c>
      <c r="C72" s="5">
        <f>'res_raw_41352523'!$C$19</f>
        <v/>
      </c>
      <c r="D72" s="5">
        <f>'res_raw_41352523'!$D$19</f>
        <v/>
      </c>
      <c r="E72" s="5">
        <f>'res_raw_41352523'!$E$19</f>
        <v/>
      </c>
      <c r="F72" s="5">
        <f>'res_raw_41352523'!$F$19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Investering i materielle anlægsaktiver</t>
        </is>
      </c>
      <c r="B73" s="8">
        <f>'res_raw_41352523'!$B$20</f>
        <v/>
      </c>
      <c r="C73" s="8">
        <f>'res_raw_41352523'!$C$20</f>
        <v/>
      </c>
      <c r="D73" s="8">
        <f>'res_raw_41352523'!$D$20</f>
        <v/>
      </c>
      <c r="E73" s="8">
        <f>'res_raw_41352523'!$E$20</f>
        <v/>
      </c>
      <c r="F73" s="8">
        <f>'res_raw_41352523'!$F$20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5" ht="22" customHeight="1">
      <c r="A75" s="3" t="inlineStr">
        <is>
          <t>NØGLETAL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Afkastningsgrad, %</t>
        </is>
      </c>
      <c r="B76" s="13">
        <f>IFERROR(($B$13+$B$15+$B$14)/$B$41*100,"")</f>
        <v/>
      </c>
      <c r="C76" s="13">
        <f>IFERROR(($C$13+$C$15+$C$14)/$C$41*100,"")</f>
        <v/>
      </c>
      <c r="D76" s="13">
        <f>IFERROR(($D$13+$D$15+$D$14)/$D$41*100,"")</f>
        <v/>
      </c>
      <c r="E76" s="13">
        <f>IFERROR(($E$13+$E$15+$E$14)/$E$41*100,"")</f>
        <v/>
      </c>
      <c r="F76" s="13">
        <f>IFERROR(($F$13+$F$15+$F$14)/$F$41*100,"")</f>
        <v/>
      </c>
    </row>
    <row r="77" ht="16" customHeight="1">
      <c r="A77" s="7" t="inlineStr">
        <is>
          <t>Overskudsgrad (af bruttofortjeneste), %</t>
        </is>
      </c>
      <c r="B77" s="14">
        <f>IFERROR(($B$13+$B$15+$B$14)/$B$8*100,"")</f>
        <v/>
      </c>
      <c r="C77" s="14">
        <f>IFERROR(($C$13+$C$15+$C$14)/$C$8*100,"")</f>
        <v/>
      </c>
      <c r="D77" s="14">
        <f>IFERROR(($D$13+$D$15+$D$14)/$D$8*100,"")</f>
        <v/>
      </c>
      <c r="E77" s="14">
        <f>IFERROR(($E$13+$E$15+$E$14)/$E$8*100,"")</f>
        <v/>
      </c>
      <c r="F77" s="14">
        <f>IFERROR(($F$13+$F$15+$F$14)/$F$8*100,"")</f>
        <v/>
      </c>
    </row>
    <row r="78" ht="16" customHeight="1">
      <c r="A78" s="4" t="inlineStr">
        <is>
          <t>Aktivernes omsætningshastighed (af bruttofortjeneste), gange</t>
        </is>
      </c>
      <c r="B78" s="13">
        <f>IFERROR($B$8/$B$41,"")</f>
        <v/>
      </c>
      <c r="C78" s="13">
        <f>IFERROR($C$8/$C$41,"")</f>
        <v/>
      </c>
      <c r="D78" s="13">
        <f>IFERROR($D$8/$D$41,"")</f>
        <v/>
      </c>
      <c r="E78" s="13">
        <f>IFERROR($E$8/$E$41,"")</f>
        <v/>
      </c>
      <c r="F78" s="13">
        <f>IFERROR($F$8/$F$41,"")</f>
        <v/>
      </c>
    </row>
    <row r="79" ht="16" customHeight="1">
      <c r="A79" s="7" t="inlineStr">
        <is>
          <t>Egenkapitalens forrentning, %</t>
        </is>
      </c>
      <c r="B79" s="14">
        <f>IFERROR($B$18/$B$50*100,"")</f>
        <v/>
      </c>
      <c r="C79" s="14">
        <f>IFERROR($C$18/$C$50*100,"")</f>
        <v/>
      </c>
      <c r="D79" s="14">
        <f>IFERROR($D$18/$D$50*100,"")</f>
        <v/>
      </c>
      <c r="E79" s="14">
        <f>IFERROR($E$18/$E$50*100,"")</f>
        <v/>
      </c>
      <c r="F79" s="14">
        <f>IFERROR($F$18/$F$50*100,"")</f>
        <v/>
      </c>
    </row>
    <row r="80" ht="16" customHeight="1">
      <c r="A80" s="4" t="inlineStr">
        <is>
          <t>Gældsrente, %</t>
        </is>
      </c>
      <c r="B80" s="13">
        <f>IFERROR($B$16/($B$69-$B$50)*100,"")</f>
        <v/>
      </c>
      <c r="C80" s="13">
        <f>IFERROR($C$16/($C$69-$C$50)*100,"")</f>
        <v/>
      </c>
      <c r="D80" s="13">
        <f>IFERROR($D$16/($D$69-$D$50)*100,"")</f>
        <v/>
      </c>
      <c r="E80" s="13">
        <f>IFERROR($E$16/($E$69-$E$50)*100,"")</f>
        <v/>
      </c>
      <c r="F80" s="13">
        <f>IFERROR($F$16/($F$69-$F$50)*100,"")</f>
        <v/>
      </c>
    </row>
    <row r="81" ht="16" customHeight="1">
      <c r="A81" s="7" t="inlineStr">
        <is>
          <t>Soliditetsgrad, %</t>
        </is>
      </c>
      <c r="B81" s="14">
        <f>IFERROR($B$50/$B$41*100,"")</f>
        <v/>
      </c>
      <c r="C81" s="14">
        <f>IFERROR($C$50/$C$41*100,"")</f>
        <v/>
      </c>
      <c r="D81" s="14">
        <f>IFERROR($D$50/$D$41*100,"")</f>
        <v/>
      </c>
      <c r="E81" s="14">
        <f>IFERROR($E$50/$E$41*100,"")</f>
        <v/>
      </c>
      <c r="F81" s="14">
        <f>IFERROR($F$50/$F$41*100,"")</f>
        <v/>
      </c>
    </row>
    <row r="82" ht="16" customHeight="1">
      <c r="A82" s="4" t="inlineStr">
        <is>
          <t>Gearing</t>
        </is>
      </c>
      <c r="B82" s="13">
        <f>IFERROR(($B$69-$B$50)/$B$50,"")</f>
        <v/>
      </c>
      <c r="C82" s="13">
        <f>IFERROR(($C$69-$C$50)/$C$50,"")</f>
        <v/>
      </c>
      <c r="D82" s="13">
        <f>IFERROR(($D$69-$D$50)/$D$50,"")</f>
        <v/>
      </c>
      <c r="E82" s="13">
        <f>IFERROR(($E$69-$E$50)/$E$50,"")</f>
        <v/>
      </c>
      <c r="F82" s="13">
        <f>IFERROR(($F$69-$F$50)/$F$50,"")</f>
        <v/>
      </c>
    </row>
    <row r="83" ht="16" customHeight="1">
      <c r="A83" s="7" t="inlineStr">
        <is>
          <t>Likviditetsgrad, %</t>
        </is>
      </c>
      <c r="B83" s="14">
        <f>IFERROR($B$40/$B$67*100,"")</f>
        <v/>
      </c>
      <c r="C83" s="14">
        <f>IFERROR($C$40/$C$67*100,"")</f>
        <v/>
      </c>
      <c r="D83" s="14">
        <f>IFERROR($D$40/$D$67*100,"")</f>
        <v/>
      </c>
      <c r="E83" s="14">
        <f>IFERROR($E$40/$E$67*100,"")</f>
        <v/>
      </c>
      <c r="F83" s="14">
        <f>IFERROR($F$40/$F$67*100,"")</f>
        <v/>
      </c>
    </row>
    <row r="84" ht="16" customHeight="1">
      <c r="A84" s="4" t="inlineStr">
        <is>
          <t>Rentemarginal, %</t>
        </is>
      </c>
      <c r="B84" s="13">
        <f>IFERROR(B76-B80,"")</f>
        <v/>
      </c>
      <c r="C84" s="13">
        <f>IFERROR(C76-C80,"")</f>
        <v/>
      </c>
      <c r="D84" s="13">
        <f>IFERROR(D76-D80,"")</f>
        <v/>
      </c>
      <c r="E84" s="13">
        <f>IFERROR(E76-E80,"")</f>
        <v/>
      </c>
      <c r="F84" s="13">
        <f>IFERROR(F76-F80,"")</f>
        <v/>
      </c>
    </row>
    <row r="85" ht="16" customHeight="1">
      <c r="A85" s="7" t="inlineStr">
        <is>
          <t>Gældsandel, %</t>
        </is>
      </c>
      <c r="B85" s="14">
        <f>IFERROR(($B$69-$B$50)/$B$41*100,"")</f>
        <v/>
      </c>
      <c r="C85" s="14">
        <f>IFERROR(($C$69-$C$50)/$C$41*100,"")</f>
        <v/>
      </c>
      <c r="D85" s="14">
        <f>IFERROR(($D$69-$D$50)/$D$41*100,"")</f>
        <v/>
      </c>
      <c r="E85" s="14">
        <f>IFERROR(($E$69-$E$50)/$E$41*100,"")</f>
        <v/>
      </c>
      <c r="F85" s="14">
        <f>IFERROR(($F$69-$F$50)/$F$41*100,"")</f>
        <v/>
      </c>
    </row>
    <row r="86" ht="16" customHeight="1">
      <c r="A86" s="4" t="inlineStr">
        <is>
          <t>Kapitalbindingsgrad, %</t>
        </is>
      </c>
      <c r="B86" s="13">
        <f>IFERROR($B$29/($B$50+$B$55)*100,"")</f>
        <v/>
      </c>
      <c r="C86" s="13">
        <f>IFERROR($C$29/($C$50+$C$55)*100,"")</f>
        <v/>
      </c>
      <c r="D86" s="13">
        <f>IFERROR($D$29/($D$50+$D$55)*100,"")</f>
        <v/>
      </c>
      <c r="E86" s="13">
        <f>IFERROR($E$29/($E$50+$E$55)*100,"")</f>
        <v/>
      </c>
      <c r="F86" s="13">
        <f>IFERROR($F$29/($F$50+$F$55)*100,"")</f>
        <v/>
      </c>
    </row>
    <row r="88">
      <c r="A88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MorsøBryghus ApS (CVR 41352523)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9</v>
      </c>
      <c r="C6" s="16" t="n">
        <v>831</v>
      </c>
      <c r="D6" s="16" t="n">
        <v>-155</v>
      </c>
      <c r="E6" s="16" t="n">
        <v>-33</v>
      </c>
      <c r="F6" s="16" t="n">
        <v>-360</v>
      </c>
    </row>
    <row r="7">
      <c r="A7" s="15" t="inlineStr">
        <is>
          <t>Personaleomkostninger</t>
        </is>
      </c>
      <c r="B7" s="16" t="n"/>
      <c r="C7" s="16" t="n"/>
      <c r="D7" s="16" t="n"/>
      <c r="E7" s="16" t="n"/>
      <c r="F7" s="16" t="n"/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22</v>
      </c>
      <c r="C9" s="16" t="n">
        <v>10</v>
      </c>
      <c r="D9" s="16" t="n">
        <v>10</v>
      </c>
      <c r="E9" s="16" t="n">
        <v>12</v>
      </c>
      <c r="F9" s="16" t="n">
        <v>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-13</v>
      </c>
      <c r="C11" s="16" t="n">
        <v>821</v>
      </c>
      <c r="D11" s="16" t="n">
        <v>-165</v>
      </c>
      <c r="E11" s="16" t="n">
        <v>-45</v>
      </c>
      <c r="F11" s="16" t="n">
        <v>-360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/>
      <c r="D13" s="16" t="n"/>
      <c r="E13" s="16" t="n"/>
      <c r="F13" s="16" t="n">
        <v>0</v>
      </c>
    </row>
    <row r="14">
      <c r="A14" s="15" t="inlineStr">
        <is>
          <t>Finansielle omkostninger</t>
        </is>
      </c>
      <c r="B14" s="16" t="n">
        <v>36</v>
      </c>
      <c r="C14" s="16" t="n">
        <v>10</v>
      </c>
      <c r="D14" s="16" t="n">
        <v>22</v>
      </c>
      <c r="E14" s="16" t="n">
        <v>52</v>
      </c>
      <c r="F14" s="16" t="n">
        <v>61</v>
      </c>
    </row>
    <row r="15">
      <c r="A15" s="17" t="inlineStr">
        <is>
          <t>Finansielle poster, netto</t>
        </is>
      </c>
      <c r="B15" s="16" t="n">
        <v>-36</v>
      </c>
      <c r="C15" s="16" t="n">
        <v>-10</v>
      </c>
      <c r="D15" s="16" t="n">
        <v>-22</v>
      </c>
      <c r="E15" s="16" t="n">
        <v>-52</v>
      </c>
      <c r="F15" s="16" t="n">
        <v>-61</v>
      </c>
    </row>
    <row r="16">
      <c r="A16" s="17" t="inlineStr">
        <is>
          <t>Resultat før skat</t>
        </is>
      </c>
      <c r="B16" s="16" t="n">
        <v>-50</v>
      </c>
      <c r="C16" s="16" t="n">
        <v>811</v>
      </c>
      <c r="D16" s="16" t="n">
        <v>-187</v>
      </c>
      <c r="E16" s="16" t="n">
        <v>-97</v>
      </c>
      <c r="F16" s="16" t="n">
        <v>-420</v>
      </c>
    </row>
    <row r="17">
      <c r="A17" s="15" t="inlineStr">
        <is>
          <t>Skat af årets resultat</t>
        </is>
      </c>
      <c r="B17" s="16" t="n">
        <v>0</v>
      </c>
      <c r="C17" s="16" t="n">
        <v>179</v>
      </c>
      <c r="D17" s="16" t="n">
        <v>-38</v>
      </c>
      <c r="E17" s="16" t="n">
        <v>-19</v>
      </c>
      <c r="F17" s="16" t="n">
        <v>-108</v>
      </c>
    </row>
    <row r="18">
      <c r="A18" s="17" t="inlineStr">
        <is>
          <t>Årets resultat</t>
        </is>
      </c>
      <c r="B18" s="16" t="n">
        <v>-50</v>
      </c>
      <c r="C18" s="16" t="n">
        <v>632</v>
      </c>
      <c r="D18" s="16" t="n">
        <v>-150</v>
      </c>
      <c r="E18" s="16" t="n">
        <v>-78</v>
      </c>
      <c r="F18" s="16" t="n">
        <v>-312</v>
      </c>
    </row>
    <row r="19">
      <c r="A19" s="15" t="inlineStr">
        <is>
          <t>Gns. antal medarbejdere</t>
        </is>
      </c>
      <c r="B19" s="16" t="n"/>
      <c r="C19" s="16" t="n"/>
      <c r="D19" s="16" t="n"/>
      <c r="E19" s="16" t="n">
        <v>0</v>
      </c>
      <c r="F19" s="16" t="n">
        <v>0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MorsøBryghus ApS (CVR 41352523)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1648</v>
      </c>
      <c r="C2" s="16" t="n">
        <v>1638</v>
      </c>
      <c r="D2" s="16" t="n">
        <v>1628</v>
      </c>
      <c r="E2" s="16" t="n">
        <v>1616</v>
      </c>
      <c r="F2" s="16" t="n">
        <v>0</v>
      </c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0</v>
      </c>
      <c r="C4" s="16" t="n"/>
      <c r="D4" s="16" t="n"/>
      <c r="E4" s="16" t="n"/>
      <c r="F4" s="16" t="n"/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1648</v>
      </c>
      <c r="C7" s="16" t="n">
        <v>1638</v>
      </c>
      <c r="D7" s="16" t="n">
        <v>1628</v>
      </c>
      <c r="E7" s="16" t="n">
        <v>1616</v>
      </c>
      <c r="F7" s="16" t="n">
        <v>0</v>
      </c>
    </row>
    <row r="8">
      <c r="A8" s="17" t="inlineStr">
        <is>
          <t>Anlægsaktiver</t>
        </is>
      </c>
      <c r="B8" s="16" t="n">
        <v>1648</v>
      </c>
      <c r="C8" s="16" t="n">
        <v>1638</v>
      </c>
      <c r="D8" s="16" t="n">
        <v>1628</v>
      </c>
      <c r="E8" s="16" t="n">
        <v>1616</v>
      </c>
      <c r="F8" s="16" t="n">
        <v>0</v>
      </c>
    </row>
    <row r="9">
      <c r="A9" s="15" t="inlineStr">
        <is>
          <t>Tilgodehavender fra salg og tjenesteydelser</t>
        </is>
      </c>
      <c r="B9" s="16" t="n">
        <v>2</v>
      </c>
      <c r="C9" s="16" t="n">
        <v>0</v>
      </c>
      <c r="D9" s="16" t="n"/>
      <c r="E9" s="16" t="n">
        <v>33</v>
      </c>
      <c r="F9" s="16" t="n">
        <v>12</v>
      </c>
    </row>
    <row r="10">
      <c r="A10" s="15" t="inlineStr">
        <is>
          <t>Tilgodehavender hos tilknyttede 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Andre tilgodehavender</t>
        </is>
      </c>
      <c r="B11" s="16" t="n">
        <v>23</v>
      </c>
      <c r="C11" s="16" t="n">
        <v>0</v>
      </c>
      <c r="D11" s="16" t="n">
        <v>22</v>
      </c>
      <c r="E11" s="16" t="n">
        <v>0</v>
      </c>
      <c r="F11" s="16" t="n"/>
    </row>
    <row r="12">
      <c r="A12" s="15" t="inlineStr">
        <is>
          <t>Periodeafgrænsningsposter (aktiver)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Udskudt skatteaktiv</t>
        </is>
      </c>
      <c r="B13" s="16" t="n"/>
      <c r="C13" s="16" t="n"/>
      <c r="D13" s="16" t="n">
        <v>38</v>
      </c>
      <c r="E13" s="16" t="n">
        <v>57</v>
      </c>
      <c r="F13" s="16" t="n">
        <v>138</v>
      </c>
    </row>
    <row r="14">
      <c r="A14" s="15" t="inlineStr">
        <is>
          <t>Tilgodehavende skat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Kortfristede skattetilgodehavender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Tilgodehavender</t>
        </is>
      </c>
      <c r="B16" s="16" t="n">
        <v>25</v>
      </c>
      <c r="C16" s="16" t="n">
        <v>0</v>
      </c>
      <c r="D16" s="16" t="n">
        <v>60</v>
      </c>
      <c r="E16" s="16" t="n">
        <v>90</v>
      </c>
      <c r="F16" s="16" t="n">
        <v>149</v>
      </c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>
        <v>9</v>
      </c>
      <c r="C18" s="16" t="n">
        <v>2</v>
      </c>
      <c r="D18" s="16" t="n">
        <v>1</v>
      </c>
      <c r="E18" s="16" t="n">
        <v>0</v>
      </c>
      <c r="F18" s="16" t="n">
        <v>183</v>
      </c>
    </row>
    <row r="19">
      <c r="A19" s="17" t="inlineStr">
        <is>
          <t>Omsætningsaktiver</t>
        </is>
      </c>
      <c r="B19" s="16" t="n">
        <v>34</v>
      </c>
      <c r="C19" s="16" t="n">
        <v>2</v>
      </c>
      <c r="D19" s="16" t="n">
        <v>61</v>
      </c>
      <c r="E19" s="16" t="n">
        <v>90</v>
      </c>
      <c r="F19" s="16" t="n">
        <v>332</v>
      </c>
    </row>
    <row r="20">
      <c r="A20" s="17" t="inlineStr">
        <is>
          <t>Aktiver</t>
        </is>
      </c>
      <c r="B20" s="16" t="n">
        <v>1682</v>
      </c>
      <c r="C20" s="16" t="n">
        <v>1639</v>
      </c>
      <c r="D20" s="16" t="n">
        <v>1689</v>
      </c>
      <c r="E20" s="16" t="n">
        <v>1707</v>
      </c>
      <c r="F20" s="16" t="n">
        <v>332</v>
      </c>
    </row>
    <row r="21">
      <c r="A21" s="15" t="inlineStr">
        <is>
          <t>Selskabskapital</t>
        </is>
      </c>
      <c r="B21" s="16" t="n">
        <v>80</v>
      </c>
      <c r="C21" s="16" t="n">
        <v>80</v>
      </c>
      <c r="D21" s="16" t="n">
        <v>80</v>
      </c>
      <c r="E21" s="16" t="n">
        <v>80</v>
      </c>
      <c r="F21" s="16" t="n">
        <v>80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Overført resultat</t>
        </is>
      </c>
      <c r="B26" s="16" t="n">
        <v>-27</v>
      </c>
      <c r="C26" s="16" t="n">
        <v>605</v>
      </c>
      <c r="D26" s="16" t="n">
        <v>456</v>
      </c>
      <c r="E26" s="16" t="n">
        <v>379</v>
      </c>
      <c r="F26" s="16" t="n">
        <v>67</v>
      </c>
    </row>
    <row r="27">
      <c r="A27" s="17" t="inlineStr">
        <is>
          <t>Egenkapital i alt</t>
        </is>
      </c>
      <c r="B27" s="16" t="n">
        <v>53</v>
      </c>
      <c r="C27" s="16" t="n">
        <v>685</v>
      </c>
      <c r="D27" s="16" t="n">
        <v>536</v>
      </c>
      <c r="E27" s="16" t="n">
        <v>459</v>
      </c>
      <c r="F27" s="16" t="n">
        <v>147</v>
      </c>
    </row>
    <row r="28">
      <c r="A28" s="15" t="inlineStr">
        <is>
          <t>Ansvarlig lånekapital (langfristet)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Langfristede lån</t>
        </is>
      </c>
      <c r="B29" s="16" t="n">
        <v>1524</v>
      </c>
      <c r="C29" s="16" t="n"/>
      <c r="D29" s="16" t="n"/>
      <c r="E29" s="16" t="n"/>
      <c r="F29" s="16" t="n"/>
    </row>
    <row r="30">
      <c r="A30" s="15" t="inlineStr">
        <is>
          <t>Leasingforpligtelser (langfristet)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Anden gæld (langfristet)</t>
        </is>
      </c>
      <c r="B31" s="16" t="n"/>
      <c r="C31" s="16" t="n">
        <v>662</v>
      </c>
      <c r="D31" s="16" t="n">
        <v>444</v>
      </c>
      <c r="E31" s="16" t="n">
        <v>567</v>
      </c>
      <c r="F31" s="16" t="n">
        <v>0</v>
      </c>
    </row>
    <row r="32">
      <c r="A32" s="17" t="inlineStr">
        <is>
          <t>Langfristede gældsforpligtelser</t>
        </is>
      </c>
      <c r="B32" s="16" t="n">
        <v>1524</v>
      </c>
      <c r="C32" s="16" t="n">
        <v>662</v>
      </c>
      <c r="D32" s="16" t="n">
        <v>444</v>
      </c>
      <c r="E32" s="16" t="n">
        <v>567</v>
      </c>
      <c r="F32" s="16" t="n">
        <v>0</v>
      </c>
    </row>
    <row r="33">
      <c r="A33" s="15" t="inlineStr">
        <is>
          <t>Ansvarlig lånekapital (kortfristet)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Kortfristet del af langfristede gældsforpligtelser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Kreditinstitutter</t>
        </is>
      </c>
      <c r="B35" s="16" t="n"/>
      <c r="C35" s="16" t="n"/>
      <c r="D35" s="16" t="n"/>
      <c r="E35" s="16" t="n">
        <v>1</v>
      </c>
      <c r="F35" s="16" t="n">
        <v>0</v>
      </c>
    </row>
    <row r="36">
      <c r="A36" s="15" t="inlineStr">
        <is>
          <t>Leasingforpligtelser (kortfristet)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Leverandører af varer og tjenesteydelser</t>
        </is>
      </c>
      <c r="B37" s="16" t="n">
        <v>47</v>
      </c>
      <c r="C37" s="16" t="n">
        <v>39</v>
      </c>
      <c r="D37" s="16" t="n">
        <v>0</v>
      </c>
      <c r="E37" s="16" t="n">
        <v>20</v>
      </c>
      <c r="F37" s="16" t="n">
        <v>0</v>
      </c>
    </row>
    <row r="38">
      <c r="A38" s="15" t="inlineStr">
        <is>
          <t>Gæld til tilknyttede virksomheder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Gæld til selskabsdeltagere og ledelse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Selskabsskat</t>
        </is>
      </c>
      <c r="B40" s="16" t="n">
        <v>8</v>
      </c>
      <c r="C40" s="16" t="n">
        <v>179</v>
      </c>
      <c r="D40" s="16" t="n">
        <v>0</v>
      </c>
      <c r="E40" s="16" t="n">
        <v>28</v>
      </c>
      <c r="F40" s="16" t="n">
        <v>0</v>
      </c>
    </row>
    <row r="41">
      <c r="A41" s="15" t="inlineStr">
        <is>
          <t>Gæld til tilknyttede virksomheder vedr. selskabsskat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Anden gæld (kortfristet)</t>
        </is>
      </c>
      <c r="B42" s="16" t="n">
        <v>50</v>
      </c>
      <c r="C42" s="16" t="n">
        <v>75</v>
      </c>
      <c r="D42" s="16" t="n">
        <v>661</v>
      </c>
      <c r="E42" s="16" t="n">
        <v>332</v>
      </c>
      <c r="F42" s="16" t="n">
        <v>159</v>
      </c>
    </row>
    <row r="43">
      <c r="A43" s="15" t="inlineStr">
        <is>
          <t>Periodeafgrænsningsposter (passiver)</t>
        </is>
      </c>
      <c r="B43" s="16" t="n"/>
      <c r="C43" s="16" t="n"/>
      <c r="D43" s="16" t="n"/>
      <c r="E43" s="16" t="n"/>
      <c r="F43" s="16" t="n"/>
    </row>
    <row r="44">
      <c r="A44" s="17" t="inlineStr">
        <is>
          <t>Kortfristede gældsforpligtelser</t>
        </is>
      </c>
      <c r="B44" s="16" t="n">
        <v>104</v>
      </c>
      <c r="C44" s="16" t="n">
        <v>292</v>
      </c>
      <c r="D44" s="16" t="n">
        <v>709</v>
      </c>
      <c r="E44" s="16" t="n">
        <v>680</v>
      </c>
      <c r="F44" s="16" t="n">
        <v>185</v>
      </c>
    </row>
    <row r="45">
      <c r="A45" s="17" t="inlineStr">
        <is>
          <t>Gældsforpligtelser</t>
        </is>
      </c>
      <c r="B45" s="16" t="n">
        <v>1628</v>
      </c>
      <c r="C45" s="16" t="n">
        <v>954</v>
      </c>
      <c r="D45" s="16" t="n">
        <v>1153</v>
      </c>
      <c r="E45" s="16" t="n">
        <v>1248</v>
      </c>
      <c r="F45" s="16" t="n">
        <v>185</v>
      </c>
    </row>
    <row r="46">
      <c r="A46" s="17" t="inlineStr">
        <is>
          <t>Passiver</t>
        </is>
      </c>
      <c r="B46" s="16" t="n">
        <v>1682</v>
      </c>
      <c r="C46" s="16" t="n">
        <v>1639</v>
      </c>
      <c r="D46" s="16" t="n">
        <v>1689</v>
      </c>
      <c r="E46" s="16" t="n">
        <v>1707</v>
      </c>
      <c r="F46" s="16" t="n">
        <v>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MorsøBryghus ApS (CVR 41352523) — Regnskabs- og nøgletal (CVR: 41352523)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'res_raw_41352523'!$F$2</f>
        <v/>
      </c>
      <c r="C5" s="24">
        <f>'res_raw_41352523'!$E$2</f>
        <v/>
      </c>
      <c r="D5" s="24">
        <f>'res_raw_41352523'!$D$2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'res_raw_41352523'!$F$3</f>
        <v/>
      </c>
      <c r="C6" s="24">
        <f>'res_raw_41352523'!$E$3</f>
        <v/>
      </c>
      <c r="D6" s="24">
        <f>'res_raw_41352523'!$D$3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-'res_raw_41352523'!$F$4</f>
        <v/>
      </c>
      <c r="C7" s="24">
        <f>-'res_raw_41352523'!$E$4</f>
        <v/>
      </c>
      <c r="D7" s="24">
        <f>-'res_raw_41352523'!$D$4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-'res_raw_41352523'!$F$5</f>
        <v/>
      </c>
      <c r="C8" s="24">
        <f>-'res_raw_41352523'!$E$5</f>
        <v/>
      </c>
      <c r="D8" s="24">
        <f>-'res_raw_41352523'!$D$5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IF(ABS((SUM(B5:B8))-'res_raw_41352523'!$F$6)&lt;=2,SUM(B5:B8),'res_raw_41352523'!$F$6)</f>
        <v/>
      </c>
      <c r="C9" s="27">
        <f>IF(ABS((SUM(C5:C8))-'res_raw_41352523'!$E$6)&lt;=2,SUM(C5:C8),'res_raw_41352523'!$E$6)</f>
        <v/>
      </c>
      <c r="D9" s="27">
        <f>IF(ABS((SUM(D5:D8))-'res_raw_41352523'!$D$6)&lt;=2,SUM(D5:D8),'res_raw_41352523'!$D$6)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-'res_raw_41352523'!$F$7</f>
        <v/>
      </c>
      <c r="C10" s="24">
        <f>-'res_raw_41352523'!$E$7</f>
        <v/>
      </c>
      <c r="D10" s="24">
        <f>-'res_raw_41352523'!$D$7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-'res_raw_41352523'!$F$9</f>
        <v/>
      </c>
      <c r="C11" s="24">
        <f>-'res_raw_41352523'!$E$9</f>
        <v/>
      </c>
      <c r="D11" s="24">
        <f>-'res_raw_41352523'!$D$9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-'res_raw_41352523'!$F$10</f>
        <v/>
      </c>
      <c r="C12" s="24">
        <f>-'res_raw_41352523'!$E$10</f>
        <v/>
      </c>
      <c r="D12" s="24">
        <f>-'res_raw_41352523'!$D$10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IF(ABS((SUM(B9:B12))-'res_raw_41352523'!$F$11)&lt;=2,SUM(B9:B12),'res_raw_41352523'!$F$11)</f>
        <v/>
      </c>
      <c r="C13" s="27">
        <f>IF(ABS((SUM(C9:C12))-'res_raw_41352523'!$E$11)&lt;=2,SUM(C9:C12),'res_raw_41352523'!$E$11)</f>
        <v/>
      </c>
      <c r="D13" s="27">
        <f>IF(ABS((SUM(D9:D12))-'res_raw_41352523'!$D$11)&lt;=2,SUM(D9:D12),'res_raw_41352523'!$D$11)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N('res_raw_41352523'!$F$12)+N('res_raw_41352523'!$F$13)</f>
        <v/>
      </c>
      <c r="C14" s="24">
        <f>N('res_raw_41352523'!$E$12)+N('res_raw_41352523'!$E$13)</f>
        <v/>
      </c>
      <c r="D14" s="24">
        <f>N('res_raw_41352523'!$D$12)+N('res_raw_41352523'!$D$13)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-'res_raw_41352523'!$F$14</f>
        <v/>
      </c>
      <c r="C15" s="24">
        <f>-'res_raw_41352523'!$E$14</f>
        <v/>
      </c>
      <c r="D15" s="24">
        <f>-'res_raw_41352523'!$D$14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IF(ABS((SUM(B13:B15))-'res_raw_41352523'!$F$16)&lt;=2,SUM(B13:B15),'res_raw_41352523'!$F$16)</f>
        <v/>
      </c>
      <c r="C16" s="27">
        <f>IF(ABS((SUM(C13:C15))-'res_raw_41352523'!$E$16)&lt;=2,SUM(C13:C15),'res_raw_41352523'!$E$16)</f>
        <v/>
      </c>
      <c r="D16" s="27">
        <f>IF(ABS((SUM(D13:D15))-'res_raw_41352523'!$D$16)&lt;=2,SUM(D13:D15),'res_raw_41352523'!$D$16)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'balance_raw_41352523'!$F$8</f>
        <v/>
      </c>
      <c r="C19" s="24">
        <f>'balance_raw_41352523'!$E$8</f>
        <v/>
      </c>
      <c r="D19" s="24">
        <f>'balance_raw_41352523'!$D$8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'balance_raw_41352523'!$F$19</f>
        <v/>
      </c>
      <c r="C20" s="24">
        <f>'balance_raw_41352523'!$E$19</f>
        <v/>
      </c>
      <c r="D20" s="24">
        <f>'balance_raw_41352523'!$D$19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'balance_raw_41352523'!$F$27</f>
        <v/>
      </c>
      <c r="C23" s="24">
        <f>'balance_raw_41352523'!$E$27</f>
        <v/>
      </c>
      <c r="D23" s="24">
        <f>'balance_raw_41352523'!$D$27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'balance_raw_41352523'!$F$46-'balance_raw_41352523'!$F$27</f>
        <v/>
      </c>
      <c r="C24" s="24">
        <f>'balance_raw_41352523'!$E$46-'balance_raw_41352523'!$E$27</f>
        <v/>
      </c>
      <c r="D24" s="24">
        <f>'balance_raw_41352523'!$D$46-'balance_raw_41352523'!$D$27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'balance_raw_41352523'!$F$9</f>
        <v/>
      </c>
      <c r="C29" s="24">
        <f>'balance_raw_41352523'!$E$9</f>
        <v/>
      </c>
      <c r="D29" s="24">
        <f>'balance_raw_41352523'!$D$9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'balance_raw_41352523'!$F$44</f>
        <v/>
      </c>
      <c r="C30" s="24">
        <f>'balance_raw_41352523'!$E$44</f>
        <v/>
      </c>
      <c r="D30" s="24">
        <f>'balance_raw_41352523'!$D$44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IF('balance_raw_41352523'!$F$20="","—",IF(ABS(B21-'balance_raw_41352523'!$F$20)&lt;=1,"✓ OK","❌ "&amp;TEXT(B21-'balance_raw_41352523'!$F$20,"+#,##0;-#,##0")&amp;" t.kr."))</f>
        <v/>
      </c>
      <c r="C61" s="29">
        <f>IF('balance_raw_41352523'!$E$20="","—",IF(ABS(C21-'balance_raw_41352523'!$E$20)&lt;=1,"✓ OK","❌ "&amp;TEXT(C21-'balance_raw_41352523'!$E$20,"+#,##0;-#,##0")&amp;" t.kr."))</f>
        <v/>
      </c>
      <c r="D61" s="29">
        <f>IF('balance_raw_41352523'!$D$20="","—",IF(ABS(D21-'balance_raw_41352523'!$D$20)&lt;=1,"✓ OK","❌ "&amp;TEXT(D21-'balance_raw_41352523'!$D$20,"+#,##0;-#,##0")&amp;"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IF('balance_raw_41352523'!$F$46="","—",IF(ABS(B25-'balance_raw_41352523'!$F$46)&lt;=1,"✓ OK","❌ "&amp;TEXT(B25-'balance_raw_41352523'!$F$46,"+#,##0;-#,##0")&amp;" t.kr."))</f>
        <v/>
      </c>
      <c r="C62" s="29">
        <f>IF('balance_raw_41352523'!$E$46="","—",IF(ABS(C25-'balance_raw_41352523'!$E$46)&lt;=1,"✓ OK","❌ "&amp;TEXT(C25-'balance_raw_41352523'!$E$46,"+#,##0;-#,##0")&amp;" t.kr."))</f>
        <v/>
      </c>
      <c r="D62" s="29">
        <f>IF('balance_raw_41352523'!$D$46="","—",IF(ABS(D25-'balance_raw_41352523'!$D$46)&lt;=1,"✓ OK","❌ "&amp;TEXT(D25-'balance_raw_41352523'!$D$46,"+#,##0;-#,##0")&amp;"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IF('res_raw_41352523'!$F$6="","—",IF(ABS(B9-'res_raw_41352523'!$F$6)&lt;=1,"✓ OK","❌ "&amp;TEXT(B9-'res_raw_41352523'!$F$6,"+#,##0;-#,##0")&amp;" t.kr."))</f>
        <v/>
      </c>
      <c r="C64" s="29">
        <f>IF('res_raw_41352523'!$E$6="","—",IF(ABS(C9-'res_raw_41352523'!$E$6)&lt;=1,"✓ OK","❌ "&amp;TEXT(C9-'res_raw_41352523'!$E$6,"+#,##0;-#,##0")&amp;" t.kr."))</f>
        <v/>
      </c>
      <c r="D64" s="29">
        <f>IF('res_raw_41352523'!$D$6="","—",IF(ABS(D9-'res_raw_41352523'!$D$6)&lt;=1,"✓ OK","❌ "&amp;TEXT(D9-'res_raw_41352523'!$D$6,"+#,##0;-#,##0")&amp;"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IF('res_raw_41352523'!$F$11="","—",IF(ABS(B13-'res_raw_41352523'!$F$11)&lt;=1,"✓ OK","❌ "&amp;TEXT(B13-'res_raw_41352523'!$F$11,"+#,##0;-#,##0")&amp;" t.kr."))</f>
        <v/>
      </c>
      <c r="C65" s="29">
        <f>IF('res_raw_41352523'!$E$11="","—",IF(ABS(C13-'res_raw_41352523'!$E$11)&lt;=1,"✓ OK","❌ "&amp;TEXT(C13-'res_raw_41352523'!$E$11,"+#,##0;-#,##0")&amp;" t.kr."))</f>
        <v/>
      </c>
      <c r="D65" s="29">
        <f>IF('res_raw_41352523'!$D$11="","—",IF(ABS(D13-'res_raw_41352523'!$D$11)&lt;=1,"✓ OK","❌ "&amp;TEXT(D13-'res_raw_41352523'!$D$11,"+#,##0;-#,##0")&amp;"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IF('res_raw_41352523'!$F$16="","—",IF(ABS(B16-'res_raw_41352523'!$F$16)&lt;=1,"✓ OK","❌ "&amp;TEXT(B16-'res_raw_41352523'!$F$16,"+#,##0;-#,##0")&amp;" t.kr."))</f>
        <v/>
      </c>
      <c r="C66" s="29">
        <f>IF('res_raw_41352523'!$E$16="","—",IF(ABS(C16-'res_raw_41352523'!$E$16)&lt;=1,"✓ OK","❌ "&amp;TEXT(C16-'res_raw_41352523'!$E$16,"+#,##0;-#,##0")&amp;" t.kr."))</f>
        <v/>
      </c>
      <c r="D66" s="29">
        <f>IF('res_raw_41352523'!$D$16="","—",IF(ABS(D16-'res_raw_41352523'!$D$16)&lt;=1,"✓ OK","❌ "&amp;TEXT(D16-'res_raw_41352523'!$D$16,"+#,##0;-#,##0")&amp;"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MorsøBryghus ApS (CVR 41352523)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fsa:ConvertibleProfitYieldingOrDividendYieldingShorttermDebtInstruments</t>
        </is>
      </c>
      <c r="C3" s="34" t="inlineStr">
        <is>
          <t>fsa:ConvertibleProfitYieldingOrDividendYieldingShorttermDebtInstruments</t>
        </is>
      </c>
      <c r="D3" s="35" t="n"/>
      <c r="E3" s="35" t="n"/>
      <c r="F3" s="35" t="n"/>
      <c r="G3" s="35" t="n">
        <v>274</v>
      </c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fsa:DepositsShorttermLiabilitiesOtherThanProvisions</t>
        </is>
      </c>
      <c r="C4" s="37" t="inlineStr">
        <is>
          <t>fsa:DepositsShorttermLiabilitiesOtherThanProvisions</t>
        </is>
      </c>
      <c r="D4" s="38" t="n"/>
      <c r="E4" s="38" t="n"/>
      <c r="F4" s="38" t="n">
        <v>27</v>
      </c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fsa:VatAndDutiesPayables</t>
        </is>
      </c>
      <c r="C5" s="34" t="inlineStr">
        <is>
          <t>fsa:VatAndDutiesPayables</t>
        </is>
      </c>
      <c r="D5" s="35" t="n"/>
      <c r="E5" s="35" t="n"/>
      <c r="F5" s="35" t="n">
        <v>21</v>
      </c>
      <c r="G5" s="35" t="n">
        <v>26</v>
      </c>
      <c r="H5" s="35" t="n">
        <v>26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2026-10-02T21:57:35Z</dcterms:created>
  <dcterms:modified xmlns:dcterms="http://purl.org/dc/terms/" xmlns:xsi="http://www.w3.org/2001/XMLSchema-instance" xsi:type="dcterms:W3CDTF">2026-10-02T21:57:35Z</dcterms:modified>
</cp:coreProperties>
</file>