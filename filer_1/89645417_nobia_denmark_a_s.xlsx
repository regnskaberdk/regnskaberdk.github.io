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9645417" sheetId="1" state="visible" r:id="rId1"/>
    <sheet xmlns:r="http://schemas.openxmlformats.org/officeDocument/2006/relationships" name="res_raw_89645417" sheetId="2" state="visible" r:id="rId2"/>
    <sheet xmlns:r="http://schemas.openxmlformats.org/officeDocument/2006/relationships" name="balance_raw_89645417" sheetId="3" state="visible" r:id="rId3"/>
    <sheet xmlns:r="http://schemas.openxmlformats.org/officeDocument/2006/relationships" name="pengestrom_raw_89645417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Nobia Denmark A/S (CVR 89645417)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'res_raw_89645417'!$B$2</f>
        <v/>
      </c>
      <c r="C4" s="5">
        <f>'res_raw_89645417'!$C$2</f>
        <v/>
      </c>
      <c r="D4" s="5">
        <f>'res_raw_89645417'!$D$2</f>
        <v/>
      </c>
      <c r="E4" s="5">
        <f>'res_raw_89645417'!$E$2</f>
        <v/>
      </c>
      <c r="F4" s="5">
        <f>'res_raw_89645417'!$F$2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'res_raw_89645417'!$B$3</f>
        <v/>
      </c>
      <c r="C5" s="8">
        <f>'res_raw_89645417'!$C$3</f>
        <v/>
      </c>
      <c r="D5" s="8">
        <f>'res_raw_89645417'!$D$3</f>
        <v/>
      </c>
      <c r="E5" s="8">
        <f>'res_raw_89645417'!$E$3</f>
        <v/>
      </c>
      <c r="F5" s="8">
        <f>'res_raw_89645417'!$F$3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'res_raw_89645417'!$B$4</f>
        <v/>
      </c>
      <c r="C6" s="8">
        <f>'res_raw_89645417'!$C$4</f>
        <v/>
      </c>
      <c r="D6" s="8">
        <f>'res_raw_89645417'!$D$4</f>
        <v/>
      </c>
      <c r="E6" s="8">
        <f>'res_raw_89645417'!$E$4</f>
        <v/>
      </c>
      <c r="F6" s="8">
        <f>'res_raw_89645417'!$F$4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'res_raw_89645417'!$B$5</f>
        <v/>
      </c>
      <c r="C7" s="8">
        <f>'res_raw_89645417'!$C$5</f>
        <v/>
      </c>
      <c r="D7" s="8">
        <f>'res_raw_89645417'!$D$5</f>
        <v/>
      </c>
      <c r="E7" s="8">
        <f>'res_raw_89645417'!$E$5</f>
        <v/>
      </c>
      <c r="F7" s="8">
        <f>'res_raw_89645417'!$F$5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'res_raw_89645417'!$B$6</f>
        <v/>
      </c>
      <c r="C8" s="8">
        <f>'res_raw_89645417'!$C$6</f>
        <v/>
      </c>
      <c r="D8" s="8">
        <f>'res_raw_89645417'!$D$6</f>
        <v/>
      </c>
      <c r="E8" s="8">
        <f>'res_raw_89645417'!$E$6</f>
        <v/>
      </c>
      <c r="F8" s="8">
        <f>'res_raw_89645417'!$F$6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'res_raw_89645417'!$B$7</f>
        <v/>
      </c>
      <c r="C9" s="11">
        <f>'res_raw_89645417'!$C$7</f>
        <v/>
      </c>
      <c r="D9" s="11">
        <f>'res_raw_89645417'!$D$7</f>
        <v/>
      </c>
      <c r="E9" s="11">
        <f>'res_raw_89645417'!$E$7</f>
        <v/>
      </c>
      <c r="F9" s="11">
        <f>'res_raw_89645417'!$F$7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'res_raw_89645417'!$B$8</f>
        <v/>
      </c>
      <c r="C10" s="5">
        <f>'res_raw_89645417'!$C$8</f>
        <v/>
      </c>
      <c r="D10" s="5">
        <f>'res_raw_89645417'!$D$8</f>
        <v/>
      </c>
      <c r="E10" s="5">
        <f>'res_raw_89645417'!$E$8</f>
        <v/>
      </c>
      <c r="F10" s="5">
        <f>'res_raw_89645417'!$F$8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'res_raw_89645417'!$B$9</f>
        <v/>
      </c>
      <c r="C11" s="8">
        <f>'res_raw_89645417'!$C$9</f>
        <v/>
      </c>
      <c r="D11" s="8">
        <f>'res_raw_89645417'!$D$9</f>
        <v/>
      </c>
      <c r="E11" s="8">
        <f>'res_raw_89645417'!$E$9</f>
        <v/>
      </c>
      <c r="F11" s="8">
        <f>'res_raw_89645417'!$F$9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'res_raw_89645417'!$B$10</f>
        <v/>
      </c>
      <c r="C12" s="5">
        <f>'res_raw_89645417'!$C$10</f>
        <v/>
      </c>
      <c r="D12" s="5">
        <f>'res_raw_89645417'!$D$10</f>
        <v/>
      </c>
      <c r="E12" s="5">
        <f>'res_raw_89645417'!$E$10</f>
        <v/>
      </c>
      <c r="F12" s="5">
        <f>'res_raw_89645417'!$F$10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'res_raw_89645417'!$B$11</f>
        <v/>
      </c>
      <c r="C13" s="11">
        <f>'res_raw_89645417'!$C$11</f>
        <v/>
      </c>
      <c r="D13" s="11">
        <f>'res_raw_89645417'!$D$11</f>
        <v/>
      </c>
      <c r="E13" s="11">
        <f>'res_raw_89645417'!$E$11</f>
        <v/>
      </c>
      <c r="F13" s="11">
        <f>'res_raw_89645417'!$F$11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'res_raw_89645417'!$B$12</f>
        <v/>
      </c>
      <c r="C14" s="5">
        <f>'res_raw_89645417'!$C$12</f>
        <v/>
      </c>
      <c r="D14" s="5">
        <f>'res_raw_89645417'!$D$12</f>
        <v/>
      </c>
      <c r="E14" s="5">
        <f>'res_raw_89645417'!$E$12</f>
        <v/>
      </c>
      <c r="F14" s="5">
        <f>'res_raw_89645417'!$F$12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'res_raw_89645417'!$B$13</f>
        <v/>
      </c>
      <c r="C15" s="8">
        <f>'res_raw_89645417'!$C$13</f>
        <v/>
      </c>
      <c r="D15" s="8">
        <f>'res_raw_89645417'!$D$13</f>
        <v/>
      </c>
      <c r="E15" s="8">
        <f>'res_raw_89645417'!$E$13</f>
        <v/>
      </c>
      <c r="F15" s="8">
        <f>'res_raw_89645417'!$F$13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'res_raw_89645417'!$B$14</f>
        <v/>
      </c>
      <c r="C16" s="8">
        <f>'res_raw_89645417'!$C$14</f>
        <v/>
      </c>
      <c r="D16" s="8">
        <f>'res_raw_89645417'!$D$14</f>
        <v/>
      </c>
      <c r="E16" s="8">
        <f>'res_raw_89645417'!$E$14</f>
        <v/>
      </c>
      <c r="F16" s="8">
        <f>'res_raw_89645417'!$F$14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'res_raw_89645417'!$B$15</f>
        <v/>
      </c>
      <c r="C17" s="11">
        <f>'res_raw_89645417'!$C$15</f>
        <v/>
      </c>
      <c r="D17" s="11">
        <f>'res_raw_89645417'!$D$15</f>
        <v/>
      </c>
      <c r="E17" s="11">
        <f>'res_raw_89645417'!$E$15</f>
        <v/>
      </c>
      <c r="F17" s="11">
        <f>'res_raw_89645417'!$F$15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'res_raw_89645417'!$B$16</f>
        <v/>
      </c>
      <c r="C18" s="8">
        <f>'res_raw_89645417'!$C$16</f>
        <v/>
      </c>
      <c r="D18" s="8">
        <f>'res_raw_89645417'!$D$16</f>
        <v/>
      </c>
      <c r="E18" s="8">
        <f>'res_raw_89645417'!$E$16</f>
        <v/>
      </c>
      <c r="F18" s="8">
        <f>'res_raw_89645417'!$F$16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'balance_raw_89645417'!$B$2</f>
        <v/>
      </c>
      <c r="C21" s="11">
        <f>'balance_raw_89645417'!$C$2</f>
        <v/>
      </c>
      <c r="D21" s="11">
        <f>'balance_raw_89645417'!$D$2</f>
        <v/>
      </c>
      <c r="E21" s="11">
        <f>'balance_raw_89645417'!$E$2</f>
        <v/>
      </c>
      <c r="F21" s="11">
        <f>'balance_raw_89645417'!$F$2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'balance_raw_89645417'!$B$3</f>
        <v/>
      </c>
      <c r="C22" s="5">
        <f>'balance_raw_89645417'!$C$3</f>
        <v/>
      </c>
      <c r="D22" s="5">
        <f>'balance_raw_89645417'!$D$3</f>
        <v/>
      </c>
      <c r="E22" s="5">
        <f>'balance_raw_89645417'!$E$3</f>
        <v/>
      </c>
      <c r="F22" s="5">
        <f>'balance_raw_89645417'!$F$3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'balance_raw_89645417'!$B$4</f>
        <v/>
      </c>
      <c r="C23" s="11">
        <f>'balance_raw_89645417'!$C$4</f>
        <v/>
      </c>
      <c r="D23" s="11">
        <f>'balance_raw_89645417'!$D$4</f>
        <v/>
      </c>
      <c r="E23" s="11">
        <f>'balance_raw_89645417'!$E$4</f>
        <v/>
      </c>
      <c r="F23" s="11">
        <f>'balance_raw_89645417'!$F$4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'balance_raw_89645417'!$B$5</f>
        <v/>
      </c>
      <c r="C24" s="8">
        <f>'balance_raw_89645417'!$C$5</f>
        <v/>
      </c>
      <c r="D24" s="8">
        <f>'balance_raw_89645417'!$D$5</f>
        <v/>
      </c>
      <c r="E24" s="8">
        <f>'balance_raw_89645417'!$E$5</f>
        <v/>
      </c>
      <c r="F24" s="8">
        <f>'balance_raw_89645417'!$F$5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'balance_raw_89645417'!$B$6</f>
        <v/>
      </c>
      <c r="C25" s="11">
        <f>'balance_raw_89645417'!$C$6</f>
        <v/>
      </c>
      <c r="D25" s="11">
        <f>'balance_raw_89645417'!$D$6</f>
        <v/>
      </c>
      <c r="E25" s="11">
        <f>'balance_raw_89645417'!$E$6</f>
        <v/>
      </c>
      <c r="F25" s="11">
        <f>'balance_raw_89645417'!$F$6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'balance_raw_89645417'!$B$7</f>
        <v/>
      </c>
      <c r="C26" s="5">
        <f>'balance_raw_89645417'!$C$7</f>
        <v/>
      </c>
      <c r="D26" s="5">
        <f>'balance_raw_89645417'!$D$7</f>
        <v/>
      </c>
      <c r="E26" s="5">
        <f>'balance_raw_89645417'!$E$7</f>
        <v/>
      </c>
      <c r="F26" s="5">
        <f>'balance_raw_89645417'!$F$7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'balance_raw_89645417'!$B$8</f>
        <v/>
      </c>
      <c r="C27" s="11">
        <f>'balance_raw_89645417'!$C$8</f>
        <v/>
      </c>
      <c r="D27" s="11">
        <f>'balance_raw_89645417'!$D$8</f>
        <v/>
      </c>
      <c r="E27" s="11">
        <f>'balance_raw_89645417'!$E$8</f>
        <v/>
      </c>
      <c r="F27" s="11">
        <f>'balance_raw_89645417'!$F$8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'balance_raw_89645417'!$B$9</f>
        <v/>
      </c>
      <c r="C28" s="5">
        <f>'balance_raw_89645417'!$C$9</f>
        <v/>
      </c>
      <c r="D28" s="5">
        <f>'balance_raw_89645417'!$D$9</f>
        <v/>
      </c>
      <c r="E28" s="5">
        <f>'balance_raw_89645417'!$E$9</f>
        <v/>
      </c>
      <c r="F28" s="5">
        <f>'balance_raw_89645417'!$F$9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'balance_raw_89645417'!$B$10</f>
        <v/>
      </c>
      <c r="C29" s="11">
        <f>'balance_raw_89645417'!$C$10</f>
        <v/>
      </c>
      <c r="D29" s="11">
        <f>'balance_raw_89645417'!$D$10</f>
        <v/>
      </c>
      <c r="E29" s="11">
        <f>'balance_raw_89645417'!$E$10</f>
        <v/>
      </c>
      <c r="F29" s="11">
        <f>'balance_raw_89645417'!$F$10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'balance_raw_89645417'!$B$11</f>
        <v/>
      </c>
      <c r="C30" s="8">
        <f>'balance_raw_89645417'!$C$11</f>
        <v/>
      </c>
      <c r="D30" s="8">
        <f>'balance_raw_89645417'!$D$11</f>
        <v/>
      </c>
      <c r="E30" s="8">
        <f>'balance_raw_89645417'!$E$11</f>
        <v/>
      </c>
      <c r="F30" s="8">
        <f>'balance_raw_89645417'!$F$11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'balance_raw_89645417'!$B$12</f>
        <v/>
      </c>
      <c r="C31" s="11">
        <f>'balance_raw_89645417'!$C$12</f>
        <v/>
      </c>
      <c r="D31" s="11">
        <f>'balance_raw_89645417'!$D$12</f>
        <v/>
      </c>
      <c r="E31" s="11">
        <f>'balance_raw_89645417'!$E$12</f>
        <v/>
      </c>
      <c r="F31" s="11">
        <f>'balance_raw_89645417'!$F$12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'balance_raw_89645417'!$B$13</f>
        <v/>
      </c>
      <c r="C32" s="5">
        <f>'balance_raw_89645417'!$C$13</f>
        <v/>
      </c>
      <c r="D32" s="5">
        <f>'balance_raw_89645417'!$D$13</f>
        <v/>
      </c>
      <c r="E32" s="5">
        <f>'balance_raw_89645417'!$E$13</f>
        <v/>
      </c>
      <c r="F32" s="5">
        <f>'balance_raw_89645417'!$F$13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'balance_raw_89645417'!$B$14</f>
        <v/>
      </c>
      <c r="C33" s="8">
        <f>'balance_raw_89645417'!$C$14</f>
        <v/>
      </c>
      <c r="D33" s="8">
        <f>'balance_raw_89645417'!$D$14</f>
        <v/>
      </c>
      <c r="E33" s="8">
        <f>'balance_raw_89645417'!$E$14</f>
        <v/>
      </c>
      <c r="F33" s="8">
        <f>'balance_raw_89645417'!$F$14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'balance_raw_89645417'!$B$15</f>
        <v/>
      </c>
      <c r="C34" s="8">
        <f>'balance_raw_89645417'!$C$15</f>
        <v/>
      </c>
      <c r="D34" s="8">
        <f>'balance_raw_89645417'!$D$15</f>
        <v/>
      </c>
      <c r="E34" s="8">
        <f>'balance_raw_89645417'!$E$15</f>
        <v/>
      </c>
      <c r="F34" s="8">
        <f>'balance_raw_89645417'!$F$15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'balance_raw_89645417'!$B$16</f>
        <v/>
      </c>
      <c r="C35" s="11">
        <f>'balance_raw_89645417'!$C$16</f>
        <v/>
      </c>
      <c r="D35" s="11">
        <f>'balance_raw_89645417'!$D$16</f>
        <v/>
      </c>
      <c r="E35" s="11">
        <f>'balance_raw_89645417'!$E$16</f>
        <v/>
      </c>
      <c r="F35" s="11">
        <f>'balance_raw_89645417'!$F$16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'balance_raw_89645417'!$B$17</f>
        <v/>
      </c>
      <c r="C36" s="5">
        <f>'balance_raw_89645417'!$C$17</f>
        <v/>
      </c>
      <c r="D36" s="5">
        <f>'balance_raw_89645417'!$D$17</f>
        <v/>
      </c>
      <c r="E36" s="5">
        <f>'balance_raw_89645417'!$E$17</f>
        <v/>
      </c>
      <c r="F36" s="5">
        <f>'balance_raw_89645417'!$F$17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'balance_raw_89645417'!$B$18</f>
        <v/>
      </c>
      <c r="C37" s="11">
        <f>'balance_raw_89645417'!$C$18</f>
        <v/>
      </c>
      <c r="D37" s="11">
        <f>'balance_raw_89645417'!$D$18</f>
        <v/>
      </c>
      <c r="E37" s="11">
        <f>'balance_raw_89645417'!$E$18</f>
        <v/>
      </c>
      <c r="F37" s="11">
        <f>'balance_raw_89645417'!$F$18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'balance_raw_89645417'!$B$19</f>
        <v/>
      </c>
      <c r="C38" s="8">
        <f>'balance_raw_89645417'!$C$19</f>
        <v/>
      </c>
      <c r="D38" s="8">
        <f>'balance_raw_89645417'!$D$19</f>
        <v/>
      </c>
      <c r="E38" s="8">
        <f>'balance_raw_89645417'!$E$19</f>
        <v/>
      </c>
      <c r="F38" s="8">
        <f>'balance_raw_89645417'!$F$19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'balance_raw_89645417'!$B$20</f>
        <v/>
      </c>
      <c r="C39" s="11">
        <f>'balance_raw_89645417'!$C$20</f>
        <v/>
      </c>
      <c r="D39" s="11">
        <f>'balance_raw_89645417'!$D$20</f>
        <v/>
      </c>
      <c r="E39" s="11">
        <f>'balance_raw_89645417'!$E$20</f>
        <v/>
      </c>
      <c r="F39" s="11">
        <f>'balance_raw_89645417'!$F$20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'balance_raw_89645417'!$B$21</f>
        <v/>
      </c>
      <c r="C40" s="5">
        <f>'balance_raw_89645417'!$C$21</f>
        <v/>
      </c>
      <c r="D40" s="5">
        <f>'balance_raw_89645417'!$D$21</f>
        <v/>
      </c>
      <c r="E40" s="5">
        <f>'balance_raw_89645417'!$E$21</f>
        <v/>
      </c>
      <c r="F40" s="5">
        <f>'balance_raw_89645417'!$F$21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'balance_raw_89645417'!$B$22</f>
        <v/>
      </c>
      <c r="C41" s="11">
        <f>'balance_raw_89645417'!$C$22</f>
        <v/>
      </c>
      <c r="D41" s="11">
        <f>'balance_raw_89645417'!$D$22</f>
        <v/>
      </c>
      <c r="E41" s="11">
        <f>'balance_raw_89645417'!$E$22</f>
        <v/>
      </c>
      <c r="F41" s="11">
        <f>'balance_raw_89645417'!$F$22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'balance_raw_89645417'!$B$23</f>
        <v/>
      </c>
      <c r="C42" s="5">
        <f>'balance_raw_89645417'!$C$23</f>
        <v/>
      </c>
      <c r="D42" s="5">
        <f>'balance_raw_89645417'!$D$23</f>
        <v/>
      </c>
      <c r="E42" s="5">
        <f>'balance_raw_89645417'!$E$23</f>
        <v/>
      </c>
      <c r="F42" s="5">
        <f>'balance_raw_89645417'!$F$23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'balance_raw_89645417'!$B$24</f>
        <v/>
      </c>
      <c r="C43" s="11">
        <f>'balance_raw_89645417'!$C$24</f>
        <v/>
      </c>
      <c r="D43" s="11">
        <f>'balance_raw_89645417'!$D$24</f>
        <v/>
      </c>
      <c r="E43" s="11">
        <f>'balance_raw_89645417'!$E$24</f>
        <v/>
      </c>
      <c r="F43" s="11">
        <f>'balance_raw_89645417'!$F$24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'balance_raw_89645417'!$B$25</f>
        <v/>
      </c>
      <c r="C44" s="5">
        <f>'balance_raw_89645417'!$C$25</f>
        <v/>
      </c>
      <c r="D44" s="5">
        <f>'balance_raw_89645417'!$D$25</f>
        <v/>
      </c>
      <c r="E44" s="5">
        <f>'balance_raw_89645417'!$E$25</f>
        <v/>
      </c>
      <c r="F44" s="5">
        <f>'balance_raw_89645417'!$F$25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'balance_raw_89645417'!$B$26</f>
        <v/>
      </c>
      <c r="C45" s="11">
        <f>'balance_raw_89645417'!$C$26</f>
        <v/>
      </c>
      <c r="D45" s="11">
        <f>'balance_raw_89645417'!$D$26</f>
        <v/>
      </c>
      <c r="E45" s="11">
        <f>'balance_raw_89645417'!$E$26</f>
        <v/>
      </c>
      <c r="F45" s="11">
        <f>'balance_raw_89645417'!$F$26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'balance_raw_89645417'!$B$27</f>
        <v/>
      </c>
      <c r="C46" s="8">
        <f>'balance_raw_89645417'!$C$27</f>
        <v/>
      </c>
      <c r="D46" s="8">
        <f>'balance_raw_89645417'!$D$27</f>
        <v/>
      </c>
      <c r="E46" s="8">
        <f>'balance_raw_89645417'!$E$27</f>
        <v/>
      </c>
      <c r="F46" s="8">
        <f>'balance_raw_89645417'!$F$27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'balance_raw_89645417'!$B$28</f>
        <v/>
      </c>
      <c r="C47" s="11">
        <f>'balance_raw_89645417'!$C$28</f>
        <v/>
      </c>
      <c r="D47" s="11">
        <f>'balance_raw_89645417'!$D$28</f>
        <v/>
      </c>
      <c r="E47" s="11">
        <f>'balance_raw_89645417'!$E$28</f>
        <v/>
      </c>
      <c r="F47" s="11">
        <f>'balance_raw_89645417'!$F$28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'balance_raw_89645417'!$B$29</f>
        <v/>
      </c>
      <c r="C48" s="5">
        <f>'balance_raw_89645417'!$C$29</f>
        <v/>
      </c>
      <c r="D48" s="5">
        <f>'balance_raw_89645417'!$D$29</f>
        <v/>
      </c>
      <c r="E48" s="5">
        <f>'balance_raw_89645417'!$E$29</f>
        <v/>
      </c>
      <c r="F48" s="5">
        <f>'balance_raw_89645417'!$F$29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'balance_raw_89645417'!$B$30</f>
        <v/>
      </c>
      <c r="C49" s="8">
        <f>'balance_raw_89645417'!$C$30</f>
        <v/>
      </c>
      <c r="D49" s="8">
        <f>'balance_raw_89645417'!$D$30</f>
        <v/>
      </c>
      <c r="E49" s="8">
        <f>'balance_raw_89645417'!$E$30</f>
        <v/>
      </c>
      <c r="F49" s="8">
        <f>'balance_raw_89645417'!$F$30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'balance_raw_89645417'!$B$31</f>
        <v/>
      </c>
      <c r="C50" s="8">
        <f>'balance_raw_89645417'!$C$31</f>
        <v/>
      </c>
      <c r="D50" s="8">
        <f>'balance_raw_89645417'!$D$31</f>
        <v/>
      </c>
      <c r="E50" s="8">
        <f>'balance_raw_89645417'!$E$31</f>
        <v/>
      </c>
      <c r="F50" s="8">
        <f>'balance_raw_89645417'!$F$31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'balance_raw_89645417'!$B$32</f>
        <v/>
      </c>
      <c r="C53" s="11">
        <f>'balance_raw_89645417'!$C$32</f>
        <v/>
      </c>
      <c r="D53" s="11">
        <f>'balance_raw_89645417'!$D$32</f>
        <v/>
      </c>
      <c r="E53" s="11">
        <f>'balance_raw_89645417'!$E$32</f>
        <v/>
      </c>
      <c r="F53" s="11">
        <f>'balance_raw_89645417'!$F$32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'balance_raw_89645417'!$B$33</f>
        <v/>
      </c>
      <c r="C54" s="5">
        <f>'balance_raw_89645417'!$C$33</f>
        <v/>
      </c>
      <c r="D54" s="5">
        <f>'balance_raw_89645417'!$D$33</f>
        <v/>
      </c>
      <c r="E54" s="5">
        <f>'balance_raw_89645417'!$E$33</f>
        <v/>
      </c>
      <c r="F54" s="5">
        <f>'balance_raw_89645417'!$F$33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'balance_raw_89645417'!$B$34</f>
        <v/>
      </c>
      <c r="C55" s="11">
        <f>'balance_raw_89645417'!$C$34</f>
        <v/>
      </c>
      <c r="D55" s="11">
        <f>'balance_raw_89645417'!$D$34</f>
        <v/>
      </c>
      <c r="E55" s="11">
        <f>'balance_raw_89645417'!$E$34</f>
        <v/>
      </c>
      <c r="F55" s="11">
        <f>'balance_raw_89645417'!$F$34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'balance_raw_89645417'!$B$35</f>
        <v/>
      </c>
      <c r="C56" s="5">
        <f>'balance_raw_89645417'!$C$35</f>
        <v/>
      </c>
      <c r="D56" s="5">
        <f>'balance_raw_89645417'!$D$35</f>
        <v/>
      </c>
      <c r="E56" s="5">
        <f>'balance_raw_89645417'!$E$35</f>
        <v/>
      </c>
      <c r="F56" s="5">
        <f>'balance_raw_89645417'!$F$35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'balance_raw_89645417'!$B$36</f>
        <v/>
      </c>
      <c r="C57" s="11">
        <f>'balance_raw_89645417'!$C$36</f>
        <v/>
      </c>
      <c r="D57" s="11">
        <f>'balance_raw_89645417'!$D$36</f>
        <v/>
      </c>
      <c r="E57" s="11">
        <f>'balance_raw_89645417'!$E$36</f>
        <v/>
      </c>
      <c r="F57" s="11">
        <f>'balance_raw_89645417'!$F$36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'balance_raw_89645417'!$B$37</f>
        <v/>
      </c>
      <c r="C58" s="5">
        <f>'balance_raw_89645417'!$C$37</f>
        <v/>
      </c>
      <c r="D58" s="5">
        <f>'balance_raw_89645417'!$D$37</f>
        <v/>
      </c>
      <c r="E58" s="5">
        <f>'balance_raw_89645417'!$E$37</f>
        <v/>
      </c>
      <c r="F58" s="5">
        <f>'balance_raw_89645417'!$F$37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'balance_raw_89645417'!$B$38</f>
        <v/>
      </c>
      <c r="C59" s="8">
        <f>'balance_raw_89645417'!$C$38</f>
        <v/>
      </c>
      <c r="D59" s="8">
        <f>'balance_raw_89645417'!$D$38</f>
        <v/>
      </c>
      <c r="E59" s="8">
        <f>'balance_raw_89645417'!$E$38</f>
        <v/>
      </c>
      <c r="F59" s="8">
        <f>'balance_raw_89645417'!$F$38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'balance_raw_89645417'!$B$39</f>
        <v/>
      </c>
      <c r="C60" s="5">
        <f>'balance_raw_89645417'!$C$39</f>
        <v/>
      </c>
      <c r="D60" s="5">
        <f>'balance_raw_89645417'!$D$39</f>
        <v/>
      </c>
      <c r="E60" s="5">
        <f>'balance_raw_89645417'!$E$39</f>
        <v/>
      </c>
      <c r="F60" s="5">
        <f>'balance_raw_89645417'!$F$39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'balance_raw_89645417'!$B$40</f>
        <v/>
      </c>
      <c r="C61" s="8">
        <f>'balance_raw_89645417'!$C$40</f>
        <v/>
      </c>
      <c r="D61" s="8">
        <f>'balance_raw_89645417'!$D$40</f>
        <v/>
      </c>
      <c r="E61" s="8">
        <f>'balance_raw_89645417'!$E$40</f>
        <v/>
      </c>
      <c r="F61" s="8">
        <f>'balance_raw_89645417'!$F$40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'balance_raw_89645417'!$B$41</f>
        <v/>
      </c>
      <c r="C62" s="5">
        <f>'balance_raw_89645417'!$C$41</f>
        <v/>
      </c>
      <c r="D62" s="5">
        <f>'balance_raw_89645417'!$D$41</f>
        <v/>
      </c>
      <c r="E62" s="5">
        <f>'balance_raw_89645417'!$E$41</f>
        <v/>
      </c>
      <c r="F62" s="5">
        <f>'balance_raw_89645417'!$F$41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'balance_raw_89645417'!$B$42</f>
        <v/>
      </c>
      <c r="C63" s="11">
        <f>'balance_raw_89645417'!$C$42</f>
        <v/>
      </c>
      <c r="D63" s="11">
        <f>'balance_raw_89645417'!$D$42</f>
        <v/>
      </c>
      <c r="E63" s="11">
        <f>'balance_raw_89645417'!$E$42</f>
        <v/>
      </c>
      <c r="F63" s="11">
        <f>'balance_raw_89645417'!$F$42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'balance_raw_89645417'!$B$43</f>
        <v/>
      </c>
      <c r="C64" s="5">
        <f>'balance_raw_89645417'!$C$43</f>
        <v/>
      </c>
      <c r="D64" s="5">
        <f>'balance_raw_89645417'!$D$43</f>
        <v/>
      </c>
      <c r="E64" s="5">
        <f>'balance_raw_89645417'!$E$43</f>
        <v/>
      </c>
      <c r="F64" s="5">
        <f>'balance_raw_89645417'!$F$43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'balance_raw_89645417'!$B$44</f>
        <v/>
      </c>
      <c r="C65" s="11">
        <f>'balance_raw_89645417'!$C$44</f>
        <v/>
      </c>
      <c r="D65" s="11">
        <f>'balance_raw_89645417'!$D$44</f>
        <v/>
      </c>
      <c r="E65" s="11">
        <f>'balance_raw_89645417'!$E$44</f>
        <v/>
      </c>
      <c r="F65" s="11">
        <f>'balance_raw_89645417'!$F$44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'balance_raw_89645417'!$B$45</f>
        <v/>
      </c>
      <c r="C66" s="8">
        <f>'balance_raw_89645417'!$C$45</f>
        <v/>
      </c>
      <c r="D66" s="8">
        <f>'balance_raw_89645417'!$D$45</f>
        <v/>
      </c>
      <c r="E66" s="8">
        <f>'balance_raw_89645417'!$E$45</f>
        <v/>
      </c>
      <c r="F66" s="8">
        <f>'balance_raw_89645417'!$F$45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'balance_raw_89645417'!$B$46</f>
        <v/>
      </c>
      <c r="C67" s="11">
        <f>'balance_raw_89645417'!$C$46</f>
        <v/>
      </c>
      <c r="D67" s="11">
        <f>'balance_raw_89645417'!$D$46</f>
        <v/>
      </c>
      <c r="E67" s="11">
        <f>'balance_raw_89645417'!$E$46</f>
        <v/>
      </c>
      <c r="F67" s="11">
        <f>'balance_raw_89645417'!$F$46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'balance_raw_89645417'!$B$47</f>
        <v/>
      </c>
      <c r="C68" s="5">
        <f>'balance_raw_89645417'!$C$47</f>
        <v/>
      </c>
      <c r="D68" s="5">
        <f>'balance_raw_89645417'!$D$47</f>
        <v/>
      </c>
      <c r="E68" s="5">
        <f>'balance_raw_89645417'!$E$47</f>
        <v/>
      </c>
      <c r="F68" s="5">
        <f>'balance_raw_89645417'!$F$47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'balance_raw_89645417'!$B$48</f>
        <v/>
      </c>
      <c r="C69" s="11">
        <f>'balance_raw_89645417'!$C$48</f>
        <v/>
      </c>
      <c r="D69" s="11">
        <f>'balance_raw_89645417'!$D$48</f>
        <v/>
      </c>
      <c r="E69" s="11">
        <f>'balance_raw_89645417'!$E$48</f>
        <v/>
      </c>
      <c r="F69" s="11">
        <f>'balance_raw_89645417'!$F$48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'balance_raw_89645417'!$B$49</f>
        <v/>
      </c>
      <c r="C70" s="5">
        <f>'balance_raw_89645417'!$C$49</f>
        <v/>
      </c>
      <c r="D70" s="5">
        <f>'balance_raw_89645417'!$D$49</f>
        <v/>
      </c>
      <c r="E70" s="5">
        <f>'balance_raw_89645417'!$E$49</f>
        <v/>
      </c>
      <c r="F70" s="5">
        <f>'balance_raw_89645417'!$F$49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'balance_raw_89645417'!$B$50</f>
        <v/>
      </c>
      <c r="C71" s="11">
        <f>'balance_raw_89645417'!$C$50</f>
        <v/>
      </c>
      <c r="D71" s="11">
        <f>'balance_raw_89645417'!$D$50</f>
        <v/>
      </c>
      <c r="E71" s="11">
        <f>'balance_raw_89645417'!$E$50</f>
        <v/>
      </c>
      <c r="F71" s="11">
        <f>'balance_raw_89645417'!$F$50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'balance_raw_89645417'!$B$51</f>
        <v/>
      </c>
      <c r="C72" s="5">
        <f>'balance_raw_89645417'!$C$51</f>
        <v/>
      </c>
      <c r="D72" s="5">
        <f>'balance_raw_89645417'!$D$51</f>
        <v/>
      </c>
      <c r="E72" s="5">
        <f>'balance_raw_89645417'!$E$51</f>
        <v/>
      </c>
      <c r="F72" s="5">
        <f>'balance_raw_89645417'!$F$51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'balance_raw_89645417'!$B$52</f>
        <v/>
      </c>
      <c r="C73" s="11">
        <f>'balance_raw_89645417'!$C$52</f>
        <v/>
      </c>
      <c r="D73" s="11">
        <f>'balance_raw_89645417'!$D$52</f>
        <v/>
      </c>
      <c r="E73" s="11">
        <f>'balance_raw_89645417'!$E$52</f>
        <v/>
      </c>
      <c r="F73" s="11">
        <f>'balance_raw_89645417'!$F$52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'balance_raw_89645417'!$B$53</f>
        <v/>
      </c>
      <c r="C74" s="5">
        <f>'balance_raw_89645417'!$C$53</f>
        <v/>
      </c>
      <c r="D74" s="5">
        <f>'balance_raw_89645417'!$D$53</f>
        <v/>
      </c>
      <c r="E74" s="5">
        <f>'balance_raw_89645417'!$E$53</f>
        <v/>
      </c>
      <c r="F74" s="5">
        <f>'balance_raw_89645417'!$F$53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'balance_raw_89645417'!$B$54</f>
        <v/>
      </c>
      <c r="C75" s="11">
        <f>'balance_raw_89645417'!$C$54</f>
        <v/>
      </c>
      <c r="D75" s="11">
        <f>'balance_raw_89645417'!$D$54</f>
        <v/>
      </c>
      <c r="E75" s="11">
        <f>'balance_raw_89645417'!$E$54</f>
        <v/>
      </c>
      <c r="F75" s="11">
        <f>'balance_raw_89645417'!$F$54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'balance_raw_89645417'!$B$55</f>
        <v/>
      </c>
      <c r="C76" s="5">
        <f>'balance_raw_89645417'!$C$55</f>
        <v/>
      </c>
      <c r="D76" s="5">
        <f>'balance_raw_89645417'!$D$55</f>
        <v/>
      </c>
      <c r="E76" s="5">
        <f>'balance_raw_89645417'!$E$55</f>
        <v/>
      </c>
      <c r="F76" s="5">
        <f>'balance_raw_89645417'!$F$55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'balance_raw_89645417'!$B$56</f>
        <v/>
      </c>
      <c r="C77" s="11">
        <f>'balance_raw_89645417'!$C$56</f>
        <v/>
      </c>
      <c r="D77" s="11">
        <f>'balance_raw_89645417'!$D$56</f>
        <v/>
      </c>
      <c r="E77" s="11">
        <f>'balance_raw_89645417'!$E$56</f>
        <v/>
      </c>
      <c r="F77" s="11">
        <f>'balance_raw_89645417'!$F$56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'balance_raw_89645417'!$B$57</f>
        <v/>
      </c>
      <c r="C78" s="8">
        <f>'balance_raw_89645417'!$C$57</f>
        <v/>
      </c>
      <c r="D78" s="8">
        <f>'balance_raw_89645417'!$D$57</f>
        <v/>
      </c>
      <c r="E78" s="8">
        <f>'balance_raw_89645417'!$E$57</f>
        <v/>
      </c>
      <c r="F78" s="8">
        <f>'balance_raw_89645417'!$F$57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'balance_raw_89645417'!$B$58</f>
        <v/>
      </c>
      <c r="C79" s="8">
        <f>'balance_raw_89645417'!$C$58</f>
        <v/>
      </c>
      <c r="D79" s="8">
        <f>'balance_raw_89645417'!$D$58</f>
        <v/>
      </c>
      <c r="E79" s="8">
        <f>'balance_raw_89645417'!$E$58</f>
        <v/>
      </c>
      <c r="F79" s="8">
        <f>'balance_raw_89645417'!$F$58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'balance_raw_89645417'!$B$59</f>
        <v/>
      </c>
      <c r="C80" s="8">
        <f>'balance_raw_89645417'!$C$59</f>
        <v/>
      </c>
      <c r="D80" s="8">
        <f>'balance_raw_89645417'!$D$59</f>
        <v/>
      </c>
      <c r="E80" s="8">
        <f>'balance_raw_89645417'!$E$59</f>
        <v/>
      </c>
      <c r="F80" s="8">
        <f>'balance_raw_89645417'!$F$59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'res_raw_89645417'!$B$17</f>
        <v/>
      </c>
      <c r="C83" s="11">
        <f>'res_raw_89645417'!$C$17</f>
        <v/>
      </c>
      <c r="D83" s="11">
        <f>'res_raw_89645417'!$D$17</f>
        <v/>
      </c>
      <c r="E83" s="11">
        <f>'res_raw_89645417'!$E$17</f>
        <v/>
      </c>
      <c r="F83" s="11">
        <f>'res_raw_89645417'!$F$17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'res_raw_89645417'!$B$18</f>
        <v/>
      </c>
      <c r="C84" s="5">
        <f>'res_raw_89645417'!$C$18</f>
        <v/>
      </c>
      <c r="D84" s="5">
        <f>'res_raw_89645417'!$D$18</f>
        <v/>
      </c>
      <c r="E84" s="5">
        <f>'res_raw_89645417'!$E$18</f>
        <v/>
      </c>
      <c r="F84" s="5">
        <f>'res_raw_89645417'!$F$18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'pengestrom_raw_89645417'!$B$2</f>
        <v/>
      </c>
      <c r="C100" s="17">
        <f>'pengestrom_raw_89645417'!$C$2</f>
        <v/>
      </c>
      <c r="D100" s="17">
        <f>'pengestrom_raw_89645417'!$D$2</f>
        <v/>
      </c>
      <c r="E100" s="17">
        <f>'pengestrom_raw_89645417'!$E$2</f>
        <v/>
      </c>
      <c r="F100" s="17">
        <f>'pengestrom_raw_89645417'!$F$2</f>
        <v/>
      </c>
    </row>
    <row r="101">
      <c r="A101" s="16" t="inlineStr">
        <is>
          <t>Pengestrømme fra investeringsaktivitet</t>
        </is>
      </c>
      <c r="B101" s="17">
        <f>'pengestrom_raw_89645417'!$B$3</f>
        <v/>
      </c>
      <c r="C101" s="17">
        <f>'pengestrom_raw_89645417'!$C$3</f>
        <v/>
      </c>
      <c r="D101" s="17">
        <f>'pengestrom_raw_89645417'!$D$3</f>
        <v/>
      </c>
      <c r="E101" s="17">
        <f>'pengestrom_raw_89645417'!$E$3</f>
        <v/>
      </c>
      <c r="F101" s="17">
        <f>'pengestrom_raw_89645417'!$F$3</f>
        <v/>
      </c>
    </row>
    <row r="102">
      <c r="A102" s="16" t="inlineStr">
        <is>
          <t>Pengestrømme fra finansieringsaktivitet</t>
        </is>
      </c>
      <c r="B102" s="17">
        <f>'pengestrom_raw_89645417'!$B$4</f>
        <v/>
      </c>
      <c r="C102" s="17">
        <f>'pengestrom_raw_89645417'!$C$4</f>
        <v/>
      </c>
      <c r="D102" s="17">
        <f>'pengestrom_raw_89645417'!$D$4</f>
        <v/>
      </c>
      <c r="E102" s="17">
        <f>'pengestrom_raw_89645417'!$E$4</f>
        <v/>
      </c>
      <c r="F102" s="17">
        <f>'pengestrom_raw_89645417'!$F$4</f>
        <v/>
      </c>
    </row>
    <row r="103">
      <c r="A103" s="16" t="inlineStr">
        <is>
          <t>Årets pengestrøm (rapporteret)</t>
        </is>
      </c>
      <c r="B103" s="17">
        <f>'pengestrom_raw_89645417'!$B$5</f>
        <v/>
      </c>
      <c r="C103" s="17">
        <f>'pengestrom_raw_89645417'!$C$5</f>
        <v/>
      </c>
      <c r="D103" s="17">
        <f>'pengestrom_raw_89645417'!$D$5</f>
        <v/>
      </c>
      <c r="E103" s="17">
        <f>'pengestrom_raw_89645417'!$E$5</f>
        <v/>
      </c>
      <c r="F103" s="17">
        <f>'pengestrom_raw_89645417'!$F$5</f>
        <v/>
      </c>
    </row>
    <row r="104">
      <c r="A104" s="16" t="inlineStr">
        <is>
          <t>Krydstjek: drift + inv. + fin. = årets pengestrøm</t>
        </is>
      </c>
      <c r="B104">
        <f>IF(ABS(('pengestrom_raw_89645417'!$B$2+'pengestrom_raw_89645417'!$B$3+'pengestrom_raw_89645417'!$B$4)-'pengestrom_raw_89645417'!$B$5)&lt;=2,"✓","⚠ "&amp;TEXT(('pengestrom_raw_89645417'!$B$2+'pengestrom_raw_89645417'!$B$3+'pengestrom_raw_89645417'!$B$4)-'pengestrom_raw_89645417'!$B$5,"+#,##0;-#,##0"))</f>
        <v/>
      </c>
      <c r="C104">
        <f>IF(ABS(('pengestrom_raw_89645417'!$C$2+'pengestrom_raw_89645417'!$C$3+'pengestrom_raw_89645417'!$C$4)-'pengestrom_raw_89645417'!$C$5)&lt;=2,"✓","⚠ "&amp;TEXT(('pengestrom_raw_89645417'!$C$2+'pengestrom_raw_89645417'!$C$3+'pengestrom_raw_89645417'!$C$4)-'pengestrom_raw_89645417'!$C$5,"+#,##0;-#,##0"))</f>
        <v/>
      </c>
      <c r="D104">
        <f>IF(ABS(('pengestrom_raw_89645417'!$D$2+'pengestrom_raw_89645417'!$D$3+'pengestrom_raw_89645417'!$D$4)-'pengestrom_raw_89645417'!$D$5)&lt;=2,"✓","⚠ "&amp;TEXT(('pengestrom_raw_89645417'!$D$2+'pengestrom_raw_89645417'!$D$3+'pengestrom_raw_89645417'!$D$4)-'pengestrom_raw_89645417'!$D$5,"+#,##0;-#,##0"))</f>
        <v/>
      </c>
      <c r="E104">
        <f>IF(ABS(('pengestrom_raw_89645417'!$E$2+'pengestrom_raw_89645417'!$E$3+'pengestrom_raw_89645417'!$E$4)-'pengestrom_raw_89645417'!$E$5)&lt;=2,"✓","⚠ "&amp;TEXT(('pengestrom_raw_89645417'!$E$2+'pengestrom_raw_89645417'!$E$3+'pengestrom_raw_89645417'!$E$4)-'pengestrom_raw_89645417'!$E$5,"+#,##0;-#,##0"))</f>
        <v/>
      </c>
      <c r="F104">
        <f>IF(ABS(('pengestrom_raw_89645417'!$F$2+'pengestrom_raw_89645417'!$F$3+'pengestrom_raw_89645417'!$F$4)-'pengestrom_raw_89645417'!$F$5)&lt;=2,"✓","⚠ "&amp;TEXT(('pengestrom_raw_89645417'!$F$2+'pengestrom_raw_89645417'!$F$3+'pengestrom_raw_89645417'!$F$4)-'pengestrom_raw_89645417'!$F$5,"+#,##0;-#,##0"))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Nobia Denmark A/S (CVR 89645417)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3258952</v>
      </c>
      <c r="C2" s="17" t="n">
        <v>3363758</v>
      </c>
      <c r="D2" s="17" t="n">
        <v>2718603</v>
      </c>
      <c r="E2" s="17" t="n">
        <v>2515224</v>
      </c>
      <c r="F2" s="17" t="n">
        <v>2623755</v>
      </c>
    </row>
    <row r="3">
      <c r="A3" s="16" t="inlineStr">
        <is>
          <t>Produktionsomkostninger</t>
        </is>
      </c>
      <c r="B3" s="17" t="n"/>
      <c r="C3" s="17" t="n"/>
      <c r="D3" s="17" t="n"/>
      <c r="E3" s="17" t="n"/>
      <c r="F3" s="17" t="n"/>
    </row>
    <row r="4">
      <c r="A4" s="15" t="inlineStr">
        <is>
          <t>Bruttoresultat</t>
        </is>
      </c>
      <c r="B4" s="17" t="n">
        <v>1234188</v>
      </c>
      <c r="C4" s="17" t="n">
        <v>1197074</v>
      </c>
      <c r="D4" s="17" t="n">
        <v>1005764</v>
      </c>
      <c r="E4" s="17" t="n">
        <v>1021172</v>
      </c>
      <c r="F4" s="17" t="n">
        <v>1059786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>
        <v>1208</v>
      </c>
      <c r="C7" s="17" t="n">
        <v>20469</v>
      </c>
      <c r="D7" s="17" t="n">
        <v>34655</v>
      </c>
      <c r="E7" s="17" t="n">
        <v>15978</v>
      </c>
      <c r="F7" s="17" t="n">
        <v>8258</v>
      </c>
    </row>
    <row r="8">
      <c r="A8" s="16" t="inlineStr">
        <is>
          <t>Andre driftsomkostninger</t>
        </is>
      </c>
      <c r="B8" s="17" t="n">
        <v>9846</v>
      </c>
      <c r="C8" s="17" t="n">
        <v>8157</v>
      </c>
      <c r="D8" s="17" t="n">
        <v>11835</v>
      </c>
      <c r="E8" s="17" t="n">
        <v>3517</v>
      </c>
      <c r="F8" s="17" t="n">
        <v>8084</v>
      </c>
    </row>
    <row r="9">
      <c r="A9" s="15" t="inlineStr">
        <is>
          <t>Resultat af primær drift</t>
        </is>
      </c>
      <c r="B9" s="17" t="n">
        <v>460149</v>
      </c>
      <c r="C9" s="17" t="n">
        <v>373367</v>
      </c>
      <c r="D9" s="17" t="n">
        <v>279218</v>
      </c>
      <c r="E9" s="17" t="n">
        <v>353475</v>
      </c>
      <c r="F9" s="17" t="n">
        <v>380750</v>
      </c>
    </row>
    <row r="10">
      <c r="A10" s="16" t="inlineStr">
        <is>
          <t>Indtægter af kapitalandele, dattervirksomheder</t>
        </is>
      </c>
      <c r="B10" s="17" t="n">
        <v>-21</v>
      </c>
      <c r="C10" s="17" t="n">
        <v>-199</v>
      </c>
      <c r="D10" s="17" t="n">
        <v>89</v>
      </c>
      <c r="E10" s="17" t="n">
        <v>131</v>
      </c>
      <c r="F10" s="17" t="n">
        <v>-27</v>
      </c>
    </row>
    <row r="11">
      <c r="A11" s="16" t="inlineStr">
        <is>
          <t>Finansielle indtægter</t>
        </is>
      </c>
      <c r="B11" s="17" t="n">
        <v>2056</v>
      </c>
      <c r="C11" s="17" t="n">
        <v>6265</v>
      </c>
      <c r="D11" s="17" t="n">
        <v>23571</v>
      </c>
      <c r="E11" s="17" t="n">
        <v>17143</v>
      </c>
      <c r="F11" s="17" t="n">
        <v>15960</v>
      </c>
    </row>
    <row r="12">
      <c r="A12" s="16" t="inlineStr">
        <is>
          <t>Finansielle omkostninger</t>
        </is>
      </c>
      <c r="B12" s="17" t="n">
        <v>4903</v>
      </c>
      <c r="C12" s="17" t="n">
        <v>13282</v>
      </c>
      <c r="D12" s="17" t="n">
        <v>16429</v>
      </c>
      <c r="E12" s="17" t="n">
        <v>12779</v>
      </c>
      <c r="F12" s="17" t="n">
        <v>16379</v>
      </c>
    </row>
    <row r="13">
      <c r="A13" s="15" t="inlineStr">
        <is>
          <t>Finansielle poster, netto</t>
        </is>
      </c>
      <c r="B13" s="17" t="n">
        <v>-3000</v>
      </c>
      <c r="C13" s="17" t="n">
        <v>-7000</v>
      </c>
      <c r="D13" s="17" t="n">
        <v>7000</v>
      </c>
      <c r="E13" s="17" t="n">
        <v>4000</v>
      </c>
      <c r="F13" s="17" t="n">
        <v>0</v>
      </c>
    </row>
    <row r="14">
      <c r="A14" s="15" t="inlineStr">
        <is>
          <t>Resultat før skat</t>
        </is>
      </c>
      <c r="B14" s="17" t="n">
        <v>457281</v>
      </c>
      <c r="C14" s="17" t="n">
        <v>366151</v>
      </c>
      <c r="D14" s="17" t="n">
        <v>286449</v>
      </c>
      <c r="E14" s="17" t="n">
        <v>357970</v>
      </c>
      <c r="F14" s="17" t="n">
        <v>380304</v>
      </c>
    </row>
    <row r="15">
      <c r="A15" s="16" t="inlineStr">
        <is>
          <t>Skat af årets resultat</t>
        </is>
      </c>
      <c r="B15" s="17" t="n">
        <v>101820</v>
      </c>
      <c r="C15" s="17" t="n">
        <v>82109</v>
      </c>
      <c r="D15" s="17" t="n">
        <v>62068</v>
      </c>
      <c r="E15" s="17" t="n">
        <v>79118</v>
      </c>
      <c r="F15" s="17" t="n">
        <v>84075</v>
      </c>
    </row>
    <row r="16">
      <c r="A16" s="15" t="inlineStr">
        <is>
          <t>Årets resultat</t>
        </is>
      </c>
      <c r="B16" s="17" t="n">
        <v>355461</v>
      </c>
      <c r="C16" s="17" t="n">
        <v>284042</v>
      </c>
      <c r="D16" s="17" t="n">
        <v>224381</v>
      </c>
      <c r="E16" s="17" t="n">
        <v>278852</v>
      </c>
      <c r="F16" s="17" t="n">
        <v>296229</v>
      </c>
    </row>
    <row r="17">
      <c r="A17" s="16" t="inlineStr">
        <is>
          <t>Gns. antal medarbejdere</t>
        </is>
      </c>
      <c r="B17" s="17" t="n">
        <v>1256</v>
      </c>
      <c r="C17" s="17" t="n">
        <v>1335</v>
      </c>
      <c r="D17" s="17" t="n">
        <v>1175</v>
      </c>
      <c r="E17" s="17" t="n">
        <v>1058</v>
      </c>
      <c r="F17" s="17" t="n">
        <v>1030</v>
      </c>
    </row>
    <row r="18">
      <c r="A18" s="16" t="inlineStr">
        <is>
          <t>Investering i materielle anlægsaktiver</t>
        </is>
      </c>
      <c r="B18" s="17" t="n">
        <v>70000</v>
      </c>
      <c r="C18" s="17" t="n">
        <v>43000</v>
      </c>
      <c r="D18" s="17" t="n">
        <v>17000</v>
      </c>
      <c r="E18" s="17" t="n">
        <v>11000</v>
      </c>
      <c r="F18" s="17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Nobia Denmark A/S (CVR 89645417)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</row>
    <row r="3">
      <c r="A3" s="16" t="inlineStr">
        <is>
          <t>Patenter, varemærker mv.</t>
        </is>
      </c>
      <c r="B3" s="17" t="n">
        <v>4939</v>
      </c>
      <c r="C3" s="17" t="n">
        <v>7607</v>
      </c>
      <c r="D3" s="17" t="n">
        <v>6028</v>
      </c>
      <c r="E3" s="17" t="n">
        <v>4397</v>
      </c>
      <c r="F3" s="17" t="n">
        <v>2721</v>
      </c>
    </row>
    <row r="4">
      <c r="A4" s="16" t="inlineStr">
        <is>
          <t>Goodwill</t>
        </is>
      </c>
      <c r="B4" s="17" t="n">
        <v>940</v>
      </c>
      <c r="C4" s="17" t="n">
        <v>0</v>
      </c>
      <c r="D4" s="17" t="n">
        <v>0</v>
      </c>
      <c r="E4" s="17" t="n">
        <v>0</v>
      </c>
      <c r="F4" s="17" t="n">
        <v>0</v>
      </c>
    </row>
    <row r="5">
      <c r="A5" s="15" t="inlineStr">
        <is>
          <t>Immaterielle anlægsaktiver</t>
        </is>
      </c>
      <c r="B5" s="17" t="n">
        <v>5879</v>
      </c>
      <c r="C5" s="17" t="n">
        <v>7607</v>
      </c>
      <c r="D5" s="17" t="n">
        <v>6028</v>
      </c>
      <c r="E5" s="17" t="n">
        <v>4397</v>
      </c>
      <c r="F5" s="17" t="n">
        <v>2721</v>
      </c>
    </row>
    <row r="6">
      <c r="A6" s="16" t="inlineStr">
        <is>
          <t>Grunde og bygninger</t>
        </is>
      </c>
      <c r="B6" s="17" t="n">
        <v>77460</v>
      </c>
      <c r="C6" s="17" t="n">
        <v>76516</v>
      </c>
      <c r="D6" s="17" t="n">
        <v>68266</v>
      </c>
      <c r="E6" s="17" t="n">
        <v>60988</v>
      </c>
      <c r="F6" s="17" t="n">
        <v>52649</v>
      </c>
    </row>
    <row r="7">
      <c r="A7" s="16" t="inlineStr">
        <is>
          <t>Produktionsanlæg og maskiner</t>
        </is>
      </c>
      <c r="B7" s="17" t="n">
        <v>57587</v>
      </c>
      <c r="C7" s="17" t="n">
        <v>59170</v>
      </c>
      <c r="D7" s="17" t="n">
        <v>54306</v>
      </c>
      <c r="E7" s="17" t="n">
        <v>44393</v>
      </c>
      <c r="F7" s="17" t="n">
        <v>39579</v>
      </c>
    </row>
    <row r="8">
      <c r="A8" s="16" t="inlineStr">
        <is>
          <t>Driftsmateriel og inventar</t>
        </is>
      </c>
      <c r="B8" s="17" t="n">
        <v>75830</v>
      </c>
      <c r="C8" s="17" t="n">
        <v>77799</v>
      </c>
      <c r="D8" s="17" t="n">
        <v>64838</v>
      </c>
      <c r="E8" s="17" t="n">
        <v>47391</v>
      </c>
      <c r="F8" s="17" t="n">
        <v>45416</v>
      </c>
    </row>
    <row r="9">
      <c r="A9" s="16" t="inlineStr">
        <is>
          <t>Indretning af lejede lokaler</t>
        </is>
      </c>
      <c r="B9" s="17" t="n">
        <v>13109</v>
      </c>
      <c r="C9" s="17" t="n">
        <v>8489</v>
      </c>
      <c r="D9" s="17" t="n">
        <v>6797</v>
      </c>
      <c r="E9" s="17" t="n">
        <v>9986</v>
      </c>
      <c r="F9" s="17" t="n">
        <v>6912</v>
      </c>
    </row>
    <row r="10">
      <c r="A10" s="16" t="inlineStr">
        <is>
          <t>Forudbetaling og anlægsaktiver under opførelse</t>
        </is>
      </c>
      <c r="B10" s="17" t="n">
        <v>23002</v>
      </c>
      <c r="C10" s="17" t="n">
        <v>15088</v>
      </c>
      <c r="D10" s="17" t="n">
        <v>14095</v>
      </c>
      <c r="E10" s="17" t="n">
        <v>15147</v>
      </c>
      <c r="F10" s="17" t="n">
        <v>13547</v>
      </c>
    </row>
    <row r="11">
      <c r="A11" s="15" t="inlineStr">
        <is>
          <t>Materielle anlægsaktiver</t>
        </is>
      </c>
      <c r="B11" s="17" t="n">
        <v>246988</v>
      </c>
      <c r="C11" s="17" t="n">
        <v>237062</v>
      </c>
      <c r="D11" s="17" t="n">
        <v>208302</v>
      </c>
      <c r="E11" s="17" t="n">
        <v>177905</v>
      </c>
      <c r="F11" s="17" t="n">
        <v>158103</v>
      </c>
    </row>
    <row r="12">
      <c r="A12" s="16" t="inlineStr">
        <is>
          <t>Kapitalandele, dattervirksomheder</t>
        </is>
      </c>
      <c r="B12" s="17" t="n">
        <v>10387</v>
      </c>
      <c r="C12" s="17" t="n">
        <v>5113</v>
      </c>
      <c r="D12" s="17" t="n">
        <v>2195</v>
      </c>
      <c r="E12" s="17" t="n">
        <v>1651</v>
      </c>
      <c r="F12" s="17" t="n">
        <v>1839</v>
      </c>
    </row>
    <row r="13">
      <c r="A13" s="16" t="inlineStr">
        <is>
          <t>Deposita</t>
        </is>
      </c>
      <c r="B13" s="17" t="n">
        <v>20818</v>
      </c>
      <c r="C13" s="17" t="n">
        <v>20744</v>
      </c>
      <c r="D13" s="17" t="n">
        <v>19747</v>
      </c>
      <c r="E13" s="17" t="n">
        <v>18710</v>
      </c>
      <c r="F13" s="17" t="n">
        <v>19910</v>
      </c>
    </row>
    <row r="14">
      <c r="A14" s="15" t="inlineStr">
        <is>
          <t>Finansielle anlægsaktiver</t>
        </is>
      </c>
      <c r="B14" s="17" t="n">
        <v>39359</v>
      </c>
      <c r="C14" s="17" t="n">
        <v>37650</v>
      </c>
      <c r="D14" s="17" t="n">
        <v>32431</v>
      </c>
      <c r="E14" s="17" t="n">
        <v>31207</v>
      </c>
      <c r="F14" s="17" t="n">
        <v>26085</v>
      </c>
    </row>
    <row r="15">
      <c r="A15" s="15" t="inlineStr">
        <is>
          <t>Anlægsaktiver</t>
        </is>
      </c>
      <c r="B15" s="17" t="n">
        <v>292226</v>
      </c>
      <c r="C15" s="17" t="n">
        <v>282319</v>
      </c>
      <c r="D15" s="17" t="n">
        <v>246761</v>
      </c>
      <c r="E15" s="17" t="n">
        <v>213509</v>
      </c>
      <c r="F15" s="17" t="n">
        <v>186909</v>
      </c>
    </row>
    <row r="16">
      <c r="A16" s="16" t="inlineStr">
        <is>
          <t>Råvarer og hjælpematerialer</t>
        </is>
      </c>
      <c r="B16" s="17" t="n">
        <v>102135</v>
      </c>
      <c r="C16" s="17" t="n">
        <v>119142</v>
      </c>
      <c r="D16" s="17" t="n">
        <v>86170</v>
      </c>
      <c r="E16" s="17" t="n">
        <v>72687</v>
      </c>
      <c r="F16" s="17" t="n">
        <v>72464</v>
      </c>
    </row>
    <row r="17">
      <c r="A17" s="16" t="inlineStr">
        <is>
          <t>Varer under fremstilling</t>
        </is>
      </c>
      <c r="B17" s="17" t="n">
        <v>25704</v>
      </c>
      <c r="C17" s="17" t="n">
        <v>27820</v>
      </c>
      <c r="D17" s="17" t="n">
        <v>21507</v>
      </c>
      <c r="E17" s="17" t="n">
        <v>20397</v>
      </c>
      <c r="F17" s="17" t="n">
        <v>21498</v>
      </c>
    </row>
    <row r="18">
      <c r="A18" s="16" t="inlineStr">
        <is>
          <t>Færdigvarer og handelsvarer</t>
        </is>
      </c>
      <c r="B18" s="17" t="n">
        <v>24156</v>
      </c>
      <c r="C18" s="17" t="n">
        <v>24679</v>
      </c>
      <c r="D18" s="17" t="n">
        <v>23747</v>
      </c>
      <c r="E18" s="17" t="n">
        <v>24648</v>
      </c>
      <c r="F18" s="17" t="n">
        <v>26722</v>
      </c>
    </row>
    <row r="19">
      <c r="A19" s="15" t="inlineStr">
        <is>
          <t>Varebeholdninger</t>
        </is>
      </c>
      <c r="B19" s="17" t="n">
        <v>151995</v>
      </c>
      <c r="C19" s="17" t="n">
        <v>171641</v>
      </c>
      <c r="D19" s="17" t="n">
        <v>131424</v>
      </c>
      <c r="E19" s="17" t="n">
        <v>117732</v>
      </c>
      <c r="F19" s="17" t="n">
        <v>120684</v>
      </c>
    </row>
    <row r="20">
      <c r="A20" s="16" t="inlineStr">
        <is>
          <t>Tilgodehavender fra salg og tjenesteydelser</t>
        </is>
      </c>
      <c r="B20" s="17" t="n">
        <v>200464</v>
      </c>
      <c r="C20" s="17" t="n">
        <v>238023</v>
      </c>
      <c r="D20" s="17" t="n">
        <v>193170</v>
      </c>
      <c r="E20" s="17" t="n">
        <v>153770</v>
      </c>
      <c r="F20" s="17" t="n">
        <v>141342</v>
      </c>
    </row>
    <row r="21">
      <c r="A21" s="16" t="inlineStr">
        <is>
          <t>Tilgodehavender hos tilknyttede virksomheder</t>
        </is>
      </c>
      <c r="B21" s="17" t="n">
        <v>605502</v>
      </c>
      <c r="C21" s="17" t="n">
        <v>418969</v>
      </c>
      <c r="D21" s="17" t="n">
        <v>400111</v>
      </c>
      <c r="E21" s="17" t="n">
        <v>412928</v>
      </c>
      <c r="F21" s="17" t="n">
        <v>607824</v>
      </c>
    </row>
    <row r="22">
      <c r="A22" s="16" t="inlineStr">
        <is>
          <t>Andre tilgodehavender</t>
        </is>
      </c>
      <c r="B22" s="17" t="n">
        <v>91308</v>
      </c>
      <c r="C22" s="17" t="n">
        <v>105258</v>
      </c>
      <c r="D22" s="17" t="n">
        <v>79662</v>
      </c>
      <c r="E22" s="17" t="n">
        <v>59093</v>
      </c>
      <c r="F22" s="17" t="n">
        <v>68164</v>
      </c>
    </row>
    <row r="23">
      <c r="A23" s="16" t="inlineStr">
        <is>
          <t>Periodeafgrænsningsposter (aktiver)</t>
        </is>
      </c>
      <c r="B23" s="17" t="n">
        <v>700</v>
      </c>
      <c r="C23" s="17" t="n">
        <v>616</v>
      </c>
      <c r="D23" s="17" t="n">
        <v>3291</v>
      </c>
      <c r="E23" s="17" t="n">
        <v>0</v>
      </c>
      <c r="F23" s="17" t="n"/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0</v>
      </c>
      <c r="C26" s="17" t="n">
        <v>22387</v>
      </c>
      <c r="D26" s="17" t="n">
        <v>0</v>
      </c>
      <c r="E26" s="17" t="n"/>
      <c r="F26" s="17" t="n"/>
    </row>
    <row r="27">
      <c r="A27" s="15" t="inlineStr">
        <is>
          <t>Tilgodehavender</t>
        </is>
      </c>
      <c r="B27" s="17" t="n">
        <v>897974</v>
      </c>
      <c r="C27" s="17" t="n">
        <v>785253</v>
      </c>
      <c r="D27" s="17" t="n">
        <v>676234</v>
      </c>
      <c r="E27" s="17" t="n">
        <v>625791</v>
      </c>
      <c r="F27" s="17" t="n">
        <v>817330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20584</v>
      </c>
      <c r="C29" s="17" t="n">
        <v>17467</v>
      </c>
      <c r="D29" s="17" t="n">
        <v>11165</v>
      </c>
      <c r="E29" s="17" t="n">
        <v>11500</v>
      </c>
      <c r="F29" s="17" t="n">
        <v>3973</v>
      </c>
    </row>
    <row r="30">
      <c r="A30" s="15" t="inlineStr">
        <is>
          <t>Omsætningsaktiver</t>
        </is>
      </c>
      <c r="B30" s="17" t="n">
        <v>1070553</v>
      </c>
      <c r="C30" s="17" t="n">
        <v>974361</v>
      </c>
      <c r="D30" s="17" t="n">
        <v>818823</v>
      </c>
      <c r="E30" s="17" t="n">
        <v>755023</v>
      </c>
      <c r="F30" s="17" t="n">
        <v>941987</v>
      </c>
    </row>
    <row r="31">
      <c r="A31" s="15" t="inlineStr">
        <is>
          <t>Aktiver</t>
        </is>
      </c>
      <c r="B31" s="17" t="n">
        <v>1362779</v>
      </c>
      <c r="C31" s="17" t="n">
        <v>1256680</v>
      </c>
      <c r="D31" s="17" t="n">
        <v>1065584</v>
      </c>
      <c r="E31" s="17" t="n">
        <v>968532</v>
      </c>
      <c r="F31" s="17" t="n">
        <v>1128896</v>
      </c>
    </row>
    <row r="32">
      <c r="A32" s="16" t="inlineStr">
        <is>
          <t>Selskabskapital</t>
        </is>
      </c>
      <c r="B32" s="17" t="n">
        <v>41000</v>
      </c>
      <c r="C32" s="17" t="n">
        <v>41000</v>
      </c>
      <c r="D32" s="17" t="n">
        <v>41000</v>
      </c>
      <c r="E32" s="17" t="n">
        <v>41000</v>
      </c>
      <c r="F32" s="17" t="n">
        <v>41000</v>
      </c>
    </row>
    <row r="33">
      <c r="A33" s="16" t="inlineStr">
        <is>
          <t>Reserve for nettoopskrivning (indre værdis metode)</t>
        </is>
      </c>
      <c r="B33" s="17" t="n"/>
      <c r="C33" s="17" t="n">
        <v>3440</v>
      </c>
      <c r="D33" s="17" t="n">
        <v>460</v>
      </c>
      <c r="E33" s="17" t="n">
        <v>0</v>
      </c>
      <c r="F33" s="17" t="n">
        <v>104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-413</v>
      </c>
      <c r="C35" s="17" t="n">
        <v>3954</v>
      </c>
      <c r="D35" s="17" t="n">
        <v>-5768</v>
      </c>
      <c r="E35" s="17" t="n">
        <v>-706</v>
      </c>
      <c r="F35" s="17" t="n">
        <v>-1574</v>
      </c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64746</v>
      </c>
      <c r="C37" s="17" t="n">
        <v>64781</v>
      </c>
      <c r="D37" s="17" t="n">
        <v>92489</v>
      </c>
      <c r="E37" s="17" t="n">
        <v>121707</v>
      </c>
      <c r="F37" s="17" t="n">
        <v>144047</v>
      </c>
    </row>
    <row r="38">
      <c r="A38" s="15" t="inlineStr">
        <is>
          <t>Egenkapital i alt</t>
        </is>
      </c>
      <c r="B38" s="17" t="n">
        <v>602333</v>
      </c>
      <c r="C38" s="17" t="n">
        <v>393175</v>
      </c>
      <c r="D38" s="17" t="n">
        <v>328181</v>
      </c>
      <c r="E38" s="17" t="n">
        <v>412001</v>
      </c>
      <c r="F38" s="17" t="n">
        <v>457577</v>
      </c>
    </row>
    <row r="39">
      <c r="A39" s="16" t="inlineStr">
        <is>
          <t>Hensættelse til udskudt skat</t>
        </is>
      </c>
      <c r="B39" s="17" t="n">
        <v>11868</v>
      </c>
      <c r="C39" s="17" t="n">
        <v>15859</v>
      </c>
      <c r="D39" s="17" t="n">
        <v>10491</v>
      </c>
      <c r="E39" s="17" t="n">
        <v>10853</v>
      </c>
      <c r="F39" s="17" t="n">
        <v>8082</v>
      </c>
    </row>
    <row r="40">
      <c r="A40" s="15" t="inlineStr">
        <is>
          <t>Hensatte forpligtelser</t>
        </is>
      </c>
      <c r="B40" s="17" t="n">
        <v>11868</v>
      </c>
      <c r="C40" s="17" t="n">
        <v>15859</v>
      </c>
      <c r="D40" s="17" t="n">
        <v>10491</v>
      </c>
      <c r="E40" s="17" t="n">
        <v>10853</v>
      </c>
      <c r="F40" s="17" t="n">
        <v>8082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45165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45165</v>
      </c>
      <c r="C45" s="17" t="n">
        <v>40455</v>
      </c>
      <c r="D45" s="17" t="n">
        <v>41569</v>
      </c>
      <c r="E45" s="17" t="n">
        <v>48280</v>
      </c>
      <c r="F45" s="17" t="n">
        <v>49256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8000</v>
      </c>
      <c r="C47" s="17" t="n">
        <v>8000</v>
      </c>
      <c r="D47" s="17" t="n">
        <v>8000</v>
      </c>
      <c r="E47" s="17" t="n">
        <v>2000</v>
      </c>
      <c r="F47" s="17" t="n">
        <v>2000</v>
      </c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326375</v>
      </c>
      <c r="C50" s="17" t="n">
        <v>505430</v>
      </c>
      <c r="D50" s="17" t="n">
        <v>382598</v>
      </c>
      <c r="E50" s="17" t="n">
        <v>238059</v>
      </c>
      <c r="F50" s="17" t="n">
        <v>277860</v>
      </c>
    </row>
    <row r="51">
      <c r="A51" s="16" t="inlineStr">
        <is>
          <t>Gæld til tilknyttede virksomheder</t>
        </is>
      </c>
      <c r="B51" s="17" t="n">
        <v>40065</v>
      </c>
      <c r="C51" s="17" t="n">
        <v>24132</v>
      </c>
      <c r="D51" s="17" t="n">
        <v>20022</v>
      </c>
      <c r="E51" s="17" t="n">
        <v>20987</v>
      </c>
      <c r="F51" s="17" t="n">
        <v>84734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>
        <v>0</v>
      </c>
      <c r="D53" s="17" t="n">
        <v>19786</v>
      </c>
      <c r="E53" s="17" t="n">
        <v>35814</v>
      </c>
      <c r="F53" s="17" t="n">
        <v>46060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244079</v>
      </c>
      <c r="C55" s="17" t="n">
        <v>234723</v>
      </c>
      <c r="D55" s="17" t="n">
        <v>227265</v>
      </c>
      <c r="E55" s="17" t="n">
        <v>171921</v>
      </c>
      <c r="F55" s="17" t="n">
        <v>183409</v>
      </c>
    </row>
    <row r="56">
      <c r="A56" s="16" t="inlineStr">
        <is>
          <t>Periodeafgrænsningsposter (passiver)</t>
        </is>
      </c>
      <c r="B56" s="17" t="n">
        <v>36310</v>
      </c>
      <c r="C56" s="17" t="n">
        <v>34906</v>
      </c>
      <c r="D56" s="17" t="n">
        <v>27672</v>
      </c>
      <c r="E56" s="17" t="n">
        <v>28617</v>
      </c>
      <c r="F56" s="17" t="n">
        <v>19918</v>
      </c>
    </row>
    <row r="57">
      <c r="A57" s="15" t="inlineStr">
        <is>
          <t>Kortfristede gældsforpligtelser</t>
        </is>
      </c>
      <c r="B57" s="17" t="n">
        <v>703413</v>
      </c>
      <c r="C57" s="17" t="n">
        <v>807191</v>
      </c>
      <c r="D57" s="17" t="n">
        <v>685343</v>
      </c>
      <c r="E57" s="17" t="n">
        <v>497398</v>
      </c>
      <c r="F57" s="17" t="n">
        <v>613981</v>
      </c>
    </row>
    <row r="58">
      <c r="A58" s="15" t="inlineStr">
        <is>
          <t>Gældsforpligtelser</t>
        </is>
      </c>
      <c r="B58" s="17" t="n">
        <v>748578</v>
      </c>
      <c r="C58" s="17" t="n">
        <v>847646</v>
      </c>
      <c r="D58" s="17" t="n">
        <v>726912</v>
      </c>
      <c r="E58" s="17" t="n">
        <v>545678</v>
      </c>
      <c r="F58" s="17" t="n">
        <v>663237</v>
      </c>
    </row>
    <row r="59">
      <c r="A59" s="15" t="inlineStr">
        <is>
          <t>Passiver</t>
        </is>
      </c>
      <c r="B59" s="17" t="n">
        <v>1362779</v>
      </c>
      <c r="C59" s="17" t="n">
        <v>1256680</v>
      </c>
      <c r="D59" s="17" t="n">
        <v>1065584</v>
      </c>
      <c r="E59" s="17" t="n">
        <v>968532</v>
      </c>
      <c r="F59" s="17" t="n">
        <v>1128896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Nobia Denmark A/S (CVR 89645417)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439473</v>
      </c>
      <c r="C2" s="17" t="n">
        <v>840916</v>
      </c>
      <c r="D2" s="17" t="n">
        <v>306976</v>
      </c>
      <c r="E2" s="17" t="n">
        <v>279291</v>
      </c>
      <c r="F2" s="17" t="n">
        <v>462343</v>
      </c>
    </row>
    <row r="3">
      <c r="A3" s="16" t="inlineStr">
        <is>
          <t>Pengestrømme fra investeringsaktivitet</t>
        </is>
      </c>
      <c r="B3" s="17" t="n">
        <v>-68065</v>
      </c>
      <c r="C3" s="17" t="n">
        <v>-240586</v>
      </c>
      <c r="D3" s="17" t="n">
        <v>-11871</v>
      </c>
      <c r="E3" s="17" t="n">
        <v>-8451</v>
      </c>
      <c r="F3" s="17" t="n">
        <v>-10385</v>
      </c>
    </row>
    <row r="4">
      <c r="A4" s="16" t="inlineStr">
        <is>
          <t>Pengestrømme fra finansieringsaktivitet</t>
        </is>
      </c>
      <c r="B4" s="17" t="n">
        <v>-290000</v>
      </c>
      <c r="C4" s="17" t="n">
        <v>-501710</v>
      </c>
      <c r="D4" s="17" t="n">
        <v>-278886</v>
      </c>
      <c r="E4" s="17" t="n">
        <v>-206348</v>
      </c>
      <c r="F4" s="17" t="n">
        <v>-383131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Nobia Denmark A/S (CVR 89645417) — Regnskabs- og nøgletal (CVR: 89645417)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'res_raw_89645417'!$F$2</f>
        <v/>
      </c>
      <c r="C5" s="24">
        <f>'res_raw_89645417'!$E$2</f>
        <v/>
      </c>
      <c r="D5" s="24">
        <f>'res_raw_89645417'!$D$2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-'res_raw_89645417'!$F$3</f>
        <v/>
      </c>
      <c r="C6" s="24">
        <f>-'res_raw_89645417'!$E$3</f>
        <v/>
      </c>
      <c r="D6" s="24">
        <f>-'res_raw_89645417'!$D$3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IF(COUNT('res_raw_89645417'!$F$2,'res_raw_89645417'!$F$3)=0,'res_raw_89645417'!$F$4,SUM(B5:B6))</f>
        <v/>
      </c>
      <c r="C7" s="27">
        <f>IF(COUNT('res_raw_89645417'!$E$2,'res_raw_89645417'!$E$3)=0,'res_raw_89645417'!$E$4,SUM(C5:C6))</f>
        <v/>
      </c>
      <c r="D7" s="27">
        <f>IF(COUNT('res_raw_89645417'!$D$2,'res_raw_89645417'!$D$3)=0,'res_raw_89645417'!$D$4,SUM(D5:D6))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Salgs- og distributionsomk.</t>
        </is>
      </c>
      <c r="B8" s="24">
        <f>-'res_raw_89645417'!$F$5</f>
        <v/>
      </c>
      <c r="C8" s="24">
        <f>-'res_raw_89645417'!$E$5</f>
        <v/>
      </c>
      <c r="D8" s="24">
        <f>-'res_raw_89645417'!$D$5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-'res_raw_89645417'!$F$6</f>
        <v/>
      </c>
      <c r="C9" s="24">
        <f>-'res_raw_89645417'!$E$6</f>
        <v/>
      </c>
      <c r="D9" s="24">
        <f>-'res_raw_89645417'!$D$6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'res_raw_89645417'!$F$7</f>
        <v/>
      </c>
      <c r="C10" s="24">
        <f>'res_raw_89645417'!$E$7</f>
        <v/>
      </c>
      <c r="D10" s="24">
        <f>'res_raw_89645417'!$D$7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-'res_raw_89645417'!$F$8</f>
        <v/>
      </c>
      <c r="C11" s="24">
        <f>-'res_raw_89645417'!$E$8</f>
        <v/>
      </c>
      <c r="D11" s="24">
        <f>-'res_raw_89645417'!$D$8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N('res_raw_89645417'!$F$10)+N('res_raw_89645417'!$F$11)</f>
        <v/>
      </c>
      <c r="C13" s="24">
        <f>N('res_raw_89645417'!$E$10)+N('res_raw_89645417'!$E$11)</f>
        <v/>
      </c>
      <c r="D13" s="24">
        <f>N('res_raw_89645417'!$D$10)+N('res_raw_89645417'!$D$11)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-'res_raw_89645417'!$F$12</f>
        <v/>
      </c>
      <c r="C14" s="24">
        <f>-'res_raw_89645417'!$E$12</f>
        <v/>
      </c>
      <c r="D14" s="24">
        <f>-'res_raw_89645417'!$D$12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'balance_raw_89645417'!$F$15</f>
        <v/>
      </c>
      <c r="C18" s="24">
        <f>'balance_raw_89645417'!$E$15</f>
        <v/>
      </c>
      <c r="D18" s="24">
        <f>'balance_raw_89645417'!$D$15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'balance_raw_89645417'!$F$30</f>
        <v/>
      </c>
      <c r="C19" s="24">
        <f>'balance_raw_89645417'!$E$30</f>
        <v/>
      </c>
      <c r="D19" s="24">
        <f>'balance_raw_89645417'!$D$30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'balance_raw_89645417'!$F$38</f>
        <v/>
      </c>
      <c r="C22" s="24">
        <f>'balance_raw_89645417'!$E$38</f>
        <v/>
      </c>
      <c r="D22" s="24">
        <f>'balance_raw_89645417'!$D$38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'balance_raw_89645417'!$F$59-'balance_raw_89645417'!$F$38</f>
        <v/>
      </c>
      <c r="C23" s="24">
        <f>'balance_raw_89645417'!$E$59-'balance_raw_89645417'!$E$38</f>
        <v/>
      </c>
      <c r="D23" s="24">
        <f>'balance_raw_89645417'!$D$59-'balance_raw_89645417'!$D$38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'balance_raw_89645417'!$F$19</f>
        <v/>
      </c>
      <c r="C27" s="24">
        <f>'balance_raw_89645417'!$E$19</f>
        <v/>
      </c>
      <c r="D27" s="24">
        <f>'balance_raw_89645417'!$D$19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'balance_raw_89645417'!$F$20</f>
        <v/>
      </c>
      <c r="C28" s="24">
        <f>'balance_raw_89645417'!$E$20</f>
        <v/>
      </c>
      <c r="D28" s="24">
        <f>'balance_raw_89645417'!$D$20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'balance_raw_89645417'!$F$57</f>
        <v/>
      </c>
      <c r="C29" s="24">
        <f>'balance_raw_89645417'!$E$57</f>
        <v/>
      </c>
      <c r="D29" s="24">
        <f>'balance_raw_89645417'!$D$57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IF('balance_raw_89645417'!$F$31="","—",IF(ABS(B20-'balance_raw_89645417'!$F$31)&lt;=1,"✓ OK","❌ "&amp;TEXT(B20-'balance_raw_89645417'!$F$31,"+#,##0;-#,##0")&amp;" t.kr."))</f>
        <v/>
      </c>
      <c r="C60" s="29">
        <f>IF('balance_raw_89645417'!$E$31="","—",IF(ABS(C20-'balance_raw_89645417'!$E$31)&lt;=1,"✓ OK","❌ "&amp;TEXT(C20-'balance_raw_89645417'!$E$31,"+#,##0;-#,##0")&amp;" t.kr."))</f>
        <v/>
      </c>
      <c r="D60" s="29">
        <f>IF('balance_raw_89645417'!$D$31="","—",IF(ABS(D20-'balance_raw_89645417'!$D$31)&lt;=1,"✓ OK","❌ "&amp;TEXT(D20-'balance_raw_89645417'!$D$31,"+#,##0;-#,##0")&amp;"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IF('balance_raw_89645417'!$F$59="","—",IF(ABS(B24-'balance_raw_89645417'!$F$59)&lt;=1,"✓ OK","❌ "&amp;TEXT(B24-'balance_raw_89645417'!$F$59,"+#,##0;-#,##0")&amp;" t.kr."))</f>
        <v/>
      </c>
      <c r="C61" s="29">
        <f>IF('balance_raw_89645417'!$E$59="","—",IF(ABS(C24-'balance_raw_89645417'!$E$59)&lt;=1,"✓ OK","❌ "&amp;TEXT(C24-'balance_raw_89645417'!$E$59,"+#,##0;-#,##0")&amp;" t.kr."))</f>
        <v/>
      </c>
      <c r="D61" s="29">
        <f>IF('balance_raw_89645417'!$D$59="","—",IF(ABS(D24-'balance_raw_89645417'!$D$59)&lt;=1,"✓ OK","❌ "&amp;TEXT(D24-'balance_raw_89645417'!$D$59,"+#,##0;-#,##0")&amp;"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IF('res_raw_89645417'!$F$4="","—",IF(ABS(B7-'res_raw_89645417'!$F$4)&lt;=1,"✓ OK","❌ "&amp;TEXT(B7-'res_raw_89645417'!$F$4,"+#,##0;-#,##0")&amp;" t.kr."))</f>
        <v/>
      </c>
      <c r="C63" s="29">
        <f>IF('res_raw_89645417'!$E$4="","—",IF(ABS(C7-'res_raw_89645417'!$E$4)&lt;=1,"✓ OK","❌ "&amp;TEXT(C7-'res_raw_89645417'!$E$4,"+#,##0;-#,##0")&amp;" t.kr."))</f>
        <v/>
      </c>
      <c r="D63" s="29">
        <f>IF('res_raw_89645417'!$D$4="","—",IF(ABS(D7-'res_raw_89645417'!$D$4)&lt;=1,"✓ OK","❌ "&amp;TEXT(D7-'res_raw_89645417'!$D$4,"+#,##0;-#,##0")&amp;"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IF('res_raw_89645417'!$F$9="","—",IF(ABS(B12-'res_raw_89645417'!$F$9)&lt;=1,"✓ OK","❌ "&amp;TEXT(B12-'res_raw_89645417'!$F$9,"+#,##0;-#,##0")&amp;" t.kr."))</f>
        <v/>
      </c>
      <c r="C64" s="29">
        <f>IF('res_raw_89645417'!$E$9="","—",IF(ABS(C12-'res_raw_89645417'!$E$9)&lt;=1,"✓ OK","❌ "&amp;TEXT(C12-'res_raw_89645417'!$E$9,"+#,##0;-#,##0")&amp;" t.kr."))</f>
        <v/>
      </c>
      <c r="D64" s="29">
        <f>IF('res_raw_89645417'!$D$9="","—",IF(ABS(D12-'res_raw_89645417'!$D$9)&lt;=1,"✓ OK","❌ "&amp;TEXT(D12-'res_raw_89645417'!$D$9,"+#,##0;-#,##0")&amp;"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IF('res_raw_89645417'!$F$14="","—",IF(ABS(B15-'res_raw_89645417'!$F$14)&lt;=1,"✓ OK","❌ "&amp;TEXT(B15-'res_raw_89645417'!$F$14,"+#,##0;-#,##0")&amp;" t.kr."))</f>
        <v/>
      </c>
      <c r="C65" s="29">
        <f>IF('res_raw_89645417'!$E$14="","—",IF(ABS(C15-'res_raw_89645417'!$E$14)&lt;=1,"✓ OK","❌ "&amp;TEXT(C15-'res_raw_89645417'!$E$14,"+#,##0;-#,##0")&amp;" t.kr."))</f>
        <v/>
      </c>
      <c r="D65" s="29">
        <f>IF('res_raw_89645417'!$D$14="","—",IF(ABS(D15-'res_raw_89645417'!$D$14)&lt;=1,"✓ OK","❌ "&amp;TEXT(D15-'res_raw_89645417'!$D$14,"+#,##0;-#,##0")&amp;"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2026-09-27T21:18:59Z</dcterms:created>
  <dcterms:modified xmlns:dcterms="http://purl.org/dc/terms/" xmlns:xsi="http://www.w3.org/2001/XMLSchema-instance" xsi:type="dcterms:W3CDTF">2026-09-27T21:19:00Z</dcterms:modified>
</cp:coreProperties>
</file>