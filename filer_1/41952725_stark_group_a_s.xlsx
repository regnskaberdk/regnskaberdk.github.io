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stark — 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4" t="inlineStr">
        <is>
          <t>Personaleomkostninger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Af- og nedskrivninger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7" t="inlineStr">
        <is>
          <t>Resultat af primær drift</t>
        </is>
      </c>
      <c r="B14" s="8">
        <f>'res_raw'!$B$12</f>
        <v/>
      </c>
      <c r="C14" s="8">
        <f>'res_raw'!$C$12</f>
        <v/>
      </c>
      <c r="D14" s="8">
        <f>'res_raw'!$D$12</f>
        <v/>
      </c>
      <c r="E14" s="8">
        <f>'res_raw'!$E$12</f>
        <v/>
      </c>
      <c r="F14" s="8">
        <f>'res_raw'!$F$12</f>
        <v/>
      </c>
      <c r="G14" t="inlineStr"/>
      <c r="H14" s="9">
        <f>IFERROR(B14/$B$14*100,"")</f>
        <v/>
      </c>
      <c r="I14" s="9">
        <f>IFERROR(C14/$B$14*100,"")</f>
        <v/>
      </c>
      <c r="J14" s="9">
        <f>IFERROR(D14/$B$14*100,"")</f>
        <v/>
      </c>
      <c r="K14" s="9">
        <f>IFERROR(E14/$B$14*100,"")</f>
        <v/>
      </c>
      <c r="L14" s="9">
        <f>IFERROR(F14/$B$14*100,"")</f>
        <v/>
      </c>
    </row>
    <row r="15" ht="16" customHeight="1">
      <c r="A15" s="10" t="inlineStr">
        <is>
          <t>Indtægter af kapitalandele, dattervirksomheder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4" t="inlineStr">
        <is>
          <t>Finansielle indtægter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omkostninger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Finansielle poster, netto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19" ht="16" customHeight="1">
      <c r="A19" s="7" t="inlineStr">
        <is>
          <t>Resultat før skat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4" t="inlineStr">
        <is>
          <t>Skat af årets resultat</t>
        </is>
      </c>
      <c r="B20" s="5">
        <f>'res_raw'!$B$18</f>
        <v/>
      </c>
      <c r="C20" s="5">
        <f>'res_raw'!$C$18</f>
        <v/>
      </c>
      <c r="D20" s="5">
        <f>'res_raw'!$D$18</f>
        <v/>
      </c>
      <c r="E20" s="5">
        <f>'res_raw'!$E$18</f>
        <v/>
      </c>
      <c r="F20" s="5">
        <f>'res_raw'!$F$18</f>
        <v/>
      </c>
      <c r="G20" t="inlineStr"/>
      <c r="H20" s="6">
        <f>IFERROR(B20/$B$20*100,"")</f>
        <v/>
      </c>
      <c r="I20" s="6">
        <f>IFERROR(C20/$B$20*100,"")</f>
        <v/>
      </c>
      <c r="J20" s="6">
        <f>IFERROR(D20/$B$20*100,"")</f>
        <v/>
      </c>
      <c r="K20" s="6">
        <f>IFERROR(E20/$B$20*100,"")</f>
        <v/>
      </c>
      <c r="L20" s="6">
        <f>IFERROR(F20/$B$20*100,"")</f>
        <v/>
      </c>
    </row>
    <row r="21" ht="16" customHeight="1">
      <c r="A21" s="7" t="inlineStr">
        <is>
          <t>Årets resultat</t>
        </is>
      </c>
      <c r="B21" s="8">
        <f>'res_raw'!$B$19</f>
        <v/>
      </c>
      <c r="C21" s="8">
        <f>'res_raw'!$C$19</f>
        <v/>
      </c>
      <c r="D21" s="8">
        <f>'res_raw'!$D$19</f>
        <v/>
      </c>
      <c r="E21" s="8">
        <f>'res_raw'!$E$19</f>
        <v/>
      </c>
      <c r="F21" s="8">
        <f>'res_raw'!$F$19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3" ht="22" customHeight="1">
      <c r="A23" s="3" t="inlineStr">
        <is>
          <t>AKTIVER t.EUR</t>
        </is>
      </c>
      <c r="B23" s="3" t="n">
        <v>2021</v>
      </c>
      <c r="C23" s="3" t="n">
        <v>2022</v>
      </c>
      <c r="D23" s="3" t="n">
        <v>2023</v>
      </c>
      <c r="E23" s="3" t="n">
        <v>2024</v>
      </c>
      <c r="F23" s="3" t="n">
        <v>2025</v>
      </c>
      <c r="G23" t="inlineStr"/>
      <c r="H23" s="3" t="n">
        <v>2021</v>
      </c>
      <c r="I23" s="3" t="n">
        <v>2022</v>
      </c>
      <c r="J23" s="3" t="n">
        <v>2023</v>
      </c>
      <c r="K23" s="3" t="n">
        <v>2024</v>
      </c>
      <c r="L23" s="3" t="n">
        <v>2025</v>
      </c>
    </row>
    <row r="24" ht="16" customHeight="1">
      <c r="A24" s="4" t="inlineStr">
        <is>
          <t>Udviklingsprojekter</t>
        </is>
      </c>
      <c r="B24" s="5">
        <f>'balance_raw'!$B$2</f>
        <v/>
      </c>
      <c r="C24" s="5">
        <f>'balance_raw'!$C$2</f>
        <v/>
      </c>
      <c r="D24" s="5">
        <f>'balance_raw'!$D$2</f>
        <v/>
      </c>
      <c r="E24" s="5">
        <f>'balance_raw'!$E$2</f>
        <v/>
      </c>
      <c r="F24" s="5">
        <f>'balance_raw'!$F$2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Patenter, varemærker mv.</t>
        </is>
      </c>
      <c r="B25" s="11">
        <f>'balance_raw'!$B$3</f>
        <v/>
      </c>
      <c r="C25" s="11">
        <f>'balance_raw'!$C$3</f>
        <v/>
      </c>
      <c r="D25" s="11">
        <f>'balance_raw'!$D$3</f>
        <v/>
      </c>
      <c r="E25" s="11">
        <f>'balance_raw'!$E$3</f>
        <v/>
      </c>
      <c r="F25" s="11">
        <f>'balance_raw'!$F$3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Goodwill</t>
        </is>
      </c>
      <c r="B26" s="5">
        <f>'balance_raw'!$B$4</f>
        <v/>
      </c>
      <c r="C26" s="5">
        <f>'balance_raw'!$C$4</f>
        <v/>
      </c>
      <c r="D26" s="5">
        <f>'balance_raw'!$D$4</f>
        <v/>
      </c>
      <c r="E26" s="5">
        <f>'balance_raw'!$E$4</f>
        <v/>
      </c>
      <c r="F26" s="5">
        <f>'balance_raw'!$F$4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Immaterielle anlægsaktiver</t>
        </is>
      </c>
      <c r="B27" s="8">
        <f>'balance_raw'!$B$5</f>
        <v/>
      </c>
      <c r="C27" s="8">
        <f>'balance_raw'!$C$5</f>
        <v/>
      </c>
      <c r="D27" s="8">
        <f>'balance_raw'!$D$5</f>
        <v/>
      </c>
      <c r="E27" s="8">
        <f>'balance_raw'!$E$5</f>
        <v/>
      </c>
      <c r="F27" s="8">
        <f>'balance_raw'!$F$5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Grunde og bygninger</t>
        </is>
      </c>
      <c r="B28" s="5">
        <f>'balance_raw'!$B$6</f>
        <v/>
      </c>
      <c r="C28" s="5">
        <f>'balance_raw'!$C$6</f>
        <v/>
      </c>
      <c r="D28" s="5">
        <f>'balance_raw'!$D$6</f>
        <v/>
      </c>
      <c r="E28" s="5">
        <f>'balance_raw'!$E$6</f>
        <v/>
      </c>
      <c r="F28" s="5">
        <f>'balance_raw'!$F$6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Produktionsanlæg og maskiner</t>
        </is>
      </c>
      <c r="B29" s="11">
        <f>'balance_raw'!$B$7</f>
        <v/>
      </c>
      <c r="C29" s="11">
        <f>'balance_raw'!$C$7</f>
        <v/>
      </c>
      <c r="D29" s="11">
        <f>'balance_raw'!$D$7</f>
        <v/>
      </c>
      <c r="E29" s="11">
        <f>'balance_raw'!$E$7</f>
        <v/>
      </c>
      <c r="F29" s="11">
        <f>'balance_raw'!$F$7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Driftsmateriel og inventar</t>
        </is>
      </c>
      <c r="B30" s="5">
        <f>'balance_raw'!$B$8</f>
        <v/>
      </c>
      <c r="C30" s="5">
        <f>'balance_raw'!$C$8</f>
        <v/>
      </c>
      <c r="D30" s="5">
        <f>'balance_raw'!$D$8</f>
        <v/>
      </c>
      <c r="E30" s="5">
        <f>'balance_raw'!$E$8</f>
        <v/>
      </c>
      <c r="F30" s="5">
        <f>'balance_raw'!$F$8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Indretning af lejede lokaler</t>
        </is>
      </c>
      <c r="B31" s="11">
        <f>'balance_raw'!$B$9</f>
        <v/>
      </c>
      <c r="C31" s="11">
        <f>'balance_raw'!$C$9</f>
        <v/>
      </c>
      <c r="D31" s="11">
        <f>'balance_raw'!$D$9</f>
        <v/>
      </c>
      <c r="E31" s="11">
        <f>'balance_raw'!$E$9</f>
        <v/>
      </c>
      <c r="F31" s="11">
        <f>'balance_raw'!$F$9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Forudbetaling og anlægsaktiver under opførelse</t>
        </is>
      </c>
      <c r="B32" s="5">
        <f>'balance_raw'!$B$10</f>
        <v/>
      </c>
      <c r="C32" s="5">
        <f>'balance_raw'!$C$10</f>
        <v/>
      </c>
      <c r="D32" s="5">
        <f>'balance_raw'!$D$10</f>
        <v/>
      </c>
      <c r="E32" s="5">
        <f>'balance_raw'!$E$10</f>
        <v/>
      </c>
      <c r="F32" s="5">
        <f>'balance_raw'!$F$10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Materielle anlægsaktiver</t>
        </is>
      </c>
      <c r="B33" s="8">
        <f>'balance_raw'!$B$11</f>
        <v/>
      </c>
      <c r="C33" s="8">
        <f>'balance_raw'!$C$11</f>
        <v/>
      </c>
      <c r="D33" s="8">
        <f>'balance_raw'!$D$11</f>
        <v/>
      </c>
      <c r="E33" s="8">
        <f>'balance_raw'!$E$11</f>
        <v/>
      </c>
      <c r="F33" s="8">
        <f>'balance_raw'!$F$11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Kapitalandele, dattervirksomheder</t>
        </is>
      </c>
      <c r="B34" s="5">
        <f>'balance_raw'!$B$12</f>
        <v/>
      </c>
      <c r="C34" s="5">
        <f>'balance_raw'!$C$12</f>
        <v/>
      </c>
      <c r="D34" s="5">
        <f>'balance_raw'!$D$12</f>
        <v/>
      </c>
      <c r="E34" s="5">
        <f>'balance_raw'!$E$12</f>
        <v/>
      </c>
      <c r="F34" s="5">
        <f>'balance_raw'!$F$12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Deposita</t>
        </is>
      </c>
      <c r="B35" s="11">
        <f>'balance_raw'!$B$13</f>
        <v/>
      </c>
      <c r="C35" s="11">
        <f>'balance_raw'!$C$13</f>
        <v/>
      </c>
      <c r="D35" s="11">
        <f>'balance_raw'!$D$13</f>
        <v/>
      </c>
      <c r="E35" s="11">
        <f>'balance_raw'!$E$13</f>
        <v/>
      </c>
      <c r="F35" s="11">
        <f>'balance_raw'!$F$13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Finansielle anlægsaktiver</t>
        </is>
      </c>
      <c r="B36" s="8">
        <f>'balance_raw'!$B$14</f>
        <v/>
      </c>
      <c r="C36" s="8">
        <f>'balance_raw'!$C$14</f>
        <v/>
      </c>
      <c r="D36" s="8">
        <f>'balance_raw'!$D$14</f>
        <v/>
      </c>
      <c r="E36" s="8">
        <f>'balance_raw'!$E$14</f>
        <v/>
      </c>
      <c r="F36" s="8">
        <f>'balance_raw'!$F$14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7" t="inlineStr">
        <is>
          <t>Anlægsaktiver</t>
        </is>
      </c>
      <c r="B37" s="8">
        <f>'balance_raw'!$B$15</f>
        <v/>
      </c>
      <c r="C37" s="8">
        <f>'balance_raw'!$C$15</f>
        <v/>
      </c>
      <c r="D37" s="8">
        <f>'balance_raw'!$D$15</f>
        <v/>
      </c>
      <c r="E37" s="8">
        <f>'balance_raw'!$E$15</f>
        <v/>
      </c>
      <c r="F37" s="8">
        <f>'balance_raw'!$F$15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7" t="inlineStr">
        <is>
          <t>Varebeholdninger</t>
        </is>
      </c>
      <c r="B38" s="8">
        <f>'balance_raw'!$B$16</f>
        <v/>
      </c>
      <c r="C38" s="8">
        <f>'balance_raw'!$C$16</f>
        <v/>
      </c>
      <c r="D38" s="8">
        <f>'balance_raw'!$D$16</f>
        <v/>
      </c>
      <c r="E38" s="8">
        <f>'balance_raw'!$E$16</f>
        <v/>
      </c>
      <c r="F38" s="8">
        <f>'balance_raw'!$F$16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'balance_raw'!$B$17</f>
        <v/>
      </c>
      <c r="C39" s="11">
        <f>'balance_raw'!$C$17</f>
        <v/>
      </c>
      <c r="D39" s="11">
        <f>'balance_raw'!$D$17</f>
        <v/>
      </c>
      <c r="E39" s="11">
        <f>'balance_raw'!$E$17</f>
        <v/>
      </c>
      <c r="F39" s="11">
        <f>'balance_raw'!$F$17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'balance_raw'!$B$18</f>
        <v/>
      </c>
      <c r="C40" s="5">
        <f>'balance_raw'!$C$18</f>
        <v/>
      </c>
      <c r="D40" s="5">
        <f>'balance_raw'!$D$18</f>
        <v/>
      </c>
      <c r="E40" s="5">
        <f>'balance_raw'!$E$18</f>
        <v/>
      </c>
      <c r="F40" s="5">
        <f>'balance_raw'!$F$18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'balance_raw'!$B$19</f>
        <v/>
      </c>
      <c r="C41" s="11">
        <f>'balance_raw'!$C$19</f>
        <v/>
      </c>
      <c r="D41" s="11">
        <f>'balance_raw'!$D$19</f>
        <v/>
      </c>
      <c r="E41" s="11">
        <f>'balance_raw'!$E$19</f>
        <v/>
      </c>
      <c r="F41" s="11">
        <f>'balance_raw'!$F$19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'balance_raw'!$B$20</f>
        <v/>
      </c>
      <c r="C42" s="5">
        <f>'balance_raw'!$C$20</f>
        <v/>
      </c>
      <c r="D42" s="5">
        <f>'balance_raw'!$D$20</f>
        <v/>
      </c>
      <c r="E42" s="5">
        <f>'balance_raw'!$E$20</f>
        <v/>
      </c>
      <c r="F42" s="5">
        <f>'balance_raw'!$F$20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'balance_raw'!$B$21</f>
        <v/>
      </c>
      <c r="C43" s="11">
        <f>'balance_raw'!$C$21</f>
        <v/>
      </c>
      <c r="D43" s="11">
        <f>'balance_raw'!$D$21</f>
        <v/>
      </c>
      <c r="E43" s="11">
        <f>'balance_raw'!$E$21</f>
        <v/>
      </c>
      <c r="F43" s="11">
        <f>'balance_raw'!$F$21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'balance_raw'!$B$22</f>
        <v/>
      </c>
      <c r="C44" s="5">
        <f>'balance_raw'!$C$22</f>
        <v/>
      </c>
      <c r="D44" s="5">
        <f>'balance_raw'!$D$22</f>
        <v/>
      </c>
      <c r="E44" s="5">
        <f>'balance_raw'!$E$22</f>
        <v/>
      </c>
      <c r="F44" s="5">
        <f>'balance_raw'!$F$22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'balance_raw'!$B$23</f>
        <v/>
      </c>
      <c r="C45" s="11">
        <f>'balance_raw'!$C$23</f>
        <v/>
      </c>
      <c r="D45" s="11">
        <f>'balance_raw'!$D$23</f>
        <v/>
      </c>
      <c r="E45" s="11">
        <f>'balance_raw'!$E$23</f>
        <v/>
      </c>
      <c r="F45" s="11">
        <f>'balance_raw'!$F$23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'balance_raw'!$B$24</f>
        <v/>
      </c>
      <c r="C46" s="8">
        <f>'balance_raw'!$C$24</f>
        <v/>
      </c>
      <c r="D46" s="8">
        <f>'balance_raw'!$D$24</f>
        <v/>
      </c>
      <c r="E46" s="8">
        <f>'balance_raw'!$E$24</f>
        <v/>
      </c>
      <c r="F46" s="8">
        <f>'balance_raw'!$F$24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'balance_raw'!$B$27</f>
        <v/>
      </c>
      <c r="C49" s="8">
        <f>'balance_raw'!$C$27</f>
        <v/>
      </c>
      <c r="D49" s="8">
        <f>'balance_raw'!$D$27</f>
        <v/>
      </c>
      <c r="E49" s="8">
        <f>'balance_raw'!$E$27</f>
        <v/>
      </c>
      <c r="F49" s="8">
        <f>'balance_raw'!$F$27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'balance_raw'!$B$28</f>
        <v/>
      </c>
      <c r="C50" s="8">
        <f>'balance_raw'!$C$28</f>
        <v/>
      </c>
      <c r="D50" s="8">
        <f>'balance_raw'!$D$28</f>
        <v/>
      </c>
      <c r="E50" s="8">
        <f>'balance_raw'!$E$28</f>
        <v/>
      </c>
      <c r="F50" s="8">
        <f>'balance_raw'!$F$28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t.EUR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'balance_raw'!$B$29</f>
        <v/>
      </c>
      <c r="C53" s="11">
        <f>'balance_raw'!$C$29</f>
        <v/>
      </c>
      <c r="D53" s="11">
        <f>'balance_raw'!$D$29</f>
        <v/>
      </c>
      <c r="E53" s="11">
        <f>'balance_raw'!$E$29</f>
        <v/>
      </c>
      <c r="F53" s="11">
        <f>'balance_raw'!$F$29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'balance_raw'!$B$30</f>
        <v/>
      </c>
      <c r="C54" s="5">
        <f>'balance_raw'!$C$30</f>
        <v/>
      </c>
      <c r="D54" s="5">
        <f>'balance_raw'!$D$30</f>
        <v/>
      </c>
      <c r="E54" s="5">
        <f>'balance_raw'!$E$30</f>
        <v/>
      </c>
      <c r="F54" s="5">
        <f>'balance_raw'!$F$30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'balance_raw'!$B$31</f>
        <v/>
      </c>
      <c r="C55" s="11">
        <f>'balance_raw'!$C$31</f>
        <v/>
      </c>
      <c r="D55" s="11">
        <f>'balance_raw'!$D$31</f>
        <v/>
      </c>
      <c r="E55" s="11">
        <f>'balance_raw'!$E$31</f>
        <v/>
      </c>
      <c r="F55" s="11">
        <f>'balance_raw'!$F$31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'balance_raw'!$B$32</f>
        <v/>
      </c>
      <c r="C56" s="5">
        <f>'balance_raw'!$C$32</f>
        <v/>
      </c>
      <c r="D56" s="5">
        <f>'balance_raw'!$D$32</f>
        <v/>
      </c>
      <c r="E56" s="5">
        <f>'balance_raw'!$E$32</f>
        <v/>
      </c>
      <c r="F56" s="5">
        <f>'balance_raw'!$F$32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'balance_raw'!$B$33</f>
        <v/>
      </c>
      <c r="C57" s="11">
        <f>'balance_raw'!$C$33</f>
        <v/>
      </c>
      <c r="D57" s="11">
        <f>'balance_raw'!$D$33</f>
        <v/>
      </c>
      <c r="E57" s="11">
        <f>'balance_raw'!$E$33</f>
        <v/>
      </c>
      <c r="F57" s="11">
        <f>'balance_raw'!$F$33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'balance_raw'!$B$34</f>
        <v/>
      </c>
      <c r="C58" s="5">
        <f>'balance_raw'!$C$34</f>
        <v/>
      </c>
      <c r="D58" s="5">
        <f>'balance_raw'!$D$34</f>
        <v/>
      </c>
      <c r="E58" s="5">
        <f>'balance_raw'!$E$34</f>
        <v/>
      </c>
      <c r="F58" s="5">
        <f>'balance_raw'!$F$34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'balance_raw'!$B$35</f>
        <v/>
      </c>
      <c r="C59" s="8">
        <f>'balance_raw'!$C$35</f>
        <v/>
      </c>
      <c r="D59" s="8">
        <f>'balance_raw'!$D$35</f>
        <v/>
      </c>
      <c r="E59" s="8">
        <f>'balance_raw'!$E$35</f>
        <v/>
      </c>
      <c r="F59" s="8">
        <f>'balance_raw'!$F$35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'balance_raw'!$B$36</f>
        <v/>
      </c>
      <c r="C60" s="5">
        <f>'balance_raw'!$C$36</f>
        <v/>
      </c>
      <c r="D60" s="5">
        <f>'balance_raw'!$D$36</f>
        <v/>
      </c>
      <c r="E60" s="5">
        <f>'balance_raw'!$E$36</f>
        <v/>
      </c>
      <c r="F60" s="5">
        <f>'balance_raw'!$F$36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'balance_raw'!$B$37</f>
        <v/>
      </c>
      <c r="C61" s="8">
        <f>'balance_raw'!$C$37</f>
        <v/>
      </c>
      <c r="D61" s="8">
        <f>'balance_raw'!$D$37</f>
        <v/>
      </c>
      <c r="E61" s="8">
        <f>'balance_raw'!$E$37</f>
        <v/>
      </c>
      <c r="F61" s="8">
        <f>'balance_raw'!$F$37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'balance_raw'!$B$38</f>
        <v/>
      </c>
      <c r="C62" s="5">
        <f>'balance_raw'!$C$38</f>
        <v/>
      </c>
      <c r="D62" s="5">
        <f>'balance_raw'!$D$38</f>
        <v/>
      </c>
      <c r="E62" s="5">
        <f>'balance_raw'!$E$38</f>
        <v/>
      </c>
      <c r="F62" s="5">
        <f>'balance_raw'!$F$38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'balance_raw'!$B$39</f>
        <v/>
      </c>
      <c r="C63" s="11">
        <f>'balance_raw'!$C$39</f>
        <v/>
      </c>
      <c r="D63" s="11">
        <f>'balance_raw'!$D$39</f>
        <v/>
      </c>
      <c r="E63" s="11">
        <f>'balance_raw'!$E$39</f>
        <v/>
      </c>
      <c r="F63" s="11">
        <f>'balance_raw'!$F$39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'balance_raw'!$B$40</f>
        <v/>
      </c>
      <c r="C64" s="5">
        <f>'balance_raw'!$C$40</f>
        <v/>
      </c>
      <c r="D64" s="5">
        <f>'balance_raw'!$D$40</f>
        <v/>
      </c>
      <c r="E64" s="5">
        <f>'balance_raw'!$E$40</f>
        <v/>
      </c>
      <c r="F64" s="5">
        <f>'balance_raw'!$F$40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'balance_raw'!$B$41</f>
        <v/>
      </c>
      <c r="C65" s="11">
        <f>'balance_raw'!$C$41</f>
        <v/>
      </c>
      <c r="D65" s="11">
        <f>'balance_raw'!$D$41</f>
        <v/>
      </c>
      <c r="E65" s="11">
        <f>'balance_raw'!$E$41</f>
        <v/>
      </c>
      <c r="F65" s="11">
        <f>'balance_raw'!$F$41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'balance_raw'!$B$42</f>
        <v/>
      </c>
      <c r="C66" s="8">
        <f>'balance_raw'!$C$42</f>
        <v/>
      </c>
      <c r="D66" s="8">
        <f>'balance_raw'!$D$42</f>
        <v/>
      </c>
      <c r="E66" s="8">
        <f>'balance_raw'!$E$42</f>
        <v/>
      </c>
      <c r="F66" s="8">
        <f>'balance_raw'!$F$42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'balance_raw'!$B$43</f>
        <v/>
      </c>
      <c r="C67" s="11">
        <f>'balance_raw'!$C$43</f>
        <v/>
      </c>
      <c r="D67" s="11">
        <f>'balance_raw'!$D$43</f>
        <v/>
      </c>
      <c r="E67" s="11">
        <f>'balance_raw'!$E$43</f>
        <v/>
      </c>
      <c r="F67" s="11">
        <f>'balance_raw'!$F$43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'balance_raw'!$B$44</f>
        <v/>
      </c>
      <c r="C68" s="5">
        <f>'balance_raw'!$C$44</f>
        <v/>
      </c>
      <c r="D68" s="5">
        <f>'balance_raw'!$D$44</f>
        <v/>
      </c>
      <c r="E68" s="5">
        <f>'balance_raw'!$E$44</f>
        <v/>
      </c>
      <c r="F68" s="5">
        <f>'balance_raw'!$F$44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'balance_raw'!$B$45</f>
        <v/>
      </c>
      <c r="C69" s="11">
        <f>'balance_raw'!$C$45</f>
        <v/>
      </c>
      <c r="D69" s="11">
        <f>'balance_raw'!$D$45</f>
        <v/>
      </c>
      <c r="E69" s="11">
        <f>'balance_raw'!$E$45</f>
        <v/>
      </c>
      <c r="F69" s="11">
        <f>'balance_raw'!$F$45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'balance_raw'!$B$46</f>
        <v/>
      </c>
      <c r="C70" s="5">
        <f>'balance_raw'!$C$46</f>
        <v/>
      </c>
      <c r="D70" s="5">
        <f>'balance_raw'!$D$46</f>
        <v/>
      </c>
      <c r="E70" s="5">
        <f>'balance_raw'!$E$46</f>
        <v/>
      </c>
      <c r="F70" s="5">
        <f>'balance_raw'!$F$46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'balance_raw'!$B$47</f>
        <v/>
      </c>
      <c r="C71" s="11">
        <f>'balance_raw'!$C$47</f>
        <v/>
      </c>
      <c r="D71" s="11">
        <f>'balance_raw'!$D$47</f>
        <v/>
      </c>
      <c r="E71" s="11">
        <f>'balance_raw'!$E$47</f>
        <v/>
      </c>
      <c r="F71" s="11">
        <f>'balance_raw'!$F$47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'balance_raw'!$B$48</f>
        <v/>
      </c>
      <c r="C72" s="5">
        <f>'balance_raw'!$C$48</f>
        <v/>
      </c>
      <c r="D72" s="5">
        <f>'balance_raw'!$D$48</f>
        <v/>
      </c>
      <c r="E72" s="5">
        <f>'balance_raw'!$E$48</f>
        <v/>
      </c>
      <c r="F72" s="5">
        <f>'balance_raw'!$F$48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'balance_raw'!$B$49</f>
        <v/>
      </c>
      <c r="C73" s="11">
        <f>'balance_raw'!$C$49</f>
        <v/>
      </c>
      <c r="D73" s="11">
        <f>'balance_raw'!$D$49</f>
        <v/>
      </c>
      <c r="E73" s="11">
        <f>'balance_raw'!$E$49</f>
        <v/>
      </c>
      <c r="F73" s="11">
        <f>'balance_raw'!$F$49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'balance_raw'!$B$50</f>
        <v/>
      </c>
      <c r="C74" s="5">
        <f>'balance_raw'!$C$50</f>
        <v/>
      </c>
      <c r="D74" s="5">
        <f>'balance_raw'!$D$50</f>
        <v/>
      </c>
      <c r="E74" s="5">
        <f>'balance_raw'!$E$50</f>
        <v/>
      </c>
      <c r="F74" s="5">
        <f>'balance_raw'!$F$50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'balance_raw'!$B$51</f>
        <v/>
      </c>
      <c r="C75" s="11">
        <f>'balance_raw'!$C$51</f>
        <v/>
      </c>
      <c r="D75" s="11">
        <f>'balance_raw'!$D$51</f>
        <v/>
      </c>
      <c r="E75" s="11">
        <f>'balance_raw'!$E$51</f>
        <v/>
      </c>
      <c r="F75" s="11">
        <f>'balance_raw'!$F$51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'balance_raw'!$B$52</f>
        <v/>
      </c>
      <c r="C76" s="5">
        <f>'balance_raw'!$C$52</f>
        <v/>
      </c>
      <c r="D76" s="5">
        <f>'balance_raw'!$D$52</f>
        <v/>
      </c>
      <c r="E76" s="5">
        <f>'balance_raw'!$E$52</f>
        <v/>
      </c>
      <c r="F76" s="5">
        <f>'balance_raw'!$F$52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'balance_raw'!$B$53</f>
        <v/>
      </c>
      <c r="C77" s="11">
        <f>'balance_raw'!$C$53</f>
        <v/>
      </c>
      <c r="D77" s="11">
        <f>'balance_raw'!$D$53</f>
        <v/>
      </c>
      <c r="E77" s="11">
        <f>'balance_raw'!$E$53</f>
        <v/>
      </c>
      <c r="F77" s="11">
        <f>'balance_raw'!$F$53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'balance_raw'!$B$54</f>
        <v/>
      </c>
      <c r="C78" s="8">
        <f>'balance_raw'!$C$54</f>
        <v/>
      </c>
      <c r="D78" s="8">
        <f>'balance_raw'!$D$54</f>
        <v/>
      </c>
      <c r="E78" s="8">
        <f>'balance_raw'!$E$54</f>
        <v/>
      </c>
      <c r="F78" s="8">
        <f>'balance_raw'!$F$54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'balance_raw'!$B$55</f>
        <v/>
      </c>
      <c r="C79" s="8">
        <f>'balance_raw'!$C$55</f>
        <v/>
      </c>
      <c r="D79" s="8">
        <f>'balance_raw'!$D$55</f>
        <v/>
      </c>
      <c r="E79" s="8">
        <f>'balance_raw'!$E$55</f>
        <v/>
      </c>
      <c r="F79" s="8">
        <f>'balance_raw'!$F$55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'balance_raw'!$B$56</f>
        <v/>
      </c>
      <c r="C80" s="8">
        <f>'balance_raw'!$C$56</f>
        <v/>
      </c>
      <c r="D80" s="8">
        <f>'balance_raw'!$D$56</f>
        <v/>
      </c>
      <c r="E80" s="8">
        <f>'balance_raw'!$E$56</f>
        <v/>
      </c>
      <c r="F80" s="8">
        <f>'balance_raw'!$F$56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'res_raw'!$B$20</f>
        <v/>
      </c>
      <c r="C83" s="11">
        <f>'res_raw'!$C$20</f>
        <v/>
      </c>
      <c r="D83" s="11">
        <f>'res_raw'!$D$20</f>
        <v/>
      </c>
      <c r="E83" s="11">
        <f>'res_raw'!$E$20</f>
        <v/>
      </c>
      <c r="F83" s="11">
        <f>'res_raw'!$F$20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'res_raw'!$B$21</f>
        <v/>
      </c>
      <c r="C84" s="5">
        <f>'res_raw'!$C$21</f>
        <v/>
      </c>
      <c r="D84" s="5">
        <f>'res_raw'!$D$21</f>
        <v/>
      </c>
      <c r="E84" s="5">
        <f>'res_raw'!$E$21</f>
        <v/>
      </c>
      <c r="F84" s="5">
        <f>'res_raw'!$F$21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IFERROR(($B$14+$B$16+$B$15)/$B$50*100,"")</f>
        <v/>
      </c>
      <c r="C87" s="13">
        <f>IFERROR(($C$14+$C$16+$C$15)/$C$50*100,"")</f>
        <v/>
      </c>
      <c r="D87" s="13">
        <f>IFERROR(($D$14+$D$16+$D$15)/$D$50*100,"")</f>
        <v/>
      </c>
      <c r="E87" s="13">
        <f>IFERROR(($E$14+$E$16+$E$15)/$E$50*100,"")</f>
        <v/>
      </c>
      <c r="F87" s="13">
        <f>IFERROR(($F$14+$F$16+$F$15)/$F$50*100,"")</f>
        <v/>
      </c>
    </row>
    <row r="88" ht="16" customHeight="1">
      <c r="A88" s="4" t="inlineStr">
        <is>
          <t>Overskudsgrad, %</t>
        </is>
      </c>
      <c r="B88" s="14">
        <f>IFERROR(($B$14+$B$16+$B$15)/$B$4*100,"")</f>
        <v/>
      </c>
      <c r="C88" s="14">
        <f>IFERROR(($C$14+$C$16+$C$15)/$C$4*100,"")</f>
        <v/>
      </c>
      <c r="D88" s="14">
        <f>IFERROR(($D$14+$D$16+$D$15)/$D$4*100,"")</f>
        <v/>
      </c>
      <c r="E88" s="14">
        <f>IFERROR(($E$14+$E$16+$E$15)/$E$4*100,"")</f>
        <v/>
      </c>
      <c r="F88" s="14">
        <f>IFERROR(($F$14+$F$16+$F$15)/$F$4*100,"")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IFERROR($B$19/$B$59*100,"")</f>
        <v/>
      </c>
      <c r="C90" s="14">
        <f>IFERROR($C$19/$C$59*100,"")</f>
        <v/>
      </c>
      <c r="D90" s="14">
        <f>IFERROR($D$19/$D$59*100,"")</f>
        <v/>
      </c>
      <c r="E90" s="14">
        <f>IFERROR($E$19/$E$59*100,"")</f>
        <v/>
      </c>
      <c r="F90" s="14">
        <f>IFERROR($F$19/$F$59*100,"")</f>
        <v/>
      </c>
    </row>
    <row r="91" ht="16" customHeight="1">
      <c r="A91" s="10" t="inlineStr">
        <is>
          <t>Gældsrente, %</t>
        </is>
      </c>
      <c r="B91" s="13">
        <f>IFERROR($B$17/($B$80-$B$59)*100,"")</f>
        <v/>
      </c>
      <c r="C91" s="13">
        <f>IFERROR($C$17/($C$80-$C$59)*100,"")</f>
        <v/>
      </c>
      <c r="D91" s="13">
        <f>IFERROR($D$17/($D$80-$D$59)*100,"")</f>
        <v/>
      </c>
      <c r="E91" s="13">
        <f>IFERROR($E$17/($E$80-$E$59)*100,"")</f>
        <v/>
      </c>
      <c r="F91" s="13">
        <f>IFERROR($F$17/($F$80-$F$59)*100,"")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IFERROR($B$37/($B$59+$B$66)*100,"")</f>
        <v/>
      </c>
      <c r="C97" s="13">
        <f>IFERROR($C$37/($C$59+$C$66)*100,"")</f>
        <v/>
      </c>
      <c r="D97" s="13">
        <f>IFERROR($D$37/($D$59+$D$66)*100,"")</f>
        <v/>
      </c>
      <c r="E97" s="13">
        <f>IFERROR($E$37/($E$59+$E$66)*100,"")</f>
        <v/>
      </c>
      <c r="F97" s="13">
        <f>IFERROR($F$37/($F$59+$F$66)*100,"")</f>
        <v/>
      </c>
    </row>
    <row r="99">
      <c r="A99" s="15" t="inlineStr">
        <is>
          <t>PENGESTRØMSOPGØRELSE t.EUR</t>
        </is>
      </c>
    </row>
    <row r="100">
      <c r="A100" s="16" t="inlineStr">
        <is>
          <t>Pengestrømme fra driftsaktivitet</t>
        </is>
      </c>
      <c r="B100" s="17">
        <f>'pengestrom_raw'!$B$2</f>
        <v/>
      </c>
      <c r="C100" s="17">
        <f>'pengestrom_raw'!$C$2</f>
        <v/>
      </c>
      <c r="D100" s="17">
        <f>'pengestrom_raw'!$D$2</f>
        <v/>
      </c>
      <c r="E100" s="17">
        <f>'pengestrom_raw'!$E$2</f>
        <v/>
      </c>
      <c r="F100" s="17">
        <f>'pengestrom_raw'!$F$2</f>
        <v/>
      </c>
    </row>
    <row r="101">
      <c r="A101" s="16" t="inlineStr">
        <is>
          <t>Pengestrømme fra investeringsaktivitet</t>
        </is>
      </c>
      <c r="B101" s="17">
        <f>'pengestrom_raw'!$B$3</f>
        <v/>
      </c>
      <c r="C101" s="17">
        <f>'pengestrom_raw'!$C$3</f>
        <v/>
      </c>
      <c r="D101" s="17">
        <f>'pengestrom_raw'!$D$3</f>
        <v/>
      </c>
      <c r="E101" s="17">
        <f>'pengestrom_raw'!$E$3</f>
        <v/>
      </c>
      <c r="F101" s="17">
        <f>'pengestrom_raw'!$F$3</f>
        <v/>
      </c>
    </row>
    <row r="102">
      <c r="A102" s="16" t="inlineStr">
        <is>
          <t>Pengestrømme fra finansieringsaktivitet</t>
        </is>
      </c>
      <c r="B102" s="17">
        <f>'pengestrom_raw'!$B$4</f>
        <v/>
      </c>
      <c r="C102" s="17">
        <f>'pengestrom_raw'!$C$4</f>
        <v/>
      </c>
      <c r="D102" s="17">
        <f>'pengestrom_raw'!$D$4</f>
        <v/>
      </c>
      <c r="E102" s="17">
        <f>'pengestrom_raw'!$E$4</f>
        <v/>
      </c>
      <c r="F102" s="17">
        <f>'pengestrom_raw'!$F$4</f>
        <v/>
      </c>
    </row>
    <row r="103">
      <c r="A103" s="16" t="inlineStr">
        <is>
          <t>Årets pengestrøm (rapporteret)</t>
        </is>
      </c>
      <c r="B103" s="17">
        <f>'pengestrom_raw'!$B$5</f>
        <v/>
      </c>
      <c r="C103" s="17">
        <f>'pengestrom_raw'!$C$5</f>
        <v/>
      </c>
      <c r="D103" s="17">
        <f>'pengestrom_raw'!$D$5</f>
        <v/>
      </c>
      <c r="E103" s="17">
        <f>'pengestrom_raw'!$E$5</f>
        <v/>
      </c>
      <c r="F103" s="17">
        <f>'pengestrom_raw'!$F$5</f>
        <v/>
      </c>
    </row>
    <row r="104">
      <c r="A104" s="16" t="inlineStr">
        <is>
          <t>Krydstjek: drift + inv. + fin. = årets pengestrøm</t>
        </is>
      </c>
      <c r="B10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stark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1474000</v>
      </c>
      <c r="C2" s="17" t="n">
        <v>5995000</v>
      </c>
      <c r="D2" s="17" t="n">
        <v>7054000</v>
      </c>
      <c r="E2" s="17" t="n">
        <v>7780000</v>
      </c>
      <c r="F2" s="17" t="n">
        <v>7760000</v>
      </c>
    </row>
    <row r="3">
      <c r="A3" s="16" t="inlineStr">
        <is>
          <t>Produktionsomkostninger</t>
        </is>
      </c>
      <c r="B3" s="17" t="n">
        <v>1098000</v>
      </c>
      <c r="C3" s="17" t="n">
        <v>4454000</v>
      </c>
      <c r="D3" s="17" t="n">
        <v>5243000</v>
      </c>
      <c r="E3" s="17" t="n">
        <v>5739000</v>
      </c>
      <c r="F3" s="17" t="n">
        <v>5724000</v>
      </c>
    </row>
    <row r="4">
      <c r="A4" s="15" t="inlineStr">
        <is>
          <t>Bruttoresultat</t>
        </is>
      </c>
      <c r="B4" s="17" t="n">
        <v>376000</v>
      </c>
      <c r="C4" s="17" t="n">
        <v>1541000</v>
      </c>
      <c r="D4" s="17" t="n">
        <v>1811000</v>
      </c>
      <c r="E4" s="17" t="n">
        <v>2041000</v>
      </c>
      <c r="F4" s="17" t="n">
        <v>2036000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Personaleomkostninger</t>
        </is>
      </c>
      <c r="B10" s="17" t="n">
        <v>171000</v>
      </c>
      <c r="C10" s="17" t="n">
        <v>721000</v>
      </c>
      <c r="D10" s="17" t="n">
        <v>903000</v>
      </c>
      <c r="E10" s="17" t="n">
        <v>1135000</v>
      </c>
      <c r="F10" s="17" t="n">
        <v>1169000</v>
      </c>
    </row>
    <row r="11">
      <c r="A11" s="16" t="inlineStr">
        <is>
          <t>Af- og nedskrivninger</t>
        </is>
      </c>
      <c r="B11" s="17" t="n">
        <v>37000</v>
      </c>
      <c r="C11" s="17" t="n">
        <v>171000</v>
      </c>
      <c r="D11" s="17" t="n">
        <v>243000</v>
      </c>
      <c r="E11" s="17" t="n">
        <v>335000</v>
      </c>
      <c r="F11" s="17" t="n">
        <v>330000</v>
      </c>
    </row>
    <row r="12">
      <c r="A12" s="15" t="inlineStr">
        <is>
          <t>Resultat af primær drift</t>
        </is>
      </c>
      <c r="B12" s="17" t="n">
        <v>64000</v>
      </c>
      <c r="C12" s="17" t="n">
        <v>288000</v>
      </c>
      <c r="D12" s="17" t="n">
        <v>353000</v>
      </c>
      <c r="E12" s="17" t="n">
        <v>-9000</v>
      </c>
      <c r="F12" s="17" t="n">
        <v>-42000</v>
      </c>
    </row>
    <row r="13">
      <c r="A13" s="16" t="inlineStr">
        <is>
          <t>Indtægter af kapitalandele, dattervirksomheder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Finansielle indtægter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Finansielle omkostninger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Finansielle poster, netto</t>
        </is>
      </c>
      <c r="B16" s="17" t="n">
        <v>-24000</v>
      </c>
      <c r="C16" s="17" t="n">
        <v>-102000</v>
      </c>
      <c r="D16" s="17" t="n">
        <v>-197000</v>
      </c>
      <c r="E16" s="17" t="n">
        <v>-221000</v>
      </c>
      <c r="F16" s="17" t="n">
        <v>-249000</v>
      </c>
    </row>
    <row r="17">
      <c r="A17" s="15" t="inlineStr">
        <is>
          <t>Resultat før skat</t>
        </is>
      </c>
      <c r="B17" s="17" t="n">
        <v>40000</v>
      </c>
      <c r="C17" s="17" t="n">
        <v>186000</v>
      </c>
      <c r="D17" s="17" t="n">
        <v>156000</v>
      </c>
      <c r="E17" s="17" t="n">
        <v>-230000</v>
      </c>
      <c r="F17" s="17" t="n">
        <v>-291000</v>
      </c>
    </row>
    <row r="18">
      <c r="A18" s="16" t="inlineStr">
        <is>
          <t>Skat af årets resultat</t>
        </is>
      </c>
      <c r="B18" s="17" t="n">
        <v>18000</v>
      </c>
      <c r="C18" s="17" t="n">
        <v>54000</v>
      </c>
      <c r="D18" s="17" t="n">
        <v>12000</v>
      </c>
      <c r="E18" s="17" t="n">
        <v>-29000</v>
      </c>
      <c r="F18" s="17" t="n">
        <v>-5000</v>
      </c>
    </row>
    <row r="19">
      <c r="A19" s="15" t="inlineStr">
        <is>
          <t>Årets resultat</t>
        </is>
      </c>
      <c r="B19" s="17" t="n">
        <v>22000</v>
      </c>
      <c r="C19" s="17" t="n">
        <v>132000</v>
      </c>
      <c r="D19" s="17" t="n">
        <v>144000</v>
      </c>
      <c r="E19" s="17" t="n">
        <v>-201000</v>
      </c>
      <c r="F19" s="17" t="n">
        <v>-286000</v>
      </c>
    </row>
    <row r="20">
      <c r="A20" s="16" t="inlineStr">
        <is>
          <t>Gns. antal medarbejdere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Investering i materielle anlægsaktiver</t>
        </is>
      </c>
      <c r="B21" s="17" t="n">
        <v>16000</v>
      </c>
      <c r="C21" s="17" t="n">
        <v>71000</v>
      </c>
      <c r="D21" s="17" t="n">
        <v>79000</v>
      </c>
      <c r="E21" s="17" t="n">
        <v>114000</v>
      </c>
      <c r="F21" s="17" t="n">
        <v>117000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stark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769000</v>
      </c>
      <c r="C4" s="17" t="n">
        <v>810000</v>
      </c>
      <c r="D4" s="17" t="n">
        <v>825000</v>
      </c>
      <c r="E4" s="17" t="n">
        <v>831000</v>
      </c>
      <c r="F4" s="17" t="n">
        <v>839000</v>
      </c>
    </row>
    <row r="5">
      <c r="A5" s="15" t="inlineStr">
        <is>
          <t>Immaterielle anlægsaktiver</t>
        </is>
      </c>
      <c r="B5" s="17" t="n">
        <v>961000</v>
      </c>
      <c r="C5" s="17" t="n">
        <v>996000</v>
      </c>
      <c r="D5" s="17" t="n">
        <v>989000</v>
      </c>
      <c r="E5" s="17" t="n">
        <v>997000</v>
      </c>
      <c r="F5" s="17" t="n">
        <v>987000</v>
      </c>
    </row>
    <row r="6">
      <c r="A6" s="16" t="inlineStr">
        <is>
          <t>Grunde og bygninger</t>
        </is>
      </c>
      <c r="B6" s="17" t="n">
        <v>700000</v>
      </c>
      <c r="C6" s="17" t="n">
        <v>732000</v>
      </c>
      <c r="D6" s="17" t="n">
        <v>1155000</v>
      </c>
      <c r="E6" s="17" t="n">
        <v>1154000</v>
      </c>
      <c r="F6" s="17" t="n">
        <v>1093000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52000</v>
      </c>
      <c r="C10" s="17" t="n">
        <v>46000</v>
      </c>
      <c r="D10" s="17" t="n">
        <v>98000</v>
      </c>
      <c r="E10" s="17" t="n">
        <v>66000</v>
      </c>
      <c r="F10" s="17" t="n">
        <v>62000</v>
      </c>
    </row>
    <row r="11">
      <c r="A11" s="15" t="inlineStr">
        <is>
          <t>Materielle anlægsaktiver</t>
        </is>
      </c>
      <c r="B11" s="17" t="n">
        <v>81000</v>
      </c>
      <c r="C11" s="17" t="n">
        <v>122000</v>
      </c>
      <c r="D11" s="17" t="n">
        <v>174000</v>
      </c>
      <c r="E11" s="17" t="n">
        <v>180000</v>
      </c>
      <c r="F11" s="17" t="n">
        <v>189000</v>
      </c>
    </row>
    <row r="12">
      <c r="A12" s="16" t="inlineStr">
        <is>
          <t>Kapitalandele, dattervirksomheder</t>
        </is>
      </c>
      <c r="B12" s="17" t="n">
        <v>1000</v>
      </c>
      <c r="C12" s="17" t="n">
        <v>1000</v>
      </c>
      <c r="D12" s="17" t="n">
        <v>1000</v>
      </c>
      <c r="E12" s="17" t="n">
        <v>4000</v>
      </c>
      <c r="F12" s="17" t="n">
        <v>3000</v>
      </c>
    </row>
    <row r="13">
      <c r="A13" s="16" t="inlineStr">
        <is>
          <t>Deposita</t>
        </is>
      </c>
      <c r="B13" s="17" t="n"/>
      <c r="C13" s="17" t="n"/>
      <c r="D13" s="17" t="n">
        <v>25000</v>
      </c>
      <c r="E13" s="17" t="n">
        <v>17000</v>
      </c>
      <c r="F13" s="17" t="n">
        <v>7000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3029000</v>
      </c>
      <c r="C15" s="17" t="n">
        <v>3260000</v>
      </c>
      <c r="D15" s="17" t="n">
        <v>4158000</v>
      </c>
      <c r="E15" s="17" t="n">
        <v>4174000</v>
      </c>
      <c r="F15" s="17" t="n">
        <v>4038000</v>
      </c>
    </row>
    <row r="16">
      <c r="A16" s="15" t="inlineStr">
        <is>
          <t>Varebeholdninger</t>
        </is>
      </c>
      <c r="B16" s="17" t="n">
        <v>553000</v>
      </c>
      <c r="C16" s="17" t="n">
        <v>813000</v>
      </c>
      <c r="D16" s="17" t="n">
        <v>1087000</v>
      </c>
      <c r="E16" s="17" t="n">
        <v>1052000</v>
      </c>
      <c r="F16" s="17" t="n">
        <v>1108000</v>
      </c>
    </row>
    <row r="17">
      <c r="A17" s="16" t="inlineStr">
        <is>
          <t>Tilgodehavender fra salg og tjenesteydelser</t>
        </is>
      </c>
      <c r="B17" s="17" t="n">
        <v>491000</v>
      </c>
      <c r="C17" s="17" t="n">
        <v>569000</v>
      </c>
      <c r="D17" s="17" t="n">
        <v>823000</v>
      </c>
      <c r="E17" s="17" t="n">
        <v>787000</v>
      </c>
      <c r="F17" s="17" t="n">
        <v>514000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Periodeafgrænsningsposter (aktiver)</t>
        </is>
      </c>
      <c r="B20" s="17" t="n">
        <v>7000</v>
      </c>
      <c r="C20" s="17" t="n">
        <v>12000</v>
      </c>
      <c r="D20" s="17" t="n">
        <v>21000</v>
      </c>
      <c r="E20" s="17" t="n">
        <v>37000</v>
      </c>
      <c r="F20" s="17" t="n">
        <v>36000</v>
      </c>
    </row>
    <row r="21">
      <c r="A21" s="16" t="inlineStr">
        <is>
          <t>Udskudt skatteaktiv</t>
        </is>
      </c>
      <c r="B21" s="17" t="n"/>
      <c r="C21" s="17" t="n"/>
      <c r="D21" s="17" t="n"/>
      <c r="E21" s="17" t="n">
        <v>0</v>
      </c>
      <c r="F21" s="17" t="n">
        <v>4000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>
        <v>5000</v>
      </c>
      <c r="D23" s="17" t="n">
        <v>11000</v>
      </c>
      <c r="E23" s="17" t="n">
        <v>27000</v>
      </c>
      <c r="F23" s="17" t="n">
        <v>3000</v>
      </c>
    </row>
    <row r="24">
      <c r="A24" s="15" t="inlineStr">
        <is>
          <t>Tilgodehavender</t>
        </is>
      </c>
      <c r="B24" s="17" t="n">
        <v>21000</v>
      </c>
      <c r="C24" s="17" t="n">
        <v>22000</v>
      </c>
      <c r="D24" s="17" t="n">
        <v>50000</v>
      </c>
      <c r="E24" s="17" t="n">
        <v>211000</v>
      </c>
      <c r="F24" s="17" t="n">
        <v>202000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330000</v>
      </c>
      <c r="C26" s="17" t="n">
        <v>261000</v>
      </c>
      <c r="D26" s="17" t="n">
        <v>307000</v>
      </c>
      <c r="E26" s="17" t="n">
        <v>242000</v>
      </c>
      <c r="F26" s="17" t="n">
        <v>281000</v>
      </c>
    </row>
    <row r="27">
      <c r="A27" s="15" t="inlineStr">
        <is>
          <t>Omsætningsaktiver</t>
        </is>
      </c>
      <c r="B27" s="17" t="n">
        <v>1402000</v>
      </c>
      <c r="C27" s="17" t="n">
        <v>1682000</v>
      </c>
      <c r="D27" s="17" t="n">
        <v>2299000</v>
      </c>
      <c r="E27" s="17" t="n">
        <v>2356000</v>
      </c>
      <c r="F27" s="17" t="n">
        <v>2144000</v>
      </c>
    </row>
    <row r="28">
      <c r="A28" s="15" t="inlineStr">
        <is>
          <t>Aktiver</t>
        </is>
      </c>
      <c r="B28" s="17" t="n">
        <v>4431000</v>
      </c>
      <c r="C28" s="17" t="n">
        <v>4942000</v>
      </c>
      <c r="D28" s="17" t="n">
        <v>6457000</v>
      </c>
      <c r="E28" s="17" t="n">
        <v>6530000</v>
      </c>
      <c r="F28" s="17" t="n">
        <v>6218000</v>
      </c>
    </row>
    <row r="29">
      <c r="A29" s="16" t="inlineStr">
        <is>
          <t>Selskabskapital</t>
        </is>
      </c>
      <c r="B29" s="17" t="n">
        <v>1000</v>
      </c>
      <c r="C29" s="17" t="n">
        <v>2000</v>
      </c>
      <c r="D29" s="17" t="n">
        <v>2000</v>
      </c>
      <c r="E29" s="17" t="n">
        <v>2000</v>
      </c>
      <c r="F29" s="17" t="n">
        <v>2000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530000</v>
      </c>
      <c r="C33" s="17" t="n">
        <v>679000</v>
      </c>
      <c r="D33" s="17" t="n">
        <v>846000</v>
      </c>
      <c r="E33" s="17" t="n">
        <v>634000</v>
      </c>
      <c r="F33" s="17" t="n">
        <v>350000</v>
      </c>
    </row>
    <row r="34">
      <c r="A34" s="16" t="inlineStr">
        <is>
          <t>Overført resultat</t>
        </is>
      </c>
      <c r="B34" s="17" t="n"/>
      <c r="C34" s="17" t="n"/>
      <c r="D34" s="17" t="n"/>
      <c r="E34" s="17" t="n"/>
      <c r="F34" s="17" t="n"/>
    </row>
    <row r="35">
      <c r="A35" s="15" t="inlineStr">
        <is>
          <t>Egenkapital i alt</t>
        </is>
      </c>
      <c r="B35" s="17" t="n">
        <v>531000</v>
      </c>
      <c r="C35" s="17" t="n">
        <v>681000</v>
      </c>
      <c r="D35" s="17" t="n">
        <v>848000</v>
      </c>
      <c r="E35" s="17" t="n">
        <v>636000</v>
      </c>
      <c r="F35" s="17" t="n">
        <v>352000</v>
      </c>
    </row>
    <row r="36">
      <c r="A36" s="16" t="inlineStr">
        <is>
          <t>Hensættelse til udskudt skat</t>
        </is>
      </c>
      <c r="B36" s="17" t="n">
        <v>301000</v>
      </c>
      <c r="C36" s="17" t="n">
        <v>312000</v>
      </c>
      <c r="D36" s="17" t="n">
        <v>322000</v>
      </c>
      <c r="E36" s="17" t="n">
        <v>295000</v>
      </c>
      <c r="F36" s="17" t="n">
        <v>286000</v>
      </c>
    </row>
    <row r="37">
      <c r="A37" s="15" t="inlineStr">
        <is>
          <t>Hensatte forpligtelser</t>
        </is>
      </c>
      <c r="B37" s="17" t="n">
        <v>27000</v>
      </c>
      <c r="C37" s="17" t="n">
        <v>32000</v>
      </c>
      <c r="D37" s="17" t="n">
        <v>148000</v>
      </c>
      <c r="E37" s="17" t="n">
        <v>95000</v>
      </c>
      <c r="F37" s="17" t="n">
        <v>87000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398000</v>
      </c>
      <c r="C40" s="17" t="n">
        <v>472000</v>
      </c>
      <c r="D40" s="17" t="n">
        <v>714000</v>
      </c>
      <c r="E40" s="17" t="n">
        <v>761000</v>
      </c>
      <c r="F40" s="17" t="n">
        <v>700000</v>
      </c>
    </row>
    <row r="41">
      <c r="A41" s="16" t="inlineStr">
        <is>
          <t>Anden gæld (langfristet)</t>
        </is>
      </c>
      <c r="B41" s="17" t="n"/>
      <c r="C41" s="17" t="n"/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11000</v>
      </c>
      <c r="C42" s="17" t="n">
        <v>16000</v>
      </c>
      <c r="D42" s="17" t="n">
        <v>143000</v>
      </c>
      <c r="E42" s="17" t="n">
        <v>147000</v>
      </c>
      <c r="F42" s="17" t="n">
        <v>149000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16000</v>
      </c>
      <c r="C45" s="17" t="n">
        <v>27000</v>
      </c>
      <c r="D45" s="17" t="n">
        <v>28000</v>
      </c>
      <c r="E45" s="17" t="n">
        <v>104000</v>
      </c>
      <c r="F45" s="17" t="n">
        <v>180000</v>
      </c>
    </row>
    <row r="46">
      <c r="A46" s="16" t="inlineStr">
        <is>
          <t>Leasingforpligtelser (kortfristet)</t>
        </is>
      </c>
      <c r="B46" s="17" t="n">
        <v>65000</v>
      </c>
      <c r="C46" s="17" t="n">
        <v>84000</v>
      </c>
      <c r="D46" s="17" t="n">
        <v>146000</v>
      </c>
      <c r="E46" s="17" t="n">
        <v>173000</v>
      </c>
      <c r="F46" s="17" t="n">
        <v>168000</v>
      </c>
    </row>
    <row r="47">
      <c r="A47" s="16" t="inlineStr">
        <is>
          <t>Leverandører af varer og tjenesteydelser</t>
        </is>
      </c>
      <c r="B47" s="17" t="n">
        <v>931000</v>
      </c>
      <c r="C47" s="17" t="n">
        <v>1096000</v>
      </c>
      <c r="D47" s="17" t="n">
        <v>1338000</v>
      </c>
      <c r="E47" s="17" t="n">
        <v>1485000</v>
      </c>
      <c r="F47" s="17" t="n">
        <v>1441000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233000</v>
      </c>
      <c r="C52" s="17" t="n">
        <v>254000</v>
      </c>
      <c r="D52" s="17" t="n">
        <v>335000</v>
      </c>
      <c r="E52" s="17" t="n">
        <v>348000</v>
      </c>
      <c r="F52" s="17" t="n">
        <v>347000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1327000</v>
      </c>
      <c r="C54" s="17" t="n">
        <v>1536000</v>
      </c>
      <c r="D54" s="17" t="n">
        <v>1948000</v>
      </c>
      <c r="E54" s="17" t="n">
        <v>2209000</v>
      </c>
      <c r="F54" s="17" t="n">
        <v>2237000</v>
      </c>
    </row>
    <row r="55">
      <c r="A55" s="15" t="inlineStr">
        <is>
          <t>Gældsforpligtelser</t>
        </is>
      </c>
      <c r="B55" s="17" t="n">
        <v>3890000</v>
      </c>
      <c r="C55" s="17" t="n">
        <v>4250000</v>
      </c>
      <c r="D55" s="17" t="n">
        <v>5599000</v>
      </c>
      <c r="E55" s="17" t="n">
        <v>5886000</v>
      </c>
      <c r="F55" s="17" t="n">
        <v>5858000</v>
      </c>
    </row>
    <row r="56">
      <c r="A56" s="15" t="inlineStr">
        <is>
          <t>Passiver</t>
        </is>
      </c>
      <c r="B56" s="17" t="n">
        <v>4431000</v>
      </c>
      <c r="C56" s="17" t="n">
        <v>4942000</v>
      </c>
      <c r="D56" s="17" t="n">
        <v>6457000</v>
      </c>
      <c r="E56" s="17" t="n">
        <v>6530000</v>
      </c>
      <c r="F56" s="17" t="n">
        <v>6218000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stark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300000</v>
      </c>
      <c r="C2" s="17" t="n">
        <v>230000</v>
      </c>
      <c r="D2" s="17" t="n">
        <v>311000</v>
      </c>
      <c r="E2" s="17" t="n">
        <v>114000</v>
      </c>
      <c r="F2" s="17" t="n">
        <v>239000</v>
      </c>
    </row>
    <row r="3">
      <c r="A3" s="16" t="inlineStr">
        <is>
          <t>Pengestrømme fra investeringsaktivitet</t>
        </is>
      </c>
      <c r="B3" s="17" t="n">
        <v>-2173000</v>
      </c>
      <c r="C3" s="17" t="n">
        <v>-269000</v>
      </c>
      <c r="D3" s="17" t="n">
        <v>-673000</v>
      </c>
      <c r="E3" s="17" t="n">
        <v>-83000</v>
      </c>
      <c r="F3" s="17" t="n">
        <v>-99000</v>
      </c>
    </row>
    <row r="4">
      <c r="A4" s="16" t="inlineStr">
        <is>
          <t>Pengestrømme fra finansieringsaktivitet</t>
        </is>
      </c>
      <c r="B4" s="17" t="n">
        <v>2202000</v>
      </c>
      <c r="C4" s="17" t="n">
        <v>-25000</v>
      </c>
      <c r="D4" s="17" t="n">
        <v>424000</v>
      </c>
      <c r="E4" s="17" t="n">
        <v>-97000</v>
      </c>
      <c r="F4" s="17" t="n">
        <v>-101000</v>
      </c>
    </row>
    <row r="5">
      <c r="A5" s="16" t="inlineStr">
        <is>
          <t>Årets pengestrøm</t>
        </is>
      </c>
      <c r="B5" s="17" t="n">
        <v>330000</v>
      </c>
      <c r="C5" s="17" t="n">
        <v>-69000</v>
      </c>
      <c r="D5" s="17" t="n">
        <v>46000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stark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IF(ABS((SUM(B7:B12))-'res_raw'!$F$12)&lt;=2,SUM(B7:B12),'res_raw'!$F$12)</f>
        <v/>
      </c>
      <c r="C13" s="30">
        <f>IF(ABS((SUM(C7:C12))-'res_raw'!$E$12)&lt;=2,SUM(C7:C12),'res_raw'!$E$12)</f>
        <v/>
      </c>
      <c r="D13" s="30">
        <f>IF(ABS((SUM(D7:D12))-'res_raw'!$D$12)&lt;=2,SUM(D7:D12),'res_raw'!$D$12)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N('res_raw'!$F$13)+N('res_raw'!$F$14)</f>
        <v/>
      </c>
      <c r="C14" s="24">
        <f>N('res_raw'!$E$13)+N('res_raw'!$E$14)</f>
        <v/>
      </c>
      <c r="D14" s="24">
        <f>N('res_raw'!$D$13)+N('res_raw'!$D$14)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-'res_raw'!$F$15</f>
        <v/>
      </c>
      <c r="C15" s="27">
        <f>-'res_raw'!$E$15</f>
        <v/>
      </c>
      <c r="D15" s="27">
        <f>-'res_raw'!$D$15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IF(ABS((SUM(B13:B15))-'res_raw'!$F$17)&lt;=2,SUM(B13:B15),'res_raw'!$F$17)</f>
        <v/>
      </c>
      <c r="C16" s="30">
        <f>IF(ABS((SUM(C13:C15))-'res_raw'!$E$17)&lt;=2,SUM(C13:C15),'res_raw'!$E$17)</f>
        <v/>
      </c>
      <c r="D16" s="30">
        <f>IF(ABS((SUM(D13:D15))-'res_raw'!$D$17)&lt;=2,SUM(D13:D15),'res_raw'!$D$17)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'balance_raw'!$F$27</f>
        <v/>
      </c>
      <c r="C20" s="24">
        <f>'balance_raw'!$E$27</f>
        <v/>
      </c>
      <c r="D20" s="24">
        <f>'balance_raw'!$D$27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'balance_raw'!$F$35</f>
        <v/>
      </c>
      <c r="C23" s="24">
        <f>'balance_raw'!$E$35</f>
        <v/>
      </c>
      <c r="D23" s="24">
        <f>'balance_raw'!$D$35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'balance_raw'!$F$56-'balance_raw'!$F$35</f>
        <v/>
      </c>
      <c r="C24" s="24">
        <f>'balance_raw'!$E$56-'balance_raw'!$E$35</f>
        <v/>
      </c>
      <c r="D24" s="24">
        <f>'balance_raw'!$D$56-'balance_raw'!$D$35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'balance_raw'!$F$16</f>
        <v/>
      </c>
      <c r="C28" s="24">
        <f>'balance_raw'!$E$16</f>
        <v/>
      </c>
      <c r="D28" s="24">
        <f>'balance_raw'!$D$16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'balance_raw'!$F$17</f>
        <v/>
      </c>
      <c r="C29" s="24">
        <f>'balance_raw'!$E$17</f>
        <v/>
      </c>
      <c r="D29" s="24">
        <f>'balance_raw'!$D$17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'balance_raw'!$F$54</f>
        <v/>
      </c>
      <c r="C30" s="24">
        <f>'balance_raw'!$E$54</f>
        <v/>
      </c>
      <c r="D30" s="24">
        <f>'balance_raw'!$D$54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IF('balance_raw'!$F$28="","—",IF(ABS(B21-'balance_raw'!$F$28)&lt;=1,"✓ OK","❌ "&amp;TEXT(B21-'balance_raw'!$F$28,"+#,##0;-#,##0")&amp;" t.EUR"))</f>
        <v/>
      </c>
      <c r="C62" s="31">
        <f>IF('balance_raw'!$E$28="","—",IF(ABS(C21-'balance_raw'!$E$28)&lt;=1,"✓ OK","❌ "&amp;TEXT(C21-'balance_raw'!$E$28,"+#,##0;-#,##0")&amp;" t.EUR"))</f>
        <v/>
      </c>
      <c r="D62" s="31">
        <f>IF('balance_raw'!$D$28="","—",IF(ABS(D21-'balance_raw'!$D$28)&lt;=1,"✓ OK","❌ "&amp;TEXT(D21-'balance_raw'!$D$28,"+#,##0;-#,##0")&amp;" t.EUR"))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IF('balance_raw'!$F$56="","—",IF(ABS(B25-'balance_raw'!$F$56)&lt;=1,"✓ OK","❌ "&amp;TEXT(B25-'balance_raw'!$F$56,"+#,##0;-#,##0")&amp;" t.EUR"))</f>
        <v/>
      </c>
      <c r="C63" s="31">
        <f>IF('balance_raw'!$E$56="","—",IF(ABS(C25-'balance_raw'!$E$56)&lt;=1,"✓ OK","❌ "&amp;TEXT(C25-'balance_raw'!$E$56,"+#,##0;-#,##0")&amp;" t.EUR"))</f>
        <v/>
      </c>
      <c r="D63" s="31">
        <f>IF('balance_raw'!$D$56="","—",IF(ABS(D25-'balance_raw'!$D$56)&lt;=1,"✓ OK","❌ "&amp;TEXT(D25-'balance_raw'!$D$56,"+#,##0;-#,##0")&amp;" t.EUR"))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t.EUR")</f>
        <v/>
      </c>
      <c r="C64" s="31">
        <f>IF(ABS(C21-C25)&lt;=1,"✓ OK","❌ "&amp;TEXT(C21-C25,"+#,##0;-#,##0")&amp;" t.EUR")</f>
        <v/>
      </c>
      <c r="D64" s="31">
        <f>IF(ABS(D21-D25)&lt;=1,"✓ OK","❌ "&amp;TEXT(D21-D25,"+#,##0;-#,##0")&amp;" t.EUR")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t.EUR"))</f>
        <v/>
      </c>
      <c r="C65" s="31">
        <f>IF('res_raw'!$E$4="","—",IF(ABS(C7-'res_raw'!$E$4)&lt;=1,"✓ OK","❌ "&amp;TEXT(C7-'res_raw'!$E$4,"+#,##0;-#,##0")&amp;" t.EUR"))</f>
        <v/>
      </c>
      <c r="D65" s="31">
        <f>IF('res_raw'!$D$4="","—",IF(ABS(D7-'res_raw'!$D$4)&lt;=1,"✓ OK","❌ "&amp;TEXT(D7-'res_raw'!$D$4,"+#,##0;-#,##0")&amp;" t.EUR"))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IF('res_raw'!$F$12="","—",IF(ABS(B13-'res_raw'!$F$12)&lt;=1,"✓ OK","❌ "&amp;TEXT(B13-'res_raw'!$F$12,"+#,##0;-#,##0")&amp;" t.EUR"))</f>
        <v/>
      </c>
      <c r="C66" s="31">
        <f>IF('res_raw'!$E$12="","—",IF(ABS(C13-'res_raw'!$E$12)&lt;=1,"✓ OK","❌ "&amp;TEXT(C13-'res_raw'!$E$12,"+#,##0;-#,##0")&amp;" t.EUR"))</f>
        <v/>
      </c>
      <c r="D66" s="31">
        <f>IF('res_raw'!$D$12="","—",IF(ABS(D13-'res_raw'!$D$12)&lt;=1,"✓ OK","❌ "&amp;TEXT(D13-'res_raw'!$D$12,"+#,##0;-#,##0")&amp;" t.EUR"))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IF('res_raw'!$F$17="","—",IF(ABS(B16-'res_raw'!$F$17)&lt;=1,"✓ OK","❌ "&amp;TEXT(B16-'res_raw'!$F$17,"+#,##0;-#,##0")&amp;" t.EUR"))</f>
        <v/>
      </c>
      <c r="C67" s="31">
        <f>IF('res_raw'!$E$17="","—",IF(ABS(C16-'res_raw'!$E$17)&lt;=1,"✓ OK","❌ "&amp;TEXT(C16-'res_raw'!$E$17,"+#,##0;-#,##0")&amp;" t.EUR"))</f>
        <v/>
      </c>
      <c r="D67" s="31">
        <f>IF('res_raw'!$D$17="","—",IF(ABS(D16-'res_raw'!$D$17)&lt;=1,"✓ OK","❌ "&amp;TEXT(D16-'res_raw'!$D$17,"+#,##0;-#,##0")&amp;" t.EUR"))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2026-10-01T22:19:38Z</dcterms:created>
  <dcterms:modified xmlns:dcterms="http://purl.org/dc/terms/" xmlns:xsi="http://www.w3.org/2001/XMLSchema-instance" xsi:type="dcterms:W3CDTF">2026-10-01T22:19:38Z</dcterms:modified>
</cp:coreProperties>
</file>