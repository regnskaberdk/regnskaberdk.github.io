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8868728" sheetId="1" state="visible" r:id="rId1"/>
    <sheet xmlns:r="http://schemas.openxmlformats.org/officeDocument/2006/relationships" name="res_raw_58868728" sheetId="2" state="visible" r:id="rId2"/>
    <sheet xmlns:r="http://schemas.openxmlformats.org/officeDocument/2006/relationships" name="balance_raw_58868728" sheetId="3" state="visible" r:id="rId3"/>
    <sheet xmlns:r="http://schemas.openxmlformats.org/officeDocument/2006/relationships" name="pengestrom_raw_5886872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Gabriel Holding A/S (CVR 58868728) — Regnskabsanalyse – Resultatopgørelse &amp; Balance (t.kr.)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'res_raw_58868728'!$B$2</f>
        <v/>
      </c>
      <c r="C4" s="5">
        <f>'res_raw_58868728'!$C$2</f>
        <v/>
      </c>
      <c r="D4" s="5">
        <f>'res_raw_58868728'!$D$2</f>
        <v/>
      </c>
      <c r="E4" s="5">
        <f>'res_raw_58868728'!$E$2</f>
        <v/>
      </c>
      <c r="F4" s="5">
        <f>'res_raw_58868728'!$F$2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'res_raw_58868728'!$B$3</f>
        <v/>
      </c>
      <c r="C5" s="8">
        <f>'res_raw_58868728'!$C$3</f>
        <v/>
      </c>
      <c r="D5" s="8">
        <f>'res_raw_58868728'!$D$3</f>
        <v/>
      </c>
      <c r="E5" s="8">
        <f>'res_raw_58868728'!$E$3</f>
        <v/>
      </c>
      <c r="F5" s="8">
        <f>'res_raw_58868728'!$F$3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'res_raw_58868728'!$B$4</f>
        <v/>
      </c>
      <c r="C6" s="5">
        <f>'res_raw_58868728'!$C$4</f>
        <v/>
      </c>
      <c r="D6" s="5">
        <f>'res_raw_58868728'!$D$4</f>
        <v/>
      </c>
      <c r="E6" s="5">
        <f>'res_raw_58868728'!$E$4</f>
        <v/>
      </c>
      <c r="F6" s="5">
        <f>'res_raw_58868728'!$F$4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'res_raw_58868728'!$B$5</f>
        <v/>
      </c>
      <c r="C7" s="8">
        <f>'res_raw_58868728'!$C$5</f>
        <v/>
      </c>
      <c r="D7" s="8">
        <f>'res_raw_58868728'!$D$5</f>
        <v/>
      </c>
      <c r="E7" s="8">
        <f>'res_raw_58868728'!$E$5</f>
        <v/>
      </c>
      <c r="F7" s="8">
        <f>'res_raw_58868728'!$F$5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'res_raw_58868728'!$B$6</f>
        <v/>
      </c>
      <c r="C8" s="11">
        <f>'res_raw_58868728'!$C$6</f>
        <v/>
      </c>
      <c r="D8" s="11">
        <f>'res_raw_58868728'!$D$6</f>
        <v/>
      </c>
      <c r="E8" s="11">
        <f>'res_raw_58868728'!$E$6</f>
        <v/>
      </c>
      <c r="F8" s="11">
        <f>'res_raw_58868728'!$F$6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'res_raw_58868728'!$B$7</f>
        <v/>
      </c>
      <c r="C9" s="8">
        <f>'res_raw_58868728'!$C$7</f>
        <v/>
      </c>
      <c r="D9" s="8">
        <f>'res_raw_58868728'!$D$7</f>
        <v/>
      </c>
      <c r="E9" s="8">
        <f>'res_raw_58868728'!$E$7</f>
        <v/>
      </c>
      <c r="F9" s="8">
        <f>'res_raw_58868728'!$F$7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'res_raw_58868728'!$B$9</f>
        <v/>
      </c>
      <c r="C11" s="8">
        <f>'res_raw_58868728'!$C$9</f>
        <v/>
      </c>
      <c r="D11" s="8">
        <f>'res_raw_58868728'!$D$9</f>
        <v/>
      </c>
      <c r="E11" s="8">
        <f>'res_raw_58868728'!$E$9</f>
        <v/>
      </c>
      <c r="F11" s="8">
        <f>'res_raw_58868728'!$F$9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'res_raw_58868728'!$B$10</f>
        <v/>
      </c>
      <c r="C12" s="5">
        <f>'res_raw_58868728'!$C$10</f>
        <v/>
      </c>
      <c r="D12" s="5">
        <f>'res_raw_58868728'!$D$10</f>
        <v/>
      </c>
      <c r="E12" s="5">
        <f>'res_raw_58868728'!$E$10</f>
        <v/>
      </c>
      <c r="F12" s="5">
        <f>'res_raw_58868728'!$F$10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'res_raw_58868728'!$B$11</f>
        <v/>
      </c>
      <c r="C13" s="11">
        <f>'res_raw_58868728'!$C$11</f>
        <v/>
      </c>
      <c r="D13" s="11">
        <f>'res_raw_58868728'!$D$11</f>
        <v/>
      </c>
      <c r="E13" s="11">
        <f>'res_raw_58868728'!$E$11</f>
        <v/>
      </c>
      <c r="F13" s="11">
        <f>'res_raw_58868728'!$F$11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'res_raw_58868728'!$B$12</f>
        <v/>
      </c>
      <c r="C14" s="5">
        <f>'res_raw_58868728'!$C$12</f>
        <v/>
      </c>
      <c r="D14" s="5">
        <f>'res_raw_58868728'!$D$12</f>
        <v/>
      </c>
      <c r="E14" s="5">
        <f>'res_raw_58868728'!$E$12</f>
        <v/>
      </c>
      <c r="F14" s="5">
        <f>'res_raw_58868728'!$F$12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'res_raw_58868728'!$B$13</f>
        <v/>
      </c>
      <c r="C15" s="8">
        <f>'res_raw_58868728'!$C$13</f>
        <v/>
      </c>
      <c r="D15" s="8">
        <f>'res_raw_58868728'!$D$13</f>
        <v/>
      </c>
      <c r="E15" s="8">
        <f>'res_raw_58868728'!$E$13</f>
        <v/>
      </c>
      <c r="F15" s="8">
        <f>'res_raw_58868728'!$F$13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'res_raw_58868728'!$B$14</f>
        <v/>
      </c>
      <c r="C16" s="5">
        <f>'res_raw_58868728'!$C$14</f>
        <v/>
      </c>
      <c r="D16" s="5">
        <f>'res_raw_58868728'!$D$14</f>
        <v/>
      </c>
      <c r="E16" s="5">
        <f>'res_raw_58868728'!$E$14</f>
        <v/>
      </c>
      <c r="F16" s="5">
        <f>'res_raw_58868728'!$F$14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'res_raw_58868728'!$B$15</f>
        <v/>
      </c>
      <c r="C17" s="11">
        <f>'res_raw_58868728'!$C$15</f>
        <v/>
      </c>
      <c r="D17" s="11">
        <f>'res_raw_58868728'!$D$15</f>
        <v/>
      </c>
      <c r="E17" s="11">
        <f>'res_raw_58868728'!$E$15</f>
        <v/>
      </c>
      <c r="F17" s="11">
        <f>'res_raw_58868728'!$F$15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'res_raw_58868728'!$B$16</f>
        <v/>
      </c>
      <c r="C18" s="11">
        <f>'res_raw_58868728'!$C$16</f>
        <v/>
      </c>
      <c r="D18" s="11">
        <f>'res_raw_58868728'!$D$16</f>
        <v/>
      </c>
      <c r="E18" s="11">
        <f>'res_raw_58868728'!$E$16</f>
        <v/>
      </c>
      <c r="F18" s="11">
        <f>'res_raw_58868728'!$F$16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'res_raw_58868728'!$B$17</f>
        <v/>
      </c>
      <c r="C19" s="8">
        <f>'res_raw_58868728'!$C$17</f>
        <v/>
      </c>
      <c r="D19" s="8">
        <f>'res_raw_58868728'!$D$17</f>
        <v/>
      </c>
      <c r="E19" s="8">
        <f>'res_raw_58868728'!$E$17</f>
        <v/>
      </c>
      <c r="F19" s="8">
        <f>'res_raw_58868728'!$F$17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'res_raw_58868728'!$B$18</f>
        <v/>
      </c>
      <c r="C20" s="11">
        <f>'res_raw_58868728'!$C$18</f>
        <v/>
      </c>
      <c r="D20" s="11">
        <f>'res_raw_58868728'!$D$18</f>
        <v/>
      </c>
      <c r="E20" s="11">
        <f>'res_raw_58868728'!$E$18</f>
        <v/>
      </c>
      <c r="F20" s="11">
        <f>'res_raw_58868728'!$F$18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'balance_raw_58868728'!$B$2</f>
        <v/>
      </c>
      <c r="C23" s="8">
        <f>'balance_raw_58868728'!$C$2</f>
        <v/>
      </c>
      <c r="D23" s="8">
        <f>'balance_raw_58868728'!$D$2</f>
        <v/>
      </c>
      <c r="E23" s="8">
        <f>'balance_raw_58868728'!$E$2</f>
        <v/>
      </c>
      <c r="F23" s="8">
        <f>'balance_raw_58868728'!$F$2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'balance_raw_58868728'!$B$3</f>
        <v/>
      </c>
      <c r="C24" s="5">
        <f>'balance_raw_58868728'!$C$3</f>
        <v/>
      </c>
      <c r="D24" s="5">
        <f>'balance_raw_58868728'!$D$3</f>
        <v/>
      </c>
      <c r="E24" s="5">
        <f>'balance_raw_58868728'!$E$3</f>
        <v/>
      </c>
      <c r="F24" s="5">
        <f>'balance_raw_58868728'!$F$3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'balance_raw_58868728'!$B$4</f>
        <v/>
      </c>
      <c r="C25" s="8">
        <f>'balance_raw_58868728'!$C$4</f>
        <v/>
      </c>
      <c r="D25" s="8">
        <f>'balance_raw_58868728'!$D$4</f>
        <v/>
      </c>
      <c r="E25" s="8">
        <f>'balance_raw_58868728'!$E$4</f>
        <v/>
      </c>
      <c r="F25" s="8">
        <f>'balance_raw_58868728'!$F$4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'balance_raw_58868728'!$B$5</f>
        <v/>
      </c>
      <c r="C26" s="11">
        <f>'balance_raw_58868728'!$C$5</f>
        <v/>
      </c>
      <c r="D26" s="11">
        <f>'balance_raw_58868728'!$D$5</f>
        <v/>
      </c>
      <c r="E26" s="11">
        <f>'balance_raw_58868728'!$E$5</f>
        <v/>
      </c>
      <c r="F26" s="11">
        <f>'balance_raw_58868728'!$F$5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'balance_raw_58868728'!$B$6</f>
        <v/>
      </c>
      <c r="C27" s="8">
        <f>'balance_raw_58868728'!$C$6</f>
        <v/>
      </c>
      <c r="D27" s="8">
        <f>'balance_raw_58868728'!$D$6</f>
        <v/>
      </c>
      <c r="E27" s="8">
        <f>'balance_raw_58868728'!$E$6</f>
        <v/>
      </c>
      <c r="F27" s="8">
        <f>'balance_raw_58868728'!$F$6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'balance_raw_58868728'!$B$7</f>
        <v/>
      </c>
      <c r="C28" s="5">
        <f>'balance_raw_58868728'!$C$7</f>
        <v/>
      </c>
      <c r="D28" s="5">
        <f>'balance_raw_58868728'!$D$7</f>
        <v/>
      </c>
      <c r="E28" s="5">
        <f>'balance_raw_58868728'!$E$7</f>
        <v/>
      </c>
      <c r="F28" s="5">
        <f>'balance_raw_58868728'!$F$7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'balance_raw_58868728'!$B$8</f>
        <v/>
      </c>
      <c r="C29" s="8">
        <f>'balance_raw_58868728'!$C$8</f>
        <v/>
      </c>
      <c r="D29" s="8">
        <f>'balance_raw_58868728'!$D$8</f>
        <v/>
      </c>
      <c r="E29" s="8">
        <f>'balance_raw_58868728'!$E$8</f>
        <v/>
      </c>
      <c r="F29" s="8">
        <f>'balance_raw_58868728'!$F$8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'balance_raw_58868728'!$B$9</f>
        <v/>
      </c>
      <c r="C30" s="5">
        <f>'balance_raw_58868728'!$C$9</f>
        <v/>
      </c>
      <c r="D30" s="5">
        <f>'balance_raw_58868728'!$D$9</f>
        <v/>
      </c>
      <c r="E30" s="5">
        <f>'balance_raw_58868728'!$E$9</f>
        <v/>
      </c>
      <c r="F30" s="5">
        <f>'balance_raw_58868728'!$F$9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'balance_raw_58868728'!$B$10</f>
        <v/>
      </c>
      <c r="C31" s="8">
        <f>'balance_raw_58868728'!$C$10</f>
        <v/>
      </c>
      <c r="D31" s="8">
        <f>'balance_raw_58868728'!$D$10</f>
        <v/>
      </c>
      <c r="E31" s="8">
        <f>'balance_raw_58868728'!$E$10</f>
        <v/>
      </c>
      <c r="F31" s="8">
        <f>'balance_raw_58868728'!$F$10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'balance_raw_58868728'!$B$11</f>
        <v/>
      </c>
      <c r="C32" s="11">
        <f>'balance_raw_58868728'!$C$11</f>
        <v/>
      </c>
      <c r="D32" s="11">
        <f>'balance_raw_58868728'!$D$11</f>
        <v/>
      </c>
      <c r="E32" s="11">
        <f>'balance_raw_58868728'!$E$11</f>
        <v/>
      </c>
      <c r="F32" s="11">
        <f>'balance_raw_58868728'!$F$11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'balance_raw_58868728'!$B$12</f>
        <v/>
      </c>
      <c r="C33" s="8">
        <f>'balance_raw_58868728'!$C$12</f>
        <v/>
      </c>
      <c r="D33" s="8">
        <f>'balance_raw_58868728'!$D$12</f>
        <v/>
      </c>
      <c r="E33" s="8">
        <f>'balance_raw_58868728'!$E$12</f>
        <v/>
      </c>
      <c r="F33" s="8">
        <f>'balance_raw_58868728'!$F$12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'balance_raw_58868728'!$B$13</f>
        <v/>
      </c>
      <c r="C34" s="5">
        <f>'balance_raw_58868728'!$C$13</f>
        <v/>
      </c>
      <c r="D34" s="5">
        <f>'balance_raw_58868728'!$D$13</f>
        <v/>
      </c>
      <c r="E34" s="5">
        <f>'balance_raw_58868728'!$E$13</f>
        <v/>
      </c>
      <c r="F34" s="5">
        <f>'balance_raw_58868728'!$F$13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'balance_raw_58868728'!$B$14</f>
        <v/>
      </c>
      <c r="C35" s="11">
        <f>'balance_raw_58868728'!$C$14</f>
        <v/>
      </c>
      <c r="D35" s="11">
        <f>'balance_raw_58868728'!$D$14</f>
        <v/>
      </c>
      <c r="E35" s="11">
        <f>'balance_raw_58868728'!$E$14</f>
        <v/>
      </c>
      <c r="F35" s="11">
        <f>'balance_raw_58868728'!$F$14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'balance_raw_58868728'!$B$15</f>
        <v/>
      </c>
      <c r="C36" s="11">
        <f>'balance_raw_58868728'!$C$15</f>
        <v/>
      </c>
      <c r="D36" s="11">
        <f>'balance_raw_58868728'!$D$15</f>
        <v/>
      </c>
      <c r="E36" s="11">
        <f>'balance_raw_58868728'!$E$15</f>
        <v/>
      </c>
      <c r="F36" s="11">
        <f>'balance_raw_58868728'!$F$15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'balance_raw_58868728'!$B$16</f>
        <v/>
      </c>
      <c r="C37" s="11">
        <f>'balance_raw_58868728'!$C$16</f>
        <v/>
      </c>
      <c r="D37" s="11">
        <f>'balance_raw_58868728'!$D$16</f>
        <v/>
      </c>
      <c r="E37" s="11">
        <f>'balance_raw_58868728'!$E$16</f>
        <v/>
      </c>
      <c r="F37" s="11">
        <f>'balance_raw_58868728'!$F$16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'balance_raw_58868728'!$B$17</f>
        <v/>
      </c>
      <c r="C38" s="5">
        <f>'balance_raw_58868728'!$C$17</f>
        <v/>
      </c>
      <c r="D38" s="5">
        <f>'balance_raw_58868728'!$D$17</f>
        <v/>
      </c>
      <c r="E38" s="5">
        <f>'balance_raw_58868728'!$E$17</f>
        <v/>
      </c>
      <c r="F38" s="5">
        <f>'balance_raw_58868728'!$F$17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'balance_raw_58868728'!$B$18</f>
        <v/>
      </c>
      <c r="C39" s="8">
        <f>'balance_raw_58868728'!$C$18</f>
        <v/>
      </c>
      <c r="D39" s="8">
        <f>'balance_raw_58868728'!$D$18</f>
        <v/>
      </c>
      <c r="E39" s="8">
        <f>'balance_raw_58868728'!$E$18</f>
        <v/>
      </c>
      <c r="F39" s="8">
        <f>'balance_raw_58868728'!$F$18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'balance_raw_58868728'!$B$19</f>
        <v/>
      </c>
      <c r="C40" s="5">
        <f>'balance_raw_58868728'!$C$19</f>
        <v/>
      </c>
      <c r="D40" s="5">
        <f>'balance_raw_58868728'!$D$19</f>
        <v/>
      </c>
      <c r="E40" s="5">
        <f>'balance_raw_58868728'!$E$19</f>
        <v/>
      </c>
      <c r="F40" s="5">
        <f>'balance_raw_58868728'!$F$19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'balance_raw_58868728'!$B$20</f>
        <v/>
      </c>
      <c r="C41" s="8">
        <f>'balance_raw_58868728'!$C$20</f>
        <v/>
      </c>
      <c r="D41" s="8">
        <f>'balance_raw_58868728'!$D$20</f>
        <v/>
      </c>
      <c r="E41" s="8">
        <f>'balance_raw_58868728'!$E$20</f>
        <v/>
      </c>
      <c r="F41" s="8">
        <f>'balance_raw_58868728'!$F$20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'balance_raw_58868728'!$B$21</f>
        <v/>
      </c>
      <c r="C42" s="5">
        <f>'balance_raw_58868728'!$C$21</f>
        <v/>
      </c>
      <c r="D42" s="5">
        <f>'balance_raw_58868728'!$D$21</f>
        <v/>
      </c>
      <c r="E42" s="5">
        <f>'balance_raw_58868728'!$E$21</f>
        <v/>
      </c>
      <c r="F42" s="5">
        <f>'balance_raw_58868728'!$F$21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'balance_raw_58868728'!$B$22</f>
        <v/>
      </c>
      <c r="C43" s="8">
        <f>'balance_raw_58868728'!$C$22</f>
        <v/>
      </c>
      <c r="D43" s="8">
        <f>'balance_raw_58868728'!$D$22</f>
        <v/>
      </c>
      <c r="E43" s="8">
        <f>'balance_raw_58868728'!$E$22</f>
        <v/>
      </c>
      <c r="F43" s="8">
        <f>'balance_raw_58868728'!$F$22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'balance_raw_58868728'!$B$23</f>
        <v/>
      </c>
      <c r="C44" s="5">
        <f>'balance_raw_58868728'!$C$23</f>
        <v/>
      </c>
      <c r="D44" s="5">
        <f>'balance_raw_58868728'!$D$23</f>
        <v/>
      </c>
      <c r="E44" s="5">
        <f>'balance_raw_58868728'!$E$23</f>
        <v/>
      </c>
      <c r="F44" s="5">
        <f>'balance_raw_58868728'!$F$23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'balance_raw_58868728'!$B$24</f>
        <v/>
      </c>
      <c r="C45" s="11">
        <f>'balance_raw_58868728'!$C$24</f>
        <v/>
      </c>
      <c r="D45" s="11">
        <f>'balance_raw_58868728'!$D$24</f>
        <v/>
      </c>
      <c r="E45" s="11">
        <f>'balance_raw_58868728'!$E$24</f>
        <v/>
      </c>
      <c r="F45" s="11">
        <f>'balance_raw_58868728'!$F$24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'balance_raw_58868728'!$B$25</f>
        <v/>
      </c>
      <c r="C46" s="5">
        <f>'balance_raw_58868728'!$C$25</f>
        <v/>
      </c>
      <c r="D46" s="5">
        <f>'balance_raw_58868728'!$D$25</f>
        <v/>
      </c>
      <c r="E46" s="5">
        <f>'balance_raw_58868728'!$E$25</f>
        <v/>
      </c>
      <c r="F46" s="5">
        <f>'balance_raw_58868728'!$F$25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'balance_raw_58868728'!$B$26</f>
        <v/>
      </c>
      <c r="C47" s="8">
        <f>'balance_raw_58868728'!$C$26</f>
        <v/>
      </c>
      <c r="D47" s="8">
        <f>'balance_raw_58868728'!$D$26</f>
        <v/>
      </c>
      <c r="E47" s="8">
        <f>'balance_raw_58868728'!$E$26</f>
        <v/>
      </c>
      <c r="F47" s="8">
        <f>'balance_raw_58868728'!$F$26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'balance_raw_58868728'!$B$27</f>
        <v/>
      </c>
      <c r="C48" s="11">
        <f>'balance_raw_58868728'!$C$27</f>
        <v/>
      </c>
      <c r="D48" s="11">
        <f>'balance_raw_58868728'!$D$27</f>
        <v/>
      </c>
      <c r="E48" s="11">
        <f>'balance_raw_58868728'!$E$27</f>
        <v/>
      </c>
      <c r="F48" s="11">
        <f>'balance_raw_58868728'!$F$27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'balance_raw_58868728'!$B$28</f>
        <v/>
      </c>
      <c r="C49" s="11">
        <f>'balance_raw_58868728'!$C$28</f>
        <v/>
      </c>
      <c r="D49" s="11">
        <f>'balance_raw_58868728'!$D$28</f>
        <v/>
      </c>
      <c r="E49" s="11">
        <f>'balance_raw_58868728'!$E$28</f>
        <v/>
      </c>
      <c r="F49" s="11">
        <f>'balance_raw_58868728'!$F$28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'balance_raw_58868728'!$B$29</f>
        <v/>
      </c>
      <c r="C52" s="5">
        <f>'balance_raw_58868728'!$C$29</f>
        <v/>
      </c>
      <c r="D52" s="5">
        <f>'balance_raw_58868728'!$D$29</f>
        <v/>
      </c>
      <c r="E52" s="5">
        <f>'balance_raw_58868728'!$E$29</f>
        <v/>
      </c>
      <c r="F52" s="5">
        <f>'balance_raw_58868728'!$F$29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'balance_raw_58868728'!$B$30</f>
        <v/>
      </c>
      <c r="C53" s="8">
        <f>'balance_raw_58868728'!$C$30</f>
        <v/>
      </c>
      <c r="D53" s="8">
        <f>'balance_raw_58868728'!$D$30</f>
        <v/>
      </c>
      <c r="E53" s="8">
        <f>'balance_raw_58868728'!$E$30</f>
        <v/>
      </c>
      <c r="F53" s="8">
        <f>'balance_raw_58868728'!$F$30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'balance_raw_58868728'!$B$31</f>
        <v/>
      </c>
      <c r="C54" s="5">
        <f>'balance_raw_58868728'!$C$31</f>
        <v/>
      </c>
      <c r="D54" s="5">
        <f>'balance_raw_58868728'!$D$31</f>
        <v/>
      </c>
      <c r="E54" s="5">
        <f>'balance_raw_58868728'!$E$31</f>
        <v/>
      </c>
      <c r="F54" s="5">
        <f>'balance_raw_58868728'!$F$31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'balance_raw_58868728'!$B$32</f>
        <v/>
      </c>
      <c r="C55" s="8">
        <f>'balance_raw_58868728'!$C$32</f>
        <v/>
      </c>
      <c r="D55" s="8">
        <f>'balance_raw_58868728'!$D$32</f>
        <v/>
      </c>
      <c r="E55" s="8">
        <f>'balance_raw_58868728'!$E$32</f>
        <v/>
      </c>
      <c r="F55" s="8">
        <f>'balance_raw_58868728'!$F$32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'balance_raw_58868728'!$B$33</f>
        <v/>
      </c>
      <c r="C56" s="5">
        <f>'balance_raw_58868728'!$C$33</f>
        <v/>
      </c>
      <c r="D56" s="5">
        <f>'balance_raw_58868728'!$D$33</f>
        <v/>
      </c>
      <c r="E56" s="5">
        <f>'balance_raw_58868728'!$E$33</f>
        <v/>
      </c>
      <c r="F56" s="5">
        <f>'balance_raw_58868728'!$F$33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'balance_raw_58868728'!$B$34</f>
        <v/>
      </c>
      <c r="C57" s="8">
        <f>'balance_raw_58868728'!$C$34</f>
        <v/>
      </c>
      <c r="D57" s="8">
        <f>'balance_raw_58868728'!$D$34</f>
        <v/>
      </c>
      <c r="E57" s="8">
        <f>'balance_raw_58868728'!$E$34</f>
        <v/>
      </c>
      <c r="F57" s="8">
        <f>'balance_raw_58868728'!$F$34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'balance_raw_58868728'!$B$35</f>
        <v/>
      </c>
      <c r="C58" s="11">
        <f>'balance_raw_58868728'!$C$35</f>
        <v/>
      </c>
      <c r="D58" s="11">
        <f>'balance_raw_58868728'!$D$35</f>
        <v/>
      </c>
      <c r="E58" s="11">
        <f>'balance_raw_58868728'!$E$35</f>
        <v/>
      </c>
      <c r="F58" s="11">
        <f>'balance_raw_58868728'!$F$35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'balance_raw_58868728'!$B$36</f>
        <v/>
      </c>
      <c r="C59" s="8">
        <f>'balance_raw_58868728'!$C$36</f>
        <v/>
      </c>
      <c r="D59" s="8">
        <f>'balance_raw_58868728'!$D$36</f>
        <v/>
      </c>
      <c r="E59" s="8">
        <f>'balance_raw_58868728'!$E$36</f>
        <v/>
      </c>
      <c r="F59" s="8">
        <f>'balance_raw_58868728'!$F$36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'balance_raw_58868728'!$B$37</f>
        <v/>
      </c>
      <c r="C60" s="11">
        <f>'balance_raw_58868728'!$C$37</f>
        <v/>
      </c>
      <c r="D60" s="11">
        <f>'balance_raw_58868728'!$D$37</f>
        <v/>
      </c>
      <c r="E60" s="11">
        <f>'balance_raw_58868728'!$E$37</f>
        <v/>
      </c>
      <c r="F60" s="11">
        <f>'balance_raw_58868728'!$F$37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'balance_raw_58868728'!$B$38</f>
        <v/>
      </c>
      <c r="C61" s="8">
        <f>'balance_raw_58868728'!$C$38</f>
        <v/>
      </c>
      <c r="D61" s="8">
        <f>'balance_raw_58868728'!$D$38</f>
        <v/>
      </c>
      <c r="E61" s="8">
        <f>'balance_raw_58868728'!$E$38</f>
        <v/>
      </c>
      <c r="F61" s="8">
        <f>'balance_raw_58868728'!$F$38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'balance_raw_58868728'!$B$39</f>
        <v/>
      </c>
      <c r="C62" s="5">
        <f>'balance_raw_58868728'!$C$39</f>
        <v/>
      </c>
      <c r="D62" s="5">
        <f>'balance_raw_58868728'!$D$39</f>
        <v/>
      </c>
      <c r="E62" s="5">
        <f>'balance_raw_58868728'!$E$39</f>
        <v/>
      </c>
      <c r="F62" s="5">
        <f>'balance_raw_58868728'!$F$39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'balance_raw_58868728'!$B$40</f>
        <v/>
      </c>
      <c r="C63" s="8">
        <f>'balance_raw_58868728'!$C$40</f>
        <v/>
      </c>
      <c r="D63" s="8">
        <f>'balance_raw_58868728'!$D$40</f>
        <v/>
      </c>
      <c r="E63" s="8">
        <f>'balance_raw_58868728'!$E$40</f>
        <v/>
      </c>
      <c r="F63" s="8">
        <f>'balance_raw_58868728'!$F$40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'balance_raw_58868728'!$B$41</f>
        <v/>
      </c>
      <c r="C64" s="5">
        <f>'balance_raw_58868728'!$C$41</f>
        <v/>
      </c>
      <c r="D64" s="5">
        <f>'balance_raw_58868728'!$D$41</f>
        <v/>
      </c>
      <c r="E64" s="5">
        <f>'balance_raw_58868728'!$E$41</f>
        <v/>
      </c>
      <c r="F64" s="5">
        <f>'balance_raw_58868728'!$F$41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'balance_raw_58868728'!$B$42</f>
        <v/>
      </c>
      <c r="C65" s="11">
        <f>'balance_raw_58868728'!$C$42</f>
        <v/>
      </c>
      <c r="D65" s="11">
        <f>'balance_raw_58868728'!$D$42</f>
        <v/>
      </c>
      <c r="E65" s="11">
        <f>'balance_raw_58868728'!$E$42</f>
        <v/>
      </c>
      <c r="F65" s="11">
        <f>'balance_raw_58868728'!$F$42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'balance_raw_58868728'!$B$43</f>
        <v/>
      </c>
      <c r="C66" s="5">
        <f>'balance_raw_58868728'!$C$43</f>
        <v/>
      </c>
      <c r="D66" s="5">
        <f>'balance_raw_58868728'!$D$43</f>
        <v/>
      </c>
      <c r="E66" s="5">
        <f>'balance_raw_58868728'!$E$43</f>
        <v/>
      </c>
      <c r="F66" s="5">
        <f>'balance_raw_58868728'!$F$43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'balance_raw_58868728'!$B$44</f>
        <v/>
      </c>
      <c r="C67" s="8">
        <f>'balance_raw_58868728'!$C$44</f>
        <v/>
      </c>
      <c r="D67" s="8">
        <f>'balance_raw_58868728'!$D$44</f>
        <v/>
      </c>
      <c r="E67" s="8">
        <f>'balance_raw_58868728'!$E$44</f>
        <v/>
      </c>
      <c r="F67" s="8">
        <f>'balance_raw_58868728'!$F$44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'balance_raw_58868728'!$B$45</f>
        <v/>
      </c>
      <c r="C68" s="5">
        <f>'balance_raw_58868728'!$C$45</f>
        <v/>
      </c>
      <c r="D68" s="5">
        <f>'balance_raw_58868728'!$D$45</f>
        <v/>
      </c>
      <c r="E68" s="5">
        <f>'balance_raw_58868728'!$E$45</f>
        <v/>
      </c>
      <c r="F68" s="5">
        <f>'balance_raw_58868728'!$F$45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'balance_raw_58868728'!$B$46</f>
        <v/>
      </c>
      <c r="C69" s="8">
        <f>'balance_raw_58868728'!$C$46</f>
        <v/>
      </c>
      <c r="D69" s="8">
        <f>'balance_raw_58868728'!$D$46</f>
        <v/>
      </c>
      <c r="E69" s="8">
        <f>'balance_raw_58868728'!$E$46</f>
        <v/>
      </c>
      <c r="F69" s="8">
        <f>'balance_raw_58868728'!$F$46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'balance_raw_58868728'!$B$47</f>
        <v/>
      </c>
      <c r="C70" s="5">
        <f>'balance_raw_58868728'!$C$47</f>
        <v/>
      </c>
      <c r="D70" s="5">
        <f>'balance_raw_58868728'!$D$47</f>
        <v/>
      </c>
      <c r="E70" s="5">
        <f>'balance_raw_58868728'!$E$47</f>
        <v/>
      </c>
      <c r="F70" s="5">
        <f>'balance_raw_58868728'!$F$47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'balance_raw_58868728'!$B$48</f>
        <v/>
      </c>
      <c r="C71" s="8">
        <f>'balance_raw_58868728'!$C$48</f>
        <v/>
      </c>
      <c r="D71" s="8">
        <f>'balance_raw_58868728'!$D$48</f>
        <v/>
      </c>
      <c r="E71" s="8">
        <f>'balance_raw_58868728'!$E$48</f>
        <v/>
      </c>
      <c r="F71" s="8">
        <f>'balance_raw_58868728'!$F$48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'balance_raw_58868728'!$B$49</f>
        <v/>
      </c>
      <c r="C72" s="5">
        <f>'balance_raw_58868728'!$C$49</f>
        <v/>
      </c>
      <c r="D72" s="5">
        <f>'balance_raw_58868728'!$D$49</f>
        <v/>
      </c>
      <c r="E72" s="5">
        <f>'balance_raw_58868728'!$E$49</f>
        <v/>
      </c>
      <c r="F72" s="5">
        <f>'balance_raw_58868728'!$F$49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'balance_raw_58868728'!$B$50</f>
        <v/>
      </c>
      <c r="C73" s="8">
        <f>'balance_raw_58868728'!$C$50</f>
        <v/>
      </c>
      <c r="D73" s="8">
        <f>'balance_raw_58868728'!$D$50</f>
        <v/>
      </c>
      <c r="E73" s="8">
        <f>'balance_raw_58868728'!$E$50</f>
        <v/>
      </c>
      <c r="F73" s="8">
        <f>'balance_raw_58868728'!$F$50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'balance_raw_58868728'!$B$51</f>
        <v/>
      </c>
      <c r="C74" s="5">
        <f>'balance_raw_58868728'!$C$51</f>
        <v/>
      </c>
      <c r="D74" s="5">
        <f>'balance_raw_58868728'!$D$51</f>
        <v/>
      </c>
      <c r="E74" s="5">
        <f>'balance_raw_58868728'!$E$51</f>
        <v/>
      </c>
      <c r="F74" s="5">
        <f>'balance_raw_58868728'!$F$51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'balance_raw_58868728'!$B$52</f>
        <v/>
      </c>
      <c r="C75" s="8">
        <f>'balance_raw_58868728'!$C$52</f>
        <v/>
      </c>
      <c r="D75" s="8">
        <f>'balance_raw_58868728'!$D$52</f>
        <v/>
      </c>
      <c r="E75" s="8">
        <f>'balance_raw_58868728'!$E$52</f>
        <v/>
      </c>
      <c r="F75" s="8">
        <f>'balance_raw_58868728'!$F$52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'balance_raw_58868728'!$B$53</f>
        <v/>
      </c>
      <c r="C76" s="5">
        <f>'balance_raw_58868728'!$C$53</f>
        <v/>
      </c>
      <c r="D76" s="5">
        <f>'balance_raw_58868728'!$D$53</f>
        <v/>
      </c>
      <c r="E76" s="5">
        <f>'balance_raw_58868728'!$E$53</f>
        <v/>
      </c>
      <c r="F76" s="5">
        <f>'balance_raw_58868728'!$F$53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'balance_raw_58868728'!$B$54</f>
        <v/>
      </c>
      <c r="C77" s="11">
        <f>'balance_raw_58868728'!$C$54</f>
        <v/>
      </c>
      <c r="D77" s="11">
        <f>'balance_raw_58868728'!$D$54</f>
        <v/>
      </c>
      <c r="E77" s="11">
        <f>'balance_raw_58868728'!$E$54</f>
        <v/>
      </c>
      <c r="F77" s="11">
        <f>'balance_raw_58868728'!$F$54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'balance_raw_58868728'!$B$55</f>
        <v/>
      </c>
      <c r="C78" s="11">
        <f>'balance_raw_58868728'!$C$55</f>
        <v/>
      </c>
      <c r="D78" s="11">
        <f>'balance_raw_58868728'!$D$55</f>
        <v/>
      </c>
      <c r="E78" s="11">
        <f>'balance_raw_58868728'!$E$55</f>
        <v/>
      </c>
      <c r="F78" s="11">
        <f>'balance_raw_58868728'!$F$55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'balance_raw_58868728'!$B$56</f>
        <v/>
      </c>
      <c r="C79" s="11">
        <f>'balance_raw_58868728'!$C$56</f>
        <v/>
      </c>
      <c r="D79" s="11">
        <f>'balance_raw_58868728'!$D$56</f>
        <v/>
      </c>
      <c r="E79" s="11">
        <f>'balance_raw_58868728'!$E$56</f>
        <v/>
      </c>
      <c r="F79" s="11">
        <f>'balance_raw_58868728'!$F$56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'res_raw_58868728'!$B$19</f>
        <v/>
      </c>
      <c r="C82" s="5">
        <f>'res_raw_58868728'!$C$19</f>
        <v/>
      </c>
      <c r="D82" s="5">
        <f>'res_raw_58868728'!$D$19</f>
        <v/>
      </c>
      <c r="E82" s="5">
        <f>'res_raw_58868728'!$E$19</f>
        <v/>
      </c>
      <c r="F82" s="5">
        <f>'res_raw_58868728'!$F$19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'res_raw_58868728'!$B$20</f>
        <v/>
      </c>
      <c r="C83" s="8">
        <f>'res_raw_58868728'!$C$20</f>
        <v/>
      </c>
      <c r="D83" s="8">
        <f>'res_raw_58868728'!$D$20</f>
        <v/>
      </c>
      <c r="E83" s="8">
        <f>'res_raw_58868728'!$E$20</f>
        <v/>
      </c>
      <c r="F83" s="8">
        <f>'res_raw_58868728'!$F$20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IFERROR($B$36/($B$58+$B$65)*100,"")</f>
        <v/>
      </c>
      <c r="C96" s="13">
        <f>IFERROR($C$36/($C$58+$C$65)*100,"")</f>
        <v/>
      </c>
      <c r="D96" s="13">
        <f>IFERROR($D$36/($D$58+$D$65)*100,"")</f>
        <v/>
      </c>
      <c r="E96" s="13">
        <f>IFERROR($E$36/($E$58+$E$65)*100,"")</f>
        <v/>
      </c>
      <c r="F96" s="13">
        <f>IFERROR($F$36/($F$58+$F$65)*100,"")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'pengestrom_raw_58868728'!$B$2</f>
        <v/>
      </c>
      <c r="C99" s="17">
        <f>'pengestrom_raw_58868728'!$C$2</f>
        <v/>
      </c>
      <c r="D99" s="17">
        <f>'pengestrom_raw_58868728'!$D$2</f>
        <v/>
      </c>
      <c r="E99" s="17">
        <f>'pengestrom_raw_58868728'!$E$2</f>
        <v/>
      </c>
      <c r="F99" s="17">
        <f>'pengestrom_raw_58868728'!$F$2</f>
        <v/>
      </c>
    </row>
    <row r="100">
      <c r="A100" s="16" t="inlineStr">
        <is>
          <t>Pengestrømme fra investeringsaktivitet</t>
        </is>
      </c>
      <c r="B100" s="17">
        <f>'pengestrom_raw_58868728'!$B$3</f>
        <v/>
      </c>
      <c r="C100" s="17">
        <f>'pengestrom_raw_58868728'!$C$3</f>
        <v/>
      </c>
      <c r="D100" s="17">
        <f>'pengestrom_raw_58868728'!$D$3</f>
        <v/>
      </c>
      <c r="E100" s="17">
        <f>'pengestrom_raw_58868728'!$E$3</f>
        <v/>
      </c>
      <c r="F100" s="17">
        <f>'pengestrom_raw_58868728'!$F$3</f>
        <v/>
      </c>
    </row>
    <row r="101">
      <c r="A101" s="16" t="inlineStr">
        <is>
          <t>Pengestrømme fra finansieringsaktivitet</t>
        </is>
      </c>
      <c r="B101" s="17">
        <f>'pengestrom_raw_58868728'!$B$4</f>
        <v/>
      </c>
      <c r="C101" s="17">
        <f>'pengestrom_raw_58868728'!$C$4</f>
        <v/>
      </c>
      <c r="D101" s="17">
        <f>'pengestrom_raw_58868728'!$D$4</f>
        <v/>
      </c>
      <c r="E101" s="17">
        <f>'pengestrom_raw_58868728'!$E$4</f>
        <v/>
      </c>
      <c r="F101" s="17">
        <f>'pengestrom_raw_58868728'!$F$4</f>
        <v/>
      </c>
    </row>
    <row r="102">
      <c r="A102" s="16" t="inlineStr">
        <is>
          <t>Årets pengestrøm (rapporteret)</t>
        </is>
      </c>
      <c r="B102" s="17">
        <f>'pengestrom_raw_58868728'!$B$5</f>
        <v/>
      </c>
      <c r="C102" s="17">
        <f>'pengestrom_raw_58868728'!$C$5</f>
        <v/>
      </c>
      <c r="D102" s="17">
        <f>'pengestrom_raw_58868728'!$D$5</f>
        <v/>
      </c>
      <c r="E102" s="17">
        <f>'pengestrom_raw_58868728'!$E$5</f>
        <v/>
      </c>
      <c r="F102" s="17">
        <f>'pengestrom_raw_58868728'!$F$5</f>
        <v/>
      </c>
    </row>
    <row r="103">
      <c r="A103" s="16" t="inlineStr">
        <is>
          <t>Krydstjek: drift + inv. + fin. = årets pengestrøm</t>
        </is>
      </c>
      <c r="B103">
        <f>IF(ABS(('pengestrom_raw_58868728'!$B$2+'pengestrom_raw_58868728'!$B$3+'pengestrom_raw_58868728'!$B$4)-'pengestrom_raw_58868728'!$B$5)&lt;=2,"✓","⚠ "&amp;TEXT(('pengestrom_raw_58868728'!$B$2+'pengestrom_raw_58868728'!$B$3+'pengestrom_raw_58868728'!$B$4)-'pengestrom_raw_58868728'!$B$5,"+#,##0;-#,##0"))</f>
        <v/>
      </c>
      <c r="C103">
        <f>IF(ABS(('pengestrom_raw_58868728'!$C$2+'pengestrom_raw_58868728'!$C$3+'pengestrom_raw_58868728'!$C$4)-'pengestrom_raw_58868728'!$C$5)&lt;=2,"✓","⚠ "&amp;TEXT(('pengestrom_raw_58868728'!$C$2+'pengestrom_raw_58868728'!$C$3+'pengestrom_raw_58868728'!$C$4)-'pengestrom_raw_58868728'!$C$5,"+#,##0;-#,##0"))</f>
        <v/>
      </c>
      <c r="D103">
        <f>IF(ABS(('pengestrom_raw_58868728'!$D$2+'pengestrom_raw_58868728'!$D$3+'pengestrom_raw_58868728'!$D$4)-'pengestrom_raw_58868728'!$D$5)&lt;=2,"✓","⚠ "&amp;TEXT(('pengestrom_raw_58868728'!$D$2+'pengestrom_raw_58868728'!$D$3+'pengestrom_raw_58868728'!$D$4)-'pengestrom_raw_58868728'!$D$5,"+#,##0;-#,##0"))</f>
        <v/>
      </c>
      <c r="E103">
        <f>IF(ABS(('pengestrom_raw_58868728'!$E$2+'pengestrom_raw_58868728'!$E$3+'pengestrom_raw_58868728'!$E$4)-'pengestrom_raw_58868728'!$E$5)&lt;=2,"✓","⚠ "&amp;TEXT(('pengestrom_raw_58868728'!$E$2+'pengestrom_raw_58868728'!$E$3+'pengestrom_raw_58868728'!$E$4)-'pengestrom_raw_58868728'!$E$5,"+#,##0;-#,##0"))</f>
        <v/>
      </c>
      <c r="F103">
        <f>IF(ABS(('pengestrom_raw_58868728'!$F$2+'pengestrom_raw_58868728'!$F$3+'pengestrom_raw_58868728'!$F$4)-'pengestrom_raw_58868728'!$F$5)&lt;=2,"✓","⚠ "&amp;TEXT(('pengestrom_raw_58868728'!$F$2+'pengestrom_raw_58868728'!$F$3+'pengestrom_raw_58868728'!$F$4)-'pengestrom_raw_58868728'!$F$5,"+#,##0;-#,##0"))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Gabriel Holding A/S (CVR 58868728)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809705</v>
      </c>
      <c r="C2" s="17" t="n">
        <v>1065012</v>
      </c>
      <c r="D2" s="17" t="n">
        <v>931153</v>
      </c>
      <c r="E2" s="17" t="n">
        <v>483482</v>
      </c>
      <c r="F2" s="17" t="n">
        <v>515969</v>
      </c>
    </row>
    <row r="3">
      <c r="A3" s="16" t="inlineStr">
        <is>
          <t>Andre driftsindtægter</t>
        </is>
      </c>
      <c r="B3" s="17" t="n">
        <v>893</v>
      </c>
      <c r="C3" s="17" t="n">
        <v>1482</v>
      </c>
      <c r="D3" s="17" t="n">
        <v>1019</v>
      </c>
      <c r="E3" s="17" t="n">
        <v>1205</v>
      </c>
      <c r="F3" s="17" t="n">
        <v>1414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69062</v>
      </c>
      <c r="C5" s="17" t="n">
        <v>86943</v>
      </c>
      <c r="D5" s="17" t="n">
        <v>91190</v>
      </c>
      <c r="E5" s="17" t="n">
        <v>71634</v>
      </c>
      <c r="F5" s="17" t="n">
        <v>73251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129908</v>
      </c>
      <c r="C7" s="17" t="n">
        <v>152922</v>
      </c>
      <c r="D7" s="17" t="n">
        <v>154842</v>
      </c>
      <c r="E7" s="17" t="n">
        <v>122851</v>
      </c>
      <c r="F7" s="17" t="n">
        <v>127290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37909</v>
      </c>
      <c r="C9" s="17" t="n">
        <v>42556</v>
      </c>
      <c r="D9" s="17" t="n">
        <v>48325</v>
      </c>
      <c r="E9" s="17" t="n">
        <v>37089</v>
      </c>
      <c r="F9" s="17" t="n">
        <v>39588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58633</v>
      </c>
      <c r="C11" s="17" t="n">
        <v>64928</v>
      </c>
      <c r="D11" s="17" t="n">
        <v>15929</v>
      </c>
      <c r="E11" s="17" t="n">
        <v>19673</v>
      </c>
      <c r="F11" s="17" t="n">
        <v>44100</v>
      </c>
    </row>
    <row r="12">
      <c r="A12" s="16" t="inlineStr">
        <is>
          <t>Indtægter af kapitalandele, dattervirksomheder</t>
        </is>
      </c>
      <c r="B12" s="17" t="n">
        <v>2963</v>
      </c>
      <c r="C12" s="17" t="n">
        <v>121</v>
      </c>
      <c r="D12" s="17" t="n">
        <v>398</v>
      </c>
      <c r="E12" s="17" t="n">
        <v>890</v>
      </c>
      <c r="F12" s="17" t="n">
        <v>2815</v>
      </c>
    </row>
    <row r="13">
      <c r="A13" s="16" t="inlineStr">
        <is>
          <t>Finansielle indtægter</t>
        </is>
      </c>
      <c r="B13" s="17" t="n">
        <v>1760</v>
      </c>
      <c r="C13" s="17" t="n">
        <v>20900</v>
      </c>
      <c r="D13" s="17" t="n">
        <v>641</v>
      </c>
      <c r="E13" s="17" t="n">
        <v>3761</v>
      </c>
      <c r="F13" s="17" t="n">
        <v>4126</v>
      </c>
    </row>
    <row r="14">
      <c r="A14" s="16" t="inlineStr">
        <is>
          <t>Finansielle omkostninger</t>
        </is>
      </c>
      <c r="B14" s="17" t="n">
        <v>4577</v>
      </c>
      <c r="C14" s="17" t="n">
        <v>5351</v>
      </c>
      <c r="D14" s="17" t="n">
        <v>14394</v>
      </c>
      <c r="E14" s="17" t="n">
        <v>20323</v>
      </c>
      <c r="F14" s="17" t="n">
        <v>17264</v>
      </c>
    </row>
    <row r="15">
      <c r="A15" s="15" t="inlineStr">
        <is>
          <t>Finansielle poster, netto</t>
        </is>
      </c>
      <c r="B15" s="17" t="n">
        <v>-2817</v>
      </c>
      <c r="C15" s="17" t="n">
        <v>15549</v>
      </c>
      <c r="D15" s="17" t="n">
        <v>-13753</v>
      </c>
      <c r="E15" s="17" t="n">
        <v>-16562</v>
      </c>
      <c r="F15" s="17" t="n">
        <v>-13138</v>
      </c>
    </row>
    <row r="16">
      <c r="A16" s="15" t="inlineStr">
        <is>
          <t>Resultat før skat</t>
        </is>
      </c>
      <c r="B16" s="17" t="n">
        <v>58779</v>
      </c>
      <c r="C16" s="17" t="n">
        <v>80598</v>
      </c>
      <c r="D16" s="17" t="n">
        <v>2575</v>
      </c>
      <c r="E16" s="17" t="n"/>
      <c r="F16" s="17" t="n"/>
    </row>
    <row r="17">
      <c r="A17" s="16" t="inlineStr">
        <is>
          <t>Skat af årets resultat</t>
        </is>
      </c>
      <c r="B17" s="17" t="n">
        <v>12601</v>
      </c>
      <c r="C17" s="17" t="n">
        <v>22438</v>
      </c>
      <c r="D17" s="17" t="n">
        <v>6903</v>
      </c>
      <c r="E17" s="17" t="n">
        <v>5455</v>
      </c>
      <c r="F17" s="17" t="n">
        <v>8963</v>
      </c>
    </row>
    <row r="18">
      <c r="A18" s="15" t="inlineStr">
        <is>
          <t>Årets resultat</t>
        </is>
      </c>
      <c r="B18" s="17" t="n">
        <v>46178</v>
      </c>
      <c r="C18" s="17" t="n">
        <v>58160</v>
      </c>
      <c r="D18" s="17" t="n">
        <v>-4329</v>
      </c>
      <c r="E18" s="17" t="n">
        <v>-1453</v>
      </c>
      <c r="F18" s="17" t="n">
        <v>24814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27783</v>
      </c>
      <c r="C20" s="17" t="n">
        <v>32150</v>
      </c>
      <c r="D20" s="17" t="n">
        <v>23710</v>
      </c>
      <c r="E20" s="17" t="n">
        <v>13934</v>
      </c>
      <c r="F20" s="17" t="n">
        <v>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Gabriel Holding A/S (CVR 58868728)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11734</v>
      </c>
      <c r="C2" s="17" t="n">
        <v>17095</v>
      </c>
      <c r="D2" s="17" t="n">
        <v>16677</v>
      </c>
      <c r="E2" s="17" t="n">
        <v>13869</v>
      </c>
      <c r="F2" s="17" t="n">
        <v>16094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51027</v>
      </c>
      <c r="C4" s="17" t="n">
        <v>50698</v>
      </c>
      <c r="D4" s="17" t="n">
        <v>51228</v>
      </c>
      <c r="E4" s="17" t="n">
        <v>27018</v>
      </c>
      <c r="F4" s="17" t="n">
        <v>25827</v>
      </c>
    </row>
    <row r="5">
      <c r="A5" s="15" t="inlineStr">
        <is>
          <t>Immaterielle anlægsaktiver</t>
        </is>
      </c>
      <c r="B5" s="17" t="n">
        <v>97314</v>
      </c>
      <c r="C5" s="17" t="n">
        <v>99087</v>
      </c>
      <c r="D5" s="17" t="n">
        <v>104323</v>
      </c>
      <c r="E5" s="17" t="n">
        <v>67140</v>
      </c>
      <c r="F5" s="17" t="n">
        <v>63011</v>
      </c>
    </row>
    <row r="6">
      <c r="A6" s="16" t="inlineStr">
        <is>
          <t>Grunde og bygninger</t>
        </is>
      </c>
      <c r="B6" s="17" t="n">
        <v>87836</v>
      </c>
      <c r="C6" s="17" t="n">
        <v>92463</v>
      </c>
      <c r="D6" s="17" t="n">
        <v>94256</v>
      </c>
      <c r="E6" s="17" t="n">
        <v>79164</v>
      </c>
      <c r="F6" s="17" t="n">
        <v>78423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>
        <v>13980</v>
      </c>
      <c r="C9" s="17" t="n">
        <v>15943</v>
      </c>
      <c r="D9" s="17" t="n">
        <v>17339</v>
      </c>
      <c r="E9" s="17" t="n">
        <v>10395</v>
      </c>
      <c r="F9" s="17" t="n">
        <v>7188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55064</v>
      </c>
      <c r="C11" s="17" t="n">
        <v>68938</v>
      </c>
      <c r="D11" s="17" t="n">
        <v>69661</v>
      </c>
      <c r="E11" s="17" t="n">
        <v>40374</v>
      </c>
      <c r="F11" s="17" t="n">
        <v>31726</v>
      </c>
    </row>
    <row r="12">
      <c r="A12" s="16" t="inlineStr">
        <is>
          <t>Kapitalandele, dattervirksomheder</t>
        </is>
      </c>
      <c r="B12" s="17" t="n">
        <v>33437</v>
      </c>
      <c r="C12" s="17" t="n">
        <v>32037</v>
      </c>
      <c r="D12" s="17" t="n">
        <v>32294</v>
      </c>
      <c r="E12" s="17" t="n">
        <v>32878</v>
      </c>
      <c r="F12" s="17" t="n">
        <v>35227</v>
      </c>
    </row>
    <row r="13">
      <c r="A13" s="16" t="inlineStr">
        <is>
          <t>Deposita</t>
        </is>
      </c>
      <c r="B13" s="17" t="n">
        <v>52640</v>
      </c>
      <c r="C13" s="17" t="n">
        <v>57040</v>
      </c>
      <c r="D13" s="17" t="n">
        <v>55521</v>
      </c>
      <c r="E13" s="17" t="n">
        <v>40291</v>
      </c>
      <c r="F13" s="17" t="n">
        <v>42130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364360</v>
      </c>
      <c r="C15" s="17" t="n">
        <v>385135</v>
      </c>
      <c r="D15" s="17" t="n">
        <v>394175</v>
      </c>
      <c r="E15" s="17" t="n">
        <v>277260</v>
      </c>
      <c r="F15" s="17" t="n">
        <v>279001</v>
      </c>
    </row>
    <row r="16">
      <c r="A16" s="15" t="inlineStr">
        <is>
          <t>Varebeholdninger</t>
        </is>
      </c>
      <c r="B16" s="17" t="n">
        <v>183310</v>
      </c>
      <c r="C16" s="17" t="n">
        <v>246330</v>
      </c>
      <c r="D16" s="17" t="n">
        <v>223832</v>
      </c>
      <c r="E16" s="17" t="n">
        <v>116444</v>
      </c>
      <c r="F16" s="17" t="n">
        <v>107500</v>
      </c>
    </row>
    <row r="17">
      <c r="A17" s="16" t="inlineStr">
        <is>
          <t>Tilgodehavender fra salg og tjenesteydelser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Periodeafgrænsningsposter (aktiver)</t>
        </is>
      </c>
      <c r="B20" s="17" t="n">
        <v>9065</v>
      </c>
      <c r="C20" s="17" t="n">
        <v>13335</v>
      </c>
      <c r="D20" s="17" t="n">
        <v>16174</v>
      </c>
      <c r="E20" s="17" t="n">
        <v>11322</v>
      </c>
      <c r="F20" s="17" t="n">
        <v>9743</v>
      </c>
    </row>
    <row r="21">
      <c r="A21" s="16" t="inlineStr">
        <is>
          <t>Udskudt skatteaktiv</t>
        </is>
      </c>
      <c r="B21" s="17" t="n">
        <v>19203</v>
      </c>
      <c r="C21" s="17" t="n">
        <v>25003</v>
      </c>
      <c r="D21" s="17" t="n">
        <v>23227</v>
      </c>
      <c r="E21" s="17" t="n">
        <v>7413</v>
      </c>
      <c r="F21" s="17" t="n">
        <v>6903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/>
      <c r="C23" s="17" t="n">
        <v>0</v>
      </c>
      <c r="D23" s="17" t="n">
        <v>5373</v>
      </c>
      <c r="E23" s="17" t="n">
        <v>4541</v>
      </c>
      <c r="F23" s="17" t="n">
        <v>0</v>
      </c>
    </row>
    <row r="24">
      <c r="A24" s="15" t="inlineStr">
        <is>
          <t>Tilgodehavender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46580</v>
      </c>
      <c r="C26" s="17" t="n">
        <v>77091</v>
      </c>
      <c r="D26" s="17" t="n">
        <v>38506</v>
      </c>
      <c r="E26" s="17" t="n">
        <v>26727</v>
      </c>
      <c r="F26" s="17" t="n">
        <v>35853</v>
      </c>
    </row>
    <row r="27">
      <c r="A27" s="15" t="inlineStr">
        <is>
          <t>Omsætningsaktiver</t>
        </is>
      </c>
      <c r="B27" s="17" t="n">
        <v>366791</v>
      </c>
      <c r="C27" s="17" t="n">
        <v>483414</v>
      </c>
      <c r="D27" s="17" t="n">
        <v>419584</v>
      </c>
      <c r="E27" s="17" t="n">
        <v>499955</v>
      </c>
      <c r="F27" s="17" t="n">
        <v>466700</v>
      </c>
    </row>
    <row r="28">
      <c r="A28" s="15" t="inlineStr">
        <is>
          <t>Aktiver</t>
        </is>
      </c>
      <c r="B28" s="17" t="n">
        <v>731151</v>
      </c>
      <c r="C28" s="17" t="n">
        <v>868549</v>
      </c>
      <c r="D28" s="17" t="n">
        <v>813760</v>
      </c>
      <c r="E28" s="17" t="n">
        <v>777215</v>
      </c>
      <c r="F28" s="17" t="n">
        <v>745701</v>
      </c>
    </row>
    <row r="29">
      <c r="A29" s="16" t="inlineStr">
        <is>
          <t>Selskabskapital</t>
        </is>
      </c>
      <c r="B29" s="17" t="n">
        <v>37800</v>
      </c>
      <c r="C29" s="17" t="n">
        <v>37800</v>
      </c>
      <c r="D29" s="17" t="n">
        <v>37800</v>
      </c>
      <c r="E29" s="17" t="n">
        <v>37800</v>
      </c>
      <c r="F29" s="17" t="n">
        <v>37800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Overført resultat</t>
        </is>
      </c>
      <c r="B34" s="17" t="n">
        <v>268002</v>
      </c>
      <c r="C34" s="17" t="n">
        <v>305844</v>
      </c>
      <c r="D34" s="17" t="n">
        <v>301518</v>
      </c>
      <c r="E34" s="17" t="n">
        <v>234550</v>
      </c>
      <c r="F34" s="17" t="n">
        <v>242017</v>
      </c>
    </row>
    <row r="35">
      <c r="A35" s="15" t="inlineStr">
        <is>
          <t>Egenkapital i alt</t>
        </is>
      </c>
      <c r="B35" s="17" t="n">
        <v>322124</v>
      </c>
      <c r="C35" s="17" t="n">
        <v>358749</v>
      </c>
      <c r="D35" s="17" t="n">
        <v>326581</v>
      </c>
      <c r="E35" s="17" t="n">
        <v>261627</v>
      </c>
      <c r="F35" s="17" t="n">
        <v>263693</v>
      </c>
    </row>
    <row r="36">
      <c r="A36" s="16" t="inlineStr">
        <is>
          <t>Hensættelse til udskudt skat</t>
        </is>
      </c>
      <c r="B36" s="17" t="n">
        <v>11254</v>
      </c>
      <c r="C36" s="17" t="n">
        <v>9989</v>
      </c>
      <c r="D36" s="17" t="n">
        <v>12031</v>
      </c>
      <c r="E36" s="17" t="n">
        <v>10318</v>
      </c>
      <c r="F36" s="17" t="n">
        <v>7225</v>
      </c>
    </row>
    <row r="37">
      <c r="A37" s="15" t="inlineStr">
        <is>
          <t>Hensatte forpligtelser</t>
        </is>
      </c>
      <c r="B37" s="17" t="n">
        <v>11254</v>
      </c>
      <c r="C37" s="17" t="n">
        <v>9989</v>
      </c>
      <c r="D37" s="17" t="n">
        <v>12031</v>
      </c>
      <c r="E37" s="17" t="n">
        <v>10318</v>
      </c>
      <c r="F37" s="17" t="n">
        <v>7225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39539</v>
      </c>
      <c r="C40" s="17" t="n">
        <v>34353</v>
      </c>
      <c r="D40" s="17" t="n">
        <v>35711</v>
      </c>
      <c r="E40" s="17" t="n">
        <v>27402</v>
      </c>
      <c r="F40" s="17" t="n">
        <v>44037</v>
      </c>
    </row>
    <row r="41">
      <c r="A41" s="16" t="inlineStr">
        <is>
          <t>Anden gæld (langfristet)</t>
        </is>
      </c>
      <c r="B41" s="17" t="n">
        <v>45636</v>
      </c>
      <c r="C41" s="17" t="n">
        <v>38923</v>
      </c>
      <c r="D41" s="17" t="n">
        <v>36324</v>
      </c>
      <c r="E41" s="17" t="n">
        <v>33742</v>
      </c>
      <c r="F41" s="17" t="n">
        <v>31043</v>
      </c>
    </row>
    <row r="42">
      <c r="A42" s="15" t="inlineStr">
        <is>
          <t>Langfristede gældsforpligtelser</t>
        </is>
      </c>
      <c r="B42" s="17" t="n">
        <v>96429</v>
      </c>
      <c r="C42" s="17" t="n">
        <v>83265</v>
      </c>
      <c r="D42" s="17" t="n">
        <v>84066</v>
      </c>
      <c r="E42" s="17" t="n">
        <v>71462</v>
      </c>
      <c r="F42" s="17" t="n">
        <v>82305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188730</v>
      </c>
      <c r="C45" s="17" t="n">
        <v>293400</v>
      </c>
      <c r="D45" s="17" t="n">
        <v>309787</v>
      </c>
      <c r="E45" s="17" t="n">
        <v>316700</v>
      </c>
      <c r="F45" s="17" t="n">
        <v>265739</v>
      </c>
    </row>
    <row r="46">
      <c r="A46" s="16" t="inlineStr">
        <is>
          <t>Leasingforpligtelser (kortfristet)</t>
        </is>
      </c>
      <c r="B46" s="17" t="n">
        <v>17215</v>
      </c>
      <c r="C46" s="17" t="n">
        <v>19303</v>
      </c>
      <c r="D46" s="17" t="n">
        <v>18164</v>
      </c>
      <c r="E46" s="17" t="n">
        <v>14687</v>
      </c>
      <c r="F46" s="17" t="n">
        <v>14609</v>
      </c>
    </row>
    <row r="47">
      <c r="A47" s="16" t="inlineStr">
        <is>
          <t>Leverandører af varer og tjenesteydelser</t>
        </is>
      </c>
      <c r="B47" s="17" t="n">
        <v>58370</v>
      </c>
      <c r="C47" s="17" t="n">
        <v>62534</v>
      </c>
      <c r="D47" s="17" t="n">
        <v>40392</v>
      </c>
      <c r="E47" s="17" t="n">
        <v>19404</v>
      </c>
      <c r="F47" s="17" t="n">
        <v>15616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35476</v>
      </c>
      <c r="C52" s="17" t="n">
        <v>30105</v>
      </c>
      <c r="D52" s="17" t="n">
        <v>33512</v>
      </c>
      <c r="E52" s="17" t="n">
        <v>25590</v>
      </c>
      <c r="F52" s="17" t="n">
        <v>27901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312598</v>
      </c>
      <c r="C54" s="17" t="n">
        <v>426535</v>
      </c>
      <c r="D54" s="17" t="n">
        <v>403113</v>
      </c>
      <c r="E54" s="17" t="n">
        <v>444126</v>
      </c>
      <c r="F54" s="17" t="n">
        <v>399703</v>
      </c>
    </row>
    <row r="55">
      <c r="A55" s="15" t="inlineStr">
        <is>
          <t>Gældsforpligtelser</t>
        </is>
      </c>
      <c r="B55" s="17" t="n">
        <v>409027</v>
      </c>
      <c r="C55" s="17" t="n">
        <v>509800</v>
      </c>
      <c r="D55" s="17" t="n">
        <v>487179</v>
      </c>
      <c r="E55" s="17" t="n">
        <v>515588</v>
      </c>
      <c r="F55" s="17" t="n">
        <v>482008</v>
      </c>
    </row>
    <row r="56">
      <c r="A56" s="15" t="inlineStr">
        <is>
          <t>Passiver</t>
        </is>
      </c>
      <c r="B56" s="17" t="n">
        <v>731151</v>
      </c>
      <c r="C56" s="17" t="n">
        <v>868549</v>
      </c>
      <c r="D56" s="17" t="n">
        <v>813760</v>
      </c>
      <c r="E56" s="17" t="n">
        <v>777215</v>
      </c>
      <c r="F56" s="17" t="n">
        <v>745701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Gabriel Holding A/S (CVR 58868728)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39355</v>
      </c>
      <c r="C2" s="17" t="n">
        <v>9092</v>
      </c>
      <c r="D2" s="17" t="n">
        <v>26509</v>
      </c>
      <c r="E2" s="17" t="n">
        <v>37290</v>
      </c>
      <c r="F2" s="17" t="n">
        <v>119743</v>
      </c>
    </row>
    <row r="3">
      <c r="A3" s="16" t="inlineStr">
        <is>
          <t>Pengestrømme fra investeringsaktivitet</t>
        </is>
      </c>
      <c r="B3" s="17" t="n">
        <v>-36554</v>
      </c>
      <c r="C3" s="17" t="n">
        <v>-41079</v>
      </c>
      <c r="D3" s="17" t="n">
        <v>-34762</v>
      </c>
      <c r="E3" s="17" t="n">
        <v>-20877</v>
      </c>
      <c r="F3" s="17" t="n">
        <v>-14858</v>
      </c>
    </row>
    <row r="4">
      <c r="A4" s="16" t="inlineStr">
        <is>
          <t>Pengestrømme fra finansieringsaktivitet</t>
        </is>
      </c>
      <c r="B4" s="17" t="n">
        <v>-32039</v>
      </c>
      <c r="C4" s="17" t="n">
        <v>-45218</v>
      </c>
      <c r="D4" s="17" t="n">
        <v>-43992</v>
      </c>
      <c r="E4" s="17" t="n">
        <v>-15923</v>
      </c>
      <c r="F4" s="17" t="n">
        <v>-78827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Gabriel Holding A/S (CVR 58868728) — Regnskabs- og nøgletal (CVR: 58868728)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'res_raw_58868728'!$F$2</f>
        <v/>
      </c>
      <c r="C5" s="24">
        <f>'res_raw_58868728'!$E$2</f>
        <v/>
      </c>
      <c r="D5" s="24">
        <f>'res_raw_58868728'!$D$2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'res_raw_58868728'!$F$3</f>
        <v/>
      </c>
      <c r="C6" s="24">
        <f>'res_raw_58868728'!$E$3</f>
        <v/>
      </c>
      <c r="D6" s="24">
        <f>'res_raw_58868728'!$D$3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-'res_raw_58868728'!$F$4</f>
        <v/>
      </c>
      <c r="C7" s="24">
        <f>-'res_raw_58868728'!$E$4</f>
        <v/>
      </c>
      <c r="D7" s="24">
        <f>-'res_raw_58868728'!$D$4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-'res_raw_58868728'!$F$5</f>
        <v/>
      </c>
      <c r="C8" s="24">
        <f>-'res_raw_58868728'!$E$5</f>
        <v/>
      </c>
      <c r="D8" s="24">
        <f>-'res_raw_58868728'!$D$5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IF(ABS((SUM(B5:B8))-'res_raw_58868728'!$F$6)&lt;=2,SUM(B5:B8),'res_raw_58868728'!$F$6)</f>
        <v/>
      </c>
      <c r="C9" s="27">
        <f>IF(ABS((SUM(C5:C8))-'res_raw_58868728'!$E$6)&lt;=2,SUM(C5:C8),'res_raw_58868728'!$E$6)</f>
        <v/>
      </c>
      <c r="D9" s="27">
        <f>IF(ABS((SUM(D5:D8))-'res_raw_58868728'!$D$6)&lt;=2,SUM(D5:D8),'res_raw_58868728'!$D$6)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-'res_raw_58868728'!$F$7</f>
        <v/>
      </c>
      <c r="C10" s="24">
        <f>-'res_raw_58868728'!$E$7</f>
        <v/>
      </c>
      <c r="D10" s="24">
        <f>-'res_raw_58868728'!$D$7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-'res_raw_58868728'!$F$9</f>
        <v/>
      </c>
      <c r="C11" s="24">
        <f>-'res_raw_58868728'!$E$9</f>
        <v/>
      </c>
      <c r="D11" s="24">
        <f>-'res_raw_58868728'!$D$9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-'res_raw_58868728'!$F$10</f>
        <v/>
      </c>
      <c r="C12" s="24">
        <f>-'res_raw_58868728'!$E$10</f>
        <v/>
      </c>
      <c r="D12" s="24">
        <f>-'res_raw_58868728'!$D$10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IF(ABS((SUM(B9:B12))-'res_raw_58868728'!$F$11)&lt;=2,SUM(B9:B12),'res_raw_58868728'!$F$11)</f>
        <v/>
      </c>
      <c r="C13" s="27">
        <f>IF(ABS((SUM(C9:C12))-'res_raw_58868728'!$E$11)&lt;=2,SUM(C9:C12),'res_raw_58868728'!$E$11)</f>
        <v/>
      </c>
      <c r="D13" s="27">
        <f>IF(ABS((SUM(D9:D12))-'res_raw_58868728'!$D$11)&lt;=2,SUM(D9:D12),'res_raw_58868728'!$D$11)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N('res_raw_58868728'!$F$12)+N('res_raw_58868728'!$F$13)</f>
        <v/>
      </c>
      <c r="C14" s="24">
        <f>N('res_raw_58868728'!$E$12)+N('res_raw_58868728'!$E$13)</f>
        <v/>
      </c>
      <c r="D14" s="24">
        <f>N('res_raw_58868728'!$D$12)+N('res_raw_58868728'!$D$13)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-'res_raw_58868728'!$F$14</f>
        <v/>
      </c>
      <c r="C15" s="24">
        <f>-'res_raw_58868728'!$E$14</f>
        <v/>
      </c>
      <c r="D15" s="24">
        <f>-'res_raw_58868728'!$D$14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IF(ABS((SUM(B13:B15))-'res_raw_58868728'!$F$16)&lt;=2,SUM(B13:B15),'res_raw_58868728'!$F$16)</f>
        <v/>
      </c>
      <c r="C16" s="27">
        <f>IF(ABS((SUM(C13:C15))-'res_raw_58868728'!$E$16)&lt;=2,SUM(C13:C15),'res_raw_58868728'!$E$16)</f>
        <v/>
      </c>
      <c r="D16" s="27">
        <f>IF(ABS((SUM(D13:D15))-'res_raw_58868728'!$D$16)&lt;=2,SUM(D13:D15),'res_raw_58868728'!$D$16)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'balance_raw_58868728'!$F$15</f>
        <v/>
      </c>
      <c r="C19" s="24">
        <f>'balance_raw_58868728'!$E$15</f>
        <v/>
      </c>
      <c r="D19" s="24">
        <f>'balance_raw_58868728'!$D$15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'balance_raw_58868728'!$F$27</f>
        <v/>
      </c>
      <c r="C20" s="24">
        <f>'balance_raw_58868728'!$E$27</f>
        <v/>
      </c>
      <c r="D20" s="24">
        <f>'balance_raw_58868728'!$D$27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'balance_raw_58868728'!$F$35</f>
        <v/>
      </c>
      <c r="C23" s="24">
        <f>'balance_raw_58868728'!$E$35</f>
        <v/>
      </c>
      <c r="D23" s="24">
        <f>'balance_raw_58868728'!$D$35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'balance_raw_58868728'!$F$56-'balance_raw_58868728'!$F$35</f>
        <v/>
      </c>
      <c r="C24" s="24">
        <f>'balance_raw_58868728'!$E$56-'balance_raw_58868728'!$E$35</f>
        <v/>
      </c>
      <c r="D24" s="24">
        <f>'balance_raw_58868728'!$D$56-'balance_raw_58868728'!$D$35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'balance_raw_58868728'!$F$16</f>
        <v/>
      </c>
      <c r="C28" s="24">
        <f>'balance_raw_58868728'!$E$16</f>
        <v/>
      </c>
      <c r="D28" s="24">
        <f>'balance_raw_58868728'!$D$16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'balance_raw_58868728'!$F$17</f>
        <v/>
      </c>
      <c r="C29" s="24">
        <f>'balance_raw_58868728'!$E$17</f>
        <v/>
      </c>
      <c r="D29" s="24">
        <f>'balance_raw_58868728'!$D$17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'balance_raw_58868728'!$F$54</f>
        <v/>
      </c>
      <c r="C30" s="24">
        <f>'balance_raw_58868728'!$E$54</f>
        <v/>
      </c>
      <c r="D30" s="24">
        <f>'balance_raw_58868728'!$D$54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IF('balance_raw_58868728'!$F$28="","—",IF(ABS(B21-'balance_raw_58868728'!$F$28)&lt;=1,"✓ OK","❌ "&amp;TEXT(B21-'balance_raw_58868728'!$F$28,"+#,##0;-#,##0")&amp;" t.kr."))</f>
        <v/>
      </c>
      <c r="C61" s="29">
        <f>IF('balance_raw_58868728'!$E$28="","—",IF(ABS(C21-'balance_raw_58868728'!$E$28)&lt;=1,"✓ OK","❌ "&amp;TEXT(C21-'balance_raw_58868728'!$E$28,"+#,##0;-#,##0")&amp;" t.kr."))</f>
        <v/>
      </c>
      <c r="D61" s="29">
        <f>IF('balance_raw_58868728'!$D$28="","—",IF(ABS(D21-'balance_raw_58868728'!$D$28)&lt;=1,"✓ OK","❌ "&amp;TEXT(D21-'balance_raw_58868728'!$D$28,"+#,##0;-#,##0")&amp;"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IF('balance_raw_58868728'!$F$56="","—",IF(ABS(B25-'balance_raw_58868728'!$F$56)&lt;=1,"✓ OK","❌ "&amp;TEXT(B25-'balance_raw_58868728'!$F$56,"+#,##0;-#,##0")&amp;" t.kr."))</f>
        <v/>
      </c>
      <c r="C62" s="29">
        <f>IF('balance_raw_58868728'!$E$56="","—",IF(ABS(C25-'balance_raw_58868728'!$E$56)&lt;=1,"✓ OK","❌ "&amp;TEXT(C25-'balance_raw_58868728'!$E$56,"+#,##0;-#,##0")&amp;" t.kr."))</f>
        <v/>
      </c>
      <c r="D62" s="29">
        <f>IF('balance_raw_58868728'!$D$56="","—",IF(ABS(D25-'balance_raw_58868728'!$D$56)&lt;=1,"✓ OK","❌ "&amp;TEXT(D25-'balance_raw_58868728'!$D$56,"+#,##0;-#,##0")&amp;"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IF('res_raw_58868728'!$F$6="","—",IF(ABS(B9-'res_raw_58868728'!$F$6)&lt;=1,"✓ OK","❌ "&amp;TEXT(B9-'res_raw_58868728'!$F$6,"+#,##0;-#,##0")&amp;" t.kr."))</f>
        <v/>
      </c>
      <c r="C64" s="29">
        <f>IF('res_raw_58868728'!$E$6="","—",IF(ABS(C9-'res_raw_58868728'!$E$6)&lt;=1,"✓ OK","❌ "&amp;TEXT(C9-'res_raw_58868728'!$E$6,"+#,##0;-#,##0")&amp;" t.kr."))</f>
        <v/>
      </c>
      <c r="D64" s="29">
        <f>IF('res_raw_58868728'!$D$6="","—",IF(ABS(D9-'res_raw_58868728'!$D$6)&lt;=1,"✓ OK","❌ "&amp;TEXT(D9-'res_raw_58868728'!$D$6,"+#,##0;-#,##0")&amp;"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IF('res_raw_58868728'!$F$11="","—",IF(ABS(B13-'res_raw_58868728'!$F$11)&lt;=1,"✓ OK","❌ "&amp;TEXT(B13-'res_raw_58868728'!$F$11,"+#,##0;-#,##0")&amp;" t.kr."))</f>
        <v/>
      </c>
      <c r="C65" s="29">
        <f>IF('res_raw_58868728'!$E$11="","—",IF(ABS(C13-'res_raw_58868728'!$E$11)&lt;=1,"✓ OK","❌ "&amp;TEXT(C13-'res_raw_58868728'!$E$11,"+#,##0;-#,##0")&amp;" t.kr."))</f>
        <v/>
      </c>
      <c r="D65" s="29">
        <f>IF('res_raw_58868728'!$D$11="","—",IF(ABS(D13-'res_raw_58868728'!$D$11)&lt;=1,"✓ OK","❌ "&amp;TEXT(D13-'res_raw_58868728'!$D$11,"+#,##0;-#,##0")&amp;"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IF('res_raw_58868728'!$F$16="","—",IF(ABS(B16-'res_raw_58868728'!$F$16)&lt;=1,"✓ OK","❌ "&amp;TEXT(B16-'res_raw_58868728'!$F$16,"+#,##0;-#,##0")&amp;" t.kr."))</f>
        <v/>
      </c>
      <c r="C66" s="29">
        <f>IF('res_raw_58868728'!$E$16="","—",IF(ABS(C16-'res_raw_58868728'!$E$16)&lt;=1,"✓ OK","❌ "&amp;TEXT(C16-'res_raw_58868728'!$E$16,"+#,##0;-#,##0")&amp;" t.kr."))</f>
        <v/>
      </c>
      <c r="D66" s="29">
        <f>IF('res_raw_58868728'!$D$16="","—",IF(ABS(D16-'res_raw_58868728'!$D$16)&lt;=1,"✓ OK","❌ "&amp;TEXT(D16-'res_raw_58868728'!$D$16,"+#,##0;-#,##0")&amp;"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Gabriel Holding A/S (CVR 58868728)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ifrs-full:AdjustmentsForFinanceIncomeCost</t>
        </is>
      </c>
      <c r="C3" s="34" t="inlineStr">
        <is>
          <t>ifrs-full:AdjustmentsForFinanceIncomeCost</t>
        </is>
      </c>
      <c r="D3" s="35" t="n">
        <v>-2817</v>
      </c>
      <c r="E3" s="35" t="n">
        <v>15549</v>
      </c>
      <c r="F3" s="35" t="n">
        <v>-13753</v>
      </c>
      <c r="G3" s="35" t="n">
        <v>-19672</v>
      </c>
      <c r="H3" s="35" t="n">
        <v>-10850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ifrs-full:AdjustmentsForIncomeTaxExpense</t>
        </is>
      </c>
      <c r="C4" s="37" t="inlineStr">
        <is>
          <t>ifrs-full:AdjustmentsForIncomeTaxExpense</t>
        </is>
      </c>
      <c r="D4" s="38" t="n">
        <v>12601</v>
      </c>
      <c r="E4" s="38" t="n">
        <v>22438</v>
      </c>
      <c r="F4" s="38" t="n">
        <v>6903</v>
      </c>
      <c r="G4" s="38" t="n">
        <v>7798</v>
      </c>
      <c r="H4" s="38" t="n">
        <v>12656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ifrs-full:BankOverdraftsClassifiedAsCashEquivalents</t>
        </is>
      </c>
      <c r="C5" s="34" t="inlineStr">
        <is>
          <t>ifrs-full:BankOverdraftsClassifiedAsCashEquivalents</t>
        </is>
      </c>
      <c r="D5" s="35" t="n">
        <v>87822</v>
      </c>
      <c r="E5" s="35" t="n">
        <v>193253</v>
      </c>
      <c r="F5" s="35" t="n">
        <v>209628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ifrs-full:ComputerSoftware</t>
        </is>
      </c>
      <c r="C6" s="37" t="inlineStr">
        <is>
          <t>ifrs-full:ComputerSoftware</t>
        </is>
      </c>
      <c r="D6" s="38" t="n">
        <v>5879</v>
      </c>
      <c r="E6" s="38" t="n">
        <v>6152</v>
      </c>
      <c r="F6" s="38" t="n">
        <v>7087</v>
      </c>
      <c r="G6" s="38" t="n">
        <v>6590</v>
      </c>
      <c r="H6" s="38" t="n">
        <v>5675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ifrs-full:CostOfMerchandiseSold</t>
        </is>
      </c>
      <c r="C7" s="34" t="inlineStr">
        <is>
          <t>ifrs-full:CostOfMerchandiseSold</t>
        </is>
      </c>
      <c r="D7" s="35" t="n">
        <v>514812</v>
      </c>
      <c r="E7" s="35" t="n">
        <v>718535</v>
      </c>
      <c r="F7" s="35" t="n">
        <v>620995</v>
      </c>
      <c r="G7" s="35" t="n">
        <v>233397</v>
      </c>
      <c r="H7" s="35" t="n">
        <v>232012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ifrs-full:CustomerrelatedIntangibleAssetsRecognisedAsOfAcquisitionDate</t>
        </is>
      </c>
      <c r="C8" s="37" t="inlineStr">
        <is>
          <t>ifrs-full:CustomerrelatedIntangibleAssetsRecognisedAsOfAcquisitionDate</t>
        </is>
      </c>
      <c r="D8" s="38" t="n">
        <v>8389</v>
      </c>
      <c r="E8" s="38" t="n">
        <v>7036</v>
      </c>
      <c r="F8" s="38" t="n">
        <v>4783</v>
      </c>
      <c r="G8" s="38" t="n">
        <v>1358</v>
      </c>
      <c r="H8" s="38" t="n">
        <v>272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ifrs-full:DividendsReceivedClassifiedAsOperatingActivities</t>
        </is>
      </c>
      <c r="C9" s="34" t="inlineStr">
        <is>
          <t>ifrs-full:DividendsReceivedClassifiedAsOperatingActivities</t>
        </is>
      </c>
      <c r="D9" s="35" t="n">
        <v>1283</v>
      </c>
      <c r="E9" s="35" t="n">
        <v>1521</v>
      </c>
      <c r="F9" s="35" t="n">
        <v>142</v>
      </c>
      <c r="G9" s="35" t="n">
        <v>306</v>
      </c>
      <c r="H9" s="35" t="n">
        <v>467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ifrs-full:InvestmentsInJointVentures</t>
        </is>
      </c>
      <c r="C10" s="37" t="inlineStr">
        <is>
          <t>ifrs-full:InvestmentsInJointVentures</t>
        </is>
      </c>
      <c r="D10" s="38" t="n"/>
      <c r="E10" s="38" t="n"/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ifrs-full:ReserveOfExchangeDifferencesOnTranslation</t>
        </is>
      </c>
      <c r="C11" s="34" t="inlineStr">
        <is>
          <t>ifrs-full:ReserveOfExchangeDifferencesOnTranslation</t>
        </is>
      </c>
      <c r="D11" s="35" t="n">
        <v>-2105</v>
      </c>
      <c r="E11" s="35" t="n">
        <v>-5213</v>
      </c>
      <c r="F11" s="35" t="n">
        <v>-12737</v>
      </c>
      <c r="G11" s="35" t="n">
        <v>-10723</v>
      </c>
      <c r="H11" s="35" t="n">
        <v>-16124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ifrs-full:TechnologybasedIntangibleAssetsRecognisedAsOfAcquisitionDate</t>
        </is>
      </c>
      <c r="C12" s="37" t="inlineStr">
        <is>
          <t>ifrs-full:TechnologybasedIntangibleAssetsRecognisedAsOfAcquisitionDate</t>
        </is>
      </c>
      <c r="D12" s="38" t="n">
        <v>9817</v>
      </c>
      <c r="E12" s="38" t="n">
        <v>7846</v>
      </c>
      <c r="F12" s="38" t="n">
        <v>6035</v>
      </c>
      <c r="G12" s="38" t="n">
        <v>4194</v>
      </c>
      <c r="H12" s="38" t="n">
        <v>2239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2026-10-01T22:17:51Z</dcterms:created>
  <dcterms:modified xmlns:dcterms="http://purl.org/dc/terms/" xmlns:xsi="http://www.w3.org/2001/XMLSchema-instance" xsi:type="dcterms:W3CDTF">2026-10-01T22:17:52Z</dcterms:modified>
</cp:coreProperties>
</file>