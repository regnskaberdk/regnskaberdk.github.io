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7153684" sheetId="1" state="visible" r:id="rId1"/>
    <sheet xmlns:r="http://schemas.openxmlformats.org/officeDocument/2006/relationships" name="res_raw_17153684" sheetId="2" state="visible" r:id="rId2"/>
    <sheet xmlns:r="http://schemas.openxmlformats.org/officeDocument/2006/relationships" name="balance_raw_17153684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Orifarm Supply A/S (CVR 17153684)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'res_raw_17153684'!$B$2</f>
        <v/>
      </c>
      <c r="C4" s="5">
        <f>'res_raw_17153684'!$C$2</f>
        <v/>
      </c>
      <c r="D4" s="5">
        <f>'res_raw_17153684'!$D$2</f>
        <v/>
      </c>
      <c r="E4" s="5">
        <f>'res_raw_17153684'!$E$2</f>
        <v/>
      </c>
      <c r="F4" s="5">
        <f>'res_raw_17153684'!$F$2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'res_raw_17153684'!$B$3</f>
        <v/>
      </c>
      <c r="C5" s="8">
        <f>'res_raw_17153684'!$C$3</f>
        <v/>
      </c>
      <c r="D5" s="8">
        <f>'res_raw_17153684'!$D$3</f>
        <v/>
      </c>
      <c r="E5" s="8">
        <f>'res_raw_17153684'!$E$3</f>
        <v/>
      </c>
      <c r="F5" s="8">
        <f>'res_raw_17153684'!$F$3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'res_raw_17153684'!$B$4</f>
        <v/>
      </c>
      <c r="C6" s="5">
        <f>'res_raw_17153684'!$C$4</f>
        <v/>
      </c>
      <c r="D6" s="5">
        <f>'res_raw_17153684'!$D$4</f>
        <v/>
      </c>
      <c r="E6" s="5">
        <f>'res_raw_17153684'!$E$4</f>
        <v/>
      </c>
      <c r="F6" s="5">
        <f>'res_raw_17153684'!$F$4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'res_raw_17153684'!$B$5</f>
        <v/>
      </c>
      <c r="C7" s="8">
        <f>'res_raw_17153684'!$C$5</f>
        <v/>
      </c>
      <c r="D7" s="8">
        <f>'res_raw_17153684'!$D$5</f>
        <v/>
      </c>
      <c r="E7" s="8">
        <f>'res_raw_17153684'!$E$5</f>
        <v/>
      </c>
      <c r="F7" s="8">
        <f>'res_raw_17153684'!$F$5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'res_raw_17153684'!$B$6</f>
        <v/>
      </c>
      <c r="C8" s="11">
        <f>'res_raw_17153684'!$C$6</f>
        <v/>
      </c>
      <c r="D8" s="11">
        <f>'res_raw_17153684'!$D$6</f>
        <v/>
      </c>
      <c r="E8" s="11">
        <f>'res_raw_17153684'!$E$6</f>
        <v/>
      </c>
      <c r="F8" s="11">
        <f>'res_raw_17153684'!$F$6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'res_raw_17153684'!$B$7</f>
        <v/>
      </c>
      <c r="C9" s="8">
        <f>'res_raw_17153684'!$C$7</f>
        <v/>
      </c>
      <c r="D9" s="8">
        <f>'res_raw_17153684'!$D$7</f>
        <v/>
      </c>
      <c r="E9" s="8">
        <f>'res_raw_17153684'!$E$7</f>
        <v/>
      </c>
      <c r="F9" s="8">
        <f>'res_raw_17153684'!$F$7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'res_raw_17153684'!$B$9</f>
        <v/>
      </c>
      <c r="C11" s="8">
        <f>'res_raw_17153684'!$C$9</f>
        <v/>
      </c>
      <c r="D11" s="8">
        <f>'res_raw_17153684'!$D$9</f>
        <v/>
      </c>
      <c r="E11" s="8">
        <f>'res_raw_17153684'!$E$9</f>
        <v/>
      </c>
      <c r="F11" s="8">
        <f>'res_raw_17153684'!$F$9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'res_raw_17153684'!$B$10</f>
        <v/>
      </c>
      <c r="C12" s="5">
        <f>'res_raw_17153684'!$C$10</f>
        <v/>
      </c>
      <c r="D12" s="5">
        <f>'res_raw_17153684'!$D$10</f>
        <v/>
      </c>
      <c r="E12" s="5">
        <f>'res_raw_17153684'!$E$10</f>
        <v/>
      </c>
      <c r="F12" s="5">
        <f>'res_raw_17153684'!$F$10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'res_raw_17153684'!$B$11</f>
        <v/>
      </c>
      <c r="C13" s="11">
        <f>'res_raw_17153684'!$C$11</f>
        <v/>
      </c>
      <c r="D13" s="11">
        <f>'res_raw_17153684'!$D$11</f>
        <v/>
      </c>
      <c r="E13" s="11">
        <f>'res_raw_17153684'!$E$11</f>
        <v/>
      </c>
      <c r="F13" s="11">
        <f>'res_raw_17153684'!$F$11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'res_raw_17153684'!$B$12</f>
        <v/>
      </c>
      <c r="C14" s="5">
        <f>'res_raw_17153684'!$C$12</f>
        <v/>
      </c>
      <c r="D14" s="5">
        <f>'res_raw_17153684'!$D$12</f>
        <v/>
      </c>
      <c r="E14" s="5">
        <f>'res_raw_17153684'!$E$12</f>
        <v/>
      </c>
      <c r="F14" s="5">
        <f>'res_raw_17153684'!$F$12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'res_raw_17153684'!$B$13</f>
        <v/>
      </c>
      <c r="C15" s="8">
        <f>'res_raw_17153684'!$C$13</f>
        <v/>
      </c>
      <c r="D15" s="8">
        <f>'res_raw_17153684'!$D$13</f>
        <v/>
      </c>
      <c r="E15" s="8">
        <f>'res_raw_17153684'!$E$13</f>
        <v/>
      </c>
      <c r="F15" s="8">
        <f>'res_raw_17153684'!$F$13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'res_raw_17153684'!$B$14</f>
        <v/>
      </c>
      <c r="C16" s="5">
        <f>'res_raw_17153684'!$C$14</f>
        <v/>
      </c>
      <c r="D16" s="5">
        <f>'res_raw_17153684'!$D$14</f>
        <v/>
      </c>
      <c r="E16" s="5">
        <f>'res_raw_17153684'!$E$14</f>
        <v/>
      </c>
      <c r="F16" s="5">
        <f>'res_raw_17153684'!$F$14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'res_raw_17153684'!$B$15</f>
        <v/>
      </c>
      <c r="C17" s="11">
        <f>'res_raw_17153684'!$C$15</f>
        <v/>
      </c>
      <c r="D17" s="11">
        <f>'res_raw_17153684'!$D$15</f>
        <v/>
      </c>
      <c r="E17" s="11">
        <f>'res_raw_17153684'!$E$15</f>
        <v/>
      </c>
      <c r="F17" s="11">
        <f>'res_raw_17153684'!$F$15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'res_raw_17153684'!$B$16</f>
        <v/>
      </c>
      <c r="C18" s="11">
        <f>'res_raw_17153684'!$C$16</f>
        <v/>
      </c>
      <c r="D18" s="11">
        <f>'res_raw_17153684'!$D$16</f>
        <v/>
      </c>
      <c r="E18" s="11">
        <f>'res_raw_17153684'!$E$16</f>
        <v/>
      </c>
      <c r="F18" s="11">
        <f>'res_raw_17153684'!$F$16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'res_raw_17153684'!$B$17</f>
        <v/>
      </c>
      <c r="C19" s="8">
        <f>'res_raw_17153684'!$C$17</f>
        <v/>
      </c>
      <c r="D19" s="8">
        <f>'res_raw_17153684'!$D$17</f>
        <v/>
      </c>
      <c r="E19" s="8">
        <f>'res_raw_17153684'!$E$17</f>
        <v/>
      </c>
      <c r="F19" s="8">
        <f>'res_raw_17153684'!$F$17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'res_raw_17153684'!$B$18</f>
        <v/>
      </c>
      <c r="C20" s="11">
        <f>'res_raw_17153684'!$C$18</f>
        <v/>
      </c>
      <c r="D20" s="11">
        <f>'res_raw_17153684'!$D$18</f>
        <v/>
      </c>
      <c r="E20" s="11">
        <f>'res_raw_17153684'!$E$18</f>
        <v/>
      </c>
      <c r="F20" s="11">
        <f>'res_raw_17153684'!$F$18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'balance_raw_17153684'!$B$2</f>
        <v/>
      </c>
      <c r="C23" s="8">
        <f>'balance_raw_17153684'!$C$2</f>
        <v/>
      </c>
      <c r="D23" s="8">
        <f>'balance_raw_17153684'!$D$2</f>
        <v/>
      </c>
      <c r="E23" s="8">
        <f>'balance_raw_17153684'!$E$2</f>
        <v/>
      </c>
      <c r="F23" s="8">
        <f>'balance_raw_17153684'!$F$2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'balance_raw_17153684'!$B$3</f>
        <v/>
      </c>
      <c r="C24" s="5">
        <f>'balance_raw_17153684'!$C$3</f>
        <v/>
      </c>
      <c r="D24" s="5">
        <f>'balance_raw_17153684'!$D$3</f>
        <v/>
      </c>
      <c r="E24" s="5">
        <f>'balance_raw_17153684'!$E$3</f>
        <v/>
      </c>
      <c r="F24" s="5">
        <f>'balance_raw_17153684'!$F$3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'balance_raw_17153684'!$B$4</f>
        <v/>
      </c>
      <c r="C25" s="8">
        <f>'balance_raw_17153684'!$C$4</f>
        <v/>
      </c>
      <c r="D25" s="8">
        <f>'balance_raw_17153684'!$D$4</f>
        <v/>
      </c>
      <c r="E25" s="8">
        <f>'balance_raw_17153684'!$E$4</f>
        <v/>
      </c>
      <c r="F25" s="8">
        <f>'balance_raw_17153684'!$F$4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'balance_raw_17153684'!$B$5</f>
        <v/>
      </c>
      <c r="C26" s="11">
        <f>'balance_raw_17153684'!$C$5</f>
        <v/>
      </c>
      <c r="D26" s="11">
        <f>'balance_raw_17153684'!$D$5</f>
        <v/>
      </c>
      <c r="E26" s="11">
        <f>'balance_raw_17153684'!$E$5</f>
        <v/>
      </c>
      <c r="F26" s="11">
        <f>'balance_raw_17153684'!$F$5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'balance_raw_17153684'!$B$6</f>
        <v/>
      </c>
      <c r="C27" s="8">
        <f>'balance_raw_17153684'!$C$6</f>
        <v/>
      </c>
      <c r="D27" s="8">
        <f>'balance_raw_17153684'!$D$6</f>
        <v/>
      </c>
      <c r="E27" s="8">
        <f>'balance_raw_17153684'!$E$6</f>
        <v/>
      </c>
      <c r="F27" s="8">
        <f>'balance_raw_17153684'!$F$6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'balance_raw_17153684'!$B$7</f>
        <v/>
      </c>
      <c r="C28" s="5">
        <f>'balance_raw_17153684'!$C$7</f>
        <v/>
      </c>
      <c r="D28" s="5">
        <f>'balance_raw_17153684'!$D$7</f>
        <v/>
      </c>
      <c r="E28" s="5">
        <f>'balance_raw_17153684'!$E$7</f>
        <v/>
      </c>
      <c r="F28" s="5">
        <f>'balance_raw_17153684'!$F$7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'balance_raw_17153684'!$B$8</f>
        <v/>
      </c>
      <c r="C29" s="8">
        <f>'balance_raw_17153684'!$C$8</f>
        <v/>
      </c>
      <c r="D29" s="8">
        <f>'balance_raw_17153684'!$D$8</f>
        <v/>
      </c>
      <c r="E29" s="8">
        <f>'balance_raw_17153684'!$E$8</f>
        <v/>
      </c>
      <c r="F29" s="8">
        <f>'balance_raw_17153684'!$F$8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'balance_raw_17153684'!$B$9</f>
        <v/>
      </c>
      <c r="C30" s="5">
        <f>'balance_raw_17153684'!$C$9</f>
        <v/>
      </c>
      <c r="D30" s="5">
        <f>'balance_raw_17153684'!$D$9</f>
        <v/>
      </c>
      <c r="E30" s="5">
        <f>'balance_raw_17153684'!$E$9</f>
        <v/>
      </c>
      <c r="F30" s="5">
        <f>'balance_raw_17153684'!$F$9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'balance_raw_17153684'!$B$10</f>
        <v/>
      </c>
      <c r="C31" s="8">
        <f>'balance_raw_17153684'!$C$10</f>
        <v/>
      </c>
      <c r="D31" s="8">
        <f>'balance_raw_17153684'!$D$10</f>
        <v/>
      </c>
      <c r="E31" s="8">
        <f>'balance_raw_17153684'!$E$10</f>
        <v/>
      </c>
      <c r="F31" s="8">
        <f>'balance_raw_17153684'!$F$10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'balance_raw_17153684'!$B$11</f>
        <v/>
      </c>
      <c r="C32" s="11">
        <f>'balance_raw_17153684'!$C$11</f>
        <v/>
      </c>
      <c r="D32" s="11">
        <f>'balance_raw_17153684'!$D$11</f>
        <v/>
      </c>
      <c r="E32" s="11">
        <f>'balance_raw_17153684'!$E$11</f>
        <v/>
      </c>
      <c r="F32" s="11">
        <f>'balance_raw_17153684'!$F$11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'balance_raw_17153684'!$B$12</f>
        <v/>
      </c>
      <c r="C33" s="11">
        <f>'balance_raw_17153684'!$C$12</f>
        <v/>
      </c>
      <c r="D33" s="11">
        <f>'balance_raw_17153684'!$D$12</f>
        <v/>
      </c>
      <c r="E33" s="11">
        <f>'balance_raw_17153684'!$E$12</f>
        <v/>
      </c>
      <c r="F33" s="11">
        <f>'balance_raw_17153684'!$F$12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Råvarer og hjælpematerialer</t>
        </is>
      </c>
      <c r="B34" s="5">
        <f>'balance_raw_17153684'!$B$13</f>
        <v/>
      </c>
      <c r="C34" s="5">
        <f>'balance_raw_17153684'!$C$13</f>
        <v/>
      </c>
      <c r="D34" s="5">
        <f>'balance_raw_17153684'!$D$13</f>
        <v/>
      </c>
      <c r="E34" s="5">
        <f>'balance_raw_17153684'!$E$13</f>
        <v/>
      </c>
      <c r="F34" s="5">
        <f>'balance_raw_17153684'!$F$13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Varer under fremstilling</t>
        </is>
      </c>
      <c r="B35" s="8">
        <f>'balance_raw_17153684'!$B$14</f>
        <v/>
      </c>
      <c r="C35" s="8">
        <f>'balance_raw_17153684'!$C$14</f>
        <v/>
      </c>
      <c r="D35" s="8">
        <f>'balance_raw_17153684'!$D$14</f>
        <v/>
      </c>
      <c r="E35" s="8">
        <f>'balance_raw_17153684'!$E$14</f>
        <v/>
      </c>
      <c r="F35" s="8">
        <f>'balance_raw_17153684'!$F$14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Færdigvarer og handelsvarer</t>
        </is>
      </c>
      <c r="B36" s="5">
        <f>'balance_raw_17153684'!$B$15</f>
        <v/>
      </c>
      <c r="C36" s="5">
        <f>'balance_raw_17153684'!$C$15</f>
        <v/>
      </c>
      <c r="D36" s="5">
        <f>'balance_raw_17153684'!$D$15</f>
        <v/>
      </c>
      <c r="E36" s="5">
        <f>'balance_raw_17153684'!$E$15</f>
        <v/>
      </c>
      <c r="F36" s="5">
        <f>'balance_raw_17153684'!$F$15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'balance_raw_17153684'!$B$16</f>
        <v/>
      </c>
      <c r="C37" s="11">
        <f>'balance_raw_17153684'!$C$16</f>
        <v/>
      </c>
      <c r="D37" s="11">
        <f>'balance_raw_17153684'!$D$16</f>
        <v/>
      </c>
      <c r="E37" s="11">
        <f>'balance_raw_17153684'!$E$16</f>
        <v/>
      </c>
      <c r="F37" s="11">
        <f>'balance_raw_17153684'!$F$16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'balance_raw_17153684'!$B$17</f>
        <v/>
      </c>
      <c r="C38" s="5">
        <f>'balance_raw_17153684'!$C$17</f>
        <v/>
      </c>
      <c r="D38" s="5">
        <f>'balance_raw_17153684'!$D$17</f>
        <v/>
      </c>
      <c r="E38" s="5">
        <f>'balance_raw_17153684'!$E$17</f>
        <v/>
      </c>
      <c r="F38" s="5">
        <f>'balance_raw_17153684'!$F$17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'balance_raw_17153684'!$B$18</f>
        <v/>
      </c>
      <c r="C39" s="8">
        <f>'balance_raw_17153684'!$C$18</f>
        <v/>
      </c>
      <c r="D39" s="8">
        <f>'balance_raw_17153684'!$D$18</f>
        <v/>
      </c>
      <c r="E39" s="8">
        <f>'balance_raw_17153684'!$E$18</f>
        <v/>
      </c>
      <c r="F39" s="8">
        <f>'balance_raw_17153684'!$F$18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'balance_raw_17153684'!$B$19</f>
        <v/>
      </c>
      <c r="C40" s="5">
        <f>'balance_raw_17153684'!$C$19</f>
        <v/>
      </c>
      <c r="D40" s="5">
        <f>'balance_raw_17153684'!$D$19</f>
        <v/>
      </c>
      <c r="E40" s="5">
        <f>'balance_raw_17153684'!$E$19</f>
        <v/>
      </c>
      <c r="F40" s="5">
        <f>'balance_raw_17153684'!$F$19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'balance_raw_17153684'!$B$20</f>
        <v/>
      </c>
      <c r="C41" s="8">
        <f>'balance_raw_17153684'!$C$20</f>
        <v/>
      </c>
      <c r="D41" s="8">
        <f>'balance_raw_17153684'!$D$20</f>
        <v/>
      </c>
      <c r="E41" s="8">
        <f>'balance_raw_17153684'!$E$20</f>
        <v/>
      </c>
      <c r="F41" s="8">
        <f>'balance_raw_17153684'!$F$20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'balance_raw_17153684'!$B$21</f>
        <v/>
      </c>
      <c r="C42" s="5">
        <f>'balance_raw_17153684'!$C$21</f>
        <v/>
      </c>
      <c r="D42" s="5">
        <f>'balance_raw_17153684'!$D$21</f>
        <v/>
      </c>
      <c r="E42" s="5">
        <f>'balance_raw_17153684'!$E$21</f>
        <v/>
      </c>
      <c r="F42" s="5">
        <f>'balance_raw_17153684'!$F$21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'balance_raw_17153684'!$B$22</f>
        <v/>
      </c>
      <c r="C43" s="8">
        <f>'balance_raw_17153684'!$C$22</f>
        <v/>
      </c>
      <c r="D43" s="8">
        <f>'balance_raw_17153684'!$D$22</f>
        <v/>
      </c>
      <c r="E43" s="8">
        <f>'balance_raw_17153684'!$E$22</f>
        <v/>
      </c>
      <c r="F43" s="8">
        <f>'balance_raw_17153684'!$F$22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'balance_raw_17153684'!$B$23</f>
        <v/>
      </c>
      <c r="C44" s="5">
        <f>'balance_raw_17153684'!$C$23</f>
        <v/>
      </c>
      <c r="D44" s="5">
        <f>'balance_raw_17153684'!$D$23</f>
        <v/>
      </c>
      <c r="E44" s="5">
        <f>'balance_raw_17153684'!$E$23</f>
        <v/>
      </c>
      <c r="F44" s="5">
        <f>'balance_raw_17153684'!$F$23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'balance_raw_17153684'!$B$24</f>
        <v/>
      </c>
      <c r="C45" s="11">
        <f>'balance_raw_17153684'!$C$24</f>
        <v/>
      </c>
      <c r="D45" s="11">
        <f>'balance_raw_17153684'!$D$24</f>
        <v/>
      </c>
      <c r="E45" s="11">
        <f>'balance_raw_17153684'!$E$24</f>
        <v/>
      </c>
      <c r="F45" s="11">
        <f>'balance_raw_17153684'!$F$24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'balance_raw_17153684'!$B$25</f>
        <v/>
      </c>
      <c r="C46" s="5">
        <f>'balance_raw_17153684'!$C$25</f>
        <v/>
      </c>
      <c r="D46" s="5">
        <f>'balance_raw_17153684'!$D$25</f>
        <v/>
      </c>
      <c r="E46" s="5">
        <f>'balance_raw_17153684'!$E$25</f>
        <v/>
      </c>
      <c r="F46" s="5">
        <f>'balance_raw_17153684'!$F$25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'balance_raw_17153684'!$B$26</f>
        <v/>
      </c>
      <c r="C47" s="8">
        <f>'balance_raw_17153684'!$C$26</f>
        <v/>
      </c>
      <c r="D47" s="8">
        <f>'balance_raw_17153684'!$D$26</f>
        <v/>
      </c>
      <c r="E47" s="8">
        <f>'balance_raw_17153684'!$E$26</f>
        <v/>
      </c>
      <c r="F47" s="8">
        <f>'balance_raw_17153684'!$F$26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'balance_raw_17153684'!$B$27</f>
        <v/>
      </c>
      <c r="C48" s="11">
        <f>'balance_raw_17153684'!$C$27</f>
        <v/>
      </c>
      <c r="D48" s="11">
        <f>'balance_raw_17153684'!$D$27</f>
        <v/>
      </c>
      <c r="E48" s="11">
        <f>'balance_raw_17153684'!$E$27</f>
        <v/>
      </c>
      <c r="F48" s="11">
        <f>'balance_raw_17153684'!$F$27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'balance_raw_17153684'!$B$28</f>
        <v/>
      </c>
      <c r="C49" s="11">
        <f>'balance_raw_17153684'!$C$28</f>
        <v/>
      </c>
      <c r="D49" s="11">
        <f>'balance_raw_17153684'!$D$28</f>
        <v/>
      </c>
      <c r="E49" s="11">
        <f>'balance_raw_17153684'!$E$28</f>
        <v/>
      </c>
      <c r="F49" s="11">
        <f>'balance_raw_17153684'!$F$28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'balance_raw_17153684'!$B$29</f>
        <v/>
      </c>
      <c r="C52" s="5">
        <f>'balance_raw_17153684'!$C$29</f>
        <v/>
      </c>
      <c r="D52" s="5">
        <f>'balance_raw_17153684'!$D$29</f>
        <v/>
      </c>
      <c r="E52" s="5">
        <f>'balance_raw_17153684'!$E$29</f>
        <v/>
      </c>
      <c r="F52" s="5">
        <f>'balance_raw_17153684'!$F$29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'balance_raw_17153684'!$B$30</f>
        <v/>
      </c>
      <c r="C53" s="8">
        <f>'balance_raw_17153684'!$C$30</f>
        <v/>
      </c>
      <c r="D53" s="8">
        <f>'balance_raw_17153684'!$D$30</f>
        <v/>
      </c>
      <c r="E53" s="8">
        <f>'balance_raw_17153684'!$E$30</f>
        <v/>
      </c>
      <c r="F53" s="8">
        <f>'balance_raw_17153684'!$F$30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'balance_raw_17153684'!$B$31</f>
        <v/>
      </c>
      <c r="C54" s="5">
        <f>'balance_raw_17153684'!$C$31</f>
        <v/>
      </c>
      <c r="D54" s="5">
        <f>'balance_raw_17153684'!$D$31</f>
        <v/>
      </c>
      <c r="E54" s="5">
        <f>'balance_raw_17153684'!$E$31</f>
        <v/>
      </c>
      <c r="F54" s="5">
        <f>'balance_raw_17153684'!$F$31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'balance_raw_17153684'!$B$32</f>
        <v/>
      </c>
      <c r="C55" s="8">
        <f>'balance_raw_17153684'!$C$32</f>
        <v/>
      </c>
      <c r="D55" s="8">
        <f>'balance_raw_17153684'!$D$32</f>
        <v/>
      </c>
      <c r="E55" s="8">
        <f>'balance_raw_17153684'!$E$32</f>
        <v/>
      </c>
      <c r="F55" s="8">
        <f>'balance_raw_17153684'!$F$32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'balance_raw_17153684'!$B$33</f>
        <v/>
      </c>
      <c r="C56" s="5">
        <f>'balance_raw_17153684'!$C$33</f>
        <v/>
      </c>
      <c r="D56" s="5">
        <f>'balance_raw_17153684'!$D$33</f>
        <v/>
      </c>
      <c r="E56" s="5">
        <f>'balance_raw_17153684'!$E$33</f>
        <v/>
      </c>
      <c r="F56" s="5">
        <f>'balance_raw_17153684'!$F$33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'balance_raw_17153684'!$B$34</f>
        <v/>
      </c>
      <c r="C57" s="8">
        <f>'balance_raw_17153684'!$C$34</f>
        <v/>
      </c>
      <c r="D57" s="8">
        <f>'balance_raw_17153684'!$D$34</f>
        <v/>
      </c>
      <c r="E57" s="8">
        <f>'balance_raw_17153684'!$E$34</f>
        <v/>
      </c>
      <c r="F57" s="8">
        <f>'balance_raw_17153684'!$F$34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'balance_raw_17153684'!$B$35</f>
        <v/>
      </c>
      <c r="C58" s="11">
        <f>'balance_raw_17153684'!$C$35</f>
        <v/>
      </c>
      <c r="D58" s="11">
        <f>'balance_raw_17153684'!$D$35</f>
        <v/>
      </c>
      <c r="E58" s="11">
        <f>'balance_raw_17153684'!$E$35</f>
        <v/>
      </c>
      <c r="F58" s="11">
        <f>'balance_raw_17153684'!$F$35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'balance_raw_17153684'!$B$36</f>
        <v/>
      </c>
      <c r="C59" s="8">
        <f>'balance_raw_17153684'!$C$36</f>
        <v/>
      </c>
      <c r="D59" s="8">
        <f>'balance_raw_17153684'!$D$36</f>
        <v/>
      </c>
      <c r="E59" s="8">
        <f>'balance_raw_17153684'!$E$36</f>
        <v/>
      </c>
      <c r="F59" s="8">
        <f>'balance_raw_17153684'!$F$36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'balance_raw_17153684'!$B$37</f>
        <v/>
      </c>
      <c r="C60" s="11">
        <f>'balance_raw_17153684'!$C$37</f>
        <v/>
      </c>
      <c r="D60" s="11">
        <f>'balance_raw_17153684'!$D$37</f>
        <v/>
      </c>
      <c r="E60" s="11">
        <f>'balance_raw_17153684'!$E$37</f>
        <v/>
      </c>
      <c r="F60" s="11">
        <f>'balance_raw_17153684'!$F$37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(kortfristet)</t>
        </is>
      </c>
      <c r="B61" s="8">
        <f>'balance_raw_17153684'!$B$38</f>
        <v/>
      </c>
      <c r="C61" s="8">
        <f>'balance_raw_17153684'!$C$38</f>
        <v/>
      </c>
      <c r="D61" s="8">
        <f>'balance_raw_17153684'!$D$38</f>
        <v/>
      </c>
      <c r="E61" s="8">
        <f>'balance_raw_17153684'!$E$38</f>
        <v/>
      </c>
      <c r="F61" s="8">
        <f>'balance_raw_17153684'!$F$38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'balance_raw_17153684'!$B$39</f>
        <v/>
      </c>
      <c r="C62" s="5">
        <f>'balance_raw_17153684'!$C$39</f>
        <v/>
      </c>
      <c r="D62" s="5">
        <f>'balance_raw_17153684'!$D$39</f>
        <v/>
      </c>
      <c r="E62" s="5">
        <f>'balance_raw_17153684'!$E$39</f>
        <v/>
      </c>
      <c r="F62" s="5">
        <f>'balance_raw_17153684'!$F$39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Kreditinstitutter</t>
        </is>
      </c>
      <c r="B63" s="8">
        <f>'balance_raw_17153684'!$B$40</f>
        <v/>
      </c>
      <c r="C63" s="8">
        <f>'balance_raw_17153684'!$C$40</f>
        <v/>
      </c>
      <c r="D63" s="8">
        <f>'balance_raw_17153684'!$D$40</f>
        <v/>
      </c>
      <c r="E63" s="8">
        <f>'balance_raw_17153684'!$E$40</f>
        <v/>
      </c>
      <c r="F63" s="8">
        <f>'balance_raw_17153684'!$F$40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'balance_raw_17153684'!$B$41</f>
        <v/>
      </c>
      <c r="C64" s="5">
        <f>'balance_raw_17153684'!$C$41</f>
        <v/>
      </c>
      <c r="D64" s="5">
        <f>'balance_raw_17153684'!$D$41</f>
        <v/>
      </c>
      <c r="E64" s="5">
        <f>'balance_raw_17153684'!$E$41</f>
        <v/>
      </c>
      <c r="F64" s="5">
        <f>'balance_raw_17153684'!$F$41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Leverandører af varer og tjenesteydelser</t>
        </is>
      </c>
      <c r="B65" s="8">
        <f>'balance_raw_17153684'!$B$42</f>
        <v/>
      </c>
      <c r="C65" s="8">
        <f>'balance_raw_17153684'!$C$42</f>
        <v/>
      </c>
      <c r="D65" s="8">
        <f>'balance_raw_17153684'!$D$42</f>
        <v/>
      </c>
      <c r="E65" s="8">
        <f>'balance_raw_17153684'!$E$42</f>
        <v/>
      </c>
      <c r="F65" s="8">
        <f>'balance_raw_17153684'!$F$42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'balance_raw_17153684'!$B$43</f>
        <v/>
      </c>
      <c r="C66" s="5">
        <f>'balance_raw_17153684'!$C$43</f>
        <v/>
      </c>
      <c r="D66" s="5">
        <f>'balance_raw_17153684'!$D$43</f>
        <v/>
      </c>
      <c r="E66" s="5">
        <f>'balance_raw_17153684'!$E$43</f>
        <v/>
      </c>
      <c r="F66" s="5">
        <f>'balance_raw_17153684'!$F$43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selskabsdeltagere og ledelse</t>
        </is>
      </c>
      <c r="B67" s="8">
        <f>'balance_raw_17153684'!$B$44</f>
        <v/>
      </c>
      <c r="C67" s="8">
        <f>'balance_raw_17153684'!$C$44</f>
        <v/>
      </c>
      <c r="D67" s="8">
        <f>'balance_raw_17153684'!$D$44</f>
        <v/>
      </c>
      <c r="E67" s="8">
        <f>'balance_raw_17153684'!$E$44</f>
        <v/>
      </c>
      <c r="F67" s="8">
        <f>'balance_raw_17153684'!$F$44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Selskabsskat</t>
        </is>
      </c>
      <c r="B68" s="5">
        <f>'balance_raw_17153684'!$B$45</f>
        <v/>
      </c>
      <c r="C68" s="5">
        <f>'balance_raw_17153684'!$C$45</f>
        <v/>
      </c>
      <c r="D68" s="5">
        <f>'balance_raw_17153684'!$D$45</f>
        <v/>
      </c>
      <c r="E68" s="5">
        <f>'balance_raw_17153684'!$E$45</f>
        <v/>
      </c>
      <c r="F68" s="5">
        <f>'balance_raw_17153684'!$F$45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 vedr. selskabsskat</t>
        </is>
      </c>
      <c r="B69" s="8">
        <f>'balance_raw_17153684'!$B$46</f>
        <v/>
      </c>
      <c r="C69" s="8">
        <f>'balance_raw_17153684'!$C$46</f>
        <v/>
      </c>
      <c r="D69" s="8">
        <f>'balance_raw_17153684'!$D$46</f>
        <v/>
      </c>
      <c r="E69" s="8">
        <f>'balance_raw_17153684'!$E$46</f>
        <v/>
      </c>
      <c r="F69" s="8">
        <f>'balance_raw_17153684'!$F$46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'balance_raw_17153684'!$B$47</f>
        <v/>
      </c>
      <c r="C70" s="5">
        <f>'balance_raw_17153684'!$C$47</f>
        <v/>
      </c>
      <c r="D70" s="5">
        <f>'balance_raw_17153684'!$D$47</f>
        <v/>
      </c>
      <c r="E70" s="5">
        <f>'balance_raw_17153684'!$E$47</f>
        <v/>
      </c>
      <c r="F70" s="5">
        <f>'balance_raw_17153684'!$F$47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Periodeafgrænsningsposter (passiver)</t>
        </is>
      </c>
      <c r="B71" s="8">
        <f>'balance_raw_17153684'!$B$48</f>
        <v/>
      </c>
      <c r="C71" s="8">
        <f>'balance_raw_17153684'!$C$48</f>
        <v/>
      </c>
      <c r="D71" s="8">
        <f>'balance_raw_17153684'!$D$48</f>
        <v/>
      </c>
      <c r="E71" s="8">
        <f>'balance_raw_17153684'!$E$48</f>
        <v/>
      </c>
      <c r="F71" s="8">
        <f>'balance_raw_17153684'!$F$48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10" t="inlineStr">
        <is>
          <t>Kortfristede gældsforpligtelser</t>
        </is>
      </c>
      <c r="B72" s="11">
        <f>'balance_raw_17153684'!$B$49</f>
        <v/>
      </c>
      <c r="C72" s="11">
        <f>'balance_raw_17153684'!$C$49</f>
        <v/>
      </c>
      <c r="D72" s="11">
        <f>'balance_raw_17153684'!$D$49</f>
        <v/>
      </c>
      <c r="E72" s="11">
        <f>'balance_raw_17153684'!$E$49</f>
        <v/>
      </c>
      <c r="F72" s="11">
        <f>'balance_raw_17153684'!$F$49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Gældsforpligtelser</t>
        </is>
      </c>
      <c r="B73" s="11">
        <f>'balance_raw_17153684'!$B$50</f>
        <v/>
      </c>
      <c r="C73" s="11">
        <f>'balance_raw_17153684'!$C$50</f>
        <v/>
      </c>
      <c r="D73" s="11">
        <f>'balance_raw_17153684'!$D$50</f>
        <v/>
      </c>
      <c r="E73" s="11">
        <f>'balance_raw_17153684'!$E$50</f>
        <v/>
      </c>
      <c r="F73" s="11">
        <f>'balance_raw_17153684'!$F$50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Passiver</t>
        </is>
      </c>
      <c r="B74" s="11">
        <f>'balance_raw_17153684'!$B$51</f>
        <v/>
      </c>
      <c r="C74" s="11">
        <f>'balance_raw_17153684'!$C$51</f>
        <v/>
      </c>
      <c r="D74" s="11">
        <f>'balance_raw_17153684'!$D$51</f>
        <v/>
      </c>
      <c r="E74" s="11">
        <f>'balance_raw_17153684'!$E$51</f>
        <v/>
      </c>
      <c r="F74" s="11">
        <f>'balance_raw_17153684'!$F$51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7" t="inlineStr">
        <is>
          <t>Gns. antal medarbejdere</t>
        </is>
      </c>
      <c r="B77" s="8">
        <f>'res_raw_17153684'!$B$19</f>
        <v/>
      </c>
      <c r="C77" s="8">
        <f>'res_raw_17153684'!$C$19</f>
        <v/>
      </c>
      <c r="D77" s="8">
        <f>'res_raw_17153684'!$D$19</f>
        <v/>
      </c>
      <c r="E77" s="8">
        <f>'res_raw_17153684'!$E$19</f>
        <v/>
      </c>
      <c r="F77" s="8">
        <f>'res_raw_17153684'!$F$19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'res_raw_17153684'!$B$20</f>
        <v/>
      </c>
      <c r="C78" s="5">
        <f>'res_raw_17153684'!$C$20</f>
        <v/>
      </c>
      <c r="D78" s="5">
        <f>'res_raw_17153684'!$D$20</f>
        <v/>
      </c>
      <c r="E78" s="5">
        <f>'res_raw_17153684'!$E$20</f>
        <v/>
      </c>
      <c r="F78" s="5">
        <f>'res_raw_17153684'!$F$20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Afkastningsgrad, %</t>
        </is>
      </c>
      <c r="B81" s="13">
        <f>IFERROR(($B$13+$B$15+$B$14)/$B$49*100,"")</f>
        <v/>
      </c>
      <c r="C81" s="13">
        <f>IFERROR(($C$13+$C$15+$C$14)/$C$49*100,"")</f>
        <v/>
      </c>
      <c r="D81" s="13">
        <f>IFERROR(($D$13+$D$15+$D$14)/$D$49*100,"")</f>
        <v/>
      </c>
      <c r="E81" s="13">
        <f>IFERROR(($E$13+$E$15+$E$14)/$E$49*100,"")</f>
        <v/>
      </c>
      <c r="F81" s="13">
        <f>IFERROR(($F$13+$F$15+$F$14)/$F$49*100,"")</f>
        <v/>
      </c>
    </row>
    <row r="82" ht="16" customHeight="1">
      <c r="A82" s="4" t="inlineStr">
        <is>
          <t>Overskudsgrad, %</t>
        </is>
      </c>
      <c r="B82" s="14">
        <f>IFERROR(($B$13+$B$15+$B$14)/$B$4*100,"")</f>
        <v/>
      </c>
      <c r="C82" s="14">
        <f>IFERROR(($C$13+$C$15+$C$14)/$C$4*100,"")</f>
        <v/>
      </c>
      <c r="D82" s="14">
        <f>IFERROR(($D$13+$D$15+$D$14)/$D$4*100,"")</f>
        <v/>
      </c>
      <c r="E82" s="14">
        <f>IFERROR(($E$13+$E$15+$E$14)/$E$4*100,"")</f>
        <v/>
      </c>
      <c r="F82" s="14">
        <f>IFERROR(($F$13+$F$15+$F$14)/$F$4*100,"")</f>
        <v/>
      </c>
    </row>
    <row r="83" ht="16" customHeight="1">
      <c r="A83" s="7" t="inlineStr">
        <is>
          <t>Aktivernes omsætningshastighed, gange</t>
        </is>
      </c>
      <c r="B83" s="13">
        <f>IFERROR($B$4/$B$49,"")</f>
        <v/>
      </c>
      <c r="C83" s="13">
        <f>IFERROR($C$4/$C$49,"")</f>
        <v/>
      </c>
      <c r="D83" s="13">
        <f>IFERROR($D$4/$D$49,"")</f>
        <v/>
      </c>
      <c r="E83" s="13">
        <f>IFERROR($E$4/$E$49,"")</f>
        <v/>
      </c>
      <c r="F83" s="13">
        <f>IFERROR($F$4/$F$49,"")</f>
        <v/>
      </c>
    </row>
    <row r="84" ht="16" customHeight="1">
      <c r="A84" s="4" t="inlineStr">
        <is>
          <t>Egenkapitalens forrentning, %</t>
        </is>
      </c>
      <c r="B84" s="14">
        <f>IFERROR($B$18/$B$58*100,"")</f>
        <v/>
      </c>
      <c r="C84" s="14">
        <f>IFERROR($C$18/$C$58*100,"")</f>
        <v/>
      </c>
      <c r="D84" s="14">
        <f>IFERROR($D$18/$D$58*100,"")</f>
        <v/>
      </c>
      <c r="E84" s="14">
        <f>IFERROR($E$18/$E$58*100,"")</f>
        <v/>
      </c>
      <c r="F84" s="14">
        <f>IFERROR($F$18/$F$58*100,"")</f>
        <v/>
      </c>
    </row>
    <row r="85" ht="16" customHeight="1">
      <c r="A85" s="7" t="inlineStr">
        <is>
          <t>Gældsrente, %</t>
        </is>
      </c>
      <c r="B85" s="13">
        <f>IFERROR($B$16/($B$74-$B$58)*100,"")</f>
        <v/>
      </c>
      <c r="C85" s="13">
        <f>IFERROR($C$16/($C$74-$C$58)*100,"")</f>
        <v/>
      </c>
      <c r="D85" s="13">
        <f>IFERROR($D$16/($D$74-$D$58)*100,"")</f>
        <v/>
      </c>
      <c r="E85" s="13">
        <f>IFERROR($E$16/($E$74-$E$58)*100,"")</f>
        <v/>
      </c>
      <c r="F85" s="13">
        <f>IFERROR($F$16/($F$74-$F$58)*100,"")</f>
        <v/>
      </c>
    </row>
    <row r="86" ht="16" customHeight="1">
      <c r="A86" s="4" t="inlineStr">
        <is>
          <t>Soliditetsgrad, %</t>
        </is>
      </c>
      <c r="B86" s="14">
        <f>IFERROR($B$58/$B$49*100,"")</f>
        <v/>
      </c>
      <c r="C86" s="14">
        <f>IFERROR($C$58/$C$49*100,"")</f>
        <v/>
      </c>
      <c r="D86" s="14">
        <f>IFERROR($D$58/$D$49*100,"")</f>
        <v/>
      </c>
      <c r="E86" s="14">
        <f>IFERROR($E$58/$E$49*100,"")</f>
        <v/>
      </c>
      <c r="F86" s="14">
        <f>IFERROR($F$58/$F$49*100,"")</f>
        <v/>
      </c>
    </row>
    <row r="87" ht="16" customHeight="1">
      <c r="A87" s="7" t="inlineStr">
        <is>
          <t>Gearing</t>
        </is>
      </c>
      <c r="B87" s="13">
        <f>IFERROR(($B$74-$B$58)/$B$58,"")</f>
        <v/>
      </c>
      <c r="C87" s="13">
        <f>IFERROR(($C$74-$C$58)/$C$58,"")</f>
        <v/>
      </c>
      <c r="D87" s="13">
        <f>IFERROR(($D$74-$D$58)/$D$58,"")</f>
        <v/>
      </c>
      <c r="E87" s="13">
        <f>IFERROR(($E$74-$E$58)/$E$58,"")</f>
        <v/>
      </c>
      <c r="F87" s="13">
        <f>IFERROR(($F$74-$F$58)/$F$58,"")</f>
        <v/>
      </c>
    </row>
    <row r="88" ht="16" customHeight="1">
      <c r="A88" s="4" t="inlineStr">
        <is>
          <t>Likviditetsgrad, %</t>
        </is>
      </c>
      <c r="B88" s="14">
        <f>IFERROR($B$48/$B$72*100,"")</f>
        <v/>
      </c>
      <c r="C88" s="14">
        <f>IFERROR($C$48/$C$72*100,"")</f>
        <v/>
      </c>
      <c r="D88" s="14">
        <f>IFERROR($D$48/$D$72*100,"")</f>
        <v/>
      </c>
      <c r="E88" s="14">
        <f>IFERROR($E$48/$E$72*100,"")</f>
        <v/>
      </c>
      <c r="F88" s="14">
        <f>IFERROR($F$48/$F$72*100,"")</f>
        <v/>
      </c>
    </row>
    <row r="89" ht="16" customHeight="1">
      <c r="A89" s="7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IFERROR(($B$74-$B$58)/$B$49*100,"")</f>
        <v/>
      </c>
      <c r="C90" s="14">
        <f>IFERROR(($C$74-$C$58)/$C$49*100,"")</f>
        <v/>
      </c>
      <c r="D90" s="14">
        <f>IFERROR(($D$74-$D$58)/$D$49*100,"")</f>
        <v/>
      </c>
      <c r="E90" s="14">
        <f>IFERROR(($E$74-$E$58)/$E$49*100,"")</f>
        <v/>
      </c>
      <c r="F90" s="14">
        <f>IFERROR(($F$74-$F$58)/$F$49*100,"")</f>
        <v/>
      </c>
    </row>
    <row r="91" ht="16" customHeight="1">
      <c r="A91" s="7" t="inlineStr">
        <is>
          <t>Kapitalbindingsgrad, %</t>
        </is>
      </c>
      <c r="B91" s="13">
        <f>IFERROR($B$33/($B$58+0)*100,"")</f>
        <v/>
      </c>
      <c r="C91" s="13">
        <f>IFERROR($C$33/($C$58+0)*100,"")</f>
        <v/>
      </c>
      <c r="D91" s="13">
        <f>IFERROR($D$33/($D$58+0)*100,"")</f>
        <v/>
      </c>
      <c r="E91" s="13">
        <f>IFERROR($E$33/($E$58+0)*100,"")</f>
        <v/>
      </c>
      <c r="F91" s="13">
        <f>IFERROR($F$33/($F$58+0)*100,"")</f>
        <v/>
      </c>
    </row>
    <row r="93">
      <c r="A93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Orifarm Supply A/S (CVR 17153684)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8027258</v>
      </c>
      <c r="C2" s="16" t="n">
        <v>8222801</v>
      </c>
      <c r="D2" s="16" t="n">
        <v>8746302</v>
      </c>
      <c r="E2" s="16" t="n">
        <v>10456149</v>
      </c>
      <c r="F2" s="16" t="n">
        <v>11714817</v>
      </c>
    </row>
    <row r="3">
      <c r="A3" s="15" t="inlineStr">
        <is>
          <t>Andre driftsindtægter</t>
        </is>
      </c>
      <c r="B3" s="16" t="n">
        <v>35</v>
      </c>
      <c r="C3" s="16" t="n">
        <v>0</v>
      </c>
      <c r="D3" s="16" t="n"/>
      <c r="E3" s="16" t="n"/>
      <c r="F3" s="16" t="n">
        <v>-372</v>
      </c>
    </row>
    <row r="4">
      <c r="A4" s="15" t="inlineStr">
        <is>
          <t>Vareforbrug</t>
        </is>
      </c>
      <c r="B4" s="16" t="n">
        <v>7646965</v>
      </c>
      <c r="C4" s="16" t="n">
        <v>7822791</v>
      </c>
      <c r="D4" s="16" t="n">
        <v>8191497</v>
      </c>
      <c r="E4" s="16" t="n">
        <v>9814478</v>
      </c>
      <c r="F4" s="16" t="n">
        <v>11115793</v>
      </c>
    </row>
    <row r="5">
      <c r="A5" s="15" t="inlineStr">
        <is>
          <t>Andre eksterne omkostninger</t>
        </is>
      </c>
      <c r="B5" s="16" t="n">
        <v>37851</v>
      </c>
      <c r="C5" s="16" t="n">
        <v>50149</v>
      </c>
      <c r="D5" s="16" t="n">
        <v>55236</v>
      </c>
      <c r="E5" s="16" t="n">
        <v>60495</v>
      </c>
      <c r="F5" s="16" t="n">
        <v>60178</v>
      </c>
    </row>
    <row r="6">
      <c r="A6" s="17" t="inlineStr">
        <is>
          <t>Bruttoresultat</t>
        </is>
      </c>
      <c r="B6" s="16" t="n">
        <v>342477</v>
      </c>
      <c r="C6" s="16" t="n">
        <v>349861</v>
      </c>
      <c r="D6" s="16" t="n">
        <v>499569</v>
      </c>
      <c r="E6" s="16" t="n">
        <v>581176</v>
      </c>
      <c r="F6" s="16" t="n">
        <v>538474</v>
      </c>
    </row>
    <row r="7">
      <c r="A7" s="15" t="inlineStr">
        <is>
          <t>Personaleomkostninger</t>
        </is>
      </c>
      <c r="B7" s="16" t="n">
        <v>110199</v>
      </c>
      <c r="C7" s="16" t="n">
        <v>108135</v>
      </c>
      <c r="D7" s="16" t="n">
        <v>110784</v>
      </c>
      <c r="E7" s="16" t="n">
        <v>141810</v>
      </c>
      <c r="F7" s="16" t="n">
        <v>163354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3801</v>
      </c>
      <c r="C9" s="16" t="n">
        <v>7110</v>
      </c>
      <c r="D9" s="16" t="n">
        <v>8027</v>
      </c>
      <c r="E9" s="16" t="n">
        <v>7812</v>
      </c>
      <c r="F9" s="16" t="n">
        <v>7710</v>
      </c>
    </row>
    <row r="10">
      <c r="A10" s="15" t="inlineStr">
        <is>
          <t>Andre driftsomkostninger</t>
        </is>
      </c>
      <c r="B10" s="16" t="n"/>
      <c r="C10" s="16" t="n"/>
      <c r="D10" s="16" t="n">
        <v>5153</v>
      </c>
      <c r="E10" s="16" t="n">
        <v>0</v>
      </c>
      <c r="F10" s="16" t="n"/>
    </row>
    <row r="11">
      <c r="A11" s="17" t="inlineStr">
        <is>
          <t>Resultat af primær drift</t>
        </is>
      </c>
      <c r="B11" s="16" t="n">
        <v>228477</v>
      </c>
      <c r="C11" s="16" t="n">
        <v>234616</v>
      </c>
      <c r="D11" s="16" t="n">
        <v>375605</v>
      </c>
      <c r="E11" s="16" t="n">
        <v>431554</v>
      </c>
      <c r="F11" s="16" t="n">
        <v>367410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31708</v>
      </c>
      <c r="C13" s="16" t="n">
        <v>54106</v>
      </c>
      <c r="D13" s="16" t="n">
        <v>130145</v>
      </c>
      <c r="E13" s="16" t="n">
        <v>99203</v>
      </c>
      <c r="F13" s="16" t="n">
        <v>55214</v>
      </c>
    </row>
    <row r="14">
      <c r="A14" s="15" t="inlineStr">
        <is>
          <t>Finansielle omkostninger</t>
        </is>
      </c>
      <c r="B14" s="16" t="n">
        <v>37627</v>
      </c>
      <c r="C14" s="16" t="n">
        <v>90854</v>
      </c>
      <c r="D14" s="16" t="n">
        <v>226897</v>
      </c>
      <c r="E14" s="16" t="n">
        <v>172804</v>
      </c>
      <c r="F14" s="16" t="n">
        <v>99460</v>
      </c>
    </row>
    <row r="15">
      <c r="A15" s="17" t="inlineStr">
        <is>
          <t>Finansielle poster, netto</t>
        </is>
      </c>
      <c r="B15" s="16" t="n">
        <v>-5919</v>
      </c>
      <c r="C15" s="16" t="n">
        <v>-36748</v>
      </c>
      <c r="D15" s="16" t="n">
        <v>-96752</v>
      </c>
      <c r="E15" s="16" t="n">
        <v>-73601</v>
      </c>
      <c r="F15" s="16" t="n">
        <v>-44246</v>
      </c>
    </row>
    <row r="16">
      <c r="A16" s="17" t="inlineStr">
        <is>
          <t>Resultat før skat</t>
        </is>
      </c>
      <c r="B16" s="16" t="n">
        <v>222558</v>
      </c>
      <c r="C16" s="16" t="n">
        <v>197868</v>
      </c>
      <c r="D16" s="16" t="n">
        <v>278853</v>
      </c>
      <c r="E16" s="16" t="n">
        <v>357953</v>
      </c>
      <c r="F16" s="16" t="n">
        <v>323164</v>
      </c>
    </row>
    <row r="17">
      <c r="A17" s="15" t="inlineStr">
        <is>
          <t>Skat af årets resultat</t>
        </is>
      </c>
      <c r="B17" s="16" t="n">
        <v>48973</v>
      </c>
      <c r="C17" s="16" t="n">
        <v>43710</v>
      </c>
      <c r="D17" s="16" t="n">
        <v>61356</v>
      </c>
      <c r="E17" s="16" t="n">
        <v>88555</v>
      </c>
      <c r="F17" s="16" t="n">
        <v>69724</v>
      </c>
    </row>
    <row r="18">
      <c r="A18" s="17" t="inlineStr">
        <is>
          <t>Årets resultat</t>
        </is>
      </c>
      <c r="B18" s="16" t="n">
        <v>173585</v>
      </c>
      <c r="C18" s="16" t="n">
        <v>154158</v>
      </c>
      <c r="D18" s="16" t="n">
        <v>217497</v>
      </c>
      <c r="E18" s="16" t="n">
        <v>269398</v>
      </c>
      <c r="F18" s="16" t="n">
        <v>253440</v>
      </c>
    </row>
    <row r="19">
      <c r="A19" s="15" t="inlineStr">
        <is>
          <t>Gns. antal medarbejdere</t>
        </is>
      </c>
      <c r="B19" s="16" t="n">
        <v>127</v>
      </c>
      <c r="C19" s="16" t="n">
        <v>138</v>
      </c>
      <c r="D19" s="16" t="n">
        <v>144</v>
      </c>
      <c r="E19" s="16" t="n">
        <v>159</v>
      </c>
      <c r="F19" s="16" t="n">
        <v>159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Orifarm Supply A/S (CVR 17153684)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44077</v>
      </c>
      <c r="C4" s="16" t="n">
        <v>158220</v>
      </c>
      <c r="D4" s="16" t="n">
        <v>150538</v>
      </c>
      <c r="E4" s="16" t="n">
        <v>142856</v>
      </c>
      <c r="F4" s="16" t="n">
        <v>135174</v>
      </c>
    </row>
    <row r="5">
      <c r="A5" s="17" t="inlineStr">
        <is>
          <t>Immaterielle anlægsaktiver</t>
        </is>
      </c>
      <c r="B5" s="16" t="n">
        <v>44294</v>
      </c>
      <c r="C5" s="16" t="n">
        <v>158412</v>
      </c>
      <c r="D5" s="16" t="n">
        <v>150612</v>
      </c>
      <c r="E5" s="16" t="n">
        <v>142856</v>
      </c>
      <c r="F5" s="16" t="n">
        <v>135174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5405</v>
      </c>
      <c r="C8" s="16" t="n">
        <v>5440</v>
      </c>
      <c r="D8" s="16" t="n">
        <v>92</v>
      </c>
      <c r="E8" s="16" t="n">
        <v>46</v>
      </c>
      <c r="F8" s="16" t="n">
        <v>18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5405</v>
      </c>
      <c r="C11" s="16" t="n">
        <v>5440</v>
      </c>
      <c r="D11" s="16" t="n">
        <v>92</v>
      </c>
      <c r="E11" s="16" t="n">
        <v>46</v>
      </c>
      <c r="F11" s="16" t="n">
        <v>18</v>
      </c>
    </row>
    <row r="12">
      <c r="A12" s="17" t="inlineStr">
        <is>
          <t>Anlægsaktiver</t>
        </is>
      </c>
      <c r="B12" s="16" t="n">
        <v>49699</v>
      </c>
      <c r="C12" s="16" t="n">
        <v>163852</v>
      </c>
      <c r="D12" s="16" t="n">
        <v>150704</v>
      </c>
      <c r="E12" s="16" t="n">
        <v>142902</v>
      </c>
      <c r="F12" s="16" t="n">
        <v>135192</v>
      </c>
    </row>
    <row r="13">
      <c r="A13" s="15" t="inlineStr">
        <is>
          <t>Råvarer og hjælpematerialer</t>
        </is>
      </c>
      <c r="B13" s="16" t="n">
        <v>892875</v>
      </c>
      <c r="C13" s="16" t="n">
        <v>910752</v>
      </c>
      <c r="D13" s="16" t="n">
        <v>941601</v>
      </c>
      <c r="E13" s="16" t="n">
        <v>969347</v>
      </c>
      <c r="F13" s="16" t="n">
        <v>1331986</v>
      </c>
    </row>
    <row r="14">
      <c r="A14" s="15" t="inlineStr">
        <is>
          <t>Varer under fremstilling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Færdigvarer og handelsvarer</t>
        </is>
      </c>
      <c r="B15" s="16" t="n">
        <v>183128</v>
      </c>
      <c r="C15" s="16" t="n">
        <v>307027</v>
      </c>
      <c r="D15" s="16" t="n">
        <v>365839</v>
      </c>
      <c r="E15" s="16" t="n">
        <v>566903</v>
      </c>
      <c r="F15" s="16" t="n">
        <v>382963</v>
      </c>
    </row>
    <row r="16">
      <c r="A16" s="17" t="inlineStr">
        <is>
          <t>Varebeholdninger</t>
        </is>
      </c>
      <c r="B16" s="16" t="n">
        <v>1082486</v>
      </c>
      <c r="C16" s="16" t="n">
        <v>1235432</v>
      </c>
      <c r="D16" s="16" t="n">
        <v>1350253</v>
      </c>
      <c r="E16" s="16" t="n">
        <v>1545017</v>
      </c>
      <c r="F16" s="16" t="n">
        <v>1729158</v>
      </c>
    </row>
    <row r="17">
      <c r="A17" s="15" t="inlineStr">
        <is>
          <t>Tilgodehavender fra salg og tjenesteydelser</t>
        </is>
      </c>
      <c r="B17" s="16" t="n">
        <v>11320</v>
      </c>
      <c r="C17" s="16" t="n">
        <v>56400</v>
      </c>
      <c r="D17" s="16" t="n">
        <v>27950</v>
      </c>
      <c r="E17" s="16" t="n">
        <v>13272</v>
      </c>
      <c r="F17" s="16" t="n">
        <v>48078</v>
      </c>
    </row>
    <row r="18">
      <c r="A18" s="15" t="inlineStr">
        <is>
          <t>Tilgodehavender hos tilknyttede virksomheder</t>
        </is>
      </c>
      <c r="B18" s="16" t="n">
        <v>152529</v>
      </c>
      <c r="C18" s="16" t="n">
        <v>1248712</v>
      </c>
      <c r="D18" s="16" t="n">
        <v>2261028</v>
      </c>
      <c r="E18" s="16" t="n">
        <v>977048</v>
      </c>
      <c r="F18" s="16" t="n">
        <v>930145</v>
      </c>
    </row>
    <row r="19">
      <c r="A19" s="15" t="inlineStr">
        <is>
          <t>Andre tilgodehavender</t>
        </is>
      </c>
      <c r="B19" s="16" t="n">
        <v>3774</v>
      </c>
      <c r="C19" s="16" t="n">
        <v>4974</v>
      </c>
      <c r="D19" s="16" t="n">
        <v>1768</v>
      </c>
      <c r="E19" s="16" t="n">
        <v>2049</v>
      </c>
      <c r="F19" s="16" t="n">
        <v>1822</v>
      </c>
    </row>
    <row r="20">
      <c r="A20" s="15" t="inlineStr">
        <is>
          <t>Periodeafgrænsningsposter (aktiver)</t>
        </is>
      </c>
      <c r="B20" s="16" t="n">
        <v>6483</v>
      </c>
      <c r="C20" s="16" t="n">
        <v>332</v>
      </c>
      <c r="D20" s="16" t="n">
        <v>1738</v>
      </c>
      <c r="E20" s="16" t="n">
        <v>1879</v>
      </c>
      <c r="F20" s="16" t="n">
        <v>1930</v>
      </c>
    </row>
    <row r="21">
      <c r="A21" s="15" t="inlineStr">
        <is>
          <t>Udskudt skatteaktiv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/>
      <c r="C23" s="16" t="n"/>
      <c r="D23" s="16" t="n"/>
      <c r="E23" s="16" t="n"/>
      <c r="F23" s="16" t="n"/>
    </row>
    <row r="24">
      <c r="A24" s="17" t="inlineStr">
        <is>
          <t>Tilgodehavender</t>
        </is>
      </c>
      <c r="B24" s="16" t="n">
        <v>174106</v>
      </c>
      <c r="C24" s="16" t="n">
        <v>1310418</v>
      </c>
      <c r="D24" s="16" t="n">
        <v>2292484</v>
      </c>
      <c r="E24" s="16" t="n">
        <v>994248</v>
      </c>
      <c r="F24" s="16" t="n">
        <v>981975</v>
      </c>
    </row>
    <row r="25">
      <c r="A25" s="15" t="inlineStr">
        <is>
          <t>Værdipapirer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Likvide beholdninger</t>
        </is>
      </c>
      <c r="B26" s="16" t="n">
        <v>0</v>
      </c>
      <c r="C26" s="16" t="n"/>
      <c r="D26" s="16" t="n">
        <v>3655</v>
      </c>
      <c r="E26" s="16" t="n">
        <v>0</v>
      </c>
      <c r="F26" s="16" t="n"/>
    </row>
    <row r="27">
      <c r="A27" s="17" t="inlineStr">
        <is>
          <t>Omsætningsaktiver</t>
        </is>
      </c>
      <c r="B27" s="16" t="n">
        <v>1256592</v>
      </c>
      <c r="C27" s="16" t="n">
        <v>2545850</v>
      </c>
      <c r="D27" s="16" t="n">
        <v>3646392</v>
      </c>
      <c r="E27" s="16" t="n">
        <v>2539265</v>
      </c>
      <c r="F27" s="16" t="n">
        <v>2711133</v>
      </c>
    </row>
    <row r="28">
      <c r="A28" s="17" t="inlineStr">
        <is>
          <t>Aktiver</t>
        </is>
      </c>
      <c r="B28" s="16" t="n">
        <v>1306291</v>
      </c>
      <c r="C28" s="16" t="n">
        <v>2709702</v>
      </c>
      <c r="D28" s="16" t="n">
        <v>3797096</v>
      </c>
      <c r="E28" s="16" t="n">
        <v>2682167</v>
      </c>
      <c r="F28" s="16" t="n">
        <v>2846325</v>
      </c>
    </row>
    <row r="29">
      <c r="A29" s="15" t="inlineStr">
        <is>
          <t>Selskabskapital</t>
        </is>
      </c>
      <c r="B29" s="16" t="n">
        <v>10000</v>
      </c>
      <c r="C29" s="16" t="n">
        <v>10000</v>
      </c>
      <c r="D29" s="16" t="n">
        <v>10000</v>
      </c>
      <c r="E29" s="16" t="n">
        <v>10000</v>
      </c>
      <c r="F29" s="16" t="n">
        <v>10000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Reserve for sikringstransaktioner</t>
        </is>
      </c>
      <c r="B32" s="16" t="n">
        <v>0</v>
      </c>
      <c r="C32" s="16" t="n"/>
      <c r="D32" s="16" t="n"/>
      <c r="E32" s="16" t="n"/>
      <c r="F32" s="16" t="n"/>
    </row>
    <row r="33">
      <c r="A33" s="15" t="inlineStr">
        <is>
          <t>Andre reserver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Overført resultat</t>
        </is>
      </c>
      <c r="B34" s="16" t="n">
        <v>526955</v>
      </c>
      <c r="C34" s="16" t="n">
        <v>681113</v>
      </c>
      <c r="D34" s="16" t="n">
        <v>898610</v>
      </c>
      <c r="E34" s="16" t="n">
        <v>1074108</v>
      </c>
      <c r="F34" s="16" t="n">
        <v>1125548</v>
      </c>
    </row>
    <row r="35">
      <c r="A35" s="17" t="inlineStr">
        <is>
          <t>Egenkapital i alt</t>
        </is>
      </c>
      <c r="B35" s="16" t="n">
        <v>711955</v>
      </c>
      <c r="C35" s="16" t="n">
        <v>691113</v>
      </c>
      <c r="D35" s="16" t="n">
        <v>908610</v>
      </c>
      <c r="E35" s="16" t="n">
        <v>1178008</v>
      </c>
      <c r="F35" s="16" t="n">
        <v>1337548</v>
      </c>
    </row>
    <row r="36">
      <c r="A36" s="15" t="inlineStr">
        <is>
          <t>Hensættelse til udskudt skat</t>
        </is>
      </c>
      <c r="B36" s="16" t="n">
        <v>9891</v>
      </c>
      <c r="C36" s="16" t="n">
        <v>12402</v>
      </c>
      <c r="D36" s="16" t="n">
        <v>13518</v>
      </c>
      <c r="E36" s="16" t="n">
        <v>16173</v>
      </c>
      <c r="F36" s="16" t="n">
        <v>21533</v>
      </c>
    </row>
    <row r="37">
      <c r="A37" s="17" t="inlineStr">
        <is>
          <t>Hensatte forpligtelser</t>
        </is>
      </c>
      <c r="B37" s="16" t="n">
        <v>9891</v>
      </c>
      <c r="C37" s="16" t="n">
        <v>12402</v>
      </c>
      <c r="D37" s="16" t="n">
        <v>13518</v>
      </c>
      <c r="E37" s="16" t="n">
        <v>16173</v>
      </c>
      <c r="F37" s="16" t="n">
        <v>21533</v>
      </c>
    </row>
    <row r="38">
      <c r="A38" s="15" t="inlineStr">
        <is>
          <t>Ansvarlig lånekapital (kortfristet)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Kortfristet del af langfristede gældsforpligtelser</t>
        </is>
      </c>
      <c r="B39" s="16" t="n">
        <v>0</v>
      </c>
      <c r="C39" s="16" t="n"/>
      <c r="D39" s="16" t="n"/>
      <c r="E39" s="16" t="n"/>
      <c r="F39" s="16" t="n"/>
    </row>
    <row r="40">
      <c r="A40" s="15" t="inlineStr">
        <is>
          <t>Kreditinstitutter</t>
        </is>
      </c>
      <c r="B40" s="16" t="n">
        <v>27012</v>
      </c>
      <c r="C40" s="16" t="n">
        <v>0</v>
      </c>
      <c r="D40" s="16" t="n"/>
      <c r="E40" s="16" t="n"/>
      <c r="F40" s="16" t="n"/>
    </row>
    <row r="41">
      <c r="A41" s="15" t="inlineStr">
        <is>
          <t>Leasingforpligtelser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Leverandører af varer og tjenesteydelser</t>
        </is>
      </c>
      <c r="B42" s="16" t="n">
        <v>194281</v>
      </c>
      <c r="C42" s="16" t="n">
        <v>246481</v>
      </c>
      <c r="D42" s="16" t="n">
        <v>280114</v>
      </c>
      <c r="E42" s="16" t="n">
        <v>305125</v>
      </c>
      <c r="F42" s="16" t="n">
        <v>400081</v>
      </c>
    </row>
    <row r="43">
      <c r="A43" s="15" t="inlineStr">
        <is>
          <t>Gæld til tilknyttede virksomheder</t>
        </is>
      </c>
      <c r="B43" s="16" t="n">
        <v>247157</v>
      </c>
      <c r="C43" s="16" t="n">
        <v>1629597</v>
      </c>
      <c r="D43" s="16" t="n">
        <v>2443006</v>
      </c>
      <c r="E43" s="16" t="n">
        <v>827248</v>
      </c>
      <c r="F43" s="16" t="n">
        <v>751893</v>
      </c>
    </row>
    <row r="44">
      <c r="A44" s="15" t="inlineStr">
        <is>
          <t>Gæld til selskabsdeltagere og ledelse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Selskabsskat</t>
        </is>
      </c>
      <c r="B45" s="16" t="n">
        <v>27416</v>
      </c>
      <c r="C45" s="16" t="n">
        <v>30096</v>
      </c>
      <c r="D45" s="16" t="n">
        <v>52570</v>
      </c>
      <c r="E45" s="16" t="n">
        <v>73772</v>
      </c>
      <c r="F45" s="16" t="n">
        <v>67489</v>
      </c>
    </row>
    <row r="46">
      <c r="A46" s="15" t="inlineStr">
        <is>
          <t>Gæld til tilknyttede virksomheder vedr. selskabsskat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Anden gæld (kortfristet)</t>
        </is>
      </c>
      <c r="B47" s="16" t="n">
        <v>88579</v>
      </c>
      <c r="C47" s="16" t="n">
        <v>100013</v>
      </c>
      <c r="D47" s="16" t="n">
        <v>99278</v>
      </c>
      <c r="E47" s="16" t="n">
        <v>281841</v>
      </c>
      <c r="F47" s="16" t="n">
        <v>267781</v>
      </c>
    </row>
    <row r="48">
      <c r="A48" s="15" t="inlineStr">
        <is>
          <t>Periodeafgrænsningsposter (passiver)</t>
        </is>
      </c>
      <c r="B48" s="16" t="n"/>
      <c r="C48" s="16" t="n"/>
      <c r="D48" s="16" t="n"/>
      <c r="E48" s="16" t="n"/>
      <c r="F48" s="16" t="n"/>
    </row>
    <row r="49">
      <c r="A49" s="17" t="inlineStr">
        <is>
          <t>Kortfristede gældsforpligtelser</t>
        </is>
      </c>
      <c r="B49" s="16" t="n">
        <v>584445</v>
      </c>
      <c r="C49" s="16" t="n">
        <v>2006187</v>
      </c>
      <c r="D49" s="16" t="n">
        <v>2874968</v>
      </c>
      <c r="E49" s="16" t="n">
        <v>1487986</v>
      </c>
      <c r="F49" s="16" t="n">
        <v>1487244</v>
      </c>
    </row>
    <row r="50">
      <c r="A50" s="17" t="inlineStr">
        <is>
          <t>Gældsforpligtelser</t>
        </is>
      </c>
      <c r="B50" s="16" t="n">
        <v>584445</v>
      </c>
      <c r="C50" s="16" t="n">
        <v>2006187</v>
      </c>
      <c r="D50" s="16" t="n">
        <v>2874968</v>
      </c>
      <c r="E50" s="16" t="n">
        <v>1487986</v>
      </c>
      <c r="F50" s="16" t="n">
        <v>1487244</v>
      </c>
    </row>
    <row r="51">
      <c r="A51" s="17" t="inlineStr">
        <is>
          <t>Passiver</t>
        </is>
      </c>
      <c r="B51" s="16" t="n">
        <v>1306291</v>
      </c>
      <c r="C51" s="16" t="n">
        <v>2709702</v>
      </c>
      <c r="D51" s="16" t="n">
        <v>3797096</v>
      </c>
      <c r="E51" s="16" t="n">
        <v>2682167</v>
      </c>
      <c r="F51" s="16" t="n">
        <v>2846325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Orifarm Supply A/S (CVR 17153684) — Regnskabs- og nøgletal (CVR: 17153684)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'res_raw_17153684'!$F$2</f>
        <v/>
      </c>
      <c r="C5" s="24">
        <f>'res_raw_17153684'!$E$2</f>
        <v/>
      </c>
      <c r="D5" s="24">
        <f>'res_raw_17153684'!$D$2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'res_raw_17153684'!$F$3</f>
        <v/>
      </c>
      <c r="C6" s="24">
        <f>'res_raw_17153684'!$E$3</f>
        <v/>
      </c>
      <c r="D6" s="24">
        <f>'res_raw_17153684'!$D$3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-'res_raw_17153684'!$F$4</f>
        <v/>
      </c>
      <c r="C7" s="24">
        <f>-'res_raw_17153684'!$E$4</f>
        <v/>
      </c>
      <c r="D7" s="24">
        <f>-'res_raw_17153684'!$D$4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-'res_raw_17153684'!$F$5</f>
        <v/>
      </c>
      <c r="C8" s="24">
        <f>-'res_raw_17153684'!$E$5</f>
        <v/>
      </c>
      <c r="D8" s="24">
        <f>-'res_raw_17153684'!$D$5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IF(ABS((SUM(B5:B8))-'res_raw_17153684'!$F$6)&lt;=2,SUM(B5:B8),'res_raw_17153684'!$F$6)</f>
        <v/>
      </c>
      <c r="C9" s="27">
        <f>IF(ABS((SUM(C5:C8))-'res_raw_17153684'!$E$6)&lt;=2,SUM(C5:C8),'res_raw_17153684'!$E$6)</f>
        <v/>
      </c>
      <c r="D9" s="27">
        <f>IF(ABS((SUM(D5:D8))-'res_raw_17153684'!$D$6)&lt;=2,SUM(D5:D8),'res_raw_17153684'!$D$6)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-'res_raw_17153684'!$F$7</f>
        <v/>
      </c>
      <c r="C10" s="24">
        <f>-'res_raw_17153684'!$E$7</f>
        <v/>
      </c>
      <c r="D10" s="24">
        <f>-'res_raw_17153684'!$D$7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-'res_raw_17153684'!$F$9</f>
        <v/>
      </c>
      <c r="C11" s="24">
        <f>-'res_raw_17153684'!$E$9</f>
        <v/>
      </c>
      <c r="D11" s="24">
        <f>-'res_raw_17153684'!$D$9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-'res_raw_17153684'!$F$10</f>
        <v/>
      </c>
      <c r="C12" s="24">
        <f>-'res_raw_17153684'!$E$10</f>
        <v/>
      </c>
      <c r="D12" s="24">
        <f>-'res_raw_17153684'!$D$10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IF(ABS((SUM(B9:B12))-'res_raw_17153684'!$F$11)&lt;=2,SUM(B9:B12),'res_raw_17153684'!$F$11)</f>
        <v/>
      </c>
      <c r="C13" s="27">
        <f>IF(ABS((SUM(C9:C12))-'res_raw_17153684'!$E$11)&lt;=2,SUM(C9:C12),'res_raw_17153684'!$E$11)</f>
        <v/>
      </c>
      <c r="D13" s="27">
        <f>IF(ABS((SUM(D9:D12))-'res_raw_17153684'!$D$11)&lt;=2,SUM(D9:D12),'res_raw_17153684'!$D$11)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N('res_raw_17153684'!$F$12)+N('res_raw_17153684'!$F$13)</f>
        <v/>
      </c>
      <c r="C14" s="24">
        <f>N('res_raw_17153684'!$E$12)+N('res_raw_17153684'!$E$13)</f>
        <v/>
      </c>
      <c r="D14" s="24">
        <f>N('res_raw_17153684'!$D$12)+N('res_raw_17153684'!$D$13)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-'res_raw_17153684'!$F$14</f>
        <v/>
      </c>
      <c r="C15" s="24">
        <f>-'res_raw_17153684'!$E$14</f>
        <v/>
      </c>
      <c r="D15" s="24">
        <f>-'res_raw_17153684'!$D$14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IF(ABS((SUM(B13:B15))-'res_raw_17153684'!$F$16)&lt;=2,SUM(B13:B15),'res_raw_17153684'!$F$16)</f>
        <v/>
      </c>
      <c r="C16" s="27">
        <f>IF(ABS((SUM(C13:C15))-'res_raw_17153684'!$E$16)&lt;=2,SUM(C13:C15),'res_raw_17153684'!$E$16)</f>
        <v/>
      </c>
      <c r="D16" s="27">
        <f>IF(ABS((SUM(D13:D15))-'res_raw_17153684'!$D$16)&lt;=2,SUM(D13:D15),'res_raw_17153684'!$D$16)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'balance_raw_17153684'!$F$12</f>
        <v/>
      </c>
      <c r="C19" s="24">
        <f>'balance_raw_17153684'!$E$12</f>
        <v/>
      </c>
      <c r="D19" s="24">
        <f>'balance_raw_17153684'!$D$12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'balance_raw_17153684'!$F$27</f>
        <v/>
      </c>
      <c r="C20" s="24">
        <f>'balance_raw_17153684'!$E$27</f>
        <v/>
      </c>
      <c r="D20" s="24">
        <f>'balance_raw_17153684'!$D$27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'balance_raw_17153684'!$F$35</f>
        <v/>
      </c>
      <c r="C23" s="24">
        <f>'balance_raw_17153684'!$E$35</f>
        <v/>
      </c>
      <c r="D23" s="24">
        <f>'balance_raw_17153684'!$D$35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'balance_raw_17153684'!$F$51-'balance_raw_17153684'!$F$35</f>
        <v/>
      </c>
      <c r="C24" s="24">
        <f>'balance_raw_17153684'!$E$51-'balance_raw_17153684'!$E$35</f>
        <v/>
      </c>
      <c r="D24" s="24">
        <f>'balance_raw_17153684'!$D$51-'balance_raw_17153684'!$D$35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'balance_raw_17153684'!$F$16</f>
        <v/>
      </c>
      <c r="C28" s="24">
        <f>'balance_raw_17153684'!$E$16</f>
        <v/>
      </c>
      <c r="D28" s="24">
        <f>'balance_raw_17153684'!$D$16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'balance_raw_17153684'!$F$17</f>
        <v/>
      </c>
      <c r="C29" s="24">
        <f>'balance_raw_17153684'!$E$17</f>
        <v/>
      </c>
      <c r="D29" s="24">
        <f>'balance_raw_17153684'!$D$17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'balance_raw_17153684'!$F$49</f>
        <v/>
      </c>
      <c r="C30" s="24">
        <f>'balance_raw_17153684'!$E$49</f>
        <v/>
      </c>
      <c r="D30" s="24">
        <f>'balance_raw_17153684'!$D$49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IF('balance_raw_17153684'!$F$28="","—",IF(ABS(B21-'balance_raw_17153684'!$F$28)&lt;=1,"✓ OK","❌ "&amp;TEXT(B21-'balance_raw_17153684'!$F$28,"+#,##0;-#,##0")&amp;" t.kr."))</f>
        <v/>
      </c>
      <c r="C61" s="29">
        <f>IF('balance_raw_17153684'!$E$28="","—",IF(ABS(C21-'balance_raw_17153684'!$E$28)&lt;=1,"✓ OK","❌ "&amp;TEXT(C21-'balance_raw_17153684'!$E$28,"+#,##0;-#,##0")&amp;" t.kr."))</f>
        <v/>
      </c>
      <c r="D61" s="29">
        <f>IF('balance_raw_17153684'!$D$28="","—",IF(ABS(D21-'balance_raw_17153684'!$D$28)&lt;=1,"✓ OK","❌ "&amp;TEXT(D21-'balance_raw_17153684'!$D$28,"+#,##0;-#,##0")&amp;"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IF('balance_raw_17153684'!$F$51="","—",IF(ABS(B25-'balance_raw_17153684'!$F$51)&lt;=1,"✓ OK","❌ "&amp;TEXT(B25-'balance_raw_17153684'!$F$51,"+#,##0;-#,##0")&amp;" t.kr."))</f>
        <v/>
      </c>
      <c r="C62" s="29">
        <f>IF('balance_raw_17153684'!$E$51="","—",IF(ABS(C25-'balance_raw_17153684'!$E$51)&lt;=1,"✓ OK","❌ "&amp;TEXT(C25-'balance_raw_17153684'!$E$51,"+#,##0;-#,##0")&amp;" t.kr."))</f>
        <v/>
      </c>
      <c r="D62" s="29">
        <f>IF('balance_raw_17153684'!$D$51="","—",IF(ABS(D25-'balance_raw_17153684'!$D$51)&lt;=1,"✓ OK","❌ "&amp;TEXT(D25-'balance_raw_17153684'!$D$51,"+#,##0;-#,##0")&amp;"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IF('res_raw_17153684'!$F$6="","—",IF(ABS(B9-'res_raw_17153684'!$F$6)&lt;=1,"✓ OK","❌ "&amp;TEXT(B9-'res_raw_17153684'!$F$6,"+#,##0;-#,##0")&amp;" t.kr."))</f>
        <v/>
      </c>
      <c r="C64" s="29">
        <f>IF('res_raw_17153684'!$E$6="","—",IF(ABS(C9-'res_raw_17153684'!$E$6)&lt;=1,"✓ OK","❌ "&amp;TEXT(C9-'res_raw_17153684'!$E$6,"+#,##0;-#,##0")&amp;" t.kr."))</f>
        <v/>
      </c>
      <c r="D64" s="29">
        <f>IF('res_raw_17153684'!$D$6="","—",IF(ABS(D9-'res_raw_17153684'!$D$6)&lt;=1,"✓ OK","❌ "&amp;TEXT(D9-'res_raw_17153684'!$D$6,"+#,##0;-#,##0")&amp;"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IF('res_raw_17153684'!$F$11="","—",IF(ABS(B13-'res_raw_17153684'!$F$11)&lt;=1,"✓ OK","❌ "&amp;TEXT(B13-'res_raw_17153684'!$F$11,"+#,##0;-#,##0")&amp;" t.kr."))</f>
        <v/>
      </c>
      <c r="C65" s="29">
        <f>IF('res_raw_17153684'!$E$11="","—",IF(ABS(C13-'res_raw_17153684'!$E$11)&lt;=1,"✓ OK","❌ "&amp;TEXT(C13-'res_raw_17153684'!$E$11,"+#,##0;-#,##0")&amp;" t.kr."))</f>
        <v/>
      </c>
      <c r="D65" s="29">
        <f>IF('res_raw_17153684'!$D$11="","—",IF(ABS(D13-'res_raw_17153684'!$D$11)&lt;=1,"✓ OK","❌ "&amp;TEXT(D13-'res_raw_17153684'!$D$11,"+#,##0;-#,##0")&amp;"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IF('res_raw_17153684'!$F$16="","—",IF(ABS(B16-'res_raw_17153684'!$F$16)&lt;=1,"✓ OK","❌ "&amp;TEXT(B16-'res_raw_17153684'!$F$16,"+#,##0;-#,##0")&amp;" t.kr."))</f>
        <v/>
      </c>
      <c r="C66" s="29">
        <f>IF('res_raw_17153684'!$E$16="","—",IF(ABS(C16-'res_raw_17153684'!$E$16)&lt;=1,"✓ OK","❌ "&amp;TEXT(C16-'res_raw_17153684'!$E$16,"+#,##0;-#,##0")&amp;" t.kr."))</f>
        <v/>
      </c>
      <c r="D66" s="29">
        <f>IF('res_raw_17153684'!$D$16="","—",IF(ABS(D16-'res_raw_17153684'!$D$16)&lt;=1,"✓ OK","❌ "&amp;TEXT(D16-'res_raw_17153684'!$D$16,"+#,##0;-#,##0")&amp;"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2026-10-01T22:19:06Z</dcterms:created>
  <dcterms:modified xmlns:dcterms="http://purl.org/dc/terms/" xmlns:xsi="http://www.w3.org/2001/XMLSchema-instance" xsi:type="dcterms:W3CDTF">2026-10-01T22:19:07Z</dcterms:modified>
</cp:coreProperties>
</file>