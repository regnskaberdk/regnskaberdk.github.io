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pengestrom_raw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3" fillId="0" borderId="3" pivotButton="0" quotePrefix="0" xfId="0"/>
    <xf numFmtId="3" fontId="3" fillId="0" borderId="3" applyAlignment="1" pivotButton="0" quotePrefix="0" xfId="0">
      <alignment horizontal="right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pera — 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'res_raw'!$B$4</f>
        <v/>
      </c>
      <c r="C6" s="8">
        <f>'res_raw'!$C$4</f>
        <v/>
      </c>
      <c r="D6" s="8">
        <f>'res_raw'!$D$4</f>
        <v/>
      </c>
      <c r="E6" s="8">
        <f>'res_raw'!$E$4</f>
        <v/>
      </c>
      <c r="F6" s="8">
        <f>'res_raw'!$F$4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10" t="inlineStr">
        <is>
          <t>Udviklingsomkostninger</t>
        </is>
      </c>
      <c r="B7" s="11">
        <f>'res_raw'!$B$5</f>
        <v/>
      </c>
      <c r="C7" s="11">
        <f>'res_raw'!$C$5</f>
        <v/>
      </c>
      <c r="D7" s="11">
        <f>'res_raw'!$D$5</f>
        <v/>
      </c>
      <c r="E7" s="11">
        <f>'res_raw'!$E$5</f>
        <v/>
      </c>
      <c r="F7" s="11">
        <f>'res_raw'!$F$5</f>
        <v/>
      </c>
      <c r="G7" t="inlineStr"/>
      <c r="H7" s="12">
        <f>IFERROR(B7/$B$7*100,"")</f>
        <v/>
      </c>
      <c r="I7" s="12">
        <f>IFERROR(C7/$B$7*100,"")</f>
        <v/>
      </c>
      <c r="J7" s="12">
        <f>IFERROR(D7/$B$7*100,"")</f>
        <v/>
      </c>
      <c r="K7" s="12">
        <f>IFERROR(E7/$B$7*100,"")</f>
        <v/>
      </c>
      <c r="L7" s="12">
        <f>IFERROR(F7/$B$7*100,"")</f>
        <v/>
      </c>
    </row>
    <row r="8" ht="16" customHeight="1">
      <c r="A8" s="7" t="inlineStr">
        <is>
          <t>Salgs- og distributionsomkostninger</t>
        </is>
      </c>
      <c r="B8" s="8">
        <f>'res_raw'!$B$6</f>
        <v/>
      </c>
      <c r="C8" s="8">
        <f>'res_raw'!$C$6</f>
        <v/>
      </c>
      <c r="D8" s="8">
        <f>'res_raw'!$D$6</f>
        <v/>
      </c>
      <c r="E8" s="8">
        <f>'res_raw'!$E$6</f>
        <v/>
      </c>
      <c r="F8" s="8">
        <f>'res_raw'!$F$6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7" t="inlineStr">
        <is>
          <t>Administrationsomkostninger</t>
        </is>
      </c>
      <c r="B9" s="8">
        <f>'res_raw'!$B$7</f>
        <v/>
      </c>
      <c r="C9" s="8">
        <f>'res_raw'!$C$7</f>
        <v/>
      </c>
      <c r="D9" s="8">
        <f>'res_raw'!$D$7</f>
        <v/>
      </c>
      <c r="E9" s="8">
        <f>'res_raw'!$E$7</f>
        <v/>
      </c>
      <c r="F9" s="8">
        <f>'res_raw'!$F$7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4" t="inlineStr">
        <is>
          <t>Andre driftsindtægter</t>
        </is>
      </c>
      <c r="B10" s="5">
        <f>'res_raw'!$B$8</f>
        <v/>
      </c>
      <c r="C10" s="5">
        <f>'res_raw'!$C$8</f>
        <v/>
      </c>
      <c r="D10" s="5">
        <f>'res_raw'!$D$8</f>
        <v/>
      </c>
      <c r="E10" s="5">
        <f>'res_raw'!$E$8</f>
        <v/>
      </c>
      <c r="F10" s="5">
        <f>'res_raw'!$F$8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10" t="inlineStr">
        <is>
          <t>Andre driftsomkostninger</t>
        </is>
      </c>
      <c r="B11" s="11">
        <f>'res_raw'!$B$9</f>
        <v/>
      </c>
      <c r="C11" s="11">
        <f>'res_raw'!$C$9</f>
        <v/>
      </c>
      <c r="D11" s="11">
        <f>'res_raw'!$D$9</f>
        <v/>
      </c>
      <c r="E11" s="11">
        <f>'res_raw'!$E$9</f>
        <v/>
      </c>
      <c r="F11" s="11">
        <f>'res_raw'!$F$9</f>
        <v/>
      </c>
      <c r="G11" t="inlineStr"/>
      <c r="H11" s="12">
        <f>IFERROR(B11/$B$11*100,"")</f>
        <v/>
      </c>
      <c r="I11" s="12">
        <f>IFERROR(C11/$B$11*100,"")</f>
        <v/>
      </c>
      <c r="J11" s="12">
        <f>IFERROR(D11/$B$11*100,"")</f>
        <v/>
      </c>
      <c r="K11" s="12">
        <f>IFERROR(E11/$B$11*100,"")</f>
        <v/>
      </c>
      <c r="L11" s="12">
        <f>IFERROR(F11/$B$11*100,"")</f>
        <v/>
      </c>
    </row>
    <row r="12" ht="16" customHeight="1">
      <c r="A12" s="4" t="inlineStr">
        <is>
          <t>Andre eksterne omkostninger</t>
        </is>
      </c>
      <c r="B12" s="5">
        <f>'res_raw'!$B$10</f>
        <v/>
      </c>
      <c r="C12" s="5">
        <f>'res_raw'!$C$10</f>
        <v/>
      </c>
      <c r="D12" s="5">
        <f>'res_raw'!$D$10</f>
        <v/>
      </c>
      <c r="E12" s="5">
        <f>'res_raw'!$E$10</f>
        <v/>
      </c>
      <c r="F12" s="5">
        <f>'res_raw'!$F$10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7" t="inlineStr">
        <is>
          <t>Resultat af primær drift</t>
        </is>
      </c>
      <c r="B13" s="8">
        <f>'res_raw'!$B$11</f>
        <v/>
      </c>
      <c r="C13" s="8">
        <f>'res_raw'!$C$11</f>
        <v/>
      </c>
      <c r="D13" s="8">
        <f>'res_raw'!$D$11</f>
        <v/>
      </c>
      <c r="E13" s="8">
        <f>'res_raw'!$E$11</f>
        <v/>
      </c>
      <c r="F13" s="8">
        <f>'res_raw'!$F$11</f>
        <v/>
      </c>
      <c r="G13" t="inlineStr"/>
      <c r="H13" s="9">
        <f>IFERROR(B13/$B$13*100,"")</f>
        <v/>
      </c>
      <c r="I13" s="9">
        <f>IFERROR(C13/$B$13*100,"")</f>
        <v/>
      </c>
      <c r="J13" s="9">
        <f>IFERROR(D13/$B$13*100,"")</f>
        <v/>
      </c>
      <c r="K13" s="9">
        <f>IFERROR(E13/$B$13*100,"")</f>
        <v/>
      </c>
      <c r="L13" s="9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10" t="inlineStr">
        <is>
          <t>Finansielle indtægter</t>
        </is>
      </c>
      <c r="B15" s="11">
        <f>'res_raw'!$B$13</f>
        <v/>
      </c>
      <c r="C15" s="11">
        <f>'res_raw'!$C$13</f>
        <v/>
      </c>
      <c r="D15" s="11">
        <f>'res_raw'!$D$13</f>
        <v/>
      </c>
      <c r="E15" s="11">
        <f>'res_raw'!$E$13</f>
        <v/>
      </c>
      <c r="F15" s="11">
        <f>'res_raw'!$F$13</f>
        <v/>
      </c>
      <c r="G15" t="inlineStr"/>
      <c r="H15" s="12">
        <f>IFERROR(B15/$B$15*100,"")</f>
        <v/>
      </c>
      <c r="I15" s="12">
        <f>IFERROR(C15/$B$15*100,"")</f>
        <v/>
      </c>
      <c r="J15" s="12">
        <f>IFERROR(D15/$B$15*100,"")</f>
        <v/>
      </c>
      <c r="K15" s="12">
        <f>IFERROR(E15/$B$15*100,"")</f>
        <v/>
      </c>
      <c r="L15" s="12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'res_raw'!$B$14</f>
        <v/>
      </c>
      <c r="C16" s="5">
        <f>'res_raw'!$C$14</f>
        <v/>
      </c>
      <c r="D16" s="5">
        <f>'res_raw'!$D$14</f>
        <v/>
      </c>
      <c r="E16" s="5">
        <f>'res_raw'!$E$14</f>
        <v/>
      </c>
      <c r="F16" s="5">
        <f>'res_raw'!$F$14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7" t="inlineStr">
        <is>
          <t>Finansielle poster, netto</t>
        </is>
      </c>
      <c r="B17" s="8">
        <f>'res_raw'!$B$15</f>
        <v/>
      </c>
      <c r="C17" s="8">
        <f>'res_raw'!$C$15</f>
        <v/>
      </c>
      <c r="D17" s="8">
        <f>'res_raw'!$D$15</f>
        <v/>
      </c>
      <c r="E17" s="8">
        <f>'res_raw'!$E$15</f>
        <v/>
      </c>
      <c r="F17" s="8">
        <f>'res_raw'!$F$15</f>
        <v/>
      </c>
      <c r="G17" t="inlineStr"/>
      <c r="H17" s="9">
        <f>IFERROR(B17/$B$17*100,"")</f>
        <v/>
      </c>
      <c r="I17" s="9">
        <f>IFERROR(C17/$B$17*100,"")</f>
        <v/>
      </c>
      <c r="J17" s="9">
        <f>IFERROR(D17/$B$17*100,"")</f>
        <v/>
      </c>
      <c r="K17" s="9">
        <f>IFERROR(E17/$B$17*100,"")</f>
        <v/>
      </c>
      <c r="L17" s="9">
        <f>IFERROR(F17/$B$17*100,"")</f>
        <v/>
      </c>
    </row>
    <row r="18" ht="16" customHeight="1">
      <c r="A18" s="7" t="inlineStr">
        <is>
          <t>Resultat før skat</t>
        </is>
      </c>
      <c r="B18" s="8">
        <f>'res_raw'!$B$16</f>
        <v/>
      </c>
      <c r="C18" s="8">
        <f>'res_raw'!$C$16</f>
        <v/>
      </c>
      <c r="D18" s="8">
        <f>'res_raw'!$D$16</f>
        <v/>
      </c>
      <c r="E18" s="8">
        <f>'res_raw'!$E$16</f>
        <v/>
      </c>
      <c r="F18" s="8">
        <f>'res_raw'!$F$16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19" ht="16" customHeight="1">
      <c r="A19" s="10" t="inlineStr">
        <is>
          <t>Skat af årets resultat</t>
        </is>
      </c>
      <c r="B19" s="11">
        <f>'res_raw'!$B$17</f>
        <v/>
      </c>
      <c r="C19" s="11">
        <f>'res_raw'!$C$17</f>
        <v/>
      </c>
      <c r="D19" s="11">
        <f>'res_raw'!$D$17</f>
        <v/>
      </c>
      <c r="E19" s="11">
        <f>'res_raw'!$E$17</f>
        <v/>
      </c>
      <c r="F19" s="11">
        <f>'res_raw'!$F$17</f>
        <v/>
      </c>
      <c r="G19" t="inlineStr"/>
      <c r="H19" s="12">
        <f>IFERROR(B19/$B$19*100,"")</f>
        <v/>
      </c>
      <c r="I19" s="12">
        <f>IFERROR(C19/$B$19*100,"")</f>
        <v/>
      </c>
      <c r="J19" s="12">
        <f>IFERROR(D19/$B$19*100,"")</f>
        <v/>
      </c>
      <c r="K19" s="12">
        <f>IFERROR(E19/$B$19*100,"")</f>
        <v/>
      </c>
      <c r="L19" s="12">
        <f>IFERROR(F19/$B$19*100,"")</f>
        <v/>
      </c>
    </row>
    <row r="20" ht="16" customHeight="1">
      <c r="A20" s="7" t="inlineStr">
        <is>
          <t>Årets resultat</t>
        </is>
      </c>
      <c r="B20" s="8">
        <f>'res_raw'!$B$18</f>
        <v/>
      </c>
      <c r="C20" s="8">
        <f>'res_raw'!$C$18</f>
        <v/>
      </c>
      <c r="D20" s="8">
        <f>'res_raw'!$D$18</f>
        <v/>
      </c>
      <c r="E20" s="8">
        <f>'res_raw'!$E$18</f>
        <v/>
      </c>
      <c r="F20" s="8">
        <f>'res_raw'!$F$18</f>
        <v/>
      </c>
      <c r="G20" t="inlineStr"/>
      <c r="H20" s="9">
        <f>IFERROR(B20/$B$20*100,"")</f>
        <v/>
      </c>
      <c r="I20" s="9">
        <f>IFERROR(C20/$B$20*100,"")</f>
        <v/>
      </c>
      <c r="J20" s="9">
        <f>IFERROR(D20/$B$20*100,"")</f>
        <v/>
      </c>
      <c r="K20" s="9">
        <f>IFERROR(E20/$B$20*100,"")</f>
        <v/>
      </c>
      <c r="L20" s="9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10" t="inlineStr">
        <is>
          <t>Udviklingsprojekter</t>
        </is>
      </c>
      <c r="B23" s="11">
        <f>'balance_raw'!$B$2</f>
        <v/>
      </c>
      <c r="C23" s="11">
        <f>'balance_raw'!$C$2</f>
        <v/>
      </c>
      <c r="D23" s="11">
        <f>'balance_raw'!$D$2</f>
        <v/>
      </c>
      <c r="E23" s="11">
        <f>'balance_raw'!$E$2</f>
        <v/>
      </c>
      <c r="F23" s="11">
        <f>'balance_raw'!$F$2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'balance_raw'!$B$3</f>
        <v/>
      </c>
      <c r="C24" s="5">
        <f>'balance_raw'!$C$3</f>
        <v/>
      </c>
      <c r="D24" s="5">
        <f>'balance_raw'!$D$3</f>
        <v/>
      </c>
      <c r="E24" s="5">
        <f>'balance_raw'!$E$3</f>
        <v/>
      </c>
      <c r="F24" s="5">
        <f>'balance_raw'!$F$3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10" t="inlineStr">
        <is>
          <t>Goodwill</t>
        </is>
      </c>
      <c r="B25" s="11">
        <f>'balance_raw'!$B$4</f>
        <v/>
      </c>
      <c r="C25" s="11">
        <f>'balance_raw'!$C$4</f>
        <v/>
      </c>
      <c r="D25" s="11">
        <f>'balance_raw'!$D$4</f>
        <v/>
      </c>
      <c r="E25" s="11">
        <f>'balance_raw'!$E$4</f>
        <v/>
      </c>
      <c r="F25" s="11">
        <f>'balance_raw'!$F$4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7" t="inlineStr">
        <is>
          <t>Immaterielle anlægsaktiver</t>
        </is>
      </c>
      <c r="B26" s="8">
        <f>'balance_raw'!$B$5</f>
        <v/>
      </c>
      <c r="C26" s="8">
        <f>'balance_raw'!$C$5</f>
        <v/>
      </c>
      <c r="D26" s="8">
        <f>'balance_raw'!$D$5</f>
        <v/>
      </c>
      <c r="E26" s="8">
        <f>'balance_raw'!$E$5</f>
        <v/>
      </c>
      <c r="F26" s="8">
        <f>'balance_raw'!$F$5</f>
        <v/>
      </c>
      <c r="G26" t="inlineStr"/>
      <c r="H26" s="9">
        <f>IFERROR(B26/$B$26*100,"")</f>
        <v/>
      </c>
      <c r="I26" s="9">
        <f>IFERROR(C26/$B$26*100,"")</f>
        <v/>
      </c>
      <c r="J26" s="9">
        <f>IFERROR(D26/$B$26*100,"")</f>
        <v/>
      </c>
      <c r="K26" s="9">
        <f>IFERROR(E26/$B$26*100,"")</f>
        <v/>
      </c>
      <c r="L26" s="9">
        <f>IFERROR(F26/$B$26*100,"")</f>
        <v/>
      </c>
    </row>
    <row r="27" ht="16" customHeight="1">
      <c r="A27" s="10" t="inlineStr">
        <is>
          <t>Grunde og bygninger</t>
        </is>
      </c>
      <c r="B27" s="11">
        <f>'balance_raw'!$B$6</f>
        <v/>
      </c>
      <c r="C27" s="11">
        <f>'balance_raw'!$C$6</f>
        <v/>
      </c>
      <c r="D27" s="11">
        <f>'balance_raw'!$D$6</f>
        <v/>
      </c>
      <c r="E27" s="11">
        <f>'balance_raw'!$E$6</f>
        <v/>
      </c>
      <c r="F27" s="11">
        <f>'balance_raw'!$F$6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'balance_raw'!$B$7</f>
        <v/>
      </c>
      <c r="C28" s="5">
        <f>'balance_raw'!$C$7</f>
        <v/>
      </c>
      <c r="D28" s="5">
        <f>'balance_raw'!$D$7</f>
        <v/>
      </c>
      <c r="E28" s="5">
        <f>'balance_raw'!$E$7</f>
        <v/>
      </c>
      <c r="F28" s="5">
        <f>'balance_raw'!$F$7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Driftsmateriel og inventar</t>
        </is>
      </c>
      <c r="B29" s="11">
        <f>'balance_raw'!$B$8</f>
        <v/>
      </c>
      <c r="C29" s="11">
        <f>'balance_raw'!$C$8</f>
        <v/>
      </c>
      <c r="D29" s="11">
        <f>'balance_raw'!$D$8</f>
        <v/>
      </c>
      <c r="E29" s="11">
        <f>'balance_raw'!$E$8</f>
        <v/>
      </c>
      <c r="F29" s="11">
        <f>'balance_raw'!$F$8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'balance_raw'!$B$9</f>
        <v/>
      </c>
      <c r="C30" s="5">
        <f>'balance_raw'!$C$9</f>
        <v/>
      </c>
      <c r="D30" s="5">
        <f>'balance_raw'!$D$9</f>
        <v/>
      </c>
      <c r="E30" s="5">
        <f>'balance_raw'!$E$9</f>
        <v/>
      </c>
      <c r="F30" s="5">
        <f>'balance_raw'!$F$9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Forudbetaling og anlægsaktiver under opførelse</t>
        </is>
      </c>
      <c r="B31" s="11">
        <f>'balance_raw'!$B$10</f>
        <v/>
      </c>
      <c r="C31" s="11">
        <f>'balance_raw'!$C$10</f>
        <v/>
      </c>
      <c r="D31" s="11">
        <f>'balance_raw'!$D$10</f>
        <v/>
      </c>
      <c r="E31" s="11">
        <f>'balance_raw'!$E$10</f>
        <v/>
      </c>
      <c r="F31" s="11">
        <f>'balance_raw'!$F$10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7" t="inlineStr">
        <is>
          <t>Materielle anlægsaktiver</t>
        </is>
      </c>
      <c r="B32" s="8">
        <f>'balance_raw'!$B$11</f>
        <v/>
      </c>
      <c r="C32" s="8">
        <f>'balance_raw'!$C$11</f>
        <v/>
      </c>
      <c r="D32" s="8">
        <f>'balance_raw'!$D$11</f>
        <v/>
      </c>
      <c r="E32" s="8">
        <f>'balance_raw'!$E$11</f>
        <v/>
      </c>
      <c r="F32" s="8">
        <f>'balance_raw'!$F$11</f>
        <v/>
      </c>
      <c r="G32" t="inlineStr"/>
      <c r="H32" s="9">
        <f>IFERROR(B32/$B$32*100,"")</f>
        <v/>
      </c>
      <c r="I32" s="9">
        <f>IFERROR(C32/$B$32*100,"")</f>
        <v/>
      </c>
      <c r="J32" s="9">
        <f>IFERROR(D32/$B$32*100,"")</f>
        <v/>
      </c>
      <c r="K32" s="9">
        <f>IFERROR(E32/$B$32*100,"")</f>
        <v/>
      </c>
      <c r="L32" s="9">
        <f>IFERROR(F32/$B$32*100,"")</f>
        <v/>
      </c>
    </row>
    <row r="33" ht="16" customHeight="1">
      <c r="A33" s="10" t="inlineStr">
        <is>
          <t>Kapitalandele, dattervirksomheder</t>
        </is>
      </c>
      <c r="B33" s="11">
        <f>'balance_raw'!$B$12</f>
        <v/>
      </c>
      <c r="C33" s="11">
        <f>'balance_raw'!$C$12</f>
        <v/>
      </c>
      <c r="D33" s="11">
        <f>'balance_raw'!$D$12</f>
        <v/>
      </c>
      <c r="E33" s="11">
        <f>'balance_raw'!$E$12</f>
        <v/>
      </c>
      <c r="F33" s="11">
        <f>'balance_raw'!$F$12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Deposita</t>
        </is>
      </c>
      <c r="B34" s="5">
        <f>'balance_raw'!$B$13</f>
        <v/>
      </c>
      <c r="C34" s="5">
        <f>'balance_raw'!$C$13</f>
        <v/>
      </c>
      <c r="D34" s="5">
        <f>'balance_raw'!$D$13</f>
        <v/>
      </c>
      <c r="E34" s="5">
        <f>'balance_raw'!$E$13</f>
        <v/>
      </c>
      <c r="F34" s="5">
        <f>'balance_raw'!$F$13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Finansielle anlægsaktiver</t>
        </is>
      </c>
      <c r="B35" s="8">
        <f>'balance_raw'!$B$14</f>
        <v/>
      </c>
      <c r="C35" s="8">
        <f>'balance_raw'!$C$14</f>
        <v/>
      </c>
      <c r="D35" s="8">
        <f>'balance_raw'!$D$14</f>
        <v/>
      </c>
      <c r="E35" s="8">
        <f>'balance_raw'!$E$14</f>
        <v/>
      </c>
      <c r="F35" s="8">
        <f>'balance_raw'!$F$14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7" t="inlineStr">
        <is>
          <t>Anlægsaktiver</t>
        </is>
      </c>
      <c r="B36" s="8">
        <f>'balance_raw'!$B$15</f>
        <v/>
      </c>
      <c r="C36" s="8">
        <f>'balance_raw'!$C$15</f>
        <v/>
      </c>
      <c r="D36" s="8">
        <f>'balance_raw'!$D$15</f>
        <v/>
      </c>
      <c r="E36" s="8">
        <f>'balance_raw'!$E$15</f>
        <v/>
      </c>
      <c r="F36" s="8">
        <f>'balance_raw'!$F$15</f>
        <v/>
      </c>
      <c r="G36" t="inlineStr"/>
      <c r="H36" s="9">
        <f>IFERROR(B36/$B$36*100,"")</f>
        <v/>
      </c>
      <c r="I36" s="9">
        <f>IFERROR(C36/$B$36*100,"")</f>
        <v/>
      </c>
      <c r="J36" s="9">
        <f>IFERROR(D36/$B$36*100,"")</f>
        <v/>
      </c>
      <c r="K36" s="9">
        <f>IFERROR(E36/$B$36*100,"")</f>
        <v/>
      </c>
      <c r="L36" s="9">
        <f>IFERROR(F36/$B$36*100,"")</f>
        <v/>
      </c>
    </row>
    <row r="37" ht="16" customHeight="1">
      <c r="A37" s="10" t="inlineStr">
        <is>
          <t>Råvarer og hjælpematerialer</t>
        </is>
      </c>
      <c r="B37" s="11">
        <f>'balance_raw'!$B$16</f>
        <v/>
      </c>
      <c r="C37" s="11">
        <f>'balance_raw'!$C$16</f>
        <v/>
      </c>
      <c r="D37" s="11">
        <f>'balance_raw'!$D$16</f>
        <v/>
      </c>
      <c r="E37" s="11">
        <f>'balance_raw'!$E$16</f>
        <v/>
      </c>
      <c r="F37" s="11">
        <f>'balance_raw'!$F$16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'balance_raw'!$B$17</f>
        <v/>
      </c>
      <c r="C38" s="5">
        <f>'balance_raw'!$C$17</f>
        <v/>
      </c>
      <c r="D38" s="5">
        <f>'balance_raw'!$D$17</f>
        <v/>
      </c>
      <c r="E38" s="5">
        <f>'balance_raw'!$E$17</f>
        <v/>
      </c>
      <c r="F38" s="5">
        <f>'balance_raw'!$F$17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10" t="inlineStr">
        <is>
          <t>Færdigvarer og handelsvarer</t>
        </is>
      </c>
      <c r="B39" s="11">
        <f>'balance_raw'!$B$18</f>
        <v/>
      </c>
      <c r="C39" s="11">
        <f>'balance_raw'!$C$18</f>
        <v/>
      </c>
      <c r="D39" s="11">
        <f>'balance_raw'!$D$18</f>
        <v/>
      </c>
      <c r="E39" s="11">
        <f>'balance_raw'!$E$18</f>
        <v/>
      </c>
      <c r="F39" s="11">
        <f>'balance_raw'!$F$18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7" t="inlineStr">
        <is>
          <t>Varebeholdninger</t>
        </is>
      </c>
      <c r="B40" s="8">
        <f>'balance_raw'!$B$19</f>
        <v/>
      </c>
      <c r="C40" s="8">
        <f>'balance_raw'!$C$19</f>
        <v/>
      </c>
      <c r="D40" s="8">
        <f>'balance_raw'!$D$19</f>
        <v/>
      </c>
      <c r="E40" s="8">
        <f>'balance_raw'!$E$19</f>
        <v/>
      </c>
      <c r="F40" s="8">
        <f>'balance_raw'!$F$19</f>
        <v/>
      </c>
      <c r="G40" t="inlineStr"/>
      <c r="H40" s="9">
        <f>IFERROR(B40/$B$40*100,"")</f>
        <v/>
      </c>
      <c r="I40" s="9">
        <f>IFERROR(C40/$B$40*100,"")</f>
        <v/>
      </c>
      <c r="J40" s="9">
        <f>IFERROR(D40/$B$40*100,"")</f>
        <v/>
      </c>
      <c r="K40" s="9">
        <f>IFERROR(E40/$B$40*100,"")</f>
        <v/>
      </c>
      <c r="L40" s="9">
        <f>IFERROR(F40/$B$40*100,"")</f>
        <v/>
      </c>
    </row>
    <row r="41" ht="16" customHeight="1">
      <c r="A41" s="10" t="inlineStr">
        <is>
          <t>Tilgodehavender fra salg og tjenesteydelser</t>
        </is>
      </c>
      <c r="B41" s="11">
        <f>'balance_raw'!$B$20</f>
        <v/>
      </c>
      <c r="C41" s="11">
        <f>'balance_raw'!$C$20</f>
        <v/>
      </c>
      <c r="D41" s="11">
        <f>'balance_raw'!$D$20</f>
        <v/>
      </c>
      <c r="E41" s="11">
        <f>'balance_raw'!$E$20</f>
        <v/>
      </c>
      <c r="F41" s="11">
        <f>'balance_raw'!$F$20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'balance_raw'!$B$21</f>
        <v/>
      </c>
      <c r="C42" s="5">
        <f>'balance_raw'!$C$21</f>
        <v/>
      </c>
      <c r="D42" s="5">
        <f>'balance_raw'!$D$21</f>
        <v/>
      </c>
      <c r="E42" s="5">
        <f>'balance_raw'!$E$21</f>
        <v/>
      </c>
      <c r="F42" s="5">
        <f>'balance_raw'!$F$21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Andre tilgodehavender</t>
        </is>
      </c>
      <c r="B43" s="11">
        <f>'balance_raw'!$B$22</f>
        <v/>
      </c>
      <c r="C43" s="11">
        <f>'balance_raw'!$C$22</f>
        <v/>
      </c>
      <c r="D43" s="11">
        <f>'balance_raw'!$D$22</f>
        <v/>
      </c>
      <c r="E43" s="11">
        <f>'balance_raw'!$E$22</f>
        <v/>
      </c>
      <c r="F43" s="11">
        <f>'balance_raw'!$F$22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'balance_raw'!$B$23</f>
        <v/>
      </c>
      <c r="C44" s="5">
        <f>'balance_raw'!$C$23</f>
        <v/>
      </c>
      <c r="D44" s="5">
        <f>'balance_raw'!$D$23</f>
        <v/>
      </c>
      <c r="E44" s="5">
        <f>'balance_raw'!$E$23</f>
        <v/>
      </c>
      <c r="F44" s="5">
        <f>'balance_raw'!$F$23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Udskudt skatteaktiv</t>
        </is>
      </c>
      <c r="B45" s="11">
        <f>'balance_raw'!$B$24</f>
        <v/>
      </c>
      <c r="C45" s="11">
        <f>'balance_raw'!$C$24</f>
        <v/>
      </c>
      <c r="D45" s="11">
        <f>'balance_raw'!$D$24</f>
        <v/>
      </c>
      <c r="E45" s="11">
        <f>'balance_raw'!$E$24</f>
        <v/>
      </c>
      <c r="F45" s="11">
        <f>'balance_raw'!$F$24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'balance_raw'!$B$25</f>
        <v/>
      </c>
      <c r="C46" s="5">
        <f>'balance_raw'!$C$25</f>
        <v/>
      </c>
      <c r="D46" s="5">
        <f>'balance_raw'!$D$25</f>
        <v/>
      </c>
      <c r="E46" s="5">
        <f>'balance_raw'!$E$25</f>
        <v/>
      </c>
      <c r="F46" s="5">
        <f>'balance_raw'!$F$25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Kortfristede skattetilgodehavender</t>
        </is>
      </c>
      <c r="B47" s="11">
        <f>'balance_raw'!$B$26</f>
        <v/>
      </c>
      <c r="C47" s="11">
        <f>'balance_raw'!$C$26</f>
        <v/>
      </c>
      <c r="D47" s="11">
        <f>'balance_raw'!$D$26</f>
        <v/>
      </c>
      <c r="E47" s="11">
        <f>'balance_raw'!$E$26</f>
        <v/>
      </c>
      <c r="F47" s="11">
        <f>'balance_raw'!$F$26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7" t="inlineStr">
        <is>
          <t>Tilgodehavender</t>
        </is>
      </c>
      <c r="B48" s="8">
        <f>'balance_raw'!$B$27</f>
        <v/>
      </c>
      <c r="C48" s="8">
        <f>'balance_raw'!$C$27</f>
        <v/>
      </c>
      <c r="D48" s="8">
        <f>'balance_raw'!$D$27</f>
        <v/>
      </c>
      <c r="E48" s="8">
        <f>'balance_raw'!$E$27</f>
        <v/>
      </c>
      <c r="F48" s="8">
        <f>'balance_raw'!$F$27</f>
        <v/>
      </c>
      <c r="G48" t="inlineStr"/>
      <c r="H48" s="9">
        <f>IFERROR(B48/$B$48*100,"")</f>
        <v/>
      </c>
      <c r="I48" s="9">
        <f>IFERROR(C48/$B$48*100,"")</f>
        <v/>
      </c>
      <c r="J48" s="9">
        <f>IFERROR(D48/$B$48*100,"")</f>
        <v/>
      </c>
      <c r="K48" s="9">
        <f>IFERROR(E48/$B$48*100,"")</f>
        <v/>
      </c>
      <c r="L48" s="9">
        <f>IFERROR(F48/$B$48*100,"")</f>
        <v/>
      </c>
    </row>
    <row r="49" ht="16" customHeight="1">
      <c r="A49" s="10" t="inlineStr">
        <is>
          <t>Værdipapirer</t>
        </is>
      </c>
      <c r="B49" s="11">
        <f>'balance_raw'!$B$28</f>
        <v/>
      </c>
      <c r="C49" s="11">
        <f>'balance_raw'!$C$28</f>
        <v/>
      </c>
      <c r="D49" s="11">
        <f>'balance_raw'!$D$28</f>
        <v/>
      </c>
      <c r="E49" s="11">
        <f>'balance_raw'!$E$28</f>
        <v/>
      </c>
      <c r="F49" s="11">
        <f>'balance_raw'!$F$28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'balance_raw'!$B$29</f>
        <v/>
      </c>
      <c r="C50" s="5">
        <f>'balance_raw'!$C$29</f>
        <v/>
      </c>
      <c r="D50" s="5">
        <f>'balance_raw'!$D$29</f>
        <v/>
      </c>
      <c r="E50" s="5">
        <f>'balance_raw'!$E$29</f>
        <v/>
      </c>
      <c r="F50" s="5">
        <f>'balance_raw'!$F$29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7" t="inlineStr">
        <is>
          <t>Omsætningsaktiver</t>
        </is>
      </c>
      <c r="B51" s="8">
        <f>'balance_raw'!$B$30</f>
        <v/>
      </c>
      <c r="C51" s="8">
        <f>'balance_raw'!$C$30</f>
        <v/>
      </c>
      <c r="D51" s="8">
        <f>'balance_raw'!$D$30</f>
        <v/>
      </c>
      <c r="E51" s="8">
        <f>'balance_raw'!$E$30</f>
        <v/>
      </c>
      <c r="F51" s="8">
        <f>'balance_raw'!$F$30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7" t="inlineStr">
        <is>
          <t>Aktiver</t>
        </is>
      </c>
      <c r="B52" s="8">
        <f>'balance_raw'!$B$31</f>
        <v/>
      </c>
      <c r="C52" s="8">
        <f>'balance_raw'!$C$31</f>
        <v/>
      </c>
      <c r="D52" s="8">
        <f>'balance_raw'!$D$31</f>
        <v/>
      </c>
      <c r="E52" s="8">
        <f>'balance_raw'!$E$31</f>
        <v/>
      </c>
      <c r="F52" s="8">
        <f>'balance_raw'!$F$31</f>
        <v/>
      </c>
      <c r="G52" t="inlineStr"/>
      <c r="H52" s="9">
        <f>IFERROR(B52/$B$52*100,"")</f>
        <v/>
      </c>
      <c r="I52" s="9">
        <f>IFERROR(C52/$B$52*100,"")</f>
        <v/>
      </c>
      <c r="J52" s="9">
        <f>IFERROR(D52/$B$52*100,"")</f>
        <v/>
      </c>
      <c r="K52" s="9">
        <f>IFERROR(E52/$B$52*100,"")</f>
        <v/>
      </c>
      <c r="L52" s="9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10" t="inlineStr">
        <is>
          <t>Selskabskapital</t>
        </is>
      </c>
      <c r="B55" s="11">
        <f>'balance_raw'!$B$32</f>
        <v/>
      </c>
      <c r="C55" s="11">
        <f>'balance_raw'!$C$32</f>
        <v/>
      </c>
      <c r="D55" s="11">
        <f>'balance_raw'!$D$32</f>
        <v/>
      </c>
      <c r="E55" s="11">
        <f>'balance_raw'!$E$32</f>
        <v/>
      </c>
      <c r="F55" s="11">
        <f>'balance_raw'!$F$32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'balance_raw'!$B$33</f>
        <v/>
      </c>
      <c r="C56" s="5">
        <f>'balance_raw'!$C$33</f>
        <v/>
      </c>
      <c r="D56" s="5">
        <f>'balance_raw'!$D$33</f>
        <v/>
      </c>
      <c r="E56" s="5">
        <f>'balance_raw'!$E$33</f>
        <v/>
      </c>
      <c r="F56" s="5">
        <f>'balance_raw'!$F$33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Reserve for udviklingsomkostninger</t>
        </is>
      </c>
      <c r="B57" s="11">
        <f>'balance_raw'!$B$34</f>
        <v/>
      </c>
      <c r="C57" s="11">
        <f>'balance_raw'!$C$34</f>
        <v/>
      </c>
      <c r="D57" s="11">
        <f>'balance_raw'!$D$34</f>
        <v/>
      </c>
      <c r="E57" s="11">
        <f>'balance_raw'!$E$34</f>
        <v/>
      </c>
      <c r="F57" s="11">
        <f>'balance_raw'!$F$34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'balance_raw'!$B$35</f>
        <v/>
      </c>
      <c r="C58" s="5">
        <f>'balance_raw'!$C$35</f>
        <v/>
      </c>
      <c r="D58" s="5">
        <f>'balance_raw'!$D$35</f>
        <v/>
      </c>
      <c r="E58" s="5">
        <f>'balance_raw'!$E$35</f>
        <v/>
      </c>
      <c r="F58" s="5">
        <f>'balance_raw'!$F$35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Andre reserver</t>
        </is>
      </c>
      <c r="B59" s="11">
        <f>'balance_raw'!$B$36</f>
        <v/>
      </c>
      <c r="C59" s="11">
        <f>'balance_raw'!$C$36</f>
        <v/>
      </c>
      <c r="D59" s="11">
        <f>'balance_raw'!$D$36</f>
        <v/>
      </c>
      <c r="E59" s="11">
        <f>'balance_raw'!$E$36</f>
        <v/>
      </c>
      <c r="F59" s="11">
        <f>'balance_raw'!$F$36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'balance_raw'!$B$37</f>
        <v/>
      </c>
      <c r="C60" s="5">
        <f>'balance_raw'!$C$37</f>
        <v/>
      </c>
      <c r="D60" s="5">
        <f>'balance_raw'!$D$37</f>
        <v/>
      </c>
      <c r="E60" s="5">
        <f>'balance_raw'!$E$37</f>
        <v/>
      </c>
      <c r="F60" s="5">
        <f>'balance_raw'!$F$37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Egenkapital i alt</t>
        </is>
      </c>
      <c r="B61" s="8">
        <f>'balance_raw'!$B$38</f>
        <v/>
      </c>
      <c r="C61" s="8">
        <f>'balance_raw'!$C$38</f>
        <v/>
      </c>
      <c r="D61" s="8">
        <f>'balance_raw'!$D$38</f>
        <v/>
      </c>
      <c r="E61" s="8">
        <f>'balance_raw'!$E$38</f>
        <v/>
      </c>
      <c r="F61" s="8">
        <f>'balance_raw'!$F$38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'balance_raw'!$B$39</f>
        <v/>
      </c>
      <c r="C62" s="5">
        <f>'balance_raw'!$C$39</f>
        <v/>
      </c>
      <c r="D62" s="5">
        <f>'balance_raw'!$D$39</f>
        <v/>
      </c>
      <c r="E62" s="5">
        <f>'balance_raw'!$E$39</f>
        <v/>
      </c>
      <c r="F62" s="5">
        <f>'balance_raw'!$F$39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Hensatte forpligtelser</t>
        </is>
      </c>
      <c r="B63" s="8">
        <f>'balance_raw'!$B$40</f>
        <v/>
      </c>
      <c r="C63" s="8">
        <f>'balance_raw'!$C$40</f>
        <v/>
      </c>
      <c r="D63" s="8">
        <f>'balance_raw'!$D$40</f>
        <v/>
      </c>
      <c r="E63" s="8">
        <f>'balance_raw'!$E$40</f>
        <v/>
      </c>
      <c r="F63" s="8">
        <f>'balance_raw'!$F$40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'balance_raw'!$B$41</f>
        <v/>
      </c>
      <c r="C64" s="5">
        <f>'balance_raw'!$C$41</f>
        <v/>
      </c>
      <c r="D64" s="5">
        <f>'balance_raw'!$D$41</f>
        <v/>
      </c>
      <c r="E64" s="5">
        <f>'balance_raw'!$E$41</f>
        <v/>
      </c>
      <c r="F64" s="5">
        <f>'balance_raw'!$F$41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Langfristede lån</t>
        </is>
      </c>
      <c r="B65" s="11">
        <f>'balance_raw'!$B$42</f>
        <v/>
      </c>
      <c r="C65" s="11">
        <f>'balance_raw'!$C$42</f>
        <v/>
      </c>
      <c r="D65" s="11">
        <f>'balance_raw'!$D$42</f>
        <v/>
      </c>
      <c r="E65" s="11">
        <f>'balance_raw'!$E$42</f>
        <v/>
      </c>
      <c r="F65" s="11">
        <f>'balance_raw'!$F$42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'balance_raw'!$B$43</f>
        <v/>
      </c>
      <c r="C66" s="5">
        <f>'balance_raw'!$C$43</f>
        <v/>
      </c>
      <c r="D66" s="5">
        <f>'balance_raw'!$D$43</f>
        <v/>
      </c>
      <c r="E66" s="5">
        <f>'balance_raw'!$E$43</f>
        <v/>
      </c>
      <c r="F66" s="5">
        <f>'balance_raw'!$F$43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Anden gæld (langfristet)</t>
        </is>
      </c>
      <c r="B67" s="11">
        <f>'balance_raw'!$B$44</f>
        <v/>
      </c>
      <c r="C67" s="11">
        <f>'balance_raw'!$C$44</f>
        <v/>
      </c>
      <c r="D67" s="11">
        <f>'balance_raw'!$D$44</f>
        <v/>
      </c>
      <c r="E67" s="11">
        <f>'balance_raw'!$E$44</f>
        <v/>
      </c>
      <c r="F67" s="11">
        <f>'balance_raw'!$F$44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7" t="inlineStr">
        <is>
          <t>Langfristede gældsforpligtelser</t>
        </is>
      </c>
      <c r="B68" s="8">
        <f>'balance_raw'!$B$45</f>
        <v/>
      </c>
      <c r="C68" s="8">
        <f>'balance_raw'!$C$45</f>
        <v/>
      </c>
      <c r="D68" s="8">
        <f>'balance_raw'!$D$45</f>
        <v/>
      </c>
      <c r="E68" s="8">
        <f>'balance_raw'!$E$45</f>
        <v/>
      </c>
      <c r="F68" s="8">
        <f>'balance_raw'!$F$45</f>
        <v/>
      </c>
      <c r="G68" t="inlineStr"/>
      <c r="H68" s="9">
        <f>IFERROR(B68/$B$68*100,"")</f>
        <v/>
      </c>
      <c r="I68" s="9">
        <f>IFERROR(C68/$B$68*100,"")</f>
        <v/>
      </c>
      <c r="J68" s="9">
        <f>IFERROR(D68/$B$68*100,"")</f>
        <v/>
      </c>
      <c r="K68" s="9">
        <f>IFERROR(E68/$B$68*100,"")</f>
        <v/>
      </c>
      <c r="L68" s="9">
        <f>IFERROR(F68/$B$68*100,"")</f>
        <v/>
      </c>
    </row>
    <row r="69" ht="16" customHeight="1">
      <c r="A69" s="10" t="inlineStr">
        <is>
          <t>Ansvarlig lånekapital (kortfristet)</t>
        </is>
      </c>
      <c r="B69" s="11">
        <f>'balance_raw'!$B$46</f>
        <v/>
      </c>
      <c r="C69" s="11">
        <f>'balance_raw'!$C$46</f>
        <v/>
      </c>
      <c r="D69" s="11">
        <f>'balance_raw'!$D$46</f>
        <v/>
      </c>
      <c r="E69" s="11">
        <f>'balance_raw'!$E$46</f>
        <v/>
      </c>
      <c r="F69" s="11">
        <f>'balance_raw'!$F$46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'balance_raw'!$B$47</f>
        <v/>
      </c>
      <c r="C70" s="5">
        <f>'balance_raw'!$C$47</f>
        <v/>
      </c>
      <c r="D70" s="5">
        <f>'balance_raw'!$D$47</f>
        <v/>
      </c>
      <c r="E70" s="5">
        <f>'balance_raw'!$E$47</f>
        <v/>
      </c>
      <c r="F70" s="5">
        <f>'balance_raw'!$F$47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Kreditinstitutter</t>
        </is>
      </c>
      <c r="B71" s="11">
        <f>'balance_raw'!$B$48</f>
        <v/>
      </c>
      <c r="C71" s="11">
        <f>'balance_raw'!$C$48</f>
        <v/>
      </c>
      <c r="D71" s="11">
        <f>'balance_raw'!$D$48</f>
        <v/>
      </c>
      <c r="E71" s="11">
        <f>'balance_raw'!$E$48</f>
        <v/>
      </c>
      <c r="F71" s="11">
        <f>'balance_raw'!$F$48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'balance_raw'!$B$49</f>
        <v/>
      </c>
      <c r="C72" s="5">
        <f>'balance_raw'!$C$49</f>
        <v/>
      </c>
      <c r="D72" s="5">
        <f>'balance_raw'!$D$49</f>
        <v/>
      </c>
      <c r="E72" s="5">
        <f>'balance_raw'!$E$49</f>
        <v/>
      </c>
      <c r="F72" s="5">
        <f>'balance_raw'!$F$49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Leverandører af varer og tjenesteydelser</t>
        </is>
      </c>
      <c r="B73" s="11">
        <f>'balance_raw'!$B$50</f>
        <v/>
      </c>
      <c r="C73" s="11">
        <f>'balance_raw'!$C$50</f>
        <v/>
      </c>
      <c r="D73" s="11">
        <f>'balance_raw'!$D$50</f>
        <v/>
      </c>
      <c r="E73" s="11">
        <f>'balance_raw'!$E$50</f>
        <v/>
      </c>
      <c r="F73" s="11">
        <f>'balance_raw'!$F$50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'balance_raw'!$B$51</f>
        <v/>
      </c>
      <c r="C74" s="5">
        <f>'balance_raw'!$C$51</f>
        <v/>
      </c>
      <c r="D74" s="5">
        <f>'balance_raw'!$D$51</f>
        <v/>
      </c>
      <c r="E74" s="5">
        <f>'balance_raw'!$E$51</f>
        <v/>
      </c>
      <c r="F74" s="5">
        <f>'balance_raw'!$F$51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10" t="inlineStr">
        <is>
          <t>Gæld til selskabsdeltagere og ledelse</t>
        </is>
      </c>
      <c r="B75" s="11">
        <f>'balance_raw'!$B$52</f>
        <v/>
      </c>
      <c r="C75" s="11">
        <f>'balance_raw'!$C$52</f>
        <v/>
      </c>
      <c r="D75" s="11">
        <f>'balance_raw'!$D$52</f>
        <v/>
      </c>
      <c r="E75" s="11">
        <f>'balance_raw'!$E$52</f>
        <v/>
      </c>
      <c r="F75" s="11">
        <f>'balance_raw'!$F$52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4" t="inlineStr">
        <is>
          <t>Selskabsskat</t>
        </is>
      </c>
      <c r="B76" s="5">
        <f>'balance_raw'!$B$53</f>
        <v/>
      </c>
      <c r="C76" s="5">
        <f>'balance_raw'!$C$53</f>
        <v/>
      </c>
      <c r="D76" s="5">
        <f>'balance_raw'!$D$53</f>
        <v/>
      </c>
      <c r="E76" s="5">
        <f>'balance_raw'!$E$53</f>
        <v/>
      </c>
      <c r="F76" s="5">
        <f>'balance_raw'!$F$53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10" t="inlineStr">
        <is>
          <t>Gæld til tilknyttede virksomheder vedr. selskabsskat</t>
        </is>
      </c>
      <c r="B77" s="11">
        <f>'balance_raw'!$B$54</f>
        <v/>
      </c>
      <c r="C77" s="11">
        <f>'balance_raw'!$C$54</f>
        <v/>
      </c>
      <c r="D77" s="11">
        <f>'balance_raw'!$D$54</f>
        <v/>
      </c>
      <c r="E77" s="11">
        <f>'balance_raw'!$E$54</f>
        <v/>
      </c>
      <c r="F77" s="11">
        <f>'balance_raw'!$F$54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'balance_raw'!$B$55</f>
        <v/>
      </c>
      <c r="C78" s="5">
        <f>'balance_raw'!$C$55</f>
        <v/>
      </c>
      <c r="D78" s="5">
        <f>'balance_raw'!$D$55</f>
        <v/>
      </c>
      <c r="E78" s="5">
        <f>'balance_raw'!$E$55</f>
        <v/>
      </c>
      <c r="F78" s="5">
        <f>'balance_raw'!$F$55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10" t="inlineStr">
        <is>
          <t>Periodeafgrænsningsposter (passiver)</t>
        </is>
      </c>
      <c r="B79" s="11">
        <f>'balance_raw'!$B$56</f>
        <v/>
      </c>
      <c r="C79" s="11">
        <f>'balance_raw'!$C$56</f>
        <v/>
      </c>
      <c r="D79" s="11">
        <f>'balance_raw'!$D$56</f>
        <v/>
      </c>
      <c r="E79" s="11">
        <f>'balance_raw'!$E$56</f>
        <v/>
      </c>
      <c r="F79" s="11">
        <f>'balance_raw'!$F$56</f>
        <v/>
      </c>
      <c r="G79" t="inlineStr"/>
      <c r="H79" s="12">
        <f>IFERROR(B79/$B$79*100,"")</f>
        <v/>
      </c>
      <c r="I79" s="12">
        <f>IFERROR(C79/$B$79*100,"")</f>
        <v/>
      </c>
      <c r="J79" s="12">
        <f>IFERROR(D79/$B$79*100,"")</f>
        <v/>
      </c>
      <c r="K79" s="12">
        <f>IFERROR(E79/$B$79*100,"")</f>
        <v/>
      </c>
      <c r="L79" s="12">
        <f>IFERROR(F79/$B$79*100,"")</f>
        <v/>
      </c>
    </row>
    <row r="80" ht="16" customHeight="1">
      <c r="A80" s="7" t="inlineStr">
        <is>
          <t>Kortfristede gældsforpligtelser</t>
        </is>
      </c>
      <c r="B80" s="8">
        <f>'balance_raw'!$B$57</f>
        <v/>
      </c>
      <c r="C80" s="8">
        <f>'balance_raw'!$C$57</f>
        <v/>
      </c>
      <c r="D80" s="8">
        <f>'balance_raw'!$D$57</f>
        <v/>
      </c>
      <c r="E80" s="8">
        <f>'balance_raw'!$E$57</f>
        <v/>
      </c>
      <c r="F80" s="8">
        <f>'balance_raw'!$F$57</f>
        <v/>
      </c>
      <c r="G80" t="inlineStr"/>
      <c r="H80" s="9">
        <f>IFERROR(B80/$B$80*100,"")</f>
        <v/>
      </c>
      <c r="I80" s="9">
        <f>IFERROR(C80/$B$80*100,"")</f>
        <v/>
      </c>
      <c r="J80" s="9">
        <f>IFERROR(D80/$B$80*100,"")</f>
        <v/>
      </c>
      <c r="K80" s="9">
        <f>IFERROR(E80/$B$80*100,"")</f>
        <v/>
      </c>
      <c r="L80" s="9">
        <f>IFERROR(F80/$B$80*100,"")</f>
        <v/>
      </c>
    </row>
    <row r="81" ht="16" customHeight="1">
      <c r="A81" s="7" t="inlineStr">
        <is>
          <t>Gældsforpligtelser</t>
        </is>
      </c>
      <c r="B81" s="8">
        <f>'balance_raw'!$B$58</f>
        <v/>
      </c>
      <c r="C81" s="8">
        <f>'balance_raw'!$C$58</f>
        <v/>
      </c>
      <c r="D81" s="8">
        <f>'balance_raw'!$D$58</f>
        <v/>
      </c>
      <c r="E81" s="8">
        <f>'balance_raw'!$E$58</f>
        <v/>
      </c>
      <c r="F81" s="8">
        <f>'balance_raw'!$F$58</f>
        <v/>
      </c>
      <c r="G81" t="inlineStr"/>
      <c r="H81" s="9">
        <f>IFERROR(B81/$B$81*100,"")</f>
        <v/>
      </c>
      <c r="I81" s="9">
        <f>IFERROR(C81/$B$81*100,"")</f>
        <v/>
      </c>
      <c r="J81" s="9">
        <f>IFERROR(D81/$B$81*100,"")</f>
        <v/>
      </c>
      <c r="K81" s="9">
        <f>IFERROR(E81/$B$81*100,"")</f>
        <v/>
      </c>
      <c r="L81" s="9">
        <f>IFERROR(F81/$B$81*100,"")</f>
        <v/>
      </c>
    </row>
    <row r="82" ht="16" customHeight="1">
      <c r="A82" s="7" t="inlineStr">
        <is>
          <t>Passiver</t>
        </is>
      </c>
      <c r="B82" s="8">
        <f>'balance_raw'!$B$59</f>
        <v/>
      </c>
      <c r="C82" s="8">
        <f>'balance_raw'!$C$59</f>
        <v/>
      </c>
      <c r="D82" s="8">
        <f>'balance_raw'!$D$59</f>
        <v/>
      </c>
      <c r="E82" s="8">
        <f>'balance_raw'!$E$59</f>
        <v/>
      </c>
      <c r="F82" s="8">
        <f>'balance_raw'!$F$59</f>
        <v/>
      </c>
      <c r="G82" t="inlineStr"/>
      <c r="H82" s="9">
        <f>IFERROR(B82/$B$82*100,"")</f>
        <v/>
      </c>
      <c r="I82" s="9">
        <f>IFERROR(C82/$B$82*100,"")</f>
        <v/>
      </c>
      <c r="J82" s="9">
        <f>IFERROR(D82/$B$82*100,"")</f>
        <v/>
      </c>
      <c r="K82" s="9">
        <f>IFERROR(E82/$B$82*100,"")</f>
        <v/>
      </c>
      <c r="L82" s="9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10" t="inlineStr">
        <is>
          <t>Gns. antal medarbejdere</t>
        </is>
      </c>
      <c r="B85" s="11">
        <f>'res_raw'!$B$19</f>
        <v/>
      </c>
      <c r="C85" s="11">
        <f>'res_raw'!$C$19</f>
        <v/>
      </c>
      <c r="D85" s="11">
        <f>'res_raw'!$D$19</f>
        <v/>
      </c>
      <c r="E85" s="11">
        <f>'res_raw'!$E$19</f>
        <v/>
      </c>
      <c r="F85" s="11">
        <f>'res_raw'!$F$19</f>
        <v/>
      </c>
      <c r="G85" t="inlineStr"/>
      <c r="H85" s="12">
        <f>IFERROR(B85/$B$85*100,"")</f>
        <v/>
      </c>
      <c r="I85" s="12">
        <f>IFERROR(C85/$B$85*100,"")</f>
        <v/>
      </c>
      <c r="J85" s="12">
        <f>IFERROR(D85/$B$85*100,"")</f>
        <v/>
      </c>
      <c r="K85" s="12">
        <f>IFERROR(E85/$B$85*100,"")</f>
        <v/>
      </c>
      <c r="L85" s="12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'res_raw'!$B$20</f>
        <v/>
      </c>
      <c r="C86" s="5">
        <f>'res_raw'!$C$20</f>
        <v/>
      </c>
      <c r="D86" s="5">
        <f>'res_raw'!$D$20</f>
        <v/>
      </c>
      <c r="E86" s="5">
        <f>'res_raw'!$E$20</f>
        <v/>
      </c>
      <c r="F86" s="5">
        <f>'res_raw'!$F$20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10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10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10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10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10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10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t.kr.</t>
        </is>
      </c>
    </row>
    <row r="102">
      <c r="A102" s="16" t="inlineStr">
        <is>
          <t>Pengestrømme fra driftsaktivitet</t>
        </is>
      </c>
      <c r="B102" s="17">
        <f>'pengestrom_raw'!$B$2</f>
        <v/>
      </c>
      <c r="C102" s="17">
        <f>'pengestrom_raw'!$C$2</f>
        <v/>
      </c>
      <c r="D102" s="17">
        <f>'pengestrom_raw'!$D$2</f>
        <v/>
      </c>
      <c r="E102" s="17">
        <f>'pengestrom_raw'!$E$2</f>
        <v/>
      </c>
      <c r="F102" s="17">
        <f>'pengestrom_raw'!$F$2</f>
        <v/>
      </c>
    </row>
    <row r="103">
      <c r="A103" s="16" t="inlineStr">
        <is>
          <t>Pengestrømme fra investeringsaktivitet</t>
        </is>
      </c>
      <c r="B103" s="17">
        <f>'pengestrom_raw'!$B$3</f>
        <v/>
      </c>
      <c r="C103" s="17">
        <f>'pengestrom_raw'!$C$3</f>
        <v/>
      </c>
      <c r="D103" s="17">
        <f>'pengestrom_raw'!$D$3</f>
        <v/>
      </c>
      <c r="E103" s="17">
        <f>'pengestrom_raw'!$E$3</f>
        <v/>
      </c>
      <c r="F103" s="17">
        <f>'pengestrom_raw'!$F$3</f>
        <v/>
      </c>
    </row>
    <row r="104">
      <c r="A104" s="16" t="inlineStr">
        <is>
          <t>Pengestrømme fra finansieringsaktivitet</t>
        </is>
      </c>
      <c r="B104" s="17">
        <f>'pengestrom_raw'!$B$4</f>
        <v/>
      </c>
      <c r="C104" s="17">
        <f>'pengestrom_raw'!$C$4</f>
        <v/>
      </c>
      <c r="D104" s="17">
        <f>'pengestrom_raw'!$D$4</f>
        <v/>
      </c>
      <c r="E104" s="17">
        <f>'pengestrom_raw'!$E$4</f>
        <v/>
      </c>
      <c r="F104" s="17">
        <f>'pengestrom_raw'!$F$4</f>
        <v/>
      </c>
    </row>
    <row r="105">
      <c r="A105" s="16" t="inlineStr">
        <is>
          <t>Årets pengestrøm (rapporteret)</t>
        </is>
      </c>
      <c r="B105" s="17">
        <f>'pengestrom_raw'!$B$5</f>
        <v/>
      </c>
      <c r="C105" s="17">
        <f>'pengestrom_raw'!$C$5</f>
        <v/>
      </c>
      <c r="D105" s="17">
        <f>'pengestrom_raw'!$D$5</f>
        <v/>
      </c>
      <c r="E105" s="17">
        <f>'pengestrom_raw'!$E$5</f>
        <v/>
      </c>
      <c r="F105" s="17">
        <f>'pengestrom_raw'!$F$5</f>
        <v/>
      </c>
    </row>
    <row r="106">
      <c r="A106" s="16" t="inlineStr">
        <is>
          <t>Krydstjek: drift + inv. + fin. = årets pengestrøm</t>
        </is>
      </c>
      <c r="B106">
        <f>IF(ABS(('pengestrom_raw'!$B$2+'pengestrom_raw'!$B$3+'pengestrom_raw'!$B$4)-'pengestrom_raw'!$B$5)&lt;=2,"✓","⚠ "&amp;TEXT(('pengestrom_raw'!$B$2+'pengestrom_raw'!$B$3+'pengestrom_raw'!$B$4)-'pengestrom_raw'!$B$5,"+#,##0;-#,##0"))</f>
        <v/>
      </c>
      <c r="C106">
        <f>IF(ABS(('pengestrom_raw'!$C$2+'pengestrom_raw'!$C$3+'pengestrom_raw'!$C$4)-'pengestrom_raw'!$C$5)&lt;=2,"✓","⚠ "&amp;TEXT(('pengestrom_raw'!$C$2+'pengestrom_raw'!$C$3+'pengestrom_raw'!$C$4)-'pengestrom_raw'!$C$5,"+#,##0;-#,##0"))</f>
        <v/>
      </c>
      <c r="D106">
        <f>IF(ABS(('pengestrom_raw'!$D$2+'pengestrom_raw'!$D$3+'pengestrom_raw'!$D$4)-'pengestrom_raw'!$D$5)&lt;=2,"✓","⚠ "&amp;TEXT(('pengestrom_raw'!$D$2+'pengestrom_raw'!$D$3+'pengestrom_raw'!$D$4)-'pengestrom_raw'!$D$5,"+#,##0;-#,##0"))</f>
        <v/>
      </c>
      <c r="E106">
        <f>IF(ABS(('pengestrom_raw'!$E$2+'pengestrom_raw'!$E$3+'pengestrom_raw'!$E$4)-'pengestrom_raw'!$E$5)&lt;=2,"✓","⚠ "&amp;TEXT(('pengestrom_raw'!$E$2+'pengestrom_raw'!$E$3+'pengestrom_raw'!$E$4)-'pengestrom_raw'!$E$5,"+#,##0;-#,##0"))</f>
        <v/>
      </c>
      <c r="F106">
        <f>IF(ABS(('pengestrom_raw'!$F$2+'pengestrom_raw'!$F$3+'pengestrom_raw'!$F$4)-'pengestrom_raw'!$F$5)&lt;=2,"✓","⚠ "&amp;TEXT(('pengestrom_raw'!$F$2+'pengestrom_raw'!$F$3+'pengestrom_raw'!$F$4)-'pengestrom_raw'!$F$5,"+#,##0;-#,##0"))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pera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14630000</v>
      </c>
      <c r="C2" s="17" t="n">
        <v>18118000</v>
      </c>
      <c r="D2" s="17" t="n">
        <v>20244000</v>
      </c>
      <c r="E2" s="17" t="n">
        <v>21719000</v>
      </c>
      <c r="F2" s="17" t="n">
        <v>22620000</v>
      </c>
    </row>
    <row r="3">
      <c r="A3" s="16" t="inlineStr">
        <is>
          <t>Produktionsomkostninger</t>
        </is>
      </c>
      <c r="B3" s="17" t="n">
        <v>12968000</v>
      </c>
      <c r="C3" s="17" t="n">
        <v>16175000</v>
      </c>
      <c r="D3" s="17" t="n">
        <v>17714000</v>
      </c>
      <c r="E3" s="17" t="n">
        <v>19095000</v>
      </c>
      <c r="F3" s="17" t="n">
        <v>19857000</v>
      </c>
    </row>
    <row r="4">
      <c r="A4" s="15" t="inlineStr">
        <is>
          <t>Bruttoresultat</t>
        </is>
      </c>
      <c r="B4" s="17" t="n">
        <v>1662000</v>
      </c>
      <c r="C4" s="17" t="n">
        <v>1943000</v>
      </c>
      <c r="D4" s="17" t="n">
        <v>2530000</v>
      </c>
      <c r="E4" s="17" t="n">
        <v>2624000</v>
      </c>
      <c r="F4" s="17" t="n">
        <v>2763000</v>
      </c>
    </row>
    <row r="5">
      <c r="A5" s="16" t="inlineStr">
        <is>
          <t>Udviklingsomkostninger</t>
        </is>
      </c>
      <c r="B5" s="17" t="n"/>
      <c r="C5" s="17" t="n"/>
      <c r="D5" s="17" t="n"/>
      <c r="E5" s="17" t="n"/>
      <c r="F5" s="17" t="n"/>
    </row>
    <row r="6">
      <c r="A6" s="16" t="inlineStr">
        <is>
          <t>Salgs- og distributionsomkostninger</t>
        </is>
      </c>
      <c r="B6" s="17" t="n"/>
      <c r="C6" s="17" t="n"/>
      <c r="D6" s="17" t="n"/>
      <c r="E6" s="17" t="n"/>
      <c r="F6" s="17" t="n"/>
    </row>
    <row r="7">
      <c r="A7" s="16" t="inlineStr">
        <is>
          <t>Administrationsomkostninger</t>
        </is>
      </c>
      <c r="B7" s="17" t="n"/>
      <c r="C7" s="17" t="n"/>
      <c r="D7" s="17" t="n"/>
      <c r="E7" s="17" t="n"/>
      <c r="F7" s="17" t="n"/>
    </row>
    <row r="8">
      <c r="A8" s="16" t="inlineStr">
        <is>
          <t>Andre driftsindtægter</t>
        </is>
      </c>
      <c r="B8" s="17" t="n"/>
      <c r="C8" s="17" t="n"/>
      <c r="D8" s="17" t="n"/>
      <c r="E8" s="17" t="n"/>
      <c r="F8" s="17" t="n"/>
    </row>
    <row r="9">
      <c r="A9" s="16" t="inlineStr">
        <is>
          <t>Andre driftsomkostninger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Andre eksterne omkostninger</t>
        </is>
      </c>
      <c r="B10" s="17" t="n">
        <v>1052000</v>
      </c>
      <c r="C10" s="17" t="n">
        <v>1260000</v>
      </c>
      <c r="D10" s="17" t="n">
        <v>1510000</v>
      </c>
      <c r="E10" s="17" t="n">
        <v>1592000</v>
      </c>
      <c r="F10" s="17" t="n">
        <v>1638000</v>
      </c>
    </row>
    <row r="11">
      <c r="A11" s="15" t="inlineStr">
        <is>
          <t>Resultat af primær drift</t>
        </is>
      </c>
      <c r="B11" s="17" t="n">
        <v>644000</v>
      </c>
      <c r="C11" s="17" t="n">
        <v>727000</v>
      </c>
      <c r="D11" s="17" t="n">
        <v>1078000</v>
      </c>
      <c r="E11" s="17" t="n">
        <v>1101000</v>
      </c>
      <c r="F11" s="17" t="n">
        <v>1177000</v>
      </c>
    </row>
    <row r="12">
      <c r="A12" s="16" t="inlineStr">
        <is>
          <t>Indtægter af kapitalandele, dattervirksomheder</t>
        </is>
      </c>
      <c r="B12" s="17" t="n">
        <v>11000</v>
      </c>
      <c r="C12" s="17" t="n">
        <v>15000</v>
      </c>
      <c r="D12" s="17" t="n">
        <v>9000</v>
      </c>
      <c r="E12" s="17" t="n">
        <v>9000</v>
      </c>
      <c r="F12" s="17" t="n">
        <v>0</v>
      </c>
    </row>
    <row r="13">
      <c r="A13" s="16" t="inlineStr">
        <is>
          <t>Finansielle indtægter</t>
        </is>
      </c>
      <c r="B13" s="17" t="n">
        <v>12000</v>
      </c>
      <c r="C13" s="17" t="n">
        <v>23000</v>
      </c>
      <c r="D13" s="17" t="n">
        <v>35000</v>
      </c>
      <c r="E13" s="17" t="n">
        <v>93000</v>
      </c>
      <c r="F13" s="17" t="n">
        <v>86000</v>
      </c>
    </row>
    <row r="14">
      <c r="A14" s="16" t="inlineStr">
        <is>
          <t>Finansielle omkostninger</t>
        </is>
      </c>
      <c r="B14" s="17" t="n">
        <v>43000</v>
      </c>
      <c r="C14" s="17" t="n">
        <v>67000</v>
      </c>
      <c r="D14" s="17" t="n">
        <v>71000</v>
      </c>
      <c r="E14" s="17" t="n">
        <v>106000</v>
      </c>
      <c r="F14" s="17" t="n">
        <v>71000</v>
      </c>
    </row>
    <row r="15">
      <c r="A15" s="15" t="inlineStr">
        <is>
          <t>Finansielle poster, netto</t>
        </is>
      </c>
      <c r="B15" s="17" t="n">
        <v>-31000</v>
      </c>
      <c r="C15" s="17" t="n">
        <v>-44000</v>
      </c>
      <c r="D15" s="17" t="n">
        <v>-36000</v>
      </c>
      <c r="E15" s="17" t="n">
        <v>-13000</v>
      </c>
      <c r="F15" s="17" t="n">
        <v>15000</v>
      </c>
    </row>
    <row r="16">
      <c r="A16" s="15" t="inlineStr">
        <is>
          <t>Resultat før skat</t>
        </is>
      </c>
      <c r="B16" s="17" t="n">
        <v>613000</v>
      </c>
      <c r="C16" s="17" t="n">
        <v>683000</v>
      </c>
      <c r="D16" s="17" t="n">
        <v>1042000</v>
      </c>
      <c r="E16" s="17" t="n">
        <v>1088000</v>
      </c>
      <c r="F16" s="17" t="n">
        <v>1192000</v>
      </c>
    </row>
    <row r="17">
      <c r="A17" s="16" t="inlineStr">
        <is>
          <t>Skat af årets resultat</t>
        </is>
      </c>
      <c r="B17" s="17" t="n">
        <v>143000</v>
      </c>
      <c r="C17" s="17" t="n">
        <v>166000</v>
      </c>
      <c r="D17" s="17" t="n">
        <v>244000</v>
      </c>
      <c r="E17" s="17" t="n">
        <v>262000</v>
      </c>
      <c r="F17" s="17" t="n">
        <v>296000</v>
      </c>
    </row>
    <row r="18">
      <c r="A18" s="15" t="inlineStr">
        <is>
          <t>Årets resultat</t>
        </is>
      </c>
      <c r="B18" s="17" t="n">
        <v>470000</v>
      </c>
      <c r="C18" s="17" t="n">
        <v>517000</v>
      </c>
      <c r="D18" s="17" t="n">
        <v>798000</v>
      </c>
      <c r="E18" s="17" t="n">
        <v>826000</v>
      </c>
      <c r="F18" s="17" t="n">
        <v>896000</v>
      </c>
    </row>
    <row r="19">
      <c r="A19" s="16" t="inlineStr">
        <is>
          <t>Gns. antal medarbejdere</t>
        </is>
      </c>
      <c r="B19" s="17" t="n"/>
      <c r="C19" s="17" t="n"/>
      <c r="D19" s="17" t="n"/>
      <c r="E19" s="17" t="n"/>
      <c r="F19" s="17" t="n"/>
    </row>
    <row r="20">
      <c r="A20" s="16" t="inlineStr">
        <is>
          <t>Investering i materielle anlægsaktiver</t>
        </is>
      </c>
      <c r="B20" s="17" t="n">
        <v>738000</v>
      </c>
      <c r="C20" s="17" t="n">
        <v>870000</v>
      </c>
      <c r="D20" s="17" t="n">
        <v>892000</v>
      </c>
      <c r="E20" s="17" t="n">
        <v>817000</v>
      </c>
      <c r="F20" s="17" t="n">
        <v>849000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pera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23000</v>
      </c>
      <c r="C2" s="17" t="n">
        <v>42000</v>
      </c>
      <c r="D2" s="17" t="n">
        <v>62000</v>
      </c>
      <c r="E2" s="17" t="n">
        <v>87000</v>
      </c>
      <c r="F2" s="17" t="n">
        <v>327000</v>
      </c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>
        <v>225000</v>
      </c>
      <c r="C4" s="17" t="n">
        <v>421000</v>
      </c>
      <c r="D4" s="17" t="n">
        <v>405000</v>
      </c>
      <c r="E4" s="17" t="n">
        <v>417000</v>
      </c>
      <c r="F4" s="17" t="n">
        <v>451000</v>
      </c>
    </row>
    <row r="5">
      <c r="A5" s="15" t="inlineStr">
        <is>
          <t>Immaterielle anlægsaktiver</t>
        </is>
      </c>
      <c r="B5" s="17" t="n">
        <v>133000</v>
      </c>
      <c r="C5" s="17" t="n">
        <v>235000</v>
      </c>
      <c r="D5" s="17" t="n">
        <v>202000</v>
      </c>
      <c r="E5" s="17" t="n">
        <v>172000</v>
      </c>
      <c r="F5" s="17" t="n">
        <v>785000</v>
      </c>
    </row>
    <row r="6">
      <c r="A6" s="16" t="inlineStr">
        <is>
          <t>Grunde og bygninger</t>
        </is>
      </c>
      <c r="B6" s="17" t="n">
        <v>848000</v>
      </c>
      <c r="C6" s="17" t="n">
        <v>1009000</v>
      </c>
      <c r="D6" s="17" t="n">
        <v>1243000</v>
      </c>
      <c r="E6" s="17" t="n">
        <v>1261000</v>
      </c>
      <c r="F6" s="17" t="n">
        <v>1328000</v>
      </c>
    </row>
    <row r="7">
      <c r="A7" s="16" t="inlineStr">
        <is>
          <t>Produktionsanlæg og maskiner</t>
        </is>
      </c>
      <c r="B7" s="17" t="n">
        <v>1438000</v>
      </c>
      <c r="C7" s="17" t="n">
        <v>1650000</v>
      </c>
      <c r="D7" s="17" t="n">
        <v>1699000</v>
      </c>
      <c r="E7" s="17" t="n">
        <v>2009000</v>
      </c>
      <c r="F7" s="17" t="n">
        <v>2146000</v>
      </c>
    </row>
    <row r="8">
      <c r="A8" s="16" t="inlineStr">
        <is>
          <t>Driftsmateriel og inventar</t>
        </is>
      </c>
      <c r="B8" s="17" t="n"/>
      <c r="C8" s="17" t="n"/>
      <c r="D8" s="17" t="n"/>
      <c r="E8" s="17" t="n"/>
      <c r="F8" s="17" t="n"/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>
        <v>147000</v>
      </c>
      <c r="C10" s="17" t="n">
        <v>241000</v>
      </c>
      <c r="D10" s="17" t="n">
        <v>303000</v>
      </c>
      <c r="E10" s="17" t="n">
        <v>200000</v>
      </c>
      <c r="F10" s="17" t="n">
        <v>239000</v>
      </c>
    </row>
    <row r="11">
      <c r="A11" s="15" t="inlineStr">
        <is>
          <t>Materielle anlægsaktiver</t>
        </is>
      </c>
      <c r="B11" s="17" t="n">
        <v>146000</v>
      </c>
      <c r="C11" s="17" t="n">
        <v>153000</v>
      </c>
      <c r="D11" s="17" t="n">
        <v>158000</v>
      </c>
      <c r="E11" s="17" t="n">
        <v>176000</v>
      </c>
      <c r="F11" s="17" t="n">
        <v>244000</v>
      </c>
    </row>
    <row r="12">
      <c r="A12" s="16" t="inlineStr">
        <is>
          <t>Kapitalandele, dattervirksomheder</t>
        </is>
      </c>
      <c r="B12" s="17" t="n">
        <v>2000</v>
      </c>
      <c r="C12" s="17" t="n">
        <v>1000</v>
      </c>
      <c r="D12" s="17" t="n">
        <v>1000</v>
      </c>
      <c r="E12" s="17" t="n">
        <v>1000</v>
      </c>
      <c r="F12" s="17" t="n">
        <v>1000</v>
      </c>
    </row>
    <row r="13">
      <c r="A13" s="16" t="inlineStr">
        <is>
          <t>Deposita</t>
        </is>
      </c>
      <c r="B13" s="17" t="n">
        <v>51000</v>
      </c>
      <c r="C13" s="17" t="n">
        <v>40000</v>
      </c>
      <c r="D13" s="17" t="n">
        <v>45000</v>
      </c>
      <c r="E13" s="17" t="n">
        <v>37000</v>
      </c>
      <c r="F13" s="17" t="n">
        <v>48000</v>
      </c>
    </row>
    <row r="14">
      <c r="A14" s="15" t="inlineStr">
        <is>
          <t>Finansielle anlægsaktiver</t>
        </is>
      </c>
      <c r="B14" s="17" t="n"/>
      <c r="C14" s="17" t="n"/>
      <c r="D14" s="17" t="n"/>
      <c r="E14" s="17" t="n"/>
      <c r="F14" s="17" t="n"/>
    </row>
    <row r="15">
      <c r="A15" s="15" t="inlineStr">
        <is>
          <t>Anlægsaktiver</t>
        </is>
      </c>
      <c r="B15" s="17" t="n">
        <v>3418000</v>
      </c>
      <c r="C15" s="17" t="n">
        <v>4364000</v>
      </c>
      <c r="D15" s="17" t="n">
        <v>4753000</v>
      </c>
      <c r="E15" s="17" t="n">
        <v>5133000</v>
      </c>
      <c r="F15" s="17" t="n">
        <v>5652000</v>
      </c>
    </row>
    <row r="16">
      <c r="A16" s="16" t="inlineStr">
        <is>
          <t>Råvarer og hjælpematerialer</t>
        </is>
      </c>
      <c r="B16" s="17" t="n"/>
      <c r="C16" s="17" t="n"/>
      <c r="D16" s="17" t="n"/>
      <c r="E16" s="17" t="n"/>
      <c r="F16" s="17" t="n"/>
    </row>
    <row r="17">
      <c r="A17" s="16" t="inlineStr">
        <is>
          <t>Varer under fremstilling</t>
        </is>
      </c>
      <c r="B17" s="17" t="n">
        <v>1299000</v>
      </c>
      <c r="C17" s="17" t="n">
        <v>2189000</v>
      </c>
      <c r="D17" s="17" t="n">
        <v>2191000</v>
      </c>
      <c r="E17" s="17" t="n">
        <v>2696000</v>
      </c>
      <c r="F17" s="17" t="n">
        <v>3055000</v>
      </c>
    </row>
    <row r="18">
      <c r="A18" s="16" t="inlineStr">
        <is>
          <t>Færdigvarer og handelsvarer</t>
        </is>
      </c>
      <c r="B18" s="17" t="n"/>
      <c r="C18" s="17" t="n"/>
      <c r="D18" s="17" t="n"/>
      <c r="E18" s="17" t="n"/>
      <c r="F18" s="17" t="n"/>
    </row>
    <row r="19">
      <c r="A19" s="15" t="inlineStr">
        <is>
          <t>Varebeholdninger</t>
        </is>
      </c>
      <c r="B19" s="17" t="n">
        <v>411000</v>
      </c>
      <c r="C19" s="17" t="n">
        <v>483000</v>
      </c>
      <c r="D19" s="17" t="n">
        <v>517000</v>
      </c>
      <c r="E19" s="17" t="n">
        <v>514000</v>
      </c>
      <c r="F19" s="17" t="n">
        <v>516000</v>
      </c>
    </row>
    <row r="20">
      <c r="A20" s="16" t="inlineStr">
        <is>
          <t>Tilgodehavender fra salg og tjenesteydelser</t>
        </is>
      </c>
      <c r="B20" s="17" t="n">
        <v>2542000</v>
      </c>
      <c r="C20" s="17" t="n">
        <v>3426000</v>
      </c>
      <c r="D20" s="17" t="n">
        <v>4406000</v>
      </c>
      <c r="E20" s="17" t="n">
        <v>4495000</v>
      </c>
      <c r="F20" s="17" t="n">
        <v>4466000</v>
      </c>
    </row>
    <row r="21">
      <c r="A21" s="16" t="inlineStr">
        <is>
          <t>Tilgodehavender hos tilknyttede virksomheder</t>
        </is>
      </c>
      <c r="B21" s="17" t="n"/>
      <c r="C21" s="17" t="n"/>
      <c r="D21" s="17" t="n"/>
      <c r="E21" s="17" t="n"/>
      <c r="F21" s="17" t="n"/>
    </row>
    <row r="22">
      <c r="A22" s="16" t="inlineStr">
        <is>
          <t>Andre tilgodehavender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Periodeafgrænsningsposter (aktiver)</t>
        </is>
      </c>
      <c r="B23" s="17" t="n">
        <v>44000</v>
      </c>
      <c r="C23" s="17" t="n">
        <v>65000</v>
      </c>
      <c r="D23" s="17" t="n">
        <v>151000</v>
      </c>
      <c r="E23" s="17" t="n">
        <v>97000</v>
      </c>
      <c r="F23" s="17" t="n">
        <v>76000</v>
      </c>
    </row>
    <row r="24">
      <c r="A24" s="16" t="inlineStr">
        <is>
          <t>Udskudt skatteaktiv</t>
        </is>
      </c>
      <c r="B24" s="17" t="n">
        <v>17000</v>
      </c>
      <c r="C24" s="17" t="n">
        <v>7000</v>
      </c>
      <c r="D24" s="17" t="n">
        <v>12000</v>
      </c>
      <c r="E24" s="17" t="n">
        <v>1000</v>
      </c>
      <c r="F24" s="17" t="n">
        <v>9000</v>
      </c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>
        <v>3000</v>
      </c>
      <c r="C26" s="17" t="n">
        <v>37000</v>
      </c>
      <c r="D26" s="17" t="n">
        <v>45000</v>
      </c>
      <c r="E26" s="17" t="n">
        <v>39000</v>
      </c>
      <c r="F26" s="17" t="n">
        <v>29000</v>
      </c>
    </row>
    <row r="27">
      <c r="A27" s="15" t="inlineStr">
        <is>
          <t>Tilgodehavender</t>
        </is>
      </c>
      <c r="B27" s="17" t="n">
        <v>131000</v>
      </c>
      <c r="C27" s="17" t="n">
        <v>285000</v>
      </c>
      <c r="D27" s="17" t="n">
        <v>255000</v>
      </c>
      <c r="E27" s="17" t="n">
        <v>226000</v>
      </c>
      <c r="F27" s="17" t="n">
        <v>283000</v>
      </c>
    </row>
    <row r="28">
      <c r="A28" s="16" t="inlineStr">
        <is>
          <t>Værdipapirer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Likvide beholdninger</t>
        </is>
      </c>
      <c r="B29" s="17" t="n">
        <v>445000</v>
      </c>
      <c r="C29" s="17" t="n">
        <v>316000</v>
      </c>
      <c r="D29" s="17" t="n">
        <v>579000</v>
      </c>
      <c r="E29" s="17" t="n">
        <v>387000</v>
      </c>
      <c r="F29" s="17" t="n">
        <v>1238000</v>
      </c>
    </row>
    <row r="30">
      <c r="A30" s="15" t="inlineStr">
        <is>
          <t>Omsætningsaktiver</t>
        </is>
      </c>
      <c r="B30" s="17" t="n">
        <v>5500000</v>
      </c>
      <c r="C30" s="17" t="n">
        <v>7379000</v>
      </c>
      <c r="D30" s="17" t="n">
        <v>8629000</v>
      </c>
      <c r="E30" s="17" t="n">
        <v>8933000</v>
      </c>
      <c r="F30" s="17" t="n">
        <v>10128000</v>
      </c>
    </row>
    <row r="31">
      <c r="A31" s="15" t="inlineStr">
        <is>
          <t>Aktiver</t>
        </is>
      </c>
      <c r="B31" s="17" t="n">
        <v>8918000</v>
      </c>
      <c r="C31" s="17" t="n">
        <v>11743000</v>
      </c>
      <c r="D31" s="17" t="n">
        <v>13382000</v>
      </c>
      <c r="E31" s="17" t="n">
        <v>14066000</v>
      </c>
      <c r="F31" s="17" t="n">
        <v>15780000</v>
      </c>
    </row>
    <row r="32">
      <c r="A32" s="16" t="inlineStr">
        <is>
          <t>Selskabskapital</t>
        </is>
      </c>
      <c r="B32" s="17" t="n">
        <v>41000</v>
      </c>
      <c r="C32" s="17" t="n">
        <v>41000</v>
      </c>
      <c r="D32" s="17" t="n">
        <v>41000</v>
      </c>
      <c r="E32" s="17" t="n">
        <v>39000</v>
      </c>
      <c r="F32" s="17" t="n">
        <v>39000</v>
      </c>
    </row>
    <row r="33">
      <c r="A33" s="16" t="inlineStr">
        <is>
          <t>Reserve for nettoopskrivning (indre værdis metode)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Reserve for udviklingsomkostninger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Reserve for sikringstransaktioner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Andre reserver</t>
        </is>
      </c>
      <c r="B36" s="17" t="n">
        <v>-5000</v>
      </c>
      <c r="C36" s="17" t="n">
        <v>29000</v>
      </c>
      <c r="D36" s="17" t="n">
        <v>35000</v>
      </c>
      <c r="E36" s="17" t="n">
        <v>19000</v>
      </c>
      <c r="F36" s="17" t="n">
        <v>25000</v>
      </c>
    </row>
    <row r="37">
      <c r="A37" s="16" t="inlineStr">
        <is>
          <t>Overført resultat</t>
        </is>
      </c>
      <c r="B37" s="17" t="n">
        <v>3581000</v>
      </c>
      <c r="C37" s="17" t="n">
        <v>3740000</v>
      </c>
      <c r="D37" s="17" t="n">
        <v>4241000</v>
      </c>
      <c r="E37" s="17" t="n">
        <v>4805000</v>
      </c>
      <c r="F37" s="17" t="n">
        <v>5321000</v>
      </c>
    </row>
    <row r="38">
      <c r="A38" s="15" t="inlineStr">
        <is>
          <t>Egenkapital i alt</t>
        </is>
      </c>
      <c r="B38" s="17" t="n">
        <v>3657000</v>
      </c>
      <c r="C38" s="17" t="n">
        <v>3825000</v>
      </c>
      <c r="D38" s="17" t="n">
        <v>4372000</v>
      </c>
      <c r="E38" s="17" t="n">
        <v>4947000</v>
      </c>
      <c r="F38" s="17" t="n">
        <v>5506000</v>
      </c>
    </row>
    <row r="39">
      <c r="A39" s="16" t="inlineStr">
        <is>
          <t>Hensættelse til udskudt skat</t>
        </is>
      </c>
      <c r="B39" s="17" t="n">
        <v>261000</v>
      </c>
      <c r="C39" s="17" t="n">
        <v>395000</v>
      </c>
      <c r="D39" s="17" t="n">
        <v>541000</v>
      </c>
      <c r="E39" s="17" t="n">
        <v>486000</v>
      </c>
      <c r="F39" s="17" t="n">
        <v>631000</v>
      </c>
    </row>
    <row r="40">
      <c r="A40" s="15" t="inlineStr">
        <is>
          <t>Hensatte forpligtelser</t>
        </is>
      </c>
      <c r="B40" s="17" t="n">
        <v>151000</v>
      </c>
      <c r="C40" s="17" t="n">
        <v>152000</v>
      </c>
      <c r="D40" s="17" t="n">
        <v>207000</v>
      </c>
      <c r="E40" s="17" t="n">
        <v>307000</v>
      </c>
      <c r="F40" s="17" t="n">
        <v>277000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Leasingforpligtelser (langfristet)</t>
        </is>
      </c>
      <c r="B43" s="17" t="n">
        <v>263000</v>
      </c>
      <c r="C43" s="17" t="n">
        <v>397000</v>
      </c>
      <c r="D43" s="17" t="n">
        <v>449000</v>
      </c>
      <c r="E43" s="17" t="n">
        <v>557000</v>
      </c>
      <c r="F43" s="17" t="n">
        <v>625000</v>
      </c>
    </row>
    <row r="44">
      <c r="A44" s="16" t="inlineStr">
        <is>
          <t>Anden gæld (langfristet)</t>
        </is>
      </c>
      <c r="B44" s="17" t="n">
        <v>91000</v>
      </c>
      <c r="C44" s="17" t="n">
        <v>114000</v>
      </c>
      <c r="D44" s="17" t="n">
        <v>85000</v>
      </c>
      <c r="E44" s="17" t="n">
        <v>79000</v>
      </c>
      <c r="F44" s="17" t="n">
        <v>72000</v>
      </c>
    </row>
    <row r="45">
      <c r="A45" s="15" t="inlineStr">
        <is>
          <t>Langfristede gældsforpligtelser</t>
        </is>
      </c>
      <c r="B45" s="17" t="n">
        <v>813000</v>
      </c>
      <c r="C45" s="17" t="n">
        <v>1142000</v>
      </c>
      <c r="D45" s="17" t="n">
        <v>3003000</v>
      </c>
      <c r="E45" s="17" t="n">
        <v>2364000</v>
      </c>
      <c r="F45" s="17" t="n">
        <v>2278000</v>
      </c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Kreditinstitutter</t>
        </is>
      </c>
      <c r="B48" s="17" t="n">
        <v>9000</v>
      </c>
      <c r="C48" s="17" t="n">
        <v>13000</v>
      </c>
      <c r="D48" s="17" t="n">
        <v>6000</v>
      </c>
      <c r="E48" s="17" t="n">
        <v>6000</v>
      </c>
      <c r="F48" s="17" t="n"/>
    </row>
    <row r="49">
      <c r="A49" s="16" t="inlineStr">
        <is>
          <t>Leasingforpligtelser (kortfristet)</t>
        </is>
      </c>
      <c r="B49" s="17" t="n">
        <v>138000</v>
      </c>
      <c r="C49" s="17" t="n">
        <v>173000</v>
      </c>
      <c r="D49" s="17" t="n">
        <v>183000</v>
      </c>
      <c r="E49" s="17" t="n">
        <v>230000</v>
      </c>
      <c r="F49" s="17" t="n">
        <v>247000</v>
      </c>
    </row>
    <row r="50">
      <c r="A50" s="16" t="inlineStr">
        <is>
          <t>Leverandører af varer og tjenesteydelser</t>
        </is>
      </c>
      <c r="B50" s="17" t="n">
        <v>1833000</v>
      </c>
      <c r="C50" s="17" t="n">
        <v>2466000</v>
      </c>
      <c r="D50" s="17" t="n">
        <v>2718000</v>
      </c>
      <c r="E50" s="17" t="n">
        <v>2940000</v>
      </c>
      <c r="F50" s="17" t="n">
        <v>3366000</v>
      </c>
    </row>
    <row r="51">
      <c r="A51" s="16" t="inlineStr">
        <is>
          <t>Gæld til tilknyttede virksomheder</t>
        </is>
      </c>
      <c r="B51" s="17" t="n"/>
      <c r="C51" s="17" t="n"/>
      <c r="D51" s="17" t="n"/>
      <c r="E51" s="17" t="n"/>
      <c r="F51" s="17" t="n"/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/>
      <c r="C53" s="17" t="n"/>
      <c r="D53" s="17" t="n"/>
      <c r="E53" s="17" t="n"/>
      <c r="F53" s="17" t="n"/>
    </row>
    <row r="54">
      <c r="A54" s="16" t="inlineStr">
        <is>
          <t>Gæld til tilknyttede virksomheder vedr. selskabsskat</t>
        </is>
      </c>
      <c r="B54" s="17" t="n"/>
      <c r="C54" s="17" t="n"/>
      <c r="D54" s="17" t="n"/>
      <c r="E54" s="17" t="n"/>
      <c r="F54" s="17" t="n"/>
    </row>
    <row r="55">
      <c r="A55" s="16" t="inlineStr">
        <is>
          <t>Anden gæld (kortfristet)</t>
        </is>
      </c>
      <c r="B55" s="17" t="n">
        <v>964000</v>
      </c>
      <c r="C55" s="17" t="n">
        <v>1158000</v>
      </c>
      <c r="D55" s="17" t="n">
        <v>1183000</v>
      </c>
      <c r="E55" s="17" t="n">
        <v>1200000</v>
      </c>
      <c r="F55" s="17" t="n">
        <v>1249000</v>
      </c>
    </row>
    <row r="56">
      <c r="A56" s="16" t="inlineStr">
        <is>
          <t>Periodeafgrænsningsposter (passiver)</t>
        </is>
      </c>
      <c r="B56" s="17" t="n">
        <v>1160000</v>
      </c>
      <c r="C56" s="17" t="n">
        <v>1433000</v>
      </c>
      <c r="D56" s="17" t="n">
        <v>1580000</v>
      </c>
      <c r="E56" s="17" t="n">
        <v>1845000</v>
      </c>
      <c r="F56" s="17" t="n">
        <v>2665000</v>
      </c>
    </row>
    <row r="57">
      <c r="A57" s="15" t="inlineStr">
        <is>
          <t>Kortfristede gældsforpligtelser</t>
        </is>
      </c>
      <c r="B57" s="17" t="n">
        <v>4441000</v>
      </c>
      <c r="C57" s="17" t="n">
        <v>6746000</v>
      </c>
      <c r="D57" s="17" t="n">
        <v>5975000</v>
      </c>
      <c r="E57" s="17" t="n">
        <v>6704000</v>
      </c>
      <c r="F57" s="17" t="n">
        <v>7944000</v>
      </c>
    </row>
    <row r="58">
      <c r="A58" s="15" t="inlineStr">
        <is>
          <t>Gældsforpligtelser</t>
        </is>
      </c>
      <c r="B58" s="17" t="n">
        <v>5254000</v>
      </c>
      <c r="C58" s="17" t="n">
        <v>7888000</v>
      </c>
      <c r="D58" s="17" t="n">
        <v>8978000</v>
      </c>
      <c r="E58" s="17" t="n">
        <v>9068000</v>
      </c>
      <c r="F58" s="17" t="n">
        <v>10222000</v>
      </c>
    </row>
    <row r="59">
      <c r="A59" s="15" t="inlineStr">
        <is>
          <t>Passiver</t>
        </is>
      </c>
      <c r="B59" s="17" t="n">
        <v>8918000</v>
      </c>
      <c r="C59" s="17" t="n">
        <v>11743000</v>
      </c>
      <c r="D59" s="17" t="n">
        <v>13382000</v>
      </c>
      <c r="E59" s="17" t="n">
        <v>14066000</v>
      </c>
      <c r="F59" s="17" t="n">
        <v>15780000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pera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471000</v>
      </c>
      <c r="C2" s="17" t="n">
        <v>516000</v>
      </c>
      <c r="D2" s="17" t="n">
        <v>1102000</v>
      </c>
      <c r="E2" s="17" t="n">
        <v>1981000</v>
      </c>
      <c r="F2" s="17" t="n">
        <v>2788000</v>
      </c>
    </row>
    <row r="3">
      <c r="A3" s="16" t="inlineStr">
        <is>
          <t>Pengestrømme fra investeringsaktivitet</t>
        </is>
      </c>
      <c r="B3" s="17" t="n">
        <v>-676000</v>
      </c>
      <c r="C3" s="17" t="n">
        <v>-1158000</v>
      </c>
      <c r="D3" s="17" t="n">
        <v>-824000</v>
      </c>
      <c r="E3" s="17" t="n">
        <v>-794000</v>
      </c>
      <c r="F3" s="17" t="n">
        <v>-1014000</v>
      </c>
    </row>
    <row r="4">
      <c r="A4" s="16" t="inlineStr">
        <is>
          <t>Pengestrømme fra finansieringsaktivitet</t>
        </is>
      </c>
      <c r="B4" s="17" t="n">
        <v>-432000</v>
      </c>
      <c r="C4" s="17" t="n">
        <v>525000</v>
      </c>
      <c r="D4" s="17" t="n">
        <v>-7000</v>
      </c>
      <c r="E4" s="17" t="n">
        <v>-1376000</v>
      </c>
      <c r="F4" s="17" t="n">
        <v>-931000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pera — Regnskabs- og nøgletal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-'res_raw'!$F$3</f>
        <v/>
      </c>
      <c r="C6" s="24">
        <f>-'res_raw'!$E$3</f>
        <v/>
      </c>
      <c r="D6" s="24">
        <f>-'res_raw'!$D$3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IF(ABS((SUM(B5:B6))-'res_raw'!$F$4)&lt;=2,SUM(B5:B6),'res_raw'!$F$4)</f>
        <v/>
      </c>
      <c r="C7" s="27">
        <f>IF(ABS((SUM(C5:C6))-'res_raw'!$E$4)&lt;=2,SUM(C5:C6),'res_raw'!$E$4)</f>
        <v/>
      </c>
      <c r="D7" s="27">
        <f>IF(ABS((SUM(D5:D6))-'res_raw'!$D$4)&lt;=2,SUM(D5:D6),'res_raw'!$D$4)</f>
        <v/>
      </c>
      <c r="F7" s="28" t="inlineStr">
        <is>
          <t>Beregnet: Nettoomsætning − Produktionsomkostninger. Matcher fsa:GrossResult. Er komponenterne ikke indberettet, vises rapporteret fsa:GrossResult direkte.</t>
        </is>
      </c>
    </row>
    <row r="8">
      <c r="A8" s="23" t="inlineStr">
        <is>
          <t>Udviklingsomkostninger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ifrs-full:ResearchAndDevelopmentExpense (vises negativt). Udviklingsomkostninger ført i resultatet (v15_21; B&amp;O m.fl.).</t>
        </is>
      </c>
    </row>
    <row r="9">
      <c r="A9" s="23" t="inlineStr">
        <is>
          <t>Salgs- og distributionsomk.</t>
        </is>
      </c>
      <c r="B9" s="24">
        <f>-'res_raw'!$F$6</f>
        <v/>
      </c>
      <c r="C9" s="24">
        <f>-'res_raw'!$E$6</f>
        <v/>
      </c>
      <c r="D9" s="24">
        <f>-'res_raw'!$D$6</f>
        <v/>
      </c>
      <c r="F9" s="25" t="inlineStr">
        <is>
          <t>fsa:DistributionCosts (vises negativt). Marketing, salg, distribution.</t>
        </is>
      </c>
    </row>
    <row r="10">
      <c r="A10" s="23" t="inlineStr">
        <is>
          <t>Administrationsomkostninger mv.</t>
        </is>
      </c>
      <c r="B10" s="24">
        <f>-'res_raw'!$F$7</f>
        <v/>
      </c>
      <c r="C10" s="24">
        <f>-'res_raw'!$E$7</f>
        <v/>
      </c>
      <c r="D10" s="24">
        <f>-'res_raw'!$D$7</f>
        <v/>
      </c>
      <c r="F10" s="25" t="inlineStr">
        <is>
          <t>fsa:AdministrativeExpenses (vises negativt). Generel administration.</t>
        </is>
      </c>
    </row>
    <row r="11">
      <c r="A11" s="23" t="inlineStr">
        <is>
          <t>Andre driftsindtægter</t>
        </is>
      </c>
      <c r="B11" s="24">
        <f>'res_raw'!$F$8</f>
        <v/>
      </c>
      <c r="C11" s="24">
        <f>'res_raw'!$E$8</f>
        <v/>
      </c>
      <c r="D11" s="24">
        <f>'res_raw'!$D$8</f>
        <v/>
      </c>
      <c r="F11" s="25" t="inlineStr">
        <is>
          <t>fsa:OtherOperatingIncome. Sekundære driftsindtægter (huslejeindtægter, off. tilskud, avancer mv.).</t>
        </is>
      </c>
    </row>
    <row r="12">
      <c r="A12" s="26" t="inlineStr">
        <is>
          <t>Andre driftsomkostninger</t>
        </is>
      </c>
      <c r="B12" s="27">
        <f>-'res_raw'!$F$9</f>
        <v/>
      </c>
      <c r="C12" s="27">
        <f>-'res_raw'!$E$9</f>
        <v/>
      </c>
      <c r="D12" s="27">
        <f>-'res_raw'!$D$9</f>
        <v/>
      </c>
      <c r="F12" s="28" t="inlineStr">
        <is>
          <t>fsa:OtherOperatingExpenses (vises negativt). Sekundære driftsomkostninger.</t>
        </is>
      </c>
    </row>
    <row r="13">
      <c r="A13" s="29" t="inlineStr">
        <is>
          <t>Resultat af primær drift</t>
        </is>
      </c>
      <c r="B13" s="30">
        <f>IF(ABS((SUM(B7:B12))-'res_raw'!$F$11)&lt;=2,SUM(B7:B12),'res_raw'!$F$11)</f>
        <v/>
      </c>
      <c r="C13" s="30">
        <f>IF(ABS((SUM(C7:C12))-'res_raw'!$E$11)&lt;=2,SUM(C7:C12),'res_raw'!$E$11)</f>
        <v/>
      </c>
      <c r="D13" s="30">
        <f>IF(ABS((SUM(D7:D12))-'res_raw'!$D$11)&lt;=2,SUM(D7:D12),'res_raw'!$D$11)</f>
        <v/>
      </c>
      <c r="F13" s="25" t="inlineStr">
        <is>
          <t>Beregnet: Bruttoresultat − Udviklingsomk. − Salgs/dist. − Administration + Andre driftsindt. − Andre driftsomk. EBIT.</t>
        </is>
      </c>
    </row>
    <row r="14">
      <c r="A14" s="23" t="inlineStr">
        <is>
          <t>Finansielle indtægter mv.</t>
        </is>
      </c>
      <c r="B14" s="24">
        <f>N('res_raw'!$F$12)+N('res_raw'!$F$13)</f>
        <v/>
      </c>
      <c r="C14" s="24">
        <f>N('res_raw'!$E$12)+N('res_raw'!$E$13)</f>
        <v/>
      </c>
      <c r="D14" s="24">
        <f>N('res_raw'!$D$12)+N('res_raw'!$D$13)</f>
        <v/>
      </c>
      <c r="F14" s="25" t="inlineStr">
        <is>
          <t>fsa:IncomeFromSubsidiaries + fsa:OtherFinanceIncome.</t>
        </is>
      </c>
    </row>
    <row r="15">
      <c r="A15" s="26" t="inlineStr">
        <is>
          <t>Finansielle omkostninger mv.</t>
        </is>
      </c>
      <c r="B15" s="27">
        <f>-'res_raw'!$F$14</f>
        <v/>
      </c>
      <c r="C15" s="27">
        <f>-'res_raw'!$E$14</f>
        <v/>
      </c>
      <c r="D15" s="27">
        <f>-'res_raw'!$D$14</f>
        <v/>
      </c>
      <c r="F15" s="28" t="inlineStr">
        <is>
          <t>fsa:OtherFinanceExpenses (vises negativt). Renteomkostninger, kurstab.</t>
        </is>
      </c>
    </row>
    <row r="16">
      <c r="A16" s="29" t="inlineStr">
        <is>
          <t>Resultat før skat</t>
        </is>
      </c>
      <c r="B16" s="30">
        <f>IF(ABS((SUM(B13:B15))-'res_raw'!$F$16)&lt;=2,SUM(B13:B15),'res_raw'!$F$16)</f>
        <v/>
      </c>
      <c r="C16" s="30">
        <f>IF(ABS((SUM(C13:C15))-'res_raw'!$E$16)&lt;=2,SUM(C13:C15),'res_raw'!$E$16)</f>
        <v/>
      </c>
      <c r="D16" s="30">
        <f>IF(ABS((SUM(D13:D15))-'res_raw'!$D$16)&lt;=2,SUM(D13:D15),'res_raw'!$D$16)</f>
        <v/>
      </c>
      <c r="F16" s="25" t="inlineStr">
        <is>
          <t>Beregnet: EBIT + Fin. indtægter + Fin. omk. EBT.</t>
        </is>
      </c>
    </row>
    <row r="17">
      <c r="A17" s="31" t="n"/>
      <c r="B17" s="31" t="n"/>
      <c r="C17" s="31" t="n"/>
      <c r="D17" s="31" t="n"/>
      <c r="F17" s="31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'balance_raw'!$F$15</f>
        <v/>
      </c>
      <c r="C19" s="24">
        <f>'balance_raw'!$E$15</f>
        <v/>
      </c>
      <c r="D19" s="24">
        <f>'balance_raw'!$D$15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'balance_raw'!$F$30</f>
        <v/>
      </c>
      <c r="C20" s="24">
        <f>'balance_raw'!$E$30</f>
        <v/>
      </c>
      <c r="D20" s="24">
        <f>'balance_raw'!$D$30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31" t="n"/>
      <c r="B22" s="31" t="n"/>
      <c r="C22" s="31" t="n"/>
      <c r="D22" s="31" t="n"/>
      <c r="F22" s="31" t="n"/>
    </row>
    <row r="23">
      <c r="A23" s="23" t="inlineStr">
        <is>
          <t>Egenkapital</t>
        </is>
      </c>
      <c r="B23" s="24">
        <f>'balance_raw'!$F$38</f>
        <v/>
      </c>
      <c r="C23" s="24">
        <f>'balance_raw'!$E$38</f>
        <v/>
      </c>
      <c r="D23" s="24">
        <f>'balance_raw'!$D$38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'balance_raw'!$F$59-'balance_raw'!$F$38</f>
        <v/>
      </c>
      <c r="C24" s="24">
        <f>'balance_raw'!$E$59-'balance_raw'!$E$38</f>
        <v/>
      </c>
      <c r="D24" s="24">
        <f>'balance_raw'!$D$59-'balance_raw'!$D$38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31" t="n"/>
      <c r="B26" s="31" t="n"/>
      <c r="C26" s="31" t="n"/>
      <c r="D26" s="31" t="n"/>
      <c r="F26" s="31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'balance_raw'!$F$19</f>
        <v/>
      </c>
      <c r="C28" s="24">
        <f>'balance_raw'!$E$19</f>
        <v/>
      </c>
      <c r="D28" s="24">
        <f>'balance_raw'!$D$19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'balance_raw'!$F$20</f>
        <v/>
      </c>
      <c r="C29" s="24">
        <f>'balance_raw'!$E$20</f>
        <v/>
      </c>
      <c r="D29" s="24">
        <f>'balance_raw'!$D$20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'balance_raw'!$F$57</f>
        <v/>
      </c>
      <c r="C30" s="24">
        <f>'balance_raw'!$E$57</f>
        <v/>
      </c>
      <c r="D30" s="24">
        <f>'balance_raw'!$D$57</f>
        <v/>
      </c>
      <c r="F30" s="25" t="inlineStr">
        <is>
          <t>fsa:ShorttermLiabilitiesOtherThanProvisions. Gæld der forfalder inden for 1 år.</t>
        </is>
      </c>
    </row>
    <row r="31">
      <c r="A31" s="31" t="n"/>
      <c r="B31" s="31" t="n"/>
      <c r="C31" s="31" t="n"/>
      <c r="D31" s="31" t="n"/>
      <c r="F31" s="31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2">
        <f>IFERROR((B13+B14)/B21*100,"")</f>
        <v/>
      </c>
      <c r="C33" s="32">
        <f>IFERROR((C13+C14)/C21*100,"")</f>
        <v/>
      </c>
      <c r="D33" s="32">
        <f>IFERROR((D13+D14)/D21*100,"")</f>
        <v/>
      </c>
      <c r="F33" s="31" t="n"/>
    </row>
    <row r="34">
      <c r="A34" s="23" t="inlineStr">
        <is>
          <t>Overskudsgrad, %</t>
        </is>
      </c>
      <c r="B34" s="32">
        <f>IFERROR((B13+B14)/B5*100,"")</f>
        <v/>
      </c>
      <c r="C34" s="32">
        <f>IFERROR((C13+C14)/C5*100,"")</f>
        <v/>
      </c>
      <c r="D34" s="32">
        <f>IFERROR((D13+D14)/D5*100,"")</f>
        <v/>
      </c>
      <c r="F34" s="31" t="n"/>
    </row>
    <row r="35">
      <c r="A35" s="23" t="inlineStr">
        <is>
          <t>Aktivernes omsætningshastighed, gange</t>
        </is>
      </c>
      <c r="B35" s="32">
        <f>IFERROR(B5/B21,"")</f>
        <v/>
      </c>
      <c r="C35" s="32">
        <f>IFERROR(C5/C21,"")</f>
        <v/>
      </c>
      <c r="D35" s="32">
        <f>IFERROR(D5/D21,"")</f>
        <v/>
      </c>
      <c r="F35" s="31" t="n"/>
    </row>
    <row r="36">
      <c r="A36" s="23" t="inlineStr">
        <is>
          <t>Gældsrente, %</t>
        </is>
      </c>
      <c r="B36" s="32">
        <f>IFERROR(-B15*100/B24,"")</f>
        <v/>
      </c>
      <c r="C36" s="32">
        <f>IFERROR(-C15*100/C24,"")</f>
        <v/>
      </c>
      <c r="D36" s="32">
        <f>IFERROR(-D15*100/D24,"")</f>
        <v/>
      </c>
      <c r="F36" s="31" t="n"/>
    </row>
    <row r="37">
      <c r="A37" s="23" t="inlineStr">
        <is>
          <t>Egenkapitalens forrentning, %</t>
        </is>
      </c>
      <c r="B37" s="32">
        <f>IFERROR(B16/B23*100,"")</f>
        <v/>
      </c>
      <c r="C37" s="32">
        <f>IFERROR(C16/C23*100,"")</f>
        <v/>
      </c>
      <c r="D37" s="32">
        <f>IFERROR(D16/D23*100,"")</f>
        <v/>
      </c>
      <c r="F37" s="31" t="n"/>
    </row>
    <row r="38">
      <c r="A38" s="23" t="inlineStr">
        <is>
          <t>Gearing, gange</t>
        </is>
      </c>
      <c r="B38" s="32">
        <f>IFERROR(B24/B23,"")</f>
        <v/>
      </c>
      <c r="C38" s="32">
        <f>IFERROR(C24/C23,"")</f>
        <v/>
      </c>
      <c r="D38" s="32">
        <f>IFERROR(D24/D23,"")</f>
        <v/>
      </c>
      <c r="F38" s="31" t="n"/>
    </row>
    <row r="39">
      <c r="A39" s="31" t="n"/>
      <c r="B39" s="31" t="n"/>
      <c r="C39" s="31" t="n"/>
      <c r="D39" s="31" t="n"/>
      <c r="F39" s="31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3">
        <f>IFERROR(B5/$D5*100,"")</f>
        <v/>
      </c>
      <c r="C41" s="33">
        <f>IFERROR(C5/$D5*100,"")</f>
        <v/>
      </c>
      <c r="D41" s="33">
        <f>IFERROR(D5/$D5*100,"")</f>
        <v/>
      </c>
      <c r="F41" s="31" t="n"/>
    </row>
    <row r="42">
      <c r="A42" s="23" t="inlineStr">
        <is>
          <t>Produktionsomkostninger</t>
        </is>
      </c>
      <c r="B42" s="33">
        <f>IFERROR(B6/$D6*100,"")</f>
        <v/>
      </c>
      <c r="C42" s="33">
        <f>IFERROR(C6/$D6*100,"")</f>
        <v/>
      </c>
      <c r="D42" s="33">
        <f>IFERROR(D6/$D6*100,"")</f>
        <v/>
      </c>
      <c r="F42" s="31" t="n"/>
    </row>
    <row r="43">
      <c r="A43" s="23" t="inlineStr">
        <is>
          <t>Udviklingsomkostninger</t>
        </is>
      </c>
      <c r="B43" s="33">
        <f>IFERROR(B8/$D8*100,"")</f>
        <v/>
      </c>
      <c r="C43" s="33">
        <f>IFERROR(C8/$D8*100,"")</f>
        <v/>
      </c>
      <c r="D43" s="33">
        <f>IFERROR(D8/$D8*100,"")</f>
        <v/>
      </c>
      <c r="F43" s="31" t="n"/>
    </row>
    <row r="44">
      <c r="A44" s="23" t="inlineStr">
        <is>
          <t>Salgs- og distributionsomk.</t>
        </is>
      </c>
      <c r="B44" s="33">
        <f>IFERROR(B9/$D9*100,"")</f>
        <v/>
      </c>
      <c r="C44" s="33">
        <f>IFERROR(C9/$D9*100,"")</f>
        <v/>
      </c>
      <c r="D44" s="33">
        <f>IFERROR(D9/$D9*100,"")</f>
        <v/>
      </c>
      <c r="F44" s="31" t="n"/>
    </row>
    <row r="45">
      <c r="A45" s="23" t="inlineStr">
        <is>
          <t>Administrationsomk.</t>
        </is>
      </c>
      <c r="B45" s="33">
        <f>IFERROR(B10/$D10*100,"")</f>
        <v/>
      </c>
      <c r="C45" s="33">
        <f>IFERROR(C10/$D10*100,"")</f>
        <v/>
      </c>
      <c r="D45" s="33">
        <f>IFERROR(D10/$D10*100,"")</f>
        <v/>
      </c>
      <c r="F45" s="31" t="n"/>
    </row>
    <row r="46">
      <c r="A46" s="23" t="inlineStr">
        <is>
          <t>Andre driftsomkostninger</t>
        </is>
      </c>
      <c r="B46" s="33">
        <f>IFERROR(B12/$D12*100,"")</f>
        <v/>
      </c>
      <c r="C46" s="33">
        <f>IFERROR(C12/$D12*100,"")</f>
        <v/>
      </c>
      <c r="D46" s="33">
        <f>IFERROR(D12/$D12*100,"")</f>
        <v/>
      </c>
      <c r="F46" s="31" t="n"/>
    </row>
    <row r="47">
      <c r="A47" s="31" t="n"/>
      <c r="B47" s="31" t="n"/>
      <c r="C47" s="31" t="n"/>
      <c r="D47" s="31" t="n"/>
      <c r="F47" s="31" t="n"/>
    </row>
    <row r="48">
      <c r="A48" s="22" t="inlineStr">
        <is>
          <t>Indekstal for kapitaltilpasningsevne (2023=100)</t>
        </is>
      </c>
      <c r="B48" s="22" t="n"/>
      <c r="C48" s="22" t="n"/>
      <c r="D48" s="22" t="n"/>
      <c r="F48" s="22" t="n"/>
    </row>
    <row r="49">
      <c r="A49" s="23" t="inlineStr">
        <is>
          <t>Nettoomsætning</t>
        </is>
      </c>
      <c r="B49" s="33">
        <f>IFERROR(B5*100/$D5,"")</f>
        <v/>
      </c>
      <c r="C49" s="33">
        <f>IFERROR(C5*100/$D5,"")</f>
        <v/>
      </c>
      <c r="D49" s="33">
        <f>IFERROR(D5*100/$D5,"")</f>
        <v/>
      </c>
      <c r="F49" s="31" t="n"/>
    </row>
    <row r="50">
      <c r="A50" s="23" t="inlineStr">
        <is>
          <t>Anlægsaktiver</t>
        </is>
      </c>
      <c r="B50" s="33">
        <f>IFERROR(B19*100/$D19,"")</f>
        <v/>
      </c>
      <c r="C50" s="33">
        <f>IFERROR(C19*100/$D19,"")</f>
        <v/>
      </c>
      <c r="D50" s="33">
        <f>IFERROR(D19*100/$D19,"")</f>
        <v/>
      </c>
      <c r="F50" s="31" t="n"/>
    </row>
    <row r="51">
      <c r="A51" s="23" t="inlineStr">
        <is>
          <t>Varebeholdninger</t>
        </is>
      </c>
      <c r="B51" s="33">
        <f>IFERROR(B28*100/$D28,"")</f>
        <v/>
      </c>
      <c r="C51" s="33">
        <f>IFERROR(C28*100/$D28,"")</f>
        <v/>
      </c>
      <c r="D51" s="33">
        <f>IFERROR(D28*100/$D28,"")</f>
        <v/>
      </c>
      <c r="F51" s="31" t="n"/>
    </row>
    <row r="52">
      <c r="A52" s="23" t="inlineStr">
        <is>
          <t>Tilgodehavender fra salg</t>
        </is>
      </c>
      <c r="B52" s="33">
        <f>IFERROR(B29*100/$D29,"")</f>
        <v/>
      </c>
      <c r="C52" s="33">
        <f>IFERROR(C29*100/$D29,"")</f>
        <v/>
      </c>
      <c r="D52" s="33">
        <f>IFERROR(D29*100/$D29,"")</f>
        <v/>
      </c>
      <c r="F52" s="31" t="n"/>
    </row>
    <row r="53">
      <c r="A53" s="31" t="n"/>
      <c r="B53" s="31" t="n"/>
      <c r="C53" s="31" t="n"/>
      <c r="D53" s="31" t="n"/>
      <c r="F53" s="31" t="n"/>
    </row>
    <row r="54">
      <c r="A54" s="22" t="inlineStr">
        <is>
          <t>Soliditet og likviditet</t>
        </is>
      </c>
      <c r="B54" s="22" t="n"/>
      <c r="C54" s="22" t="n"/>
      <c r="D54" s="22" t="n"/>
      <c r="F54" s="22" t="n"/>
    </row>
    <row r="55">
      <c r="A55" s="23" t="inlineStr">
        <is>
          <t>Soliditetsgrad, %</t>
        </is>
      </c>
      <c r="B55" s="32">
        <f>IFERROR(B23*100/B21,"")</f>
        <v/>
      </c>
      <c r="C55" s="32">
        <f>IFERROR(C23*100/C21,"")</f>
        <v/>
      </c>
      <c r="D55" s="32">
        <f>IFERROR(D23*100/D21,"")</f>
        <v/>
      </c>
      <c r="F55" s="31" t="n"/>
    </row>
    <row r="56">
      <c r="A56" s="23" t="inlineStr">
        <is>
          <t>Gældsandel, %</t>
        </is>
      </c>
      <c r="B56" s="32">
        <f>IFERROR(B24*100/B21,"")</f>
        <v/>
      </c>
      <c r="C56" s="32">
        <f>IFERROR(C24*100/C21,"")</f>
        <v/>
      </c>
      <c r="D56" s="32">
        <f>IFERROR(D24*100/D21,"")</f>
        <v/>
      </c>
      <c r="F56" s="31" t="n"/>
    </row>
    <row r="57">
      <c r="A57" s="23" t="inlineStr">
        <is>
          <t>Likviditetsgrad, %</t>
        </is>
      </c>
      <c r="B57" s="32">
        <f>IFERROR(B20*100/B30,"")</f>
        <v/>
      </c>
      <c r="C57" s="32">
        <f>IFERROR(C20*100/C30,"")</f>
        <v/>
      </c>
      <c r="D57" s="32">
        <f>IFERROR(D20*100/D30,"")</f>
        <v/>
      </c>
      <c r="F57" s="31" t="n"/>
    </row>
    <row r="58">
      <c r="A58" s="31" t="n"/>
      <c r="B58" s="31" t="n"/>
      <c r="C58" s="31" t="n"/>
      <c r="D58" s="31" t="n"/>
      <c r="F58" s="31" t="n"/>
    </row>
    <row r="59">
      <c r="A59" s="34" t="inlineStr">
        <is>
          <t>Kilde: Bearbejdet uddrag af årsrapporter for 2023-2025. Alle dataceller er live formler der peger på res_raw / balance_raw.</t>
        </is>
      </c>
      <c r="B59" s="31" t="n"/>
      <c r="C59" s="31" t="n"/>
      <c r="D59" s="31" t="n"/>
      <c r="F59" s="31" t="n"/>
    </row>
    <row r="60">
      <c r="A60" s="31" t="n"/>
      <c r="B60" s="31" t="n"/>
      <c r="C60" s="31" t="n"/>
      <c r="D60" s="31" t="n"/>
      <c r="F60" s="31" t="n"/>
    </row>
    <row r="61">
      <c r="A61" s="22" t="inlineStr">
        <is>
          <t>Krydstjek mod rådata (tolerance: 1 t.kr.)</t>
        </is>
      </c>
      <c r="B61" s="22" t="n"/>
      <c r="C61" s="22" t="n"/>
      <c r="D61" s="22" t="n"/>
      <c r="F61" s="22" t="n"/>
    </row>
    <row r="62">
      <c r="A62" s="23" t="inlineStr">
        <is>
          <t>Aktiver i alt = fsa:Assets</t>
        </is>
      </c>
      <c r="B62" s="31">
        <f>IF('balance_raw'!$F$31="","—",IF(ABS(B21-'balance_raw'!$F$31)&lt;=1,"✓ OK","❌ "&amp;TEXT(B21-'balance_raw'!$F$31,"+#,##0;-#,##0")&amp;" t.kr."))</f>
        <v/>
      </c>
      <c r="C62" s="31">
        <f>IF('balance_raw'!$E$31="","—",IF(ABS(C21-'balance_raw'!$E$31)&lt;=1,"✓ OK","❌ "&amp;TEXT(C21-'balance_raw'!$E$31,"+#,##0;-#,##0")&amp;" t.kr."))</f>
        <v/>
      </c>
      <c r="D62" s="31">
        <f>IF('balance_raw'!$D$31="","—",IF(ABS(D21-'balance_raw'!$D$31)&lt;=1,"✓ OK","❌ "&amp;TEXT(D21-'balance_raw'!$D$31,"+#,##0;-#,##0")&amp;" t.kr."))</f>
        <v/>
      </c>
      <c r="F62" s="25" t="inlineStr">
        <is>
          <t>Verificerer at sum(Anlæg+Omsætning) matcher Assets-totalen.</t>
        </is>
      </c>
    </row>
    <row r="63">
      <c r="A63" s="23" t="inlineStr">
        <is>
          <t>Passiver i alt = fsa:LiabilitiesAndEquity</t>
        </is>
      </c>
      <c r="B63" s="31">
        <f>IF('balance_raw'!$F$59="","—",IF(ABS(B25-'balance_raw'!$F$59)&lt;=1,"✓ OK","❌ "&amp;TEXT(B25-'balance_raw'!$F$59,"+#,##0;-#,##0")&amp;" t.kr."))</f>
        <v/>
      </c>
      <c r="C63" s="31">
        <f>IF('balance_raw'!$E$59="","—",IF(ABS(C25-'balance_raw'!$E$59)&lt;=1,"✓ OK","❌ "&amp;TEXT(C25-'balance_raw'!$E$59,"+#,##0;-#,##0")&amp;" t.kr."))</f>
        <v/>
      </c>
      <c r="D63" s="31">
        <f>IF('balance_raw'!$D$59="","—",IF(ABS(D25-'balance_raw'!$D$59)&lt;=1,"✓ OK","❌ "&amp;TEXT(D25-'balance_raw'!$D$59,"+#,##0;-#,##0")&amp;" t.kr."))</f>
        <v/>
      </c>
      <c r="F63" s="25" t="inlineStr">
        <is>
          <t>Verificerer at sum(EK+Forpligtelser) matcher Passiver-totalen.</t>
        </is>
      </c>
    </row>
    <row r="64">
      <c r="A64" s="23" t="inlineStr">
        <is>
          <t>Aktiver i alt = Passiver i alt</t>
        </is>
      </c>
      <c r="B64" s="31">
        <f>IF(ABS(B21-B25)&lt;=1,"✓ OK","❌ "&amp;TEXT(B21-B25,"+#,##0;-#,##0")&amp;" t.kr.")</f>
        <v/>
      </c>
      <c r="C64" s="31">
        <f>IF(ABS(C21-C25)&lt;=1,"✓ OK","❌ "&amp;TEXT(C21-C25,"+#,##0;-#,##0")&amp;" t.kr.")</f>
        <v/>
      </c>
      <c r="D64" s="31">
        <f>IF(ABS(D21-D25)&lt;=1,"✓ OK","❌ "&amp;TEXT(D21-D25,"+#,##0;-#,##0")&amp;" t.kr.")</f>
        <v/>
      </c>
      <c r="F64" s="25" t="inlineStr">
        <is>
          <t>Balance-identitet på arket selv. Skal altid være 0 differance.</t>
        </is>
      </c>
    </row>
    <row r="65">
      <c r="A65" s="23" t="inlineStr">
        <is>
          <t>Bruttoresultat (beregnet) = fsa:GrossResult</t>
        </is>
      </c>
      <c r="B65" s="31">
        <f>IF('res_raw'!$F$4="","—",IF(ABS(B7-'res_raw'!$F$4)&lt;=1,"✓ OK","❌ "&amp;TEXT(B7-'res_raw'!$F$4,"+#,##0;-#,##0")&amp;" t.kr."))</f>
        <v/>
      </c>
      <c r="C65" s="31">
        <f>IF('res_raw'!$E$4="","—",IF(ABS(C7-'res_raw'!$E$4)&lt;=1,"✓ OK","❌ "&amp;TEXT(C7-'res_raw'!$E$4,"+#,##0;-#,##0")&amp;" t.kr."))</f>
        <v/>
      </c>
      <c r="D65" s="31">
        <f>IF('res_raw'!$D$4="","—",IF(ABS(D7-'res_raw'!$D$4)&lt;=1,"✓ OK","❌ "&amp;TEXT(D7-'res_raw'!$D$4,"+#,##0;-#,##0")&amp;" t.kr."))</f>
        <v/>
      </c>
      <c r="F65" s="25" t="inlineStr">
        <is>
          <t>Hvis Nettoomsætning eller omkostninger mangler, vil sumberegnet bruttoresultat afvige.</t>
        </is>
      </c>
    </row>
    <row r="66">
      <c r="A66" s="23" t="inlineStr">
        <is>
          <t>EBIT (beregnet) = fsa:ProfitLossFromOrdinaryOperatingActivities</t>
        </is>
      </c>
      <c r="B66" s="31">
        <f>IF('res_raw'!$F$11="","—",IF(ABS(B13-'res_raw'!$F$11)&lt;=1,"✓ OK","❌ "&amp;TEXT(B13-'res_raw'!$F$11,"+#,##0;-#,##0")&amp;" t.kr."))</f>
        <v/>
      </c>
      <c r="C66" s="31">
        <f>IF('res_raw'!$E$11="","—",IF(ABS(C13-'res_raw'!$E$11)&lt;=1,"✓ OK","❌ "&amp;TEXT(C13-'res_raw'!$E$11,"+#,##0;-#,##0")&amp;" t.kr."))</f>
        <v/>
      </c>
      <c r="D66" s="31">
        <f>IF('res_raw'!$D$11="","—",IF(ABS(D13-'res_raw'!$D$11)&lt;=1,"✓ OK","❌ "&amp;TEXT(D13-'res_raw'!$D$11,"+#,##0;-#,##0")&amp;" t.kr."))</f>
        <v/>
      </c>
      <c r="F66" s="25" t="inlineStr">
        <is>
          <t>Verificerer at sumberegnet EBIT matcher det rapporterede.</t>
        </is>
      </c>
    </row>
    <row r="67">
      <c r="A67" s="23" t="inlineStr">
        <is>
          <t>EBT (beregnet) = fsa:ProfitLossFromOrdinaryActivitiesBeforeTax</t>
        </is>
      </c>
      <c r="B67" s="31">
        <f>IF('res_raw'!$F$16="","—",IF(ABS(B16-'res_raw'!$F$16)&lt;=1,"✓ OK","❌ "&amp;TEXT(B16-'res_raw'!$F$16,"+#,##0;-#,##0")&amp;" t.kr."))</f>
        <v/>
      </c>
      <c r="C67" s="31">
        <f>IF('res_raw'!$E$16="","—",IF(ABS(C16-'res_raw'!$E$16)&lt;=1,"✓ OK","❌ "&amp;TEXT(C16-'res_raw'!$E$16,"+#,##0;-#,##0")&amp;" t.kr."))</f>
        <v/>
      </c>
      <c r="D67" s="31">
        <f>IF('res_raw'!$D$16="","—",IF(ABS(D16-'res_raw'!$D$16)&lt;=1,"✓ OK","❌ "&amp;TEXT(D16-'res_raw'!$D$16,"+#,##0;-#,##0")&amp;" t.kr."))</f>
        <v/>
      </c>
      <c r="F67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5" t="inlineStr">
        <is>
          <t>pera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6" t="inlineStr">
        <is>
          <t>Øvrige (ukendt)</t>
        </is>
      </c>
      <c r="B3" s="36" t="inlineStr">
        <is>
          <t>ifrs-full:CurrentInvestments</t>
        </is>
      </c>
      <c r="C3" s="36" t="inlineStr">
        <is>
          <t>ifrs-full:CurrentInvestments</t>
        </is>
      </c>
      <c r="D3" s="37" t="n">
        <v>603000</v>
      </c>
      <c r="E3" s="37" t="n">
        <v>499000</v>
      </c>
      <c r="F3" s="37" t="n">
        <v>485000</v>
      </c>
      <c r="G3" s="37" t="n">
        <v>479000</v>
      </c>
      <c r="H3" s="37" t="n">
        <v>465000</v>
      </c>
      <c r="I3" s="38" t="inlineStr">
        <is>
          <t>Ingen forklaring tilgængelig.</t>
        </is>
      </c>
    </row>
    <row r="4" ht="30" customHeight="1">
      <c r="A4" s="39" t="inlineStr">
        <is>
          <t>Øvrige (ukendt)</t>
        </is>
      </c>
      <c r="B4" s="39" t="inlineStr">
        <is>
          <t>ifrs-full:DividendsReceivedFromInvestmentsAccountedForUsingEquityMethodClassifiedAsInvestingActivities</t>
        </is>
      </c>
      <c r="C4" s="39" t="inlineStr">
        <is>
          <t>ifrs-full:DividendsReceivedFromInvestmentsAccountedForUsingEquityMethodClassifiedAsInvestingActivities</t>
        </is>
      </c>
      <c r="D4" s="40" t="n"/>
      <c r="E4" s="40" t="n"/>
      <c r="F4" s="40" t="n"/>
      <c r="G4" s="40" t="n"/>
      <c r="H4" s="40" t="n"/>
      <c r="I4" s="41" t="inlineStr">
        <is>
          <t>Ingen forklaring tilgængelig.</t>
        </is>
      </c>
    </row>
    <row r="5" ht="30" customHeight="1">
      <c r="A5" s="36" t="inlineStr">
        <is>
          <t>Øvrige (ukendt)</t>
        </is>
      </c>
      <c r="B5" s="36" t="inlineStr">
        <is>
          <t>ifrs-full:DividendsRecognisedAsDistributionsToNoncontrollingInterests</t>
        </is>
      </c>
      <c r="C5" s="36" t="inlineStr">
        <is>
          <t>ifrs-full:DividendsRecognisedAsDistributionsToNoncontrollingInterests</t>
        </is>
      </c>
      <c r="D5" s="37" t="n">
        <v>0</v>
      </c>
      <c r="E5" s="37" t="n">
        <v>1000</v>
      </c>
      <c r="F5" s="37" t="n">
        <v>4000</v>
      </c>
      <c r="G5" s="37" t="n">
        <v>1000</v>
      </c>
      <c r="H5" s="37" t="n">
        <v>0</v>
      </c>
      <c r="I5" s="38" t="inlineStr">
        <is>
          <t>Ingen forklaring tilgængelig.</t>
        </is>
      </c>
    </row>
    <row r="6" ht="30" customHeight="1">
      <c r="A6" s="39" t="inlineStr">
        <is>
          <t>Øvrige (ukendt)</t>
        </is>
      </c>
      <c r="B6" s="39" t="inlineStr">
        <is>
          <t>ifrs-full:ImpairmentLossRecognisedInProfitOrLossGoodwill</t>
        </is>
      </c>
      <c r="C6" s="39" t="inlineStr">
        <is>
          <t>ifrs-full:ImpairmentLossRecognisedInProfitOrLossGoodwill</t>
        </is>
      </c>
      <c r="D6" s="40" t="n"/>
      <c r="E6" s="40" t="n"/>
      <c r="F6" s="40" t="n"/>
      <c r="G6" s="40" t="n"/>
      <c r="H6" s="40" t="n"/>
      <c r="I6" s="41" t="inlineStr">
        <is>
          <t>Ingen forklaring tilgængelig.</t>
        </is>
      </c>
    </row>
    <row r="7" ht="30" customHeight="1">
      <c r="A7" s="36" t="inlineStr">
        <is>
          <t>Øvrige (ukendt)</t>
        </is>
      </c>
      <c r="B7" s="36" t="inlineStr">
        <is>
          <t>ifrs-full:PaymentsFromChangesInOwnershipInterestsInSubsidiaries</t>
        </is>
      </c>
      <c r="C7" s="36" t="inlineStr">
        <is>
          <t>ifrs-full:PaymentsFromChangesInOwnershipInterestsInSubsidiaries</t>
        </is>
      </c>
      <c r="D7" s="37" t="n"/>
      <c r="E7" s="37" t="n"/>
      <c r="F7" s="37" t="n"/>
      <c r="G7" s="37" t="n"/>
      <c r="H7" s="37" t="n">
        <v>34000</v>
      </c>
      <c r="I7" s="38" t="inlineStr">
        <is>
          <t>Ingen forklaring tilgængelig.</t>
        </is>
      </c>
    </row>
    <row r="8" ht="30" customHeight="1">
      <c r="A8" s="39" t="inlineStr">
        <is>
          <t>Øvrige (ukendt)</t>
        </is>
      </c>
      <c r="B8" s="39" t="inlineStr">
        <is>
          <t>ifrs-full:ReserveOfExchangeDifferencesOnTranslation</t>
        </is>
      </c>
      <c r="C8" s="39" t="inlineStr">
        <is>
          <t>ifrs-full:ReserveOfExchangeDifferencesOnTranslation</t>
        </is>
      </c>
      <c r="D8" s="40" t="n">
        <v>-123000</v>
      </c>
      <c r="E8" s="40" t="n">
        <v>-148000</v>
      </c>
      <c r="F8" s="40" t="n">
        <v>-149000</v>
      </c>
      <c r="G8" s="40" t="n">
        <v>-131000</v>
      </c>
      <c r="H8" s="40" t="n">
        <v>-114000</v>
      </c>
      <c r="I8" s="41" t="inlineStr">
        <is>
          <t>Ingen forklaring tilgængelig.</t>
        </is>
      </c>
    </row>
    <row r="9" ht="30" customHeight="1">
      <c r="A9" s="36" t="inlineStr">
        <is>
          <t>Øvrige (ukendt)</t>
        </is>
      </c>
      <c r="B9" s="36" t="inlineStr">
        <is>
          <t>ifrs-full:TradeAndOtherCurrentReceivablesDueFromRelatedParties</t>
        </is>
      </c>
      <c r="C9" s="36" t="inlineStr">
        <is>
          <t>ifrs-full:TradeAndOtherCurrentReceivablesDueFromRelatedParties</t>
        </is>
      </c>
      <c r="D9" s="37" t="n">
        <v>22000</v>
      </c>
      <c r="E9" s="37" t="n">
        <v>5000</v>
      </c>
      <c r="F9" s="37" t="n">
        <v>0</v>
      </c>
      <c r="G9" s="37" t="n"/>
      <c r="H9" s="37" t="n"/>
      <c r="I9" s="38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2026-10-01T22:19:12Z</dcterms:created>
  <dcterms:modified xmlns:dcterms="http://purl.org/dc/terms/" xmlns:xsi="http://www.w3.org/2001/XMLSchema-instance" xsi:type="dcterms:W3CDTF">2026-10-01T22:19:13Z</dcterms:modified>
</cp:coreProperties>
</file>