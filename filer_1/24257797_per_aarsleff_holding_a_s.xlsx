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7" t="inlineStr">
        <is>
          <t>Resultat af primær drift</t>
        </is>
      </c>
      <c r="B13" s="8">
        <f>'res_raw'!$B$11</f>
        <v/>
      </c>
      <c r="C13" s="8">
        <f>'res_raw'!$C$11</f>
        <v/>
      </c>
      <c r="D13" s="8">
        <f>'res_raw'!$D$11</f>
        <v/>
      </c>
      <c r="E13" s="8">
        <f>'res_raw'!$E$11</f>
        <v/>
      </c>
      <c r="F13" s="8">
        <f>'res_raw'!$F$11</f>
        <v/>
      </c>
      <c r="G13" t="inlineStr"/>
      <c r="H13" s="9">
        <f>IFERROR(B13/$B$13*100,"")</f>
        <v/>
      </c>
      <c r="I13" s="9">
        <f>IFERROR(C13/$B$13*100,"")</f>
        <v/>
      </c>
      <c r="J13" s="9">
        <f>IFERROR(D13/$B$13*100,"")</f>
        <v/>
      </c>
      <c r="K13" s="9">
        <f>IFERROR(E13/$B$13*100,"")</f>
        <v/>
      </c>
      <c r="L13" s="9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indtægter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7" t="inlineStr">
        <is>
          <t>Finansielle poster, netto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7" t="inlineStr">
        <is>
          <t>Resultat før skat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19" ht="16" customHeight="1">
      <c r="A19" s="10" t="inlineStr">
        <is>
          <t>Skat af årets resultat</t>
        </is>
      </c>
      <c r="B19" s="11">
        <f>'res_raw'!$B$17</f>
        <v/>
      </c>
      <c r="C19" s="11">
        <f>'res_raw'!$C$17</f>
        <v/>
      </c>
      <c r="D19" s="11">
        <f>'res_raw'!$D$17</f>
        <v/>
      </c>
      <c r="E19" s="11">
        <f>'res_raw'!$E$17</f>
        <v/>
      </c>
      <c r="F19" s="11">
        <f>'res_raw'!$F$17</f>
        <v/>
      </c>
      <c r="G19" t="inlineStr"/>
      <c r="H19" s="12">
        <f>IFERROR(B19/$B$19*100,"")</f>
        <v/>
      </c>
      <c r="I19" s="12">
        <f>IFERROR(C19/$B$19*100,"")</f>
        <v/>
      </c>
      <c r="J19" s="12">
        <f>IFERROR(D19/$B$19*100,"")</f>
        <v/>
      </c>
      <c r="K19" s="12">
        <f>IFERROR(E19/$B$19*100,"")</f>
        <v/>
      </c>
      <c r="L19" s="12">
        <f>IFERROR(F19/$B$19*100,"")</f>
        <v/>
      </c>
    </row>
    <row r="20" ht="16" customHeight="1">
      <c r="A20" s="7" t="inlineStr">
        <is>
          <t>Årets resultat</t>
        </is>
      </c>
      <c r="B20" s="8">
        <f>'res_raw'!$B$18</f>
        <v/>
      </c>
      <c r="C20" s="8">
        <f>'res_raw'!$C$18</f>
        <v/>
      </c>
      <c r="D20" s="8">
        <f>'res_raw'!$D$18</f>
        <v/>
      </c>
      <c r="E20" s="8">
        <f>'res_raw'!$E$18</f>
        <v/>
      </c>
      <c r="F20" s="8">
        <f>'res_raw'!$F$18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Udviklingsprojekter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Goodwill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Immaterielle anlægsaktiver</t>
        </is>
      </c>
      <c r="B26" s="8">
        <f>'balance_raw'!$B$5</f>
        <v/>
      </c>
      <c r="C26" s="8">
        <f>'balance_raw'!$C$5</f>
        <v/>
      </c>
      <c r="D26" s="8">
        <f>'balance_raw'!$D$5</f>
        <v/>
      </c>
      <c r="E26" s="8">
        <f>'balance_raw'!$E$5</f>
        <v/>
      </c>
      <c r="F26" s="8">
        <f>'balance_raw'!$F$5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Grunde og bygninger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Driftsmateriel og inventar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Forudbetaling og anlægsaktiver under opførelse</t>
        </is>
      </c>
      <c r="B31" s="11">
        <f>'balance_raw'!$B$10</f>
        <v/>
      </c>
      <c r="C31" s="11">
        <f>'balance_raw'!$C$10</f>
        <v/>
      </c>
      <c r="D31" s="11">
        <f>'balance_raw'!$D$10</f>
        <v/>
      </c>
      <c r="E31" s="11">
        <f>'balance_raw'!$E$10</f>
        <v/>
      </c>
      <c r="F31" s="11">
        <f>'balance_raw'!$F$10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Materielle anlægsaktiver</t>
        </is>
      </c>
      <c r="B32" s="8">
        <f>'balance_raw'!$B$11</f>
        <v/>
      </c>
      <c r="C32" s="8">
        <f>'balance_raw'!$C$11</f>
        <v/>
      </c>
      <c r="D32" s="8">
        <f>'balance_raw'!$D$11</f>
        <v/>
      </c>
      <c r="E32" s="8">
        <f>'balance_raw'!$E$11</f>
        <v/>
      </c>
      <c r="F32" s="8">
        <f>'balance_raw'!$F$11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Kapitalandele, dattervirksomheder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Finansielle anlægsaktiver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Anlægsaktiver</t>
        </is>
      </c>
      <c r="B36" s="8">
        <f>'balance_raw'!$B$15</f>
        <v/>
      </c>
      <c r="C36" s="8">
        <f>'balance_raw'!$C$15</f>
        <v/>
      </c>
      <c r="D36" s="8">
        <f>'balance_raw'!$D$15</f>
        <v/>
      </c>
      <c r="E36" s="8">
        <f>'balance_raw'!$E$15</f>
        <v/>
      </c>
      <c r="F36" s="8">
        <f>'balance_raw'!$F$15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Råvarer og hjælpematerialer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Færdigvarer og handelsvarer</t>
        </is>
      </c>
      <c r="B39" s="11">
        <f>'balance_raw'!$B$18</f>
        <v/>
      </c>
      <c r="C39" s="11">
        <f>'balance_raw'!$C$18</f>
        <v/>
      </c>
      <c r="D39" s="11">
        <f>'balance_raw'!$D$18</f>
        <v/>
      </c>
      <c r="E39" s="11">
        <f>'balance_raw'!$E$18</f>
        <v/>
      </c>
      <c r="F39" s="11">
        <f>'balance_raw'!$F$18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Varebeholdninger</t>
        </is>
      </c>
      <c r="B40" s="8">
        <f>'balance_raw'!$B$19</f>
        <v/>
      </c>
      <c r="C40" s="8">
        <f>'balance_raw'!$C$19</f>
        <v/>
      </c>
      <c r="D40" s="8">
        <f>'balance_raw'!$D$19</f>
        <v/>
      </c>
      <c r="E40" s="8">
        <f>'balance_raw'!$E$19</f>
        <v/>
      </c>
      <c r="F40" s="8">
        <f>'balance_raw'!$F$19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Tilgodehavender fra salg og tjenesteydelser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Andre tilgodehavender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Udskudt skatteaktiv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Kortfristede skattetilgodehavender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Tilgodehavender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Værdipapirer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Omsætningsaktiver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7" t="inlineStr">
        <is>
          <t>Aktiver</t>
        </is>
      </c>
      <c r="B52" s="8">
        <f>'balance_raw'!$B$31</f>
        <v/>
      </c>
      <c r="C52" s="8">
        <f>'balance_raw'!$C$31</f>
        <v/>
      </c>
      <c r="D52" s="8">
        <f>'balance_raw'!$D$31</f>
        <v/>
      </c>
      <c r="E52" s="8">
        <f>'balance_raw'!$E$31</f>
        <v/>
      </c>
      <c r="F52" s="8">
        <f>'balance_raw'!$F$31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10" t="inlineStr">
        <is>
          <t>Selskabskapital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udviklingsomkostninger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Andre reserver</t>
        </is>
      </c>
      <c r="B59" s="11">
        <f>'balance_raw'!$B$36</f>
        <v/>
      </c>
      <c r="C59" s="11">
        <f>'balance_raw'!$C$36</f>
        <v/>
      </c>
      <c r="D59" s="11">
        <f>'balance_raw'!$D$36</f>
        <v/>
      </c>
      <c r="E59" s="11">
        <f>'balance_raw'!$E$36</f>
        <v/>
      </c>
      <c r="F59" s="11">
        <f>'balance_raw'!$F$36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Egenkapital i alt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Hensatte forpligtelser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lån</t>
        </is>
      </c>
      <c r="B65" s="11">
        <f>'balance_raw'!$B$42</f>
        <v/>
      </c>
      <c r="C65" s="11">
        <f>'balance_raw'!$C$42</f>
        <v/>
      </c>
      <c r="D65" s="11">
        <f>'balance_raw'!$D$42</f>
        <v/>
      </c>
      <c r="E65" s="11">
        <f>'balance_raw'!$E$42</f>
        <v/>
      </c>
      <c r="F65" s="11">
        <f>'balance_raw'!$F$42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Anden gæld (langfristet)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Langfristede gældsforpligtelser</t>
        </is>
      </c>
      <c r="B68" s="8">
        <f>'balance_raw'!$B$45</f>
        <v/>
      </c>
      <c r="C68" s="8">
        <f>'balance_raw'!$C$45</f>
        <v/>
      </c>
      <c r="D68" s="8">
        <f>'balance_raw'!$D$45</f>
        <v/>
      </c>
      <c r="E68" s="8">
        <f>'balance_raw'!$E$45</f>
        <v/>
      </c>
      <c r="F68" s="8">
        <f>'balance_raw'!$F$45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10" t="inlineStr">
        <is>
          <t>Ansvarlig lånekapital (kortfristet)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Kreditinstitutter</t>
        </is>
      </c>
      <c r="B71" s="11">
        <f>'balance_raw'!$B$48</f>
        <v/>
      </c>
      <c r="C71" s="11">
        <f>'balance_raw'!$C$48</f>
        <v/>
      </c>
      <c r="D71" s="11">
        <f>'balance_raw'!$D$48</f>
        <v/>
      </c>
      <c r="E71" s="11">
        <f>'balance_raw'!$E$48</f>
        <v/>
      </c>
      <c r="F71" s="11">
        <f>'balance_raw'!$F$48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Leverandører af varer og tjenesteydelser</t>
        </is>
      </c>
      <c r="B73" s="11">
        <f>'balance_raw'!$B$50</f>
        <v/>
      </c>
      <c r="C73" s="11">
        <f>'balance_raw'!$C$50</f>
        <v/>
      </c>
      <c r="D73" s="11">
        <f>'balance_raw'!$D$50</f>
        <v/>
      </c>
      <c r="E73" s="11">
        <f>'balance_raw'!$E$50</f>
        <v/>
      </c>
      <c r="F73" s="11">
        <f>'balance_raw'!$F$50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selskabsdeltagere og ledelse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tilknyttede virksomheder vedr. selskabsskat</t>
        </is>
      </c>
      <c r="B77" s="11">
        <f>'balance_raw'!$B$54</f>
        <v/>
      </c>
      <c r="C77" s="11">
        <f>'balance_raw'!$C$54</f>
        <v/>
      </c>
      <c r="D77" s="11">
        <f>'balance_raw'!$D$54</f>
        <v/>
      </c>
      <c r="E77" s="11">
        <f>'balance_raw'!$E$54</f>
        <v/>
      </c>
      <c r="F77" s="11">
        <f>'balance_raw'!$F$54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Periodeafgrænsningsposter (passiver)</t>
        </is>
      </c>
      <c r="B79" s="11">
        <f>'balance_raw'!$B$56</f>
        <v/>
      </c>
      <c r="C79" s="11">
        <f>'balance_raw'!$C$56</f>
        <v/>
      </c>
      <c r="D79" s="11">
        <f>'balance_raw'!$D$56</f>
        <v/>
      </c>
      <c r="E79" s="11">
        <f>'balance_raw'!$E$56</f>
        <v/>
      </c>
      <c r="F79" s="11">
        <f>'balance_raw'!$F$56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7" t="inlineStr">
        <is>
          <t>Kortfristede gældsforpligtelser</t>
        </is>
      </c>
      <c r="B80" s="8">
        <f>'balance_raw'!$B$57</f>
        <v/>
      </c>
      <c r="C80" s="8">
        <f>'balance_raw'!$C$57</f>
        <v/>
      </c>
      <c r="D80" s="8">
        <f>'balance_raw'!$D$57</f>
        <v/>
      </c>
      <c r="E80" s="8">
        <f>'balance_raw'!$E$57</f>
        <v/>
      </c>
      <c r="F80" s="8">
        <f>'balance_raw'!$F$57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Gældsforpligtelser</t>
        </is>
      </c>
      <c r="B81" s="8">
        <f>'balance_raw'!$B$58</f>
        <v/>
      </c>
      <c r="C81" s="8">
        <f>'balance_raw'!$C$58</f>
        <v/>
      </c>
      <c r="D81" s="8">
        <f>'balance_raw'!$D$58</f>
        <v/>
      </c>
      <c r="E81" s="8">
        <f>'balance_raw'!$E$58</f>
        <v/>
      </c>
      <c r="F81" s="8">
        <f>'balance_raw'!$F$58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7" t="inlineStr">
        <is>
          <t>Passiver</t>
        </is>
      </c>
      <c r="B82" s="8">
        <f>'balance_raw'!$B$59</f>
        <v/>
      </c>
      <c r="C82" s="8">
        <f>'balance_raw'!$C$59</f>
        <v/>
      </c>
      <c r="D82" s="8">
        <f>'balance_raw'!$D$59</f>
        <v/>
      </c>
      <c r="E82" s="8">
        <f>'balance_raw'!$E$59</f>
        <v/>
      </c>
      <c r="F82" s="8">
        <f>'balance_raw'!$F$59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Gns. antal medarbejdere</t>
        </is>
      </c>
      <c r="B85" s="11">
        <f>'res_raw'!$B$19</f>
        <v/>
      </c>
      <c r="C85" s="11">
        <f>'res_raw'!$C$19</f>
        <v/>
      </c>
      <c r="D85" s="11">
        <f>'res_raw'!$D$19</f>
        <v/>
      </c>
      <c r="E85" s="11">
        <f>'res_raw'!$E$19</f>
        <v/>
      </c>
      <c r="F85" s="11">
        <f>'res_raw'!$F$19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10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10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10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10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10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10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eksterne omkostninger</t>
        </is>
      </c>
      <c r="B10" s="17" t="n">
        <v>1052000</v>
      </c>
      <c r="C10" s="17" t="n">
        <v>1260000</v>
      </c>
      <c r="D10" s="17" t="n">
        <v>1510000</v>
      </c>
      <c r="E10" s="17" t="n">
        <v>1592000</v>
      </c>
      <c r="F10" s="17" t="n">
        <v>1638000</v>
      </c>
    </row>
    <row r="11">
      <c r="A11" s="15" t="inlineStr">
        <is>
          <t>Resultat af primær drift</t>
        </is>
      </c>
      <c r="B11" s="17" t="n">
        <v>644000</v>
      </c>
      <c r="C11" s="17" t="n">
        <v>727000</v>
      </c>
      <c r="D11" s="17" t="n">
        <v>1078000</v>
      </c>
      <c r="E11" s="17" t="n">
        <v>1101000</v>
      </c>
      <c r="F11" s="17" t="n">
        <v>1177000</v>
      </c>
    </row>
    <row r="12">
      <c r="A12" s="16" t="inlineStr">
        <is>
          <t>Indtægter af kapitalandele, dattervirksomheder</t>
        </is>
      </c>
      <c r="B12" s="17" t="n">
        <v>11000</v>
      </c>
      <c r="C12" s="17" t="n">
        <v>15000</v>
      </c>
      <c r="D12" s="17" t="n">
        <v>9000</v>
      </c>
      <c r="E12" s="17" t="n">
        <v>9000</v>
      </c>
      <c r="F12" s="17" t="n">
        <v>0</v>
      </c>
    </row>
    <row r="13">
      <c r="A13" s="16" t="inlineStr">
        <is>
          <t>Finansielle indtægter</t>
        </is>
      </c>
      <c r="B13" s="17" t="n">
        <v>12000</v>
      </c>
      <c r="C13" s="17" t="n">
        <v>23000</v>
      </c>
      <c r="D13" s="17" t="n">
        <v>35000</v>
      </c>
      <c r="E13" s="17" t="n">
        <v>93000</v>
      </c>
      <c r="F13" s="17" t="n">
        <v>86000</v>
      </c>
    </row>
    <row r="14">
      <c r="A14" s="16" t="inlineStr">
        <is>
          <t>Finansielle omkostninger</t>
        </is>
      </c>
      <c r="B14" s="17" t="n">
        <v>43000</v>
      </c>
      <c r="C14" s="17" t="n">
        <v>67000</v>
      </c>
      <c r="D14" s="17" t="n">
        <v>71000</v>
      </c>
      <c r="E14" s="17" t="n">
        <v>106000</v>
      </c>
      <c r="F14" s="17" t="n">
        <v>71000</v>
      </c>
    </row>
    <row r="15">
      <c r="A15" s="15" t="inlineStr">
        <is>
          <t>Finansielle poster, netto</t>
        </is>
      </c>
      <c r="B15" s="17" t="n">
        <v>-31000</v>
      </c>
      <c r="C15" s="17" t="n">
        <v>-44000</v>
      </c>
      <c r="D15" s="17" t="n">
        <v>-36000</v>
      </c>
      <c r="E15" s="17" t="n">
        <v>-13000</v>
      </c>
      <c r="F15" s="17" t="n">
        <v>15000</v>
      </c>
    </row>
    <row r="16">
      <c r="A16" s="15" t="inlineStr">
        <is>
          <t>Resultat før skat</t>
        </is>
      </c>
      <c r="B16" s="17" t="n">
        <v>613000</v>
      </c>
      <c r="C16" s="17" t="n">
        <v>683000</v>
      </c>
      <c r="D16" s="17" t="n">
        <v>1042000</v>
      </c>
      <c r="E16" s="17" t="n">
        <v>1088000</v>
      </c>
      <c r="F16" s="17" t="n">
        <v>1192000</v>
      </c>
    </row>
    <row r="17">
      <c r="A17" s="16" t="inlineStr">
        <is>
          <t>Skat af årets resultat</t>
        </is>
      </c>
      <c r="B17" s="17" t="n">
        <v>143000</v>
      </c>
      <c r="C17" s="17" t="n">
        <v>166000</v>
      </c>
      <c r="D17" s="17" t="n">
        <v>244000</v>
      </c>
      <c r="E17" s="17" t="n">
        <v>262000</v>
      </c>
      <c r="F17" s="17" t="n">
        <v>296000</v>
      </c>
    </row>
    <row r="18">
      <c r="A18" s="15" t="inlineStr">
        <is>
          <t>Årets resultat</t>
        </is>
      </c>
      <c r="B18" s="17" t="n">
        <v>470000</v>
      </c>
      <c r="C18" s="17" t="n">
        <v>517000</v>
      </c>
      <c r="D18" s="17" t="n">
        <v>798000</v>
      </c>
      <c r="E18" s="17" t="n">
        <v>826000</v>
      </c>
      <c r="F18" s="17" t="n">
        <v>896000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738000</v>
      </c>
      <c r="C20" s="17" t="n">
        <v>870000</v>
      </c>
      <c r="D20" s="17" t="n">
        <v>892000</v>
      </c>
      <c r="E20" s="17" t="n">
        <v>817000</v>
      </c>
      <c r="F20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IF(ABS((SUM(B7:B12))-'res_raw'!$F$11)&lt;=2,SUM(B7:B12),'res_raw'!$F$11)</f>
        <v/>
      </c>
      <c r="C13" s="30">
        <f>IF(ABS((SUM(C7:C12))-'res_raw'!$E$11)&lt;=2,SUM(C7:C12),'res_raw'!$E$11)</f>
        <v/>
      </c>
      <c r="D13" s="30">
        <f>IF(ABS((SUM(D7:D12))-'res_raw'!$D$11)&lt;=2,SUM(D7:D12),'res_raw'!$D$11)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-'res_raw'!$F$14</f>
        <v/>
      </c>
      <c r="C15" s="27">
        <f>-'res_raw'!$E$14</f>
        <v/>
      </c>
      <c r="D15" s="27">
        <f>-'res_raw'!$D$14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IF(ABS((SUM(B13:B15))-'res_raw'!$F$16)&lt;=2,SUM(B13:B15),'res_raw'!$F$16)</f>
        <v/>
      </c>
      <c r="C16" s="30">
        <f>IF(ABS((SUM(C13:C15))-'res_raw'!$E$16)&lt;=2,SUM(C13:C15),'res_raw'!$E$16)</f>
        <v/>
      </c>
      <c r="D16" s="30">
        <f>IF(ABS((SUM(D13:D15))-'res_raw'!$D$16)&lt;=2,SUM(D13:D15),'res_raw'!$D$16)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IF('balance_raw'!$F$31="","—",IF(ABS(B21-'balance_raw'!$F$31)&lt;=1,"✓ OK","❌ "&amp;TEXT(B21-'balance_raw'!$F$31,"+#,##0;-#,##0")&amp;" t.kr."))</f>
        <v/>
      </c>
      <c r="C62" s="31">
        <f>IF('balance_raw'!$E$31="","—",IF(ABS(C21-'balance_raw'!$E$31)&lt;=1,"✓ OK","❌ "&amp;TEXT(C21-'balance_raw'!$E$31,"+#,##0;-#,##0")&amp;" t.kr."))</f>
        <v/>
      </c>
      <c r="D62" s="31">
        <f>IF('balance_raw'!$D$31="","—",IF(ABS(D21-'balance_raw'!$D$31)&lt;=1,"✓ OK","❌ "&amp;TEXT(D21-'balance_raw'!$D$31,"+#,##0;-#,##0")&amp;"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IF('balance_raw'!$F$59="","—",IF(ABS(B25-'balance_raw'!$F$59)&lt;=1,"✓ OK","❌ "&amp;TEXT(B25-'balance_raw'!$F$59,"+#,##0;-#,##0")&amp;" t.kr."))</f>
        <v/>
      </c>
      <c r="C63" s="31">
        <f>IF('balance_raw'!$E$59="","—",IF(ABS(C25-'balance_raw'!$E$59)&lt;=1,"✓ OK","❌ "&amp;TEXT(C25-'balance_raw'!$E$59,"+#,##0;-#,##0")&amp;" t.kr."))</f>
        <v/>
      </c>
      <c r="D63" s="31">
        <f>IF('balance_raw'!$D$59="","—",IF(ABS(D25-'balance_raw'!$D$59)&lt;=1,"✓ OK","❌ "&amp;TEXT(D25-'balance_raw'!$D$59,"+#,##0;-#,##0")&amp;"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IF('res_raw'!$F$11="","—",IF(ABS(B13-'res_raw'!$F$11)&lt;=1,"✓ OK","❌ "&amp;TEXT(B13-'res_raw'!$F$11,"+#,##0;-#,##0")&amp;" t.kr."))</f>
        <v/>
      </c>
      <c r="C66" s="31">
        <f>IF('res_raw'!$E$11="","—",IF(ABS(C13-'res_raw'!$E$11)&lt;=1,"✓ OK","❌ "&amp;TEXT(C13-'res_raw'!$E$11,"+#,##0;-#,##0")&amp;" t.kr."))</f>
        <v/>
      </c>
      <c r="D66" s="31">
        <f>IF('res_raw'!$D$11="","—",IF(ABS(D13-'res_raw'!$D$11)&lt;=1,"✓ OK","❌ "&amp;TEXT(D13-'res_raw'!$D$11,"+#,##0;-#,##0")&amp;"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IF('res_raw'!$F$16="","—",IF(ABS(B16-'res_raw'!$F$16)&lt;=1,"✓ OK","❌ "&amp;TEXT(B16-'res_raw'!$F$16,"+#,##0;-#,##0")&amp;" t.kr."))</f>
        <v/>
      </c>
      <c r="C67" s="31">
        <f>IF('res_raw'!$E$16="","—",IF(ABS(C16-'res_raw'!$E$16)&lt;=1,"✓ OK","❌ "&amp;TEXT(C16-'res_raw'!$E$16,"+#,##0;-#,##0")&amp;" t.kr."))</f>
        <v/>
      </c>
      <c r="D67" s="31">
        <f>IF('res_raw'!$D$16="","—",IF(ABS(D16-'res_raw'!$D$16)&lt;=1,"✓ OK","❌ "&amp;TEXT(D16-'res_raw'!$D$16,"+#,##0;-#,##0")&amp;"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pera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ifrs-full:CurrentInvestments</t>
        </is>
      </c>
      <c r="C3" s="36" t="inlineStr">
        <is>
          <t>ifrs-full:CurrentInvestments</t>
        </is>
      </c>
      <c r="D3" s="37" t="n">
        <v>603000</v>
      </c>
      <c r="E3" s="37" t="n">
        <v>499000</v>
      </c>
      <c r="F3" s="37" t="n">
        <v>485000</v>
      </c>
      <c r="G3" s="37" t="n">
        <v>479000</v>
      </c>
      <c r="H3" s="37" t="n">
        <v>465000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ifrs-full:DividendsReceivedFromInvestmentsAccountedForUsingEquityMethodClassifiedAsInvestingActivities</t>
        </is>
      </c>
      <c r="C4" s="39" t="inlineStr">
        <is>
          <t>ifrs-full:DividendsReceivedFromInvestmentsAccountedForUsingEquityMethodClassifiedAsInvestingActivities</t>
        </is>
      </c>
      <c r="D4" s="40" t="n"/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ifrs-full:DividendsRecognisedAsDistributionsToNoncontrollingInterests</t>
        </is>
      </c>
      <c r="C5" s="36" t="inlineStr">
        <is>
          <t>ifrs-full:DividendsRecognisedAsDistributionsToNoncontrollingInterests</t>
        </is>
      </c>
      <c r="D5" s="37" t="n">
        <v>0</v>
      </c>
      <c r="E5" s="37" t="n">
        <v>1000</v>
      </c>
      <c r="F5" s="37" t="n">
        <v>4000</v>
      </c>
      <c r="G5" s="37" t="n">
        <v>1000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ifrs-full:ImpairmentLossRecognisedInProfitOrLossGoodwill</t>
        </is>
      </c>
      <c r="C6" s="39" t="inlineStr">
        <is>
          <t>ifrs-full:ImpairmentLossRecognisedInProfitOrLossGoodwill</t>
        </is>
      </c>
      <c r="D6" s="40" t="n"/>
      <c r="E6" s="40" t="n"/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ifrs-full:PaymentsFromChangesInOwnershipInterestsInSubsidiaries</t>
        </is>
      </c>
      <c r="C7" s="36" t="inlineStr">
        <is>
          <t>ifrs-full:PaymentsFromChangesInOwnershipInterestsInSubsidiaries</t>
        </is>
      </c>
      <c r="D7" s="37" t="n"/>
      <c r="E7" s="37" t="n"/>
      <c r="F7" s="37" t="n"/>
      <c r="G7" s="37" t="n"/>
      <c r="H7" s="37" t="n">
        <v>34000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ifrs-full:ReserveOfExchangeDifferencesOnTranslation</t>
        </is>
      </c>
      <c r="C8" s="39" t="inlineStr">
        <is>
          <t>ifrs-full:ReserveOfExchangeDifferencesOnTranslation</t>
        </is>
      </c>
      <c r="D8" s="40" t="n">
        <v>-123000</v>
      </c>
      <c r="E8" s="40" t="n">
        <v>-148000</v>
      </c>
      <c r="F8" s="40" t="n">
        <v>-149000</v>
      </c>
      <c r="G8" s="40" t="n">
        <v>-131000</v>
      </c>
      <c r="H8" s="40" t="n">
        <v>-114000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ifrs-full:TradeAndOtherCurrentReceivablesDueFromRelatedParties</t>
        </is>
      </c>
      <c r="C9" s="36" t="inlineStr">
        <is>
          <t>ifrs-full:TradeAndOtherCurrentReceivablesDueFromRelatedParties</t>
        </is>
      </c>
      <c r="D9" s="37" t="n">
        <v>22000</v>
      </c>
      <c r="E9" s="37" t="n">
        <v>5000</v>
      </c>
      <c r="F9" s="37" t="n">
        <v>0</v>
      </c>
      <c r="G9" s="37" t="n"/>
      <c r="H9" s="37" t="n"/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2026-10-02T21:57:53Z</dcterms:created>
  <dcterms:modified xmlns:dcterms="http://purl.org/dc/terms/" xmlns:xsi="http://www.w3.org/2001/XMLSchema-instance" xsi:type="dcterms:W3CDTF">2026-10-02T21:57:54Z</dcterms:modified>
</cp:coreProperties>
</file>