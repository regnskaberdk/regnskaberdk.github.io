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'pengestrom_raw_13863385'!$B$2</f>
        <v/>
      </c>
      <c r="C96" s="17">
        <f>'pengestrom_raw_13863385'!$C$2</f>
        <v/>
      </c>
      <c r="D96" s="17">
        <f>'pengestrom_raw_13863385'!$D$2</f>
        <v/>
      </c>
      <c r="E96" s="17">
        <f>'pengestrom_raw_13863385'!$E$2</f>
        <v/>
      </c>
      <c r="F96" s="17">
        <f>'pengestrom_raw_13863385'!$F$2</f>
        <v/>
      </c>
    </row>
    <row r="97">
      <c r="A97" s="16" t="inlineStr">
        <is>
          <t>Pengestrømme fra investeringsaktivitet</t>
        </is>
      </c>
      <c r="B97" s="17">
        <f>'pengestrom_raw_13863385'!$B$3</f>
        <v/>
      </c>
      <c r="C97" s="17">
        <f>'pengestrom_raw_13863385'!$C$3</f>
        <v/>
      </c>
      <c r="D97" s="17">
        <f>'pengestrom_raw_13863385'!$D$3</f>
        <v/>
      </c>
      <c r="E97" s="17">
        <f>'pengestrom_raw_13863385'!$E$3</f>
        <v/>
      </c>
      <c r="F97" s="17">
        <f>'pengestrom_raw_13863385'!$F$3</f>
        <v/>
      </c>
    </row>
    <row r="98">
      <c r="A98" s="16" t="inlineStr">
        <is>
          <t>Pengestrømme fra finansieringsaktivitet</t>
        </is>
      </c>
      <c r="B98" s="17">
        <f>'pengestrom_raw_13863385'!$B$4</f>
        <v/>
      </c>
      <c r="C98" s="17">
        <f>'pengestrom_raw_13863385'!$C$4</f>
        <v/>
      </c>
      <c r="D98" s="17">
        <f>'pengestrom_raw_13863385'!$D$4</f>
        <v/>
      </c>
      <c r="E98" s="17">
        <f>'pengestrom_raw_13863385'!$E$4</f>
        <v/>
      </c>
      <c r="F98" s="17">
        <f>'pengestrom_raw_13863385'!$F$4</f>
        <v/>
      </c>
    </row>
    <row r="99">
      <c r="A99" s="16" t="inlineStr">
        <is>
          <t>Årets pengestrøm (rapporteret)</t>
        </is>
      </c>
      <c r="B99" s="17">
        <f>'pengestrom_raw_13863385'!$B$5</f>
        <v/>
      </c>
      <c r="C99" s="17">
        <f>'pengestrom_raw_13863385'!$C$5</f>
        <v/>
      </c>
      <c r="D99" s="17">
        <f>'pengestrom_raw_13863385'!$D$5</f>
        <v/>
      </c>
      <c r="E99" s="17">
        <f>'pengestrom_raw_13863385'!$E$5</f>
        <v/>
      </c>
      <c r="F99" s="17">
        <f>'pengestrom_raw_13863385'!$F$5</f>
        <v/>
      </c>
    </row>
    <row r="100">
      <c r="A100" s="16" t="inlineStr">
        <is>
          <t>Krydstjek: drift + inv. + fin. = årets pengestrøm</t>
        </is>
      </c>
      <c r="B100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0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0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0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0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Salgs- og distributionsomkostninger</t>
        </is>
      </c>
      <c r="B5" s="17" t="n">
        <v>270702</v>
      </c>
      <c r="C5" s="17" t="n">
        <v>309571</v>
      </c>
      <c r="D5" s="17" t="n">
        <v>421647</v>
      </c>
      <c r="E5" s="17" t="n">
        <v>510656</v>
      </c>
      <c r="F5" s="17" t="n">
        <v>488883</v>
      </c>
    </row>
    <row r="6">
      <c r="A6" s="16" t="inlineStr">
        <is>
          <t>Administrationsomkostninger</t>
        </is>
      </c>
      <c r="B6" s="17" t="n">
        <v>126979</v>
      </c>
      <c r="C6" s="17" t="n">
        <v>140368</v>
      </c>
      <c r="D6" s="17" t="n">
        <v>121356</v>
      </c>
      <c r="E6" s="17" t="n">
        <v>123428</v>
      </c>
      <c r="F6" s="17" t="n">
        <v>188951</v>
      </c>
    </row>
    <row r="7">
      <c r="A7" s="16" t="inlineStr">
        <is>
          <t>Andre driftsindtægter</t>
        </is>
      </c>
      <c r="B7" s="17" t="n">
        <v>777</v>
      </c>
      <c r="C7" s="17" t="n">
        <v>820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255420</v>
      </c>
      <c r="C9" s="17" t="n">
        <v>413562</v>
      </c>
      <c r="D9" s="17" t="n">
        <v>511966</v>
      </c>
      <c r="E9" s="17" t="n">
        <v>548606</v>
      </c>
      <c r="F9" s="17" t="n">
        <v>583529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456</v>
      </c>
      <c r="C11" s="17" t="n">
        <v>229</v>
      </c>
      <c r="D11" s="17" t="n">
        <v>20002</v>
      </c>
      <c r="E11" s="17" t="n">
        <v>9435</v>
      </c>
      <c r="F11" s="17" t="n">
        <v>9682</v>
      </c>
    </row>
    <row r="12">
      <c r="A12" s="16" t="inlineStr">
        <is>
          <t>Finansielle omkostninger</t>
        </is>
      </c>
      <c r="B12" s="17" t="n">
        <v>4837</v>
      </c>
      <c r="C12" s="17" t="n">
        <v>7883</v>
      </c>
      <c r="D12" s="17" t="n">
        <v>7616</v>
      </c>
      <c r="E12" s="17" t="n">
        <v>7531</v>
      </c>
      <c r="F12" s="17" t="n">
        <v>21034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251039</v>
      </c>
      <c r="C14" s="17" t="n">
        <v>405908</v>
      </c>
      <c r="D14" s="17" t="n">
        <v>524352</v>
      </c>
      <c r="E14" s="17" t="n">
        <v>550510</v>
      </c>
      <c r="F14" s="17" t="n">
        <v>572177</v>
      </c>
    </row>
    <row r="15">
      <c r="A15" s="16" t="inlineStr">
        <is>
          <t>Skat af årets resultat</t>
        </is>
      </c>
      <c r="B15" s="17" t="n">
        <v>51995</v>
      </c>
      <c r="C15" s="17" t="n">
        <v>80410</v>
      </c>
      <c r="D15" s="17" t="n">
        <v>103625</v>
      </c>
      <c r="E15" s="17" t="n">
        <v>106428</v>
      </c>
      <c r="F15" s="17" t="n">
        <v>109682</v>
      </c>
    </row>
    <row r="16">
      <c r="A16" s="15" t="inlineStr">
        <is>
          <t>Årets resultat</t>
        </is>
      </c>
      <c r="B16" s="17" t="n">
        <v>199044</v>
      </c>
      <c r="C16" s="17" t="n">
        <v>325498</v>
      </c>
      <c r="D16" s="17" t="n">
        <v>420727</v>
      </c>
      <c r="E16" s="17" t="n">
        <v>444082</v>
      </c>
      <c r="F16" s="17" t="n">
        <v>462495</v>
      </c>
    </row>
    <row r="17">
      <c r="A17" s="16" t="inlineStr">
        <is>
          <t>Gns. antal medarbejdere</t>
        </is>
      </c>
      <c r="B17" s="17" t="n">
        <v>2933</v>
      </c>
      <c r="C17" s="17" t="n">
        <v>3815</v>
      </c>
      <c r="D17" s="17" t="n">
        <v>4248</v>
      </c>
      <c r="E17" s="17" t="n">
        <v>3637</v>
      </c>
      <c r="F17" s="17" t="n">
        <v>3849</v>
      </c>
    </row>
    <row r="18">
      <c r="A18" s="16" t="inlineStr">
        <is>
          <t>Investering i materielle anlægsaktiver</t>
        </is>
      </c>
      <c r="B18" s="17" t="n">
        <v>-114006</v>
      </c>
      <c r="C18" s="17" t="n">
        <v>-95125</v>
      </c>
      <c r="D18" s="17" t="n">
        <v>-147862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>
        <v>9967</v>
      </c>
      <c r="E5" s="35" t="n">
        <v>10447</v>
      </c>
      <c r="F5" s="35" t="n">
        <v>12001</v>
      </c>
      <c r="G5" s="35" t="n">
        <v>67881</v>
      </c>
      <c r="H5" s="35" t="n">
        <v>11914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2026-09-14T19:57:39Z</dcterms:created>
  <dcterms:modified xmlns:dcterms="http://purl.org/dc/terms/" xmlns:xsi="http://www.w3.org/2001/XMLSchema-instance" xsi:type="dcterms:W3CDTF">2026-09-14T19:57:40Z</dcterms:modified>
</cp:coreProperties>
</file>