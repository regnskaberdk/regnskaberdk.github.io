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80673612" sheetId="1" state="visible" r:id="rId1"/>
    <sheet xmlns:r="http://schemas.openxmlformats.org/officeDocument/2006/relationships" name="res_raw_80673612" sheetId="2" state="visible" r:id="rId2"/>
    <sheet xmlns:r="http://schemas.openxmlformats.org/officeDocument/2006/relationships" name="balance_raw_80673612" sheetId="3" state="visible" r:id="rId3"/>
    <sheet xmlns:r="http://schemas.openxmlformats.org/officeDocument/2006/relationships" name="pengestrom_raw_80673612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Scanpan A/S (CVR 80673612) — Regnskabsanalyse – Resultatopgørelse &amp; Balance (t.kr.) · Klasse C-mellem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'res_raw_80673612'!$B$2</f>
        <v/>
      </c>
      <c r="C4" s="5">
        <f>'res_raw_80673612'!$C$2</f>
        <v/>
      </c>
      <c r="D4" s="5">
        <f>'res_raw_80673612'!$D$2</f>
        <v/>
      </c>
      <c r="E4" s="5">
        <f>'res_raw_80673612'!$E$2</f>
        <v/>
      </c>
      <c r="F4" s="5">
        <f>'res_raw_80673612'!$F$2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'res_raw_80673612'!$B$3</f>
        <v/>
      </c>
      <c r="C5" s="8">
        <f>'res_raw_80673612'!$C$3</f>
        <v/>
      </c>
      <c r="D5" s="8">
        <f>'res_raw_80673612'!$D$3</f>
        <v/>
      </c>
      <c r="E5" s="8">
        <f>'res_raw_80673612'!$E$3</f>
        <v/>
      </c>
      <c r="F5" s="8">
        <f>'res_raw_80673612'!$F$3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'res_raw_80673612'!$B$4</f>
        <v/>
      </c>
      <c r="C6" s="8">
        <f>'res_raw_80673612'!$C$4</f>
        <v/>
      </c>
      <c r="D6" s="8">
        <f>'res_raw_80673612'!$D$4</f>
        <v/>
      </c>
      <c r="E6" s="8">
        <f>'res_raw_80673612'!$E$4</f>
        <v/>
      </c>
      <c r="F6" s="8">
        <f>'res_raw_80673612'!$F$4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'res_raw_80673612'!$B$5</f>
        <v/>
      </c>
      <c r="C7" s="11">
        <f>'res_raw_80673612'!$C$5</f>
        <v/>
      </c>
      <c r="D7" s="11">
        <f>'res_raw_80673612'!$D$5</f>
        <v/>
      </c>
      <c r="E7" s="11">
        <f>'res_raw_80673612'!$E$5</f>
        <v/>
      </c>
      <c r="F7" s="11">
        <f>'res_raw_80673612'!$F$5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'res_raw_80673612'!$B$6</f>
        <v/>
      </c>
      <c r="C8" s="8">
        <f>'res_raw_80673612'!$C$6</f>
        <v/>
      </c>
      <c r="D8" s="8">
        <f>'res_raw_80673612'!$D$6</f>
        <v/>
      </c>
      <c r="E8" s="8">
        <f>'res_raw_80673612'!$E$6</f>
        <v/>
      </c>
      <c r="F8" s="8">
        <f>'res_raw_80673612'!$F$6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'res_raw_80673612'!$B$7</f>
        <v/>
      </c>
      <c r="C9" s="8">
        <f>'res_raw_80673612'!$C$7</f>
        <v/>
      </c>
      <c r="D9" s="8">
        <f>'res_raw_80673612'!$D$7</f>
        <v/>
      </c>
      <c r="E9" s="8">
        <f>'res_raw_80673612'!$E$7</f>
        <v/>
      </c>
      <c r="F9" s="8">
        <f>'res_raw_80673612'!$F$7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'res_raw_80673612'!$B$8</f>
        <v/>
      </c>
      <c r="C10" s="5">
        <f>'res_raw_80673612'!$C$8</f>
        <v/>
      </c>
      <c r="D10" s="5">
        <f>'res_raw_80673612'!$D$8</f>
        <v/>
      </c>
      <c r="E10" s="5">
        <f>'res_raw_80673612'!$E$8</f>
        <v/>
      </c>
      <c r="F10" s="5">
        <f>'res_raw_80673612'!$F$8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'res_raw_80673612'!$B$9</f>
        <v/>
      </c>
      <c r="C11" s="11">
        <f>'res_raw_80673612'!$C$9</f>
        <v/>
      </c>
      <c r="D11" s="11">
        <f>'res_raw_80673612'!$D$9</f>
        <v/>
      </c>
      <c r="E11" s="11">
        <f>'res_raw_80673612'!$E$9</f>
        <v/>
      </c>
      <c r="F11" s="11">
        <f>'res_raw_80673612'!$F$9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7" t="inlineStr">
        <is>
          <t>Resultat af primær drift</t>
        </is>
      </c>
      <c r="B12" s="8">
        <f>'res_raw_80673612'!$B$10</f>
        <v/>
      </c>
      <c r="C12" s="8">
        <f>'res_raw_80673612'!$C$10</f>
        <v/>
      </c>
      <c r="D12" s="8">
        <f>'res_raw_80673612'!$D$10</f>
        <v/>
      </c>
      <c r="E12" s="8">
        <f>'res_raw_80673612'!$E$10</f>
        <v/>
      </c>
      <c r="F12" s="8">
        <f>'res_raw_80673612'!$F$10</f>
        <v/>
      </c>
      <c r="G12" t="inlineStr"/>
      <c r="H12" s="9">
        <f>IFERROR(B12/$B$12*100,"")</f>
        <v/>
      </c>
      <c r="I12" s="9">
        <f>IFERROR(C12/$B$12*100,"")</f>
        <v/>
      </c>
      <c r="J12" s="9">
        <f>IFERROR(D12/$B$12*100,"")</f>
        <v/>
      </c>
      <c r="K12" s="9">
        <f>IFERROR(E12/$B$12*100,"")</f>
        <v/>
      </c>
      <c r="L12" s="9">
        <f>IFERROR(F12/$B$12*100,"")</f>
        <v/>
      </c>
    </row>
    <row r="13" ht="16" customHeight="1">
      <c r="A13" s="10" t="inlineStr">
        <is>
          <t>Indtægter af kapitalandele, dattervirksomheder</t>
        </is>
      </c>
      <c r="B13" s="11">
        <f>'res_raw_80673612'!$B$11</f>
        <v/>
      </c>
      <c r="C13" s="11">
        <f>'res_raw_80673612'!$C$11</f>
        <v/>
      </c>
      <c r="D13" s="11">
        <f>'res_raw_80673612'!$D$11</f>
        <v/>
      </c>
      <c r="E13" s="11">
        <f>'res_raw_80673612'!$E$11</f>
        <v/>
      </c>
      <c r="F13" s="11">
        <f>'res_raw_80673612'!$F$11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indtægter</t>
        </is>
      </c>
      <c r="B14" s="5">
        <f>'res_raw_80673612'!$B$12</f>
        <v/>
      </c>
      <c r="C14" s="5">
        <f>'res_raw_80673612'!$C$12</f>
        <v/>
      </c>
      <c r="D14" s="5">
        <f>'res_raw_80673612'!$D$12</f>
        <v/>
      </c>
      <c r="E14" s="5">
        <f>'res_raw_80673612'!$E$12</f>
        <v/>
      </c>
      <c r="F14" s="5">
        <f>'res_raw_80673612'!$F$12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omkostninger</t>
        </is>
      </c>
      <c r="B15" s="11">
        <f>'res_raw_80673612'!$B$13</f>
        <v/>
      </c>
      <c r="C15" s="11">
        <f>'res_raw_80673612'!$C$13</f>
        <v/>
      </c>
      <c r="D15" s="11">
        <f>'res_raw_80673612'!$D$13</f>
        <v/>
      </c>
      <c r="E15" s="11">
        <f>'res_raw_80673612'!$E$13</f>
        <v/>
      </c>
      <c r="F15" s="11">
        <f>'res_raw_80673612'!$F$13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7" t="inlineStr">
        <is>
          <t>Finansielle poster, netto</t>
        </is>
      </c>
      <c r="B16" s="8">
        <f>'res_raw_80673612'!$B$14</f>
        <v/>
      </c>
      <c r="C16" s="8">
        <f>'res_raw_80673612'!$C$14</f>
        <v/>
      </c>
      <c r="D16" s="8">
        <f>'res_raw_80673612'!$D$14</f>
        <v/>
      </c>
      <c r="E16" s="8">
        <f>'res_raw_80673612'!$E$14</f>
        <v/>
      </c>
      <c r="F16" s="8">
        <f>'res_raw_80673612'!$F$14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7" t="inlineStr">
        <is>
          <t>Resultat før skat</t>
        </is>
      </c>
      <c r="B17" s="8">
        <f>'res_raw_80673612'!$B$15</f>
        <v/>
      </c>
      <c r="C17" s="8">
        <f>'res_raw_80673612'!$C$15</f>
        <v/>
      </c>
      <c r="D17" s="8">
        <f>'res_raw_80673612'!$D$15</f>
        <v/>
      </c>
      <c r="E17" s="8">
        <f>'res_raw_80673612'!$E$15</f>
        <v/>
      </c>
      <c r="F17" s="8">
        <f>'res_raw_80673612'!$F$15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4" t="inlineStr">
        <is>
          <t>Skat af årets resultat</t>
        </is>
      </c>
      <c r="B18" s="5">
        <f>'res_raw_80673612'!$B$16</f>
        <v/>
      </c>
      <c r="C18" s="5">
        <f>'res_raw_80673612'!$C$16</f>
        <v/>
      </c>
      <c r="D18" s="5">
        <f>'res_raw_80673612'!$D$16</f>
        <v/>
      </c>
      <c r="E18" s="5">
        <f>'res_raw_80673612'!$E$16</f>
        <v/>
      </c>
      <c r="F18" s="5">
        <f>'res_raw_80673612'!$F$16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Årets resultat</t>
        </is>
      </c>
      <c r="B19" s="8">
        <f>'res_raw_80673612'!$B$17</f>
        <v/>
      </c>
      <c r="C19" s="8">
        <f>'res_raw_80673612'!$C$17</f>
        <v/>
      </c>
      <c r="D19" s="8">
        <f>'res_raw_80673612'!$D$17</f>
        <v/>
      </c>
      <c r="E19" s="8">
        <f>'res_raw_80673612'!$E$17</f>
        <v/>
      </c>
      <c r="F19" s="8">
        <f>'res_raw_80673612'!$F$17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1" ht="22" customHeight="1">
      <c r="A21" s="3" t="inlineStr">
        <is>
          <t>AKTIVER t.kr.</t>
        </is>
      </c>
      <c r="B21" s="3" t="n">
        <v>2021</v>
      </c>
      <c r="C21" s="3" t="n">
        <v>2022</v>
      </c>
      <c r="D21" s="3" t="n">
        <v>2023</v>
      </c>
      <c r="E21" s="3" t="n">
        <v>2024</v>
      </c>
      <c r="F21" s="3" t="n">
        <v>2025</v>
      </c>
      <c r="G21" t="inlineStr"/>
      <c r="H21" s="3" t="n">
        <v>2021</v>
      </c>
      <c r="I21" s="3" t="n">
        <v>2022</v>
      </c>
      <c r="J21" s="3" t="n">
        <v>2023</v>
      </c>
      <c r="K21" s="3" t="n">
        <v>2024</v>
      </c>
      <c r="L21" s="3" t="n">
        <v>2025</v>
      </c>
    </row>
    <row r="22" ht="16" customHeight="1">
      <c r="A22" s="7" t="inlineStr">
        <is>
          <t>Immaterielle anlægsaktiver</t>
        </is>
      </c>
      <c r="B22" s="8">
        <f>'balance_raw_80673612'!$B$2</f>
        <v/>
      </c>
      <c r="C22" s="8">
        <f>'balance_raw_80673612'!$C$2</f>
        <v/>
      </c>
      <c r="D22" s="8">
        <f>'balance_raw_80673612'!$D$2</f>
        <v/>
      </c>
      <c r="E22" s="8">
        <f>'balance_raw_80673612'!$E$2</f>
        <v/>
      </c>
      <c r="F22" s="8">
        <f>'balance_raw_80673612'!$F$2</f>
        <v/>
      </c>
      <c r="G22" t="inlineStr"/>
      <c r="H22" s="9">
        <f>IFERROR(B22/$B$22*100,"")</f>
        <v/>
      </c>
      <c r="I22" s="9">
        <f>IFERROR(C22/$B$22*100,"")</f>
        <v/>
      </c>
      <c r="J22" s="9">
        <f>IFERROR(D22/$B$22*100,"")</f>
        <v/>
      </c>
      <c r="K22" s="9">
        <f>IFERROR(E22/$B$22*100,"")</f>
        <v/>
      </c>
      <c r="L22" s="9">
        <f>IFERROR(F22/$B$22*100,"")</f>
        <v/>
      </c>
    </row>
    <row r="23" ht="16" customHeight="1">
      <c r="A23" s="10" t="inlineStr">
        <is>
          <t>Grunde og bygninger</t>
        </is>
      </c>
      <c r="B23" s="11">
        <f>'balance_raw_80673612'!$B$3</f>
        <v/>
      </c>
      <c r="C23" s="11">
        <f>'balance_raw_80673612'!$C$3</f>
        <v/>
      </c>
      <c r="D23" s="11">
        <f>'balance_raw_80673612'!$D$3</f>
        <v/>
      </c>
      <c r="E23" s="11">
        <f>'balance_raw_80673612'!$E$3</f>
        <v/>
      </c>
      <c r="F23" s="11">
        <f>'balance_raw_80673612'!$F$3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'balance_raw_80673612'!$B$4</f>
        <v/>
      </c>
      <c r="C24" s="5">
        <f>'balance_raw_80673612'!$C$4</f>
        <v/>
      </c>
      <c r="D24" s="5">
        <f>'balance_raw_80673612'!$D$4</f>
        <v/>
      </c>
      <c r="E24" s="5">
        <f>'balance_raw_80673612'!$E$4</f>
        <v/>
      </c>
      <c r="F24" s="5">
        <f>'balance_raw_80673612'!$F$4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10" t="inlineStr">
        <is>
          <t>Driftsmateriel og inventar</t>
        </is>
      </c>
      <c r="B25" s="11">
        <f>'balance_raw_80673612'!$B$5</f>
        <v/>
      </c>
      <c r="C25" s="11">
        <f>'balance_raw_80673612'!$C$5</f>
        <v/>
      </c>
      <c r="D25" s="11">
        <f>'balance_raw_80673612'!$D$5</f>
        <v/>
      </c>
      <c r="E25" s="11">
        <f>'balance_raw_80673612'!$E$5</f>
        <v/>
      </c>
      <c r="F25" s="11">
        <f>'balance_raw_80673612'!$F$5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'balance_raw_80673612'!$B$6</f>
        <v/>
      </c>
      <c r="C26" s="5">
        <f>'balance_raw_80673612'!$C$6</f>
        <v/>
      </c>
      <c r="D26" s="5">
        <f>'balance_raw_80673612'!$D$6</f>
        <v/>
      </c>
      <c r="E26" s="5">
        <f>'balance_raw_80673612'!$E$6</f>
        <v/>
      </c>
      <c r="F26" s="5">
        <f>'balance_raw_80673612'!$F$6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Forudbetaling og anlægsaktiver under opførelse</t>
        </is>
      </c>
      <c r="B27" s="11">
        <f>'balance_raw_80673612'!$B$7</f>
        <v/>
      </c>
      <c r="C27" s="11">
        <f>'balance_raw_80673612'!$C$7</f>
        <v/>
      </c>
      <c r="D27" s="11">
        <f>'balance_raw_80673612'!$D$7</f>
        <v/>
      </c>
      <c r="E27" s="11">
        <f>'balance_raw_80673612'!$E$7</f>
        <v/>
      </c>
      <c r="F27" s="11">
        <f>'balance_raw_80673612'!$F$7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7" t="inlineStr">
        <is>
          <t>Materielle anlægsaktiver</t>
        </is>
      </c>
      <c r="B28" s="8">
        <f>'balance_raw_80673612'!$B$8</f>
        <v/>
      </c>
      <c r="C28" s="8">
        <f>'balance_raw_80673612'!$C$8</f>
        <v/>
      </c>
      <c r="D28" s="8">
        <f>'balance_raw_80673612'!$D$8</f>
        <v/>
      </c>
      <c r="E28" s="8">
        <f>'balance_raw_80673612'!$E$8</f>
        <v/>
      </c>
      <c r="F28" s="8">
        <f>'balance_raw_80673612'!$F$8</f>
        <v/>
      </c>
      <c r="G28" t="inlineStr"/>
      <c r="H28" s="9">
        <f>IFERROR(B28/$B$28*100,"")</f>
        <v/>
      </c>
      <c r="I28" s="9">
        <f>IFERROR(C28/$B$28*100,"")</f>
        <v/>
      </c>
      <c r="J28" s="9">
        <f>IFERROR(D28/$B$28*100,"")</f>
        <v/>
      </c>
      <c r="K28" s="9">
        <f>IFERROR(E28/$B$28*100,"")</f>
        <v/>
      </c>
      <c r="L28" s="9">
        <f>IFERROR(F28/$B$28*100,"")</f>
        <v/>
      </c>
    </row>
    <row r="29" ht="16" customHeight="1">
      <c r="A29" s="10" t="inlineStr">
        <is>
          <t>Kapitalandele, dattervirksomheder</t>
        </is>
      </c>
      <c r="B29" s="11">
        <f>'balance_raw_80673612'!$B$9</f>
        <v/>
      </c>
      <c r="C29" s="11">
        <f>'balance_raw_80673612'!$C$9</f>
        <v/>
      </c>
      <c r="D29" s="11">
        <f>'balance_raw_80673612'!$D$9</f>
        <v/>
      </c>
      <c r="E29" s="11">
        <f>'balance_raw_80673612'!$E$9</f>
        <v/>
      </c>
      <c r="F29" s="11">
        <f>'balance_raw_80673612'!$F$9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Deposita</t>
        </is>
      </c>
      <c r="B30" s="5">
        <f>'balance_raw_80673612'!$B$10</f>
        <v/>
      </c>
      <c r="C30" s="5">
        <f>'balance_raw_80673612'!$C$10</f>
        <v/>
      </c>
      <c r="D30" s="5">
        <f>'balance_raw_80673612'!$D$10</f>
        <v/>
      </c>
      <c r="E30" s="5">
        <f>'balance_raw_80673612'!$E$10</f>
        <v/>
      </c>
      <c r="F30" s="5">
        <f>'balance_raw_80673612'!$F$10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Finansielle anlægsaktiver</t>
        </is>
      </c>
      <c r="B31" s="8">
        <f>'balance_raw_80673612'!$B$11</f>
        <v/>
      </c>
      <c r="C31" s="8">
        <f>'balance_raw_80673612'!$C$11</f>
        <v/>
      </c>
      <c r="D31" s="8">
        <f>'balance_raw_80673612'!$D$11</f>
        <v/>
      </c>
      <c r="E31" s="8">
        <f>'balance_raw_80673612'!$E$11</f>
        <v/>
      </c>
      <c r="F31" s="8">
        <f>'balance_raw_80673612'!$F$11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7" t="inlineStr">
        <is>
          <t>Anlægsaktiver</t>
        </is>
      </c>
      <c r="B32" s="8">
        <f>'balance_raw_80673612'!$B$12</f>
        <v/>
      </c>
      <c r="C32" s="8">
        <f>'balance_raw_80673612'!$C$12</f>
        <v/>
      </c>
      <c r="D32" s="8">
        <f>'balance_raw_80673612'!$D$12</f>
        <v/>
      </c>
      <c r="E32" s="8">
        <f>'balance_raw_80673612'!$E$12</f>
        <v/>
      </c>
      <c r="F32" s="8">
        <f>'balance_raw_80673612'!$F$12</f>
        <v/>
      </c>
      <c r="G32" t="inlineStr"/>
      <c r="H32" s="9">
        <f>IFERROR(B32/$B$32*100,"")</f>
        <v/>
      </c>
      <c r="I32" s="9">
        <f>IFERROR(C32/$B$32*100,"")</f>
        <v/>
      </c>
      <c r="J32" s="9">
        <f>IFERROR(D32/$B$32*100,"")</f>
        <v/>
      </c>
      <c r="K32" s="9">
        <f>IFERROR(E32/$B$32*100,"")</f>
        <v/>
      </c>
      <c r="L32" s="9">
        <f>IFERROR(F32/$B$32*100,"")</f>
        <v/>
      </c>
    </row>
    <row r="33" ht="16" customHeight="1">
      <c r="A33" s="10" t="inlineStr">
        <is>
          <t>Råvarer og hjælpematerialer</t>
        </is>
      </c>
      <c r="B33" s="11">
        <f>'balance_raw_80673612'!$B$13</f>
        <v/>
      </c>
      <c r="C33" s="11">
        <f>'balance_raw_80673612'!$C$13</f>
        <v/>
      </c>
      <c r="D33" s="11">
        <f>'balance_raw_80673612'!$D$13</f>
        <v/>
      </c>
      <c r="E33" s="11">
        <f>'balance_raw_80673612'!$E$13</f>
        <v/>
      </c>
      <c r="F33" s="11">
        <f>'balance_raw_80673612'!$F$13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Varer under fremstilling</t>
        </is>
      </c>
      <c r="B34" s="5">
        <f>'balance_raw_80673612'!$B$14</f>
        <v/>
      </c>
      <c r="C34" s="5">
        <f>'balance_raw_80673612'!$C$14</f>
        <v/>
      </c>
      <c r="D34" s="5">
        <f>'balance_raw_80673612'!$D$14</f>
        <v/>
      </c>
      <c r="E34" s="5">
        <f>'balance_raw_80673612'!$E$14</f>
        <v/>
      </c>
      <c r="F34" s="5">
        <f>'balance_raw_80673612'!$F$14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Færdigvarer og handelsvarer</t>
        </is>
      </c>
      <c r="B35" s="11">
        <f>'balance_raw_80673612'!$B$15</f>
        <v/>
      </c>
      <c r="C35" s="11">
        <f>'balance_raw_80673612'!$C$15</f>
        <v/>
      </c>
      <c r="D35" s="11">
        <f>'balance_raw_80673612'!$D$15</f>
        <v/>
      </c>
      <c r="E35" s="11">
        <f>'balance_raw_80673612'!$E$15</f>
        <v/>
      </c>
      <c r="F35" s="11">
        <f>'balance_raw_80673612'!$F$15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7" t="inlineStr">
        <is>
          <t>Varebeholdninger</t>
        </is>
      </c>
      <c r="B36" s="8">
        <f>'balance_raw_80673612'!$B$16</f>
        <v/>
      </c>
      <c r="C36" s="8">
        <f>'balance_raw_80673612'!$C$16</f>
        <v/>
      </c>
      <c r="D36" s="8">
        <f>'balance_raw_80673612'!$D$16</f>
        <v/>
      </c>
      <c r="E36" s="8">
        <f>'balance_raw_80673612'!$E$16</f>
        <v/>
      </c>
      <c r="F36" s="8">
        <f>'balance_raw_80673612'!$F$16</f>
        <v/>
      </c>
      <c r="G36" t="inlineStr"/>
      <c r="H36" s="9">
        <f>IFERROR(B36/$B$36*100,"")</f>
        <v/>
      </c>
      <c r="I36" s="9">
        <f>IFERROR(C36/$B$36*100,"")</f>
        <v/>
      </c>
      <c r="J36" s="9">
        <f>IFERROR(D36/$B$36*100,"")</f>
        <v/>
      </c>
      <c r="K36" s="9">
        <f>IFERROR(E36/$B$36*100,"")</f>
        <v/>
      </c>
      <c r="L36" s="9">
        <f>IFERROR(F36/$B$36*100,"")</f>
        <v/>
      </c>
    </row>
    <row r="37" ht="16" customHeight="1">
      <c r="A37" s="10" t="inlineStr">
        <is>
          <t>Tilgodehavender fra salg og tjenesteydelser</t>
        </is>
      </c>
      <c r="B37" s="11">
        <f>'balance_raw_80673612'!$B$17</f>
        <v/>
      </c>
      <c r="C37" s="11">
        <f>'balance_raw_80673612'!$C$17</f>
        <v/>
      </c>
      <c r="D37" s="11">
        <f>'balance_raw_80673612'!$D$17</f>
        <v/>
      </c>
      <c r="E37" s="11">
        <f>'balance_raw_80673612'!$E$17</f>
        <v/>
      </c>
      <c r="F37" s="11">
        <f>'balance_raw_80673612'!$F$17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'balance_raw_80673612'!$B$18</f>
        <v/>
      </c>
      <c r="C38" s="5">
        <f>'balance_raw_80673612'!$C$18</f>
        <v/>
      </c>
      <c r="D38" s="5">
        <f>'balance_raw_80673612'!$D$18</f>
        <v/>
      </c>
      <c r="E38" s="5">
        <f>'balance_raw_80673612'!$E$18</f>
        <v/>
      </c>
      <c r="F38" s="5">
        <f>'balance_raw_80673612'!$F$18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Andre tilgodehavender</t>
        </is>
      </c>
      <c r="B39" s="11">
        <f>'balance_raw_80673612'!$B$19</f>
        <v/>
      </c>
      <c r="C39" s="11">
        <f>'balance_raw_80673612'!$C$19</f>
        <v/>
      </c>
      <c r="D39" s="11">
        <f>'balance_raw_80673612'!$D$19</f>
        <v/>
      </c>
      <c r="E39" s="11">
        <f>'balance_raw_80673612'!$E$19</f>
        <v/>
      </c>
      <c r="F39" s="11">
        <f>'balance_raw_80673612'!$F$19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'balance_raw_80673612'!$B$20</f>
        <v/>
      </c>
      <c r="C40" s="5">
        <f>'balance_raw_80673612'!$C$20</f>
        <v/>
      </c>
      <c r="D40" s="5">
        <f>'balance_raw_80673612'!$D$20</f>
        <v/>
      </c>
      <c r="E40" s="5">
        <f>'balance_raw_80673612'!$E$20</f>
        <v/>
      </c>
      <c r="F40" s="5">
        <f>'balance_raw_80673612'!$F$20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Udskudt skatteaktiv</t>
        </is>
      </c>
      <c r="B41" s="11">
        <f>'balance_raw_80673612'!$B$21</f>
        <v/>
      </c>
      <c r="C41" s="11">
        <f>'balance_raw_80673612'!$C$21</f>
        <v/>
      </c>
      <c r="D41" s="11">
        <f>'balance_raw_80673612'!$D$21</f>
        <v/>
      </c>
      <c r="E41" s="11">
        <f>'balance_raw_80673612'!$E$21</f>
        <v/>
      </c>
      <c r="F41" s="11">
        <f>'balance_raw_80673612'!$F$21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'balance_raw_80673612'!$B$22</f>
        <v/>
      </c>
      <c r="C42" s="5">
        <f>'balance_raw_80673612'!$C$22</f>
        <v/>
      </c>
      <c r="D42" s="5">
        <f>'balance_raw_80673612'!$D$22</f>
        <v/>
      </c>
      <c r="E42" s="5">
        <f>'balance_raw_80673612'!$E$22</f>
        <v/>
      </c>
      <c r="F42" s="5">
        <f>'balance_raw_80673612'!$F$22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Kortfristede skattetilgodehavender</t>
        </is>
      </c>
      <c r="B43" s="11">
        <f>'balance_raw_80673612'!$B$23</f>
        <v/>
      </c>
      <c r="C43" s="11">
        <f>'balance_raw_80673612'!$C$23</f>
        <v/>
      </c>
      <c r="D43" s="11">
        <f>'balance_raw_80673612'!$D$23</f>
        <v/>
      </c>
      <c r="E43" s="11">
        <f>'balance_raw_80673612'!$E$23</f>
        <v/>
      </c>
      <c r="F43" s="11">
        <f>'balance_raw_80673612'!$F$23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7" t="inlineStr">
        <is>
          <t>Tilgodehavender</t>
        </is>
      </c>
      <c r="B44" s="8">
        <f>'balance_raw_80673612'!$B$24</f>
        <v/>
      </c>
      <c r="C44" s="8">
        <f>'balance_raw_80673612'!$C$24</f>
        <v/>
      </c>
      <c r="D44" s="8">
        <f>'balance_raw_80673612'!$D$24</f>
        <v/>
      </c>
      <c r="E44" s="8">
        <f>'balance_raw_80673612'!$E$24</f>
        <v/>
      </c>
      <c r="F44" s="8">
        <f>'balance_raw_80673612'!$F$24</f>
        <v/>
      </c>
      <c r="G44" t="inlineStr"/>
      <c r="H44" s="9">
        <f>IFERROR(B44/$B$44*100,"")</f>
        <v/>
      </c>
      <c r="I44" s="9">
        <f>IFERROR(C44/$B$44*100,"")</f>
        <v/>
      </c>
      <c r="J44" s="9">
        <f>IFERROR(D44/$B$44*100,"")</f>
        <v/>
      </c>
      <c r="K44" s="9">
        <f>IFERROR(E44/$B$44*100,"")</f>
        <v/>
      </c>
      <c r="L44" s="9">
        <f>IFERROR(F44/$B$44*100,"")</f>
        <v/>
      </c>
    </row>
    <row r="45" ht="16" customHeight="1">
      <c r="A45" s="10" t="inlineStr">
        <is>
          <t>Værdipapirer</t>
        </is>
      </c>
      <c r="B45" s="11">
        <f>'balance_raw_80673612'!$B$25</f>
        <v/>
      </c>
      <c r="C45" s="11">
        <f>'balance_raw_80673612'!$C$25</f>
        <v/>
      </c>
      <c r="D45" s="11">
        <f>'balance_raw_80673612'!$D$25</f>
        <v/>
      </c>
      <c r="E45" s="11">
        <f>'balance_raw_80673612'!$E$25</f>
        <v/>
      </c>
      <c r="F45" s="11">
        <f>'balance_raw_80673612'!$F$25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'balance_raw_80673612'!$B$26</f>
        <v/>
      </c>
      <c r="C46" s="5">
        <f>'balance_raw_80673612'!$C$26</f>
        <v/>
      </c>
      <c r="D46" s="5">
        <f>'balance_raw_80673612'!$D$26</f>
        <v/>
      </c>
      <c r="E46" s="5">
        <f>'balance_raw_80673612'!$E$26</f>
        <v/>
      </c>
      <c r="F46" s="5">
        <f>'balance_raw_80673612'!$F$26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Omsætningsaktiver</t>
        </is>
      </c>
      <c r="B47" s="8">
        <f>'balance_raw_80673612'!$B$27</f>
        <v/>
      </c>
      <c r="C47" s="8">
        <f>'balance_raw_80673612'!$C$27</f>
        <v/>
      </c>
      <c r="D47" s="8">
        <f>'balance_raw_80673612'!$D$27</f>
        <v/>
      </c>
      <c r="E47" s="8">
        <f>'balance_raw_80673612'!$E$27</f>
        <v/>
      </c>
      <c r="F47" s="8">
        <f>'balance_raw_80673612'!$F$27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7" t="inlineStr">
        <is>
          <t>Aktiver</t>
        </is>
      </c>
      <c r="B48" s="8">
        <f>'balance_raw_80673612'!$B$28</f>
        <v/>
      </c>
      <c r="C48" s="8">
        <f>'balance_raw_80673612'!$C$28</f>
        <v/>
      </c>
      <c r="D48" s="8">
        <f>'balance_raw_80673612'!$D$28</f>
        <v/>
      </c>
      <c r="E48" s="8">
        <f>'balance_raw_80673612'!$E$28</f>
        <v/>
      </c>
      <c r="F48" s="8">
        <f>'balance_raw_80673612'!$F$28</f>
        <v/>
      </c>
      <c r="G48" t="inlineStr"/>
      <c r="H48" s="9">
        <f>IFERROR(B48/$B$48*100,"")</f>
        <v/>
      </c>
      <c r="I48" s="9">
        <f>IFERROR(C48/$B$48*100,"")</f>
        <v/>
      </c>
      <c r="J48" s="9">
        <f>IFERROR(D48/$B$48*100,"")</f>
        <v/>
      </c>
      <c r="K48" s="9">
        <f>IFERROR(E48/$B$48*100,"")</f>
        <v/>
      </c>
      <c r="L48" s="9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10" t="inlineStr">
        <is>
          <t>Selskabskapital</t>
        </is>
      </c>
      <c r="B51" s="11">
        <f>'balance_raw_80673612'!$B$29</f>
        <v/>
      </c>
      <c r="C51" s="11">
        <f>'balance_raw_80673612'!$C$29</f>
        <v/>
      </c>
      <c r="D51" s="11">
        <f>'balance_raw_80673612'!$D$29</f>
        <v/>
      </c>
      <c r="E51" s="11">
        <f>'balance_raw_80673612'!$E$29</f>
        <v/>
      </c>
      <c r="F51" s="11">
        <f>'balance_raw_80673612'!$F$29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'balance_raw_80673612'!$B$30</f>
        <v/>
      </c>
      <c r="C52" s="5">
        <f>'balance_raw_80673612'!$C$30</f>
        <v/>
      </c>
      <c r="D52" s="5">
        <f>'balance_raw_80673612'!$D$30</f>
        <v/>
      </c>
      <c r="E52" s="5">
        <f>'balance_raw_80673612'!$E$30</f>
        <v/>
      </c>
      <c r="F52" s="5">
        <f>'balance_raw_80673612'!$F$30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Reserve for udviklingsomkostninger</t>
        </is>
      </c>
      <c r="B53" s="11">
        <f>'balance_raw_80673612'!$B$31</f>
        <v/>
      </c>
      <c r="C53" s="11">
        <f>'balance_raw_80673612'!$C$31</f>
        <v/>
      </c>
      <c r="D53" s="11">
        <f>'balance_raw_80673612'!$D$31</f>
        <v/>
      </c>
      <c r="E53" s="11">
        <f>'balance_raw_80673612'!$E$31</f>
        <v/>
      </c>
      <c r="F53" s="11">
        <f>'balance_raw_80673612'!$F$31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'balance_raw_80673612'!$B$32</f>
        <v/>
      </c>
      <c r="C54" s="5">
        <f>'balance_raw_80673612'!$C$32</f>
        <v/>
      </c>
      <c r="D54" s="5">
        <f>'balance_raw_80673612'!$D$32</f>
        <v/>
      </c>
      <c r="E54" s="5">
        <f>'balance_raw_80673612'!$E$32</f>
        <v/>
      </c>
      <c r="F54" s="5">
        <f>'balance_raw_80673612'!$F$32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Andre reserver</t>
        </is>
      </c>
      <c r="B55" s="11">
        <f>'balance_raw_80673612'!$B$33</f>
        <v/>
      </c>
      <c r="C55" s="11">
        <f>'balance_raw_80673612'!$C$33</f>
        <v/>
      </c>
      <c r="D55" s="11">
        <f>'balance_raw_80673612'!$D$33</f>
        <v/>
      </c>
      <c r="E55" s="11">
        <f>'balance_raw_80673612'!$E$33</f>
        <v/>
      </c>
      <c r="F55" s="11">
        <f>'balance_raw_80673612'!$F$33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'balance_raw_80673612'!$B$34</f>
        <v/>
      </c>
      <c r="C56" s="5">
        <f>'balance_raw_80673612'!$C$34</f>
        <v/>
      </c>
      <c r="D56" s="5">
        <f>'balance_raw_80673612'!$D$34</f>
        <v/>
      </c>
      <c r="E56" s="5">
        <f>'balance_raw_80673612'!$E$34</f>
        <v/>
      </c>
      <c r="F56" s="5">
        <f>'balance_raw_80673612'!$F$34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Egenkapital i alt</t>
        </is>
      </c>
      <c r="B57" s="8">
        <f>'balance_raw_80673612'!$B$35</f>
        <v/>
      </c>
      <c r="C57" s="8">
        <f>'balance_raw_80673612'!$C$35</f>
        <v/>
      </c>
      <c r="D57" s="8">
        <f>'balance_raw_80673612'!$D$35</f>
        <v/>
      </c>
      <c r="E57" s="8">
        <f>'balance_raw_80673612'!$E$35</f>
        <v/>
      </c>
      <c r="F57" s="8">
        <f>'balance_raw_80673612'!$F$35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Hensættelse til udskudt skat</t>
        </is>
      </c>
      <c r="B58" s="5">
        <f>'balance_raw_80673612'!$B$36</f>
        <v/>
      </c>
      <c r="C58" s="5">
        <f>'balance_raw_80673612'!$C$36</f>
        <v/>
      </c>
      <c r="D58" s="5">
        <f>'balance_raw_80673612'!$D$36</f>
        <v/>
      </c>
      <c r="E58" s="5">
        <f>'balance_raw_80673612'!$E$36</f>
        <v/>
      </c>
      <c r="F58" s="5">
        <f>'balance_raw_80673612'!$F$36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Hensatte forpligtelser</t>
        </is>
      </c>
      <c r="B59" s="8">
        <f>'balance_raw_80673612'!$B$37</f>
        <v/>
      </c>
      <c r="C59" s="8">
        <f>'balance_raw_80673612'!$C$37</f>
        <v/>
      </c>
      <c r="D59" s="8">
        <f>'balance_raw_80673612'!$D$37</f>
        <v/>
      </c>
      <c r="E59" s="8">
        <f>'balance_raw_80673612'!$E$37</f>
        <v/>
      </c>
      <c r="F59" s="8">
        <f>'balance_raw_80673612'!$F$37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Ansvarlig lånekapital (langfristet)</t>
        </is>
      </c>
      <c r="B60" s="5">
        <f>'balance_raw_80673612'!$B$38</f>
        <v/>
      </c>
      <c r="C60" s="5">
        <f>'balance_raw_80673612'!$C$38</f>
        <v/>
      </c>
      <c r="D60" s="5">
        <f>'balance_raw_80673612'!$D$38</f>
        <v/>
      </c>
      <c r="E60" s="5">
        <f>'balance_raw_80673612'!$E$38</f>
        <v/>
      </c>
      <c r="F60" s="5">
        <f>'balance_raw_80673612'!$F$38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Langfristede lån</t>
        </is>
      </c>
      <c r="B61" s="11">
        <f>'balance_raw_80673612'!$B$39</f>
        <v/>
      </c>
      <c r="C61" s="11">
        <f>'balance_raw_80673612'!$C$39</f>
        <v/>
      </c>
      <c r="D61" s="11">
        <f>'balance_raw_80673612'!$D$39</f>
        <v/>
      </c>
      <c r="E61" s="11">
        <f>'balance_raw_80673612'!$E$39</f>
        <v/>
      </c>
      <c r="F61" s="11">
        <f>'balance_raw_80673612'!$F$39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Leasingforpligtelser (langfristet)</t>
        </is>
      </c>
      <c r="B62" s="5">
        <f>'balance_raw_80673612'!$B$40</f>
        <v/>
      </c>
      <c r="C62" s="5">
        <f>'balance_raw_80673612'!$C$40</f>
        <v/>
      </c>
      <c r="D62" s="5">
        <f>'balance_raw_80673612'!$D$40</f>
        <v/>
      </c>
      <c r="E62" s="5">
        <f>'balance_raw_80673612'!$E$40</f>
        <v/>
      </c>
      <c r="F62" s="5">
        <f>'balance_raw_80673612'!$F$40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Anden gæld (langfristet)</t>
        </is>
      </c>
      <c r="B63" s="11">
        <f>'balance_raw_80673612'!$B$41</f>
        <v/>
      </c>
      <c r="C63" s="11">
        <f>'balance_raw_80673612'!$C$41</f>
        <v/>
      </c>
      <c r="D63" s="11">
        <f>'balance_raw_80673612'!$D$41</f>
        <v/>
      </c>
      <c r="E63" s="11">
        <f>'balance_raw_80673612'!$E$41</f>
        <v/>
      </c>
      <c r="F63" s="11">
        <f>'balance_raw_80673612'!$F$41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7" t="inlineStr">
        <is>
          <t>Langfristede gældsforpligtelser</t>
        </is>
      </c>
      <c r="B64" s="8">
        <f>'balance_raw_80673612'!$B$42</f>
        <v/>
      </c>
      <c r="C64" s="8">
        <f>'balance_raw_80673612'!$C$42</f>
        <v/>
      </c>
      <c r="D64" s="8">
        <f>'balance_raw_80673612'!$D$42</f>
        <v/>
      </c>
      <c r="E64" s="8">
        <f>'balance_raw_80673612'!$E$42</f>
        <v/>
      </c>
      <c r="F64" s="8">
        <f>'balance_raw_80673612'!$F$42</f>
        <v/>
      </c>
      <c r="G64" t="inlineStr"/>
      <c r="H64" s="9">
        <f>IFERROR(B64/$B$64*100,"")</f>
        <v/>
      </c>
      <c r="I64" s="9">
        <f>IFERROR(C64/$B$64*100,"")</f>
        <v/>
      </c>
      <c r="J64" s="9">
        <f>IFERROR(D64/$B$64*100,"")</f>
        <v/>
      </c>
      <c r="K64" s="9">
        <f>IFERROR(E64/$B$64*100,"")</f>
        <v/>
      </c>
      <c r="L64" s="9">
        <f>IFERROR(F64/$B$64*100,"")</f>
        <v/>
      </c>
    </row>
    <row r="65" ht="16" customHeight="1">
      <c r="A65" s="10" t="inlineStr">
        <is>
          <t>Ansvarlig lånekapital (kortfristet)</t>
        </is>
      </c>
      <c r="B65" s="11">
        <f>'balance_raw_80673612'!$B$43</f>
        <v/>
      </c>
      <c r="C65" s="11">
        <f>'balance_raw_80673612'!$C$43</f>
        <v/>
      </c>
      <c r="D65" s="11">
        <f>'balance_raw_80673612'!$D$43</f>
        <v/>
      </c>
      <c r="E65" s="11">
        <f>'balance_raw_80673612'!$E$43</f>
        <v/>
      </c>
      <c r="F65" s="11">
        <f>'balance_raw_80673612'!$F$43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Kortfristet del af langfristede gældsforpligtelser</t>
        </is>
      </c>
      <c r="B66" s="5">
        <f>'balance_raw_80673612'!$B$44</f>
        <v/>
      </c>
      <c r="C66" s="5">
        <f>'balance_raw_80673612'!$C$44</f>
        <v/>
      </c>
      <c r="D66" s="5">
        <f>'balance_raw_80673612'!$D$44</f>
        <v/>
      </c>
      <c r="E66" s="5">
        <f>'balance_raw_80673612'!$E$44</f>
        <v/>
      </c>
      <c r="F66" s="5">
        <f>'balance_raw_80673612'!$F$44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Kreditinstitutter</t>
        </is>
      </c>
      <c r="B67" s="11">
        <f>'balance_raw_80673612'!$B$45</f>
        <v/>
      </c>
      <c r="C67" s="11">
        <f>'balance_raw_80673612'!$C$45</f>
        <v/>
      </c>
      <c r="D67" s="11">
        <f>'balance_raw_80673612'!$D$45</f>
        <v/>
      </c>
      <c r="E67" s="11">
        <f>'balance_raw_80673612'!$E$45</f>
        <v/>
      </c>
      <c r="F67" s="11">
        <f>'balance_raw_80673612'!$F$45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Leasingforpligtelser (kortfristet)</t>
        </is>
      </c>
      <c r="B68" s="5">
        <f>'balance_raw_80673612'!$B$46</f>
        <v/>
      </c>
      <c r="C68" s="5">
        <f>'balance_raw_80673612'!$C$46</f>
        <v/>
      </c>
      <c r="D68" s="5">
        <f>'balance_raw_80673612'!$D$46</f>
        <v/>
      </c>
      <c r="E68" s="5">
        <f>'balance_raw_80673612'!$E$46</f>
        <v/>
      </c>
      <c r="F68" s="5">
        <f>'balance_raw_80673612'!$F$46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Leverandører af varer og tjenesteydelser</t>
        </is>
      </c>
      <c r="B69" s="11">
        <f>'balance_raw_80673612'!$B$47</f>
        <v/>
      </c>
      <c r="C69" s="11">
        <f>'balance_raw_80673612'!$C$47</f>
        <v/>
      </c>
      <c r="D69" s="11">
        <f>'balance_raw_80673612'!$D$47</f>
        <v/>
      </c>
      <c r="E69" s="11">
        <f>'balance_raw_80673612'!$E$47</f>
        <v/>
      </c>
      <c r="F69" s="11">
        <f>'balance_raw_80673612'!$F$47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Gæld til tilknyttede virksomheder</t>
        </is>
      </c>
      <c r="B70" s="5">
        <f>'balance_raw_80673612'!$B$48</f>
        <v/>
      </c>
      <c r="C70" s="5">
        <f>'balance_raw_80673612'!$C$48</f>
        <v/>
      </c>
      <c r="D70" s="5">
        <f>'balance_raw_80673612'!$D$48</f>
        <v/>
      </c>
      <c r="E70" s="5">
        <f>'balance_raw_80673612'!$E$48</f>
        <v/>
      </c>
      <c r="F70" s="5">
        <f>'balance_raw_80673612'!$F$48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Gæld til selskabsdeltagere og ledelse</t>
        </is>
      </c>
      <c r="B71" s="11">
        <f>'balance_raw_80673612'!$B$49</f>
        <v/>
      </c>
      <c r="C71" s="11">
        <f>'balance_raw_80673612'!$C$49</f>
        <v/>
      </c>
      <c r="D71" s="11">
        <f>'balance_raw_80673612'!$D$49</f>
        <v/>
      </c>
      <c r="E71" s="11">
        <f>'balance_raw_80673612'!$E$49</f>
        <v/>
      </c>
      <c r="F71" s="11">
        <f>'balance_raw_80673612'!$F$49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Selskabsskat</t>
        </is>
      </c>
      <c r="B72" s="5">
        <f>'balance_raw_80673612'!$B$50</f>
        <v/>
      </c>
      <c r="C72" s="5">
        <f>'balance_raw_80673612'!$C$50</f>
        <v/>
      </c>
      <c r="D72" s="5">
        <f>'balance_raw_80673612'!$D$50</f>
        <v/>
      </c>
      <c r="E72" s="5">
        <f>'balance_raw_80673612'!$E$50</f>
        <v/>
      </c>
      <c r="F72" s="5">
        <f>'balance_raw_80673612'!$F$50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tilknyttede virksomheder vedr. selskabsskat</t>
        </is>
      </c>
      <c r="B73" s="11">
        <f>'balance_raw_80673612'!$B$51</f>
        <v/>
      </c>
      <c r="C73" s="11">
        <f>'balance_raw_80673612'!$C$51</f>
        <v/>
      </c>
      <c r="D73" s="11">
        <f>'balance_raw_80673612'!$D$51</f>
        <v/>
      </c>
      <c r="E73" s="11">
        <f>'balance_raw_80673612'!$E$51</f>
        <v/>
      </c>
      <c r="F73" s="11">
        <f>'balance_raw_80673612'!$F$51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Anden gæld (kortfristet)</t>
        </is>
      </c>
      <c r="B74" s="5">
        <f>'balance_raw_80673612'!$B$52</f>
        <v/>
      </c>
      <c r="C74" s="5">
        <f>'balance_raw_80673612'!$C$52</f>
        <v/>
      </c>
      <c r="D74" s="5">
        <f>'balance_raw_80673612'!$D$52</f>
        <v/>
      </c>
      <c r="E74" s="5">
        <f>'balance_raw_80673612'!$E$52</f>
        <v/>
      </c>
      <c r="F74" s="5">
        <f>'balance_raw_80673612'!$F$52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Periodeafgrænsningsposter (passiver)</t>
        </is>
      </c>
      <c r="B75" s="11">
        <f>'balance_raw_80673612'!$B$53</f>
        <v/>
      </c>
      <c r="C75" s="11">
        <f>'balance_raw_80673612'!$C$53</f>
        <v/>
      </c>
      <c r="D75" s="11">
        <f>'balance_raw_80673612'!$D$53</f>
        <v/>
      </c>
      <c r="E75" s="11">
        <f>'balance_raw_80673612'!$E$53</f>
        <v/>
      </c>
      <c r="F75" s="11">
        <f>'balance_raw_80673612'!$F$53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7" t="inlineStr">
        <is>
          <t>Kortfristede gældsforpligtelser</t>
        </is>
      </c>
      <c r="B76" s="8">
        <f>'balance_raw_80673612'!$B$54</f>
        <v/>
      </c>
      <c r="C76" s="8">
        <f>'balance_raw_80673612'!$C$54</f>
        <v/>
      </c>
      <c r="D76" s="8">
        <f>'balance_raw_80673612'!$D$54</f>
        <v/>
      </c>
      <c r="E76" s="8">
        <f>'balance_raw_80673612'!$E$54</f>
        <v/>
      </c>
      <c r="F76" s="8">
        <f>'balance_raw_80673612'!$F$54</f>
        <v/>
      </c>
      <c r="G76" t="inlineStr"/>
      <c r="H76" s="9">
        <f>IFERROR(B76/$B$76*100,"")</f>
        <v/>
      </c>
      <c r="I76" s="9">
        <f>IFERROR(C76/$B$76*100,"")</f>
        <v/>
      </c>
      <c r="J76" s="9">
        <f>IFERROR(D76/$B$76*100,"")</f>
        <v/>
      </c>
      <c r="K76" s="9">
        <f>IFERROR(E76/$B$76*100,"")</f>
        <v/>
      </c>
      <c r="L76" s="9">
        <f>IFERROR(F76/$B$76*100,"")</f>
        <v/>
      </c>
    </row>
    <row r="77" ht="16" customHeight="1">
      <c r="A77" s="7" t="inlineStr">
        <is>
          <t>Gældsforpligtelser</t>
        </is>
      </c>
      <c r="B77" s="8">
        <f>'balance_raw_80673612'!$B$55</f>
        <v/>
      </c>
      <c r="C77" s="8">
        <f>'balance_raw_80673612'!$C$55</f>
        <v/>
      </c>
      <c r="D77" s="8">
        <f>'balance_raw_80673612'!$D$55</f>
        <v/>
      </c>
      <c r="E77" s="8">
        <f>'balance_raw_80673612'!$E$55</f>
        <v/>
      </c>
      <c r="F77" s="8">
        <f>'balance_raw_80673612'!$F$55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7" t="inlineStr">
        <is>
          <t>Passiver</t>
        </is>
      </c>
      <c r="B78" s="8">
        <f>'balance_raw_80673612'!$B$56</f>
        <v/>
      </c>
      <c r="C78" s="8">
        <f>'balance_raw_80673612'!$C$56</f>
        <v/>
      </c>
      <c r="D78" s="8">
        <f>'balance_raw_80673612'!$D$56</f>
        <v/>
      </c>
      <c r="E78" s="8">
        <f>'balance_raw_80673612'!$E$56</f>
        <v/>
      </c>
      <c r="F78" s="8">
        <f>'balance_raw_80673612'!$F$56</f>
        <v/>
      </c>
      <c r="G78" t="inlineStr"/>
      <c r="H78" s="9">
        <f>IFERROR(B78/$B$78*100,"")</f>
        <v/>
      </c>
      <c r="I78" s="9">
        <f>IFERROR(C78/$B$78*100,"")</f>
        <v/>
      </c>
      <c r="J78" s="9">
        <f>IFERROR(D78/$B$78*100,"")</f>
        <v/>
      </c>
      <c r="K78" s="9">
        <f>IFERROR(E78/$B$78*100,"")</f>
        <v/>
      </c>
      <c r="L78" s="9">
        <f>IFERROR(F78/$B$78*100,"")</f>
        <v/>
      </c>
    </row>
    <row r="80" ht="22" customHeight="1">
      <c r="A80" s="3" t="inlineStr">
        <is>
          <t>NØGLEOPLYSNINGER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10" t="inlineStr">
        <is>
          <t>Gns. antal medarbejdere</t>
        </is>
      </c>
      <c r="B81" s="11">
        <f>'res_raw_80673612'!$B$18</f>
        <v/>
      </c>
      <c r="C81" s="11">
        <f>'res_raw_80673612'!$C$18</f>
        <v/>
      </c>
      <c r="D81" s="11">
        <f>'res_raw_80673612'!$D$18</f>
        <v/>
      </c>
      <c r="E81" s="11">
        <f>'res_raw_80673612'!$E$18</f>
        <v/>
      </c>
      <c r="F81" s="11">
        <f>'res_raw_80673612'!$F$18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4" t="inlineStr">
        <is>
          <t>Investering i materielle anlægsaktiver</t>
        </is>
      </c>
      <c r="B82" s="5">
        <f>'res_raw_80673612'!$B$19</f>
        <v/>
      </c>
      <c r="C82" s="5">
        <f>'res_raw_80673612'!$C$19</f>
        <v/>
      </c>
      <c r="D82" s="5">
        <f>'res_raw_80673612'!$D$19</f>
        <v/>
      </c>
      <c r="E82" s="5">
        <f>'res_raw_80673612'!$E$19</f>
        <v/>
      </c>
      <c r="F82" s="5">
        <f>'res_raw_80673612'!$F$19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4" ht="22" customHeight="1">
      <c r="A84" s="3" t="inlineStr">
        <is>
          <t>NØGLETAL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10" t="inlineStr">
        <is>
          <t>Afkastningsgrad, %</t>
        </is>
      </c>
      <c r="B85" s="13">
        <f>IFERROR(($B$12+$B$14+$B$13)/$B$48*100,"")</f>
        <v/>
      </c>
      <c r="C85" s="13">
        <f>IFERROR(($C$12+$C$14+$C$13)/$C$48*100,"")</f>
        <v/>
      </c>
      <c r="D85" s="13">
        <f>IFERROR(($D$12+$D$14+$D$13)/$D$48*100,"")</f>
        <v/>
      </c>
      <c r="E85" s="13">
        <f>IFERROR(($E$12+$E$14+$E$13)/$E$48*100,"")</f>
        <v/>
      </c>
      <c r="F85" s="13">
        <f>IFERROR(($F$12+$F$14+$F$13)/$F$48*100,"")</f>
        <v/>
      </c>
    </row>
    <row r="86" ht="16" customHeight="1">
      <c r="A86" s="4" t="inlineStr">
        <is>
          <t>Overskudsgrad (af bruttofortjeneste), %</t>
        </is>
      </c>
      <c r="B86" s="14">
        <f>IFERROR(($B$12+$B$14+$B$13)/$B$6*100,"")</f>
        <v/>
      </c>
      <c r="C86" s="14">
        <f>IFERROR(($C$12+$C$14+$C$13)/$C$6*100,"")</f>
        <v/>
      </c>
      <c r="D86" s="14">
        <f>IFERROR(($D$12+$D$14+$D$13)/$D$6*100,"")</f>
        <v/>
      </c>
      <c r="E86" s="14">
        <f>IFERROR(($E$12+$E$14+$E$13)/$E$6*100,"")</f>
        <v/>
      </c>
      <c r="F86" s="14">
        <f>IFERROR(($F$12+$F$14+$F$13)/$F$6*100,"")</f>
        <v/>
      </c>
    </row>
    <row r="87" ht="16" customHeight="1">
      <c r="A87" s="10" t="inlineStr">
        <is>
          <t>Aktivernes omsætningshastighed (af bruttofortjeneste), gange</t>
        </is>
      </c>
      <c r="B87" s="13">
        <f>IFERROR($B$6/$B$48,"")</f>
        <v/>
      </c>
      <c r="C87" s="13">
        <f>IFERROR($C$6/$C$48,"")</f>
        <v/>
      </c>
      <c r="D87" s="13">
        <f>IFERROR($D$6/$D$48,"")</f>
        <v/>
      </c>
      <c r="E87" s="13">
        <f>IFERROR($E$6/$E$48,"")</f>
        <v/>
      </c>
      <c r="F87" s="13">
        <f>IFERROR($F$6/$F$48,"")</f>
        <v/>
      </c>
    </row>
    <row r="88" ht="16" customHeight="1">
      <c r="A88" s="4" t="inlineStr">
        <is>
          <t>Egenkapitalens forrentning, %</t>
        </is>
      </c>
      <c r="B88" s="14">
        <f>IFERROR($B$17/$B$57*100,"")</f>
        <v/>
      </c>
      <c r="C88" s="14">
        <f>IFERROR($C$17/$C$57*100,"")</f>
        <v/>
      </c>
      <c r="D88" s="14">
        <f>IFERROR($D$17/$D$57*100,"")</f>
        <v/>
      </c>
      <c r="E88" s="14">
        <f>IFERROR($E$17/$E$57*100,"")</f>
        <v/>
      </c>
      <c r="F88" s="14">
        <f>IFERROR($F$17/$F$57*100,"")</f>
        <v/>
      </c>
    </row>
    <row r="89" ht="16" customHeight="1">
      <c r="A89" s="10" t="inlineStr">
        <is>
          <t>Gældsrente, %</t>
        </is>
      </c>
      <c r="B89" s="13">
        <f>IFERROR($B$15/($B$78-$B$57)*100,"")</f>
        <v/>
      </c>
      <c r="C89" s="13">
        <f>IFERROR($C$15/($C$78-$C$57)*100,"")</f>
        <v/>
      </c>
      <c r="D89" s="13">
        <f>IFERROR($D$15/($D$78-$D$57)*100,"")</f>
        <v/>
      </c>
      <c r="E89" s="13">
        <f>IFERROR($E$15/($E$78-$E$57)*100,"")</f>
        <v/>
      </c>
      <c r="F89" s="13">
        <f>IFERROR($F$15/($F$78-$F$57)*100,"")</f>
        <v/>
      </c>
    </row>
    <row r="90" ht="16" customHeight="1">
      <c r="A90" s="4" t="inlineStr">
        <is>
          <t>Soliditetsgrad, %</t>
        </is>
      </c>
      <c r="B90" s="14">
        <f>IFERROR($B$57/$B$48*100,"")</f>
        <v/>
      </c>
      <c r="C90" s="14">
        <f>IFERROR($C$57/$C$48*100,"")</f>
        <v/>
      </c>
      <c r="D90" s="14">
        <f>IFERROR($D$57/$D$48*100,"")</f>
        <v/>
      </c>
      <c r="E90" s="14">
        <f>IFERROR($E$57/$E$48*100,"")</f>
        <v/>
      </c>
      <c r="F90" s="14">
        <f>IFERROR($F$57/$F$48*100,"")</f>
        <v/>
      </c>
    </row>
    <row r="91" ht="16" customHeight="1">
      <c r="A91" s="10" t="inlineStr">
        <is>
          <t>Gearing</t>
        </is>
      </c>
      <c r="B91" s="13">
        <f>IFERROR(($B$78-$B$57)/$B$57,"")</f>
        <v/>
      </c>
      <c r="C91" s="13">
        <f>IFERROR(($C$78-$C$57)/$C$57,"")</f>
        <v/>
      </c>
      <c r="D91" s="13">
        <f>IFERROR(($D$78-$D$57)/$D$57,"")</f>
        <v/>
      </c>
      <c r="E91" s="13">
        <f>IFERROR(($E$78-$E$57)/$E$57,"")</f>
        <v/>
      </c>
      <c r="F91" s="13">
        <f>IFERROR(($F$78-$F$57)/$F$57,"")</f>
        <v/>
      </c>
    </row>
    <row r="92" ht="16" customHeight="1">
      <c r="A92" s="4" t="inlineStr">
        <is>
          <t>Likviditetsgrad, %</t>
        </is>
      </c>
      <c r="B92" s="14">
        <f>IFERROR($B$47/$B$76*100,"")</f>
        <v/>
      </c>
      <c r="C92" s="14">
        <f>IFERROR($C$47/$C$76*100,"")</f>
        <v/>
      </c>
      <c r="D92" s="14">
        <f>IFERROR($D$47/$D$76*100,"")</f>
        <v/>
      </c>
      <c r="E92" s="14">
        <f>IFERROR($E$47/$E$76*100,"")</f>
        <v/>
      </c>
      <c r="F92" s="14">
        <f>IFERROR($F$47/$F$76*100,"")</f>
        <v/>
      </c>
    </row>
    <row r="93" ht="16" customHeight="1">
      <c r="A93" s="10" t="inlineStr">
        <is>
          <t>Rentemarginal, %</t>
        </is>
      </c>
      <c r="B93" s="13">
        <f>IFERROR(B85-B89,"")</f>
        <v/>
      </c>
      <c r="C93" s="13">
        <f>IFERROR(C85-C89,"")</f>
        <v/>
      </c>
      <c r="D93" s="13">
        <f>IFERROR(D85-D89,"")</f>
        <v/>
      </c>
      <c r="E93" s="13">
        <f>IFERROR(E85-E89,"")</f>
        <v/>
      </c>
      <c r="F93" s="13">
        <f>IFERROR(F85-F89,"")</f>
        <v/>
      </c>
    </row>
    <row r="94" ht="16" customHeight="1">
      <c r="A94" s="4" t="inlineStr">
        <is>
          <t>Gældsandel, %</t>
        </is>
      </c>
      <c r="B94" s="14">
        <f>IFERROR(($B$78-$B$57)/$B$48*100,"")</f>
        <v/>
      </c>
      <c r="C94" s="14">
        <f>IFERROR(($C$78-$C$57)/$C$48*100,"")</f>
        <v/>
      </c>
      <c r="D94" s="14">
        <f>IFERROR(($D$78-$D$57)/$D$48*100,"")</f>
        <v/>
      </c>
      <c r="E94" s="14">
        <f>IFERROR(($E$78-$E$57)/$E$48*100,"")</f>
        <v/>
      </c>
      <c r="F94" s="14">
        <f>IFERROR(($F$78-$F$57)/$F$48*100,"")</f>
        <v/>
      </c>
    </row>
    <row r="95" ht="16" customHeight="1">
      <c r="A95" s="10" t="inlineStr">
        <is>
          <t>Kapitalbindingsgrad, %</t>
        </is>
      </c>
      <c r="B95" s="13">
        <f>IFERROR($B$32/($B$57+$B$64)*100,"")</f>
        <v/>
      </c>
      <c r="C95" s="13">
        <f>IFERROR($C$32/($C$57+$C$64)*100,"")</f>
        <v/>
      </c>
      <c r="D95" s="13">
        <f>IFERROR($D$32/($D$57+$D$64)*100,"")</f>
        <v/>
      </c>
      <c r="E95" s="13">
        <f>IFERROR($E$32/($E$57+$E$64)*100,"")</f>
        <v/>
      </c>
      <c r="F95" s="13">
        <f>IFERROR($F$32/($F$57+$F$64)*100,"")</f>
        <v/>
      </c>
    </row>
    <row r="97">
      <c r="A97" s="15" t="inlineStr">
        <is>
          <t>PENGESTRØMSOPGØRELSE t.kr.</t>
        </is>
      </c>
    </row>
    <row r="98">
      <c r="A98" s="16" t="inlineStr">
        <is>
          <t>Pengestrømme fra driftsaktivitet</t>
        </is>
      </c>
      <c r="B98" s="17">
        <f>'pengestrom_raw_80673612'!$B$2</f>
        <v/>
      </c>
      <c r="C98" s="17">
        <f>'pengestrom_raw_80673612'!$C$2</f>
        <v/>
      </c>
      <c r="D98" s="17">
        <f>'pengestrom_raw_80673612'!$D$2</f>
        <v/>
      </c>
      <c r="E98" s="17">
        <f>'pengestrom_raw_80673612'!$E$2</f>
        <v/>
      </c>
      <c r="F98" s="17">
        <f>'pengestrom_raw_80673612'!$F$2</f>
        <v/>
      </c>
    </row>
    <row r="99">
      <c r="A99" s="16" t="inlineStr">
        <is>
          <t>Pengestrømme fra investeringsaktivitet</t>
        </is>
      </c>
      <c r="B99" s="17">
        <f>'pengestrom_raw_80673612'!$B$3</f>
        <v/>
      </c>
      <c r="C99" s="17">
        <f>'pengestrom_raw_80673612'!$C$3</f>
        <v/>
      </c>
      <c r="D99" s="17">
        <f>'pengestrom_raw_80673612'!$D$3</f>
        <v/>
      </c>
      <c r="E99" s="17">
        <f>'pengestrom_raw_80673612'!$E$3</f>
        <v/>
      </c>
      <c r="F99" s="17">
        <f>'pengestrom_raw_80673612'!$F$3</f>
        <v/>
      </c>
    </row>
    <row r="100">
      <c r="A100" s="16" t="inlineStr">
        <is>
          <t>Pengestrømme fra finansieringsaktivitet</t>
        </is>
      </c>
      <c r="B100" s="17">
        <f>'pengestrom_raw_80673612'!$B$4</f>
        <v/>
      </c>
      <c r="C100" s="17">
        <f>'pengestrom_raw_80673612'!$C$4</f>
        <v/>
      </c>
      <c r="D100" s="17">
        <f>'pengestrom_raw_80673612'!$D$4</f>
        <v/>
      </c>
      <c r="E100" s="17">
        <f>'pengestrom_raw_80673612'!$E$4</f>
        <v/>
      </c>
      <c r="F100" s="17">
        <f>'pengestrom_raw_80673612'!$F$4</f>
        <v/>
      </c>
    </row>
    <row r="101">
      <c r="A101" s="16" t="inlineStr">
        <is>
          <t>Årets pengestrøm (rapporteret)</t>
        </is>
      </c>
      <c r="B101" s="17">
        <f>'pengestrom_raw_80673612'!$B$5</f>
        <v/>
      </c>
      <c r="C101" s="17">
        <f>'pengestrom_raw_80673612'!$C$5</f>
        <v/>
      </c>
      <c r="D101" s="17">
        <f>'pengestrom_raw_80673612'!$D$5</f>
        <v/>
      </c>
      <c r="E101" s="17">
        <f>'pengestrom_raw_80673612'!$E$5</f>
        <v/>
      </c>
      <c r="F101" s="17">
        <f>'pengestrom_raw_80673612'!$F$5</f>
        <v/>
      </c>
    </row>
    <row r="102">
      <c r="A102" s="16" t="inlineStr">
        <is>
          <t>Krydstjek: drift + inv. + fin. = årets pengestrøm</t>
        </is>
      </c>
      <c r="B102">
        <f>IF(ABS(('pengestrom_raw_80673612'!$B$2+'pengestrom_raw_80673612'!$B$3+'pengestrom_raw_80673612'!$B$4)-'pengestrom_raw_80673612'!$B$5)&lt;=2,"✓","⚠ "&amp;TEXT(('pengestrom_raw_80673612'!$B$2+'pengestrom_raw_80673612'!$B$3+'pengestrom_raw_80673612'!$B$4)-'pengestrom_raw_80673612'!$B$5,"+#,##0;-#,##0"))</f>
        <v/>
      </c>
      <c r="C102">
        <f>IF(ABS(('pengestrom_raw_80673612'!$C$2+'pengestrom_raw_80673612'!$C$3+'pengestrom_raw_80673612'!$C$4)-'pengestrom_raw_80673612'!$C$5)&lt;=2,"✓","⚠ "&amp;TEXT(('pengestrom_raw_80673612'!$C$2+'pengestrom_raw_80673612'!$C$3+'pengestrom_raw_80673612'!$C$4)-'pengestrom_raw_80673612'!$C$5,"+#,##0;-#,##0"))</f>
        <v/>
      </c>
      <c r="D102">
        <f>IF(ABS(('pengestrom_raw_80673612'!$D$2+'pengestrom_raw_80673612'!$D$3+'pengestrom_raw_80673612'!$D$4)-'pengestrom_raw_80673612'!$D$5)&lt;=2,"✓","⚠ "&amp;TEXT(('pengestrom_raw_80673612'!$D$2+'pengestrom_raw_80673612'!$D$3+'pengestrom_raw_80673612'!$D$4)-'pengestrom_raw_80673612'!$D$5,"+#,##0;-#,##0"))</f>
        <v/>
      </c>
      <c r="E102">
        <f>IF(ABS(('pengestrom_raw_80673612'!$E$2+'pengestrom_raw_80673612'!$E$3+'pengestrom_raw_80673612'!$E$4)-'pengestrom_raw_80673612'!$E$5)&lt;=2,"✓","⚠ "&amp;TEXT(('pengestrom_raw_80673612'!$E$2+'pengestrom_raw_80673612'!$E$3+'pengestrom_raw_80673612'!$E$4)-'pengestrom_raw_80673612'!$E$5,"+#,##0;-#,##0"))</f>
        <v/>
      </c>
      <c r="F102">
        <f>IF(ABS(('pengestrom_raw_80673612'!$F$2+'pengestrom_raw_80673612'!$F$3+'pengestrom_raw_80673612'!$F$4)-'pengestrom_raw_80673612'!$F$5)&lt;=2,"✓","⚠ "&amp;TEXT(('pengestrom_raw_80673612'!$F$2+'pengestrom_raw_80673612'!$F$3+'pengestrom_raw_80673612'!$F$4)-'pengestrom_raw_80673612'!$F$5,"+#,##0;-#,##0"))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Scanpan A/S (CVR 80673612)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/>
      <c r="C2" s="17" t="n"/>
      <c r="D2" s="17" t="n"/>
      <c r="E2" s="17" t="n"/>
      <c r="F2" s="17" t="n"/>
    </row>
    <row r="3">
      <c r="A3" s="16" t="inlineStr">
        <is>
          <t>Produktionsomkostninger</t>
        </is>
      </c>
      <c r="B3" s="17" t="n"/>
      <c r="C3" s="17" t="n"/>
      <c r="D3" s="17" t="n"/>
      <c r="E3" s="17" t="n"/>
      <c r="F3" s="17" t="n"/>
    </row>
    <row r="4">
      <c r="A4" s="15" t="inlineStr">
        <is>
          <t>Bruttoresultat</t>
        </is>
      </c>
      <c r="B4" s="17" t="n">
        <v>75873</v>
      </c>
      <c r="C4" s="17" t="n">
        <v>52019</v>
      </c>
      <c r="D4" s="17" t="n">
        <v>31064</v>
      </c>
      <c r="E4" s="17" t="n">
        <v>44876</v>
      </c>
      <c r="F4" s="17" t="n">
        <v>54264</v>
      </c>
    </row>
    <row r="5">
      <c r="A5" s="16" t="inlineStr">
        <is>
          <t>Udviklingsomkostninger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Salgs- og distributionsomkostninger</t>
        </is>
      </c>
      <c r="B6" s="17" t="n">
        <v>26983</v>
      </c>
      <c r="C6" s="17" t="n">
        <v>25379</v>
      </c>
      <c r="D6" s="17" t="n">
        <v>24645</v>
      </c>
      <c r="E6" s="17" t="n">
        <v>26429</v>
      </c>
      <c r="F6" s="17" t="n">
        <v>27637</v>
      </c>
    </row>
    <row r="7">
      <c r="A7" s="16" t="inlineStr">
        <is>
          <t>Administrationsomkostninger</t>
        </is>
      </c>
      <c r="B7" s="17" t="n">
        <v>17351</v>
      </c>
      <c r="C7" s="17" t="n">
        <v>16466</v>
      </c>
      <c r="D7" s="17" t="n">
        <v>19296</v>
      </c>
      <c r="E7" s="17" t="n">
        <v>21534</v>
      </c>
      <c r="F7" s="17" t="n">
        <v>22151</v>
      </c>
    </row>
    <row r="8">
      <c r="A8" s="16" t="inlineStr">
        <is>
          <t>Andre driftsindtægter</t>
        </is>
      </c>
      <c r="B8" s="17" t="n"/>
      <c r="C8" s="17" t="n"/>
      <c r="D8" s="17" t="n"/>
      <c r="E8" s="17" t="n"/>
      <c r="F8" s="17" t="n"/>
    </row>
    <row r="9">
      <c r="A9" s="16" t="inlineStr">
        <is>
          <t>Andre driftsomkostninger</t>
        </is>
      </c>
      <c r="B9" s="17" t="n">
        <v>15</v>
      </c>
      <c r="C9" s="17" t="n">
        <v>0</v>
      </c>
      <c r="D9" s="17" t="n">
        <v>4</v>
      </c>
      <c r="E9" s="17" t="n">
        <v>0</v>
      </c>
      <c r="F9" s="17" t="n">
        <v>5</v>
      </c>
    </row>
    <row r="10">
      <c r="A10" s="15" t="inlineStr">
        <is>
          <t>Resultat af primær drift</t>
        </is>
      </c>
      <c r="B10" s="17" t="n">
        <v>31524</v>
      </c>
      <c r="C10" s="17" t="n">
        <v>10175</v>
      </c>
      <c r="D10" s="17" t="n">
        <v>-12881</v>
      </c>
      <c r="E10" s="17" t="n">
        <v>-3088</v>
      </c>
      <c r="F10" s="17" t="n">
        <v>4471</v>
      </c>
    </row>
    <row r="11">
      <c r="A11" s="16" t="inlineStr">
        <is>
          <t>Indtægter af kapitalandele, dattervirksomheder</t>
        </is>
      </c>
      <c r="B11" s="17" t="n">
        <v>0</v>
      </c>
      <c r="C11" s="17" t="n">
        <v>0</v>
      </c>
      <c r="D11" s="17" t="n">
        <v>0</v>
      </c>
      <c r="E11" s="17" t="n">
        <v>0</v>
      </c>
      <c r="F11" s="17" t="n">
        <v>0</v>
      </c>
    </row>
    <row r="12">
      <c r="A12" s="16" t="inlineStr">
        <is>
          <t>Finansielle indtægter</t>
        </is>
      </c>
      <c r="B12" s="17" t="n">
        <v>674</v>
      </c>
      <c r="C12" s="17" t="n">
        <v>664</v>
      </c>
      <c r="D12" s="17" t="n">
        <v>338</v>
      </c>
      <c r="E12" s="17" t="n">
        <v>309</v>
      </c>
      <c r="F12" s="17" t="n">
        <v>509</v>
      </c>
    </row>
    <row r="13">
      <c r="A13" s="16" t="inlineStr">
        <is>
          <t>Finansielle omkostninger</t>
        </is>
      </c>
      <c r="B13" s="17" t="n">
        <v>836</v>
      </c>
      <c r="C13" s="17" t="n">
        <v>1067</v>
      </c>
      <c r="D13" s="17" t="n">
        <v>628</v>
      </c>
      <c r="E13" s="17" t="n">
        <v>1603</v>
      </c>
      <c r="F13" s="17" t="n">
        <v>2502</v>
      </c>
    </row>
    <row r="14">
      <c r="A14" s="15" t="inlineStr">
        <is>
          <t>Finansielle poster, netto</t>
        </is>
      </c>
      <c r="B14" s="17" t="n">
        <v>-162</v>
      </c>
      <c r="C14" s="17" t="n">
        <v>-404</v>
      </c>
      <c r="D14" s="17" t="n">
        <v>-290</v>
      </c>
      <c r="E14" s="17" t="n">
        <v>-1294</v>
      </c>
      <c r="F14" s="17" t="n">
        <v>-1993</v>
      </c>
    </row>
    <row r="15">
      <c r="A15" s="15" t="inlineStr">
        <is>
          <t>Resultat før skat</t>
        </is>
      </c>
      <c r="B15" s="17" t="n">
        <v>46170</v>
      </c>
      <c r="C15" s="17" t="n">
        <v>23988</v>
      </c>
      <c r="D15" s="17" t="n">
        <v>-7153</v>
      </c>
      <c r="E15" s="17" t="n">
        <v>1475</v>
      </c>
      <c r="F15" s="17" t="n">
        <v>7257</v>
      </c>
    </row>
    <row r="16">
      <c r="A16" s="16" t="inlineStr">
        <is>
          <t>Skat af årets resultat</t>
        </is>
      </c>
      <c r="B16" s="17" t="n">
        <v>6583</v>
      </c>
      <c r="C16" s="17" t="n">
        <v>2299</v>
      </c>
      <c r="D16" s="17" t="n">
        <v>-2815</v>
      </c>
      <c r="E16" s="17" t="n">
        <v>-723</v>
      </c>
      <c r="F16" s="17" t="n">
        <v>515</v>
      </c>
    </row>
    <row r="17">
      <c r="A17" s="15" t="inlineStr">
        <is>
          <t>Årets resultat</t>
        </is>
      </c>
      <c r="B17" s="17" t="n">
        <v>39587</v>
      </c>
      <c r="C17" s="17" t="n">
        <v>21689</v>
      </c>
      <c r="D17" s="17" t="n">
        <v>-4338</v>
      </c>
      <c r="E17" s="17" t="n">
        <v>2198</v>
      </c>
      <c r="F17" s="17" t="n">
        <v>6742</v>
      </c>
    </row>
    <row r="18">
      <c r="A18" s="16" t="inlineStr">
        <is>
          <t>Gns. antal medarbejdere</t>
        </is>
      </c>
      <c r="B18" s="17" t="n">
        <v>126</v>
      </c>
      <c r="C18" s="17" t="n">
        <v>120</v>
      </c>
      <c r="D18" s="17" t="n">
        <v>107</v>
      </c>
      <c r="E18" s="17" t="n">
        <v>98</v>
      </c>
      <c r="F18" s="17" t="n">
        <v>104</v>
      </c>
    </row>
    <row r="19">
      <c r="A19" s="16" t="inlineStr">
        <is>
          <t>Investering i materielle anlægsaktiver</t>
        </is>
      </c>
      <c r="B19" s="17" t="n">
        <v>4719</v>
      </c>
      <c r="C19" s="17" t="n">
        <v>1831</v>
      </c>
      <c r="D19" s="17" t="n">
        <v>462</v>
      </c>
      <c r="E19" s="17" t="n">
        <v>2585</v>
      </c>
      <c r="F19" s="17" t="n">
        <v>1745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Scanpan A/S (CVR 80673612)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Immaterielle anlægsaktiver</t>
        </is>
      </c>
      <c r="B2" s="17" t="n"/>
      <c r="C2" s="17" t="n"/>
      <c r="D2" s="17" t="n"/>
      <c r="E2" s="17" t="n">
        <v>750</v>
      </c>
      <c r="F2" s="17" t="n">
        <v>520</v>
      </c>
    </row>
    <row r="3">
      <c r="A3" s="16" t="inlineStr">
        <is>
          <t>Grunde og bygninger</t>
        </is>
      </c>
      <c r="B3" s="17" t="n">
        <v>9802</v>
      </c>
      <c r="C3" s="17" t="n">
        <v>10123</v>
      </c>
      <c r="D3" s="17" t="n">
        <v>9858</v>
      </c>
      <c r="E3" s="17" t="n">
        <v>9327</v>
      </c>
      <c r="F3" s="17" t="n">
        <v>8796</v>
      </c>
    </row>
    <row r="4">
      <c r="A4" s="16" t="inlineStr">
        <is>
          <t>Produktionsanlæg og maskiner</t>
        </is>
      </c>
      <c r="B4" s="17" t="n">
        <v>4968</v>
      </c>
      <c r="C4" s="17" t="n">
        <v>3870</v>
      </c>
      <c r="D4" s="17" t="n">
        <v>2700</v>
      </c>
      <c r="E4" s="17" t="n">
        <v>1626</v>
      </c>
      <c r="F4" s="17" t="n">
        <v>2308</v>
      </c>
    </row>
    <row r="5">
      <c r="A5" s="16" t="inlineStr">
        <is>
          <t>Driftsmateriel og inventar</t>
        </is>
      </c>
      <c r="B5" s="17" t="n">
        <v>3161</v>
      </c>
      <c r="C5" s="17" t="n">
        <v>2074</v>
      </c>
      <c r="D5" s="17" t="n">
        <v>998</v>
      </c>
      <c r="E5" s="17" t="n">
        <v>2263</v>
      </c>
      <c r="F5" s="17" t="n">
        <v>1422</v>
      </c>
    </row>
    <row r="6">
      <c r="A6" s="16" t="inlineStr">
        <is>
          <t>Indretning af lejede lokaler</t>
        </is>
      </c>
      <c r="B6" s="17" t="n">
        <v>1904</v>
      </c>
      <c r="C6" s="17" t="n">
        <v>1425</v>
      </c>
      <c r="D6" s="17" t="n">
        <v>1050</v>
      </c>
      <c r="E6" s="17" t="n">
        <v>736</v>
      </c>
      <c r="F6" s="17" t="n">
        <v>449</v>
      </c>
    </row>
    <row r="7">
      <c r="A7" s="16" t="inlineStr">
        <is>
          <t>Forudbetaling og anlægsaktiver under opførelse</t>
        </is>
      </c>
      <c r="B7" s="17" t="n"/>
      <c r="C7" s="17" t="n"/>
      <c r="D7" s="17" t="n"/>
      <c r="E7" s="17" t="n"/>
      <c r="F7" s="17" t="n"/>
    </row>
    <row r="8">
      <c r="A8" s="15" t="inlineStr">
        <is>
          <t>Materielle anlægsaktiver</t>
        </is>
      </c>
      <c r="B8" s="17" t="n">
        <v>19834</v>
      </c>
      <c r="C8" s="17" t="n">
        <v>17492</v>
      </c>
      <c r="D8" s="17" t="n">
        <v>14607</v>
      </c>
      <c r="E8" s="17" t="n">
        <v>13952</v>
      </c>
      <c r="F8" s="17" t="n">
        <v>12974</v>
      </c>
    </row>
    <row r="9">
      <c r="A9" s="16" t="inlineStr">
        <is>
          <t>Kapitalandele, dattervirksomheder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</row>
    <row r="10">
      <c r="A10" s="16" t="inlineStr">
        <is>
          <t>Deposita</t>
        </is>
      </c>
      <c r="B10" s="17" t="n">
        <v>768</v>
      </c>
      <c r="C10" s="17" t="n">
        <v>858</v>
      </c>
      <c r="D10" s="17" t="n">
        <v>852</v>
      </c>
      <c r="E10" s="17" t="n">
        <v>851</v>
      </c>
      <c r="F10" s="17" t="n">
        <v>851</v>
      </c>
    </row>
    <row r="11">
      <c r="A11" s="15" t="inlineStr">
        <is>
          <t>Finansielle anlægsaktiver</t>
        </is>
      </c>
      <c r="B11" s="17" t="n">
        <v>45793</v>
      </c>
      <c r="C11" s="17" t="n">
        <v>46059</v>
      </c>
      <c r="D11" s="17" t="n">
        <v>40745</v>
      </c>
      <c r="E11" s="17" t="n">
        <v>49360</v>
      </c>
      <c r="F11" s="17" t="n">
        <v>43734</v>
      </c>
    </row>
    <row r="12">
      <c r="A12" s="15" t="inlineStr">
        <is>
          <t>Anlægsaktiver</t>
        </is>
      </c>
      <c r="B12" s="17" t="n">
        <v>65627</v>
      </c>
      <c r="C12" s="17" t="n">
        <v>63551</v>
      </c>
      <c r="D12" s="17" t="n">
        <v>55352</v>
      </c>
      <c r="E12" s="17" t="n">
        <v>64062</v>
      </c>
      <c r="F12" s="17" t="n">
        <v>57228</v>
      </c>
    </row>
    <row r="13">
      <c r="A13" s="16" t="inlineStr">
        <is>
          <t>Råvarer og hjælpematerialer</t>
        </is>
      </c>
      <c r="B13" s="17" t="n">
        <v>31701</v>
      </c>
      <c r="C13" s="17" t="n">
        <v>29329</v>
      </c>
      <c r="D13" s="17" t="n">
        <v>22573</v>
      </c>
      <c r="E13" s="17" t="n">
        <v>27079</v>
      </c>
      <c r="F13" s="17" t="n">
        <v>27956</v>
      </c>
    </row>
    <row r="14">
      <c r="A14" s="16" t="inlineStr">
        <is>
          <t>Varer under fremstilling</t>
        </is>
      </c>
      <c r="B14" s="17" t="n">
        <v>7155</v>
      </c>
      <c r="C14" s="17" t="n">
        <v>7196</v>
      </c>
      <c r="D14" s="17" t="n">
        <v>8674</v>
      </c>
      <c r="E14" s="17" t="n">
        <v>7935</v>
      </c>
      <c r="F14" s="17" t="n">
        <v>7972</v>
      </c>
    </row>
    <row r="15">
      <c r="A15" s="16" t="inlineStr">
        <is>
          <t>Færdigvarer og handelsvarer</t>
        </is>
      </c>
      <c r="B15" s="17" t="n">
        <v>24519</v>
      </c>
      <c r="C15" s="17" t="n">
        <v>37011</v>
      </c>
      <c r="D15" s="17" t="n">
        <v>35611</v>
      </c>
      <c r="E15" s="17" t="n">
        <v>33732</v>
      </c>
      <c r="F15" s="17" t="n">
        <v>38552</v>
      </c>
    </row>
    <row r="16">
      <c r="A16" s="15" t="inlineStr">
        <is>
          <t>Varebeholdninger</t>
        </is>
      </c>
      <c r="B16" s="17" t="n">
        <v>63375</v>
      </c>
      <c r="C16" s="17" t="n">
        <v>73536</v>
      </c>
      <c r="D16" s="17" t="n">
        <v>66858</v>
      </c>
      <c r="E16" s="17" t="n">
        <v>68747</v>
      </c>
      <c r="F16" s="17" t="n">
        <v>74480</v>
      </c>
    </row>
    <row r="17">
      <c r="A17" s="16" t="inlineStr">
        <is>
          <t>Tilgodehavender fra salg og tjenesteydelser</t>
        </is>
      </c>
      <c r="B17" s="17" t="n">
        <v>33119</v>
      </c>
      <c r="C17" s="17" t="n">
        <v>25329</v>
      </c>
      <c r="D17" s="17" t="n">
        <v>25076</v>
      </c>
      <c r="E17" s="17" t="n">
        <v>24017</v>
      </c>
      <c r="F17" s="17" t="n">
        <v>28227</v>
      </c>
    </row>
    <row r="18">
      <c r="A18" s="16" t="inlineStr">
        <is>
          <t>Tilgodehavender hos tilknyttede virksomheder</t>
        </is>
      </c>
      <c r="B18" s="17" t="n">
        <v>0</v>
      </c>
      <c r="C18" s="17" t="n">
        <v>0</v>
      </c>
      <c r="D18" s="17" t="n">
        <v>0</v>
      </c>
      <c r="E18" s="17" t="n">
        <v>0</v>
      </c>
      <c r="F18" s="17" t="n">
        <v>0</v>
      </c>
    </row>
    <row r="19">
      <c r="A19" s="16" t="inlineStr">
        <is>
          <t>Andre tilgodehavender</t>
        </is>
      </c>
      <c r="B19" s="17" t="n">
        <v>728</v>
      </c>
      <c r="C19" s="17" t="n">
        <v>28</v>
      </c>
      <c r="D19" s="17" t="n">
        <v>2745</v>
      </c>
      <c r="E19" s="17" t="n">
        <v>990</v>
      </c>
      <c r="F19" s="17" t="n">
        <v>1604</v>
      </c>
    </row>
    <row r="20">
      <c r="A20" s="16" t="inlineStr">
        <is>
          <t>Periodeafgrænsningsposter (aktiver)</t>
        </is>
      </c>
      <c r="B20" s="17" t="n">
        <v>1473</v>
      </c>
      <c r="C20" s="17" t="n">
        <v>236</v>
      </c>
      <c r="D20" s="17" t="n">
        <v>176</v>
      </c>
      <c r="E20" s="17" t="n">
        <v>522</v>
      </c>
      <c r="F20" s="17" t="n">
        <v>397</v>
      </c>
    </row>
    <row r="21">
      <c r="A21" s="16" t="inlineStr">
        <is>
          <t>Udskudt skatteaktiv</t>
        </is>
      </c>
      <c r="B21" s="17" t="n"/>
      <c r="C21" s="17" t="n"/>
      <c r="D21" s="17" t="n">
        <v>2104</v>
      </c>
      <c r="E21" s="17" t="n">
        <v>2912</v>
      </c>
      <c r="F21" s="17" t="n">
        <v>2480</v>
      </c>
    </row>
    <row r="22">
      <c r="A22" s="16" t="inlineStr">
        <is>
          <t>Tilgodehavende skat hos tilknyttede virksomheder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Kortfristede skattetilgodehavender</t>
        </is>
      </c>
      <c r="B23" s="17" t="n"/>
      <c r="C23" s="17" t="n"/>
      <c r="D23" s="17" t="n">
        <v>94</v>
      </c>
      <c r="E23" s="17" t="n">
        <v>534</v>
      </c>
      <c r="F23" s="17" t="n">
        <v>267</v>
      </c>
    </row>
    <row r="24">
      <c r="A24" s="15" t="inlineStr">
        <is>
          <t>Tilgodehavender</t>
        </is>
      </c>
      <c r="B24" s="17" t="n">
        <v>40981</v>
      </c>
      <c r="C24" s="17" t="n">
        <v>26347</v>
      </c>
      <c r="D24" s="17" t="n">
        <v>34743</v>
      </c>
      <c r="E24" s="17" t="n">
        <v>33480</v>
      </c>
      <c r="F24" s="17" t="n">
        <v>34182</v>
      </c>
    </row>
    <row r="25">
      <c r="A25" s="16" t="inlineStr">
        <is>
          <t>Værdipapirer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Likvide beholdninger</t>
        </is>
      </c>
      <c r="B26" s="17" t="n">
        <v>24104</v>
      </c>
      <c r="C26" s="17" t="n">
        <v>18311</v>
      </c>
      <c r="D26" s="17" t="n">
        <v>25798</v>
      </c>
      <c r="E26" s="17" t="n">
        <v>32459</v>
      </c>
      <c r="F26" s="17" t="n">
        <v>22306</v>
      </c>
    </row>
    <row r="27">
      <c r="A27" s="15" t="inlineStr">
        <is>
          <t>Omsætningsaktiver</t>
        </is>
      </c>
      <c r="B27" s="17" t="n">
        <v>128461</v>
      </c>
      <c r="C27" s="17" t="n">
        <v>118195</v>
      </c>
      <c r="D27" s="17" t="n">
        <v>127399</v>
      </c>
      <c r="E27" s="17" t="n">
        <v>134685</v>
      </c>
      <c r="F27" s="17" t="n">
        <v>130968</v>
      </c>
    </row>
    <row r="28">
      <c r="A28" s="15" t="inlineStr">
        <is>
          <t>Aktiver</t>
        </is>
      </c>
      <c r="B28" s="17" t="n">
        <v>194088</v>
      </c>
      <c r="C28" s="17" t="n">
        <v>181746</v>
      </c>
      <c r="D28" s="17" t="n">
        <v>182751</v>
      </c>
      <c r="E28" s="17" t="n">
        <v>198748</v>
      </c>
      <c r="F28" s="17" t="n">
        <v>188196</v>
      </c>
    </row>
    <row r="29">
      <c r="A29" s="16" t="inlineStr">
        <is>
          <t>Selskabskapital</t>
        </is>
      </c>
      <c r="B29" s="17" t="n">
        <v>1000</v>
      </c>
      <c r="C29" s="17" t="n">
        <v>1000</v>
      </c>
      <c r="D29" s="17" t="n">
        <v>1000</v>
      </c>
      <c r="E29" s="17" t="n">
        <v>1000</v>
      </c>
      <c r="F29" s="17" t="n">
        <v>1000</v>
      </c>
    </row>
    <row r="30">
      <c r="A30" s="16" t="inlineStr">
        <is>
          <t>Reserve for nettoopskrivning (indre værdis metode)</t>
        </is>
      </c>
      <c r="B30" s="17" t="n">
        <v>55200</v>
      </c>
      <c r="C30" s="17" t="n">
        <v>56809</v>
      </c>
      <c r="D30" s="17" t="n">
        <v>34732</v>
      </c>
      <c r="E30" s="17" t="n">
        <v>43348</v>
      </c>
      <c r="F30" s="17" t="n">
        <v>37722</v>
      </c>
    </row>
    <row r="31">
      <c r="A31" s="16" t="inlineStr">
        <is>
          <t>Reserve for udviklingsomkostninger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Reserve for sikringstransaktioner</t>
        </is>
      </c>
      <c r="B32" s="17" t="n">
        <v>131</v>
      </c>
      <c r="C32" s="17" t="n">
        <v>0</v>
      </c>
      <c r="D32" s="17" t="n"/>
      <c r="E32" s="17" t="n"/>
      <c r="F32" s="17" t="n"/>
    </row>
    <row r="33">
      <c r="A33" s="16" t="inlineStr">
        <is>
          <t>Andre reserver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Overført resultat</t>
        </is>
      </c>
      <c r="B34" s="17" t="n">
        <v>64913</v>
      </c>
      <c r="C34" s="17" t="n">
        <v>89365</v>
      </c>
      <c r="D34" s="17" t="n">
        <v>105227</v>
      </c>
      <c r="E34" s="17" t="n">
        <v>92146</v>
      </c>
      <c r="F34" s="17" t="n">
        <v>87989</v>
      </c>
    </row>
    <row r="35">
      <c r="A35" s="15" t="inlineStr">
        <is>
          <t>Egenkapital i alt</t>
        </is>
      </c>
      <c r="B35" s="17" t="n">
        <v>125244</v>
      </c>
      <c r="C35" s="17" t="n">
        <v>147174</v>
      </c>
      <c r="D35" s="17" t="n">
        <v>140959</v>
      </c>
      <c r="E35" s="17" t="n">
        <v>146494</v>
      </c>
      <c r="F35" s="17" t="n">
        <v>136711</v>
      </c>
    </row>
    <row r="36">
      <c r="A36" s="16" t="inlineStr">
        <is>
          <t>Hensættelse til udskudt skat</t>
        </is>
      </c>
      <c r="B36" s="17" t="n">
        <v>607</v>
      </c>
      <c r="C36" s="17" t="n">
        <v>727</v>
      </c>
      <c r="D36" s="17" t="n">
        <v>0</v>
      </c>
      <c r="E36" s="17" t="n">
        <v>2104</v>
      </c>
      <c r="F36" s="17" t="n">
        <v>2912</v>
      </c>
    </row>
    <row r="37">
      <c r="A37" s="15" t="inlineStr">
        <is>
          <t>Hensatte forpligtelser</t>
        </is>
      </c>
      <c r="B37" s="17" t="n">
        <v>2774</v>
      </c>
      <c r="C37" s="17" t="n">
        <v>2934</v>
      </c>
      <c r="D37" s="17" t="n">
        <v>2000</v>
      </c>
      <c r="E37" s="17" t="n">
        <v>1866</v>
      </c>
      <c r="F37" s="17" t="n">
        <v>1786</v>
      </c>
    </row>
    <row r="38">
      <c r="A38" s="16" t="inlineStr">
        <is>
          <t>Ansvarlig lånekapital (langfristet)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Langfristede lån</t>
        </is>
      </c>
      <c r="B39" s="17" t="n">
        <v>4203</v>
      </c>
      <c r="C39" s="17" t="n">
        <v>0</v>
      </c>
      <c r="D39" s="17" t="n"/>
      <c r="E39" s="17" t="n"/>
      <c r="F39" s="17" t="n"/>
    </row>
    <row r="40">
      <c r="A40" s="16" t="inlineStr">
        <is>
          <t>Leasingforpligtelser (langfristet)</t>
        </is>
      </c>
      <c r="B40" s="17" t="n">
        <v>2073</v>
      </c>
      <c r="C40" s="17" t="n">
        <v>1182</v>
      </c>
      <c r="D40" s="17" t="n">
        <v>193</v>
      </c>
      <c r="E40" s="17" t="n">
        <v>1908</v>
      </c>
      <c r="F40" s="17" t="n">
        <v>269</v>
      </c>
    </row>
    <row r="41">
      <c r="A41" s="16" t="inlineStr">
        <is>
          <t>Anden gæld (langfristet)</t>
        </is>
      </c>
      <c r="B41" s="17" t="n">
        <v>4376</v>
      </c>
      <c r="C41" s="17" t="n">
        <v>4468</v>
      </c>
      <c r="D41" s="17" t="n"/>
      <c r="E41" s="17" t="n"/>
      <c r="F41" s="17" t="n"/>
    </row>
    <row r="42">
      <c r="A42" s="15" t="inlineStr">
        <is>
          <t>Langfristede gældsforpligtelser</t>
        </is>
      </c>
      <c r="B42" s="17" t="n">
        <v>10652</v>
      </c>
      <c r="C42" s="17" t="n">
        <v>5650</v>
      </c>
      <c r="D42" s="17" t="n">
        <v>4770</v>
      </c>
      <c r="E42" s="17" t="n">
        <v>6481</v>
      </c>
      <c r="F42" s="17" t="n">
        <v>4841</v>
      </c>
    </row>
    <row r="43">
      <c r="A43" s="16" t="inlineStr">
        <is>
          <t>Ansvarlig lånekapital (kortfristet)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Kortfristet del af langfristede gældsforpligtelser</t>
        </is>
      </c>
      <c r="B44" s="17" t="n">
        <v>1262</v>
      </c>
      <c r="C44" s="17" t="n">
        <v>369</v>
      </c>
      <c r="D44" s="17" t="n">
        <v>302</v>
      </c>
      <c r="E44" s="17" t="n">
        <v>221</v>
      </c>
      <c r="F44" s="17" t="n">
        <v>951</v>
      </c>
    </row>
    <row r="45">
      <c r="A45" s="16" t="inlineStr">
        <is>
          <t>Kreditinstitutter</t>
        </is>
      </c>
      <c r="B45" s="17" t="n">
        <v>12972</v>
      </c>
      <c r="C45" s="17" t="n">
        <v>3395</v>
      </c>
      <c r="D45" s="17" t="n">
        <v>8988</v>
      </c>
      <c r="E45" s="17" t="n">
        <v>25002</v>
      </c>
      <c r="F45" s="17" t="n">
        <v>22103</v>
      </c>
    </row>
    <row r="46">
      <c r="A46" s="16" t="inlineStr">
        <is>
          <t>Leasingforpligtelser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Leverandører af varer og tjenesteydelser</t>
        </is>
      </c>
      <c r="B47" s="17" t="n">
        <v>19187</v>
      </c>
      <c r="C47" s="17" t="n">
        <v>7403</v>
      </c>
      <c r="D47" s="17" t="n">
        <v>12231</v>
      </c>
      <c r="E47" s="17" t="n">
        <v>6616</v>
      </c>
      <c r="F47" s="17" t="n">
        <v>13359</v>
      </c>
    </row>
    <row r="48">
      <c r="A48" s="16" t="inlineStr">
        <is>
          <t>Gæld til tilknyttede virksomheder</t>
        </is>
      </c>
      <c r="B48" s="17" t="n">
        <v>0</v>
      </c>
      <c r="C48" s="17" t="n">
        <v>0</v>
      </c>
      <c r="D48" s="17" t="n">
        <v>0</v>
      </c>
      <c r="E48" s="17" t="n">
        <v>0</v>
      </c>
      <c r="F48" s="17" t="n">
        <v>0</v>
      </c>
    </row>
    <row r="49">
      <c r="A49" s="16" t="inlineStr">
        <is>
          <t>Gæld til selskabsdeltagere og ledelse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Selskabsskat</t>
        </is>
      </c>
      <c r="B50" s="17" t="n">
        <v>6573</v>
      </c>
      <c r="C50" s="17" t="n">
        <v>2202</v>
      </c>
      <c r="D50" s="17" t="n">
        <v>0</v>
      </c>
      <c r="E50" s="17" t="n"/>
      <c r="F50" s="17" t="n"/>
    </row>
    <row r="51">
      <c r="A51" s="16" t="inlineStr">
        <is>
          <t>Gæld til tilknyttede virksomheder vedr. selskabsskat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Anden gæld (kortfristet)</t>
        </is>
      </c>
      <c r="B52" s="17" t="n">
        <v>14901</v>
      </c>
      <c r="C52" s="17" t="n">
        <v>12572</v>
      </c>
      <c r="D52" s="17" t="n">
        <v>13292</v>
      </c>
      <c r="E52" s="17" t="n">
        <v>11934</v>
      </c>
      <c r="F52" s="17" t="n">
        <v>8223</v>
      </c>
    </row>
    <row r="53">
      <c r="A53" s="16" t="inlineStr">
        <is>
          <t>Periodeafgrænsningsposter (passiver)</t>
        </is>
      </c>
      <c r="B53" s="17" t="n">
        <v>401</v>
      </c>
      <c r="C53" s="17" t="n">
        <v>47</v>
      </c>
      <c r="D53" s="17" t="n">
        <v>209</v>
      </c>
      <c r="E53" s="17" t="n">
        <v>133</v>
      </c>
      <c r="F53" s="17" t="n">
        <v>220</v>
      </c>
    </row>
    <row r="54">
      <c r="A54" s="15" t="inlineStr">
        <is>
          <t>Kortfristede gældsforpligtelser</t>
        </is>
      </c>
      <c r="B54" s="17" t="n">
        <v>55418</v>
      </c>
      <c r="C54" s="17" t="n">
        <v>25988</v>
      </c>
      <c r="D54" s="17" t="n">
        <v>35022</v>
      </c>
      <c r="E54" s="17" t="n">
        <v>43907</v>
      </c>
      <c r="F54" s="17" t="n">
        <v>44857</v>
      </c>
    </row>
    <row r="55">
      <c r="A55" s="15" t="inlineStr">
        <is>
          <t>Gældsforpligtelser</t>
        </is>
      </c>
      <c r="B55" s="17" t="n">
        <v>66070</v>
      </c>
      <c r="C55" s="17" t="n">
        <v>31637</v>
      </c>
      <c r="D55" s="17" t="n">
        <v>39792</v>
      </c>
      <c r="E55" s="17" t="n">
        <v>50388</v>
      </c>
      <c r="F55" s="17" t="n">
        <v>49698</v>
      </c>
    </row>
    <row r="56">
      <c r="A56" s="15" t="inlineStr">
        <is>
          <t>Passiver</t>
        </is>
      </c>
      <c r="B56" s="17" t="n">
        <v>194088</v>
      </c>
      <c r="C56" s="17" t="n">
        <v>181746</v>
      </c>
      <c r="D56" s="17" t="n">
        <v>182751</v>
      </c>
      <c r="E56" s="17" t="n">
        <v>198748</v>
      </c>
      <c r="F56" s="17" t="n">
        <v>188196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Scanpan A/S (CVR 80673612)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-602</v>
      </c>
      <c r="C2" s="17" t="n">
        <v>-5340</v>
      </c>
      <c r="D2" s="17" t="n">
        <v>-6923</v>
      </c>
      <c r="E2" s="17" t="n">
        <v>-7788</v>
      </c>
      <c r="F2" s="17" t="n">
        <v>27</v>
      </c>
    </row>
    <row r="3">
      <c r="A3" s="16" t="inlineStr">
        <is>
          <t>Pengestrømme fra investeringsaktivitet</t>
        </is>
      </c>
      <c r="B3" s="17" t="n">
        <v>11016</v>
      </c>
      <c r="C3" s="17" t="n">
        <v>16101</v>
      </c>
      <c r="D3" s="17" t="n">
        <v>9873</v>
      </c>
      <c r="E3" s="17" t="n">
        <v>-3375</v>
      </c>
      <c r="F3" s="17" t="n">
        <v>3628</v>
      </c>
    </row>
    <row r="4">
      <c r="A4" s="16" t="inlineStr">
        <is>
          <t>Pengestrømme fra finansieringsaktivitet</t>
        </is>
      </c>
      <c r="B4" s="17" t="n">
        <v>-1144</v>
      </c>
      <c r="C4" s="17" t="n">
        <v>-16554</v>
      </c>
      <c r="D4" s="17" t="n">
        <v>4537</v>
      </c>
      <c r="E4" s="17" t="n">
        <v>17824</v>
      </c>
      <c r="F4" s="17" t="n">
        <v>-13808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Scanpan A/S (CVR 80673612) — Regnskabs- og nøgletal (CVR: 80673612)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'res_raw_80673612'!$F$2</f>
        <v/>
      </c>
      <c r="C5" s="24">
        <f>'res_raw_80673612'!$E$2</f>
        <v/>
      </c>
      <c r="D5" s="24">
        <f>'res_raw_80673612'!$D$2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-'res_raw_80673612'!$F$3</f>
        <v/>
      </c>
      <c r="C6" s="24">
        <f>-'res_raw_80673612'!$E$3</f>
        <v/>
      </c>
      <c r="D6" s="24">
        <f>-'res_raw_80673612'!$D$3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IF(ABS((SUM(B5:B6))-'res_raw_80673612'!$F$4)&lt;=2,SUM(B5:B6),'res_raw_80673612'!$F$4)</f>
        <v/>
      </c>
      <c r="C7" s="27">
        <f>IF(ABS((SUM(C5:C6))-'res_raw_80673612'!$E$4)&lt;=2,SUM(C5:C6),'res_raw_80673612'!$E$4)</f>
        <v/>
      </c>
      <c r="D7" s="27">
        <f>IF(ABS((SUM(D5:D6))-'res_raw_80673612'!$D$4)&lt;=2,SUM(D5:D6),'res_raw_80673612'!$D$4)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-'res_raw_80673612'!$F$5</f>
        <v/>
      </c>
      <c r="C8" s="24">
        <f>-'res_raw_80673612'!$E$5</f>
        <v/>
      </c>
      <c r="D8" s="24">
        <f>-'res_raw_80673612'!$D$5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-'res_raw_80673612'!$F$6</f>
        <v/>
      </c>
      <c r="C9" s="24">
        <f>-'res_raw_80673612'!$E$6</f>
        <v/>
      </c>
      <c r="D9" s="24">
        <f>-'res_raw_80673612'!$D$6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-'res_raw_80673612'!$F$7</f>
        <v/>
      </c>
      <c r="C10" s="24">
        <f>-'res_raw_80673612'!$E$7</f>
        <v/>
      </c>
      <c r="D10" s="24">
        <f>-'res_raw_80673612'!$D$7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'res_raw_80673612'!$F$8</f>
        <v/>
      </c>
      <c r="C11" s="24">
        <f>'res_raw_80673612'!$E$8</f>
        <v/>
      </c>
      <c r="D11" s="24">
        <f>'res_raw_80673612'!$D$8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-'res_raw_80673612'!$F$9</f>
        <v/>
      </c>
      <c r="C12" s="27">
        <f>-'res_raw_80673612'!$E$9</f>
        <v/>
      </c>
      <c r="D12" s="27">
        <f>-'res_raw_80673612'!$D$9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IF(ABS((SUM(B7:B12))-'res_raw_80673612'!$F$10)&lt;=2,SUM(B7:B12),'res_raw_80673612'!$F$10)</f>
        <v/>
      </c>
      <c r="C13" s="30">
        <f>IF(ABS((SUM(C7:C12))-'res_raw_80673612'!$E$10)&lt;=2,SUM(C7:C12),'res_raw_80673612'!$E$10)</f>
        <v/>
      </c>
      <c r="D13" s="30">
        <f>IF(ABS((SUM(D7:D12))-'res_raw_80673612'!$D$10)&lt;=2,SUM(D7:D12),'res_raw_80673612'!$D$10)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N('res_raw_80673612'!$F$11)+N('res_raw_80673612'!$F$12)</f>
        <v/>
      </c>
      <c r="C14" s="24">
        <f>N('res_raw_80673612'!$E$11)+N('res_raw_80673612'!$E$12)</f>
        <v/>
      </c>
      <c r="D14" s="24">
        <f>N('res_raw_80673612'!$D$11)+N('res_raw_80673612'!$D$12)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-'res_raw_80673612'!$F$13</f>
        <v/>
      </c>
      <c r="C15" s="27">
        <f>-'res_raw_80673612'!$E$13</f>
        <v/>
      </c>
      <c r="D15" s="27">
        <f>-'res_raw_80673612'!$D$13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IF(ABS((SUM(B13:B15))-'res_raw_80673612'!$F$15)&lt;=2,SUM(B13:B15),'res_raw_80673612'!$F$15)</f>
        <v/>
      </c>
      <c r="C16" s="30">
        <f>IF(ABS((SUM(C13:C15))-'res_raw_80673612'!$E$15)&lt;=2,SUM(C13:C15),'res_raw_80673612'!$E$15)</f>
        <v/>
      </c>
      <c r="D16" s="30">
        <f>IF(ABS((SUM(D13:D15))-'res_raw_80673612'!$D$15)&lt;=2,SUM(D13:D15),'res_raw_80673612'!$D$15)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'balance_raw_80673612'!$F$12</f>
        <v/>
      </c>
      <c r="C19" s="24">
        <f>'balance_raw_80673612'!$E$12</f>
        <v/>
      </c>
      <c r="D19" s="24">
        <f>'balance_raw_80673612'!$D$12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'balance_raw_80673612'!$F$27</f>
        <v/>
      </c>
      <c r="C20" s="24">
        <f>'balance_raw_80673612'!$E$27</f>
        <v/>
      </c>
      <c r="D20" s="24">
        <f>'balance_raw_80673612'!$D$27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'balance_raw_80673612'!$F$35</f>
        <v/>
      </c>
      <c r="C23" s="24">
        <f>'balance_raw_80673612'!$E$35</f>
        <v/>
      </c>
      <c r="D23" s="24">
        <f>'balance_raw_80673612'!$D$35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'balance_raw_80673612'!$F$56-'balance_raw_80673612'!$F$35</f>
        <v/>
      </c>
      <c r="C24" s="24">
        <f>'balance_raw_80673612'!$E$56-'balance_raw_80673612'!$E$35</f>
        <v/>
      </c>
      <c r="D24" s="24">
        <f>'balance_raw_80673612'!$D$56-'balance_raw_80673612'!$D$35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'balance_raw_80673612'!$F$16</f>
        <v/>
      </c>
      <c r="C28" s="24">
        <f>'balance_raw_80673612'!$E$16</f>
        <v/>
      </c>
      <c r="D28" s="24">
        <f>'balance_raw_80673612'!$D$16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'balance_raw_80673612'!$F$17</f>
        <v/>
      </c>
      <c r="C29" s="24">
        <f>'balance_raw_80673612'!$E$17</f>
        <v/>
      </c>
      <c r="D29" s="24">
        <f>'balance_raw_80673612'!$D$17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'balance_raw_80673612'!$F$54</f>
        <v/>
      </c>
      <c r="C30" s="24">
        <f>'balance_raw_80673612'!$E$54</f>
        <v/>
      </c>
      <c r="D30" s="24">
        <f>'balance_raw_80673612'!$D$54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 (af bruttofortjeneste), %</t>
        </is>
      </c>
      <c r="B34" s="32">
        <f>IFERROR((B13+B14)/B7*100,"")</f>
        <v/>
      </c>
      <c r="C34" s="32">
        <f>IFERROR((C13+C14)/C7*100,"")</f>
        <v/>
      </c>
      <c r="D34" s="32">
        <f>IFERROR((D13+D14)/D7*100,"")</f>
        <v/>
      </c>
      <c r="F34" s="31" t="n"/>
    </row>
    <row r="35">
      <c r="A35" s="23" t="inlineStr">
        <is>
          <t>Aktivernes omsætningshastighed (af bruttofortjeneste), gange</t>
        </is>
      </c>
      <c r="B35" s="32">
        <f>IFERROR(B7/B21,"")</f>
        <v/>
      </c>
      <c r="C35" s="32">
        <f>IFERROR(C7/C21,"")</f>
        <v/>
      </c>
      <c r="D35" s="32">
        <f>IFERROR(D7/D21,"")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3">
        <f>IFERROR(B7/$D7*100,"")</f>
        <v/>
      </c>
      <c r="C41" s="33">
        <f>IFERROR(C7/$D7*100,"")</f>
        <v/>
      </c>
      <c r="D41" s="33">
        <f>IFERROR(D7/$D7*100,"")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Bruttofortjeneste</t>
        </is>
      </c>
      <c r="B49" s="33">
        <f>IFERROR(B7*100/$D7,"")</f>
        <v/>
      </c>
      <c r="C49" s="33">
        <f>IFERROR(C7*100/$D7,"")</f>
        <v/>
      </c>
      <c r="D49" s="33">
        <f>IFERROR(D7*100/$D7,"")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IF('balance_raw_80673612'!$F$28="","—",IF(ABS(B21-'balance_raw_80673612'!$F$28)&lt;=1,"✓ OK","❌ "&amp;TEXT(B21-'balance_raw_80673612'!$F$28,"+#,##0;-#,##0")&amp;" t.kr."))</f>
        <v/>
      </c>
      <c r="C62" s="31">
        <f>IF('balance_raw_80673612'!$E$28="","—",IF(ABS(C21-'balance_raw_80673612'!$E$28)&lt;=1,"✓ OK","❌ "&amp;TEXT(C21-'balance_raw_80673612'!$E$28,"+#,##0;-#,##0")&amp;" t.kr."))</f>
        <v/>
      </c>
      <c r="D62" s="31">
        <f>IF('balance_raw_80673612'!$D$28="","—",IF(ABS(D21-'balance_raw_80673612'!$D$28)&lt;=1,"✓ OK","❌ "&amp;TEXT(D21-'balance_raw_80673612'!$D$28,"+#,##0;-#,##0")&amp;" t.kr."))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IF('balance_raw_80673612'!$F$56="","—",IF(ABS(B25-'balance_raw_80673612'!$F$56)&lt;=1,"✓ OK","❌ "&amp;TEXT(B25-'balance_raw_80673612'!$F$56,"+#,##0;-#,##0")&amp;" t.kr."))</f>
        <v/>
      </c>
      <c r="C63" s="31">
        <f>IF('balance_raw_80673612'!$E$56="","—",IF(ABS(C25-'balance_raw_80673612'!$E$56)&lt;=1,"✓ OK","❌ "&amp;TEXT(C25-'balance_raw_80673612'!$E$56,"+#,##0;-#,##0")&amp;" t.kr."))</f>
        <v/>
      </c>
      <c r="D63" s="31">
        <f>IF('balance_raw_80673612'!$D$56="","—",IF(ABS(D25-'balance_raw_80673612'!$D$56)&lt;=1,"✓ OK","❌ "&amp;TEXT(D25-'balance_raw_80673612'!$D$56,"+#,##0;-#,##0")&amp;" t.kr."))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t.kr.")</f>
        <v/>
      </c>
      <c r="C64" s="31">
        <f>IF(ABS(C21-C25)&lt;=1,"✓ OK","❌ "&amp;TEXT(C21-C25,"+#,##0;-#,##0")&amp;" t.kr.")</f>
        <v/>
      </c>
      <c r="D64" s="31">
        <f>IF(ABS(D21-D25)&lt;=1,"✓ OK","❌ "&amp;TEXT(D21-D25,"+#,##0;-#,##0")&amp;" t.kr.")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IF('res_raw_80673612'!$F$4="","—",IF(ABS(B7-'res_raw_80673612'!$F$4)&lt;=1,"✓ OK","❌ "&amp;TEXT(B7-'res_raw_80673612'!$F$4,"+#,##0;-#,##0")&amp;" t.kr."))</f>
        <v/>
      </c>
      <c r="C65" s="31">
        <f>IF('res_raw_80673612'!$E$4="","—",IF(ABS(C7-'res_raw_80673612'!$E$4)&lt;=1,"✓ OK","❌ "&amp;TEXT(C7-'res_raw_80673612'!$E$4,"+#,##0;-#,##0")&amp;" t.kr."))</f>
        <v/>
      </c>
      <c r="D65" s="31">
        <f>IF('res_raw_80673612'!$D$4="","—",IF(ABS(D7-'res_raw_80673612'!$D$4)&lt;=1,"✓ OK","❌ "&amp;TEXT(D7-'res_raw_80673612'!$D$4,"+#,##0;-#,##0")&amp;" t.kr."))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IF('res_raw_80673612'!$F$10="","—",IF(ABS(B13-'res_raw_80673612'!$F$10)&lt;=1,"✓ OK","❌ "&amp;TEXT(B13-'res_raw_80673612'!$F$10,"+#,##0;-#,##0")&amp;" t.kr."))</f>
        <v/>
      </c>
      <c r="C66" s="31">
        <f>IF('res_raw_80673612'!$E$10="","—",IF(ABS(C13-'res_raw_80673612'!$E$10)&lt;=1,"✓ OK","❌ "&amp;TEXT(C13-'res_raw_80673612'!$E$10,"+#,##0;-#,##0")&amp;" t.kr."))</f>
        <v/>
      </c>
      <c r="D66" s="31">
        <f>IF('res_raw_80673612'!$D$10="","—",IF(ABS(D13-'res_raw_80673612'!$D$10)&lt;=1,"✓ OK","❌ "&amp;TEXT(D13-'res_raw_80673612'!$D$10,"+#,##0;-#,##0")&amp;" t.kr."))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IF('res_raw_80673612'!$F$15="","—",IF(ABS(B16-'res_raw_80673612'!$F$15)&lt;=1,"✓ OK","❌ "&amp;TEXT(B16-'res_raw_80673612'!$F$15,"+#,##0;-#,##0")&amp;" t.kr."))</f>
        <v/>
      </c>
      <c r="C67" s="31">
        <f>IF('res_raw_80673612'!$E$15="","—",IF(ABS(C16-'res_raw_80673612'!$E$15)&lt;=1,"✓ OK","❌ "&amp;TEXT(C16-'res_raw_80673612'!$E$15,"+#,##0;-#,##0")&amp;" t.kr."))</f>
        <v/>
      </c>
      <c r="D67" s="31">
        <f>IF('res_raw_80673612'!$D$15="","—",IF(ABS(D16-'res_raw_80673612'!$D$15)&lt;=1,"✓ OK","❌ "&amp;TEXT(D16-'res_raw_80673612'!$D$15,"+#,##0;-#,##0")&amp;" t.kr."))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5" t="inlineStr">
        <is>
          <t>Scanpan A/S (CVR 80673612)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6" t="inlineStr">
        <is>
          <t>Øvrige (ukendt)</t>
        </is>
      </c>
      <c r="B3" s="36" t="inlineStr">
        <is>
          <t>fsa:ExchangeRateAdjustmentsOtherFinanceExpenses</t>
        </is>
      </c>
      <c r="C3" s="36" t="inlineStr">
        <is>
          <t>fsa:ExchangeRateAdjustmentsOtherFinanceExpenses</t>
        </is>
      </c>
      <c r="D3" s="37" t="n">
        <v>8</v>
      </c>
      <c r="E3" s="37" t="n">
        <v>217</v>
      </c>
      <c r="F3" s="37" t="n">
        <v>0</v>
      </c>
      <c r="G3" s="37" t="n"/>
      <c r="H3" s="37" t="n"/>
      <c r="I3" s="38" t="inlineStr">
        <is>
          <t>Ingen forklaring tilgængelig.</t>
        </is>
      </c>
    </row>
    <row r="4" ht="30" customHeight="1">
      <c r="A4" s="39" t="inlineStr">
        <is>
          <t>Øvrige (ukendt)</t>
        </is>
      </c>
      <c r="B4" s="39" t="inlineStr">
        <is>
          <t>fsa:Loans</t>
        </is>
      </c>
      <c r="C4" s="39" t="inlineStr">
        <is>
          <t>fsa:Loans</t>
        </is>
      </c>
      <c r="D4" s="40" t="n">
        <v>-50</v>
      </c>
      <c r="E4" s="40" t="n">
        <v>-90</v>
      </c>
      <c r="F4" s="40" t="n">
        <v>0</v>
      </c>
      <c r="G4" s="40" t="n"/>
      <c r="H4" s="40" t="n"/>
      <c r="I4" s="41" t="inlineStr">
        <is>
          <t>Ingen forklaring tilgængelig.</t>
        </is>
      </c>
    </row>
    <row r="5" ht="30" customHeight="1">
      <c r="A5" s="36" t="inlineStr">
        <is>
          <t>Øvrige (ukendt)</t>
        </is>
      </c>
      <c r="B5" s="36" t="inlineStr">
        <is>
          <t>fsa:RaisingOfLongtermDebt</t>
        </is>
      </c>
      <c r="C5" s="36" t="inlineStr">
        <is>
          <t>fsa:RaisingOfLongtermDebt</t>
        </is>
      </c>
      <c r="D5" s="37" t="n"/>
      <c r="E5" s="37" t="n"/>
      <c r="F5" s="37" t="n"/>
      <c r="G5" s="37" t="n">
        <v>1715</v>
      </c>
      <c r="H5" s="37" t="n">
        <v>0</v>
      </c>
      <c r="I5" s="38" t="inlineStr">
        <is>
          <t>Ingen forklaring tilgængelig.</t>
        </is>
      </c>
    </row>
    <row r="6" ht="30" customHeight="1">
      <c r="A6" s="39" t="inlineStr">
        <is>
          <t>Øvrige (ukendt)</t>
        </is>
      </c>
      <c r="B6" s="39" t="inlineStr">
        <is>
          <t>fsa:ReductionOfLeaseCommitments</t>
        </is>
      </c>
      <c r="C6" s="39" t="inlineStr">
        <is>
          <t>fsa:ReductionOfLeaseCommitments</t>
        </is>
      </c>
      <c r="D6" s="40" t="n">
        <v>-1810</v>
      </c>
      <c r="E6" s="40" t="n">
        <v>-1236</v>
      </c>
      <c r="F6" s="40" t="n">
        <v>-741</v>
      </c>
      <c r="G6" s="40" t="n">
        <v>0</v>
      </c>
      <c r="H6" s="40" t="n"/>
      <c r="I6" s="41" t="inlineStr">
        <is>
          <t>Ingen forklaring tilgængelig.</t>
        </is>
      </c>
    </row>
    <row r="7" ht="30" customHeight="1">
      <c r="A7" s="36" t="inlineStr">
        <is>
          <t>Øvrige (ukendt)</t>
        </is>
      </c>
      <c r="B7" s="36" t="inlineStr">
        <is>
          <t>fsa:RepaymentOfMortgageDebt</t>
        </is>
      </c>
      <c r="C7" s="36" t="inlineStr">
        <is>
          <t>fsa:RepaymentOfMortgageDebt</t>
        </is>
      </c>
      <c r="D7" s="37" t="n">
        <v>-335</v>
      </c>
      <c r="E7" s="37" t="n">
        <v>-4203</v>
      </c>
      <c r="F7" s="37" t="n">
        <v>0</v>
      </c>
      <c r="G7" s="37" t="n"/>
      <c r="H7" s="37" t="n"/>
      <c r="I7" s="38" t="inlineStr">
        <is>
          <t>Ingen forklaring tilgængelig.</t>
        </is>
      </c>
    </row>
    <row r="8" ht="30" customHeight="1">
      <c r="A8" s="39" t="inlineStr">
        <is>
          <t>Øvrige (ukendt)</t>
        </is>
      </c>
      <c r="B8" s="39" t="inlineStr">
        <is>
          <t>fsa:ShorttermPayablesToAssociates</t>
        </is>
      </c>
      <c r="C8" s="39" t="inlineStr">
        <is>
          <t>fsa:ShorttermPayablesToAssociates</t>
        </is>
      </c>
      <c r="D8" s="40" t="n">
        <v>122</v>
      </c>
      <c r="E8" s="40" t="n">
        <v>0</v>
      </c>
      <c r="F8" s="40" t="n"/>
      <c r="G8" s="40" t="n"/>
      <c r="H8" s="40" t="n"/>
      <c r="I8" s="41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2026-10-02T21:58:11Z</dcterms:created>
  <dcterms:modified xmlns:dcterms="http://purl.org/dc/terms/" xmlns:xsi="http://www.w3.org/2001/XMLSchema-instance" xsi:type="dcterms:W3CDTF">2026-10-02T21:58:11Z</dcterms:modified>
</cp:coreProperties>
</file>