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apm (CVR None) — 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t.USD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t.USD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  <row r="89">
      <c r="A89" s="15" t="inlineStr">
        <is>
          <t>PENGESTRØMSOPGØRELSE t.USD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>
        <v>40737000</v>
      </c>
      <c r="D2" s="17" t="n">
        <v>62465000</v>
      </c>
      <c r="E2" s="17" t="n">
        <v>34520000</v>
      </c>
      <c r="F2" s="17" t="n">
        <v>39498000</v>
      </c>
    </row>
    <row r="3">
      <c r="A3" s="16" t="inlineStr">
        <is>
          <t>Andre driftsindtægter</t>
        </is>
      </c>
      <c r="B3" s="17" t="n"/>
      <c r="C3" s="17" t="n">
        <v>96000</v>
      </c>
      <c r="D3" s="17" t="n">
        <v>201000</v>
      </c>
      <c r="E3" s="17" t="n">
        <v>294000</v>
      </c>
      <c r="F3" s="17" t="n">
        <v>264000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24625000</v>
      </c>
      <c r="D5" s="17" t="n">
        <v>31274000</v>
      </c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>
        <v>3027000</v>
      </c>
      <c r="D9" s="17" t="n">
        <v>5538000</v>
      </c>
      <c r="E9" s="17" t="n">
        <v>5933000</v>
      </c>
      <c r="F9" s="17" t="n">
        <v>5669000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/>
      <c r="C11" s="17" t="n">
        <v>13181000</v>
      </c>
      <c r="D11" s="17" t="n">
        <v>25854000</v>
      </c>
      <c r="E11" s="17" t="n">
        <v>1199000</v>
      </c>
      <c r="F11" s="17" t="n">
        <v>4049000</v>
      </c>
    </row>
    <row r="12">
      <c r="A12" s="16" t="inlineStr">
        <is>
          <t>Indtægter af kapitalandele, dattervirksomheder</t>
        </is>
      </c>
      <c r="B12" s="17" t="n"/>
      <c r="C12" s="17" t="n">
        <v>2814000</v>
      </c>
      <c r="D12" s="17" t="n">
        <v>3734000</v>
      </c>
      <c r="E12" s="17" t="n">
        <v>3013000</v>
      </c>
      <c r="F12" s="17" t="n">
        <v>4447000</v>
      </c>
    </row>
    <row r="13">
      <c r="A13" s="16" t="inlineStr">
        <is>
          <t>Finansielle indtægter</t>
        </is>
      </c>
      <c r="B13" s="17" t="n"/>
      <c r="C13" s="17" t="n">
        <v>73000</v>
      </c>
      <c r="D13" s="17" t="n">
        <v>582000</v>
      </c>
      <c r="E13" s="17" t="n">
        <v>847000</v>
      </c>
      <c r="F13" s="17" t="n">
        <v>524000</v>
      </c>
    </row>
    <row r="14">
      <c r="A14" s="16" t="inlineStr">
        <is>
          <t>Finansielle omkostninger</t>
        </is>
      </c>
      <c r="B14" s="17" t="n"/>
      <c r="C14" s="17" t="n">
        <v>1601000</v>
      </c>
      <c r="D14" s="17" t="n">
        <v>935000</v>
      </c>
      <c r="E14" s="17" t="n">
        <v>1120000</v>
      </c>
      <c r="F14" s="17" t="n">
        <v>1420000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/>
      <c r="C16" s="17" t="n">
        <v>14467000</v>
      </c>
      <c r="D16" s="17" t="n">
        <v>29235000</v>
      </c>
      <c r="E16" s="17" t="n">
        <v>3939000</v>
      </c>
      <c r="F16" s="17" t="n">
        <v>7600000</v>
      </c>
    </row>
    <row r="17">
      <c r="A17" s="16" t="inlineStr">
        <is>
          <t>Skat af årets resultat</t>
        </is>
      </c>
      <c r="B17" s="17" t="n"/>
      <c r="C17" s="17" t="n">
        <v>59000</v>
      </c>
      <c r="D17" s="17" t="n">
        <v>424000</v>
      </c>
      <c r="E17" s="17" t="n">
        <v>41000</v>
      </c>
      <c r="F17" s="17" t="n">
        <v>25000</v>
      </c>
    </row>
    <row r="18">
      <c r="A18" s="15" t="inlineStr">
        <is>
          <t>Årets resultat</t>
        </is>
      </c>
      <c r="B18" s="17" t="n"/>
      <c r="C18" s="17" t="n">
        <v>14408000</v>
      </c>
      <c r="D18" s="17" t="n">
        <v>28811000</v>
      </c>
      <c r="E18" s="17" t="n">
        <v>3898000</v>
      </c>
      <c r="F18" s="17" t="n">
        <v>7575000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>
        <v>1707000</v>
      </c>
      <c r="D20" s="17" t="n">
        <v>1637000</v>
      </c>
      <c r="E20" s="17" t="n">
        <v>1755000</v>
      </c>
      <c r="F20" s="17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Immaterielle anlægsaktiver</t>
        </is>
      </c>
      <c r="B2" s="17" t="n"/>
      <c r="C2" s="17" t="n">
        <v>1325000</v>
      </c>
      <c r="D2" s="17" t="n">
        <v>1195000</v>
      </c>
      <c r="E2" s="17" t="n">
        <v>851000</v>
      </c>
      <c r="F2" s="17" t="n">
        <v>822000</v>
      </c>
    </row>
    <row r="3">
      <c r="A3" s="15" t="inlineStr">
        <is>
          <t>Materielle anlægsaktiver</t>
        </is>
      </c>
      <c r="B3" s="17" t="n"/>
      <c r="C3" s="17" t="n">
        <v>13405000</v>
      </c>
      <c r="D3" s="17" t="n">
        <v>13545000</v>
      </c>
      <c r="E3" s="17" t="n">
        <v>14625000</v>
      </c>
      <c r="F3" s="17" t="n">
        <v>15247000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/>
      <c r="C5" s="17" t="n">
        <v>4000</v>
      </c>
      <c r="D5" s="17" t="n">
        <v>11000</v>
      </c>
      <c r="E5" s="17" t="n">
        <v>1000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/>
      <c r="C7" s="17" t="n">
        <v>30226000</v>
      </c>
      <c r="D7" s="17" t="n">
        <v>34045000</v>
      </c>
      <c r="E7" s="17" t="n">
        <v>31512000</v>
      </c>
      <c r="F7" s="17" t="n">
        <v>31991000</v>
      </c>
    </row>
    <row r="8">
      <c r="A8" s="15" t="inlineStr">
        <is>
          <t>Varebeholdninger</t>
        </is>
      </c>
      <c r="B8" s="17" t="n"/>
      <c r="C8" s="17" t="n">
        <v>889000</v>
      </c>
      <c r="D8" s="17" t="n">
        <v>926000</v>
      </c>
      <c r="E8" s="17" t="n">
        <v>1009000</v>
      </c>
      <c r="F8" s="17" t="n">
        <v>928000</v>
      </c>
    </row>
    <row r="9">
      <c r="A9" s="16" t="inlineStr">
        <is>
          <t>Tilgodehavender fra salg og tjenesteydelser</t>
        </is>
      </c>
      <c r="B9" s="17" t="n"/>
      <c r="C9" s="17" t="n">
        <v>5243000</v>
      </c>
      <c r="D9" s="17" t="n">
        <v>4802000</v>
      </c>
      <c r="E9" s="17" t="n">
        <v>3338000</v>
      </c>
      <c r="F9" s="17" t="n">
        <v>4435000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>
        <v>52000</v>
      </c>
      <c r="E11" s="17" t="n">
        <v>50000</v>
      </c>
      <c r="F11" s="17" t="n">
        <v>1000</v>
      </c>
    </row>
    <row r="12">
      <c r="A12" s="16" t="inlineStr">
        <is>
          <t>Periodeafgrænsningsposter (aktiver)</t>
        </is>
      </c>
      <c r="B12" s="17" t="n"/>
      <c r="C12" s="17" t="n">
        <v>238000</v>
      </c>
      <c r="D12" s="17" t="n">
        <v>991000</v>
      </c>
      <c r="E12" s="17" t="n">
        <v>909000</v>
      </c>
      <c r="F12" s="17" t="n">
        <v>310000</v>
      </c>
    </row>
    <row r="13">
      <c r="A13" s="16" t="inlineStr">
        <is>
          <t>Udskudt skatteaktiv</t>
        </is>
      </c>
      <c r="B13" s="17" t="n"/>
      <c r="C13" s="17" t="n">
        <v>48000</v>
      </c>
      <c r="D13" s="17" t="n">
        <v>0</v>
      </c>
      <c r="E13" s="17" t="n">
        <v>0</v>
      </c>
      <c r="F13" s="17" t="n">
        <v>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>
        <v>92000</v>
      </c>
      <c r="D15" s="17" t="n">
        <v>1000</v>
      </c>
      <c r="E15" s="17" t="n">
        <v>85000</v>
      </c>
      <c r="F15" s="17" t="n">
        <v>64000</v>
      </c>
    </row>
    <row r="16">
      <c r="A16" s="15" t="inlineStr">
        <is>
          <t>Tilgodehavender</t>
        </is>
      </c>
      <c r="B16" s="17" t="n"/>
      <c r="C16" s="17" t="n">
        <v>138000</v>
      </c>
      <c r="D16" s="17" t="n">
        <v>114000</v>
      </c>
      <c r="E16" s="17" t="n">
        <v>137000</v>
      </c>
      <c r="F16" s="17" t="n">
        <v>323000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15000</v>
      </c>
      <c r="C18" s="17" t="n">
        <v>38000</v>
      </c>
      <c r="D18" s="17" t="n">
        <v>20000</v>
      </c>
      <c r="E18" s="17" t="n">
        <v>16000</v>
      </c>
      <c r="F18" s="17" t="n">
        <v>9000</v>
      </c>
    </row>
    <row r="19">
      <c r="A19" s="15" t="inlineStr">
        <is>
          <t>Omsætningsaktiver</t>
        </is>
      </c>
      <c r="B19" s="17" t="n"/>
      <c r="C19" s="17" t="n">
        <v>14316000</v>
      </c>
      <c r="D19" s="17" t="n">
        <v>43872000</v>
      </c>
      <c r="E19" s="17" t="n">
        <v>8329000</v>
      </c>
      <c r="F19" s="17" t="n">
        <v>10581000</v>
      </c>
    </row>
    <row r="20">
      <c r="A20" s="15" t="inlineStr">
        <is>
          <t>Aktiver</t>
        </is>
      </c>
      <c r="B20" s="17" t="n"/>
      <c r="C20" s="17" t="n">
        <v>44542000</v>
      </c>
      <c r="D20" s="17" t="n">
        <v>77917000</v>
      </c>
      <c r="E20" s="17" t="n">
        <v>39841000</v>
      </c>
      <c r="F20" s="17" t="n">
        <v>42572000</v>
      </c>
    </row>
    <row r="21">
      <c r="A21" s="16" t="inlineStr">
        <is>
          <t>Selskabskapital</t>
        </is>
      </c>
      <c r="B21" s="17" t="n"/>
      <c r="C21" s="17" t="n">
        <v>82000</v>
      </c>
      <c r="D21" s="17" t="n">
        <v>82000</v>
      </c>
      <c r="E21" s="17" t="n">
        <v>82000</v>
      </c>
      <c r="F21" s="17" t="n">
        <v>82000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82000</v>
      </c>
      <c r="C27" s="17" t="n">
        <v>26912000</v>
      </c>
      <c r="D27" s="17" t="n">
        <v>55923000</v>
      </c>
      <c r="E27" s="17" t="n">
        <v>15475000</v>
      </c>
      <c r="F27" s="17" t="n">
        <v>22962000</v>
      </c>
    </row>
    <row r="28">
      <c r="A28" s="15" t="inlineStr">
        <is>
          <t>Hensatte forpligtelser</t>
        </is>
      </c>
      <c r="B28" s="17" t="n"/>
      <c r="C28" s="17" t="n">
        <v>223000</v>
      </c>
      <c r="D28" s="17" t="n">
        <v>254000</v>
      </c>
      <c r="E28" s="17" t="n">
        <v>275000</v>
      </c>
      <c r="F28" s="17" t="n">
        <v>300000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Leasingforpligtelser (langfristet)</t>
        </is>
      </c>
      <c r="B31" s="17" t="n"/>
      <c r="C31" s="17" t="n">
        <v>6809000</v>
      </c>
      <c r="D31" s="17" t="n">
        <v>8598000</v>
      </c>
      <c r="E31" s="17" t="n">
        <v>5881000</v>
      </c>
      <c r="F31" s="17" t="n">
        <v>5997000</v>
      </c>
    </row>
    <row r="32">
      <c r="A32" s="16" t="inlineStr">
        <is>
          <t>Anden gæld (langfristet)</t>
        </is>
      </c>
      <c r="B32" s="17" t="n"/>
      <c r="C32" s="17" t="n">
        <v>44000</v>
      </c>
      <c r="D32" s="17" t="n">
        <v>45000</v>
      </c>
      <c r="E32" s="17" t="n">
        <v>416000</v>
      </c>
      <c r="F32" s="17" t="n">
        <v>428000</v>
      </c>
    </row>
    <row r="33">
      <c r="A33" s="15" t="inlineStr">
        <is>
          <t>Langfristede gældsforpligtelser</t>
        </is>
      </c>
      <c r="B33" s="17" t="n"/>
      <c r="C33" s="17" t="n">
        <v>7148000</v>
      </c>
      <c r="D33" s="17" t="n">
        <v>9026000</v>
      </c>
      <c r="E33" s="17" t="n">
        <v>6297000</v>
      </c>
      <c r="F33" s="17" t="n">
        <v>6425000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(kortfristet)</t>
        </is>
      </c>
      <c r="B37" s="17" t="n"/>
      <c r="C37" s="17" t="n">
        <v>2782000</v>
      </c>
      <c r="D37" s="17" t="n">
        <v>4322000</v>
      </c>
      <c r="E37" s="17" t="n">
        <v>3803000</v>
      </c>
      <c r="F37" s="17" t="n">
        <v>3063000</v>
      </c>
    </row>
    <row r="38">
      <c r="A38" s="16" t="inlineStr">
        <is>
          <t>Leverandører af varer og tjenesteydelser</t>
        </is>
      </c>
      <c r="B38" s="17" t="n"/>
      <c r="C38" s="17" t="n">
        <v>5189000</v>
      </c>
      <c r="D38" s="17" t="n">
        <v>5494000</v>
      </c>
      <c r="E38" s="17" t="n">
        <v>5337000</v>
      </c>
      <c r="F38" s="17" t="n">
        <v>5816000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/>
      <c r="C43" s="17" t="n">
        <v>285000</v>
      </c>
      <c r="D43" s="17" t="n">
        <v>282000</v>
      </c>
      <c r="E43" s="17" t="n">
        <v>705000</v>
      </c>
      <c r="F43" s="17" t="n">
        <v>1365000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/>
      <c r="C45" s="17" t="n">
        <v>10482000</v>
      </c>
      <c r="D45" s="17" t="n">
        <v>12968000</v>
      </c>
      <c r="E45" s="17" t="n">
        <v>18069000</v>
      </c>
      <c r="F45" s="17" t="n">
        <v>13185000</v>
      </c>
    </row>
    <row r="46">
      <c r="A46" s="15" t="inlineStr">
        <is>
          <t>Gældsforpligtelser</t>
        </is>
      </c>
      <c r="B46" s="17" t="n"/>
      <c r="C46" s="17" t="n">
        <v>17630000</v>
      </c>
      <c r="D46" s="17" t="n">
        <v>21994000</v>
      </c>
      <c r="E46" s="17" t="n">
        <v>24366000</v>
      </c>
      <c r="F46" s="17" t="n">
        <v>19610000</v>
      </c>
    </row>
    <row r="47">
      <c r="A47" s="15" t="inlineStr">
        <is>
          <t>Passiver</t>
        </is>
      </c>
      <c r="B47" s="17" t="n"/>
      <c r="C47" s="17" t="n">
        <v>44542000</v>
      </c>
      <c r="D47" s="17" t="n">
        <v>77917000</v>
      </c>
      <c r="E47" s="17" t="n">
        <v>39841000</v>
      </c>
      <c r="F47" s="17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Pengestrømsopgørelse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/>
      <c r="C2" s="17" t="n">
        <v>15107000</v>
      </c>
      <c r="D2" s="17" t="n">
        <v>30917000</v>
      </c>
      <c r="E2" s="17" t="n">
        <v>9091000</v>
      </c>
      <c r="F2" s="17" t="n">
        <v>7735000</v>
      </c>
    </row>
    <row r="3">
      <c r="A3" s="16" t="inlineStr">
        <is>
          <t>Pengestrømme fra investeringsaktivitet</t>
        </is>
      </c>
      <c r="B3" s="17" t="n"/>
      <c r="C3" s="17" t="n">
        <v>363000</v>
      </c>
      <c r="D3" s="17" t="n">
        <v>-26254000</v>
      </c>
      <c r="E3" s="17" t="n">
        <v>38054000</v>
      </c>
      <c r="F3" s="17" t="n">
        <v>-2461000</v>
      </c>
    </row>
    <row r="4">
      <c r="A4" s="16" t="inlineStr">
        <is>
          <t>Pengestrømme fra finansieringsaktivitet</t>
        </is>
      </c>
      <c r="B4" s="17" t="n"/>
      <c r="C4" s="17" t="n">
        <v>-15451000</v>
      </c>
      <c r="D4" s="17" t="n">
        <v>-4610000</v>
      </c>
      <c r="E4" s="17" t="n">
        <v>-46999000</v>
      </c>
      <c r="F4" s="17" t="n">
        <v>-5334000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apm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t.USD"))</f>
        <v/>
      </c>
      <c r="C61" s="29">
        <f>IF('balance_raw'!$E$20="","—",IF(ABS(C21-'balance_raw'!$E$20)&lt;=1,"✓ OK","❌ "&amp;TEXT(C21-'balance_raw'!$E$20,"+#,##0;-#,##0")&amp;" t.USD"))</f>
        <v/>
      </c>
      <c r="D61" s="29">
        <f>IF('balance_raw'!$D$20="","—",IF(ABS(D21-'balance_raw'!$D$20)&lt;=1,"✓ OK","❌ "&amp;TEXT(D21-'balance_raw'!$D$20,"+#,##0;-#,##0")&amp;" t.USD"))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t.USD"))</f>
        <v/>
      </c>
      <c r="C62" s="29">
        <f>IF('balance_raw'!$E$47="","—",IF(ABS(C25-'balance_raw'!$E$47)&lt;=1,"✓ OK","❌ "&amp;TEXT(C25-'balance_raw'!$E$47,"+#,##0;-#,##0")&amp;" t.USD"))</f>
        <v/>
      </c>
      <c r="D62" s="29">
        <f>IF('balance_raw'!$D$47="","—",IF(ABS(D25-'balance_raw'!$D$47)&lt;=1,"✓ OK","❌ "&amp;TEXT(D25-'balance_raw'!$D$47,"+#,##0;-#,##0")&amp;" t.USD"))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t.USD")</f>
        <v/>
      </c>
      <c r="C63" s="29">
        <f>IF(ABS(C21-C25)&lt;=1,"✓ OK","❌ "&amp;TEXT(C21-C25,"+#,##0;-#,##0")&amp;" t.USD")</f>
        <v/>
      </c>
      <c r="D63" s="29">
        <f>IF(ABS(D21-D25)&lt;=1,"✓ OK","❌ "&amp;TEXT(D21-D25,"+#,##0;-#,##0")&amp;" t.USD")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t.USD"))</f>
        <v/>
      </c>
      <c r="C64" s="29">
        <f>IF('res_raw'!$E$6="","—",IF(ABS(C9-'res_raw'!$E$6)&lt;=1,"✓ OK","❌ "&amp;TEXT(C9-'res_raw'!$E$6,"+#,##0;-#,##0")&amp;" t.USD"))</f>
        <v/>
      </c>
      <c r="D64" s="29">
        <f>IF('res_raw'!$D$6="","—",IF(ABS(D9-'res_raw'!$D$6)&lt;=1,"✓ OK","❌ "&amp;TEXT(D9-'res_raw'!$D$6,"+#,##0;-#,##0")&amp;" t.USD"))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t.USD"))</f>
        <v/>
      </c>
      <c r="C65" s="29">
        <f>IF('res_raw'!$E$11="","—",IF(ABS(C13-'res_raw'!$E$11)&lt;=1,"✓ OK","❌ "&amp;TEXT(C13-'res_raw'!$E$11,"+#,##0;-#,##0")&amp;" t.USD"))</f>
        <v/>
      </c>
      <c r="D65" s="29">
        <f>IF('res_raw'!$D$11="","—",IF(ABS(D13-'res_raw'!$D$11)&lt;=1,"✓ OK","❌ "&amp;TEXT(D13-'res_raw'!$D$11,"+#,##0;-#,##0")&amp;" t.USD"))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t.USD"))</f>
        <v/>
      </c>
      <c r="C66" s="29">
        <f>IF('res_raw'!$E$16="","—",IF(ABS(C16-'res_raw'!$E$16)&lt;=1,"✓ OK","❌ "&amp;TEXT(C16-'res_raw'!$E$16,"+#,##0;-#,##0")&amp;" t.USD"))</f>
        <v/>
      </c>
      <c r="D66" s="29">
        <f>IF('res_raw'!$D$16="","—",IF(ABS(D16-'res_raw'!$D$16)&lt;=1,"✓ OK","❌ "&amp;TEXT(D16-'res_raw'!$D$16,"+#,##0;-#,##0")&amp;" t.USD"))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apm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2026-09-16T11:55:12Z</dcterms:created>
  <dcterms:modified xmlns:dcterms="http://purl.org/dc/terms/" xmlns:xsi="http://www.w3.org/2001/XMLSchema-instance" xsi:type="dcterms:W3CDTF">2026-09-16T11:55:12Z</dcterms:modified>
</cp:coreProperties>
</file>