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pengestrom_raw_103606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jem &amp; fix A/S (CVR 10360641)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'pengestrom_raw_10360641'!$B$2</f>
        <v/>
      </c>
      <c r="C98" s="17">
        <f>'pengestrom_raw_10360641'!$C$2</f>
        <v/>
      </c>
      <c r="D98" s="17">
        <f>'pengestrom_raw_10360641'!$D$2</f>
        <v/>
      </c>
      <c r="E98" s="17">
        <f>'pengestrom_raw_10360641'!$E$2</f>
        <v/>
      </c>
      <c r="F98" s="17">
        <f>'pengestrom_raw_10360641'!$F$2</f>
        <v/>
      </c>
    </row>
    <row r="99">
      <c r="A99" s="16" t="inlineStr">
        <is>
          <t>Pengestrømme fra investeringsaktivitet</t>
        </is>
      </c>
      <c r="B99" s="17">
        <f>'pengestrom_raw_10360641'!$B$3</f>
        <v/>
      </c>
      <c r="C99" s="17">
        <f>'pengestrom_raw_10360641'!$C$3</f>
        <v/>
      </c>
      <c r="D99" s="17">
        <f>'pengestrom_raw_10360641'!$D$3</f>
        <v/>
      </c>
      <c r="E99" s="17">
        <f>'pengestrom_raw_10360641'!$E$3</f>
        <v/>
      </c>
      <c r="F99" s="17">
        <f>'pengestrom_raw_10360641'!$F$3</f>
        <v/>
      </c>
    </row>
    <row r="100">
      <c r="A100" s="16" t="inlineStr">
        <is>
          <t>Pengestrømme fra finansieringsaktivitet</t>
        </is>
      </c>
      <c r="B100" s="17">
        <f>'pengestrom_raw_10360641'!$B$4</f>
        <v/>
      </c>
      <c r="C100" s="17">
        <f>'pengestrom_raw_10360641'!$C$4</f>
        <v/>
      </c>
      <c r="D100" s="17">
        <f>'pengestrom_raw_10360641'!$D$4</f>
        <v/>
      </c>
      <c r="E100" s="17">
        <f>'pengestrom_raw_10360641'!$E$4</f>
        <v/>
      </c>
      <c r="F100" s="17">
        <f>'pengestrom_raw_10360641'!$F$4</f>
        <v/>
      </c>
    </row>
    <row r="101">
      <c r="A101" s="16" t="inlineStr">
        <is>
          <t>Årets pengestrøm (rapporteret)</t>
        </is>
      </c>
      <c r="B101" s="17">
        <f>'pengestrom_raw_10360641'!$B$5</f>
        <v/>
      </c>
      <c r="C101" s="17">
        <f>'pengestrom_raw_10360641'!$C$5</f>
        <v/>
      </c>
      <c r="D101" s="17">
        <f>'pengestrom_raw_10360641'!$D$5</f>
        <v/>
      </c>
      <c r="E101" s="17">
        <f>'pengestrom_raw_10360641'!$E$5</f>
        <v/>
      </c>
      <c r="F101" s="17">
        <f>'pengestrom_raw_10360641'!$F$5</f>
        <v/>
      </c>
    </row>
    <row r="102">
      <c r="A102" s="16" t="inlineStr">
        <is>
          <t>Krydstjek: drift + inv. + fin. = årets pengestrøm</t>
        </is>
      </c>
      <c r="B102">
        <f>IF(ABS(('pengestrom_raw_10360641'!$B$2+'pengestrom_raw_10360641'!$B$3+'pengestrom_raw_10360641'!$B$4)-'pengestrom_raw_10360641'!$B$5)&lt;=2,"✓","⚠ "&amp;TEXT(('pengestrom_raw_10360641'!$B$2+'pengestrom_raw_10360641'!$B$3+'pengestrom_raw_10360641'!$B$4)-'pengestrom_raw_10360641'!$B$5,"+#,##0;-#,##0"))</f>
        <v/>
      </c>
      <c r="C102">
        <f>IF(ABS(('pengestrom_raw_10360641'!$C$2+'pengestrom_raw_10360641'!$C$3+'pengestrom_raw_10360641'!$C$4)-'pengestrom_raw_10360641'!$C$5)&lt;=2,"✓","⚠ "&amp;TEXT(('pengestrom_raw_10360641'!$C$2+'pengestrom_raw_10360641'!$C$3+'pengestrom_raw_10360641'!$C$4)-'pengestrom_raw_10360641'!$C$5,"+#,##0;-#,##0"))</f>
        <v/>
      </c>
      <c r="D102">
        <f>IF(ABS(('pengestrom_raw_10360641'!$D$2+'pengestrom_raw_10360641'!$D$3+'pengestrom_raw_10360641'!$D$4)-'pengestrom_raw_10360641'!$D$5)&lt;=2,"✓","⚠ "&amp;TEXT(('pengestrom_raw_10360641'!$D$2+'pengestrom_raw_10360641'!$D$3+'pengestrom_raw_10360641'!$D$4)-'pengestrom_raw_10360641'!$D$5,"+#,##0;-#,##0"))</f>
        <v/>
      </c>
      <c r="E102">
        <f>IF(ABS(('pengestrom_raw_10360641'!$E$2+'pengestrom_raw_10360641'!$E$3+'pengestrom_raw_10360641'!$E$4)-'pengestrom_raw_10360641'!$E$5)&lt;=2,"✓","⚠ "&amp;TEXT(('pengestrom_raw_10360641'!$E$2+'pengestrom_raw_10360641'!$E$3+'pengestrom_raw_10360641'!$E$4)-'pengestrom_raw_10360641'!$E$5,"+#,##0;-#,##0"))</f>
        <v/>
      </c>
      <c r="F102">
        <f>IF(ABS(('pengestrom_raw_10360641'!$F$2+'pengestrom_raw_10360641'!$F$3+'pengestrom_raw_10360641'!$F$4)-'pengestrom_raw_10360641'!$F$5)&lt;=2,"✓","⚠ "&amp;TEXT(('pengestrom_raw_10360641'!$F$2+'pengestrom_raw_10360641'!$F$3+'pengestrom_raw_10360641'!$F$4)-'pengestrom_raw_10360641'!$F$5,"+#,##0;-#,##0"))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3769844</v>
      </c>
      <c r="C2" s="17" t="n">
        <v>3882492</v>
      </c>
      <c r="D2" s="17" t="n">
        <v>3997019</v>
      </c>
      <c r="E2" s="17" t="n">
        <v>4238726</v>
      </c>
      <c r="F2" s="17" t="n">
        <v>4390045</v>
      </c>
    </row>
    <row r="3">
      <c r="A3" s="16" t="inlineStr">
        <is>
          <t>Andre driftsindtægter</t>
        </is>
      </c>
      <c r="B3" s="17" t="n">
        <v>12544</v>
      </c>
      <c r="C3" s="17" t="n">
        <v>13485</v>
      </c>
      <c r="D3" s="17" t="n">
        <v>22235</v>
      </c>
      <c r="E3" s="17" t="n">
        <v>23697</v>
      </c>
      <c r="F3" s="17" t="n">
        <v>26896</v>
      </c>
    </row>
    <row r="4">
      <c r="A4" s="16" t="inlineStr">
        <is>
          <t>Vareforbrug</t>
        </is>
      </c>
      <c r="B4" s="17" t="n">
        <v>2437420</v>
      </c>
      <c r="C4" s="17" t="n">
        <v>2607385</v>
      </c>
      <c r="D4" s="17" t="n">
        <v>2697074</v>
      </c>
      <c r="E4" s="17" t="n">
        <v>2780119</v>
      </c>
      <c r="F4" s="17" t="n">
        <v>2862300</v>
      </c>
    </row>
    <row r="5">
      <c r="A5" s="16" t="inlineStr">
        <is>
          <t>Andre eksterne omkostninger</t>
        </is>
      </c>
      <c r="B5" s="17" t="n">
        <v>368726</v>
      </c>
      <c r="C5" s="17" t="n">
        <v>383479</v>
      </c>
      <c r="D5" s="17" t="n">
        <v>403802</v>
      </c>
      <c r="E5" s="17" t="n">
        <v>435600</v>
      </c>
      <c r="F5" s="17" t="n">
        <v>481060</v>
      </c>
    </row>
    <row r="6">
      <c r="A6" s="15" t="inlineStr">
        <is>
          <t>Bruttoresultat</t>
        </is>
      </c>
      <c r="B6" s="17" t="n">
        <v>976242</v>
      </c>
      <c r="C6" s="17" t="n">
        <v>905113</v>
      </c>
      <c r="D6" s="17" t="n">
        <v>918378</v>
      </c>
      <c r="E6" s="17" t="n">
        <v>1046704</v>
      </c>
      <c r="F6" s="17" t="n">
        <v>1073581</v>
      </c>
    </row>
    <row r="7">
      <c r="A7" s="16" t="inlineStr">
        <is>
          <t>Personaleomkostninger</t>
        </is>
      </c>
      <c r="B7" s="17" t="n">
        <v>406171</v>
      </c>
      <c r="C7" s="17" t="n">
        <v>404434</v>
      </c>
      <c r="D7" s="17" t="n">
        <v>424123</v>
      </c>
      <c r="E7" s="17" t="n">
        <v>457659</v>
      </c>
      <c r="F7" s="17" t="n">
        <v>499062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57288</v>
      </c>
      <c r="C9" s="17" t="n">
        <v>57637</v>
      </c>
      <c r="D9" s="17" t="n">
        <v>59652</v>
      </c>
      <c r="E9" s="17" t="n">
        <v>59312</v>
      </c>
      <c r="F9" s="17" t="n">
        <v>59516</v>
      </c>
    </row>
    <row r="10">
      <c r="A10" s="16" t="inlineStr">
        <is>
          <t>Andre driftsomkostninger</t>
        </is>
      </c>
      <c r="B10" s="17" t="n">
        <v>412</v>
      </c>
      <c r="C10" s="17" t="n">
        <v>1424</v>
      </c>
      <c r="D10" s="17" t="n">
        <v>258</v>
      </c>
      <c r="E10" s="17" t="n">
        <v>160</v>
      </c>
      <c r="F10" s="17" t="n">
        <v>1096</v>
      </c>
    </row>
    <row r="11">
      <c r="A11" s="15" t="inlineStr">
        <is>
          <t>Resultat af primær drift</t>
        </is>
      </c>
      <c r="B11" s="17" t="n">
        <v>512371</v>
      </c>
      <c r="C11" s="17" t="n">
        <v>441618</v>
      </c>
      <c r="D11" s="17" t="n">
        <v>434345</v>
      </c>
      <c r="E11" s="17" t="n">
        <v>529573</v>
      </c>
      <c r="F11" s="17" t="n">
        <v>513907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14594</v>
      </c>
      <c r="C13" s="17" t="n">
        <v>8851</v>
      </c>
      <c r="D13" s="17" t="n">
        <v>58121</v>
      </c>
      <c r="E13" s="17" t="n">
        <v>60830</v>
      </c>
      <c r="F13" s="17" t="n">
        <v>64567</v>
      </c>
    </row>
    <row r="14">
      <c r="A14" s="16" t="inlineStr">
        <is>
          <t>Finansielle omkostninger</t>
        </is>
      </c>
      <c r="B14" s="17" t="n">
        <v>1873</v>
      </c>
      <c r="C14" s="17" t="n">
        <v>36300</v>
      </c>
      <c r="D14" s="17" t="n">
        <v>1207</v>
      </c>
      <c r="E14" s="17" t="n">
        <v>2560</v>
      </c>
      <c r="F14" s="17" t="n">
        <v>1615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525092</v>
      </c>
      <c r="C16" s="17" t="n">
        <v>414169</v>
      </c>
      <c r="D16" s="17" t="n">
        <v>491259</v>
      </c>
      <c r="E16" s="17" t="n">
        <v>587843</v>
      </c>
      <c r="F16" s="17" t="n">
        <v>576859</v>
      </c>
    </row>
    <row r="17">
      <c r="A17" s="16" t="inlineStr">
        <is>
          <t>Skat af årets resultat</t>
        </is>
      </c>
      <c r="B17" s="17" t="n">
        <v>115299</v>
      </c>
      <c r="C17" s="17" t="n">
        <v>90701</v>
      </c>
      <c r="D17" s="17" t="n">
        <v>107802</v>
      </c>
      <c r="E17" s="17" t="n">
        <v>129503</v>
      </c>
      <c r="F17" s="17" t="n">
        <v>127002</v>
      </c>
    </row>
    <row r="18">
      <c r="A18" s="15" t="inlineStr">
        <is>
          <t>Årets resultat</t>
        </is>
      </c>
      <c r="B18" s="17" t="n">
        <v>409793</v>
      </c>
      <c r="C18" s="17" t="n">
        <v>323468</v>
      </c>
      <c r="D18" s="17" t="n">
        <v>383457</v>
      </c>
      <c r="E18" s="17" t="n">
        <v>458340</v>
      </c>
      <c r="F18" s="17" t="n">
        <v>449857</v>
      </c>
    </row>
    <row r="19">
      <c r="A19" s="16" t="inlineStr">
        <is>
          <t>Gns. antal medarbejdere</t>
        </is>
      </c>
      <c r="B19" s="17" t="n">
        <v>931</v>
      </c>
      <c r="C19" s="17" t="n">
        <v>958</v>
      </c>
      <c r="D19" s="17" t="n">
        <v>925</v>
      </c>
      <c r="E19" s="17" t="n">
        <v>954</v>
      </c>
      <c r="F19" s="17" t="n">
        <v>1005</v>
      </c>
    </row>
    <row r="20">
      <c r="A20" s="16" t="inlineStr">
        <is>
          <t>Investering i materielle anlægsaktiver</t>
        </is>
      </c>
      <c r="B20" s="17" t="n">
        <v>-58277</v>
      </c>
      <c r="C20" s="17" t="n">
        <v>-70026</v>
      </c>
      <c r="D20" s="17" t="n">
        <v>-40377</v>
      </c>
      <c r="E20" s="17" t="n">
        <v>-62424</v>
      </c>
      <c r="F20" s="17" t="n">
        <v>-78004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12269</v>
      </c>
      <c r="C2" s="17" t="n">
        <v>12123</v>
      </c>
      <c r="D2" s="17" t="n">
        <v>12127</v>
      </c>
      <c r="E2" s="17" t="n">
        <v>11980</v>
      </c>
      <c r="F2" s="17" t="n">
        <v>11833</v>
      </c>
    </row>
    <row r="3">
      <c r="A3" s="16" t="inlineStr">
        <is>
          <t>Produktionsanlæg og maskiner</t>
        </is>
      </c>
      <c r="B3" s="17" t="n"/>
      <c r="C3" s="17" t="n"/>
      <c r="D3" s="17" t="n"/>
      <c r="E3" s="17" t="n"/>
      <c r="F3" s="17" t="n"/>
    </row>
    <row r="4">
      <c r="A4" s="16" t="inlineStr">
        <is>
          <t>Driftsmateriel og inventar</t>
        </is>
      </c>
      <c r="B4" s="17" t="n">
        <v>106131</v>
      </c>
      <c r="C4" s="17" t="n">
        <v>111531</v>
      </c>
      <c r="D4" s="17" t="n">
        <v>100948</v>
      </c>
      <c r="E4" s="17" t="n">
        <v>99962</v>
      </c>
      <c r="F4" s="17" t="n">
        <v>124539</v>
      </c>
    </row>
    <row r="5">
      <c r="A5" s="16" t="inlineStr">
        <is>
          <t>Indretning af lejede lokaler</t>
        </is>
      </c>
      <c r="B5" s="17" t="n">
        <v>144795</v>
      </c>
      <c r="C5" s="17" t="n">
        <v>149746</v>
      </c>
      <c r="D5" s="17" t="n">
        <v>139060</v>
      </c>
      <c r="E5" s="17" t="n">
        <v>141559</v>
      </c>
      <c r="F5" s="17" t="n">
        <v>134489</v>
      </c>
    </row>
    <row r="6">
      <c r="A6" s="16" t="inlineStr">
        <is>
          <t>Forudbetaling og anlægsaktiver under opførelse</t>
        </is>
      </c>
      <c r="B6" s="17" t="n"/>
      <c r="C6" s="17" t="n"/>
      <c r="D6" s="17" t="n"/>
      <c r="E6" s="17" t="n">
        <v>1172</v>
      </c>
      <c r="F6" s="17" t="n">
        <v>0</v>
      </c>
    </row>
    <row r="7">
      <c r="A7" s="15" t="inlineStr">
        <is>
          <t>Materielle anlægsaktiver</t>
        </is>
      </c>
      <c r="B7" s="17" t="n">
        <v>263195</v>
      </c>
      <c r="C7" s="17" t="n">
        <v>273400</v>
      </c>
      <c r="D7" s="17" t="n">
        <v>252135</v>
      </c>
      <c r="E7" s="17" t="n">
        <v>254673</v>
      </c>
      <c r="F7" s="17" t="n">
        <v>270861</v>
      </c>
    </row>
    <row r="8">
      <c r="A8" s="16" t="inlineStr">
        <is>
          <t>Kapitalandele, dattervirksomheder</t>
        </is>
      </c>
      <c r="B8" s="17" t="n"/>
      <c r="C8" s="17" t="n"/>
      <c r="D8" s="17" t="n"/>
      <c r="E8" s="17" t="n"/>
      <c r="F8" s="17" t="n"/>
    </row>
    <row r="9">
      <c r="A9" s="16" t="inlineStr">
        <is>
          <t>Deposita</t>
        </is>
      </c>
      <c r="B9" s="17" t="n">
        <v>1345</v>
      </c>
      <c r="C9" s="17" t="n">
        <v>990</v>
      </c>
      <c r="D9" s="17" t="n">
        <v>1019</v>
      </c>
      <c r="E9" s="17" t="n">
        <v>2038</v>
      </c>
      <c r="F9" s="17" t="n">
        <v>1970</v>
      </c>
    </row>
    <row r="10">
      <c r="A10" s="15" t="inlineStr">
        <is>
          <t>Finansielle anlægsaktiver</t>
        </is>
      </c>
      <c r="B10" s="17" t="n">
        <v>1345</v>
      </c>
      <c r="C10" s="17" t="n">
        <v>990</v>
      </c>
      <c r="D10" s="17" t="n">
        <v>1019</v>
      </c>
      <c r="E10" s="17" t="n">
        <v>2038</v>
      </c>
      <c r="F10" s="17" t="n">
        <v>1970</v>
      </c>
    </row>
    <row r="11">
      <c r="A11" s="15" t="inlineStr">
        <is>
          <t>Anlægsaktiver</t>
        </is>
      </c>
      <c r="B11" s="17" t="n">
        <v>264540</v>
      </c>
      <c r="C11" s="17" t="n">
        <v>274390</v>
      </c>
      <c r="D11" s="17" t="n">
        <v>253154</v>
      </c>
      <c r="E11" s="17" t="n">
        <v>256711</v>
      </c>
      <c r="F11" s="17" t="n">
        <v>272831</v>
      </c>
    </row>
    <row r="12">
      <c r="A12" s="16" t="inlineStr">
        <is>
          <t>Råvarer og hjælpematerialer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449920</v>
      </c>
      <c r="C14" s="17" t="n">
        <v>577693</v>
      </c>
      <c r="D14" s="17" t="n">
        <v>505330</v>
      </c>
      <c r="E14" s="17" t="n">
        <v>501146</v>
      </c>
      <c r="F14" s="17" t="n">
        <v>521956</v>
      </c>
    </row>
    <row r="15">
      <c r="A15" s="15" t="inlineStr">
        <is>
          <t>Varebeholdninger</t>
        </is>
      </c>
      <c r="B15" s="17" t="n">
        <v>449920</v>
      </c>
      <c r="C15" s="17" t="n">
        <v>577693</v>
      </c>
      <c r="D15" s="17" t="n">
        <v>505330</v>
      </c>
      <c r="E15" s="17" t="n">
        <v>501146</v>
      </c>
      <c r="F15" s="17" t="n">
        <v>521956</v>
      </c>
    </row>
    <row r="16">
      <c r="A16" s="16" t="inlineStr">
        <is>
          <t>Tilgodehavender fra salg og tjenesteydelser</t>
        </is>
      </c>
      <c r="B16" s="17" t="n">
        <v>1707</v>
      </c>
      <c r="C16" s="17" t="n">
        <v>3794</v>
      </c>
      <c r="D16" s="17" t="n">
        <v>13732</v>
      </c>
      <c r="E16" s="17" t="n">
        <v>15</v>
      </c>
      <c r="F16" s="17" t="n">
        <v>1094</v>
      </c>
    </row>
    <row r="17">
      <c r="A17" s="16" t="inlineStr">
        <is>
          <t>Tilgodehavender hos tilknyttede virksomheder</t>
        </is>
      </c>
      <c r="B17" s="17" t="n">
        <v>64694</v>
      </c>
      <c r="C17" s="17" t="n">
        <v>363603</v>
      </c>
      <c r="D17" s="17" t="n">
        <v>405298</v>
      </c>
      <c r="E17" s="17" t="n">
        <v>338201</v>
      </c>
      <c r="F17" s="17" t="n">
        <v>780112</v>
      </c>
    </row>
    <row r="18">
      <c r="A18" s="16" t="inlineStr">
        <is>
          <t>Andre tilgodehavender</t>
        </is>
      </c>
      <c r="B18" s="17" t="n">
        <v>536335</v>
      </c>
      <c r="C18" s="17" t="n">
        <v>31907</v>
      </c>
      <c r="D18" s="17" t="n">
        <v>29931</v>
      </c>
      <c r="E18" s="17" t="n">
        <v>86765</v>
      </c>
      <c r="F18" s="17" t="n">
        <v>62478</v>
      </c>
    </row>
    <row r="19">
      <c r="A19" s="16" t="inlineStr">
        <is>
          <t>Periodeafgrænsningsposter (aktiver)</t>
        </is>
      </c>
      <c r="B19" s="17" t="n">
        <v>18447</v>
      </c>
      <c r="C19" s="17" t="n">
        <v>17771</v>
      </c>
      <c r="D19" s="17" t="n">
        <v>20931</v>
      </c>
      <c r="E19" s="17" t="n">
        <v>17468</v>
      </c>
      <c r="F19" s="17" t="n">
        <v>19168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621183</v>
      </c>
      <c r="C23" s="17" t="n">
        <v>417075</v>
      </c>
      <c r="D23" s="17" t="n">
        <v>469892</v>
      </c>
      <c r="E23" s="17" t="n">
        <v>442449</v>
      </c>
      <c r="F23" s="17" t="n">
        <v>862852</v>
      </c>
    </row>
    <row r="24">
      <c r="A24" s="16" t="inlineStr">
        <is>
          <t>Værdipapirer</t>
        </is>
      </c>
      <c r="B24" s="17" t="n">
        <v>225312</v>
      </c>
      <c r="C24" s="17" t="n">
        <v>129879</v>
      </c>
      <c r="D24" s="17" t="n">
        <v>625704</v>
      </c>
      <c r="E24" s="17" t="n">
        <v>825582</v>
      </c>
      <c r="F24" s="17" t="n">
        <v>891899</v>
      </c>
    </row>
    <row r="25">
      <c r="A25" s="16" t="inlineStr">
        <is>
          <t>Likvide beholdninger</t>
        </is>
      </c>
      <c r="B25" s="17" t="n">
        <v>74833</v>
      </c>
      <c r="C25" s="17" t="n">
        <v>220644</v>
      </c>
      <c r="D25" s="17" t="n">
        <v>177212</v>
      </c>
      <c r="E25" s="17" t="n">
        <v>297642</v>
      </c>
      <c r="F25" s="17" t="n">
        <v>218420</v>
      </c>
    </row>
    <row r="26">
      <c r="A26" s="15" t="inlineStr">
        <is>
          <t>Omsætningsaktiver</t>
        </is>
      </c>
      <c r="B26" s="17" t="n">
        <v>1371248</v>
      </c>
      <c r="C26" s="17" t="n">
        <v>1345291</v>
      </c>
      <c r="D26" s="17" t="n">
        <v>1778138</v>
      </c>
      <c r="E26" s="17" t="n">
        <v>2066819</v>
      </c>
      <c r="F26" s="17" t="n">
        <v>2495127</v>
      </c>
    </row>
    <row r="27">
      <c r="A27" s="15" t="inlineStr">
        <is>
          <t>Aktiver</t>
        </is>
      </c>
      <c r="B27" s="17" t="n">
        <v>1635788</v>
      </c>
      <c r="C27" s="17" t="n">
        <v>1619681</v>
      </c>
      <c r="D27" s="17" t="n">
        <v>2031292</v>
      </c>
      <c r="E27" s="17" t="n">
        <v>2323530</v>
      </c>
      <c r="F27" s="17" t="n">
        <v>2767958</v>
      </c>
    </row>
    <row r="28">
      <c r="A28" s="16" t="inlineStr">
        <is>
          <t>Selskabskapital</t>
        </is>
      </c>
      <c r="B28" s="17" t="n">
        <v>3000</v>
      </c>
      <c r="C28" s="17" t="n">
        <v>3000</v>
      </c>
      <c r="D28" s="17" t="n">
        <v>3000</v>
      </c>
      <c r="E28" s="17" t="n">
        <v>3000</v>
      </c>
      <c r="F28" s="17" t="n">
        <v>3000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>
        <v>1530</v>
      </c>
      <c r="E31" s="17" t="n">
        <v>1592</v>
      </c>
      <c r="F31" s="17" t="n">
        <v>1673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1275172</v>
      </c>
      <c r="C33" s="17" t="n">
        <v>1273641</v>
      </c>
      <c r="D33" s="17" t="n">
        <v>1493954</v>
      </c>
      <c r="E33" s="17" t="n">
        <v>1952295</v>
      </c>
      <c r="F33" s="17" t="n">
        <v>2112152</v>
      </c>
    </row>
    <row r="34">
      <c r="A34" s="15" t="inlineStr">
        <is>
          <t>Egenkapital i alt</t>
        </is>
      </c>
      <c r="B34" s="17" t="n">
        <v>1278660</v>
      </c>
      <c r="C34" s="17" t="n">
        <v>1278293</v>
      </c>
      <c r="D34" s="17" t="n">
        <v>1661624</v>
      </c>
      <c r="E34" s="17" t="n">
        <v>1956887</v>
      </c>
      <c r="F34" s="17" t="n">
        <v>2406825</v>
      </c>
    </row>
    <row r="35">
      <c r="A35" s="16" t="inlineStr">
        <is>
          <t>Hensættelse til udskudt skat</t>
        </is>
      </c>
      <c r="B35" s="17" t="n">
        <v>3008</v>
      </c>
      <c r="C35" s="17" t="n">
        <v>3593</v>
      </c>
      <c r="D35" s="17" t="n">
        <v>3827</v>
      </c>
      <c r="E35" s="17" t="n">
        <v>3977</v>
      </c>
      <c r="F35" s="17" t="n">
        <v>5605</v>
      </c>
    </row>
    <row r="36">
      <c r="A36" s="15" t="inlineStr">
        <is>
          <t>Hensatte forpligtelser</t>
        </is>
      </c>
      <c r="B36" s="17" t="n">
        <v>4398</v>
      </c>
      <c r="C36" s="17" t="n">
        <v>4912</v>
      </c>
      <c r="D36" s="17" t="n">
        <v>5223</v>
      </c>
      <c r="E36" s="17" t="n">
        <v>5398</v>
      </c>
      <c r="F36" s="17" t="n">
        <v>7003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5251</v>
      </c>
      <c r="C38" s="17" t="n">
        <v>4863</v>
      </c>
      <c r="D38" s="17" t="n">
        <v>4652</v>
      </c>
      <c r="E38" s="17" t="n">
        <v>4329</v>
      </c>
      <c r="F38" s="17" t="n">
        <v>3935</v>
      </c>
    </row>
    <row r="39">
      <c r="A39" s="16" t="inlineStr">
        <is>
          <t>Leasingforpligtelser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5251</v>
      </c>
      <c r="C41" s="17" t="n">
        <v>4863</v>
      </c>
      <c r="D41" s="17" t="n">
        <v>4652</v>
      </c>
      <c r="E41" s="17" t="n">
        <v>4329</v>
      </c>
      <c r="F41" s="17" t="n">
        <v>3935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Kreditinstitutter</t>
        </is>
      </c>
      <c r="B44" s="17" t="n">
        <v>575</v>
      </c>
      <c r="C44" s="17" t="n">
        <v>6</v>
      </c>
      <c r="D44" s="17" t="n">
        <v>0</v>
      </c>
      <c r="E44" s="17" t="n">
        <v>313</v>
      </c>
      <c r="F44" s="17" t="n">
        <v>355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220723</v>
      </c>
      <c r="C46" s="17" t="n">
        <v>227162</v>
      </c>
      <c r="D46" s="17" t="n">
        <v>170880</v>
      </c>
      <c r="E46" s="17" t="n">
        <v>197405</v>
      </c>
      <c r="F46" s="17" t="n">
        <v>177357</v>
      </c>
    </row>
    <row r="47">
      <c r="A47" s="16" t="inlineStr">
        <is>
          <t>Gæld til tilknyttede virksomheder</t>
        </is>
      </c>
      <c r="B47" s="17" t="n"/>
      <c r="C47" s="17" t="n"/>
      <c r="D47" s="17" t="n">
        <v>51240</v>
      </c>
      <c r="E47" s="17" t="n">
        <v>49476</v>
      </c>
      <c r="F47" s="17" t="n">
        <v>57258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3783</v>
      </c>
      <c r="C49" s="17" t="n">
        <v>3011</v>
      </c>
      <c r="D49" s="17" t="n">
        <v>23614</v>
      </c>
      <c r="E49" s="17" t="n">
        <v>7071</v>
      </c>
      <c r="F49" s="17" t="n">
        <v>11621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121998</v>
      </c>
      <c r="C51" s="17" t="n"/>
      <c r="D51" s="17" t="n"/>
      <c r="E51" s="17" t="n"/>
      <c r="F51" s="17" t="n"/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347479</v>
      </c>
      <c r="C53" s="17" t="n">
        <v>331613</v>
      </c>
      <c r="D53" s="17" t="n">
        <v>359793</v>
      </c>
      <c r="E53" s="17" t="n">
        <v>356916</v>
      </c>
      <c r="F53" s="17" t="n">
        <v>350195</v>
      </c>
    </row>
    <row r="54">
      <c r="A54" s="15" t="inlineStr">
        <is>
          <t>Gældsforpligtelser</t>
        </is>
      </c>
      <c r="B54" s="17" t="n">
        <v>352730</v>
      </c>
      <c r="C54" s="17" t="n">
        <v>336476</v>
      </c>
      <c r="D54" s="17" t="n">
        <v>364445</v>
      </c>
      <c r="E54" s="17" t="n">
        <v>361245</v>
      </c>
      <c r="F54" s="17" t="n">
        <v>354130</v>
      </c>
    </row>
    <row r="55">
      <c r="A55" s="15" t="inlineStr">
        <is>
          <t>Passiver</t>
        </is>
      </c>
      <c r="B55" s="17" t="n">
        <v>1635788</v>
      </c>
      <c r="C55" s="17" t="n">
        <v>1619681</v>
      </c>
      <c r="D55" s="17" t="n">
        <v>2031292</v>
      </c>
      <c r="E55" s="17" t="n">
        <v>2323530</v>
      </c>
      <c r="F55" s="17" t="n">
        <v>2767958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jem &amp; fix A/S (CVR 10360641)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350742</v>
      </c>
      <c r="C2" s="17" t="n">
        <v>271984</v>
      </c>
      <c r="D2" s="17" t="n">
        <v>448173</v>
      </c>
      <c r="E2" s="17" t="n">
        <v>489456</v>
      </c>
      <c r="F2" s="17" t="n">
        <v>468169</v>
      </c>
    </row>
    <row r="3">
      <c r="A3" s="16" t="inlineStr">
        <is>
          <t>Pengestrømme fra investeringsaktivitet</t>
        </is>
      </c>
      <c r="B3" s="17" t="n">
        <v>-51055</v>
      </c>
      <c r="C3" s="17" t="n">
        <v>-306650</v>
      </c>
      <c r="D3" s="17" t="n">
        <v>-491288</v>
      </c>
      <c r="E3" s="17" t="n">
        <v>-163935</v>
      </c>
      <c r="F3" s="17" t="n">
        <v>-105128</v>
      </c>
    </row>
    <row r="4">
      <c r="A4" s="16" t="inlineStr">
        <is>
          <t>Pengestrømme fra finansieringsaktivitet</t>
        </is>
      </c>
      <c r="B4" s="17" t="n">
        <v>-73903</v>
      </c>
      <c r="C4" s="17" t="n">
        <v>-325956</v>
      </c>
      <c r="D4" s="17" t="n">
        <v>-317</v>
      </c>
      <c r="E4" s="17" t="n">
        <v>-163450</v>
      </c>
      <c r="F4" s="17" t="n">
        <v>-442263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jem &amp; fix A/S (CVR 10360641) — Regnskabs- og nøgletal (CVR: 10360641)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jem &amp; fix A/S (CVR 10360641)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fsa:OtherContingentLiabilitiesNotRecognisedInBalanceSheetRelatedToGroupEnterprises</t>
        </is>
      </c>
      <c r="C3" s="34" t="inlineStr">
        <is>
          <t>fsa:OtherContingentLiabilitiesNotRecognisedInBalanceSheetRelatedToGroupEnterprises</t>
        </is>
      </c>
      <c r="D3" s="35" t="n"/>
      <c r="E3" s="35" t="n"/>
      <c r="F3" s="35" t="n"/>
      <c r="G3" s="35" t="n"/>
      <c r="H3" s="35" t="n">
        <v>298297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fsa:RecourseAndNonrecourseGuaranteeCommitments</t>
        </is>
      </c>
      <c r="C4" s="37" t="inlineStr">
        <is>
          <t>fsa:RecourseAndNonrecourseGuaranteeCommitments</t>
        </is>
      </c>
      <c r="D4" s="38" t="n"/>
      <c r="E4" s="38" t="n"/>
      <c r="F4" s="38" t="n"/>
      <c r="G4" s="38" t="n"/>
      <c r="H4" s="38" t="n">
        <v>43183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2026-09-16T11:57:01Z</dcterms:created>
  <dcterms:modified xmlns:dcterms="http://purl.org/dc/terms/" xmlns:xsi="http://www.w3.org/2001/XMLSchema-instance" xsi:type="dcterms:W3CDTF">2026-09-16T11:57:02Z</dcterms:modified>
</cp:coreProperties>
</file>