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705660" sheetId="1" state="visible" r:id="rId1"/>
    <sheet xmlns:r="http://schemas.openxmlformats.org/officeDocument/2006/relationships" name="res_raw_43705660" sheetId="2" state="visible" r:id="rId2"/>
    <sheet xmlns:r="http://schemas.openxmlformats.org/officeDocument/2006/relationships" name="balance_raw_4370566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THURØ BRYGHUS APS (CVR 43705660)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'res_raw_43705660'!$B$2</f>
        <v/>
      </c>
      <c r="C4" s="5">
        <f>'res_raw_43705660'!$C$2</f>
        <v/>
      </c>
      <c r="D4" s="5">
        <f>'res_raw_43705660'!$D$2</f>
        <v/>
      </c>
      <c r="E4" s="5">
        <f>'res_raw_43705660'!$E$2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'res_raw_43705660'!$B$3</f>
        <v/>
      </c>
      <c r="C5" s="8">
        <f>'res_raw_43705660'!$C$3</f>
        <v/>
      </c>
      <c r="D5" s="8">
        <f>'res_raw_43705660'!$D$3</f>
        <v/>
      </c>
      <c r="E5" s="8">
        <f>'res_raw_43705660'!$E$3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'res_raw_43705660'!$B$4</f>
        <v/>
      </c>
      <c r="C6" s="5">
        <f>'res_raw_43705660'!$C$4</f>
        <v/>
      </c>
      <c r="D6" s="5">
        <f>'res_raw_43705660'!$D$4</f>
        <v/>
      </c>
      <c r="E6" s="5">
        <f>'res_raw_43705660'!$E$4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'res_raw_43705660'!$B$5</f>
        <v/>
      </c>
      <c r="C7" s="8">
        <f>'res_raw_43705660'!$C$5</f>
        <v/>
      </c>
      <c r="D7" s="8">
        <f>'res_raw_43705660'!$D$5</f>
        <v/>
      </c>
      <c r="E7" s="8">
        <f>'res_raw_43705660'!$E$5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'res_raw_43705660'!$B$6</f>
        <v/>
      </c>
      <c r="C8" s="11">
        <f>'res_raw_43705660'!$C$6</f>
        <v/>
      </c>
      <c r="D8" s="11">
        <f>'res_raw_43705660'!$D$6</f>
        <v/>
      </c>
      <c r="E8" s="11">
        <f>'res_raw_43705660'!$E$6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'res_raw_43705660'!$B$7</f>
        <v/>
      </c>
      <c r="C9" s="8">
        <f>'res_raw_43705660'!$C$7</f>
        <v/>
      </c>
      <c r="D9" s="8">
        <f>'res_raw_43705660'!$D$7</f>
        <v/>
      </c>
      <c r="E9" s="8">
        <f>'res_raw_43705660'!$E$7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'res_raw_43705660'!$B$9</f>
        <v/>
      </c>
      <c r="C11" s="8">
        <f>'res_raw_43705660'!$C$9</f>
        <v/>
      </c>
      <c r="D11" s="8">
        <f>'res_raw_43705660'!$D$9</f>
        <v/>
      </c>
      <c r="E11" s="8">
        <f>'res_raw_43705660'!$E$9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'res_raw_43705660'!$B$10</f>
        <v/>
      </c>
      <c r="C12" s="5">
        <f>'res_raw_43705660'!$C$10</f>
        <v/>
      </c>
      <c r="D12" s="5">
        <f>'res_raw_43705660'!$D$10</f>
        <v/>
      </c>
      <c r="E12" s="5">
        <f>'res_raw_43705660'!$E$10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'res_raw_43705660'!$B$11</f>
        <v/>
      </c>
      <c r="C13" s="11">
        <f>'res_raw_43705660'!$C$11</f>
        <v/>
      </c>
      <c r="D13" s="11">
        <f>'res_raw_43705660'!$D$11</f>
        <v/>
      </c>
      <c r="E13" s="11">
        <f>'res_raw_43705660'!$E$11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'res_raw_43705660'!$B$12</f>
        <v/>
      </c>
      <c r="C14" s="5">
        <f>'res_raw_43705660'!$C$12</f>
        <v/>
      </c>
      <c r="D14" s="5">
        <f>'res_raw_43705660'!$D$12</f>
        <v/>
      </c>
      <c r="E14" s="5">
        <f>'res_raw_43705660'!$E$12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'res_raw_43705660'!$B$13</f>
        <v/>
      </c>
      <c r="C15" s="8">
        <f>'res_raw_43705660'!$C$13</f>
        <v/>
      </c>
      <c r="D15" s="8">
        <f>'res_raw_43705660'!$D$13</f>
        <v/>
      </c>
      <c r="E15" s="8">
        <f>'res_raw_43705660'!$E$13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'res_raw_43705660'!$B$14</f>
        <v/>
      </c>
      <c r="C16" s="5">
        <f>'res_raw_43705660'!$C$14</f>
        <v/>
      </c>
      <c r="D16" s="5">
        <f>'res_raw_43705660'!$D$14</f>
        <v/>
      </c>
      <c r="E16" s="5">
        <f>'res_raw_43705660'!$E$14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'res_raw_43705660'!$B$15</f>
        <v/>
      </c>
      <c r="C17" s="11">
        <f>'res_raw_43705660'!$C$15</f>
        <v/>
      </c>
      <c r="D17" s="11">
        <f>'res_raw_43705660'!$D$15</f>
        <v/>
      </c>
      <c r="E17" s="11">
        <f>'res_raw_43705660'!$E$15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'res_raw_43705660'!$B$16</f>
        <v/>
      </c>
      <c r="C18" s="11">
        <f>'res_raw_43705660'!$C$16</f>
        <v/>
      </c>
      <c r="D18" s="11">
        <f>'res_raw_43705660'!$D$16</f>
        <v/>
      </c>
      <c r="E18" s="11">
        <f>'res_raw_43705660'!$E$16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'res_raw_43705660'!$B$17</f>
        <v/>
      </c>
      <c r="C19" s="8">
        <f>'res_raw_43705660'!$C$17</f>
        <v/>
      </c>
      <c r="D19" s="8">
        <f>'res_raw_43705660'!$D$17</f>
        <v/>
      </c>
      <c r="E19" s="8">
        <f>'res_raw_43705660'!$E$17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'res_raw_43705660'!$B$18</f>
        <v/>
      </c>
      <c r="C20" s="11">
        <f>'res_raw_43705660'!$C$18</f>
        <v/>
      </c>
      <c r="D20" s="11">
        <f>'res_raw_43705660'!$D$18</f>
        <v/>
      </c>
      <c r="E20" s="11">
        <f>'res_raw_43705660'!$E$18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Grunde og bygninger</t>
        </is>
      </c>
      <c r="B23" s="8">
        <f>'balance_raw_43705660'!$B$2</f>
        <v/>
      </c>
      <c r="C23" s="8">
        <f>'balance_raw_43705660'!$C$2</f>
        <v/>
      </c>
      <c r="D23" s="8">
        <f>'balance_raw_43705660'!$D$2</f>
        <v/>
      </c>
      <c r="E23" s="8">
        <f>'balance_raw_43705660'!$E$2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Produktionsanlæg og maskiner</t>
        </is>
      </c>
      <c r="B24" s="5">
        <f>'balance_raw_43705660'!$B$3</f>
        <v/>
      </c>
      <c r="C24" s="5">
        <f>'balance_raw_43705660'!$C$3</f>
        <v/>
      </c>
      <c r="D24" s="5">
        <f>'balance_raw_43705660'!$D$3</f>
        <v/>
      </c>
      <c r="E24" s="5">
        <f>'balance_raw_43705660'!$E$3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Driftsmateriel og inventar</t>
        </is>
      </c>
      <c r="B25" s="8">
        <f>'balance_raw_43705660'!$B$4</f>
        <v/>
      </c>
      <c r="C25" s="8">
        <f>'balance_raw_43705660'!$C$4</f>
        <v/>
      </c>
      <c r="D25" s="8">
        <f>'balance_raw_43705660'!$D$4</f>
        <v/>
      </c>
      <c r="E25" s="8">
        <f>'balance_raw_43705660'!$E$4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4" t="inlineStr">
        <is>
          <t>Indretning af lejede lokaler</t>
        </is>
      </c>
      <c r="B26" s="5">
        <f>'balance_raw_43705660'!$B$5</f>
        <v/>
      </c>
      <c r="C26" s="5">
        <f>'balance_raw_43705660'!$C$5</f>
        <v/>
      </c>
      <c r="D26" s="5">
        <f>'balance_raw_43705660'!$D$5</f>
        <v/>
      </c>
      <c r="E26" s="5">
        <f>'balance_raw_43705660'!$E$5</f>
        <v/>
      </c>
      <c r="F26" t="inlineStr"/>
      <c r="G26" s="6">
        <f>IFERROR(B26/$B$26*100,"")</f>
        <v/>
      </c>
      <c r="H26" s="6">
        <f>IFERROR(C26/$B$26*100,"")</f>
        <v/>
      </c>
      <c r="I26" s="6">
        <f>IFERROR(D26/$B$26*100,"")</f>
        <v/>
      </c>
      <c r="J26" s="6">
        <f>IFERROR(E26/$B$26*100,"")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'balance_raw_43705660'!$B$6</f>
        <v/>
      </c>
      <c r="C27" s="8">
        <f>'balance_raw_43705660'!$C$6</f>
        <v/>
      </c>
      <c r="D27" s="8">
        <f>'balance_raw_43705660'!$D$6</f>
        <v/>
      </c>
      <c r="E27" s="8">
        <f>'balance_raw_43705660'!$E$6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10" t="inlineStr">
        <is>
          <t>Materielle anlægsaktiver</t>
        </is>
      </c>
      <c r="B28" s="11">
        <f>'balance_raw_43705660'!$B$7</f>
        <v/>
      </c>
      <c r="C28" s="11">
        <f>'balance_raw_43705660'!$C$7</f>
        <v/>
      </c>
      <c r="D28" s="11">
        <f>'balance_raw_43705660'!$D$7</f>
        <v/>
      </c>
      <c r="E28" s="11">
        <f>'balance_raw_43705660'!$E$7</f>
        <v/>
      </c>
      <c r="F28" t="inlineStr"/>
      <c r="G28" s="12">
        <f>IFERROR(B28/$B$28*100,"")</f>
        <v/>
      </c>
      <c r="H28" s="12">
        <f>IFERROR(C28/$B$28*100,"")</f>
        <v/>
      </c>
      <c r="I28" s="12">
        <f>IFERROR(D28/$B$28*100,"")</f>
        <v/>
      </c>
      <c r="J28" s="12">
        <f>IFERROR(E28/$B$28*100,"")</f>
        <v/>
      </c>
    </row>
    <row r="29" ht="16" customHeight="1">
      <c r="A29" s="7" t="inlineStr">
        <is>
          <t>Kapitalandele, dattervirksomheder</t>
        </is>
      </c>
      <c r="B29" s="8">
        <f>'balance_raw_43705660'!$B$8</f>
        <v/>
      </c>
      <c r="C29" s="8">
        <f>'balance_raw_43705660'!$C$8</f>
        <v/>
      </c>
      <c r="D29" s="8">
        <f>'balance_raw_43705660'!$D$8</f>
        <v/>
      </c>
      <c r="E29" s="8">
        <f>'balance_raw_43705660'!$E$8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Deposita</t>
        </is>
      </c>
      <c r="B30" s="5">
        <f>'balance_raw_43705660'!$B$9</f>
        <v/>
      </c>
      <c r="C30" s="5">
        <f>'balance_raw_43705660'!$C$9</f>
        <v/>
      </c>
      <c r="D30" s="5">
        <f>'balance_raw_43705660'!$D$9</f>
        <v/>
      </c>
      <c r="E30" s="5">
        <f>'balance_raw_43705660'!$E$9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10" t="inlineStr">
        <is>
          <t>Finansielle anlægsaktiver</t>
        </is>
      </c>
      <c r="B31" s="11">
        <f>'balance_raw_43705660'!$B$10</f>
        <v/>
      </c>
      <c r="C31" s="11">
        <f>'balance_raw_43705660'!$C$10</f>
        <v/>
      </c>
      <c r="D31" s="11">
        <f>'balance_raw_43705660'!$D$10</f>
        <v/>
      </c>
      <c r="E31" s="11">
        <f>'balance_raw_43705660'!$E$10</f>
        <v/>
      </c>
      <c r="F31" t="inlineStr"/>
      <c r="G31" s="12">
        <f>IFERROR(B31/$B$31*100,"")</f>
        <v/>
      </c>
      <c r="H31" s="12">
        <f>IFERROR(C31/$B$31*100,"")</f>
        <v/>
      </c>
      <c r="I31" s="12">
        <f>IFERROR(D31/$B$31*100,"")</f>
        <v/>
      </c>
      <c r="J31" s="12">
        <f>IFERROR(E31/$B$31*100,"")</f>
        <v/>
      </c>
    </row>
    <row r="32" ht="16" customHeight="1">
      <c r="A32" s="10" t="inlineStr">
        <is>
          <t>Anlægsaktiver</t>
        </is>
      </c>
      <c r="B32" s="11">
        <f>'balance_raw_43705660'!$B$11</f>
        <v/>
      </c>
      <c r="C32" s="11">
        <f>'balance_raw_43705660'!$C$11</f>
        <v/>
      </c>
      <c r="D32" s="11">
        <f>'balance_raw_43705660'!$D$11</f>
        <v/>
      </c>
      <c r="E32" s="11">
        <f>'balance_raw_43705660'!$E$11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Råvarer og hjælpematerialer</t>
        </is>
      </c>
      <c r="B33" s="8">
        <f>'balance_raw_43705660'!$B$12</f>
        <v/>
      </c>
      <c r="C33" s="8">
        <f>'balance_raw_43705660'!$C$12</f>
        <v/>
      </c>
      <c r="D33" s="8">
        <f>'balance_raw_43705660'!$D$12</f>
        <v/>
      </c>
      <c r="E33" s="8">
        <f>'balance_raw_43705660'!$E$12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Varer under fremstilling</t>
        </is>
      </c>
      <c r="B34" s="5">
        <f>'balance_raw_43705660'!$B$13</f>
        <v/>
      </c>
      <c r="C34" s="5">
        <f>'balance_raw_43705660'!$C$13</f>
        <v/>
      </c>
      <c r="D34" s="5">
        <f>'balance_raw_43705660'!$D$13</f>
        <v/>
      </c>
      <c r="E34" s="5">
        <f>'balance_raw_43705660'!$E$13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7" t="inlineStr">
        <is>
          <t>Færdigvarer og handelsvarer</t>
        </is>
      </c>
      <c r="B35" s="8">
        <f>'balance_raw_43705660'!$B$14</f>
        <v/>
      </c>
      <c r="C35" s="8">
        <f>'balance_raw_43705660'!$C$14</f>
        <v/>
      </c>
      <c r="D35" s="8">
        <f>'balance_raw_43705660'!$D$14</f>
        <v/>
      </c>
      <c r="E35" s="8">
        <f>'balance_raw_43705660'!$E$14</f>
        <v/>
      </c>
      <c r="F35" t="inlineStr"/>
      <c r="G35" s="9">
        <f>IFERROR(B35/$B$35*100,"")</f>
        <v/>
      </c>
      <c r="H35" s="9">
        <f>IFERROR(C35/$B$35*100,"")</f>
        <v/>
      </c>
      <c r="I35" s="9">
        <f>IFERROR(D35/$B$35*100,"")</f>
        <v/>
      </c>
      <c r="J35" s="9">
        <f>IFERROR(E35/$B$35*100,"")</f>
        <v/>
      </c>
    </row>
    <row r="36" ht="16" customHeight="1">
      <c r="A36" s="10" t="inlineStr">
        <is>
          <t>Varebeholdninger</t>
        </is>
      </c>
      <c r="B36" s="11">
        <f>'balance_raw_43705660'!$B$15</f>
        <v/>
      </c>
      <c r="C36" s="11">
        <f>'balance_raw_43705660'!$C$15</f>
        <v/>
      </c>
      <c r="D36" s="11">
        <f>'balance_raw_43705660'!$D$15</f>
        <v/>
      </c>
      <c r="E36" s="11">
        <f>'balance_raw_43705660'!$E$15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'balance_raw_43705660'!$B$16</f>
        <v/>
      </c>
      <c r="C37" s="8">
        <f>'balance_raw_43705660'!$C$16</f>
        <v/>
      </c>
      <c r="D37" s="8">
        <f>'balance_raw_43705660'!$D$16</f>
        <v/>
      </c>
      <c r="E37" s="8">
        <f>'balance_raw_43705660'!$E$16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'balance_raw_43705660'!$B$17</f>
        <v/>
      </c>
      <c r="C38" s="5">
        <f>'balance_raw_43705660'!$C$17</f>
        <v/>
      </c>
      <c r="D38" s="5">
        <f>'balance_raw_43705660'!$D$17</f>
        <v/>
      </c>
      <c r="E38" s="5">
        <f>'balance_raw_43705660'!$E$17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Andre tilgodehavender</t>
        </is>
      </c>
      <c r="B39" s="8">
        <f>'balance_raw_43705660'!$B$18</f>
        <v/>
      </c>
      <c r="C39" s="8">
        <f>'balance_raw_43705660'!$C$18</f>
        <v/>
      </c>
      <c r="D39" s="8">
        <f>'balance_raw_43705660'!$D$18</f>
        <v/>
      </c>
      <c r="E39" s="8">
        <f>'balance_raw_43705660'!$E$18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4" t="inlineStr">
        <is>
          <t>Periodeafgrænsningsposter (aktiver)</t>
        </is>
      </c>
      <c r="B40" s="5">
        <f>'balance_raw_43705660'!$B$19</f>
        <v/>
      </c>
      <c r="C40" s="5">
        <f>'balance_raw_43705660'!$C$19</f>
        <v/>
      </c>
      <c r="D40" s="5">
        <f>'balance_raw_43705660'!$D$19</f>
        <v/>
      </c>
      <c r="E40" s="5">
        <f>'balance_raw_43705660'!$E$19</f>
        <v/>
      </c>
      <c r="F40" t="inlineStr"/>
      <c r="G40" s="6">
        <f>IFERROR(B40/$B$40*100,"")</f>
        <v/>
      </c>
      <c r="H40" s="6">
        <f>IFERROR(C40/$B$40*100,"")</f>
        <v/>
      </c>
      <c r="I40" s="6">
        <f>IFERROR(D40/$B$40*100,"")</f>
        <v/>
      </c>
      <c r="J40" s="6">
        <f>IFERROR(E40/$B$40*100,"")</f>
        <v/>
      </c>
    </row>
    <row r="41" ht="16" customHeight="1">
      <c r="A41" s="7" t="inlineStr">
        <is>
          <t>Udskudt skatteaktiv</t>
        </is>
      </c>
      <c r="B41" s="8">
        <f>'balance_raw_43705660'!$B$20</f>
        <v/>
      </c>
      <c r="C41" s="8">
        <f>'balance_raw_43705660'!$C$20</f>
        <v/>
      </c>
      <c r="D41" s="8">
        <f>'balance_raw_43705660'!$D$20</f>
        <v/>
      </c>
      <c r="E41" s="8">
        <f>'balance_raw_43705660'!$E$20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'balance_raw_43705660'!$B$21</f>
        <v/>
      </c>
      <c r="C42" s="5">
        <f>'balance_raw_43705660'!$C$21</f>
        <v/>
      </c>
      <c r="D42" s="5">
        <f>'balance_raw_43705660'!$D$21</f>
        <v/>
      </c>
      <c r="E42" s="5">
        <f>'balance_raw_43705660'!$E$21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Kortfristede skattetilgodehavender</t>
        </is>
      </c>
      <c r="B43" s="8">
        <f>'balance_raw_43705660'!$B$22</f>
        <v/>
      </c>
      <c r="C43" s="8">
        <f>'balance_raw_43705660'!$C$22</f>
        <v/>
      </c>
      <c r="D43" s="8">
        <f>'balance_raw_43705660'!$D$22</f>
        <v/>
      </c>
      <c r="E43" s="8">
        <f>'balance_raw_43705660'!$E$22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10" t="inlineStr">
        <is>
          <t>Tilgodehavender</t>
        </is>
      </c>
      <c r="B44" s="11">
        <f>'balance_raw_43705660'!$B$23</f>
        <v/>
      </c>
      <c r="C44" s="11">
        <f>'balance_raw_43705660'!$C$23</f>
        <v/>
      </c>
      <c r="D44" s="11">
        <f>'balance_raw_43705660'!$D$23</f>
        <v/>
      </c>
      <c r="E44" s="11">
        <f>'balance_raw_43705660'!$E$23</f>
        <v/>
      </c>
      <c r="F44" t="inlineStr"/>
      <c r="G44" s="12">
        <f>IFERROR(B44/$B$44*100,"")</f>
        <v/>
      </c>
      <c r="H44" s="12">
        <f>IFERROR(C44/$B$44*100,"")</f>
        <v/>
      </c>
      <c r="I44" s="12">
        <f>IFERROR(D44/$B$44*100,"")</f>
        <v/>
      </c>
      <c r="J44" s="12">
        <f>IFERROR(E44/$B$44*100,"")</f>
        <v/>
      </c>
    </row>
    <row r="45" ht="16" customHeight="1">
      <c r="A45" s="7" t="inlineStr">
        <is>
          <t>Værdipapirer</t>
        </is>
      </c>
      <c r="B45" s="8">
        <f>'balance_raw_43705660'!$B$24</f>
        <v/>
      </c>
      <c r="C45" s="8">
        <f>'balance_raw_43705660'!$C$24</f>
        <v/>
      </c>
      <c r="D45" s="8">
        <f>'balance_raw_43705660'!$D$24</f>
        <v/>
      </c>
      <c r="E45" s="8">
        <f>'balance_raw_43705660'!$E$24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Likvide beholdninger</t>
        </is>
      </c>
      <c r="B46" s="5">
        <f>'balance_raw_43705660'!$B$25</f>
        <v/>
      </c>
      <c r="C46" s="5">
        <f>'balance_raw_43705660'!$C$25</f>
        <v/>
      </c>
      <c r="D46" s="5">
        <f>'balance_raw_43705660'!$D$25</f>
        <v/>
      </c>
      <c r="E46" s="5">
        <f>'balance_raw_43705660'!$E$25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10" t="inlineStr">
        <is>
          <t>Omsætningsaktiver</t>
        </is>
      </c>
      <c r="B47" s="11">
        <f>'balance_raw_43705660'!$B$26</f>
        <v/>
      </c>
      <c r="C47" s="11">
        <f>'balance_raw_43705660'!$C$26</f>
        <v/>
      </c>
      <c r="D47" s="11">
        <f>'balance_raw_43705660'!$D$26</f>
        <v/>
      </c>
      <c r="E47" s="11">
        <f>'balance_raw_43705660'!$E$26</f>
        <v/>
      </c>
      <c r="F47" t="inlineStr"/>
      <c r="G47" s="12">
        <f>IFERROR(B47/$B$47*100,"")</f>
        <v/>
      </c>
      <c r="H47" s="12">
        <f>IFERROR(C47/$B$47*100,"")</f>
        <v/>
      </c>
      <c r="I47" s="12">
        <f>IFERROR(D47/$B$47*100,"")</f>
        <v/>
      </c>
      <c r="J47" s="12">
        <f>IFERROR(E47/$B$47*100,"")</f>
        <v/>
      </c>
    </row>
    <row r="48" ht="16" customHeight="1">
      <c r="A48" s="10" t="inlineStr">
        <is>
          <t>Aktiver</t>
        </is>
      </c>
      <c r="B48" s="11">
        <f>'balance_raw_43705660'!$B$27</f>
        <v/>
      </c>
      <c r="C48" s="11">
        <f>'balance_raw_43705660'!$C$27</f>
        <v/>
      </c>
      <c r="D48" s="11">
        <f>'balance_raw_43705660'!$D$27</f>
        <v/>
      </c>
      <c r="E48" s="11">
        <f>'balance_raw_43705660'!$E$27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50" ht="22" customHeight="1">
      <c r="A50" s="3" t="inlineStr">
        <is>
          <t>PASSIVER t.kr.</t>
        </is>
      </c>
      <c r="B50" s="3" t="n">
        <v>2022</v>
      </c>
      <c r="C50" s="3" t="n">
        <v>2023</v>
      </c>
      <c r="D50" s="3" t="n">
        <v>2024</v>
      </c>
      <c r="E50" s="3" t="n">
        <v>2025</v>
      </c>
      <c r="F50" t="inlineStr"/>
      <c r="G50" s="3" t="n">
        <v>2022</v>
      </c>
      <c r="H50" s="3" t="n">
        <v>2023</v>
      </c>
      <c r="I50" s="3" t="n">
        <v>2024</v>
      </c>
      <c r="J50" s="3" t="n">
        <v>2025</v>
      </c>
    </row>
    <row r="51" ht="16" customHeight="1">
      <c r="A51" s="7" t="inlineStr">
        <is>
          <t>Selskabskapital</t>
        </is>
      </c>
      <c r="B51" s="8">
        <f>'balance_raw_43705660'!$B$28</f>
        <v/>
      </c>
      <c r="C51" s="8">
        <f>'balance_raw_43705660'!$C$28</f>
        <v/>
      </c>
      <c r="D51" s="8">
        <f>'balance_raw_43705660'!$D$28</f>
        <v/>
      </c>
      <c r="E51" s="8">
        <f>'balance_raw_43705660'!$E$28</f>
        <v/>
      </c>
      <c r="F51" t="inlineStr"/>
      <c r="G51" s="9">
        <f>IFERROR(B51/$B$51*100,"")</f>
        <v/>
      </c>
      <c r="H51" s="9">
        <f>IFERROR(C51/$B$51*100,"")</f>
        <v/>
      </c>
      <c r="I51" s="9">
        <f>IFERROR(D51/$B$51*100,"")</f>
        <v/>
      </c>
      <c r="J51" s="9">
        <f>IFERROR(E51/$B$51*100,"")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'balance_raw_43705660'!$B$29</f>
        <v/>
      </c>
      <c r="C52" s="5">
        <f>'balance_raw_43705660'!$C$29</f>
        <v/>
      </c>
      <c r="D52" s="5">
        <f>'balance_raw_43705660'!$D$29</f>
        <v/>
      </c>
      <c r="E52" s="5">
        <f>'balance_raw_43705660'!$E$29</f>
        <v/>
      </c>
      <c r="F52" t="inlineStr"/>
      <c r="G52" s="6">
        <f>IFERROR(B52/$B$52*100,"")</f>
        <v/>
      </c>
      <c r="H52" s="6">
        <f>IFERROR(C52/$B$52*100,"")</f>
        <v/>
      </c>
      <c r="I52" s="6">
        <f>IFERROR(D52/$B$52*100,"")</f>
        <v/>
      </c>
      <c r="J52" s="6">
        <f>IFERROR(E52/$B$52*100,"")</f>
        <v/>
      </c>
    </row>
    <row r="53" ht="16" customHeight="1">
      <c r="A53" s="7" t="inlineStr">
        <is>
          <t>Reserve for udviklingsomkostninger</t>
        </is>
      </c>
      <c r="B53" s="8">
        <f>'balance_raw_43705660'!$B$30</f>
        <v/>
      </c>
      <c r="C53" s="8">
        <f>'balance_raw_43705660'!$C$30</f>
        <v/>
      </c>
      <c r="D53" s="8">
        <f>'balance_raw_43705660'!$D$30</f>
        <v/>
      </c>
      <c r="E53" s="8">
        <f>'balance_raw_43705660'!$E$30</f>
        <v/>
      </c>
      <c r="F53" t="inlineStr"/>
      <c r="G53" s="9">
        <f>IFERROR(B53/$B$53*100,"")</f>
        <v/>
      </c>
      <c r="H53" s="9">
        <f>IFERROR(C53/$B$53*100,"")</f>
        <v/>
      </c>
      <c r="I53" s="9">
        <f>IFERROR(D53/$B$53*100,"")</f>
        <v/>
      </c>
      <c r="J53" s="9">
        <f>IFERROR(E53/$B$53*100,"")</f>
        <v/>
      </c>
    </row>
    <row r="54" ht="16" customHeight="1">
      <c r="A54" s="4" t="inlineStr">
        <is>
          <t>Reserve for sikringstransaktioner</t>
        </is>
      </c>
      <c r="B54" s="5">
        <f>'balance_raw_43705660'!$B$31</f>
        <v/>
      </c>
      <c r="C54" s="5">
        <f>'balance_raw_43705660'!$C$31</f>
        <v/>
      </c>
      <c r="D54" s="5">
        <f>'balance_raw_43705660'!$D$31</f>
        <v/>
      </c>
      <c r="E54" s="5">
        <f>'balance_raw_43705660'!$E$31</f>
        <v/>
      </c>
      <c r="F54" t="inlineStr"/>
      <c r="G54" s="6">
        <f>IFERROR(B54/$B$54*100,"")</f>
        <v/>
      </c>
      <c r="H54" s="6">
        <f>IFERROR(C54/$B$54*100,"")</f>
        <v/>
      </c>
      <c r="I54" s="6">
        <f>IFERROR(D54/$B$54*100,"")</f>
        <v/>
      </c>
      <c r="J54" s="6">
        <f>IFERROR(E54/$B$54*100,"")</f>
        <v/>
      </c>
    </row>
    <row r="55" ht="16" customHeight="1">
      <c r="A55" s="7" t="inlineStr">
        <is>
          <t>Andre reserver</t>
        </is>
      </c>
      <c r="B55" s="8">
        <f>'balance_raw_43705660'!$B$32</f>
        <v/>
      </c>
      <c r="C55" s="8">
        <f>'balance_raw_43705660'!$C$32</f>
        <v/>
      </c>
      <c r="D55" s="8">
        <f>'balance_raw_43705660'!$D$32</f>
        <v/>
      </c>
      <c r="E55" s="8">
        <f>'balance_raw_43705660'!$E$32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Overført resultat</t>
        </is>
      </c>
      <c r="B56" s="5">
        <f>'balance_raw_43705660'!$B$33</f>
        <v/>
      </c>
      <c r="C56" s="5">
        <f>'balance_raw_43705660'!$C$33</f>
        <v/>
      </c>
      <c r="D56" s="5">
        <f>'balance_raw_43705660'!$D$33</f>
        <v/>
      </c>
      <c r="E56" s="5">
        <f>'balance_raw_43705660'!$E$33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10" t="inlineStr">
        <is>
          <t>Egenkapital i alt</t>
        </is>
      </c>
      <c r="B57" s="11">
        <f>'balance_raw_43705660'!$B$34</f>
        <v/>
      </c>
      <c r="C57" s="11">
        <f>'balance_raw_43705660'!$C$34</f>
        <v/>
      </c>
      <c r="D57" s="11">
        <f>'balance_raw_43705660'!$D$34</f>
        <v/>
      </c>
      <c r="E57" s="11">
        <f>'balance_raw_43705660'!$E$34</f>
        <v/>
      </c>
      <c r="F57" t="inlineStr"/>
      <c r="G57" s="12">
        <f>IFERROR(B57/$B$57*100,"")</f>
        <v/>
      </c>
      <c r="H57" s="12">
        <f>IFERROR(C57/$B$57*100,"")</f>
        <v/>
      </c>
      <c r="I57" s="12">
        <f>IFERROR(D57/$B$57*100,"")</f>
        <v/>
      </c>
      <c r="J57" s="12">
        <f>IFERROR(E57/$B$57*100,"")</f>
        <v/>
      </c>
    </row>
    <row r="58" ht="16" customHeight="1">
      <c r="A58" s="4" t="inlineStr">
        <is>
          <t>Hensættelse til udskudt skat</t>
        </is>
      </c>
      <c r="B58" s="5">
        <f>'balance_raw_43705660'!$B$35</f>
        <v/>
      </c>
      <c r="C58" s="5">
        <f>'balance_raw_43705660'!$C$35</f>
        <v/>
      </c>
      <c r="D58" s="5">
        <f>'balance_raw_43705660'!$D$35</f>
        <v/>
      </c>
      <c r="E58" s="5">
        <f>'balance_raw_43705660'!$E$35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10" t="inlineStr">
        <is>
          <t>Hensatte forpligtelser</t>
        </is>
      </c>
      <c r="B59" s="11">
        <f>'balance_raw_43705660'!$B$36</f>
        <v/>
      </c>
      <c r="C59" s="11">
        <f>'balance_raw_43705660'!$C$36</f>
        <v/>
      </c>
      <c r="D59" s="11">
        <f>'balance_raw_43705660'!$D$36</f>
        <v/>
      </c>
      <c r="E59" s="11">
        <f>'balance_raw_43705660'!$E$36</f>
        <v/>
      </c>
      <c r="F59" t="inlineStr"/>
      <c r="G59" s="12">
        <f>IFERROR(B59/$B$59*100,"")</f>
        <v/>
      </c>
      <c r="H59" s="12">
        <f>IFERROR(C59/$B$59*100,"")</f>
        <v/>
      </c>
      <c r="I59" s="12">
        <f>IFERROR(D59/$B$59*100,"")</f>
        <v/>
      </c>
      <c r="J59" s="12">
        <f>IFERROR(E59/$B$59*100,"")</f>
        <v/>
      </c>
    </row>
    <row r="60" ht="16" customHeight="1">
      <c r="A60" s="4" t="inlineStr">
        <is>
          <t>Ansvarlig lånekapital (langfristet)</t>
        </is>
      </c>
      <c r="B60" s="5">
        <f>'balance_raw_43705660'!$B$37</f>
        <v/>
      </c>
      <c r="C60" s="5">
        <f>'balance_raw_43705660'!$C$37</f>
        <v/>
      </c>
      <c r="D60" s="5">
        <f>'balance_raw_43705660'!$D$37</f>
        <v/>
      </c>
      <c r="E60" s="5">
        <f>'balance_raw_43705660'!$E$37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7" t="inlineStr">
        <is>
          <t>Langfristede lån</t>
        </is>
      </c>
      <c r="B61" s="8">
        <f>'balance_raw_43705660'!$B$38</f>
        <v/>
      </c>
      <c r="C61" s="8">
        <f>'balance_raw_43705660'!$C$38</f>
        <v/>
      </c>
      <c r="D61" s="8">
        <f>'balance_raw_43705660'!$D$38</f>
        <v/>
      </c>
      <c r="E61" s="8">
        <f>'balance_raw_43705660'!$E$38</f>
        <v/>
      </c>
      <c r="F61" t="inlineStr"/>
      <c r="G61" s="9">
        <f>IFERROR(B61/$B$61*100,"")</f>
        <v/>
      </c>
      <c r="H61" s="9">
        <f>IFERROR(C61/$B$61*100,"")</f>
        <v/>
      </c>
      <c r="I61" s="9">
        <f>IFERROR(D61/$B$61*100,"")</f>
        <v/>
      </c>
      <c r="J61" s="9">
        <f>IFERROR(E61/$B$61*100,"")</f>
        <v/>
      </c>
    </row>
    <row r="62" ht="16" customHeight="1">
      <c r="A62" s="4" t="inlineStr">
        <is>
          <t>Leasingforpligtelser (langfristet)</t>
        </is>
      </c>
      <c r="B62" s="5">
        <f>'balance_raw_43705660'!$B$39</f>
        <v/>
      </c>
      <c r="C62" s="5">
        <f>'balance_raw_43705660'!$C$39</f>
        <v/>
      </c>
      <c r="D62" s="5">
        <f>'balance_raw_43705660'!$D$39</f>
        <v/>
      </c>
      <c r="E62" s="5">
        <f>'balance_raw_43705660'!$E$39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7" t="inlineStr">
        <is>
          <t>Anden gæld (langfristet)</t>
        </is>
      </c>
      <c r="B63" s="8">
        <f>'balance_raw_43705660'!$B$40</f>
        <v/>
      </c>
      <c r="C63" s="8">
        <f>'balance_raw_43705660'!$C$40</f>
        <v/>
      </c>
      <c r="D63" s="8">
        <f>'balance_raw_43705660'!$D$40</f>
        <v/>
      </c>
      <c r="E63" s="8">
        <f>'balance_raw_43705660'!$E$40</f>
        <v/>
      </c>
      <c r="F63" t="inlineStr"/>
      <c r="G63" s="9">
        <f>IFERROR(B63/$B$63*100,"")</f>
        <v/>
      </c>
      <c r="H63" s="9">
        <f>IFERROR(C63/$B$63*100,"")</f>
        <v/>
      </c>
      <c r="I63" s="9">
        <f>IFERROR(D63/$B$63*100,"")</f>
        <v/>
      </c>
      <c r="J63" s="9">
        <f>IFERROR(E63/$B$63*100,"")</f>
        <v/>
      </c>
    </row>
    <row r="64" ht="16" customHeight="1">
      <c r="A64" s="10" t="inlineStr">
        <is>
          <t>Langfristede gældsforpligtelser</t>
        </is>
      </c>
      <c r="B64" s="11">
        <f>'balance_raw_43705660'!$B$41</f>
        <v/>
      </c>
      <c r="C64" s="11">
        <f>'balance_raw_43705660'!$C$41</f>
        <v/>
      </c>
      <c r="D64" s="11">
        <f>'balance_raw_43705660'!$D$41</f>
        <v/>
      </c>
      <c r="E64" s="11">
        <f>'balance_raw_43705660'!$E$41</f>
        <v/>
      </c>
      <c r="F64" t="inlineStr"/>
      <c r="G64" s="12">
        <f>IFERROR(B64/$B$64*100,"")</f>
        <v/>
      </c>
      <c r="H64" s="12">
        <f>IFERROR(C64/$B$64*100,"")</f>
        <v/>
      </c>
      <c r="I64" s="12">
        <f>IFERROR(D64/$B$64*100,"")</f>
        <v/>
      </c>
      <c r="J64" s="12">
        <f>IFERROR(E64/$B$64*100,"")</f>
        <v/>
      </c>
    </row>
    <row r="65" ht="16" customHeight="1">
      <c r="A65" s="7" t="inlineStr">
        <is>
          <t>Ansvarlig lånekapital (kortfristet)</t>
        </is>
      </c>
      <c r="B65" s="8">
        <f>'balance_raw_43705660'!$B$42</f>
        <v/>
      </c>
      <c r="C65" s="8">
        <f>'balance_raw_43705660'!$C$42</f>
        <v/>
      </c>
      <c r="D65" s="8">
        <f>'balance_raw_43705660'!$D$42</f>
        <v/>
      </c>
      <c r="E65" s="8">
        <f>'balance_raw_43705660'!$E$42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'balance_raw_43705660'!$B$43</f>
        <v/>
      </c>
      <c r="C66" s="5">
        <f>'balance_raw_43705660'!$C$43</f>
        <v/>
      </c>
      <c r="D66" s="5">
        <f>'balance_raw_43705660'!$D$43</f>
        <v/>
      </c>
      <c r="E66" s="5">
        <f>'balance_raw_43705660'!$E$43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Kreditinstitutter</t>
        </is>
      </c>
      <c r="B67" s="8">
        <f>'balance_raw_43705660'!$B$44</f>
        <v/>
      </c>
      <c r="C67" s="8">
        <f>'balance_raw_43705660'!$C$44</f>
        <v/>
      </c>
      <c r="D67" s="8">
        <f>'balance_raw_43705660'!$D$44</f>
        <v/>
      </c>
      <c r="E67" s="8">
        <f>'balance_raw_43705660'!$E$44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4" t="inlineStr">
        <is>
          <t>Leasingforpligtelser (kortfristet)</t>
        </is>
      </c>
      <c r="B68" s="5">
        <f>'balance_raw_43705660'!$B$45</f>
        <v/>
      </c>
      <c r="C68" s="5">
        <f>'balance_raw_43705660'!$C$45</f>
        <v/>
      </c>
      <c r="D68" s="5">
        <f>'balance_raw_43705660'!$D$45</f>
        <v/>
      </c>
      <c r="E68" s="5">
        <f>'balance_raw_43705660'!$E$45</f>
        <v/>
      </c>
      <c r="F68" t="inlineStr"/>
      <c r="G68" s="6">
        <f>IFERROR(B68/$B$68*100,"")</f>
        <v/>
      </c>
      <c r="H68" s="6">
        <f>IFERROR(C68/$B$68*100,"")</f>
        <v/>
      </c>
      <c r="I68" s="6">
        <f>IFERROR(D68/$B$68*100,"")</f>
        <v/>
      </c>
      <c r="J68" s="6">
        <f>IFERROR(E68/$B$68*100,"")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'balance_raw_43705660'!$B$46</f>
        <v/>
      </c>
      <c r="C69" s="8">
        <f>'balance_raw_43705660'!$C$46</f>
        <v/>
      </c>
      <c r="D69" s="8">
        <f>'balance_raw_43705660'!$D$46</f>
        <v/>
      </c>
      <c r="E69" s="8">
        <f>'balance_raw_43705660'!$E$46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Gæld til tilknyttede virksomheder</t>
        </is>
      </c>
      <c r="B70" s="5">
        <f>'balance_raw_43705660'!$B$47</f>
        <v/>
      </c>
      <c r="C70" s="5">
        <f>'balance_raw_43705660'!$C$47</f>
        <v/>
      </c>
      <c r="D70" s="5">
        <f>'balance_raw_43705660'!$D$47</f>
        <v/>
      </c>
      <c r="E70" s="5">
        <f>'balance_raw_43705660'!$E$47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Gæld til selskabsdeltagere og ledelse</t>
        </is>
      </c>
      <c r="B71" s="8">
        <f>'balance_raw_43705660'!$B$48</f>
        <v/>
      </c>
      <c r="C71" s="8">
        <f>'balance_raw_43705660'!$C$48</f>
        <v/>
      </c>
      <c r="D71" s="8">
        <f>'balance_raw_43705660'!$D$48</f>
        <v/>
      </c>
      <c r="E71" s="8">
        <f>'balance_raw_43705660'!$E$48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Selskabsskat</t>
        </is>
      </c>
      <c r="B72" s="5">
        <f>'balance_raw_43705660'!$B$49</f>
        <v/>
      </c>
      <c r="C72" s="5">
        <f>'balance_raw_43705660'!$C$49</f>
        <v/>
      </c>
      <c r="D72" s="5">
        <f>'balance_raw_43705660'!$D$49</f>
        <v/>
      </c>
      <c r="E72" s="5">
        <f>'balance_raw_43705660'!$E$49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'balance_raw_43705660'!$B$50</f>
        <v/>
      </c>
      <c r="C73" s="8">
        <f>'balance_raw_43705660'!$C$50</f>
        <v/>
      </c>
      <c r="D73" s="8">
        <f>'balance_raw_43705660'!$D$50</f>
        <v/>
      </c>
      <c r="E73" s="8">
        <f>'balance_raw_43705660'!$E$50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Anden gæld (kortfristet)</t>
        </is>
      </c>
      <c r="B74" s="5">
        <f>'balance_raw_43705660'!$B$51</f>
        <v/>
      </c>
      <c r="C74" s="5">
        <f>'balance_raw_43705660'!$C$51</f>
        <v/>
      </c>
      <c r="D74" s="5">
        <f>'balance_raw_43705660'!$D$51</f>
        <v/>
      </c>
      <c r="E74" s="5">
        <f>'balance_raw_43705660'!$E$51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Periodeafgrænsningsposter (passiver)</t>
        </is>
      </c>
      <c r="B75" s="8">
        <f>'balance_raw_43705660'!$B$52</f>
        <v/>
      </c>
      <c r="C75" s="8">
        <f>'balance_raw_43705660'!$C$52</f>
        <v/>
      </c>
      <c r="D75" s="8">
        <f>'balance_raw_43705660'!$D$52</f>
        <v/>
      </c>
      <c r="E75" s="8">
        <f>'balance_raw_43705660'!$E$52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10" t="inlineStr">
        <is>
          <t>Kortfristede gældsforpligtelser</t>
        </is>
      </c>
      <c r="B76" s="11">
        <f>'balance_raw_43705660'!$B$53</f>
        <v/>
      </c>
      <c r="C76" s="11">
        <f>'balance_raw_43705660'!$C$53</f>
        <v/>
      </c>
      <c r="D76" s="11">
        <f>'balance_raw_43705660'!$D$53</f>
        <v/>
      </c>
      <c r="E76" s="11">
        <f>'balance_raw_43705660'!$E$53</f>
        <v/>
      </c>
      <c r="F76" t="inlineStr"/>
      <c r="G76" s="12">
        <f>IFERROR(B76/$B$76*100,"")</f>
        <v/>
      </c>
      <c r="H76" s="12">
        <f>IFERROR(C76/$B$76*100,"")</f>
        <v/>
      </c>
      <c r="I76" s="12">
        <f>IFERROR(D76/$B$76*100,"")</f>
        <v/>
      </c>
      <c r="J76" s="12">
        <f>IFERROR(E76/$B$76*100,"")</f>
        <v/>
      </c>
    </row>
    <row r="77" ht="16" customHeight="1">
      <c r="A77" s="10" t="inlineStr">
        <is>
          <t>Gældsforpligtelser</t>
        </is>
      </c>
      <c r="B77" s="11">
        <f>'balance_raw_43705660'!$B$54</f>
        <v/>
      </c>
      <c r="C77" s="11">
        <f>'balance_raw_43705660'!$C$54</f>
        <v/>
      </c>
      <c r="D77" s="11">
        <f>'balance_raw_43705660'!$D$54</f>
        <v/>
      </c>
      <c r="E77" s="11">
        <f>'balance_raw_43705660'!$E$54</f>
        <v/>
      </c>
      <c r="F77" t="inlineStr"/>
      <c r="G77" s="12">
        <f>IFERROR(B77/$B$77*100,"")</f>
        <v/>
      </c>
      <c r="H77" s="12">
        <f>IFERROR(C77/$B$77*100,"")</f>
        <v/>
      </c>
      <c r="I77" s="12">
        <f>IFERROR(D77/$B$77*100,"")</f>
        <v/>
      </c>
      <c r="J77" s="12">
        <f>IFERROR(E77/$B$77*100,"")</f>
        <v/>
      </c>
    </row>
    <row r="78" ht="16" customHeight="1">
      <c r="A78" s="10" t="inlineStr">
        <is>
          <t>Passiver</t>
        </is>
      </c>
      <c r="B78" s="11">
        <f>'balance_raw_43705660'!$B$55</f>
        <v/>
      </c>
      <c r="C78" s="11">
        <f>'balance_raw_43705660'!$C$55</f>
        <v/>
      </c>
      <c r="D78" s="11">
        <f>'balance_raw_43705660'!$D$55</f>
        <v/>
      </c>
      <c r="E78" s="11">
        <f>'balance_raw_43705660'!$E$55</f>
        <v/>
      </c>
      <c r="F78" t="inlineStr"/>
      <c r="G78" s="12">
        <f>IFERROR(B78/$B$78*100,"")</f>
        <v/>
      </c>
      <c r="H78" s="12">
        <f>IFERROR(C78/$B$78*100,"")</f>
        <v/>
      </c>
      <c r="I78" s="12">
        <f>IFERROR(D78/$B$78*100,"")</f>
        <v/>
      </c>
      <c r="J78" s="12">
        <f>IFERROR(E78/$B$78*100,"")</f>
        <v/>
      </c>
    </row>
    <row r="80" ht="22" customHeight="1">
      <c r="A80" s="3" t="inlineStr">
        <is>
          <t>NØGLEOPLYSNINGER</t>
        </is>
      </c>
      <c r="B80" s="3" t="n">
        <v>2022</v>
      </c>
      <c r="C80" s="3" t="n">
        <v>2023</v>
      </c>
      <c r="D80" s="3" t="n">
        <v>2024</v>
      </c>
      <c r="E80" s="3" t="n">
        <v>2025</v>
      </c>
    </row>
    <row r="81" ht="16" customHeight="1">
      <c r="A81" s="7" t="inlineStr">
        <is>
          <t>Gns. antal medarbejdere</t>
        </is>
      </c>
      <c r="B81" s="8">
        <f>'res_raw_43705660'!$B$19</f>
        <v/>
      </c>
      <c r="C81" s="8">
        <f>'res_raw_43705660'!$C$19</f>
        <v/>
      </c>
      <c r="D81" s="8">
        <f>'res_raw_43705660'!$D$19</f>
        <v/>
      </c>
      <c r="E81" s="8">
        <f>'res_raw_43705660'!$E$19</f>
        <v/>
      </c>
      <c r="F81" t="inlineStr"/>
      <c r="G81" s="9">
        <f>IFERROR(B81/$B$81*100,"")</f>
        <v/>
      </c>
      <c r="H81" s="9">
        <f>IFERROR(C81/$B$81*100,"")</f>
        <v/>
      </c>
      <c r="I81" s="9">
        <f>IFERROR(D81/$B$81*100,"")</f>
        <v/>
      </c>
      <c r="J81" s="9">
        <f>IFERROR(E81/$B$81*100,"")</f>
        <v/>
      </c>
    </row>
    <row r="82" ht="16" customHeight="1">
      <c r="A82" s="4" t="inlineStr">
        <is>
          <t>Investering i materielle anlægsaktiver</t>
        </is>
      </c>
      <c r="B82" s="5">
        <f>'res_raw_43705660'!$B$20</f>
        <v/>
      </c>
      <c r="C82" s="5">
        <f>'res_raw_43705660'!$C$20</f>
        <v/>
      </c>
      <c r="D82" s="5">
        <f>'res_raw_43705660'!$D$20</f>
        <v/>
      </c>
      <c r="E82" s="5">
        <f>'res_raw_43705660'!$E$20</f>
        <v/>
      </c>
      <c r="F82" t="inlineStr"/>
      <c r="G82" s="6">
        <f>IFERROR(B82/$B$82*100,"")</f>
        <v/>
      </c>
      <c r="H82" s="6">
        <f>IFERROR(C82/$B$82*100,"")</f>
        <v/>
      </c>
      <c r="I82" s="6">
        <f>IFERROR(D82/$B$82*100,"")</f>
        <v/>
      </c>
      <c r="J82" s="6">
        <f>IFERROR(E82/$B$82*100,"")</f>
        <v/>
      </c>
    </row>
    <row r="84" ht="22" customHeight="1">
      <c r="A84" s="3" t="inlineStr">
        <is>
          <t>NØGLETAL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/>
      <c r="C6" s="16" t="n">
        <v>316</v>
      </c>
      <c r="D6" s="16" t="n">
        <v>781</v>
      </c>
      <c r="E6" s="16" t="n">
        <v>858</v>
      </c>
    </row>
    <row r="7">
      <c r="A7" s="15" t="inlineStr">
        <is>
          <t>Personaleomkostninger</t>
        </is>
      </c>
      <c r="B7" s="16" t="n"/>
      <c r="C7" s="16" t="n">
        <v>328</v>
      </c>
      <c r="D7" s="16" t="n">
        <v>414</v>
      </c>
      <c r="E7" s="16" t="n">
        <v>400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78</v>
      </c>
      <c r="D9" s="16" t="n">
        <v>111</v>
      </c>
      <c r="E9" s="16" t="n">
        <v>132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</row>
    <row r="11">
      <c r="A11" s="17" t="inlineStr">
        <is>
          <t>Resultat af primær drift</t>
        </is>
      </c>
      <c r="B11" s="16" t="n"/>
      <c r="C11" s="16" t="n">
        <v>-90</v>
      </c>
      <c r="D11" s="16" t="n">
        <v>256</v>
      </c>
      <c r="E11" s="16" t="n">
        <v>325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0</v>
      </c>
      <c r="E13" s="16" t="n">
        <v>0</v>
      </c>
    </row>
    <row r="14">
      <c r="A14" s="15" t="inlineStr">
        <is>
          <t>Finansielle omkostninger</t>
        </is>
      </c>
      <c r="B14" s="16" t="n"/>
      <c r="C14" s="16" t="n">
        <v>72</v>
      </c>
      <c r="D14" s="16" t="n">
        <v>68</v>
      </c>
      <c r="E14" s="16" t="n">
        <v>72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</row>
    <row r="16">
      <c r="A16" s="17" t="inlineStr">
        <is>
          <t>Resultat før skat</t>
        </is>
      </c>
      <c r="B16" s="16" t="n"/>
      <c r="C16" s="16" t="n">
        <v>-162</v>
      </c>
      <c r="D16" s="16" t="n">
        <v>188</v>
      </c>
      <c r="E16" s="16" t="n">
        <v>254</v>
      </c>
    </row>
    <row r="17">
      <c r="A17" s="15" t="inlineStr">
        <is>
          <t>Skat af årets resultat</t>
        </is>
      </c>
      <c r="B17" s="16" t="n"/>
      <c r="C17" s="16" t="n">
        <v>-29</v>
      </c>
      <c r="D17" s="16" t="n">
        <v>43</v>
      </c>
      <c r="E17" s="16" t="n">
        <v>57</v>
      </c>
    </row>
    <row r="18">
      <c r="A18" s="17" t="inlineStr">
        <is>
          <t>Årets resultat</t>
        </is>
      </c>
      <c r="B18" s="16" t="n"/>
      <c r="C18" s="16" t="n">
        <v>-133</v>
      </c>
      <c r="D18" s="16" t="n">
        <v>145</v>
      </c>
      <c r="E18" s="16" t="n">
        <v>197</v>
      </c>
    </row>
    <row r="19">
      <c r="A19" s="15" t="inlineStr">
        <is>
          <t>Gns. antal medarbejdere</t>
        </is>
      </c>
      <c r="B19" s="16" t="n"/>
      <c r="C19" s="16" t="n">
        <v>2</v>
      </c>
      <c r="D19" s="16" t="n">
        <v>2</v>
      </c>
      <c r="E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</row>
    <row r="4">
      <c r="A4" s="15" t="inlineStr">
        <is>
          <t>Driftsmateriel og inventar</t>
        </is>
      </c>
      <c r="B4" s="16" t="n"/>
      <c r="C4" s="16" t="n">
        <v>916</v>
      </c>
      <c r="D4" s="16" t="n">
        <v>1146</v>
      </c>
      <c r="E4" s="16" t="n">
        <v>1071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>
        <v>295</v>
      </c>
    </row>
    <row r="7">
      <c r="A7" s="17" t="inlineStr">
        <is>
          <t>Materielle anlægsaktiver</t>
        </is>
      </c>
      <c r="B7" s="16" t="n"/>
      <c r="C7" s="16" t="n">
        <v>916</v>
      </c>
      <c r="D7" s="16" t="n">
        <v>1146</v>
      </c>
      <c r="E7" s="16" t="n">
        <v>1366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</row>
    <row r="9">
      <c r="A9" s="15" t="inlineStr">
        <is>
          <t>Deposita</t>
        </is>
      </c>
      <c r="B9" s="16" t="n"/>
      <c r="C9" s="16" t="n">
        <v>10</v>
      </c>
      <c r="D9" s="16" t="n">
        <v>10</v>
      </c>
      <c r="E9" s="16" t="n">
        <v>10</v>
      </c>
    </row>
    <row r="10">
      <c r="A10" s="17" t="inlineStr">
        <is>
          <t>Finansielle anlægsaktiver</t>
        </is>
      </c>
      <c r="B10" s="16" t="n"/>
      <c r="C10" s="16" t="n">
        <v>10</v>
      </c>
      <c r="D10" s="16" t="n">
        <v>10</v>
      </c>
      <c r="E10" s="16" t="n">
        <v>10</v>
      </c>
    </row>
    <row r="11">
      <c r="A11" s="17" t="inlineStr">
        <is>
          <t>Anlægsaktiver</t>
        </is>
      </c>
      <c r="B11" s="16" t="n"/>
      <c r="C11" s="16" t="n">
        <v>926</v>
      </c>
      <c r="D11" s="16" t="n">
        <v>1156</v>
      </c>
      <c r="E11" s="16" t="n">
        <v>1376</v>
      </c>
    </row>
    <row r="12">
      <c r="A12" s="15" t="inlineStr">
        <is>
          <t>Råvarer og hjælpematerialer</t>
        </is>
      </c>
      <c r="B12" s="16" t="n"/>
      <c r="C12" s="16" t="n">
        <v>79</v>
      </c>
      <c r="D12" s="16" t="n">
        <v>142</v>
      </c>
      <c r="E12" s="16" t="n">
        <v>39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</row>
    <row r="14">
      <c r="A14" s="15" t="inlineStr">
        <is>
          <t>Færdigvarer og handelsvarer</t>
        </is>
      </c>
      <c r="B14" s="16" t="n"/>
      <c r="C14" s="16" t="n">
        <v>259</v>
      </c>
      <c r="D14" s="16" t="n">
        <v>260</v>
      </c>
      <c r="E14" s="16" t="n">
        <v>274</v>
      </c>
    </row>
    <row r="15">
      <c r="A15" s="17" t="inlineStr">
        <is>
          <t>Varebeholdninger</t>
        </is>
      </c>
      <c r="B15" s="16" t="n"/>
      <c r="C15" s="16" t="n">
        <v>338</v>
      </c>
      <c r="D15" s="16" t="n">
        <v>402</v>
      </c>
      <c r="E15" s="16" t="n">
        <v>314</v>
      </c>
    </row>
    <row r="16">
      <c r="A16" s="15" t="inlineStr">
        <is>
          <t>Tilgodehavender fra salg og tjenesteydelser</t>
        </is>
      </c>
      <c r="B16" s="16" t="n"/>
      <c r="C16" s="16" t="n">
        <v>57</v>
      </c>
      <c r="D16" s="16" t="n">
        <v>111</v>
      </c>
      <c r="E16" s="16" t="n">
        <v>97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>
        <v>6</v>
      </c>
    </row>
    <row r="18">
      <c r="A18" s="15" t="inlineStr">
        <is>
          <t>Andre tilgodehavender</t>
        </is>
      </c>
      <c r="B18" s="16" t="n"/>
      <c r="C18" s="16" t="n">
        <v>25</v>
      </c>
      <c r="D18" s="16" t="n">
        <v>22</v>
      </c>
      <c r="E18" s="16" t="n">
        <v>17</v>
      </c>
    </row>
    <row r="19">
      <c r="A19" s="15" t="inlineStr">
        <is>
          <t>Periodeafgrænsningsposter (aktiver)</t>
        </is>
      </c>
      <c r="B19" s="16" t="n"/>
      <c r="C19" s="16" t="n">
        <v>27</v>
      </c>
      <c r="D19" s="16" t="n">
        <v>0</v>
      </c>
      <c r="E19" s="16" t="n"/>
    </row>
    <row r="20">
      <c r="A20" s="15" t="inlineStr">
        <is>
          <t>Udskudt skatteaktiv</t>
        </is>
      </c>
      <c r="B20" s="16" t="n"/>
      <c r="C20" s="16" t="n">
        <v>29</v>
      </c>
      <c r="D20" s="16" t="n">
        <v>0</v>
      </c>
      <c r="E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Kortfristede skattetilgodehavender</t>
        </is>
      </c>
      <c r="B22" s="16" t="n"/>
      <c r="C22" s="16" t="n">
        <v>0</v>
      </c>
      <c r="D22" s="16" t="n">
        <v>0</v>
      </c>
      <c r="E22" s="16" t="n"/>
    </row>
    <row r="23">
      <c r="A23" s="17" t="inlineStr">
        <is>
          <t>Tilgodehavender</t>
        </is>
      </c>
      <c r="B23" s="16" t="n"/>
      <c r="C23" s="16" t="n">
        <v>138</v>
      </c>
      <c r="D23" s="16" t="n">
        <v>133</v>
      </c>
      <c r="E23" s="16" t="n">
        <v>119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</row>
    <row r="25">
      <c r="A25" s="15" t="inlineStr">
        <is>
          <t>Likvide beholdninger</t>
        </is>
      </c>
      <c r="B25" s="16" t="n"/>
      <c r="C25" s="16" t="n">
        <v>16</v>
      </c>
      <c r="D25" s="16" t="n">
        <v>3</v>
      </c>
      <c r="E25" s="16" t="n">
        <v>131</v>
      </c>
    </row>
    <row r="26">
      <c r="A26" s="17" t="inlineStr">
        <is>
          <t>Omsætningsaktiver</t>
        </is>
      </c>
      <c r="B26" s="16" t="n"/>
      <c r="C26" s="16" t="n">
        <v>492</v>
      </c>
      <c r="D26" s="16" t="n">
        <v>538</v>
      </c>
      <c r="E26" s="16" t="n">
        <v>563</v>
      </c>
    </row>
    <row r="27">
      <c r="A27" s="17" t="inlineStr">
        <is>
          <t>Aktiver</t>
        </is>
      </c>
      <c r="B27" s="16" t="n"/>
      <c r="C27" s="16" t="n">
        <v>1418</v>
      </c>
      <c r="D27" s="16" t="n">
        <v>1694</v>
      </c>
      <c r="E27" s="16" t="n">
        <v>1940</v>
      </c>
    </row>
    <row r="28">
      <c r="A28" s="15" t="inlineStr">
        <is>
          <t>Selskabskapital</t>
        </is>
      </c>
      <c r="B28" s="16" t="n"/>
      <c r="C28" s="16" t="n">
        <v>40</v>
      </c>
      <c r="D28" s="16" t="n">
        <v>40</v>
      </c>
      <c r="E28" s="16" t="n">
        <v>40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</row>
    <row r="33">
      <c r="A33" s="15" t="inlineStr">
        <is>
          <t>Overført resultat</t>
        </is>
      </c>
      <c r="B33" s="16" t="n"/>
      <c r="C33" s="16" t="n">
        <v>-132</v>
      </c>
      <c r="D33" s="16" t="n">
        <v>13</v>
      </c>
      <c r="E33" s="16" t="n">
        <v>210</v>
      </c>
    </row>
    <row r="34">
      <c r="A34" s="17" t="inlineStr">
        <is>
          <t>Egenkapital i alt</t>
        </is>
      </c>
      <c r="B34" s="16" t="n">
        <v>40</v>
      </c>
      <c r="C34" s="16" t="n">
        <v>-92</v>
      </c>
      <c r="D34" s="16" t="n">
        <v>53</v>
      </c>
      <c r="E34" s="16" t="n">
        <v>250</v>
      </c>
    </row>
    <row r="35">
      <c r="A35" s="15" t="inlineStr">
        <is>
          <t>Hensættelse til udskudt skat</t>
        </is>
      </c>
      <c r="B35" s="16" t="n"/>
      <c r="C35" s="16" t="n">
        <v>0</v>
      </c>
      <c r="D35" s="16" t="n">
        <v>13</v>
      </c>
      <c r="E35" s="16" t="n">
        <v>70</v>
      </c>
    </row>
    <row r="36">
      <c r="A36" s="17" t="inlineStr">
        <is>
          <t>Hensatte forpligtelser</t>
        </is>
      </c>
      <c r="B36" s="16" t="n"/>
      <c r="C36" s="16" t="n">
        <v>0</v>
      </c>
      <c r="D36" s="16" t="n">
        <v>13</v>
      </c>
      <c r="E36" s="16" t="n">
        <v>70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</row>
    <row r="38">
      <c r="A38" s="15" t="inlineStr">
        <is>
          <t>Langfristede lån</t>
        </is>
      </c>
      <c r="B38" s="16" t="n"/>
      <c r="C38" s="16" t="n">
        <v>662</v>
      </c>
      <c r="D38" s="16" t="n">
        <v>727</v>
      </c>
      <c r="E38" s="16" t="n">
        <v>851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</row>
    <row r="41">
      <c r="A41" s="17" t="inlineStr">
        <is>
          <t>Langfristede gældsforpligtelser</t>
        </is>
      </c>
      <c r="B41" s="16" t="n"/>
      <c r="C41" s="16" t="n">
        <v>662</v>
      </c>
      <c r="D41" s="16" t="n">
        <v>727</v>
      </c>
      <c r="E41" s="16" t="n">
        <v>851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</row>
    <row r="43">
      <c r="A43" s="15" t="inlineStr">
        <is>
          <t>Kortfristet del af langfristede gældsforpligtelser</t>
        </is>
      </c>
      <c r="B43" s="16" t="n"/>
      <c r="C43" s="16" t="n">
        <v>107</v>
      </c>
      <c r="D43" s="16" t="n">
        <v>146</v>
      </c>
      <c r="E43" s="16" t="n">
        <v>176</v>
      </c>
    </row>
    <row r="44">
      <c r="A44" s="15" t="inlineStr">
        <is>
          <t>Kreditinstitutter</t>
        </is>
      </c>
      <c r="B44" s="16" t="n"/>
      <c r="C44" s="16" t="n">
        <v>127</v>
      </c>
      <c r="D44" s="16" t="n">
        <v>65</v>
      </c>
      <c r="E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</row>
    <row r="46">
      <c r="A46" s="15" t="inlineStr">
        <is>
          <t>Leverandører af varer og tjenesteydelser</t>
        </is>
      </c>
      <c r="B46" s="16" t="n"/>
      <c r="C46" s="16" t="n">
        <v>127</v>
      </c>
      <c r="D46" s="16" t="n">
        <v>146</v>
      </c>
      <c r="E46" s="16" t="n">
        <v>140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</row>
    <row r="48">
      <c r="A48" s="15" t="inlineStr">
        <is>
          <t>Gæld til selskabsdeltagere og ledelse</t>
        </is>
      </c>
      <c r="B48" s="16" t="n"/>
      <c r="C48" s="16" t="n">
        <v>471</v>
      </c>
      <c r="D48" s="16" t="n">
        <v>510</v>
      </c>
      <c r="E48" s="16" t="n">
        <v>208</v>
      </c>
    </row>
    <row r="49">
      <c r="A49" s="15" t="inlineStr">
        <is>
          <t>Selskabsskat</t>
        </is>
      </c>
      <c r="B49" s="16" t="n"/>
      <c r="C49" s="16" t="n"/>
      <c r="D49" s="16" t="n"/>
      <c r="E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</row>
    <row r="51">
      <c r="A51" s="15" t="inlineStr">
        <is>
          <t>Anden gæld (kortfristet)</t>
        </is>
      </c>
      <c r="B51" s="16" t="n"/>
      <c r="C51" s="16" t="n">
        <v>16</v>
      </c>
      <c r="D51" s="16" t="n">
        <v>34</v>
      </c>
      <c r="E51" s="16" t="n">
        <v>244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</row>
    <row r="53">
      <c r="A53" s="17" t="inlineStr">
        <is>
          <t>Kortfristede gældsforpligtelser</t>
        </is>
      </c>
      <c r="B53" s="16" t="n"/>
      <c r="C53" s="16" t="n">
        <v>848</v>
      </c>
      <c r="D53" s="16" t="n">
        <v>901</v>
      </c>
      <c r="E53" s="16" t="n">
        <v>768</v>
      </c>
    </row>
    <row r="54">
      <c r="A54" s="17" t="inlineStr">
        <is>
          <t>Gældsforpligtelser</t>
        </is>
      </c>
      <c r="B54" s="16" t="n"/>
      <c r="C54" s="16" t="n">
        <v>1510</v>
      </c>
      <c r="D54" s="16" t="n">
        <v>1628</v>
      </c>
      <c r="E54" s="16" t="n">
        <v>1620</v>
      </c>
    </row>
    <row r="55">
      <c r="A55" s="17" t="inlineStr">
        <is>
          <t>Passiver</t>
        </is>
      </c>
      <c r="B55" s="16" t="n"/>
      <c r="C55" s="16" t="n">
        <v>1418</v>
      </c>
      <c r="D55" s="16" t="n">
        <v>1694</v>
      </c>
      <c r="E55" s="16" t="n">
        <v>1940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THURØ BRYGHUS APS (CVR 43705660) — Regnskabs- og nøgletal (CVR: 43705660)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'res_raw_43705660'!$E$2</f>
        <v/>
      </c>
      <c r="C5" s="24">
        <f>'res_raw_43705660'!$D$2</f>
        <v/>
      </c>
      <c r="D5" s="24">
        <f>'res_raw_43705660'!$C$2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'res_raw_43705660'!$E$3</f>
        <v/>
      </c>
      <c r="C6" s="24">
        <f>'res_raw_43705660'!$D$3</f>
        <v/>
      </c>
      <c r="D6" s="24">
        <f>'res_raw_43705660'!$C$3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-'res_raw_43705660'!$E$4</f>
        <v/>
      </c>
      <c r="C7" s="24">
        <f>-'res_raw_43705660'!$D$4</f>
        <v/>
      </c>
      <c r="D7" s="24">
        <f>-'res_raw_43705660'!$C$4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-'res_raw_43705660'!$E$5</f>
        <v/>
      </c>
      <c r="C8" s="24">
        <f>-'res_raw_43705660'!$D$5</f>
        <v/>
      </c>
      <c r="D8" s="24">
        <f>-'res_raw_43705660'!$C$5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-'res_raw_43705660'!$E$7</f>
        <v/>
      </c>
      <c r="C10" s="24">
        <f>-'res_raw_43705660'!$D$7</f>
        <v/>
      </c>
      <c r="D10" s="24">
        <f>-'res_raw_43705660'!$C$7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-'res_raw_43705660'!$E$9</f>
        <v/>
      </c>
      <c r="C11" s="24">
        <f>-'res_raw_43705660'!$D$9</f>
        <v/>
      </c>
      <c r="D11" s="24">
        <f>-'res_raw_43705660'!$C$9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-'res_raw_43705660'!$E$10</f>
        <v/>
      </c>
      <c r="C12" s="24">
        <f>-'res_raw_43705660'!$D$10</f>
        <v/>
      </c>
      <c r="D12" s="24">
        <f>-'res_raw_43705660'!$C$10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N('res_raw_43705660'!$E$12)+N('res_raw_43705660'!$E$13)</f>
        <v/>
      </c>
      <c r="C14" s="24">
        <f>N('res_raw_43705660'!$D$12)+N('res_raw_43705660'!$D$13)</f>
        <v/>
      </c>
      <c r="D14" s="24">
        <f>N('res_raw_43705660'!$C$12)+N('res_raw_43705660'!$C$13)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-'res_raw_43705660'!$E$14</f>
        <v/>
      </c>
      <c r="C15" s="24">
        <f>-'res_raw_43705660'!$D$14</f>
        <v/>
      </c>
      <c r="D15" s="24">
        <f>-'res_raw_43705660'!$C$14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'balance_raw_43705660'!$E$11</f>
        <v/>
      </c>
      <c r="C19" s="24">
        <f>'balance_raw_43705660'!$D$11</f>
        <v/>
      </c>
      <c r="D19" s="24">
        <f>'balance_raw_43705660'!$C$11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'balance_raw_43705660'!$E$26</f>
        <v/>
      </c>
      <c r="C20" s="24">
        <f>'balance_raw_43705660'!$D$26</f>
        <v/>
      </c>
      <c r="D20" s="24">
        <f>'balance_raw_43705660'!$C$26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'balance_raw_43705660'!$E$34</f>
        <v/>
      </c>
      <c r="C23" s="24">
        <f>'balance_raw_43705660'!$D$34</f>
        <v/>
      </c>
      <c r="D23" s="24">
        <f>'balance_raw_43705660'!$C$34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'balance_raw_43705660'!$E$55-'balance_raw_43705660'!$E$34</f>
        <v/>
      </c>
      <c r="C24" s="24">
        <f>'balance_raw_43705660'!$D$55-'balance_raw_43705660'!$D$34</f>
        <v/>
      </c>
      <c r="D24" s="24">
        <f>'balance_raw_43705660'!$C$55-'balance_raw_43705660'!$C$34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'balance_raw_43705660'!$E$15</f>
        <v/>
      </c>
      <c r="C28" s="24">
        <f>'balance_raw_43705660'!$D$15</f>
        <v/>
      </c>
      <c r="D28" s="24">
        <f>'balance_raw_43705660'!$C$15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'balance_raw_43705660'!$E$16</f>
        <v/>
      </c>
      <c r="C29" s="24">
        <f>'balance_raw_43705660'!$D$16</f>
        <v/>
      </c>
      <c r="D29" s="24">
        <f>'balance_raw_43705660'!$C$16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'balance_raw_43705660'!$E$53</f>
        <v/>
      </c>
      <c r="C30" s="24">
        <f>'balance_raw_43705660'!$D$53</f>
        <v/>
      </c>
      <c r="D30" s="24">
        <f>'balance_raw_43705660'!$C$53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IF('balance_raw_43705660'!$E$27="","—",IF(ABS(B21-'balance_raw_43705660'!$E$27)&lt;=1,"✓ OK","❌ "&amp;TEXT(B21-'balance_raw_43705660'!$E$27,"+#,##0;-#,##0")&amp;" t.kr."))</f>
        <v/>
      </c>
      <c r="C61" s="29">
        <f>IF('balance_raw_43705660'!$D$27="","—",IF(ABS(C21-'balance_raw_43705660'!$D$27)&lt;=1,"✓ OK","❌ "&amp;TEXT(C21-'balance_raw_43705660'!$D$27,"+#,##0;-#,##0")&amp;" t.kr."))</f>
        <v/>
      </c>
      <c r="D61" s="29">
        <f>IF('balance_raw_43705660'!$C$27="","—",IF(ABS(D21-'balance_raw_43705660'!$C$27)&lt;=1,"✓ OK","❌ "&amp;TEXT(D21-'balance_raw_43705660'!$C$27,"+#,##0;-#,##0")&amp;"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IF('balance_raw_43705660'!$E$55="","—",IF(ABS(B25-'balance_raw_43705660'!$E$55)&lt;=1,"✓ OK","❌ "&amp;TEXT(B25-'balance_raw_43705660'!$E$55,"+#,##0;-#,##0")&amp;" t.kr."))</f>
        <v/>
      </c>
      <c r="C62" s="29">
        <f>IF('balance_raw_43705660'!$D$55="","—",IF(ABS(C25-'balance_raw_43705660'!$D$55)&lt;=1,"✓ OK","❌ "&amp;TEXT(C25-'balance_raw_43705660'!$D$55,"+#,##0;-#,##0")&amp;" t.kr."))</f>
        <v/>
      </c>
      <c r="D62" s="29">
        <f>IF('balance_raw_43705660'!$C$55="","—",IF(ABS(D25-'balance_raw_43705660'!$C$55)&lt;=1,"✓ OK","❌ "&amp;TEXT(D25-'balance_raw_43705660'!$C$55,"+#,##0;-#,##0")&amp;"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IF('res_raw_43705660'!$E$6="","—",IF(ABS(B9-'res_raw_43705660'!$E$6)&lt;=1,"✓ OK","❌ "&amp;TEXT(B9-'res_raw_43705660'!$E$6,"+#,##0;-#,##0")&amp;" t.kr."))</f>
        <v/>
      </c>
      <c r="C64" s="29">
        <f>IF('res_raw_43705660'!$D$6="","—",IF(ABS(C9-'res_raw_43705660'!$D$6)&lt;=1,"✓ OK","❌ "&amp;TEXT(C9-'res_raw_43705660'!$D$6,"+#,##0;-#,##0")&amp;" t.kr."))</f>
        <v/>
      </c>
      <c r="D64" s="29">
        <f>IF('res_raw_43705660'!$C$6="","—",IF(ABS(D9-'res_raw_43705660'!$C$6)&lt;=1,"✓ OK","❌ "&amp;TEXT(D9-'res_raw_43705660'!$C$6,"+#,##0;-#,##0")&amp;"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IF('res_raw_43705660'!$E$11="","—",IF(ABS(B13-'res_raw_43705660'!$E$11)&lt;=1,"✓ OK","❌ "&amp;TEXT(B13-'res_raw_43705660'!$E$11,"+#,##0;-#,##0")&amp;" t.kr."))</f>
        <v/>
      </c>
      <c r="C65" s="29">
        <f>IF('res_raw_43705660'!$D$11="","—",IF(ABS(C13-'res_raw_43705660'!$D$11)&lt;=1,"✓ OK","❌ "&amp;TEXT(C13-'res_raw_43705660'!$D$11,"+#,##0;-#,##0")&amp;" t.kr."))</f>
        <v/>
      </c>
      <c r="D65" s="29">
        <f>IF('res_raw_43705660'!$C$11="","—",IF(ABS(D13-'res_raw_43705660'!$C$11)&lt;=1,"✓ OK","❌ "&amp;TEXT(D13-'res_raw_43705660'!$C$11,"+#,##0;-#,##0")&amp;"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IF('res_raw_43705660'!$E$16="","—",IF(ABS(B16-'res_raw_43705660'!$E$16)&lt;=1,"✓ OK","❌ "&amp;TEXT(B16-'res_raw_43705660'!$E$16,"+#,##0;-#,##0")&amp;" t.kr."))</f>
        <v/>
      </c>
      <c r="C66" s="29">
        <f>IF('res_raw_43705660'!$D$16="","—",IF(ABS(C16-'res_raw_43705660'!$D$16)&lt;=1,"✓ OK","❌ "&amp;TEXT(C16-'res_raw_43705660'!$D$16,"+#,##0;-#,##0")&amp;" t.kr."))</f>
        <v/>
      </c>
      <c r="D66" s="29">
        <f>IF('res_raw_43705660'!$C$16="","—",IF(ABS(D16-'res_raw_43705660'!$C$16)&lt;=1,"✓ OK","❌ "&amp;TEXT(D16-'res_raw_43705660'!$C$16,"+#,##0;-#,##0")&amp;"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THURØ BRYGHUS APS (CVR 43705660)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fsa:IncreaseDecreaseOfEquityThroughChangesInAccountingPolicies</t>
        </is>
      </c>
      <c r="C3" s="34" t="inlineStr">
        <is>
          <t>fsa:IncreaseDecreaseOfEquityThroughChangesInAccountingPolicies</t>
        </is>
      </c>
      <c r="D3" s="35" t="n"/>
      <c r="E3" s="35" t="n"/>
      <c r="F3" s="35" t="n">
        <v>32</v>
      </c>
      <c r="G3" s="35" t="n"/>
      <c r="H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2026-09-13T19:40:32Z</dcterms:created>
  <dcterms:modified xmlns:dcterms="http://purl.org/dc/terms/" xmlns:xsi="http://www.w3.org/2001/XMLSchema-instance" xsi:type="dcterms:W3CDTF">2026-09-13T19:40:32Z</dcterms:modified>
</cp:coreProperties>
</file>