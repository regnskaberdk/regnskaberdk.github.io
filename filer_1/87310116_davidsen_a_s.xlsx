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7310116" sheetId="1" state="visible" r:id="rId1"/>
    <sheet xmlns:r="http://schemas.openxmlformats.org/officeDocument/2006/relationships" name="res_raw_87310116" sheetId="2" state="visible" r:id="rId2"/>
    <sheet xmlns:r="http://schemas.openxmlformats.org/officeDocument/2006/relationships" name="balance_raw_87310116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Davidsen A/S (CVR 87310116)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'res_raw_87310116'!$B$2</f>
        <v/>
      </c>
      <c r="C4" s="5">
        <f>'res_raw_87310116'!$C$2</f>
        <v/>
      </c>
      <c r="D4" s="5">
        <f>'res_raw_87310116'!$D$2</f>
        <v/>
      </c>
      <c r="E4" s="5">
        <f>'res_raw_87310116'!$E$2</f>
        <v/>
      </c>
      <c r="F4" s="5">
        <f>'res_raw_87310116'!$F$2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'res_raw_87310116'!$B$3</f>
        <v/>
      </c>
      <c r="C5" s="8">
        <f>'res_raw_87310116'!$C$3</f>
        <v/>
      </c>
      <c r="D5" s="8">
        <f>'res_raw_87310116'!$D$3</f>
        <v/>
      </c>
      <c r="E5" s="8">
        <f>'res_raw_87310116'!$E$3</f>
        <v/>
      </c>
      <c r="F5" s="8">
        <f>'res_raw_87310116'!$F$3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'res_raw_87310116'!$B$4</f>
        <v/>
      </c>
      <c r="C6" s="5">
        <f>'res_raw_87310116'!$C$4</f>
        <v/>
      </c>
      <c r="D6" s="5">
        <f>'res_raw_87310116'!$D$4</f>
        <v/>
      </c>
      <c r="E6" s="5">
        <f>'res_raw_87310116'!$E$4</f>
        <v/>
      </c>
      <c r="F6" s="5">
        <f>'res_raw_87310116'!$F$4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'res_raw_87310116'!$B$5</f>
        <v/>
      </c>
      <c r="C7" s="8">
        <f>'res_raw_87310116'!$C$5</f>
        <v/>
      </c>
      <c r="D7" s="8">
        <f>'res_raw_87310116'!$D$5</f>
        <v/>
      </c>
      <c r="E7" s="8">
        <f>'res_raw_87310116'!$E$5</f>
        <v/>
      </c>
      <c r="F7" s="8">
        <f>'res_raw_87310116'!$F$5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'res_raw_87310116'!$B$6</f>
        <v/>
      </c>
      <c r="C8" s="11">
        <f>'res_raw_87310116'!$C$6</f>
        <v/>
      </c>
      <c r="D8" s="11">
        <f>'res_raw_87310116'!$D$6</f>
        <v/>
      </c>
      <c r="E8" s="11">
        <f>'res_raw_87310116'!$E$6</f>
        <v/>
      </c>
      <c r="F8" s="11">
        <f>'res_raw_87310116'!$F$6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'res_raw_87310116'!$B$7</f>
        <v/>
      </c>
      <c r="C9" s="8">
        <f>'res_raw_87310116'!$C$7</f>
        <v/>
      </c>
      <c r="D9" s="8">
        <f>'res_raw_87310116'!$D$7</f>
        <v/>
      </c>
      <c r="E9" s="8">
        <f>'res_raw_87310116'!$E$7</f>
        <v/>
      </c>
      <c r="F9" s="8">
        <f>'res_raw_87310116'!$F$7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'res_raw_87310116'!$B$9</f>
        <v/>
      </c>
      <c r="C11" s="8">
        <f>'res_raw_87310116'!$C$9</f>
        <v/>
      </c>
      <c r="D11" s="8">
        <f>'res_raw_87310116'!$D$9</f>
        <v/>
      </c>
      <c r="E11" s="8">
        <f>'res_raw_87310116'!$E$9</f>
        <v/>
      </c>
      <c r="F11" s="8">
        <f>'res_raw_87310116'!$F$9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'res_raw_87310116'!$B$10</f>
        <v/>
      </c>
      <c r="C12" s="5">
        <f>'res_raw_87310116'!$C$10</f>
        <v/>
      </c>
      <c r="D12" s="5">
        <f>'res_raw_87310116'!$D$10</f>
        <v/>
      </c>
      <c r="E12" s="5">
        <f>'res_raw_87310116'!$E$10</f>
        <v/>
      </c>
      <c r="F12" s="5">
        <f>'res_raw_87310116'!$F$10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'res_raw_87310116'!$B$11</f>
        <v/>
      </c>
      <c r="C13" s="11">
        <f>'res_raw_87310116'!$C$11</f>
        <v/>
      </c>
      <c r="D13" s="11">
        <f>'res_raw_87310116'!$D$11</f>
        <v/>
      </c>
      <c r="E13" s="11">
        <f>'res_raw_87310116'!$E$11</f>
        <v/>
      </c>
      <c r="F13" s="11">
        <f>'res_raw_87310116'!$F$11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'res_raw_87310116'!$B$12</f>
        <v/>
      </c>
      <c r="C14" s="5">
        <f>'res_raw_87310116'!$C$12</f>
        <v/>
      </c>
      <c r="D14" s="5">
        <f>'res_raw_87310116'!$D$12</f>
        <v/>
      </c>
      <c r="E14" s="5">
        <f>'res_raw_87310116'!$E$12</f>
        <v/>
      </c>
      <c r="F14" s="5">
        <f>'res_raw_87310116'!$F$12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'res_raw_87310116'!$B$13</f>
        <v/>
      </c>
      <c r="C15" s="8">
        <f>'res_raw_87310116'!$C$13</f>
        <v/>
      </c>
      <c r="D15" s="8">
        <f>'res_raw_87310116'!$D$13</f>
        <v/>
      </c>
      <c r="E15" s="8">
        <f>'res_raw_87310116'!$E$13</f>
        <v/>
      </c>
      <c r="F15" s="8">
        <f>'res_raw_87310116'!$F$13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'res_raw_87310116'!$B$14</f>
        <v/>
      </c>
      <c r="C16" s="5">
        <f>'res_raw_87310116'!$C$14</f>
        <v/>
      </c>
      <c r="D16" s="5">
        <f>'res_raw_87310116'!$D$14</f>
        <v/>
      </c>
      <c r="E16" s="5">
        <f>'res_raw_87310116'!$E$14</f>
        <v/>
      </c>
      <c r="F16" s="5">
        <f>'res_raw_87310116'!$F$14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'res_raw_87310116'!$B$15</f>
        <v/>
      </c>
      <c r="C17" s="11">
        <f>'res_raw_87310116'!$C$15</f>
        <v/>
      </c>
      <c r="D17" s="11">
        <f>'res_raw_87310116'!$D$15</f>
        <v/>
      </c>
      <c r="E17" s="11">
        <f>'res_raw_87310116'!$E$15</f>
        <v/>
      </c>
      <c r="F17" s="11">
        <f>'res_raw_87310116'!$F$15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'res_raw_87310116'!$B$16</f>
        <v/>
      </c>
      <c r="C18" s="11">
        <f>'res_raw_87310116'!$C$16</f>
        <v/>
      </c>
      <c r="D18" s="11">
        <f>'res_raw_87310116'!$D$16</f>
        <v/>
      </c>
      <c r="E18" s="11">
        <f>'res_raw_87310116'!$E$16</f>
        <v/>
      </c>
      <c r="F18" s="11">
        <f>'res_raw_87310116'!$F$16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'res_raw_87310116'!$B$17</f>
        <v/>
      </c>
      <c r="C19" s="8">
        <f>'res_raw_87310116'!$C$17</f>
        <v/>
      </c>
      <c r="D19" s="8">
        <f>'res_raw_87310116'!$D$17</f>
        <v/>
      </c>
      <c r="E19" s="8">
        <f>'res_raw_87310116'!$E$17</f>
        <v/>
      </c>
      <c r="F19" s="8">
        <f>'res_raw_87310116'!$F$17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'res_raw_87310116'!$B$18</f>
        <v/>
      </c>
      <c r="C20" s="11">
        <f>'res_raw_87310116'!$C$18</f>
        <v/>
      </c>
      <c r="D20" s="11">
        <f>'res_raw_87310116'!$D$18</f>
        <v/>
      </c>
      <c r="E20" s="11">
        <f>'res_raw_87310116'!$E$18</f>
        <v/>
      </c>
      <c r="F20" s="11">
        <f>'res_raw_87310116'!$F$18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'balance_raw_87310116'!$B$2</f>
        <v/>
      </c>
      <c r="C23" s="8">
        <f>'balance_raw_87310116'!$C$2</f>
        <v/>
      </c>
      <c r="D23" s="8">
        <f>'balance_raw_87310116'!$D$2</f>
        <v/>
      </c>
      <c r="E23" s="8">
        <f>'balance_raw_87310116'!$E$2</f>
        <v/>
      </c>
      <c r="F23" s="8">
        <f>'balance_raw_87310116'!$F$2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'balance_raw_87310116'!$B$3</f>
        <v/>
      </c>
      <c r="C24" s="5">
        <f>'balance_raw_87310116'!$C$3</f>
        <v/>
      </c>
      <c r="D24" s="5">
        <f>'balance_raw_87310116'!$D$3</f>
        <v/>
      </c>
      <c r="E24" s="5">
        <f>'balance_raw_87310116'!$E$3</f>
        <v/>
      </c>
      <c r="F24" s="5">
        <f>'balance_raw_87310116'!$F$3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'balance_raw_87310116'!$B$4</f>
        <v/>
      </c>
      <c r="C25" s="8">
        <f>'balance_raw_87310116'!$C$4</f>
        <v/>
      </c>
      <c r="D25" s="8">
        <f>'balance_raw_87310116'!$D$4</f>
        <v/>
      </c>
      <c r="E25" s="8">
        <f>'balance_raw_87310116'!$E$4</f>
        <v/>
      </c>
      <c r="F25" s="8">
        <f>'balance_raw_87310116'!$F$4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'balance_raw_87310116'!$B$5</f>
        <v/>
      </c>
      <c r="C26" s="11">
        <f>'balance_raw_87310116'!$C$5</f>
        <v/>
      </c>
      <c r="D26" s="11">
        <f>'balance_raw_87310116'!$D$5</f>
        <v/>
      </c>
      <c r="E26" s="11">
        <f>'balance_raw_87310116'!$E$5</f>
        <v/>
      </c>
      <c r="F26" s="11">
        <f>'balance_raw_87310116'!$F$5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'balance_raw_87310116'!$B$6</f>
        <v/>
      </c>
      <c r="C27" s="8">
        <f>'balance_raw_87310116'!$C$6</f>
        <v/>
      </c>
      <c r="D27" s="8">
        <f>'balance_raw_87310116'!$D$6</f>
        <v/>
      </c>
      <c r="E27" s="8">
        <f>'balance_raw_87310116'!$E$6</f>
        <v/>
      </c>
      <c r="F27" s="8">
        <f>'balance_raw_87310116'!$F$6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'balance_raw_87310116'!$B$7</f>
        <v/>
      </c>
      <c r="C28" s="5">
        <f>'balance_raw_87310116'!$C$7</f>
        <v/>
      </c>
      <c r="D28" s="5">
        <f>'balance_raw_87310116'!$D$7</f>
        <v/>
      </c>
      <c r="E28" s="5">
        <f>'balance_raw_87310116'!$E$7</f>
        <v/>
      </c>
      <c r="F28" s="5">
        <f>'balance_raw_87310116'!$F$7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'balance_raw_87310116'!$B$8</f>
        <v/>
      </c>
      <c r="C29" s="8">
        <f>'balance_raw_87310116'!$C$8</f>
        <v/>
      </c>
      <c r="D29" s="8">
        <f>'balance_raw_87310116'!$D$8</f>
        <v/>
      </c>
      <c r="E29" s="8">
        <f>'balance_raw_87310116'!$E$8</f>
        <v/>
      </c>
      <c r="F29" s="8">
        <f>'balance_raw_87310116'!$F$8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'balance_raw_87310116'!$B$9</f>
        <v/>
      </c>
      <c r="C30" s="5">
        <f>'balance_raw_87310116'!$C$9</f>
        <v/>
      </c>
      <c r="D30" s="5">
        <f>'balance_raw_87310116'!$D$9</f>
        <v/>
      </c>
      <c r="E30" s="5">
        <f>'balance_raw_87310116'!$E$9</f>
        <v/>
      </c>
      <c r="F30" s="5">
        <f>'balance_raw_87310116'!$F$9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'balance_raw_87310116'!$B$10</f>
        <v/>
      </c>
      <c r="C31" s="8">
        <f>'balance_raw_87310116'!$C$10</f>
        <v/>
      </c>
      <c r="D31" s="8">
        <f>'balance_raw_87310116'!$D$10</f>
        <v/>
      </c>
      <c r="E31" s="8">
        <f>'balance_raw_87310116'!$E$10</f>
        <v/>
      </c>
      <c r="F31" s="8">
        <f>'balance_raw_87310116'!$F$10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'balance_raw_87310116'!$B$11</f>
        <v/>
      </c>
      <c r="C32" s="11">
        <f>'balance_raw_87310116'!$C$11</f>
        <v/>
      </c>
      <c r="D32" s="11">
        <f>'balance_raw_87310116'!$D$11</f>
        <v/>
      </c>
      <c r="E32" s="11">
        <f>'balance_raw_87310116'!$E$11</f>
        <v/>
      </c>
      <c r="F32" s="11">
        <f>'balance_raw_87310116'!$F$11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'balance_raw_87310116'!$B$12</f>
        <v/>
      </c>
      <c r="C33" s="8">
        <f>'balance_raw_87310116'!$C$12</f>
        <v/>
      </c>
      <c r="D33" s="8">
        <f>'balance_raw_87310116'!$D$12</f>
        <v/>
      </c>
      <c r="E33" s="8">
        <f>'balance_raw_87310116'!$E$12</f>
        <v/>
      </c>
      <c r="F33" s="8">
        <f>'balance_raw_87310116'!$F$12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'balance_raw_87310116'!$B$13</f>
        <v/>
      </c>
      <c r="C34" s="5">
        <f>'balance_raw_87310116'!$C$13</f>
        <v/>
      </c>
      <c r="D34" s="5">
        <f>'balance_raw_87310116'!$D$13</f>
        <v/>
      </c>
      <c r="E34" s="5">
        <f>'balance_raw_87310116'!$E$13</f>
        <v/>
      </c>
      <c r="F34" s="5">
        <f>'balance_raw_87310116'!$F$13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'balance_raw_87310116'!$B$14</f>
        <v/>
      </c>
      <c r="C35" s="11">
        <f>'balance_raw_87310116'!$C$14</f>
        <v/>
      </c>
      <c r="D35" s="11">
        <f>'balance_raw_87310116'!$D$14</f>
        <v/>
      </c>
      <c r="E35" s="11">
        <f>'balance_raw_87310116'!$E$14</f>
        <v/>
      </c>
      <c r="F35" s="11">
        <f>'balance_raw_87310116'!$F$14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'balance_raw_87310116'!$B$15</f>
        <v/>
      </c>
      <c r="C36" s="11">
        <f>'balance_raw_87310116'!$C$15</f>
        <v/>
      </c>
      <c r="D36" s="11">
        <f>'balance_raw_87310116'!$D$15</f>
        <v/>
      </c>
      <c r="E36" s="11">
        <f>'balance_raw_87310116'!$E$15</f>
        <v/>
      </c>
      <c r="F36" s="11">
        <f>'balance_raw_87310116'!$F$15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'balance_raw_87310116'!$B$16</f>
        <v/>
      </c>
      <c r="C37" s="8">
        <f>'balance_raw_87310116'!$C$16</f>
        <v/>
      </c>
      <c r="D37" s="8">
        <f>'balance_raw_87310116'!$D$16</f>
        <v/>
      </c>
      <c r="E37" s="8">
        <f>'balance_raw_87310116'!$E$16</f>
        <v/>
      </c>
      <c r="F37" s="8">
        <f>'balance_raw_87310116'!$F$16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'balance_raw_87310116'!$B$17</f>
        <v/>
      </c>
      <c r="C38" s="5">
        <f>'balance_raw_87310116'!$C$17</f>
        <v/>
      </c>
      <c r="D38" s="5">
        <f>'balance_raw_87310116'!$D$17</f>
        <v/>
      </c>
      <c r="E38" s="5">
        <f>'balance_raw_87310116'!$E$17</f>
        <v/>
      </c>
      <c r="F38" s="5">
        <f>'balance_raw_87310116'!$F$17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'balance_raw_87310116'!$B$18</f>
        <v/>
      </c>
      <c r="C39" s="8">
        <f>'balance_raw_87310116'!$C$18</f>
        <v/>
      </c>
      <c r="D39" s="8">
        <f>'balance_raw_87310116'!$D$18</f>
        <v/>
      </c>
      <c r="E39" s="8">
        <f>'balance_raw_87310116'!$E$18</f>
        <v/>
      </c>
      <c r="F39" s="8">
        <f>'balance_raw_87310116'!$F$18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'balance_raw_87310116'!$B$19</f>
        <v/>
      </c>
      <c r="C40" s="11">
        <f>'balance_raw_87310116'!$C$19</f>
        <v/>
      </c>
      <c r="D40" s="11">
        <f>'balance_raw_87310116'!$D$19</f>
        <v/>
      </c>
      <c r="E40" s="11">
        <f>'balance_raw_87310116'!$E$19</f>
        <v/>
      </c>
      <c r="F40" s="11">
        <f>'balance_raw_87310116'!$F$19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'balance_raw_87310116'!$B$20</f>
        <v/>
      </c>
      <c r="C41" s="8">
        <f>'balance_raw_87310116'!$C$20</f>
        <v/>
      </c>
      <c r="D41" s="8">
        <f>'balance_raw_87310116'!$D$20</f>
        <v/>
      </c>
      <c r="E41" s="8">
        <f>'balance_raw_87310116'!$E$20</f>
        <v/>
      </c>
      <c r="F41" s="8">
        <f>'balance_raw_87310116'!$F$20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'balance_raw_87310116'!$B$21</f>
        <v/>
      </c>
      <c r="C42" s="5">
        <f>'balance_raw_87310116'!$C$21</f>
        <v/>
      </c>
      <c r="D42" s="5">
        <f>'balance_raw_87310116'!$D$21</f>
        <v/>
      </c>
      <c r="E42" s="5">
        <f>'balance_raw_87310116'!$E$21</f>
        <v/>
      </c>
      <c r="F42" s="5">
        <f>'balance_raw_87310116'!$F$21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'balance_raw_87310116'!$B$22</f>
        <v/>
      </c>
      <c r="C43" s="8">
        <f>'balance_raw_87310116'!$C$22</f>
        <v/>
      </c>
      <c r="D43" s="8">
        <f>'balance_raw_87310116'!$D$22</f>
        <v/>
      </c>
      <c r="E43" s="8">
        <f>'balance_raw_87310116'!$E$22</f>
        <v/>
      </c>
      <c r="F43" s="8">
        <f>'balance_raw_87310116'!$F$22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'balance_raw_87310116'!$B$23</f>
        <v/>
      </c>
      <c r="C44" s="5">
        <f>'balance_raw_87310116'!$C$23</f>
        <v/>
      </c>
      <c r="D44" s="5">
        <f>'balance_raw_87310116'!$D$23</f>
        <v/>
      </c>
      <c r="E44" s="5">
        <f>'balance_raw_87310116'!$E$23</f>
        <v/>
      </c>
      <c r="F44" s="5">
        <f>'balance_raw_87310116'!$F$23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'balance_raw_87310116'!$B$24</f>
        <v/>
      </c>
      <c r="C45" s="8">
        <f>'balance_raw_87310116'!$C$24</f>
        <v/>
      </c>
      <c r="D45" s="8">
        <f>'balance_raw_87310116'!$D$24</f>
        <v/>
      </c>
      <c r="E45" s="8">
        <f>'balance_raw_87310116'!$E$24</f>
        <v/>
      </c>
      <c r="F45" s="8">
        <f>'balance_raw_87310116'!$F$24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'balance_raw_87310116'!$B$25</f>
        <v/>
      </c>
      <c r="C46" s="5">
        <f>'balance_raw_87310116'!$C$25</f>
        <v/>
      </c>
      <c r="D46" s="5">
        <f>'balance_raw_87310116'!$D$25</f>
        <v/>
      </c>
      <c r="E46" s="5">
        <f>'balance_raw_87310116'!$E$25</f>
        <v/>
      </c>
      <c r="F46" s="5">
        <f>'balance_raw_87310116'!$F$25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'balance_raw_87310116'!$B$26</f>
        <v/>
      </c>
      <c r="C47" s="8">
        <f>'balance_raw_87310116'!$C$26</f>
        <v/>
      </c>
      <c r="D47" s="8">
        <f>'balance_raw_87310116'!$D$26</f>
        <v/>
      </c>
      <c r="E47" s="8">
        <f>'balance_raw_87310116'!$E$26</f>
        <v/>
      </c>
      <c r="F47" s="8">
        <f>'balance_raw_87310116'!$F$26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'balance_raw_87310116'!$B$27</f>
        <v/>
      </c>
      <c r="C48" s="11">
        <f>'balance_raw_87310116'!$C$27</f>
        <v/>
      </c>
      <c r="D48" s="11">
        <f>'balance_raw_87310116'!$D$27</f>
        <v/>
      </c>
      <c r="E48" s="11">
        <f>'balance_raw_87310116'!$E$27</f>
        <v/>
      </c>
      <c r="F48" s="11">
        <f>'balance_raw_87310116'!$F$27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'balance_raw_87310116'!$B$28</f>
        <v/>
      </c>
      <c r="C49" s="8">
        <f>'balance_raw_87310116'!$C$28</f>
        <v/>
      </c>
      <c r="D49" s="8">
        <f>'balance_raw_87310116'!$D$28</f>
        <v/>
      </c>
      <c r="E49" s="8">
        <f>'balance_raw_87310116'!$E$28</f>
        <v/>
      </c>
      <c r="F49" s="8">
        <f>'balance_raw_87310116'!$F$28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'balance_raw_87310116'!$B$29</f>
        <v/>
      </c>
      <c r="C50" s="5">
        <f>'balance_raw_87310116'!$C$29</f>
        <v/>
      </c>
      <c r="D50" s="5">
        <f>'balance_raw_87310116'!$D$29</f>
        <v/>
      </c>
      <c r="E50" s="5">
        <f>'balance_raw_87310116'!$E$29</f>
        <v/>
      </c>
      <c r="F50" s="5">
        <f>'balance_raw_87310116'!$F$29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'balance_raw_87310116'!$B$30</f>
        <v/>
      </c>
      <c r="C51" s="11">
        <f>'balance_raw_87310116'!$C$30</f>
        <v/>
      </c>
      <c r="D51" s="11">
        <f>'balance_raw_87310116'!$D$30</f>
        <v/>
      </c>
      <c r="E51" s="11">
        <f>'balance_raw_87310116'!$E$30</f>
        <v/>
      </c>
      <c r="F51" s="11">
        <f>'balance_raw_87310116'!$F$30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'balance_raw_87310116'!$B$31</f>
        <v/>
      </c>
      <c r="C52" s="11">
        <f>'balance_raw_87310116'!$C$31</f>
        <v/>
      </c>
      <c r="D52" s="11">
        <f>'balance_raw_87310116'!$D$31</f>
        <v/>
      </c>
      <c r="E52" s="11">
        <f>'balance_raw_87310116'!$E$31</f>
        <v/>
      </c>
      <c r="F52" s="11">
        <f>'balance_raw_87310116'!$F$31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'balance_raw_87310116'!$B$32</f>
        <v/>
      </c>
      <c r="C55" s="8">
        <f>'balance_raw_87310116'!$C$32</f>
        <v/>
      </c>
      <c r="D55" s="8">
        <f>'balance_raw_87310116'!$D$32</f>
        <v/>
      </c>
      <c r="E55" s="8">
        <f>'balance_raw_87310116'!$E$32</f>
        <v/>
      </c>
      <c r="F55" s="8">
        <f>'balance_raw_87310116'!$F$32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'balance_raw_87310116'!$B$33</f>
        <v/>
      </c>
      <c r="C56" s="5">
        <f>'balance_raw_87310116'!$C$33</f>
        <v/>
      </c>
      <c r="D56" s="5">
        <f>'balance_raw_87310116'!$D$33</f>
        <v/>
      </c>
      <c r="E56" s="5">
        <f>'balance_raw_87310116'!$E$33</f>
        <v/>
      </c>
      <c r="F56" s="5">
        <f>'balance_raw_87310116'!$F$33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'balance_raw_87310116'!$B$34</f>
        <v/>
      </c>
      <c r="C57" s="8">
        <f>'balance_raw_87310116'!$C$34</f>
        <v/>
      </c>
      <c r="D57" s="8">
        <f>'balance_raw_87310116'!$D$34</f>
        <v/>
      </c>
      <c r="E57" s="8">
        <f>'balance_raw_87310116'!$E$34</f>
        <v/>
      </c>
      <c r="F57" s="8">
        <f>'balance_raw_87310116'!$F$34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'balance_raw_87310116'!$B$35</f>
        <v/>
      </c>
      <c r="C58" s="5">
        <f>'balance_raw_87310116'!$C$35</f>
        <v/>
      </c>
      <c r="D58" s="5">
        <f>'balance_raw_87310116'!$D$35</f>
        <v/>
      </c>
      <c r="E58" s="5">
        <f>'balance_raw_87310116'!$E$35</f>
        <v/>
      </c>
      <c r="F58" s="5">
        <f>'balance_raw_87310116'!$F$35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'balance_raw_87310116'!$B$36</f>
        <v/>
      </c>
      <c r="C59" s="8">
        <f>'balance_raw_87310116'!$C$36</f>
        <v/>
      </c>
      <c r="D59" s="8">
        <f>'balance_raw_87310116'!$D$36</f>
        <v/>
      </c>
      <c r="E59" s="8">
        <f>'balance_raw_87310116'!$E$36</f>
        <v/>
      </c>
      <c r="F59" s="8">
        <f>'balance_raw_87310116'!$F$36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'balance_raw_87310116'!$B$37</f>
        <v/>
      </c>
      <c r="C60" s="5">
        <f>'balance_raw_87310116'!$C$37</f>
        <v/>
      </c>
      <c r="D60" s="5">
        <f>'balance_raw_87310116'!$D$37</f>
        <v/>
      </c>
      <c r="E60" s="5">
        <f>'balance_raw_87310116'!$E$37</f>
        <v/>
      </c>
      <c r="F60" s="5">
        <f>'balance_raw_87310116'!$F$37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'balance_raw_87310116'!$B$38</f>
        <v/>
      </c>
      <c r="C61" s="11">
        <f>'balance_raw_87310116'!$C$38</f>
        <v/>
      </c>
      <c r="D61" s="11">
        <f>'balance_raw_87310116'!$D$38</f>
        <v/>
      </c>
      <c r="E61" s="11">
        <f>'balance_raw_87310116'!$E$38</f>
        <v/>
      </c>
      <c r="F61" s="11">
        <f>'balance_raw_87310116'!$F$38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'balance_raw_87310116'!$B$39</f>
        <v/>
      </c>
      <c r="C62" s="5">
        <f>'balance_raw_87310116'!$C$39</f>
        <v/>
      </c>
      <c r="D62" s="5">
        <f>'balance_raw_87310116'!$D$39</f>
        <v/>
      </c>
      <c r="E62" s="5">
        <f>'balance_raw_87310116'!$E$39</f>
        <v/>
      </c>
      <c r="F62" s="5">
        <f>'balance_raw_87310116'!$F$39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'balance_raw_87310116'!$B$40</f>
        <v/>
      </c>
      <c r="C63" s="11">
        <f>'balance_raw_87310116'!$C$40</f>
        <v/>
      </c>
      <c r="D63" s="11">
        <f>'balance_raw_87310116'!$D$40</f>
        <v/>
      </c>
      <c r="E63" s="11">
        <f>'balance_raw_87310116'!$E$40</f>
        <v/>
      </c>
      <c r="F63" s="11">
        <f>'balance_raw_87310116'!$F$40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'balance_raw_87310116'!$B$41</f>
        <v/>
      </c>
      <c r="C64" s="5">
        <f>'balance_raw_87310116'!$C$41</f>
        <v/>
      </c>
      <c r="D64" s="5">
        <f>'balance_raw_87310116'!$D$41</f>
        <v/>
      </c>
      <c r="E64" s="5">
        <f>'balance_raw_87310116'!$E$41</f>
        <v/>
      </c>
      <c r="F64" s="5">
        <f>'balance_raw_87310116'!$F$41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'balance_raw_87310116'!$B$42</f>
        <v/>
      </c>
      <c r="C65" s="8">
        <f>'balance_raw_87310116'!$C$42</f>
        <v/>
      </c>
      <c r="D65" s="8">
        <f>'balance_raw_87310116'!$D$42</f>
        <v/>
      </c>
      <c r="E65" s="8">
        <f>'balance_raw_87310116'!$E$42</f>
        <v/>
      </c>
      <c r="F65" s="8">
        <f>'balance_raw_87310116'!$F$42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'balance_raw_87310116'!$B$43</f>
        <v/>
      </c>
      <c r="C66" s="5">
        <f>'balance_raw_87310116'!$C$43</f>
        <v/>
      </c>
      <c r="D66" s="5">
        <f>'balance_raw_87310116'!$D$43</f>
        <v/>
      </c>
      <c r="E66" s="5">
        <f>'balance_raw_87310116'!$E$43</f>
        <v/>
      </c>
      <c r="F66" s="5">
        <f>'balance_raw_87310116'!$F$43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'balance_raw_87310116'!$B$44</f>
        <v/>
      </c>
      <c r="C67" s="8">
        <f>'balance_raw_87310116'!$C$44</f>
        <v/>
      </c>
      <c r="D67" s="8">
        <f>'balance_raw_87310116'!$D$44</f>
        <v/>
      </c>
      <c r="E67" s="8">
        <f>'balance_raw_87310116'!$E$44</f>
        <v/>
      </c>
      <c r="F67" s="8">
        <f>'balance_raw_87310116'!$F$44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'balance_raw_87310116'!$B$45</f>
        <v/>
      </c>
      <c r="C68" s="11">
        <f>'balance_raw_87310116'!$C$45</f>
        <v/>
      </c>
      <c r="D68" s="11">
        <f>'balance_raw_87310116'!$D$45</f>
        <v/>
      </c>
      <c r="E68" s="11">
        <f>'balance_raw_87310116'!$E$45</f>
        <v/>
      </c>
      <c r="F68" s="11">
        <f>'balance_raw_87310116'!$F$45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'balance_raw_87310116'!$B$46</f>
        <v/>
      </c>
      <c r="C69" s="8">
        <f>'balance_raw_87310116'!$C$46</f>
        <v/>
      </c>
      <c r="D69" s="8">
        <f>'balance_raw_87310116'!$D$46</f>
        <v/>
      </c>
      <c r="E69" s="8">
        <f>'balance_raw_87310116'!$E$46</f>
        <v/>
      </c>
      <c r="F69" s="8">
        <f>'balance_raw_87310116'!$F$46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'balance_raw_87310116'!$B$47</f>
        <v/>
      </c>
      <c r="C70" s="5">
        <f>'balance_raw_87310116'!$C$47</f>
        <v/>
      </c>
      <c r="D70" s="5">
        <f>'balance_raw_87310116'!$D$47</f>
        <v/>
      </c>
      <c r="E70" s="5">
        <f>'balance_raw_87310116'!$E$47</f>
        <v/>
      </c>
      <c r="F70" s="5">
        <f>'balance_raw_87310116'!$F$47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'balance_raw_87310116'!$B$48</f>
        <v/>
      </c>
      <c r="C71" s="8">
        <f>'balance_raw_87310116'!$C$48</f>
        <v/>
      </c>
      <c r="D71" s="8">
        <f>'balance_raw_87310116'!$D$48</f>
        <v/>
      </c>
      <c r="E71" s="8">
        <f>'balance_raw_87310116'!$E$48</f>
        <v/>
      </c>
      <c r="F71" s="8">
        <f>'balance_raw_87310116'!$F$48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'balance_raw_87310116'!$B$49</f>
        <v/>
      </c>
      <c r="C72" s="5">
        <f>'balance_raw_87310116'!$C$49</f>
        <v/>
      </c>
      <c r="D72" s="5">
        <f>'balance_raw_87310116'!$D$49</f>
        <v/>
      </c>
      <c r="E72" s="5">
        <f>'balance_raw_87310116'!$E$49</f>
        <v/>
      </c>
      <c r="F72" s="5">
        <f>'balance_raw_87310116'!$F$49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'balance_raw_87310116'!$B$50</f>
        <v/>
      </c>
      <c r="C73" s="8">
        <f>'balance_raw_87310116'!$C$50</f>
        <v/>
      </c>
      <c r="D73" s="8">
        <f>'balance_raw_87310116'!$D$50</f>
        <v/>
      </c>
      <c r="E73" s="8">
        <f>'balance_raw_87310116'!$E$50</f>
        <v/>
      </c>
      <c r="F73" s="8">
        <f>'balance_raw_87310116'!$F$50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'balance_raw_87310116'!$B$51</f>
        <v/>
      </c>
      <c r="C74" s="5">
        <f>'balance_raw_87310116'!$C$51</f>
        <v/>
      </c>
      <c r="D74" s="5">
        <f>'balance_raw_87310116'!$D$51</f>
        <v/>
      </c>
      <c r="E74" s="5">
        <f>'balance_raw_87310116'!$E$51</f>
        <v/>
      </c>
      <c r="F74" s="5">
        <f>'balance_raw_87310116'!$F$51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'balance_raw_87310116'!$B$52</f>
        <v/>
      </c>
      <c r="C75" s="8">
        <f>'balance_raw_87310116'!$C$52</f>
        <v/>
      </c>
      <c r="D75" s="8">
        <f>'balance_raw_87310116'!$D$52</f>
        <v/>
      </c>
      <c r="E75" s="8">
        <f>'balance_raw_87310116'!$E$52</f>
        <v/>
      </c>
      <c r="F75" s="8">
        <f>'balance_raw_87310116'!$F$52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'balance_raw_87310116'!$B$53</f>
        <v/>
      </c>
      <c r="C76" s="5">
        <f>'balance_raw_87310116'!$C$53</f>
        <v/>
      </c>
      <c r="D76" s="5">
        <f>'balance_raw_87310116'!$D$53</f>
        <v/>
      </c>
      <c r="E76" s="5">
        <f>'balance_raw_87310116'!$E$53</f>
        <v/>
      </c>
      <c r="F76" s="5">
        <f>'balance_raw_87310116'!$F$53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'balance_raw_87310116'!$B$54</f>
        <v/>
      </c>
      <c r="C77" s="8">
        <f>'balance_raw_87310116'!$C$54</f>
        <v/>
      </c>
      <c r="D77" s="8">
        <f>'balance_raw_87310116'!$D$54</f>
        <v/>
      </c>
      <c r="E77" s="8">
        <f>'balance_raw_87310116'!$E$54</f>
        <v/>
      </c>
      <c r="F77" s="8">
        <f>'balance_raw_87310116'!$F$54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'balance_raw_87310116'!$B$55</f>
        <v/>
      </c>
      <c r="C78" s="5">
        <f>'balance_raw_87310116'!$C$55</f>
        <v/>
      </c>
      <c r="D78" s="5">
        <f>'balance_raw_87310116'!$D$55</f>
        <v/>
      </c>
      <c r="E78" s="5">
        <f>'balance_raw_87310116'!$E$55</f>
        <v/>
      </c>
      <c r="F78" s="5">
        <f>'balance_raw_87310116'!$F$55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'balance_raw_87310116'!$B$56</f>
        <v/>
      </c>
      <c r="C79" s="8">
        <f>'balance_raw_87310116'!$C$56</f>
        <v/>
      </c>
      <c r="D79" s="8">
        <f>'balance_raw_87310116'!$D$56</f>
        <v/>
      </c>
      <c r="E79" s="8">
        <f>'balance_raw_87310116'!$E$56</f>
        <v/>
      </c>
      <c r="F79" s="8">
        <f>'balance_raw_87310116'!$F$56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'balance_raw_87310116'!$B$57</f>
        <v/>
      </c>
      <c r="C80" s="11">
        <f>'balance_raw_87310116'!$C$57</f>
        <v/>
      </c>
      <c r="D80" s="11">
        <f>'balance_raw_87310116'!$D$57</f>
        <v/>
      </c>
      <c r="E80" s="11">
        <f>'balance_raw_87310116'!$E$57</f>
        <v/>
      </c>
      <c r="F80" s="11">
        <f>'balance_raw_87310116'!$F$57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'balance_raw_87310116'!$B$58</f>
        <v/>
      </c>
      <c r="C81" s="11">
        <f>'balance_raw_87310116'!$C$58</f>
        <v/>
      </c>
      <c r="D81" s="11">
        <f>'balance_raw_87310116'!$D$58</f>
        <v/>
      </c>
      <c r="E81" s="11">
        <f>'balance_raw_87310116'!$E$58</f>
        <v/>
      </c>
      <c r="F81" s="11">
        <f>'balance_raw_87310116'!$F$58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'balance_raw_87310116'!$B$59</f>
        <v/>
      </c>
      <c r="C82" s="11">
        <f>'balance_raw_87310116'!$C$59</f>
        <v/>
      </c>
      <c r="D82" s="11">
        <f>'balance_raw_87310116'!$D$59</f>
        <v/>
      </c>
      <c r="E82" s="11">
        <f>'balance_raw_87310116'!$E$59</f>
        <v/>
      </c>
      <c r="F82" s="11">
        <f>'balance_raw_87310116'!$F$59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'res_raw_87310116'!$B$19</f>
        <v/>
      </c>
      <c r="C85" s="8">
        <f>'res_raw_87310116'!$C$19</f>
        <v/>
      </c>
      <c r="D85" s="8">
        <f>'res_raw_87310116'!$D$19</f>
        <v/>
      </c>
      <c r="E85" s="8">
        <f>'res_raw_87310116'!$E$19</f>
        <v/>
      </c>
      <c r="F85" s="8">
        <f>'res_raw_87310116'!$F$19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'res_raw_87310116'!$B$20</f>
        <v/>
      </c>
      <c r="C86" s="5">
        <f>'res_raw_87310116'!$C$20</f>
        <v/>
      </c>
      <c r="D86" s="5">
        <f>'res_raw_87310116'!$D$20</f>
        <v/>
      </c>
      <c r="E86" s="5">
        <f>'res_raw_87310116'!$E$20</f>
        <v/>
      </c>
      <c r="F86" s="5">
        <f>'res_raw_87310116'!$F$20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Davidsen A/S (CVR 87310116)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3828293</v>
      </c>
      <c r="C2" s="16" t="n">
        <v>4152270</v>
      </c>
      <c r="D2" s="16" t="n">
        <v>3181483</v>
      </c>
      <c r="E2" s="16" t="n">
        <v>3026948</v>
      </c>
      <c r="F2" s="16" t="n">
        <v>6182937</v>
      </c>
    </row>
    <row r="3">
      <c r="A3" s="15" t="inlineStr">
        <is>
          <t>Andre driftsindtægter</t>
        </is>
      </c>
      <c r="B3" s="16" t="n">
        <v>2542</v>
      </c>
      <c r="C3" s="16" t="n">
        <v>3195</v>
      </c>
      <c r="D3" s="16" t="n">
        <v>2505</v>
      </c>
      <c r="E3" s="16" t="n">
        <v>1947</v>
      </c>
      <c r="F3" s="16" t="n">
        <v>5532</v>
      </c>
    </row>
    <row r="4">
      <c r="A4" s="15" t="inlineStr">
        <is>
          <t>Vareforbrug</t>
        </is>
      </c>
      <c r="B4" s="16" t="n">
        <v>2870160</v>
      </c>
      <c r="C4" s="16" t="n">
        <v>3236703</v>
      </c>
      <c r="D4" s="16" t="n">
        <v>-2459033</v>
      </c>
      <c r="E4" s="16" t="n">
        <v>-2299760</v>
      </c>
      <c r="F4" s="16" t="n">
        <v>-4866979</v>
      </c>
    </row>
    <row r="5">
      <c r="A5" s="15" t="inlineStr">
        <is>
          <t>Andre eksterne omkostninger</t>
        </is>
      </c>
      <c r="B5" s="16" t="n">
        <v>256630</v>
      </c>
      <c r="C5" s="16" t="n">
        <v>254677</v>
      </c>
      <c r="D5" s="16" t="n">
        <v>225820</v>
      </c>
      <c r="E5" s="16" t="n">
        <v>222634</v>
      </c>
      <c r="F5" s="16" t="n">
        <v>400052</v>
      </c>
    </row>
    <row r="6">
      <c r="A6" s="17" t="inlineStr">
        <is>
          <t>Bruttoresultat</t>
        </is>
      </c>
      <c r="B6" s="16" t="n">
        <v>704045</v>
      </c>
      <c r="C6" s="16" t="n">
        <v>664085</v>
      </c>
      <c r="D6" s="16" t="n">
        <v>499135</v>
      </c>
      <c r="E6" s="16" t="n">
        <v>506501</v>
      </c>
      <c r="F6" s="16" t="n">
        <v>921438</v>
      </c>
    </row>
    <row r="7">
      <c r="A7" s="15" t="inlineStr">
        <is>
          <t>Personaleomkostninger</t>
        </is>
      </c>
      <c r="B7" s="16" t="n">
        <v>486070</v>
      </c>
      <c r="C7" s="16" t="n">
        <v>490091</v>
      </c>
      <c r="D7" s="16" t="n">
        <v>443347</v>
      </c>
      <c r="E7" s="16" t="n">
        <v>426963</v>
      </c>
      <c r="F7" s="16" t="n">
        <v>846290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21476</v>
      </c>
      <c r="C9" s="16" t="n">
        <v>22173</v>
      </c>
      <c r="D9" s="16" t="n">
        <v>26614</v>
      </c>
      <c r="E9" s="16" t="n">
        <v>18627</v>
      </c>
      <c r="F9" s="16" t="n">
        <v>39844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196499</v>
      </c>
      <c r="C11" s="16" t="n">
        <v>151821</v>
      </c>
      <c r="D11" s="16" t="n">
        <v>29174</v>
      </c>
      <c r="E11" s="16" t="n">
        <v>60911</v>
      </c>
      <c r="F11" s="16" t="n">
        <v>35304</v>
      </c>
    </row>
    <row r="12">
      <c r="A12" s="15" t="inlineStr">
        <is>
          <t>Indtægter af kapitalandele, dattervirksomheder</t>
        </is>
      </c>
      <c r="B12" s="16" t="n">
        <v>118</v>
      </c>
      <c r="C12" s="16" t="n">
        <v>153</v>
      </c>
      <c r="D12" s="16" t="n">
        <v>189</v>
      </c>
      <c r="E12" s="16" t="n">
        <v>207</v>
      </c>
      <c r="F12" s="16" t="n">
        <v>2430</v>
      </c>
    </row>
    <row r="13">
      <c r="A13" s="15" t="inlineStr">
        <is>
          <t>Finansielle indtægter</t>
        </is>
      </c>
      <c r="B13" s="16" t="n">
        <v>3929</v>
      </c>
      <c r="C13" s="16" t="n">
        <v>5401</v>
      </c>
      <c r="D13" s="16" t="n">
        <v>12654</v>
      </c>
      <c r="E13" s="16" t="n">
        <v>12069</v>
      </c>
      <c r="F13" s="16" t="n">
        <v>19480</v>
      </c>
    </row>
    <row r="14">
      <c r="A14" s="15" t="inlineStr">
        <is>
          <t>Finansielle omkostninger</t>
        </is>
      </c>
      <c r="B14" s="16" t="n">
        <v>7549</v>
      </c>
      <c r="C14" s="16" t="n">
        <v>6350</v>
      </c>
      <c r="D14" s="16" t="n">
        <v>7352</v>
      </c>
      <c r="E14" s="16" t="n">
        <v>2636</v>
      </c>
      <c r="F14" s="16" t="n">
        <v>9830</v>
      </c>
    </row>
    <row r="15">
      <c r="A15" s="17" t="inlineStr">
        <is>
          <t>Finansielle poster, netto</t>
        </is>
      </c>
      <c r="B15" s="16" t="n">
        <v>-4000</v>
      </c>
      <c r="C15" s="16" t="n">
        <v>-1000</v>
      </c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192997</v>
      </c>
      <c r="C16" s="16" t="n">
        <v>151025</v>
      </c>
      <c r="D16" s="16" t="n">
        <v>34665</v>
      </c>
      <c r="E16" s="16" t="n">
        <v>70551</v>
      </c>
      <c r="F16" s="16" t="n">
        <v>47384</v>
      </c>
    </row>
    <row r="17">
      <c r="A17" s="15" t="inlineStr">
        <is>
          <t>Skat af årets resultat</t>
        </is>
      </c>
      <c r="B17" s="16" t="n">
        <v>42246</v>
      </c>
      <c r="C17" s="16" t="n">
        <v>33896</v>
      </c>
      <c r="D17" s="16" t="n">
        <v>9472</v>
      </c>
      <c r="E17" s="16" t="n">
        <v>15747</v>
      </c>
      <c r="F17" s="16" t="n">
        <v>11185</v>
      </c>
    </row>
    <row r="18">
      <c r="A18" s="17" t="inlineStr">
        <is>
          <t>Årets resultat</t>
        </is>
      </c>
      <c r="B18" s="16" t="n">
        <v>150751</v>
      </c>
      <c r="C18" s="16" t="n">
        <v>117129</v>
      </c>
      <c r="D18" s="16" t="n">
        <v>25193</v>
      </c>
      <c r="E18" s="16" t="n">
        <v>54804</v>
      </c>
      <c r="F18" s="16" t="n">
        <v>36199</v>
      </c>
    </row>
    <row r="19">
      <c r="A19" s="15" t="inlineStr">
        <is>
          <t>Gns. antal medarbejdere</t>
        </is>
      </c>
      <c r="B19" s="16" t="n">
        <v>975</v>
      </c>
      <c r="C19" s="16" t="n">
        <v>954</v>
      </c>
      <c r="D19" s="16" t="n">
        <v>853</v>
      </c>
      <c r="E19" s="16" t="n">
        <v>770</v>
      </c>
      <c r="F19" s="16" t="n">
        <v>1530</v>
      </c>
    </row>
    <row r="20">
      <c r="A20" s="15" t="inlineStr">
        <is>
          <t>Investering i materielle anlægsaktiver</t>
        </is>
      </c>
      <c r="B20" s="16" t="n">
        <v>22000</v>
      </c>
      <c r="C20" s="16" t="n">
        <v>22000</v>
      </c>
      <c r="D20" s="16" t="n">
        <v>39000</v>
      </c>
      <c r="E20" s="16" t="n">
        <v>4000</v>
      </c>
      <c r="F20" s="16" t="n">
        <v>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Davidsen A/S (CVR 87310116)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16589</v>
      </c>
      <c r="C2" s="16" t="n">
        <v>17765</v>
      </c>
      <c r="D2" s="16" t="n">
        <v>6928</v>
      </c>
      <c r="E2" s="16" t="n">
        <v>3416</v>
      </c>
      <c r="F2" s="16" t="n">
        <v>1611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16589</v>
      </c>
      <c r="C5" s="16" t="n">
        <v>17765</v>
      </c>
      <c r="D5" s="16" t="n">
        <v>6928</v>
      </c>
      <c r="E5" s="16" t="n">
        <v>3416</v>
      </c>
      <c r="F5" s="16" t="n">
        <v>5369</v>
      </c>
    </row>
    <row r="6">
      <c r="A6" s="15" t="inlineStr">
        <is>
          <t>Grunde og bygninger</t>
        </is>
      </c>
      <c r="B6" s="16" t="n"/>
      <c r="C6" s="16" t="n"/>
      <c r="D6" s="16" t="n">
        <v>0</v>
      </c>
      <c r="E6" s="16" t="n">
        <v>38371</v>
      </c>
      <c r="F6" s="16" t="n">
        <v>275146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56252</v>
      </c>
      <c r="C8" s="16" t="n">
        <v>58592</v>
      </c>
      <c r="D8" s="16" t="n">
        <v>47137</v>
      </c>
      <c r="E8" s="16" t="n">
        <v>36876</v>
      </c>
      <c r="F8" s="16" t="n">
        <v>65070</v>
      </c>
    </row>
    <row r="9">
      <c r="A9" s="15" t="inlineStr">
        <is>
          <t>Indretning af lejede lokaler</t>
        </is>
      </c>
      <c r="B9" s="16" t="n">
        <v>11315</v>
      </c>
      <c r="C9" s="16" t="n">
        <v>10325</v>
      </c>
      <c r="D9" s="16" t="n">
        <v>9545</v>
      </c>
      <c r="E9" s="16" t="n">
        <v>5392</v>
      </c>
      <c r="F9" s="16" t="n">
        <v>4989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>
        <v>36225</v>
      </c>
      <c r="E10" s="16" t="n">
        <v>0</v>
      </c>
      <c r="F10" s="16" t="n"/>
    </row>
    <row r="11">
      <c r="A11" s="17" t="inlineStr">
        <is>
          <t>Materielle anlægsaktiver</t>
        </is>
      </c>
      <c r="B11" s="16" t="n">
        <v>67567</v>
      </c>
      <c r="C11" s="16" t="n">
        <v>68917</v>
      </c>
      <c r="D11" s="16" t="n">
        <v>92907</v>
      </c>
      <c r="E11" s="16" t="n">
        <v>80639</v>
      </c>
      <c r="F11" s="16" t="n">
        <v>345205</v>
      </c>
    </row>
    <row r="12">
      <c r="A12" s="15" t="inlineStr">
        <is>
          <t>Kapitalandele, dattervirksomheder</t>
        </is>
      </c>
      <c r="B12" s="16" t="n">
        <v>889</v>
      </c>
      <c r="C12" s="16" t="n">
        <v>1042</v>
      </c>
      <c r="D12" s="16" t="n">
        <v>1231</v>
      </c>
      <c r="E12" s="16" t="n">
        <v>1438</v>
      </c>
      <c r="F12" s="16" t="n">
        <v>48255</v>
      </c>
    </row>
    <row r="13">
      <c r="A13" s="15" t="inlineStr">
        <is>
          <t>Deposita</t>
        </is>
      </c>
      <c r="B13" s="16" t="n">
        <v>5691</v>
      </c>
      <c r="C13" s="16" t="n">
        <v>8139</v>
      </c>
      <c r="D13" s="16" t="n">
        <v>2799</v>
      </c>
      <c r="E13" s="16" t="n">
        <v>2601</v>
      </c>
      <c r="F13" s="16" t="n">
        <v>2688</v>
      </c>
    </row>
    <row r="14">
      <c r="A14" s="17" t="inlineStr">
        <is>
          <t>Finansielle anlægsaktiver</t>
        </is>
      </c>
      <c r="B14" s="16" t="n">
        <v>6580</v>
      </c>
      <c r="C14" s="16" t="n">
        <v>9181</v>
      </c>
      <c r="D14" s="16" t="n">
        <v>4030</v>
      </c>
      <c r="E14" s="16" t="n">
        <v>4039</v>
      </c>
      <c r="F14" s="16" t="n">
        <v>50943</v>
      </c>
    </row>
    <row r="15">
      <c r="A15" s="17" t="inlineStr">
        <is>
          <t>Anlægsaktiver</t>
        </is>
      </c>
      <c r="B15" s="16" t="n">
        <v>90736</v>
      </c>
      <c r="C15" s="16" t="n">
        <v>95863</v>
      </c>
      <c r="D15" s="16" t="n">
        <v>103865</v>
      </c>
      <c r="E15" s="16" t="n">
        <v>88094</v>
      </c>
      <c r="F15" s="16" t="n">
        <v>401517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529009</v>
      </c>
      <c r="C18" s="16" t="n">
        <v>570022</v>
      </c>
      <c r="D18" s="16" t="n">
        <v>385055</v>
      </c>
      <c r="E18" s="16" t="n">
        <v>408960</v>
      </c>
      <c r="F18" s="16" t="n">
        <v>843055</v>
      </c>
    </row>
    <row r="19">
      <c r="A19" s="17" t="inlineStr">
        <is>
          <t>Varebeholdninger</t>
        </is>
      </c>
      <c r="B19" s="16" t="n">
        <v>529009</v>
      </c>
      <c r="C19" s="16" t="n">
        <v>570022</v>
      </c>
      <c r="D19" s="16" t="n">
        <v>385055</v>
      </c>
      <c r="E19" s="16" t="n">
        <v>408960</v>
      </c>
      <c r="F19" s="16" t="n">
        <v>843055</v>
      </c>
    </row>
    <row r="20">
      <c r="A20" s="15" t="inlineStr">
        <is>
          <t>Tilgodehavender fra salg og tjenesteydelser</t>
        </is>
      </c>
      <c r="B20" s="16" t="n">
        <v>386191</v>
      </c>
      <c r="C20" s="16" t="n">
        <v>395642</v>
      </c>
      <c r="D20" s="16" t="n">
        <v>298997</v>
      </c>
      <c r="E20" s="16" t="n">
        <v>357867</v>
      </c>
      <c r="F20" s="16" t="n">
        <v>713964</v>
      </c>
    </row>
    <row r="21">
      <c r="A21" s="15" t="inlineStr">
        <is>
          <t>Tilgodehavender hos tilknyttede virksomheder</t>
        </is>
      </c>
      <c r="B21" s="16" t="n">
        <v>93494</v>
      </c>
      <c r="C21" s="16" t="n">
        <v>269437</v>
      </c>
      <c r="D21" s="16" t="n">
        <v>238033</v>
      </c>
      <c r="E21" s="16" t="n">
        <v>222808</v>
      </c>
      <c r="F21" s="16" t="n">
        <v>341837</v>
      </c>
    </row>
    <row r="22">
      <c r="A22" s="15" t="inlineStr">
        <is>
          <t>Andre tilgodehavender</t>
        </is>
      </c>
      <c r="B22" s="16" t="n">
        <v>2879</v>
      </c>
      <c r="C22" s="16" t="n">
        <v>6969</v>
      </c>
      <c r="D22" s="16" t="n">
        <v>6419</v>
      </c>
      <c r="E22" s="16" t="n">
        <v>1931</v>
      </c>
      <c r="F22" s="16" t="n">
        <v>12632</v>
      </c>
    </row>
    <row r="23">
      <c r="A23" s="15" t="inlineStr">
        <is>
          <t>Periodeafgrænsningsposter (aktiver)</t>
        </is>
      </c>
      <c r="B23" s="16" t="n">
        <v>11022</v>
      </c>
      <c r="C23" s="16" t="n">
        <v>11447</v>
      </c>
      <c r="D23" s="16" t="n">
        <v>9656</v>
      </c>
      <c r="E23" s="16" t="n">
        <v>8447</v>
      </c>
      <c r="F23" s="16" t="n">
        <v>8613</v>
      </c>
    </row>
    <row r="24">
      <c r="A24" s="15" t="inlineStr">
        <is>
          <t>Udskudt skatteaktiv</t>
        </is>
      </c>
      <c r="B24" s="16" t="n">
        <v>0</v>
      </c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>
        <v>8088</v>
      </c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493586</v>
      </c>
      <c r="C27" s="16" t="n">
        <v>683495</v>
      </c>
      <c r="D27" s="16" t="n">
        <v>553105</v>
      </c>
      <c r="E27" s="16" t="n">
        <v>591053</v>
      </c>
      <c r="F27" s="16" t="n">
        <v>1085134</v>
      </c>
    </row>
    <row r="28">
      <c r="A28" s="15" t="inlineStr">
        <is>
          <t>Værdipapirer</t>
        </is>
      </c>
      <c r="B28" s="16" t="n">
        <v>149</v>
      </c>
      <c r="C28" s="16" t="n">
        <v>149</v>
      </c>
      <c r="D28" s="16" t="n">
        <v>149</v>
      </c>
      <c r="E28" s="16" t="n">
        <v>149</v>
      </c>
      <c r="F28" s="16" t="n">
        <v>149</v>
      </c>
    </row>
    <row r="29">
      <c r="A29" s="15" t="inlineStr">
        <is>
          <t>Likvide beholdninger</t>
        </is>
      </c>
      <c r="B29" s="16" t="n">
        <v>111953</v>
      </c>
      <c r="C29" s="16" t="n">
        <v>5203</v>
      </c>
      <c r="D29" s="16" t="n">
        <v>122353</v>
      </c>
      <c r="E29" s="16" t="n">
        <v>50512</v>
      </c>
      <c r="F29" s="16" t="n">
        <v>11929</v>
      </c>
    </row>
    <row r="30">
      <c r="A30" s="17" t="inlineStr">
        <is>
          <t>Omsætningsaktiver</t>
        </is>
      </c>
      <c r="B30" s="16" t="n">
        <v>1134697</v>
      </c>
      <c r="C30" s="16" t="n">
        <v>1258869</v>
      </c>
      <c r="D30" s="16" t="n">
        <v>1060662</v>
      </c>
      <c r="E30" s="16" t="n">
        <v>1050674</v>
      </c>
      <c r="F30" s="16" t="n">
        <v>1940267</v>
      </c>
    </row>
    <row r="31">
      <c r="A31" s="17" t="inlineStr">
        <is>
          <t>Aktiver</t>
        </is>
      </c>
      <c r="B31" s="16" t="n">
        <v>1225433</v>
      </c>
      <c r="C31" s="16" t="n">
        <v>1354732</v>
      </c>
      <c r="D31" s="16" t="n">
        <v>1164527</v>
      </c>
      <c r="E31" s="16" t="n">
        <v>1138768</v>
      </c>
      <c r="F31" s="16" t="n">
        <v>2341784</v>
      </c>
    </row>
    <row r="32">
      <c r="A32" s="15" t="inlineStr">
        <is>
          <t>Selskabskapital</t>
        </is>
      </c>
      <c r="B32" s="16" t="n">
        <v>11300</v>
      </c>
      <c r="C32" s="16" t="n">
        <v>11300</v>
      </c>
      <c r="D32" s="16" t="n">
        <v>11300</v>
      </c>
      <c r="E32" s="16" t="n">
        <v>11300</v>
      </c>
      <c r="F32" s="16" t="n">
        <v>11600</v>
      </c>
    </row>
    <row r="33">
      <c r="A33" s="15" t="inlineStr">
        <is>
          <t>Reserve for nettoopskrivning (indre værdis metode)</t>
        </is>
      </c>
      <c r="B33" s="16" t="n">
        <v>839</v>
      </c>
      <c r="C33" s="16" t="n">
        <v>992</v>
      </c>
      <c r="D33" s="16" t="n">
        <v>1181</v>
      </c>
      <c r="E33" s="16" t="n">
        <v>1388</v>
      </c>
      <c r="F33" s="16" t="n">
        <v>45696</v>
      </c>
    </row>
    <row r="34">
      <c r="A34" s="15" t="inlineStr">
        <is>
          <t>Reserve for udviklingsomkostninger</t>
        </is>
      </c>
      <c r="B34" s="16" t="n">
        <v>12939</v>
      </c>
      <c r="C34" s="16" t="n">
        <v>13855</v>
      </c>
      <c r="D34" s="16" t="n">
        <v>5403</v>
      </c>
      <c r="E34" s="16" t="n">
        <v>2664</v>
      </c>
      <c r="F34" s="16" t="n">
        <v>1256</v>
      </c>
    </row>
    <row r="35">
      <c r="A35" s="15" t="inlineStr">
        <is>
          <t>Reserve for sikringstransaktioner</t>
        </is>
      </c>
      <c r="B35" s="16" t="n"/>
      <c r="C35" s="16" t="n">
        <v>-81</v>
      </c>
      <c r="D35" s="16" t="n">
        <v>-187</v>
      </c>
      <c r="E35" s="16" t="n">
        <v>0</v>
      </c>
      <c r="F35" s="16" t="n">
        <v>0</v>
      </c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314339</v>
      </c>
      <c r="C37" s="16" t="n">
        <v>430399</v>
      </c>
      <c r="D37" s="16" t="n">
        <v>463855</v>
      </c>
      <c r="E37" s="16" t="n">
        <v>521197</v>
      </c>
      <c r="F37" s="16" t="n">
        <v>1144001</v>
      </c>
    </row>
    <row r="38">
      <c r="A38" s="17" t="inlineStr">
        <is>
          <t>Egenkapital i alt</t>
        </is>
      </c>
      <c r="B38" s="16" t="n">
        <v>339431</v>
      </c>
      <c r="C38" s="16" t="n">
        <v>456465</v>
      </c>
      <c r="D38" s="16" t="n">
        <v>481552</v>
      </c>
      <c r="E38" s="16" t="n">
        <v>536549</v>
      </c>
      <c r="F38" s="16" t="n">
        <v>1202553</v>
      </c>
    </row>
    <row r="39">
      <c r="A39" s="15" t="inlineStr">
        <is>
          <t>Hensættelse til udskudt skat</t>
        </is>
      </c>
      <c r="B39" s="16" t="n">
        <v>2096</v>
      </c>
      <c r="C39" s="16" t="n">
        <v>3095</v>
      </c>
      <c r="D39" s="16" t="n">
        <v>1522</v>
      </c>
      <c r="E39" s="16" t="n">
        <v>495</v>
      </c>
      <c r="F39" s="16" t="n">
        <v>7777</v>
      </c>
    </row>
    <row r="40">
      <c r="A40" s="17" t="inlineStr">
        <is>
          <t>Hensatte forpligtelser</t>
        </is>
      </c>
      <c r="B40" s="16" t="n">
        <v>2096</v>
      </c>
      <c r="C40" s="16" t="n">
        <v>3095</v>
      </c>
      <c r="D40" s="16" t="n">
        <v>1522</v>
      </c>
      <c r="E40" s="16" t="n">
        <v>495</v>
      </c>
      <c r="F40" s="16" t="n">
        <v>7777</v>
      </c>
    </row>
    <row r="41">
      <c r="A41" s="15" t="inlineStr">
        <is>
          <t>Ansvarlig lånekapital (langfristet)</t>
        </is>
      </c>
      <c r="B41" s="16" t="n">
        <v>175000</v>
      </c>
      <c r="C41" s="16" t="n">
        <v>150000</v>
      </c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>
        <v>138388</v>
      </c>
    </row>
    <row r="43">
      <c r="A43" s="15" t="inlineStr">
        <is>
          <t>Leasingforpligtelser (langfristet)</t>
        </is>
      </c>
      <c r="B43" s="16" t="n">
        <v>33527</v>
      </c>
      <c r="C43" s="16" t="n">
        <v>26742</v>
      </c>
      <c r="D43" s="16" t="n">
        <v>19876</v>
      </c>
      <c r="E43" s="16" t="n">
        <v>11835</v>
      </c>
      <c r="F43" s="16" t="n">
        <v>5993</v>
      </c>
    </row>
    <row r="44">
      <c r="A44" s="15" t="inlineStr">
        <is>
          <t>Anden gæld (langfristet)</t>
        </is>
      </c>
      <c r="B44" s="16" t="n">
        <v>0</v>
      </c>
      <c r="C44" s="16" t="n"/>
      <c r="D44" s="16" t="n"/>
      <c r="E44" s="16" t="n"/>
      <c r="F44" s="16" t="n">
        <v>25</v>
      </c>
    </row>
    <row r="45">
      <c r="A45" s="17" t="inlineStr">
        <is>
          <t>Langfristede gældsforpligtelser</t>
        </is>
      </c>
      <c r="B45" s="16" t="n">
        <v>208527</v>
      </c>
      <c r="C45" s="16" t="n">
        <v>176742</v>
      </c>
      <c r="D45" s="16" t="n">
        <v>19876</v>
      </c>
      <c r="E45" s="16" t="n">
        <v>11835</v>
      </c>
      <c r="F45" s="16" t="n">
        <v>151870</v>
      </c>
    </row>
    <row r="46">
      <c r="A46" s="15" t="inlineStr">
        <is>
          <t>Ansvarlig lånekapital (kortfristet)</t>
        </is>
      </c>
      <c r="B46" s="16" t="n">
        <v>15000</v>
      </c>
      <c r="C46" s="16" t="n">
        <v>25000</v>
      </c>
      <c r="D46" s="16" t="n">
        <v>150000</v>
      </c>
      <c r="E46" s="16" t="n">
        <v>0</v>
      </c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13</v>
      </c>
      <c r="C48" s="16" t="n">
        <v>19171</v>
      </c>
      <c r="D48" s="16" t="n">
        <v>98</v>
      </c>
      <c r="E48" s="16" t="n">
        <v>131</v>
      </c>
      <c r="F48" s="16" t="n">
        <v>8875</v>
      </c>
    </row>
    <row r="49">
      <c r="A49" s="15" t="inlineStr">
        <is>
          <t>Leasingforpligtelser (kortfristet)</t>
        </is>
      </c>
      <c r="B49" s="16" t="n">
        <v>6704</v>
      </c>
      <c r="C49" s="16" t="n">
        <v>6785</v>
      </c>
      <c r="D49" s="16" t="n">
        <v>6867</v>
      </c>
      <c r="E49" s="16" t="n">
        <v>7535</v>
      </c>
      <c r="F49" s="16" t="n">
        <v>7535</v>
      </c>
    </row>
    <row r="50">
      <c r="A50" s="15" t="inlineStr">
        <is>
          <t>Leverandører af varer og tjenesteydelser</t>
        </is>
      </c>
      <c r="B50" s="16" t="n">
        <v>526299</v>
      </c>
      <c r="C50" s="16" t="n">
        <v>516945</v>
      </c>
      <c r="D50" s="16" t="n">
        <v>400680</v>
      </c>
      <c r="E50" s="16" t="n">
        <v>491184</v>
      </c>
      <c r="F50" s="16" t="n">
        <v>795956</v>
      </c>
    </row>
    <row r="51">
      <c r="A51" s="15" t="inlineStr">
        <is>
          <t>Gæld til tilknyttede virksomheder</t>
        </is>
      </c>
      <c r="B51" s="16" t="n">
        <v>20061</v>
      </c>
      <c r="C51" s="16" t="n">
        <v>14357</v>
      </c>
      <c r="D51" s="16" t="n">
        <v>15230</v>
      </c>
      <c r="E51" s="16" t="n">
        <v>4785</v>
      </c>
      <c r="F51" s="16" t="n">
        <v>6123</v>
      </c>
    </row>
    <row r="52">
      <c r="A52" s="15" t="inlineStr">
        <is>
          <t>Gæld til selskabsdeltagere og ledelse</t>
        </is>
      </c>
      <c r="B52" s="16" t="n">
        <v>6585</v>
      </c>
      <c r="C52" s="16" t="n">
        <v>5937</v>
      </c>
      <c r="D52" s="16" t="n">
        <v>184</v>
      </c>
      <c r="E52" s="16" t="n">
        <v>0</v>
      </c>
      <c r="F52" s="16" t="n"/>
    </row>
    <row r="53">
      <c r="A53" s="15" t="inlineStr">
        <is>
          <t>Selskabsskat</t>
        </is>
      </c>
      <c r="B53" s="16" t="n"/>
      <c r="C53" s="16" t="n">
        <v>708</v>
      </c>
      <c r="D53" s="16" t="n">
        <v>455</v>
      </c>
      <c r="E53" s="16" t="n">
        <v>9614</v>
      </c>
      <c r="F53" s="16" t="n">
        <v>0</v>
      </c>
    </row>
    <row r="54">
      <c r="A54" s="15" t="inlineStr">
        <is>
          <t>Gæld til tilknyttede virksomheder vedr. selskabsskat</t>
        </is>
      </c>
      <c r="B54" s="16" t="n">
        <v>3907</v>
      </c>
      <c r="C54" s="16" t="n">
        <v>31383</v>
      </c>
      <c r="D54" s="16" t="n">
        <v>10527</v>
      </c>
      <c r="E54" s="16" t="n">
        <v>17591</v>
      </c>
      <c r="F54" s="16" t="n">
        <v>0</v>
      </c>
    </row>
    <row r="55">
      <c r="A55" s="15" t="inlineStr">
        <is>
          <t>Anden gæld (kortfristet)</t>
        </is>
      </c>
      <c r="B55" s="16" t="n">
        <v>88572</v>
      </c>
      <c r="C55" s="16" t="n">
        <v>96889</v>
      </c>
      <c r="D55" s="16" t="n">
        <v>77133</v>
      </c>
      <c r="E55" s="16" t="n">
        <v>58001</v>
      </c>
      <c r="F55" s="16" t="n">
        <v>100217</v>
      </c>
    </row>
    <row r="56">
      <c r="A56" s="15" t="inlineStr">
        <is>
          <t>Periodeafgrænsningsposter (passiver)</t>
        </is>
      </c>
      <c r="B56" s="16" t="n">
        <v>8238</v>
      </c>
      <c r="C56" s="16" t="n">
        <v>1255</v>
      </c>
      <c r="D56" s="16" t="n">
        <v>403</v>
      </c>
      <c r="E56" s="16" t="n">
        <v>1048</v>
      </c>
      <c r="F56" s="16" t="n">
        <v>1063</v>
      </c>
    </row>
    <row r="57">
      <c r="A57" s="17" t="inlineStr">
        <is>
          <t>Kortfristede gældsforpligtelser</t>
        </is>
      </c>
      <c r="B57" s="16" t="n">
        <v>675379</v>
      </c>
      <c r="C57" s="16" t="n">
        <v>718430</v>
      </c>
      <c r="D57" s="16" t="n">
        <v>661577</v>
      </c>
      <c r="E57" s="16" t="n">
        <v>589889</v>
      </c>
      <c r="F57" s="16" t="n">
        <v>979584</v>
      </c>
    </row>
    <row r="58">
      <c r="A58" s="17" t="inlineStr">
        <is>
          <t>Gældsforpligtelser</t>
        </is>
      </c>
      <c r="B58" s="16" t="n">
        <v>883906</v>
      </c>
      <c r="C58" s="16" t="n">
        <v>895172</v>
      </c>
      <c r="D58" s="16" t="n">
        <v>681453</v>
      </c>
      <c r="E58" s="16" t="n">
        <v>601724</v>
      </c>
      <c r="F58" s="16" t="n">
        <v>1131454</v>
      </c>
    </row>
    <row r="59">
      <c r="A59" s="17" t="inlineStr">
        <is>
          <t>Passiver</t>
        </is>
      </c>
      <c r="B59" s="16" t="n">
        <v>1225433</v>
      </c>
      <c r="C59" s="16" t="n">
        <v>1354732</v>
      </c>
      <c r="D59" s="16" t="n">
        <v>1164527</v>
      </c>
      <c r="E59" s="16" t="n">
        <v>1138768</v>
      </c>
      <c r="F59" s="16" t="n">
        <v>2341784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Davidsen A/S (CVR 87310116) — Regnskabs- og nøgletal (CVR: 87310116)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'res_raw_87310116'!$F$2</f>
        <v/>
      </c>
      <c r="C5" s="24">
        <f>'res_raw_87310116'!$E$2</f>
        <v/>
      </c>
      <c r="D5" s="24">
        <f>'res_raw_87310116'!$D$2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'res_raw_87310116'!$F$3</f>
        <v/>
      </c>
      <c r="C6" s="24">
        <f>'res_raw_87310116'!$E$3</f>
        <v/>
      </c>
      <c r="D6" s="24">
        <f>'res_raw_87310116'!$D$3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-'res_raw_87310116'!$F$4</f>
        <v/>
      </c>
      <c r="C7" s="24">
        <f>-'res_raw_87310116'!$E$4</f>
        <v/>
      </c>
      <c r="D7" s="24">
        <f>-'res_raw_87310116'!$D$4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-'res_raw_87310116'!$F$5</f>
        <v/>
      </c>
      <c r="C8" s="24">
        <f>-'res_raw_87310116'!$E$5</f>
        <v/>
      </c>
      <c r="D8" s="24">
        <f>-'res_raw_87310116'!$D$5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IF(COUNT('res_raw_87310116'!$F$2,'res_raw_87310116'!$F$3,'res_raw_87310116'!$F$4,'res_raw_87310116'!$F$5)=0,'res_raw_87310116'!$F$6,SUM(B5:B8))</f>
        <v/>
      </c>
      <c r="C9" s="27">
        <f>IF(COUNT('res_raw_87310116'!$E$2,'res_raw_87310116'!$E$3,'res_raw_87310116'!$E$4,'res_raw_87310116'!$E$5)=0,'res_raw_87310116'!$E$6,SUM(C5:C8))</f>
        <v/>
      </c>
      <c r="D9" s="27">
        <f>IF(COUNT('res_raw_87310116'!$D$2,'res_raw_87310116'!$D$3,'res_raw_87310116'!$D$4,'res_raw_87310116'!$D$5)=0,'res_raw_87310116'!$D$6,SUM(D5:D8))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-'res_raw_87310116'!$F$7</f>
        <v/>
      </c>
      <c r="C10" s="24">
        <f>-'res_raw_87310116'!$E$7</f>
        <v/>
      </c>
      <c r="D10" s="24">
        <f>-'res_raw_87310116'!$D$7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-'res_raw_87310116'!$F$9</f>
        <v/>
      </c>
      <c r="C11" s="24">
        <f>-'res_raw_87310116'!$E$9</f>
        <v/>
      </c>
      <c r="D11" s="24">
        <f>-'res_raw_87310116'!$D$9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-'res_raw_87310116'!$F$10</f>
        <v/>
      </c>
      <c r="C12" s="24">
        <f>-'res_raw_87310116'!$E$10</f>
        <v/>
      </c>
      <c r="D12" s="24">
        <f>-'res_raw_87310116'!$D$10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N('res_raw_87310116'!$F$12)+N('res_raw_87310116'!$F$13)</f>
        <v/>
      </c>
      <c r="C14" s="24">
        <f>N('res_raw_87310116'!$E$12)+N('res_raw_87310116'!$E$13)</f>
        <v/>
      </c>
      <c r="D14" s="24">
        <f>N('res_raw_87310116'!$D$12)+N('res_raw_87310116'!$D$13)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-'res_raw_87310116'!$F$14</f>
        <v/>
      </c>
      <c r="C15" s="24">
        <f>-'res_raw_87310116'!$E$14</f>
        <v/>
      </c>
      <c r="D15" s="24">
        <f>-'res_raw_87310116'!$D$14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'balance_raw_87310116'!$F$15</f>
        <v/>
      </c>
      <c r="C19" s="24">
        <f>'balance_raw_87310116'!$E$15</f>
        <v/>
      </c>
      <c r="D19" s="24">
        <f>'balance_raw_87310116'!$D$15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'balance_raw_87310116'!$F$30</f>
        <v/>
      </c>
      <c r="C20" s="24">
        <f>'balance_raw_87310116'!$E$30</f>
        <v/>
      </c>
      <c r="D20" s="24">
        <f>'balance_raw_87310116'!$D$30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'balance_raw_87310116'!$F$38</f>
        <v/>
      </c>
      <c r="C23" s="24">
        <f>'balance_raw_87310116'!$E$38</f>
        <v/>
      </c>
      <c r="D23" s="24">
        <f>'balance_raw_87310116'!$D$38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'balance_raw_87310116'!$F$59-'balance_raw_87310116'!$F$38</f>
        <v/>
      </c>
      <c r="C24" s="24">
        <f>'balance_raw_87310116'!$E$59-'balance_raw_87310116'!$E$38</f>
        <v/>
      </c>
      <c r="D24" s="24">
        <f>'balance_raw_87310116'!$D$59-'balance_raw_87310116'!$D$38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'balance_raw_87310116'!$F$19</f>
        <v/>
      </c>
      <c r="C28" s="24">
        <f>'balance_raw_87310116'!$E$19</f>
        <v/>
      </c>
      <c r="D28" s="24">
        <f>'balance_raw_87310116'!$D$19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'balance_raw_87310116'!$F$20</f>
        <v/>
      </c>
      <c r="C29" s="24">
        <f>'balance_raw_87310116'!$E$20</f>
        <v/>
      </c>
      <c r="D29" s="24">
        <f>'balance_raw_87310116'!$D$20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'balance_raw_87310116'!$F$57</f>
        <v/>
      </c>
      <c r="C30" s="24">
        <f>'balance_raw_87310116'!$E$57</f>
        <v/>
      </c>
      <c r="D30" s="24">
        <f>'balance_raw_87310116'!$D$57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IF('balance_raw_87310116'!$F$31="","—",IF(ABS(B21-'balance_raw_87310116'!$F$31)&lt;=1,"✓ OK","❌ "&amp;TEXT(B21-'balance_raw_87310116'!$F$31,"+#,##0;-#,##0")&amp;" t.kr."))</f>
        <v/>
      </c>
      <c r="C61" s="29">
        <f>IF('balance_raw_87310116'!$E$31="","—",IF(ABS(C21-'balance_raw_87310116'!$E$31)&lt;=1,"✓ OK","❌ "&amp;TEXT(C21-'balance_raw_87310116'!$E$31,"+#,##0;-#,##0")&amp;" t.kr."))</f>
        <v/>
      </c>
      <c r="D61" s="29">
        <f>IF('balance_raw_87310116'!$D$31="","—",IF(ABS(D21-'balance_raw_87310116'!$D$31)&lt;=1,"✓ OK","❌ "&amp;TEXT(D21-'balance_raw_87310116'!$D$31,"+#,##0;-#,##0")&amp;"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IF('balance_raw_87310116'!$F$59="","—",IF(ABS(B25-'balance_raw_87310116'!$F$59)&lt;=1,"✓ OK","❌ "&amp;TEXT(B25-'balance_raw_87310116'!$F$59,"+#,##0;-#,##0")&amp;" t.kr."))</f>
        <v/>
      </c>
      <c r="C62" s="29">
        <f>IF('balance_raw_87310116'!$E$59="","—",IF(ABS(C25-'balance_raw_87310116'!$E$59)&lt;=1,"✓ OK","❌ "&amp;TEXT(C25-'balance_raw_87310116'!$E$59,"+#,##0;-#,##0")&amp;" t.kr."))</f>
        <v/>
      </c>
      <c r="D62" s="29">
        <f>IF('balance_raw_87310116'!$D$59="","—",IF(ABS(D25-'balance_raw_87310116'!$D$59)&lt;=1,"✓ OK","❌ "&amp;TEXT(D25-'balance_raw_87310116'!$D$59,"+#,##0;-#,##0")&amp;"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IF('res_raw_87310116'!$F$6="","—",IF(ABS(B9-'res_raw_87310116'!$F$6)&lt;=1,"✓ OK","❌ "&amp;TEXT(B9-'res_raw_87310116'!$F$6,"+#,##0;-#,##0")&amp;" t.kr."))</f>
        <v/>
      </c>
      <c r="C64" s="29">
        <f>IF('res_raw_87310116'!$E$6="","—",IF(ABS(C9-'res_raw_87310116'!$E$6)&lt;=1,"✓ OK","❌ "&amp;TEXT(C9-'res_raw_87310116'!$E$6,"+#,##0;-#,##0")&amp;" t.kr."))</f>
        <v/>
      </c>
      <c r="D64" s="29">
        <f>IF('res_raw_87310116'!$D$6="","—",IF(ABS(D9-'res_raw_87310116'!$D$6)&lt;=1,"✓ OK","❌ "&amp;TEXT(D9-'res_raw_87310116'!$D$6,"+#,##0;-#,##0")&amp;"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IF('res_raw_87310116'!$F$11="","—",IF(ABS(B13-'res_raw_87310116'!$F$11)&lt;=1,"✓ OK","❌ "&amp;TEXT(B13-'res_raw_87310116'!$F$11,"+#,##0;-#,##0")&amp;" t.kr."))</f>
        <v/>
      </c>
      <c r="C65" s="29">
        <f>IF('res_raw_87310116'!$E$11="","—",IF(ABS(C13-'res_raw_87310116'!$E$11)&lt;=1,"✓ OK","❌ "&amp;TEXT(C13-'res_raw_87310116'!$E$11,"+#,##0;-#,##0")&amp;" t.kr."))</f>
        <v/>
      </c>
      <c r="D65" s="29">
        <f>IF('res_raw_87310116'!$D$11="","—",IF(ABS(D13-'res_raw_87310116'!$D$11)&lt;=1,"✓ OK","❌ "&amp;TEXT(D13-'res_raw_87310116'!$D$11,"+#,##0;-#,##0")&amp;"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IF('res_raw_87310116'!$F$16="","—",IF(ABS(B16-'res_raw_87310116'!$F$16)&lt;=1,"✓ OK","❌ "&amp;TEXT(B16-'res_raw_87310116'!$F$16,"+#,##0;-#,##0")&amp;" t.kr."))</f>
        <v/>
      </c>
      <c r="C66" s="29">
        <f>IF('res_raw_87310116'!$E$16="","—",IF(ABS(C16-'res_raw_87310116'!$E$16)&lt;=1,"✓ OK","❌ "&amp;TEXT(C16-'res_raw_87310116'!$E$16,"+#,##0;-#,##0")&amp;" t.kr."))</f>
        <v/>
      </c>
      <c r="D66" s="29">
        <f>IF('res_raw_87310116'!$D$16="","—",IF(ABS(D16-'res_raw_87310116'!$D$16)&lt;=1,"✓ OK","❌ "&amp;TEXT(D16-'res_raw_87310116'!$D$16,"+#,##0;-#,##0")&amp;"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2026-09-27T21:17:05Z</dcterms:created>
  <dcterms:modified xmlns:dcterms="http://purl.org/dc/terms/" xmlns:xsi="http://www.w3.org/2001/XMLSchema-instance" xsi:type="dcterms:W3CDTF">2026-09-27T21:17:05Z</dcterms:modified>
</cp:coreProperties>
</file>