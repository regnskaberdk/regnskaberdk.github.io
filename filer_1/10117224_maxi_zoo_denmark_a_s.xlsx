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Maxi Zoo Denmark A/S (CVR 10117224)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806846</v>
      </c>
      <c r="C2" s="16" t="n">
        <v>839184</v>
      </c>
      <c r="D2" s="16" t="n">
        <v>879860</v>
      </c>
      <c r="E2" s="16" t="n">
        <v>898981</v>
      </c>
      <c r="F2" s="16" t="n">
        <v>930685</v>
      </c>
    </row>
    <row r="3">
      <c r="A3" s="15" t="inlineStr">
        <is>
          <t>Andre driftsindtægter</t>
        </is>
      </c>
      <c r="B3" s="16" t="n">
        <v>45600</v>
      </c>
      <c r="C3" s="16" t="n">
        <v>24575</v>
      </c>
      <c r="D3" s="16" t="n">
        <v>23485</v>
      </c>
      <c r="E3" s="16" t="n">
        <v>34362</v>
      </c>
      <c r="F3" s="16" t="n">
        <v>11080</v>
      </c>
    </row>
    <row r="4">
      <c r="A4" s="15" t="inlineStr">
        <is>
          <t>Vareforbrug</t>
        </is>
      </c>
      <c r="B4" s="16" t="n">
        <v>498259</v>
      </c>
      <c r="C4" s="16" t="n">
        <v>509029</v>
      </c>
      <c r="D4" s="16" t="n">
        <v>526670</v>
      </c>
      <c r="E4" s="16" t="n">
        <v>538219</v>
      </c>
      <c r="F4" s="16" t="n">
        <v>521066</v>
      </c>
    </row>
    <row r="5">
      <c r="A5" s="15" t="inlineStr">
        <is>
          <t>Andre eksterne omkostninger</t>
        </is>
      </c>
      <c r="B5" s="16" t="n">
        <v>134886</v>
      </c>
      <c r="C5" s="16" t="n">
        <v>121365</v>
      </c>
      <c r="D5" s="16" t="n">
        <v>135509</v>
      </c>
      <c r="E5" s="16" t="n">
        <v>130275</v>
      </c>
      <c r="F5" s="16" t="n">
        <v>141007</v>
      </c>
    </row>
    <row r="6">
      <c r="A6" s="17" t="inlineStr">
        <is>
          <t>Bruttoresultat</t>
        </is>
      </c>
      <c r="B6" s="16" t="n">
        <v>219301</v>
      </c>
      <c r="C6" s="16" t="n">
        <v>233365</v>
      </c>
      <c r="D6" s="16" t="n">
        <v>241166</v>
      </c>
      <c r="E6" s="16" t="n">
        <v>264849</v>
      </c>
      <c r="F6" s="16" t="n">
        <v>279692</v>
      </c>
    </row>
    <row r="7">
      <c r="A7" s="15" t="inlineStr">
        <is>
          <t>Personaleomkostninger</t>
        </is>
      </c>
      <c r="B7" s="16" t="n">
        <v>148834</v>
      </c>
      <c r="C7" s="16" t="n">
        <v>153120</v>
      </c>
      <c r="D7" s="16" t="n">
        <v>168768</v>
      </c>
      <c r="E7" s="16" t="n">
        <v>178921</v>
      </c>
      <c r="F7" s="16" t="n">
        <v>187341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41822</v>
      </c>
      <c r="C9" s="16" t="n">
        <v>43170</v>
      </c>
      <c r="D9" s="16" t="n">
        <v>45464</v>
      </c>
      <c r="E9" s="16" t="n">
        <v>50032</v>
      </c>
      <c r="F9" s="16" t="n">
        <v>54021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28645</v>
      </c>
      <c r="C11" s="16" t="n">
        <v>37075</v>
      </c>
      <c r="D11" s="16" t="n">
        <v>26934</v>
      </c>
      <c r="E11" s="16" t="n">
        <v>35875</v>
      </c>
      <c r="F11" s="16" t="n">
        <v>38330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35</v>
      </c>
      <c r="C13" s="16" t="n">
        <v>611</v>
      </c>
      <c r="D13" s="16" t="n">
        <v>4383</v>
      </c>
      <c r="E13" s="16" t="n">
        <v>6132</v>
      </c>
      <c r="F13" s="16" t="n">
        <v>7514</v>
      </c>
    </row>
    <row r="14">
      <c r="A14" s="15" t="inlineStr">
        <is>
          <t>Finansielle omkostninger</t>
        </is>
      </c>
      <c r="B14" s="16" t="n">
        <v>1079</v>
      </c>
      <c r="C14" s="16" t="n">
        <v>491</v>
      </c>
      <c r="D14" s="16" t="n">
        <v>539</v>
      </c>
      <c r="E14" s="16" t="n">
        <v>805</v>
      </c>
      <c r="F14" s="16" t="n">
        <v>830</v>
      </c>
    </row>
    <row r="15">
      <c r="A15" s="17" t="inlineStr">
        <is>
          <t>Finansielle poster, netto</t>
        </is>
      </c>
      <c r="B15" s="16" t="n">
        <v>-1044</v>
      </c>
      <c r="C15" s="16" t="n">
        <v>120</v>
      </c>
      <c r="D15" s="16" t="n">
        <v>3844</v>
      </c>
      <c r="E15" s="16" t="n">
        <v>5327</v>
      </c>
      <c r="F15" s="16" t="n">
        <v>6684</v>
      </c>
    </row>
    <row r="16">
      <c r="A16" s="17" t="inlineStr">
        <is>
          <t>Resultat før skat</t>
        </is>
      </c>
      <c r="B16" s="16" t="n">
        <v>27601</v>
      </c>
      <c r="C16" s="16" t="n">
        <v>37195</v>
      </c>
      <c r="D16" s="16" t="n">
        <v>30778</v>
      </c>
      <c r="E16" s="16" t="n">
        <v>41202</v>
      </c>
      <c r="F16" s="16" t="n">
        <v>45014</v>
      </c>
    </row>
    <row r="17">
      <c r="A17" s="15" t="inlineStr">
        <is>
          <t>Skat af årets resultat</t>
        </is>
      </c>
      <c r="B17" s="16" t="n">
        <v>6265</v>
      </c>
      <c r="C17" s="16" t="n">
        <v>7540</v>
      </c>
      <c r="D17" s="16" t="n">
        <v>6551</v>
      </c>
      <c r="E17" s="16" t="n">
        <v>8944</v>
      </c>
      <c r="F17" s="16" t="n">
        <v>9743</v>
      </c>
    </row>
    <row r="18">
      <c r="A18" s="17" t="inlineStr">
        <is>
          <t>Årets resultat</t>
        </is>
      </c>
      <c r="B18" s="16" t="n">
        <v>21336</v>
      </c>
      <c r="C18" s="16" t="n">
        <v>29655</v>
      </c>
      <c r="D18" s="16" t="n">
        <v>24227</v>
      </c>
      <c r="E18" s="16" t="n">
        <v>32258</v>
      </c>
      <c r="F18" s="16" t="n">
        <v>35271</v>
      </c>
    </row>
    <row r="19">
      <c r="A19" s="15" t="inlineStr">
        <is>
          <t>Gns. antal medarbejdere</t>
        </is>
      </c>
      <c r="B19" s="16" t="n">
        <v>396</v>
      </c>
      <c r="C19" s="16" t="n">
        <v>382000</v>
      </c>
      <c r="D19" s="16" t="n">
        <v>423000</v>
      </c>
      <c r="E19" s="16" t="n">
        <v>432000</v>
      </c>
      <c r="F19" s="16" t="n">
        <v>445000</v>
      </c>
    </row>
    <row r="20">
      <c r="A20" s="15" t="inlineStr">
        <is>
          <t>Investering i materielle anlægsaktiver</t>
        </is>
      </c>
      <c r="B20" s="16" t="n">
        <v>41913</v>
      </c>
      <c r="C20" s="16" t="n">
        <v>10907</v>
      </c>
      <c r="D20" s="16" t="n">
        <v>29844</v>
      </c>
      <c r="E20" s="16" t="n">
        <v>29242</v>
      </c>
      <c r="F20" s="16" t="n">
        <v>18533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2204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265896</v>
      </c>
      <c r="C4" s="16" t="n">
        <v>236342</v>
      </c>
      <c r="D4" s="16" t="n">
        <v>207781</v>
      </c>
      <c r="E4" s="16" t="n">
        <v>178147</v>
      </c>
      <c r="F4" s="16" t="n">
        <v>148503</v>
      </c>
    </row>
    <row r="5">
      <c r="A5" s="17" t="inlineStr">
        <is>
          <t>Immaterielle anlægsaktiver</t>
        </is>
      </c>
      <c r="B5" s="16" t="n">
        <v>268100</v>
      </c>
      <c r="C5" s="16" t="n">
        <v>240965</v>
      </c>
      <c r="D5" s="16" t="n">
        <v>211875</v>
      </c>
      <c r="E5" s="16" t="n">
        <v>180536</v>
      </c>
      <c r="F5" s="16" t="n">
        <v>152609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40872</v>
      </c>
      <c r="C8" s="16" t="n">
        <v>33568</v>
      </c>
      <c r="D8" s="16" t="n">
        <v>32098</v>
      </c>
      <c r="E8" s="16" t="n">
        <v>33711</v>
      </c>
      <c r="F8" s="16" t="n">
        <v>29904</v>
      </c>
    </row>
    <row r="9">
      <c r="A9" s="15" t="inlineStr">
        <is>
          <t>Indretning af lejede lokaler</t>
        </is>
      </c>
      <c r="B9" s="16" t="n"/>
      <c r="C9" s="16" t="n">
        <v>5310</v>
      </c>
      <c r="D9" s="16" t="n">
        <v>22419</v>
      </c>
      <c r="E9" s="16" t="n">
        <v>31216</v>
      </c>
      <c r="F9" s="16" t="n">
        <v>30523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38878</v>
      </c>
      <c r="D11" s="16" t="n">
        <v>54517</v>
      </c>
      <c r="E11" s="16" t="n">
        <v>64927</v>
      </c>
      <c r="F11" s="16" t="n">
        <v>60427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9354</v>
      </c>
      <c r="C13" s="16" t="n">
        <v>8789</v>
      </c>
      <c r="D13" s="16" t="n">
        <v>8507</v>
      </c>
      <c r="E13" s="16" t="n">
        <v>8745</v>
      </c>
      <c r="F13" s="16" t="n">
        <v>8927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318326</v>
      </c>
      <c r="C15" s="16" t="n">
        <v>288632</v>
      </c>
      <c r="D15" s="16" t="n">
        <v>274899</v>
      </c>
      <c r="E15" s="16" t="n">
        <v>254208</v>
      </c>
      <c r="F15" s="16" t="n">
        <v>221963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83987</v>
      </c>
      <c r="C18" s="16" t="n">
        <v>96871</v>
      </c>
      <c r="D18" s="16" t="n">
        <v>95306</v>
      </c>
      <c r="E18" s="16" t="n">
        <v>97801</v>
      </c>
      <c r="F18" s="16" t="n">
        <v>113315</v>
      </c>
    </row>
    <row r="19">
      <c r="A19" s="17" t="inlineStr">
        <is>
          <t>Varebeholdninger</t>
        </is>
      </c>
      <c r="B19" s="16" t="n">
        <v>83987</v>
      </c>
      <c r="C19" s="16" t="n">
        <v>96871</v>
      </c>
      <c r="D19" s="16" t="n">
        <v>95306</v>
      </c>
      <c r="E19" s="16" t="n">
        <v>97801</v>
      </c>
      <c r="F19" s="16" t="n">
        <v>113315</v>
      </c>
    </row>
    <row r="20">
      <c r="A20" s="15" t="inlineStr">
        <is>
          <t>Tilgodehavender fra salg og tjenesteydelser</t>
        </is>
      </c>
      <c r="B20" s="16" t="n">
        <v>8472</v>
      </c>
      <c r="C20" s="16" t="n">
        <v>19517</v>
      </c>
      <c r="D20" s="16" t="n">
        <v>18500</v>
      </c>
      <c r="E20" s="16" t="n">
        <v>15271</v>
      </c>
      <c r="F20" s="16" t="n">
        <v>20393</v>
      </c>
    </row>
    <row r="21">
      <c r="A21" s="15" t="inlineStr">
        <is>
          <t>Tilgodehavender hos tilknyttede virksomheder</t>
        </is>
      </c>
      <c r="B21" s="16" t="n">
        <v>35251</v>
      </c>
      <c r="C21" s="16" t="n">
        <v>45000</v>
      </c>
      <c r="D21" s="16" t="n">
        <v>85000</v>
      </c>
      <c r="E21" s="16" t="n">
        <v>145110</v>
      </c>
      <c r="F21" s="16" t="n">
        <v>181194</v>
      </c>
    </row>
    <row r="22">
      <c r="A22" s="15" t="inlineStr">
        <is>
          <t>Andre tilgodehavender</t>
        </is>
      </c>
      <c r="B22" s="16" t="n">
        <v>12154</v>
      </c>
      <c r="C22" s="16" t="n">
        <v>11212</v>
      </c>
      <c r="D22" s="16" t="n">
        <v>8296</v>
      </c>
      <c r="E22" s="16" t="n">
        <v>8577</v>
      </c>
      <c r="F22" s="16" t="n">
        <v>11781</v>
      </c>
    </row>
    <row r="23">
      <c r="A23" s="15" t="inlineStr">
        <is>
          <t>Periodeafgrænsningsposter (aktiver)</t>
        </is>
      </c>
      <c r="B23" s="16" t="n">
        <v>3937</v>
      </c>
      <c r="C23" s="16" t="n">
        <v>2715</v>
      </c>
      <c r="D23" s="16" t="n">
        <v>2480</v>
      </c>
      <c r="E23" s="16" t="n">
        <v>3256</v>
      </c>
      <c r="F23" s="16" t="n">
        <v>3395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59924</v>
      </c>
      <c r="C27" s="16" t="n">
        <v>78444</v>
      </c>
      <c r="D27" s="16" t="n">
        <v>114276</v>
      </c>
      <c r="E27" s="16" t="n">
        <v>172214</v>
      </c>
      <c r="F27" s="16" t="n">
        <v>216763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59738</v>
      </c>
      <c r="C29" s="16" t="n">
        <v>68278</v>
      </c>
      <c r="D29" s="16" t="n">
        <v>74238</v>
      </c>
      <c r="E29" s="16" t="n">
        <v>60985</v>
      </c>
      <c r="F29" s="16" t="n">
        <v>47225</v>
      </c>
    </row>
    <row r="30">
      <c r="A30" s="17" t="inlineStr">
        <is>
          <t>Omsætningsaktiver</t>
        </is>
      </c>
      <c r="B30" s="16" t="n">
        <v>203649</v>
      </c>
      <c r="C30" s="16" t="n">
        <v>243593</v>
      </c>
      <c r="D30" s="16" t="n">
        <v>283820</v>
      </c>
      <c r="E30" s="16" t="n">
        <v>331000</v>
      </c>
      <c r="F30" s="16" t="n">
        <v>377303</v>
      </c>
    </row>
    <row r="31">
      <c r="A31" s="17" t="inlineStr">
        <is>
          <t>Aktiver</t>
        </is>
      </c>
      <c r="B31" s="16" t="n">
        <v>521975</v>
      </c>
      <c r="C31" s="16" t="n">
        <v>532225</v>
      </c>
      <c r="D31" s="16" t="n">
        <v>558719</v>
      </c>
      <c r="E31" s="16" t="n">
        <v>585208</v>
      </c>
      <c r="F31" s="16" t="n">
        <v>599266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410956</v>
      </c>
      <c r="C37" s="16" t="n">
        <v>440611</v>
      </c>
      <c r="D37" s="16" t="n">
        <v>464838</v>
      </c>
      <c r="E37" s="16" t="n">
        <v>468096</v>
      </c>
      <c r="F37" s="16" t="n">
        <v>464367</v>
      </c>
    </row>
    <row r="38">
      <c r="A38" s="17" t="inlineStr">
        <is>
          <t>Egenkapital i alt</t>
        </is>
      </c>
      <c r="B38" s="16" t="n">
        <v>425306</v>
      </c>
      <c r="C38" s="16" t="n">
        <v>441661</v>
      </c>
      <c r="D38" s="16" t="n">
        <v>465888</v>
      </c>
      <c r="E38" s="16" t="n">
        <v>498146</v>
      </c>
      <c r="F38" s="16" t="n">
        <v>504417</v>
      </c>
    </row>
    <row r="39">
      <c r="A39" s="15" t="inlineStr">
        <is>
          <t>Hensættelse til udskudt skat</t>
        </is>
      </c>
      <c r="B39" s="16" t="n"/>
      <c r="C39" s="16" t="n">
        <v>4496</v>
      </c>
      <c r="D39" s="16" t="n">
        <v>6943</v>
      </c>
      <c r="E39" s="16" t="n">
        <v>11750</v>
      </c>
      <c r="F39" s="16" t="n">
        <v>11558</v>
      </c>
    </row>
    <row r="40">
      <c r="A40" s="17" t="inlineStr">
        <is>
          <t>Hensatte forpligtelser</t>
        </is>
      </c>
      <c r="B40" s="16" t="n">
        <v>3158</v>
      </c>
      <c r="C40" s="16" t="n">
        <v>4496</v>
      </c>
      <c r="D40" s="16" t="n">
        <v>6943</v>
      </c>
      <c r="E40" s="16" t="n">
        <v>20234</v>
      </c>
      <c r="F40" s="16" t="n">
        <v>20756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38972</v>
      </c>
      <c r="C45" s="16" t="n">
        <v>33231</v>
      </c>
      <c r="D45" s="16" t="n">
        <v>36633</v>
      </c>
      <c r="E45" s="16" t="n">
        <v>12883</v>
      </c>
      <c r="F45" s="16" t="n">
        <v>28547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>
        <v>16501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4024</v>
      </c>
      <c r="D48" s="16" t="n">
        <v>3063</v>
      </c>
      <c r="E48" s="16" t="n">
        <v>2544</v>
      </c>
      <c r="F48" s="16" t="n">
        <v>8094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38316</v>
      </c>
      <c r="C50" s="16" t="n">
        <v>35252</v>
      </c>
      <c r="D50" s="16" t="n">
        <v>32411</v>
      </c>
      <c r="E50" s="16" t="n">
        <v>29553</v>
      </c>
      <c r="F50" s="16" t="n">
        <v>31615</v>
      </c>
    </row>
    <row r="51">
      <c r="A51" s="15" t="inlineStr">
        <is>
          <t>Periodeafgrænsningsposter (passiver)</t>
        </is>
      </c>
      <c r="B51" s="16" t="n">
        <v>16223</v>
      </c>
      <c r="C51" s="16" t="n">
        <v>13561</v>
      </c>
      <c r="D51" s="16" t="n">
        <v>13781</v>
      </c>
      <c r="E51" s="16" t="n">
        <v>5347</v>
      </c>
      <c r="F51" s="16" t="n">
        <v>5837</v>
      </c>
    </row>
    <row r="52">
      <c r="A52" s="17" t="inlineStr">
        <is>
          <t>Kortfristede gældsforpligtelser</t>
        </is>
      </c>
      <c r="B52" s="16" t="n">
        <v>93511</v>
      </c>
      <c r="C52" s="16" t="n">
        <v>86068</v>
      </c>
      <c r="D52" s="16" t="n">
        <v>85888</v>
      </c>
      <c r="E52" s="16" t="n">
        <v>66828</v>
      </c>
      <c r="F52" s="16" t="n">
        <v>74093</v>
      </c>
    </row>
    <row r="53">
      <c r="A53" s="17" t="inlineStr">
        <is>
          <t>Gældsforpligtelser</t>
        </is>
      </c>
      <c r="B53" s="16" t="n">
        <v>93511</v>
      </c>
      <c r="C53" s="16" t="n">
        <v>86068</v>
      </c>
      <c r="D53" s="16" t="n">
        <v>85888</v>
      </c>
      <c r="E53" s="16" t="n">
        <v>66828</v>
      </c>
      <c r="F53" s="16" t="n">
        <v>74093</v>
      </c>
    </row>
    <row r="54">
      <c r="A54" s="17" t="inlineStr">
        <is>
          <t>Passiver</t>
        </is>
      </c>
      <c r="B54" s="16" t="n">
        <v>521975</v>
      </c>
      <c r="C54" s="16" t="n">
        <v>532225</v>
      </c>
      <c r="D54" s="16" t="n">
        <v>558719</v>
      </c>
      <c r="E54" s="16" t="n">
        <v>585208</v>
      </c>
      <c r="F54" s="16" t="n">
        <v>599266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Maxi Zoo Denmark A/S (CVR 10117224) — Regnskabs- og nøgletal (CVR: 10117224)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IF(COUNT('res_raw_10117224'!$F$2,'res_raw_10117224'!$F$3,'res_raw_10117224'!$F$4,'res_raw_10117224'!$F$5)=0,'res_raw_10117224'!$F$6,SUM(B5:B8))</f>
        <v/>
      </c>
      <c r="C9" s="27">
        <f>IF(COUNT('res_raw_10117224'!$E$2,'res_raw_10117224'!$E$3,'res_raw_10117224'!$E$4,'res_raw_10117224'!$E$5)=0,'res_raw_10117224'!$E$6,SUM(C5:C8))</f>
        <v/>
      </c>
      <c r="D9" s="27">
        <f>IF(COUNT('res_raw_10117224'!$D$2,'res_raw_10117224'!$D$3,'res_raw_10117224'!$D$4,'res_raw_10117224'!$D$5)=0,'res_raw_10117224'!$D$6,SUM(D5:D8))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2026-09-27T21:18:47Z</dcterms:created>
  <dcterms:modified xmlns:dcterms="http://purl.org/dc/terms/" xmlns:xsi="http://www.w3.org/2001/XMLSchema-instance" xsi:type="dcterms:W3CDTF">2026-09-27T21:18:47Z</dcterms:modified>
</cp:coreProperties>
</file>