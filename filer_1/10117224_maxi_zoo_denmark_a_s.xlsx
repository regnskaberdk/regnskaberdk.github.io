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117224" sheetId="1" state="visible" r:id="rId1"/>
    <sheet xmlns:r="http://schemas.openxmlformats.org/officeDocument/2006/relationships" name="res_raw_10117224" sheetId="2" state="visible" r:id="rId2"/>
    <sheet xmlns:r="http://schemas.openxmlformats.org/officeDocument/2006/relationships" name="balance_raw_1011722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Maxi Zoo Denmark A/S (CVR 10117224)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'res_raw_10117224'!$B$2</f>
        <v/>
      </c>
      <c r="C4" s="5">
        <f>'res_raw_10117224'!$C$2</f>
        <v/>
      </c>
      <c r="D4" s="5">
        <f>'res_raw_10117224'!$D$2</f>
        <v/>
      </c>
      <c r="E4" s="5">
        <f>'res_raw_10117224'!$E$2</f>
        <v/>
      </c>
      <c r="F4" s="5">
        <f>'res_raw_10117224'!$F$2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'res_raw_10117224'!$B$3</f>
        <v/>
      </c>
      <c r="C5" s="8">
        <f>'res_raw_10117224'!$C$3</f>
        <v/>
      </c>
      <c r="D5" s="8">
        <f>'res_raw_10117224'!$D$3</f>
        <v/>
      </c>
      <c r="E5" s="8">
        <f>'res_raw_10117224'!$E$3</f>
        <v/>
      </c>
      <c r="F5" s="8">
        <f>'res_raw_10117224'!$F$3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'res_raw_10117224'!$B$4</f>
        <v/>
      </c>
      <c r="C6" s="5">
        <f>'res_raw_10117224'!$C$4</f>
        <v/>
      </c>
      <c r="D6" s="5">
        <f>'res_raw_10117224'!$D$4</f>
        <v/>
      </c>
      <c r="E6" s="5">
        <f>'res_raw_10117224'!$E$4</f>
        <v/>
      </c>
      <c r="F6" s="5">
        <f>'res_raw_10117224'!$F$4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'res_raw_10117224'!$B$5</f>
        <v/>
      </c>
      <c r="C7" s="8">
        <f>'res_raw_10117224'!$C$5</f>
        <v/>
      </c>
      <c r="D7" s="8">
        <f>'res_raw_10117224'!$D$5</f>
        <v/>
      </c>
      <c r="E7" s="8">
        <f>'res_raw_10117224'!$E$5</f>
        <v/>
      </c>
      <c r="F7" s="8">
        <f>'res_raw_10117224'!$F$5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'res_raw_10117224'!$B$6</f>
        <v/>
      </c>
      <c r="C8" s="11">
        <f>'res_raw_10117224'!$C$6</f>
        <v/>
      </c>
      <c r="D8" s="11">
        <f>'res_raw_10117224'!$D$6</f>
        <v/>
      </c>
      <c r="E8" s="11">
        <f>'res_raw_10117224'!$E$6</f>
        <v/>
      </c>
      <c r="F8" s="11">
        <f>'res_raw_10117224'!$F$6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'res_raw_10117224'!$B$7</f>
        <v/>
      </c>
      <c r="C9" s="8">
        <f>'res_raw_10117224'!$C$7</f>
        <v/>
      </c>
      <c r="D9" s="8">
        <f>'res_raw_10117224'!$D$7</f>
        <v/>
      </c>
      <c r="E9" s="8">
        <f>'res_raw_10117224'!$E$7</f>
        <v/>
      </c>
      <c r="F9" s="8">
        <f>'res_raw_10117224'!$F$7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'res_raw_10117224'!$B$9</f>
        <v/>
      </c>
      <c r="C11" s="8">
        <f>'res_raw_10117224'!$C$9</f>
        <v/>
      </c>
      <c r="D11" s="8">
        <f>'res_raw_10117224'!$D$9</f>
        <v/>
      </c>
      <c r="E11" s="8">
        <f>'res_raw_10117224'!$E$9</f>
        <v/>
      </c>
      <c r="F11" s="8">
        <f>'res_raw_10117224'!$F$9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'res_raw_10117224'!$B$10</f>
        <v/>
      </c>
      <c r="C12" s="5">
        <f>'res_raw_10117224'!$C$10</f>
        <v/>
      </c>
      <c r="D12" s="5">
        <f>'res_raw_10117224'!$D$10</f>
        <v/>
      </c>
      <c r="E12" s="5">
        <f>'res_raw_10117224'!$E$10</f>
        <v/>
      </c>
      <c r="F12" s="5">
        <f>'res_raw_10117224'!$F$10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'res_raw_10117224'!$B$11</f>
        <v/>
      </c>
      <c r="C13" s="11">
        <f>'res_raw_10117224'!$C$11</f>
        <v/>
      </c>
      <c r="D13" s="11">
        <f>'res_raw_10117224'!$D$11</f>
        <v/>
      </c>
      <c r="E13" s="11">
        <f>'res_raw_10117224'!$E$11</f>
        <v/>
      </c>
      <c r="F13" s="11">
        <f>'res_raw_10117224'!$F$11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'res_raw_10117224'!$B$12</f>
        <v/>
      </c>
      <c r="C14" s="5">
        <f>'res_raw_10117224'!$C$12</f>
        <v/>
      </c>
      <c r="D14" s="5">
        <f>'res_raw_10117224'!$D$12</f>
        <v/>
      </c>
      <c r="E14" s="5">
        <f>'res_raw_10117224'!$E$12</f>
        <v/>
      </c>
      <c r="F14" s="5">
        <f>'res_raw_10117224'!$F$12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'res_raw_10117224'!$B$13</f>
        <v/>
      </c>
      <c r="C15" s="8">
        <f>'res_raw_10117224'!$C$13</f>
        <v/>
      </c>
      <c r="D15" s="8">
        <f>'res_raw_10117224'!$D$13</f>
        <v/>
      </c>
      <c r="E15" s="8">
        <f>'res_raw_10117224'!$E$13</f>
        <v/>
      </c>
      <c r="F15" s="8">
        <f>'res_raw_10117224'!$F$13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'res_raw_10117224'!$B$14</f>
        <v/>
      </c>
      <c r="C16" s="5">
        <f>'res_raw_10117224'!$C$14</f>
        <v/>
      </c>
      <c r="D16" s="5">
        <f>'res_raw_10117224'!$D$14</f>
        <v/>
      </c>
      <c r="E16" s="5">
        <f>'res_raw_10117224'!$E$14</f>
        <v/>
      </c>
      <c r="F16" s="5">
        <f>'res_raw_10117224'!$F$14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'res_raw_10117224'!$B$15</f>
        <v/>
      </c>
      <c r="C17" s="11">
        <f>'res_raw_10117224'!$C$15</f>
        <v/>
      </c>
      <c r="D17" s="11">
        <f>'res_raw_10117224'!$D$15</f>
        <v/>
      </c>
      <c r="E17" s="11">
        <f>'res_raw_10117224'!$E$15</f>
        <v/>
      </c>
      <c r="F17" s="11">
        <f>'res_raw_10117224'!$F$15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'res_raw_10117224'!$B$16</f>
        <v/>
      </c>
      <c r="C18" s="11">
        <f>'res_raw_10117224'!$C$16</f>
        <v/>
      </c>
      <c r="D18" s="11">
        <f>'res_raw_10117224'!$D$16</f>
        <v/>
      </c>
      <c r="E18" s="11">
        <f>'res_raw_10117224'!$E$16</f>
        <v/>
      </c>
      <c r="F18" s="11">
        <f>'res_raw_10117224'!$F$16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'res_raw_10117224'!$B$17</f>
        <v/>
      </c>
      <c r="C19" s="8">
        <f>'res_raw_10117224'!$C$17</f>
        <v/>
      </c>
      <c r="D19" s="8">
        <f>'res_raw_10117224'!$D$17</f>
        <v/>
      </c>
      <c r="E19" s="8">
        <f>'res_raw_10117224'!$E$17</f>
        <v/>
      </c>
      <c r="F19" s="8">
        <f>'res_raw_10117224'!$F$17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'res_raw_10117224'!$B$18</f>
        <v/>
      </c>
      <c r="C20" s="11">
        <f>'res_raw_10117224'!$C$18</f>
        <v/>
      </c>
      <c r="D20" s="11">
        <f>'res_raw_10117224'!$D$18</f>
        <v/>
      </c>
      <c r="E20" s="11">
        <f>'res_raw_10117224'!$E$18</f>
        <v/>
      </c>
      <c r="F20" s="11">
        <f>'res_raw_10117224'!$F$18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'balance_raw_10117224'!$B$2</f>
        <v/>
      </c>
      <c r="C23" s="8">
        <f>'balance_raw_10117224'!$C$2</f>
        <v/>
      </c>
      <c r="D23" s="8">
        <f>'balance_raw_10117224'!$D$2</f>
        <v/>
      </c>
      <c r="E23" s="8">
        <f>'balance_raw_10117224'!$E$2</f>
        <v/>
      </c>
      <c r="F23" s="8">
        <f>'balance_raw_10117224'!$F$2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'balance_raw_10117224'!$B$3</f>
        <v/>
      </c>
      <c r="C24" s="5">
        <f>'balance_raw_10117224'!$C$3</f>
        <v/>
      </c>
      <c r="D24" s="5">
        <f>'balance_raw_10117224'!$D$3</f>
        <v/>
      </c>
      <c r="E24" s="5">
        <f>'balance_raw_10117224'!$E$3</f>
        <v/>
      </c>
      <c r="F24" s="5">
        <f>'balance_raw_10117224'!$F$3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'balance_raw_10117224'!$B$4</f>
        <v/>
      </c>
      <c r="C25" s="8">
        <f>'balance_raw_10117224'!$C$4</f>
        <v/>
      </c>
      <c r="D25" s="8">
        <f>'balance_raw_10117224'!$D$4</f>
        <v/>
      </c>
      <c r="E25" s="8">
        <f>'balance_raw_10117224'!$E$4</f>
        <v/>
      </c>
      <c r="F25" s="8">
        <f>'balance_raw_10117224'!$F$4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'balance_raw_10117224'!$B$5</f>
        <v/>
      </c>
      <c r="C26" s="11">
        <f>'balance_raw_10117224'!$C$5</f>
        <v/>
      </c>
      <c r="D26" s="11">
        <f>'balance_raw_10117224'!$D$5</f>
        <v/>
      </c>
      <c r="E26" s="11">
        <f>'balance_raw_10117224'!$E$5</f>
        <v/>
      </c>
      <c r="F26" s="11">
        <f>'balance_raw_10117224'!$F$5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'balance_raw_10117224'!$B$6</f>
        <v/>
      </c>
      <c r="C27" s="8">
        <f>'balance_raw_10117224'!$C$6</f>
        <v/>
      </c>
      <c r="D27" s="8">
        <f>'balance_raw_10117224'!$D$6</f>
        <v/>
      </c>
      <c r="E27" s="8">
        <f>'balance_raw_10117224'!$E$6</f>
        <v/>
      </c>
      <c r="F27" s="8">
        <f>'balance_raw_10117224'!$F$6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'balance_raw_10117224'!$B$7</f>
        <v/>
      </c>
      <c r="C28" s="5">
        <f>'balance_raw_10117224'!$C$7</f>
        <v/>
      </c>
      <c r="D28" s="5">
        <f>'balance_raw_10117224'!$D$7</f>
        <v/>
      </c>
      <c r="E28" s="5">
        <f>'balance_raw_10117224'!$E$7</f>
        <v/>
      </c>
      <c r="F28" s="5">
        <f>'balance_raw_10117224'!$F$7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'balance_raw_10117224'!$B$8</f>
        <v/>
      </c>
      <c r="C29" s="8">
        <f>'balance_raw_10117224'!$C$8</f>
        <v/>
      </c>
      <c r="D29" s="8">
        <f>'balance_raw_10117224'!$D$8</f>
        <v/>
      </c>
      <c r="E29" s="8">
        <f>'balance_raw_10117224'!$E$8</f>
        <v/>
      </c>
      <c r="F29" s="8">
        <f>'balance_raw_10117224'!$F$8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'balance_raw_10117224'!$B$9</f>
        <v/>
      </c>
      <c r="C30" s="5">
        <f>'balance_raw_10117224'!$C$9</f>
        <v/>
      </c>
      <c r="D30" s="5">
        <f>'balance_raw_10117224'!$D$9</f>
        <v/>
      </c>
      <c r="E30" s="5">
        <f>'balance_raw_10117224'!$E$9</f>
        <v/>
      </c>
      <c r="F30" s="5">
        <f>'balance_raw_10117224'!$F$9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'balance_raw_10117224'!$B$10</f>
        <v/>
      </c>
      <c r="C31" s="8">
        <f>'balance_raw_10117224'!$C$10</f>
        <v/>
      </c>
      <c r="D31" s="8">
        <f>'balance_raw_10117224'!$D$10</f>
        <v/>
      </c>
      <c r="E31" s="8">
        <f>'balance_raw_10117224'!$E$10</f>
        <v/>
      </c>
      <c r="F31" s="8">
        <f>'balance_raw_10117224'!$F$10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'balance_raw_10117224'!$B$11</f>
        <v/>
      </c>
      <c r="C32" s="11">
        <f>'balance_raw_10117224'!$C$11</f>
        <v/>
      </c>
      <c r="D32" s="11">
        <f>'balance_raw_10117224'!$D$11</f>
        <v/>
      </c>
      <c r="E32" s="11">
        <f>'balance_raw_10117224'!$E$11</f>
        <v/>
      </c>
      <c r="F32" s="11">
        <f>'balance_raw_10117224'!$F$11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'balance_raw_10117224'!$B$12</f>
        <v/>
      </c>
      <c r="C33" s="8">
        <f>'balance_raw_10117224'!$C$12</f>
        <v/>
      </c>
      <c r="D33" s="8">
        <f>'balance_raw_10117224'!$D$12</f>
        <v/>
      </c>
      <c r="E33" s="8">
        <f>'balance_raw_10117224'!$E$12</f>
        <v/>
      </c>
      <c r="F33" s="8">
        <f>'balance_raw_10117224'!$F$12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'balance_raw_10117224'!$B$13</f>
        <v/>
      </c>
      <c r="C34" s="5">
        <f>'balance_raw_10117224'!$C$13</f>
        <v/>
      </c>
      <c r="D34" s="5">
        <f>'balance_raw_10117224'!$D$13</f>
        <v/>
      </c>
      <c r="E34" s="5">
        <f>'balance_raw_10117224'!$E$13</f>
        <v/>
      </c>
      <c r="F34" s="5">
        <f>'balance_raw_10117224'!$F$13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'balance_raw_10117224'!$B$14</f>
        <v/>
      </c>
      <c r="C35" s="11">
        <f>'balance_raw_10117224'!$C$14</f>
        <v/>
      </c>
      <c r="D35" s="11">
        <f>'balance_raw_10117224'!$D$14</f>
        <v/>
      </c>
      <c r="E35" s="11">
        <f>'balance_raw_10117224'!$E$14</f>
        <v/>
      </c>
      <c r="F35" s="11">
        <f>'balance_raw_10117224'!$F$14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'balance_raw_10117224'!$B$15</f>
        <v/>
      </c>
      <c r="C36" s="11">
        <f>'balance_raw_10117224'!$C$15</f>
        <v/>
      </c>
      <c r="D36" s="11">
        <f>'balance_raw_10117224'!$D$15</f>
        <v/>
      </c>
      <c r="E36" s="11">
        <f>'balance_raw_10117224'!$E$15</f>
        <v/>
      </c>
      <c r="F36" s="11">
        <f>'balance_raw_10117224'!$F$15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'balance_raw_10117224'!$B$16</f>
        <v/>
      </c>
      <c r="C37" s="8">
        <f>'balance_raw_10117224'!$C$16</f>
        <v/>
      </c>
      <c r="D37" s="8">
        <f>'balance_raw_10117224'!$D$16</f>
        <v/>
      </c>
      <c r="E37" s="8">
        <f>'balance_raw_10117224'!$E$16</f>
        <v/>
      </c>
      <c r="F37" s="8">
        <f>'balance_raw_10117224'!$F$16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'balance_raw_10117224'!$B$17</f>
        <v/>
      </c>
      <c r="C38" s="5">
        <f>'balance_raw_10117224'!$C$17</f>
        <v/>
      </c>
      <c r="D38" s="5">
        <f>'balance_raw_10117224'!$D$17</f>
        <v/>
      </c>
      <c r="E38" s="5">
        <f>'balance_raw_10117224'!$E$17</f>
        <v/>
      </c>
      <c r="F38" s="5">
        <f>'balance_raw_10117224'!$F$17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'balance_raw_10117224'!$B$18</f>
        <v/>
      </c>
      <c r="C39" s="8">
        <f>'balance_raw_10117224'!$C$18</f>
        <v/>
      </c>
      <c r="D39" s="8">
        <f>'balance_raw_10117224'!$D$18</f>
        <v/>
      </c>
      <c r="E39" s="8">
        <f>'balance_raw_10117224'!$E$18</f>
        <v/>
      </c>
      <c r="F39" s="8">
        <f>'balance_raw_10117224'!$F$18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'balance_raw_10117224'!$B$19</f>
        <v/>
      </c>
      <c r="C40" s="11">
        <f>'balance_raw_10117224'!$C$19</f>
        <v/>
      </c>
      <c r="D40" s="11">
        <f>'balance_raw_10117224'!$D$19</f>
        <v/>
      </c>
      <c r="E40" s="11">
        <f>'balance_raw_10117224'!$E$19</f>
        <v/>
      </c>
      <c r="F40" s="11">
        <f>'balance_raw_10117224'!$F$19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'balance_raw_10117224'!$B$20</f>
        <v/>
      </c>
      <c r="C41" s="8">
        <f>'balance_raw_10117224'!$C$20</f>
        <v/>
      </c>
      <c r="D41" s="8">
        <f>'balance_raw_10117224'!$D$20</f>
        <v/>
      </c>
      <c r="E41" s="8">
        <f>'balance_raw_10117224'!$E$20</f>
        <v/>
      </c>
      <c r="F41" s="8">
        <f>'balance_raw_10117224'!$F$20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'balance_raw_10117224'!$B$21</f>
        <v/>
      </c>
      <c r="C42" s="5">
        <f>'balance_raw_10117224'!$C$21</f>
        <v/>
      </c>
      <c r="D42" s="5">
        <f>'balance_raw_10117224'!$D$21</f>
        <v/>
      </c>
      <c r="E42" s="5">
        <f>'balance_raw_10117224'!$E$21</f>
        <v/>
      </c>
      <c r="F42" s="5">
        <f>'balance_raw_10117224'!$F$21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'balance_raw_10117224'!$B$22</f>
        <v/>
      </c>
      <c r="C43" s="8">
        <f>'balance_raw_10117224'!$C$22</f>
        <v/>
      </c>
      <c r="D43" s="8">
        <f>'balance_raw_10117224'!$D$22</f>
        <v/>
      </c>
      <c r="E43" s="8">
        <f>'balance_raw_10117224'!$E$22</f>
        <v/>
      </c>
      <c r="F43" s="8">
        <f>'balance_raw_10117224'!$F$22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'balance_raw_10117224'!$B$23</f>
        <v/>
      </c>
      <c r="C44" s="5">
        <f>'balance_raw_10117224'!$C$23</f>
        <v/>
      </c>
      <c r="D44" s="5">
        <f>'balance_raw_10117224'!$D$23</f>
        <v/>
      </c>
      <c r="E44" s="5">
        <f>'balance_raw_10117224'!$E$23</f>
        <v/>
      </c>
      <c r="F44" s="5">
        <f>'balance_raw_10117224'!$F$23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'balance_raw_10117224'!$B$24</f>
        <v/>
      </c>
      <c r="C45" s="8">
        <f>'balance_raw_10117224'!$C$24</f>
        <v/>
      </c>
      <c r="D45" s="8">
        <f>'balance_raw_10117224'!$D$24</f>
        <v/>
      </c>
      <c r="E45" s="8">
        <f>'balance_raw_10117224'!$E$24</f>
        <v/>
      </c>
      <c r="F45" s="8">
        <f>'balance_raw_10117224'!$F$24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'balance_raw_10117224'!$B$25</f>
        <v/>
      </c>
      <c r="C46" s="5">
        <f>'balance_raw_10117224'!$C$25</f>
        <v/>
      </c>
      <c r="D46" s="5">
        <f>'balance_raw_10117224'!$D$25</f>
        <v/>
      </c>
      <c r="E46" s="5">
        <f>'balance_raw_10117224'!$E$25</f>
        <v/>
      </c>
      <c r="F46" s="5">
        <f>'balance_raw_10117224'!$F$25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'balance_raw_10117224'!$B$26</f>
        <v/>
      </c>
      <c r="C47" s="8">
        <f>'balance_raw_10117224'!$C$26</f>
        <v/>
      </c>
      <c r="D47" s="8">
        <f>'balance_raw_10117224'!$D$26</f>
        <v/>
      </c>
      <c r="E47" s="8">
        <f>'balance_raw_10117224'!$E$26</f>
        <v/>
      </c>
      <c r="F47" s="8">
        <f>'balance_raw_10117224'!$F$26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'balance_raw_10117224'!$B$27</f>
        <v/>
      </c>
      <c r="C48" s="11">
        <f>'balance_raw_10117224'!$C$27</f>
        <v/>
      </c>
      <c r="D48" s="11">
        <f>'balance_raw_10117224'!$D$27</f>
        <v/>
      </c>
      <c r="E48" s="11">
        <f>'balance_raw_10117224'!$E$27</f>
        <v/>
      </c>
      <c r="F48" s="11">
        <f>'balance_raw_10117224'!$F$27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'balance_raw_10117224'!$B$28</f>
        <v/>
      </c>
      <c r="C49" s="8">
        <f>'balance_raw_10117224'!$C$28</f>
        <v/>
      </c>
      <c r="D49" s="8">
        <f>'balance_raw_10117224'!$D$28</f>
        <v/>
      </c>
      <c r="E49" s="8">
        <f>'balance_raw_10117224'!$E$28</f>
        <v/>
      </c>
      <c r="F49" s="8">
        <f>'balance_raw_10117224'!$F$28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'balance_raw_10117224'!$B$29</f>
        <v/>
      </c>
      <c r="C50" s="5">
        <f>'balance_raw_10117224'!$C$29</f>
        <v/>
      </c>
      <c r="D50" s="5">
        <f>'balance_raw_10117224'!$D$29</f>
        <v/>
      </c>
      <c r="E50" s="5">
        <f>'balance_raw_10117224'!$E$29</f>
        <v/>
      </c>
      <c r="F50" s="5">
        <f>'balance_raw_10117224'!$F$29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'balance_raw_10117224'!$B$30</f>
        <v/>
      </c>
      <c r="C51" s="11">
        <f>'balance_raw_10117224'!$C$30</f>
        <v/>
      </c>
      <c r="D51" s="11">
        <f>'balance_raw_10117224'!$D$30</f>
        <v/>
      </c>
      <c r="E51" s="11">
        <f>'balance_raw_10117224'!$E$30</f>
        <v/>
      </c>
      <c r="F51" s="11">
        <f>'balance_raw_10117224'!$F$30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'balance_raw_10117224'!$B$31</f>
        <v/>
      </c>
      <c r="C52" s="11">
        <f>'balance_raw_10117224'!$C$31</f>
        <v/>
      </c>
      <c r="D52" s="11">
        <f>'balance_raw_10117224'!$D$31</f>
        <v/>
      </c>
      <c r="E52" s="11">
        <f>'balance_raw_10117224'!$E$31</f>
        <v/>
      </c>
      <c r="F52" s="11">
        <f>'balance_raw_10117224'!$F$31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'balance_raw_10117224'!$B$32</f>
        <v/>
      </c>
      <c r="C55" s="8">
        <f>'balance_raw_10117224'!$C$32</f>
        <v/>
      </c>
      <c r="D55" s="8">
        <f>'balance_raw_10117224'!$D$32</f>
        <v/>
      </c>
      <c r="E55" s="8">
        <f>'balance_raw_10117224'!$E$32</f>
        <v/>
      </c>
      <c r="F55" s="8">
        <f>'balance_raw_10117224'!$F$32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'balance_raw_10117224'!$B$33</f>
        <v/>
      </c>
      <c r="C56" s="5">
        <f>'balance_raw_10117224'!$C$33</f>
        <v/>
      </c>
      <c r="D56" s="5">
        <f>'balance_raw_10117224'!$D$33</f>
        <v/>
      </c>
      <c r="E56" s="5">
        <f>'balance_raw_10117224'!$E$33</f>
        <v/>
      </c>
      <c r="F56" s="5">
        <f>'balance_raw_10117224'!$F$33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'balance_raw_10117224'!$B$34</f>
        <v/>
      </c>
      <c r="C57" s="8">
        <f>'balance_raw_10117224'!$C$34</f>
        <v/>
      </c>
      <c r="D57" s="8">
        <f>'balance_raw_10117224'!$D$34</f>
        <v/>
      </c>
      <c r="E57" s="8">
        <f>'balance_raw_10117224'!$E$34</f>
        <v/>
      </c>
      <c r="F57" s="8">
        <f>'balance_raw_10117224'!$F$34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'balance_raw_10117224'!$B$35</f>
        <v/>
      </c>
      <c r="C58" s="5">
        <f>'balance_raw_10117224'!$C$35</f>
        <v/>
      </c>
      <c r="D58" s="5">
        <f>'balance_raw_10117224'!$D$35</f>
        <v/>
      </c>
      <c r="E58" s="5">
        <f>'balance_raw_10117224'!$E$35</f>
        <v/>
      </c>
      <c r="F58" s="5">
        <f>'balance_raw_10117224'!$F$35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'balance_raw_10117224'!$B$36</f>
        <v/>
      </c>
      <c r="C59" s="8">
        <f>'balance_raw_10117224'!$C$36</f>
        <v/>
      </c>
      <c r="D59" s="8">
        <f>'balance_raw_10117224'!$D$36</f>
        <v/>
      </c>
      <c r="E59" s="8">
        <f>'balance_raw_10117224'!$E$36</f>
        <v/>
      </c>
      <c r="F59" s="8">
        <f>'balance_raw_10117224'!$F$36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'balance_raw_10117224'!$B$37</f>
        <v/>
      </c>
      <c r="C60" s="5">
        <f>'balance_raw_10117224'!$C$37</f>
        <v/>
      </c>
      <c r="D60" s="5">
        <f>'balance_raw_10117224'!$D$37</f>
        <v/>
      </c>
      <c r="E60" s="5">
        <f>'balance_raw_10117224'!$E$37</f>
        <v/>
      </c>
      <c r="F60" s="5">
        <f>'balance_raw_10117224'!$F$37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'balance_raw_10117224'!$B$38</f>
        <v/>
      </c>
      <c r="C61" s="11">
        <f>'balance_raw_10117224'!$C$38</f>
        <v/>
      </c>
      <c r="D61" s="11">
        <f>'balance_raw_10117224'!$D$38</f>
        <v/>
      </c>
      <c r="E61" s="11">
        <f>'balance_raw_10117224'!$E$38</f>
        <v/>
      </c>
      <c r="F61" s="11">
        <f>'balance_raw_10117224'!$F$38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'balance_raw_10117224'!$B$39</f>
        <v/>
      </c>
      <c r="C62" s="5">
        <f>'balance_raw_10117224'!$C$39</f>
        <v/>
      </c>
      <c r="D62" s="5">
        <f>'balance_raw_10117224'!$D$39</f>
        <v/>
      </c>
      <c r="E62" s="5">
        <f>'balance_raw_10117224'!$E$39</f>
        <v/>
      </c>
      <c r="F62" s="5">
        <f>'balance_raw_10117224'!$F$39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'balance_raw_10117224'!$B$40</f>
        <v/>
      </c>
      <c r="C63" s="11">
        <f>'balance_raw_10117224'!$C$40</f>
        <v/>
      </c>
      <c r="D63" s="11">
        <f>'balance_raw_10117224'!$D$40</f>
        <v/>
      </c>
      <c r="E63" s="11">
        <f>'balance_raw_10117224'!$E$40</f>
        <v/>
      </c>
      <c r="F63" s="11">
        <f>'balance_raw_10117224'!$F$40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'balance_raw_10117224'!$B$41</f>
        <v/>
      </c>
      <c r="C64" s="5">
        <f>'balance_raw_10117224'!$C$41</f>
        <v/>
      </c>
      <c r="D64" s="5">
        <f>'balance_raw_10117224'!$D$41</f>
        <v/>
      </c>
      <c r="E64" s="5">
        <f>'balance_raw_10117224'!$E$41</f>
        <v/>
      </c>
      <c r="F64" s="5">
        <f>'balance_raw_10117224'!$F$41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'balance_raw_10117224'!$B$42</f>
        <v/>
      </c>
      <c r="C65" s="8">
        <f>'balance_raw_10117224'!$C$42</f>
        <v/>
      </c>
      <c r="D65" s="8">
        <f>'balance_raw_10117224'!$D$42</f>
        <v/>
      </c>
      <c r="E65" s="8">
        <f>'balance_raw_10117224'!$E$42</f>
        <v/>
      </c>
      <c r="F65" s="8">
        <f>'balance_raw_10117224'!$F$42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'balance_raw_10117224'!$B$43</f>
        <v/>
      </c>
      <c r="C66" s="5">
        <f>'balance_raw_10117224'!$C$43</f>
        <v/>
      </c>
      <c r="D66" s="5">
        <f>'balance_raw_10117224'!$D$43</f>
        <v/>
      </c>
      <c r="E66" s="5">
        <f>'balance_raw_10117224'!$E$43</f>
        <v/>
      </c>
      <c r="F66" s="5">
        <f>'balance_raw_10117224'!$F$43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'balance_raw_10117224'!$B$44</f>
        <v/>
      </c>
      <c r="C67" s="8">
        <f>'balance_raw_10117224'!$C$44</f>
        <v/>
      </c>
      <c r="D67" s="8">
        <f>'balance_raw_10117224'!$D$44</f>
        <v/>
      </c>
      <c r="E67" s="8">
        <f>'balance_raw_10117224'!$E$44</f>
        <v/>
      </c>
      <c r="F67" s="8">
        <f>'balance_raw_10117224'!$F$44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'balance_raw_10117224'!$B$45</f>
        <v/>
      </c>
      <c r="C68" s="5">
        <f>'balance_raw_10117224'!$C$45</f>
        <v/>
      </c>
      <c r="D68" s="5">
        <f>'balance_raw_10117224'!$D$45</f>
        <v/>
      </c>
      <c r="E68" s="5">
        <f>'balance_raw_10117224'!$E$45</f>
        <v/>
      </c>
      <c r="F68" s="5">
        <f>'balance_raw_10117224'!$F$45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'balance_raw_10117224'!$B$46</f>
        <v/>
      </c>
      <c r="C69" s="8">
        <f>'balance_raw_10117224'!$C$46</f>
        <v/>
      </c>
      <c r="D69" s="8">
        <f>'balance_raw_10117224'!$D$46</f>
        <v/>
      </c>
      <c r="E69" s="8">
        <f>'balance_raw_10117224'!$E$46</f>
        <v/>
      </c>
      <c r="F69" s="8">
        <f>'balance_raw_10117224'!$F$46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'balance_raw_10117224'!$B$47</f>
        <v/>
      </c>
      <c r="C70" s="5">
        <f>'balance_raw_10117224'!$C$47</f>
        <v/>
      </c>
      <c r="D70" s="5">
        <f>'balance_raw_10117224'!$D$47</f>
        <v/>
      </c>
      <c r="E70" s="5">
        <f>'balance_raw_10117224'!$E$47</f>
        <v/>
      </c>
      <c r="F70" s="5">
        <f>'balance_raw_10117224'!$F$47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'balance_raw_10117224'!$B$48</f>
        <v/>
      </c>
      <c r="C71" s="8">
        <f>'balance_raw_10117224'!$C$48</f>
        <v/>
      </c>
      <c r="D71" s="8">
        <f>'balance_raw_10117224'!$D$48</f>
        <v/>
      </c>
      <c r="E71" s="8">
        <f>'balance_raw_10117224'!$E$48</f>
        <v/>
      </c>
      <c r="F71" s="8">
        <f>'balance_raw_10117224'!$F$48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'balance_raw_10117224'!$B$49</f>
        <v/>
      </c>
      <c r="C72" s="5">
        <f>'balance_raw_10117224'!$C$49</f>
        <v/>
      </c>
      <c r="D72" s="5">
        <f>'balance_raw_10117224'!$D$49</f>
        <v/>
      </c>
      <c r="E72" s="5">
        <f>'balance_raw_10117224'!$E$49</f>
        <v/>
      </c>
      <c r="F72" s="5">
        <f>'balance_raw_10117224'!$F$49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'balance_raw_10117224'!$B$50</f>
        <v/>
      </c>
      <c r="C73" s="8">
        <f>'balance_raw_10117224'!$C$50</f>
        <v/>
      </c>
      <c r="D73" s="8">
        <f>'balance_raw_10117224'!$D$50</f>
        <v/>
      </c>
      <c r="E73" s="8">
        <f>'balance_raw_10117224'!$E$50</f>
        <v/>
      </c>
      <c r="F73" s="8">
        <f>'balance_raw_10117224'!$F$50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'balance_raw_10117224'!$B$51</f>
        <v/>
      </c>
      <c r="C74" s="5">
        <f>'balance_raw_10117224'!$C$51</f>
        <v/>
      </c>
      <c r="D74" s="5">
        <f>'balance_raw_10117224'!$D$51</f>
        <v/>
      </c>
      <c r="E74" s="5">
        <f>'balance_raw_10117224'!$E$51</f>
        <v/>
      </c>
      <c r="F74" s="5">
        <f>'balance_raw_10117224'!$F$51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'balance_raw_10117224'!$B$52</f>
        <v/>
      </c>
      <c r="C75" s="11">
        <f>'balance_raw_10117224'!$C$52</f>
        <v/>
      </c>
      <c r="D75" s="11">
        <f>'balance_raw_10117224'!$D$52</f>
        <v/>
      </c>
      <c r="E75" s="11">
        <f>'balance_raw_10117224'!$E$52</f>
        <v/>
      </c>
      <c r="F75" s="11">
        <f>'balance_raw_10117224'!$F$52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'balance_raw_10117224'!$B$53</f>
        <v/>
      </c>
      <c r="C76" s="11">
        <f>'balance_raw_10117224'!$C$53</f>
        <v/>
      </c>
      <c r="D76" s="11">
        <f>'balance_raw_10117224'!$D$53</f>
        <v/>
      </c>
      <c r="E76" s="11">
        <f>'balance_raw_10117224'!$E$53</f>
        <v/>
      </c>
      <c r="F76" s="11">
        <f>'balance_raw_10117224'!$F$53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'balance_raw_10117224'!$B$54</f>
        <v/>
      </c>
      <c r="C77" s="11">
        <f>'balance_raw_10117224'!$C$54</f>
        <v/>
      </c>
      <c r="D77" s="11">
        <f>'balance_raw_10117224'!$D$54</f>
        <v/>
      </c>
      <c r="E77" s="11">
        <f>'balance_raw_10117224'!$E$54</f>
        <v/>
      </c>
      <c r="F77" s="11">
        <f>'balance_raw_10117224'!$F$54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'res_raw_10117224'!$B$19</f>
        <v/>
      </c>
      <c r="C80" s="5">
        <f>'res_raw_10117224'!$C$19</f>
        <v/>
      </c>
      <c r="D80" s="5">
        <f>'res_raw_10117224'!$D$19</f>
        <v/>
      </c>
      <c r="E80" s="5">
        <f>'res_raw_10117224'!$E$19</f>
        <v/>
      </c>
      <c r="F80" s="5">
        <f>'res_raw_10117224'!$F$19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'res_raw_10117224'!$B$20</f>
        <v/>
      </c>
      <c r="C81" s="8">
        <f>'res_raw_10117224'!$C$20</f>
        <v/>
      </c>
      <c r="D81" s="8">
        <f>'res_raw_10117224'!$D$20</f>
        <v/>
      </c>
      <c r="E81" s="8">
        <f>'res_raw_10117224'!$E$20</f>
        <v/>
      </c>
      <c r="F81" s="8">
        <f>'res_raw_10117224'!$F$20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  <row r="96">
      <c r="A96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Maxi Zoo Denmark A/S (CVR 10117224)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806846</v>
      </c>
      <c r="C2" s="16" t="n">
        <v>839184</v>
      </c>
      <c r="D2" s="16" t="n">
        <v>879860</v>
      </c>
      <c r="E2" s="16" t="n">
        <v>898981</v>
      </c>
      <c r="F2" s="16" t="n">
        <v>930685</v>
      </c>
    </row>
    <row r="3">
      <c r="A3" s="15" t="inlineStr">
        <is>
          <t>Andre driftsindtægter</t>
        </is>
      </c>
      <c r="B3" s="16" t="n">
        <v>45600</v>
      </c>
      <c r="C3" s="16" t="n">
        <v>24575</v>
      </c>
      <c r="D3" s="16" t="n">
        <v>23485</v>
      </c>
      <c r="E3" s="16" t="n">
        <v>34362</v>
      </c>
      <c r="F3" s="16" t="n">
        <v>11080</v>
      </c>
    </row>
    <row r="4">
      <c r="A4" s="15" t="inlineStr">
        <is>
          <t>Vareforbrug</t>
        </is>
      </c>
      <c r="B4" s="16" t="n">
        <v>498259</v>
      </c>
      <c r="C4" s="16" t="n">
        <v>509029</v>
      </c>
      <c r="D4" s="16" t="n">
        <v>526670</v>
      </c>
      <c r="E4" s="16" t="n">
        <v>538219</v>
      </c>
      <c r="F4" s="16" t="n">
        <v>521066</v>
      </c>
    </row>
    <row r="5">
      <c r="A5" s="15" t="inlineStr">
        <is>
          <t>Andre eksterne omkostninger</t>
        </is>
      </c>
      <c r="B5" s="16" t="n">
        <v>134886</v>
      </c>
      <c r="C5" s="16" t="n">
        <v>121365</v>
      </c>
      <c r="D5" s="16" t="n">
        <v>135509</v>
      </c>
      <c r="E5" s="16" t="n">
        <v>130275</v>
      </c>
      <c r="F5" s="16" t="n">
        <v>141007</v>
      </c>
    </row>
    <row r="6">
      <c r="A6" s="17" t="inlineStr">
        <is>
          <t>Bruttoresultat</t>
        </is>
      </c>
      <c r="B6" s="16" t="n">
        <v>219301</v>
      </c>
      <c r="C6" s="16" t="n">
        <v>233365</v>
      </c>
      <c r="D6" s="16" t="n">
        <v>241166</v>
      </c>
      <c r="E6" s="16" t="n">
        <v>264849</v>
      </c>
      <c r="F6" s="16" t="n">
        <v>279692</v>
      </c>
    </row>
    <row r="7">
      <c r="A7" s="15" t="inlineStr">
        <is>
          <t>Personaleomkostninger</t>
        </is>
      </c>
      <c r="B7" s="16" t="n">
        <v>148834</v>
      </c>
      <c r="C7" s="16" t="n">
        <v>153120</v>
      </c>
      <c r="D7" s="16" t="n">
        <v>168768</v>
      </c>
      <c r="E7" s="16" t="n">
        <v>178921</v>
      </c>
      <c r="F7" s="16" t="n">
        <v>187341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41822</v>
      </c>
      <c r="C9" s="16" t="n">
        <v>43170</v>
      </c>
      <c r="D9" s="16" t="n">
        <v>45464</v>
      </c>
      <c r="E9" s="16" t="n">
        <v>50032</v>
      </c>
      <c r="F9" s="16" t="n">
        <v>54021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21</v>
      </c>
      <c r="F10" s="16" t="n">
        <v>0</v>
      </c>
    </row>
    <row r="11">
      <c r="A11" s="17" t="inlineStr">
        <is>
          <t>Resultat af primær drift</t>
        </is>
      </c>
      <c r="B11" s="16" t="n">
        <v>28645</v>
      </c>
      <c r="C11" s="16" t="n">
        <v>37075</v>
      </c>
      <c r="D11" s="16" t="n">
        <v>26934</v>
      </c>
      <c r="E11" s="16" t="n">
        <v>35875</v>
      </c>
      <c r="F11" s="16" t="n">
        <v>38330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35</v>
      </c>
      <c r="C13" s="16" t="n">
        <v>611</v>
      </c>
      <c r="D13" s="16" t="n">
        <v>4383</v>
      </c>
      <c r="E13" s="16" t="n">
        <v>6132</v>
      </c>
      <c r="F13" s="16" t="n">
        <v>7514</v>
      </c>
    </row>
    <row r="14">
      <c r="A14" s="15" t="inlineStr">
        <is>
          <t>Finansielle omkostninger</t>
        </is>
      </c>
      <c r="B14" s="16" t="n">
        <v>1079</v>
      </c>
      <c r="C14" s="16" t="n">
        <v>491</v>
      </c>
      <c r="D14" s="16" t="n">
        <v>539</v>
      </c>
      <c r="E14" s="16" t="n">
        <v>805</v>
      </c>
      <c r="F14" s="16" t="n">
        <v>830</v>
      </c>
    </row>
    <row r="15">
      <c r="A15" s="17" t="inlineStr">
        <is>
          <t>Finansielle poster, netto</t>
        </is>
      </c>
      <c r="B15" s="16" t="n">
        <v>-1044</v>
      </c>
      <c r="C15" s="16" t="n">
        <v>120</v>
      </c>
      <c r="D15" s="16" t="n">
        <v>3844</v>
      </c>
      <c r="E15" s="16" t="n">
        <v>5327</v>
      </c>
      <c r="F15" s="16" t="n">
        <v>6684</v>
      </c>
    </row>
    <row r="16">
      <c r="A16" s="17" t="inlineStr">
        <is>
          <t>Resultat før skat</t>
        </is>
      </c>
      <c r="B16" s="16" t="n">
        <v>27601</v>
      </c>
      <c r="C16" s="16" t="n">
        <v>37195</v>
      </c>
      <c r="D16" s="16" t="n">
        <v>30778</v>
      </c>
      <c r="E16" s="16" t="n">
        <v>41202</v>
      </c>
      <c r="F16" s="16" t="n">
        <v>45014</v>
      </c>
    </row>
    <row r="17">
      <c r="A17" s="15" t="inlineStr">
        <is>
          <t>Skat af årets resultat</t>
        </is>
      </c>
      <c r="B17" s="16" t="n">
        <v>6265</v>
      </c>
      <c r="C17" s="16" t="n">
        <v>7540</v>
      </c>
      <c r="D17" s="16" t="n">
        <v>6551</v>
      </c>
      <c r="E17" s="16" t="n">
        <v>8944</v>
      </c>
      <c r="F17" s="16" t="n">
        <v>9743</v>
      </c>
    </row>
    <row r="18">
      <c r="A18" s="17" t="inlineStr">
        <is>
          <t>Årets resultat</t>
        </is>
      </c>
      <c r="B18" s="16" t="n">
        <v>21336</v>
      </c>
      <c r="C18" s="16" t="n">
        <v>29655</v>
      </c>
      <c r="D18" s="16" t="n">
        <v>24227</v>
      </c>
      <c r="E18" s="16" t="n">
        <v>32258</v>
      </c>
      <c r="F18" s="16" t="n">
        <v>35271</v>
      </c>
    </row>
    <row r="19">
      <c r="A19" s="15" t="inlineStr">
        <is>
          <t>Gns. antal medarbejdere</t>
        </is>
      </c>
      <c r="B19" s="16" t="n">
        <v>396</v>
      </c>
      <c r="C19" s="16" t="n">
        <v>382000</v>
      </c>
      <c r="D19" s="16" t="n">
        <v>423000</v>
      </c>
      <c r="E19" s="16" t="n">
        <v>432000</v>
      </c>
      <c r="F19" s="16" t="n">
        <v>445000</v>
      </c>
    </row>
    <row r="20">
      <c r="A20" s="15" t="inlineStr">
        <is>
          <t>Investering i materielle anlægsaktiver</t>
        </is>
      </c>
      <c r="B20" s="16" t="n">
        <v>41913</v>
      </c>
      <c r="C20" s="16" t="n">
        <v>10907</v>
      </c>
      <c r="D20" s="16" t="n">
        <v>29844</v>
      </c>
      <c r="E20" s="16" t="n">
        <v>29242</v>
      </c>
      <c r="F20" s="16" t="n">
        <v>18533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Maxi Zoo Denmark A/S (CVR 10117224)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2204</v>
      </c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265896</v>
      </c>
      <c r="C4" s="16" t="n">
        <v>236342</v>
      </c>
      <c r="D4" s="16" t="n">
        <v>207781</v>
      </c>
      <c r="E4" s="16" t="n">
        <v>178147</v>
      </c>
      <c r="F4" s="16" t="n">
        <v>148503</v>
      </c>
    </row>
    <row r="5">
      <c r="A5" s="17" t="inlineStr">
        <is>
          <t>Immaterielle anlægsaktiver</t>
        </is>
      </c>
      <c r="B5" s="16" t="n">
        <v>268100</v>
      </c>
      <c r="C5" s="16" t="n">
        <v>240965</v>
      </c>
      <c r="D5" s="16" t="n">
        <v>211875</v>
      </c>
      <c r="E5" s="16" t="n">
        <v>180536</v>
      </c>
      <c r="F5" s="16" t="n">
        <v>152609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40872</v>
      </c>
      <c r="C8" s="16" t="n">
        <v>33568</v>
      </c>
      <c r="D8" s="16" t="n">
        <v>32098</v>
      </c>
      <c r="E8" s="16" t="n">
        <v>33711</v>
      </c>
      <c r="F8" s="16" t="n">
        <v>29904</v>
      </c>
    </row>
    <row r="9">
      <c r="A9" s="15" t="inlineStr">
        <is>
          <t>Indretning af lejede lokaler</t>
        </is>
      </c>
      <c r="B9" s="16" t="n"/>
      <c r="C9" s="16" t="n">
        <v>5310</v>
      </c>
      <c r="D9" s="16" t="n">
        <v>22419</v>
      </c>
      <c r="E9" s="16" t="n">
        <v>31216</v>
      </c>
      <c r="F9" s="16" t="n">
        <v>30523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38878</v>
      </c>
      <c r="D11" s="16" t="n">
        <v>54517</v>
      </c>
      <c r="E11" s="16" t="n">
        <v>64927</v>
      </c>
      <c r="F11" s="16" t="n">
        <v>60427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9354</v>
      </c>
      <c r="C13" s="16" t="n">
        <v>8789</v>
      </c>
      <c r="D13" s="16" t="n">
        <v>8507</v>
      </c>
      <c r="E13" s="16" t="n">
        <v>8745</v>
      </c>
      <c r="F13" s="16" t="n">
        <v>8927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318326</v>
      </c>
      <c r="C15" s="16" t="n">
        <v>288632</v>
      </c>
      <c r="D15" s="16" t="n">
        <v>274899</v>
      </c>
      <c r="E15" s="16" t="n">
        <v>254208</v>
      </c>
      <c r="F15" s="16" t="n">
        <v>221963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83987</v>
      </c>
      <c r="C18" s="16" t="n">
        <v>96871</v>
      </c>
      <c r="D18" s="16" t="n">
        <v>95306</v>
      </c>
      <c r="E18" s="16" t="n">
        <v>97801</v>
      </c>
      <c r="F18" s="16" t="n">
        <v>113315</v>
      </c>
    </row>
    <row r="19">
      <c r="A19" s="17" t="inlineStr">
        <is>
          <t>Varebeholdninger</t>
        </is>
      </c>
      <c r="B19" s="16" t="n">
        <v>83987</v>
      </c>
      <c r="C19" s="16" t="n">
        <v>96871</v>
      </c>
      <c r="D19" s="16" t="n">
        <v>95306</v>
      </c>
      <c r="E19" s="16" t="n">
        <v>97801</v>
      </c>
      <c r="F19" s="16" t="n">
        <v>113315</v>
      </c>
    </row>
    <row r="20">
      <c r="A20" s="15" t="inlineStr">
        <is>
          <t>Tilgodehavender fra salg og tjenesteydelser</t>
        </is>
      </c>
      <c r="B20" s="16" t="n">
        <v>8472</v>
      </c>
      <c r="C20" s="16" t="n">
        <v>19517</v>
      </c>
      <c r="D20" s="16" t="n">
        <v>18500</v>
      </c>
      <c r="E20" s="16" t="n">
        <v>15271</v>
      </c>
      <c r="F20" s="16" t="n">
        <v>20393</v>
      </c>
    </row>
    <row r="21">
      <c r="A21" s="15" t="inlineStr">
        <is>
          <t>Tilgodehavender hos tilknyttede virksomheder</t>
        </is>
      </c>
      <c r="B21" s="16" t="n">
        <v>35251</v>
      </c>
      <c r="C21" s="16" t="n">
        <v>45000</v>
      </c>
      <c r="D21" s="16" t="n">
        <v>85000</v>
      </c>
      <c r="E21" s="16" t="n">
        <v>145110</v>
      </c>
      <c r="F21" s="16" t="n">
        <v>181194</v>
      </c>
    </row>
    <row r="22">
      <c r="A22" s="15" t="inlineStr">
        <is>
          <t>Andre tilgodehavender</t>
        </is>
      </c>
      <c r="B22" s="16" t="n">
        <v>12154</v>
      </c>
      <c r="C22" s="16" t="n">
        <v>11212</v>
      </c>
      <c r="D22" s="16" t="n">
        <v>8296</v>
      </c>
      <c r="E22" s="16" t="n">
        <v>8577</v>
      </c>
      <c r="F22" s="16" t="n">
        <v>11781</v>
      </c>
    </row>
    <row r="23">
      <c r="A23" s="15" t="inlineStr">
        <is>
          <t>Periodeafgrænsningsposter (aktiver)</t>
        </is>
      </c>
      <c r="B23" s="16" t="n">
        <v>3937</v>
      </c>
      <c r="C23" s="16" t="n">
        <v>2715</v>
      </c>
      <c r="D23" s="16" t="n">
        <v>2480</v>
      </c>
      <c r="E23" s="16" t="n">
        <v>3256</v>
      </c>
      <c r="F23" s="16" t="n">
        <v>3395</v>
      </c>
    </row>
    <row r="24">
      <c r="A24" s="15" t="inlineStr">
        <is>
          <t>Udskudt skatteaktiv</t>
        </is>
      </c>
      <c r="B24" s="16" t="n">
        <v>0</v>
      </c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110</v>
      </c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59924</v>
      </c>
      <c r="C27" s="16" t="n">
        <v>78444</v>
      </c>
      <c r="D27" s="16" t="n">
        <v>114276</v>
      </c>
      <c r="E27" s="16" t="n">
        <v>172214</v>
      </c>
      <c r="F27" s="16" t="n">
        <v>216763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59738</v>
      </c>
      <c r="C29" s="16" t="n">
        <v>68278</v>
      </c>
      <c r="D29" s="16" t="n">
        <v>74238</v>
      </c>
      <c r="E29" s="16" t="n">
        <v>60985</v>
      </c>
      <c r="F29" s="16" t="n">
        <v>47225</v>
      </c>
    </row>
    <row r="30">
      <c r="A30" s="17" t="inlineStr">
        <is>
          <t>Omsætningsaktiver</t>
        </is>
      </c>
      <c r="B30" s="16" t="n">
        <v>203649</v>
      </c>
      <c r="C30" s="16" t="n">
        <v>243593</v>
      </c>
      <c r="D30" s="16" t="n">
        <v>283820</v>
      </c>
      <c r="E30" s="16" t="n">
        <v>331000</v>
      </c>
      <c r="F30" s="16" t="n">
        <v>377303</v>
      </c>
    </row>
    <row r="31">
      <c r="A31" s="17" t="inlineStr">
        <is>
          <t>Aktiver</t>
        </is>
      </c>
      <c r="B31" s="16" t="n">
        <v>521975</v>
      </c>
      <c r="C31" s="16" t="n">
        <v>532225</v>
      </c>
      <c r="D31" s="16" t="n">
        <v>558719</v>
      </c>
      <c r="E31" s="16" t="n">
        <v>585208</v>
      </c>
      <c r="F31" s="16" t="n">
        <v>599266</v>
      </c>
    </row>
    <row r="32">
      <c r="A32" s="15" t="inlineStr">
        <is>
          <t>Selskabskapital</t>
        </is>
      </c>
      <c r="B32" s="16" t="n">
        <v>1050</v>
      </c>
      <c r="C32" s="16" t="n">
        <v>1050</v>
      </c>
      <c r="D32" s="16" t="n">
        <v>1050</v>
      </c>
      <c r="E32" s="16" t="n">
        <v>1050</v>
      </c>
      <c r="F32" s="16" t="n">
        <v>1050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410956</v>
      </c>
      <c r="C37" s="16" t="n">
        <v>440611</v>
      </c>
      <c r="D37" s="16" t="n">
        <v>464838</v>
      </c>
      <c r="E37" s="16" t="n">
        <v>468096</v>
      </c>
      <c r="F37" s="16" t="n">
        <v>464367</v>
      </c>
    </row>
    <row r="38">
      <c r="A38" s="17" t="inlineStr">
        <is>
          <t>Egenkapital i alt</t>
        </is>
      </c>
      <c r="B38" s="16" t="n">
        <v>425306</v>
      </c>
      <c r="C38" s="16" t="n">
        <v>441661</v>
      </c>
      <c r="D38" s="16" t="n">
        <v>465888</v>
      </c>
      <c r="E38" s="16" t="n">
        <v>498146</v>
      </c>
      <c r="F38" s="16" t="n">
        <v>504417</v>
      </c>
    </row>
    <row r="39">
      <c r="A39" s="15" t="inlineStr">
        <is>
          <t>Hensættelse til udskudt skat</t>
        </is>
      </c>
      <c r="B39" s="16" t="n"/>
      <c r="C39" s="16" t="n">
        <v>4496</v>
      </c>
      <c r="D39" s="16" t="n">
        <v>6943</v>
      </c>
      <c r="E39" s="16" t="n">
        <v>11750</v>
      </c>
      <c r="F39" s="16" t="n">
        <v>11558</v>
      </c>
    </row>
    <row r="40">
      <c r="A40" s="17" t="inlineStr">
        <is>
          <t>Hensatte forpligtelser</t>
        </is>
      </c>
      <c r="B40" s="16" t="n">
        <v>3158</v>
      </c>
      <c r="C40" s="16" t="n">
        <v>4496</v>
      </c>
      <c r="D40" s="16" t="n">
        <v>6943</v>
      </c>
      <c r="E40" s="16" t="n">
        <v>20234</v>
      </c>
      <c r="F40" s="16" t="n">
        <v>20756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38972</v>
      </c>
      <c r="C45" s="16" t="n">
        <v>33231</v>
      </c>
      <c r="D45" s="16" t="n">
        <v>36633</v>
      </c>
      <c r="E45" s="16" t="n">
        <v>12883</v>
      </c>
      <c r="F45" s="16" t="n">
        <v>28547</v>
      </c>
    </row>
    <row r="46">
      <c r="A46" s="15" t="inlineStr">
        <is>
          <t>Gæld til tilknyttede virksomheder</t>
        </is>
      </c>
      <c r="B46" s="16" t="n"/>
      <c r="C46" s="16" t="n"/>
      <c r="D46" s="16" t="n"/>
      <c r="E46" s="16" t="n">
        <v>16501</v>
      </c>
      <c r="F46" s="16" t="n">
        <v>0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>
        <v>4024</v>
      </c>
      <c r="D48" s="16" t="n">
        <v>3063</v>
      </c>
      <c r="E48" s="16" t="n">
        <v>2544</v>
      </c>
      <c r="F48" s="16" t="n">
        <v>8094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38316</v>
      </c>
      <c r="C50" s="16" t="n">
        <v>35252</v>
      </c>
      <c r="D50" s="16" t="n">
        <v>32411</v>
      </c>
      <c r="E50" s="16" t="n">
        <v>29553</v>
      </c>
      <c r="F50" s="16" t="n">
        <v>31615</v>
      </c>
    </row>
    <row r="51">
      <c r="A51" s="15" t="inlineStr">
        <is>
          <t>Periodeafgrænsningsposter (passiver)</t>
        </is>
      </c>
      <c r="B51" s="16" t="n">
        <v>16223</v>
      </c>
      <c r="C51" s="16" t="n">
        <v>13561</v>
      </c>
      <c r="D51" s="16" t="n">
        <v>13781</v>
      </c>
      <c r="E51" s="16" t="n">
        <v>5347</v>
      </c>
      <c r="F51" s="16" t="n">
        <v>5837</v>
      </c>
    </row>
    <row r="52">
      <c r="A52" s="17" t="inlineStr">
        <is>
          <t>Kortfristede gældsforpligtelser</t>
        </is>
      </c>
      <c r="B52" s="16" t="n">
        <v>93511</v>
      </c>
      <c r="C52" s="16" t="n">
        <v>86068</v>
      </c>
      <c r="D52" s="16" t="n">
        <v>85888</v>
      </c>
      <c r="E52" s="16" t="n">
        <v>66828</v>
      </c>
      <c r="F52" s="16" t="n">
        <v>74093</v>
      </c>
    </row>
    <row r="53">
      <c r="A53" s="17" t="inlineStr">
        <is>
          <t>Gældsforpligtelser</t>
        </is>
      </c>
      <c r="B53" s="16" t="n">
        <v>93511</v>
      </c>
      <c r="C53" s="16" t="n">
        <v>86068</v>
      </c>
      <c r="D53" s="16" t="n">
        <v>85888</v>
      </c>
      <c r="E53" s="16" t="n">
        <v>66828</v>
      </c>
      <c r="F53" s="16" t="n">
        <v>74093</v>
      </c>
    </row>
    <row r="54">
      <c r="A54" s="17" t="inlineStr">
        <is>
          <t>Passiver</t>
        </is>
      </c>
      <c r="B54" s="16" t="n">
        <v>521975</v>
      </c>
      <c r="C54" s="16" t="n">
        <v>532225</v>
      </c>
      <c r="D54" s="16" t="n">
        <v>558719</v>
      </c>
      <c r="E54" s="16" t="n">
        <v>585208</v>
      </c>
      <c r="F54" s="16" t="n">
        <v>599266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Maxi Zoo Denmark A/S (CVR 10117224) — Regnskabs- og nøgletal (CVR: 10117224)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'res_raw_10117224'!$F$2</f>
        <v/>
      </c>
      <c r="C5" s="24">
        <f>'res_raw_10117224'!$E$2</f>
        <v/>
      </c>
      <c r="D5" s="24">
        <f>'res_raw_10117224'!$D$2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'res_raw_10117224'!$F$3</f>
        <v/>
      </c>
      <c r="C6" s="24">
        <f>'res_raw_10117224'!$E$3</f>
        <v/>
      </c>
      <c r="D6" s="24">
        <f>'res_raw_10117224'!$D$3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-'res_raw_10117224'!$F$4</f>
        <v/>
      </c>
      <c r="C7" s="24">
        <f>-'res_raw_10117224'!$E$4</f>
        <v/>
      </c>
      <c r="D7" s="24">
        <f>-'res_raw_10117224'!$D$4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-'res_raw_10117224'!$F$5</f>
        <v/>
      </c>
      <c r="C8" s="24">
        <f>-'res_raw_10117224'!$E$5</f>
        <v/>
      </c>
      <c r="D8" s="24">
        <f>-'res_raw_10117224'!$D$5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IF(ABS((SUM(B5:B8))-'res_raw_10117224'!$F$6)&lt;=2,SUM(B5:B8),'res_raw_10117224'!$F$6)</f>
        <v/>
      </c>
      <c r="C9" s="27">
        <f>IF(ABS((SUM(C5:C8))-'res_raw_10117224'!$E$6)&lt;=2,SUM(C5:C8),'res_raw_10117224'!$E$6)</f>
        <v/>
      </c>
      <c r="D9" s="27">
        <f>IF(ABS((SUM(D5:D8))-'res_raw_10117224'!$D$6)&lt;=2,SUM(D5:D8),'res_raw_10117224'!$D$6)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-'res_raw_10117224'!$F$7</f>
        <v/>
      </c>
      <c r="C10" s="24">
        <f>-'res_raw_10117224'!$E$7</f>
        <v/>
      </c>
      <c r="D10" s="24">
        <f>-'res_raw_10117224'!$D$7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-'res_raw_10117224'!$F$9</f>
        <v/>
      </c>
      <c r="C11" s="24">
        <f>-'res_raw_10117224'!$E$9</f>
        <v/>
      </c>
      <c r="D11" s="24">
        <f>-'res_raw_10117224'!$D$9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-'res_raw_10117224'!$F$10</f>
        <v/>
      </c>
      <c r="C12" s="24">
        <f>-'res_raw_10117224'!$E$10</f>
        <v/>
      </c>
      <c r="D12" s="24">
        <f>-'res_raw_10117224'!$D$10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IF(ABS((SUM(B9:B12))-'res_raw_10117224'!$F$11)&lt;=2,SUM(B9:B12),'res_raw_10117224'!$F$11)</f>
        <v/>
      </c>
      <c r="C13" s="27">
        <f>IF(ABS((SUM(C9:C12))-'res_raw_10117224'!$E$11)&lt;=2,SUM(C9:C12),'res_raw_10117224'!$E$11)</f>
        <v/>
      </c>
      <c r="D13" s="27">
        <f>IF(ABS((SUM(D9:D12))-'res_raw_10117224'!$D$11)&lt;=2,SUM(D9:D12),'res_raw_10117224'!$D$11)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N('res_raw_10117224'!$F$12)+N('res_raw_10117224'!$F$13)</f>
        <v/>
      </c>
      <c r="C14" s="24">
        <f>N('res_raw_10117224'!$E$12)+N('res_raw_10117224'!$E$13)</f>
        <v/>
      </c>
      <c r="D14" s="24">
        <f>N('res_raw_10117224'!$D$12)+N('res_raw_10117224'!$D$13)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-'res_raw_10117224'!$F$14</f>
        <v/>
      </c>
      <c r="C15" s="24">
        <f>-'res_raw_10117224'!$E$14</f>
        <v/>
      </c>
      <c r="D15" s="24">
        <f>-'res_raw_10117224'!$D$14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IF(ABS((SUM(B13:B15))-'res_raw_10117224'!$F$16)&lt;=2,SUM(B13:B15),'res_raw_10117224'!$F$16)</f>
        <v/>
      </c>
      <c r="C16" s="27">
        <f>IF(ABS((SUM(C13:C15))-'res_raw_10117224'!$E$16)&lt;=2,SUM(C13:C15),'res_raw_10117224'!$E$16)</f>
        <v/>
      </c>
      <c r="D16" s="27">
        <f>IF(ABS((SUM(D13:D15))-'res_raw_10117224'!$D$16)&lt;=2,SUM(D13:D15),'res_raw_10117224'!$D$16)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'balance_raw_10117224'!$F$15</f>
        <v/>
      </c>
      <c r="C19" s="24">
        <f>'balance_raw_10117224'!$E$15</f>
        <v/>
      </c>
      <c r="D19" s="24">
        <f>'balance_raw_10117224'!$D$15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'balance_raw_10117224'!$F$30</f>
        <v/>
      </c>
      <c r="C20" s="24">
        <f>'balance_raw_10117224'!$E$30</f>
        <v/>
      </c>
      <c r="D20" s="24">
        <f>'balance_raw_10117224'!$D$30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'balance_raw_10117224'!$F$38</f>
        <v/>
      </c>
      <c r="C23" s="24">
        <f>'balance_raw_10117224'!$E$38</f>
        <v/>
      </c>
      <c r="D23" s="24">
        <f>'balance_raw_10117224'!$D$38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'balance_raw_10117224'!$F$54-'balance_raw_10117224'!$F$38</f>
        <v/>
      </c>
      <c r="C24" s="24">
        <f>'balance_raw_10117224'!$E$54-'balance_raw_10117224'!$E$38</f>
        <v/>
      </c>
      <c r="D24" s="24">
        <f>'balance_raw_10117224'!$D$54-'balance_raw_10117224'!$D$38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'balance_raw_10117224'!$F$19</f>
        <v/>
      </c>
      <c r="C28" s="24">
        <f>'balance_raw_10117224'!$E$19</f>
        <v/>
      </c>
      <c r="D28" s="24">
        <f>'balance_raw_10117224'!$D$19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'balance_raw_10117224'!$F$20</f>
        <v/>
      </c>
      <c r="C29" s="24">
        <f>'balance_raw_10117224'!$E$20</f>
        <v/>
      </c>
      <c r="D29" s="24">
        <f>'balance_raw_10117224'!$D$20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'balance_raw_10117224'!$F$52</f>
        <v/>
      </c>
      <c r="C30" s="24">
        <f>'balance_raw_10117224'!$E$52</f>
        <v/>
      </c>
      <c r="D30" s="24">
        <f>'balance_raw_10117224'!$D$52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IF('balance_raw_10117224'!$F$31="","—",IF(ABS(B21-'balance_raw_10117224'!$F$31)&lt;=1,"✓ OK","❌ "&amp;TEXT(B21-'balance_raw_10117224'!$F$31,"+#,##0;-#,##0")&amp;" t.kr."))</f>
        <v/>
      </c>
      <c r="C61" s="29">
        <f>IF('balance_raw_10117224'!$E$31="","—",IF(ABS(C21-'balance_raw_10117224'!$E$31)&lt;=1,"✓ OK","❌ "&amp;TEXT(C21-'balance_raw_10117224'!$E$31,"+#,##0;-#,##0")&amp;" t.kr."))</f>
        <v/>
      </c>
      <c r="D61" s="29">
        <f>IF('balance_raw_10117224'!$D$31="","—",IF(ABS(D21-'balance_raw_10117224'!$D$31)&lt;=1,"✓ OK","❌ "&amp;TEXT(D21-'balance_raw_10117224'!$D$31,"+#,##0;-#,##0")&amp;"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IF('balance_raw_10117224'!$F$54="","—",IF(ABS(B25-'balance_raw_10117224'!$F$54)&lt;=1,"✓ OK","❌ "&amp;TEXT(B25-'balance_raw_10117224'!$F$54,"+#,##0;-#,##0")&amp;" t.kr."))</f>
        <v/>
      </c>
      <c r="C62" s="29">
        <f>IF('balance_raw_10117224'!$E$54="","—",IF(ABS(C25-'balance_raw_10117224'!$E$54)&lt;=1,"✓ OK","❌ "&amp;TEXT(C25-'balance_raw_10117224'!$E$54,"+#,##0;-#,##0")&amp;" t.kr."))</f>
        <v/>
      </c>
      <c r="D62" s="29">
        <f>IF('balance_raw_10117224'!$D$54="","—",IF(ABS(D25-'balance_raw_10117224'!$D$54)&lt;=1,"✓ OK","❌ "&amp;TEXT(D25-'balance_raw_10117224'!$D$54,"+#,##0;-#,##0")&amp;"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IF('res_raw_10117224'!$F$6="","—",IF(ABS(B9-'res_raw_10117224'!$F$6)&lt;=1,"✓ OK","❌ "&amp;TEXT(B9-'res_raw_10117224'!$F$6,"+#,##0;-#,##0")&amp;" t.kr."))</f>
        <v/>
      </c>
      <c r="C64" s="29">
        <f>IF('res_raw_10117224'!$E$6="","—",IF(ABS(C9-'res_raw_10117224'!$E$6)&lt;=1,"✓ OK","❌ "&amp;TEXT(C9-'res_raw_10117224'!$E$6,"+#,##0;-#,##0")&amp;" t.kr."))</f>
        <v/>
      </c>
      <c r="D64" s="29">
        <f>IF('res_raw_10117224'!$D$6="","—",IF(ABS(D9-'res_raw_10117224'!$D$6)&lt;=1,"✓ OK","❌ "&amp;TEXT(D9-'res_raw_10117224'!$D$6,"+#,##0;-#,##0")&amp;"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IF('res_raw_10117224'!$F$11="","—",IF(ABS(B13-'res_raw_10117224'!$F$11)&lt;=1,"✓ OK","❌ "&amp;TEXT(B13-'res_raw_10117224'!$F$11,"+#,##0;-#,##0")&amp;" t.kr."))</f>
        <v/>
      </c>
      <c r="C65" s="29">
        <f>IF('res_raw_10117224'!$E$11="","—",IF(ABS(C13-'res_raw_10117224'!$E$11)&lt;=1,"✓ OK","❌ "&amp;TEXT(C13-'res_raw_10117224'!$E$11,"+#,##0;-#,##0")&amp;" t.kr."))</f>
        <v/>
      </c>
      <c r="D65" s="29">
        <f>IF('res_raw_10117224'!$D$11="","—",IF(ABS(D13-'res_raw_10117224'!$D$11)&lt;=1,"✓ OK","❌ "&amp;TEXT(D13-'res_raw_10117224'!$D$11,"+#,##0;-#,##0")&amp;"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IF('res_raw_10117224'!$F$16="","—",IF(ABS(B16-'res_raw_10117224'!$F$16)&lt;=1,"✓ OK","❌ "&amp;TEXT(B16-'res_raw_10117224'!$F$16,"+#,##0;-#,##0")&amp;" t.kr."))</f>
        <v/>
      </c>
      <c r="C66" s="29">
        <f>IF('res_raw_10117224'!$E$16="","—",IF(ABS(C16-'res_raw_10117224'!$E$16)&lt;=1,"✓ OK","❌ "&amp;TEXT(C16-'res_raw_10117224'!$E$16,"+#,##0;-#,##0")&amp;" t.kr."))</f>
        <v/>
      </c>
      <c r="D66" s="29">
        <f>IF('res_raw_10117224'!$D$16="","—",IF(ABS(D16-'res_raw_10117224'!$D$16)&lt;=1,"✓ OK","❌ "&amp;TEXT(D16-'res_raw_10117224'!$D$16,"+#,##0;-#,##0")&amp;"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2026-09-29T14:47:53Z</dcterms:created>
  <dcterms:modified xmlns:dcterms="http://purl.org/dc/terms/" xmlns:xsi="http://www.w3.org/2001/XMLSchema-instance" xsi:type="dcterms:W3CDTF">2026-09-29T14:47:53Z</dcterms:modified>
</cp:coreProperties>
</file>