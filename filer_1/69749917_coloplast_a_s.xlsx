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colo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'balance_raw'!$B$2</f>
        <v/>
      </c>
      <c r="C22" s="8">
        <f>'balance_raw'!$C$2</f>
        <v/>
      </c>
      <c r="D22" s="8">
        <f>'balance_raw'!$D$2</f>
        <v/>
      </c>
      <c r="E22" s="8">
        <f>'balance_raw'!$E$2</f>
        <v/>
      </c>
      <c r="F22" s="8">
        <f>'balance_raw'!$F$2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7" t="inlineStr">
        <is>
          <t>Materielle anlægsaktiver</t>
        </is>
      </c>
      <c r="B23" s="8">
        <f>'balance_raw'!$B$3</f>
        <v/>
      </c>
      <c r="C23" s="8">
        <f>'balance_raw'!$C$3</f>
        <v/>
      </c>
      <c r="D23" s="8">
        <f>'balance_raw'!$D$3</f>
        <v/>
      </c>
      <c r="E23" s="8">
        <f>'balance_raw'!$E$3</f>
        <v/>
      </c>
      <c r="F23" s="8">
        <f>'balance_raw'!$F$3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Kapitalandele, dattervirksomheder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Deposita</t>
        </is>
      </c>
      <c r="B25" s="11">
        <f>'balance_raw'!$B$5</f>
        <v/>
      </c>
      <c r="C25" s="11">
        <f>'balance_raw'!$C$5</f>
        <v/>
      </c>
      <c r="D25" s="11">
        <f>'balance_raw'!$D$5</f>
        <v/>
      </c>
      <c r="E25" s="11">
        <f>'balance_raw'!$E$5</f>
        <v/>
      </c>
      <c r="F25" s="11">
        <f>'balance_raw'!$F$5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Finansielle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Anlægsaktiver</t>
        </is>
      </c>
      <c r="B27" s="8">
        <f>'balance_raw'!$B$7</f>
        <v/>
      </c>
      <c r="C27" s="8">
        <f>'balance_raw'!$C$7</f>
        <v/>
      </c>
      <c r="D27" s="8">
        <f>'balance_raw'!$D$7</f>
        <v/>
      </c>
      <c r="E27" s="8">
        <f>'balance_raw'!$E$7</f>
        <v/>
      </c>
      <c r="F27" s="8">
        <f>'balance_raw'!$F$7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Varebeholdninger</t>
        </is>
      </c>
      <c r="B28" s="8">
        <f>'balance_raw'!$B$8</f>
        <v/>
      </c>
      <c r="C28" s="8">
        <f>'balance_raw'!$C$8</f>
        <v/>
      </c>
      <c r="D28" s="8">
        <f>'balance_raw'!$D$8</f>
        <v/>
      </c>
      <c r="E28" s="8">
        <f>'balance_raw'!$E$8</f>
        <v/>
      </c>
      <c r="F28" s="8">
        <f>'balance_raw'!$F$8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Tilgodehavender fra salg og tjenesteydelser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Andre tilgodehavender</t>
        </is>
      </c>
      <c r="B31" s="11">
        <f>'balance_raw'!$B$11</f>
        <v/>
      </c>
      <c r="C31" s="11">
        <f>'balance_raw'!$C$11</f>
        <v/>
      </c>
      <c r="D31" s="11">
        <f>'balance_raw'!$D$11</f>
        <v/>
      </c>
      <c r="E31" s="11">
        <f>'balance_raw'!$E$11</f>
        <v/>
      </c>
      <c r="F31" s="11">
        <f>'balance_raw'!$F$11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Udskudt skatteaktiv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Kortfristede skattetilgodehavender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Tilgodehavender</t>
        </is>
      </c>
      <c r="B36" s="8">
        <f>'balance_raw'!$B$16</f>
        <v/>
      </c>
      <c r="C36" s="8">
        <f>'balance_raw'!$C$16</f>
        <v/>
      </c>
      <c r="D36" s="8">
        <f>'balance_raw'!$D$16</f>
        <v/>
      </c>
      <c r="E36" s="8">
        <f>'balance_raw'!$E$16</f>
        <v/>
      </c>
      <c r="F36" s="8">
        <f>'balance_raw'!$F$16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Værdipapirer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Omsætningsaktiver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7" t="inlineStr">
        <is>
          <t>Aktiver</t>
        </is>
      </c>
      <c r="B40" s="8">
        <f>'balance_raw'!$B$20</f>
        <v/>
      </c>
      <c r="C40" s="8">
        <f>'balance_raw'!$C$20</f>
        <v/>
      </c>
      <c r="D40" s="8">
        <f>'balance_raw'!$D$20</f>
        <v/>
      </c>
      <c r="E40" s="8">
        <f>'balance_raw'!$E$20</f>
        <v/>
      </c>
      <c r="F40" s="8">
        <f>'balance_raw'!$F$20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2" ht="22" customHeight="1">
      <c r="A42" s="3" t="inlineStr">
        <is>
          <t>PASSIVER t.kr.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10" t="inlineStr">
        <is>
          <t>Selskabskapital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'balance_raw'!$B$22</f>
        <v/>
      </c>
      <c r="C44" s="5">
        <f>'balance_raw'!$C$22</f>
        <v/>
      </c>
      <c r="D44" s="5">
        <f>'balance_raw'!$D$22</f>
        <v/>
      </c>
      <c r="E44" s="5">
        <f>'balance_raw'!$E$22</f>
        <v/>
      </c>
      <c r="F44" s="5">
        <f>'balance_raw'!$F$22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udviklingsomkostninger</t>
        </is>
      </c>
      <c r="B45" s="11">
        <f>'balance_raw'!$B$23</f>
        <v/>
      </c>
      <c r="C45" s="11">
        <f>'balance_raw'!$C$23</f>
        <v/>
      </c>
      <c r="D45" s="11">
        <f>'balance_raw'!$D$23</f>
        <v/>
      </c>
      <c r="E45" s="11">
        <f>'balance_raw'!$E$23</f>
        <v/>
      </c>
      <c r="F45" s="11">
        <f>'balance_raw'!$F$23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Andre reserver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Egenkapital i alt</t>
        </is>
      </c>
      <c r="B49" s="8">
        <f>'balance_raw'!$B$27</f>
        <v/>
      </c>
      <c r="C49" s="8">
        <f>'balance_raw'!$C$27</f>
        <v/>
      </c>
      <c r="D49" s="8">
        <f>'balance_raw'!$D$27</f>
        <v/>
      </c>
      <c r="E49" s="8">
        <f>'balance_raw'!$E$27</f>
        <v/>
      </c>
      <c r="F49" s="8">
        <f>'balance_raw'!$F$27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Hensættelse til udskudt skat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Hensatte forpligtelser</t>
        </is>
      </c>
      <c r="B51" s="8">
        <f>'balance_raw'!$B$29</f>
        <v/>
      </c>
      <c r="C51" s="8">
        <f>'balance_raw'!$C$29</f>
        <v/>
      </c>
      <c r="D51" s="8">
        <f>'balance_raw'!$D$29</f>
        <v/>
      </c>
      <c r="E51" s="8">
        <f>'balance_raw'!$E$29</f>
        <v/>
      </c>
      <c r="F51" s="8">
        <f>'balance_raw'!$F$29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Langfristede lån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'balance_raw'!$B$32</f>
        <v/>
      </c>
      <c r="C54" s="5">
        <f>'balance_raw'!$C$32</f>
        <v/>
      </c>
      <c r="D54" s="5">
        <f>'balance_raw'!$D$32</f>
        <v/>
      </c>
      <c r="E54" s="5">
        <f>'balance_raw'!$E$32</f>
        <v/>
      </c>
      <c r="F54" s="5">
        <f>'balance_raw'!$F$32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Anden gæld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Langfristede gældsforpligtelser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(kortfristet)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Kreditinstitutter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Leverandører af varer og tjenesteydelser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selskabsdeltagere og ledelse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 vedr. selskabsskat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Periodeafgrænsningsposter (passiver)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7" t="inlineStr">
        <is>
          <t>Kortfristede gældsforpligtelser</t>
        </is>
      </c>
      <c r="B68" s="8">
        <f>'balance_raw'!$B$46</f>
        <v/>
      </c>
      <c r="C68" s="8">
        <f>'balance_raw'!$C$46</f>
        <v/>
      </c>
      <c r="D68" s="8">
        <f>'balance_raw'!$D$46</f>
        <v/>
      </c>
      <c r="E68" s="8">
        <f>'balance_raw'!$E$46</f>
        <v/>
      </c>
      <c r="F68" s="8">
        <f>'balance_raw'!$F$46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Gældsforpligtelser</t>
        </is>
      </c>
      <c r="B69" s="8">
        <f>'balance_raw'!$B$47</f>
        <v/>
      </c>
      <c r="C69" s="8">
        <f>'balance_raw'!$C$47</f>
        <v/>
      </c>
      <c r="D69" s="8">
        <f>'balance_raw'!$D$47</f>
        <v/>
      </c>
      <c r="E69" s="8">
        <f>'balance_raw'!$E$47</f>
        <v/>
      </c>
      <c r="F69" s="8">
        <f>'balance_raw'!$F$47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7" t="inlineStr">
        <is>
          <t>Passiver</t>
        </is>
      </c>
      <c r="B70" s="8">
        <f>'balance_raw'!$B$48</f>
        <v/>
      </c>
      <c r="C70" s="8">
        <f>'balance_raw'!$C$48</f>
        <v/>
      </c>
      <c r="D70" s="8">
        <f>'balance_raw'!$D$48</f>
        <v/>
      </c>
      <c r="E70" s="8">
        <f>'balance_raw'!$E$48</f>
        <v/>
      </c>
      <c r="F70" s="8">
        <f>'balance_raw'!$F$48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10" t="inlineStr">
        <is>
          <t>Gns. antal medarbejdere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'res_raw'!$B$19</f>
        <v/>
      </c>
      <c r="C74" s="5">
        <f>'res_raw'!$C$19</f>
        <v/>
      </c>
      <c r="D74" s="5">
        <f>'res_raw'!$D$19</f>
        <v/>
      </c>
      <c r="E74" s="5">
        <f>'res_raw'!$E$19</f>
        <v/>
      </c>
      <c r="F74" s="5">
        <f>'res_raw'!$F$19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Afkastningsgrad, %</t>
        </is>
      </c>
      <c r="B77" s="13">
        <f>IFERROR(($B$12+$B$14+$B$13)/$B$40*100,"")</f>
        <v/>
      </c>
      <c r="C77" s="13">
        <f>IFERROR(($C$12+$C$14+$C$13)/$C$40*100,"")</f>
        <v/>
      </c>
      <c r="D77" s="13">
        <f>IFERROR(($D$12+$D$14+$D$13)/$D$40*100,"")</f>
        <v/>
      </c>
      <c r="E77" s="13">
        <f>IFERROR(($E$12+$E$14+$E$13)/$E$40*100,"")</f>
        <v/>
      </c>
      <c r="F77" s="13">
        <f>IFERROR(($F$12+$F$14+$F$13)/$F$40*100,"")</f>
        <v/>
      </c>
    </row>
    <row r="78" ht="16" customHeight="1">
      <c r="A78" s="4" t="inlineStr">
        <is>
          <t>Overskudsgrad, %</t>
        </is>
      </c>
      <c r="B78" s="14">
        <f>IFERROR(($B$12+$B$14+$B$13)/$B$4*100,"")</f>
        <v/>
      </c>
      <c r="C78" s="14">
        <f>IFERROR(($C$12+$C$14+$C$13)/$C$4*100,"")</f>
        <v/>
      </c>
      <c r="D78" s="14">
        <f>IFERROR(($D$12+$D$14+$D$13)/$D$4*100,"")</f>
        <v/>
      </c>
      <c r="E78" s="14">
        <f>IFERROR(($E$12+$E$14+$E$13)/$E$4*100,"")</f>
        <v/>
      </c>
      <c r="F78" s="14">
        <f>IFERROR(($F$12+$F$14+$F$13)/$F$4*100,"")</f>
        <v/>
      </c>
    </row>
    <row r="79" ht="16" customHeight="1">
      <c r="A79" s="10" t="inlineStr">
        <is>
          <t>Aktivernes omsætningshastighed, gange</t>
        </is>
      </c>
      <c r="B79" s="13">
        <f>IFERROR($B$4/$B$40,"")</f>
        <v/>
      </c>
      <c r="C79" s="13">
        <f>IFERROR($C$4/$C$40,"")</f>
        <v/>
      </c>
      <c r="D79" s="13">
        <f>IFERROR($D$4/$D$40,"")</f>
        <v/>
      </c>
      <c r="E79" s="13">
        <f>IFERROR($E$4/$E$40,"")</f>
        <v/>
      </c>
      <c r="F79" s="13">
        <f>IFERROR($F$4/$F$40,"")</f>
        <v/>
      </c>
    </row>
    <row r="80" ht="16" customHeight="1">
      <c r="A80" s="4" t="inlineStr">
        <is>
          <t>Egenkapitalens forrentning, %</t>
        </is>
      </c>
      <c r="B80" s="14">
        <f>IFERROR($B$17/$B$49*100,"")</f>
        <v/>
      </c>
      <c r="C80" s="14">
        <f>IFERROR($C$17/$C$49*100,"")</f>
        <v/>
      </c>
      <c r="D80" s="14">
        <f>IFERROR($D$17/$D$49*100,"")</f>
        <v/>
      </c>
      <c r="E80" s="14">
        <f>IFERROR($E$17/$E$49*100,"")</f>
        <v/>
      </c>
      <c r="F80" s="14">
        <f>IFERROR($F$17/$F$49*100,"")</f>
        <v/>
      </c>
    </row>
    <row r="81" ht="16" customHeight="1">
      <c r="A81" s="10" t="inlineStr">
        <is>
          <t>Gældsrente, %</t>
        </is>
      </c>
      <c r="B81" s="13">
        <f>IFERROR($B$15/($B$70-$B$49)*100,"")</f>
        <v/>
      </c>
      <c r="C81" s="13">
        <f>IFERROR($C$15/($C$70-$C$49)*100,"")</f>
        <v/>
      </c>
      <c r="D81" s="13">
        <f>IFERROR($D$15/($D$70-$D$49)*100,"")</f>
        <v/>
      </c>
      <c r="E81" s="13">
        <f>IFERROR($E$15/($E$70-$E$49)*100,"")</f>
        <v/>
      </c>
      <c r="F81" s="13">
        <f>IFERROR($F$15/($F$70-$F$49)*100,"")</f>
        <v/>
      </c>
    </row>
    <row r="82" ht="16" customHeight="1">
      <c r="A82" s="4" t="inlineStr">
        <is>
          <t>Soliditetsgrad, %</t>
        </is>
      </c>
      <c r="B82" s="14">
        <f>IFERROR($B$49/$B$40*100,"")</f>
        <v/>
      </c>
      <c r="C82" s="14">
        <f>IFERROR($C$49/$C$40*100,"")</f>
        <v/>
      </c>
      <c r="D82" s="14">
        <f>IFERROR($D$49/$D$40*100,"")</f>
        <v/>
      </c>
      <c r="E82" s="14">
        <f>IFERROR($E$49/$E$40*100,"")</f>
        <v/>
      </c>
      <c r="F82" s="14">
        <f>IFERROR($F$49/$F$40*100,"")</f>
        <v/>
      </c>
    </row>
    <row r="83" ht="16" customHeight="1">
      <c r="A83" s="10" t="inlineStr">
        <is>
          <t>Gearing</t>
        </is>
      </c>
      <c r="B83" s="13">
        <f>IFERROR(($B$70-$B$49)/$B$49,"")</f>
        <v/>
      </c>
      <c r="C83" s="13">
        <f>IFERROR(($C$70-$C$49)/$C$49,"")</f>
        <v/>
      </c>
      <c r="D83" s="13">
        <f>IFERROR(($D$70-$D$49)/$D$49,"")</f>
        <v/>
      </c>
      <c r="E83" s="13">
        <f>IFERROR(($E$70-$E$49)/$E$49,"")</f>
        <v/>
      </c>
      <c r="F83" s="13">
        <f>IFERROR(($F$70-$F$49)/$F$49,"")</f>
        <v/>
      </c>
    </row>
    <row r="84" ht="16" customHeight="1">
      <c r="A84" s="4" t="inlineStr">
        <is>
          <t>Likviditetsgrad, %</t>
        </is>
      </c>
      <c r="B84" s="14">
        <f>IFERROR($B$39/$B$68*100,"")</f>
        <v/>
      </c>
      <c r="C84" s="14">
        <f>IFERROR($C$39/$C$68*100,"")</f>
        <v/>
      </c>
      <c r="D84" s="14">
        <f>IFERROR($D$39/$D$68*100,"")</f>
        <v/>
      </c>
      <c r="E84" s="14">
        <f>IFERROR($E$39/$E$68*100,"")</f>
        <v/>
      </c>
      <c r="F84" s="14">
        <f>IFERROR($F$39/$F$68*100,"")</f>
        <v/>
      </c>
    </row>
    <row r="85" ht="16" customHeight="1">
      <c r="A85" s="10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IFERROR(($B$70-$B$49)/$B$40*100,"")</f>
        <v/>
      </c>
      <c r="C86" s="14">
        <f>IFERROR(($C$70-$C$49)/$C$40*100,"")</f>
        <v/>
      </c>
      <c r="D86" s="14">
        <f>IFERROR(($D$70-$D$49)/$D$40*100,"")</f>
        <v/>
      </c>
      <c r="E86" s="14">
        <f>IFERROR(($E$70-$E$49)/$E$40*100,"")</f>
        <v/>
      </c>
      <c r="F86" s="14">
        <f>IFERROR(($F$70-$F$49)/$F$40*100,"")</f>
        <v/>
      </c>
    </row>
    <row r="87" ht="16" customHeight="1">
      <c r="A87" s="10" t="inlineStr">
        <is>
          <t>Kapitalbindingsgrad, %</t>
        </is>
      </c>
      <c r="B87" s="13">
        <f>IFERROR($B$27/($B$49+$B$56)*100,"")</f>
        <v/>
      </c>
      <c r="C87" s="13">
        <f>IFERROR($C$27/($C$49+$C$56)*100,"")</f>
        <v/>
      </c>
      <c r="D87" s="13">
        <f>IFERROR($D$27/($D$49+$D$56)*100,"")</f>
        <v/>
      </c>
      <c r="E87" s="13">
        <f>IFERROR($E$27/($E$49+$E$56)*100,"")</f>
        <v/>
      </c>
      <c r="F87" s="13">
        <f>IFERROR($F$27/($F$49+$F$56)*100,"")</f>
        <v/>
      </c>
    </row>
    <row r="89">
      <c r="A89" s="15" t="inlineStr">
        <is>
          <t>PENGESTRØMSOPGØRELSE t.kr.</t>
        </is>
      </c>
    </row>
    <row r="90">
      <c r="A90" s="16" t="inlineStr">
        <is>
          <t>Pengestrømme fra driftsaktivitet</t>
        </is>
      </c>
      <c r="B90" s="17">
        <f>'pengestrom_raw'!$B$2</f>
        <v/>
      </c>
      <c r="C90" s="17">
        <f>'pengestrom_raw'!$C$2</f>
        <v/>
      </c>
      <c r="D90" s="17">
        <f>'pengestrom_raw'!$D$2</f>
        <v/>
      </c>
      <c r="E90" s="17">
        <f>'pengestrom_raw'!$E$2</f>
        <v/>
      </c>
      <c r="F90" s="17">
        <f>'pengestrom_raw'!$F$2</f>
        <v/>
      </c>
    </row>
    <row r="91">
      <c r="A91" s="16" t="inlineStr">
        <is>
          <t>Pengestrømme fra investeringsaktivitet</t>
        </is>
      </c>
      <c r="B91" s="17">
        <f>'pengestrom_raw'!$B$3</f>
        <v/>
      </c>
      <c r="C91" s="17">
        <f>'pengestrom_raw'!$C$3</f>
        <v/>
      </c>
      <c r="D91" s="17">
        <f>'pengestrom_raw'!$D$3</f>
        <v/>
      </c>
      <c r="E91" s="17">
        <f>'pengestrom_raw'!$E$3</f>
        <v/>
      </c>
      <c r="F91" s="17">
        <f>'pengestrom_raw'!$F$3</f>
        <v/>
      </c>
    </row>
    <row r="92">
      <c r="A92" s="16" t="inlineStr">
        <is>
          <t>Pengestrømme fra finansieringsaktivitet</t>
        </is>
      </c>
      <c r="B92" s="17">
        <f>'pengestrom_raw'!$B$4</f>
        <v/>
      </c>
      <c r="C92" s="17">
        <f>'pengestrom_raw'!$C$4</f>
        <v/>
      </c>
      <c r="D92" s="17">
        <f>'pengestrom_raw'!$D$4</f>
        <v/>
      </c>
      <c r="E92" s="17">
        <f>'pengestrom_raw'!$E$4</f>
        <v/>
      </c>
      <c r="F92" s="17">
        <f>'pengestrom_raw'!$F$4</f>
        <v/>
      </c>
    </row>
    <row r="93">
      <c r="A93" s="16" t="inlineStr">
        <is>
          <t>Årets pengestrøm (rapporteret)</t>
        </is>
      </c>
      <c r="B93" s="17">
        <f>'pengestrom_raw'!$B$5</f>
        <v/>
      </c>
      <c r="C93" s="17">
        <f>'pengestrom_raw'!$C$5</f>
        <v/>
      </c>
      <c r="D93" s="17">
        <f>'pengestrom_raw'!$D$5</f>
        <v/>
      </c>
      <c r="E93" s="17">
        <f>'pengestrom_raw'!$E$5</f>
        <v/>
      </c>
      <c r="F93" s="17">
        <f>'pengestrom_raw'!$F$5</f>
        <v/>
      </c>
    </row>
    <row r="94">
      <c r="A94" s="16" t="inlineStr">
        <is>
          <t>Krydstjek: drift + inv. + fin. = årets pengestrøm</t>
        </is>
      </c>
      <c r="B9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colo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19426000</v>
      </c>
      <c r="C2" s="17" t="n">
        <v>22579000</v>
      </c>
      <c r="D2" s="17" t="n">
        <v>24500000</v>
      </c>
      <c r="E2" s="17" t="n">
        <v>27030000</v>
      </c>
      <c r="F2" s="17" t="n">
        <v>27874000</v>
      </c>
    </row>
    <row r="3">
      <c r="A3" s="16" t="inlineStr">
        <is>
          <t>Produktionsomkostninger</t>
        </is>
      </c>
      <c r="B3" s="17" t="n">
        <v>6113000</v>
      </c>
      <c r="C3" s="17" t="n">
        <v>7050000</v>
      </c>
      <c r="D3" s="17" t="n">
        <v>8172000</v>
      </c>
      <c r="E3" s="17" t="n">
        <v>8761000</v>
      </c>
      <c r="F3" s="17" t="n">
        <v>8929000</v>
      </c>
    </row>
    <row r="4">
      <c r="A4" s="15" t="inlineStr">
        <is>
          <t>Bruttoresultat</t>
        </is>
      </c>
      <c r="B4" s="17" t="n">
        <v>13313000</v>
      </c>
      <c r="C4" s="17" t="n">
        <v>15529000</v>
      </c>
      <c r="D4" s="17" t="n">
        <v>16328000</v>
      </c>
      <c r="E4" s="17" t="n">
        <v>18269000</v>
      </c>
      <c r="F4" s="17" t="n">
        <v>18945000</v>
      </c>
    </row>
    <row r="5">
      <c r="A5" s="16" t="inlineStr">
        <is>
          <t>Udviklingsomkostninger</t>
        </is>
      </c>
      <c r="B5" s="17" t="n">
        <v>755000</v>
      </c>
      <c r="C5" s="17" t="n">
        <v>866000</v>
      </c>
      <c r="D5" s="17" t="n">
        <v>872000</v>
      </c>
      <c r="E5" s="17" t="n">
        <v>913000</v>
      </c>
      <c r="F5" s="17" t="n">
        <v>946000</v>
      </c>
    </row>
    <row r="6">
      <c r="A6" s="16" t="inlineStr">
        <is>
          <t>Salgs- og distributionsomkostninger</t>
        </is>
      </c>
      <c r="B6" s="17" t="n">
        <v>5485000</v>
      </c>
      <c r="C6" s="17" t="n">
        <v>6797000</v>
      </c>
      <c r="D6" s="17" t="n">
        <v>7518000</v>
      </c>
      <c r="E6" s="17" t="n">
        <v>8825000</v>
      </c>
      <c r="F6" s="17" t="n">
        <v>9150000</v>
      </c>
    </row>
    <row r="7">
      <c r="A7" s="16" t="inlineStr">
        <is>
          <t>Administrationsomkostninger</t>
        </is>
      </c>
      <c r="B7" s="17" t="n">
        <v>762000</v>
      </c>
      <c r="C7" s="17" t="n">
        <v>1005000</v>
      </c>
      <c r="D7" s="17" t="n">
        <v>1115000</v>
      </c>
      <c r="E7" s="17" t="n">
        <v>1244000</v>
      </c>
      <c r="F7" s="17" t="n">
        <v>1270000</v>
      </c>
    </row>
    <row r="8">
      <c r="A8" s="16" t="inlineStr">
        <is>
          <t>Andre driftsindtægter</t>
        </is>
      </c>
      <c r="B8" s="17" t="n">
        <v>73000</v>
      </c>
      <c r="C8" s="17" t="n">
        <v>74000</v>
      </c>
      <c r="D8" s="17" t="n">
        <v>56000</v>
      </c>
      <c r="E8" s="17" t="n">
        <v>75000</v>
      </c>
      <c r="F8" s="17" t="n">
        <v>159000</v>
      </c>
    </row>
    <row r="9">
      <c r="A9" s="16" t="inlineStr">
        <is>
          <t>Andre driftsomkostninger</t>
        </is>
      </c>
      <c r="B9" s="17" t="n">
        <v>29000</v>
      </c>
      <c r="C9" s="17" t="n">
        <v>25000</v>
      </c>
      <c r="D9" s="17" t="n">
        <v>34000</v>
      </c>
      <c r="E9" s="17" t="n">
        <v>76000</v>
      </c>
      <c r="F9" s="17" t="n">
        <v>68000</v>
      </c>
    </row>
    <row r="10">
      <c r="A10" s="15" t="inlineStr">
        <is>
          <t>Resultat af primær drift</t>
        </is>
      </c>
      <c r="B10" s="17" t="n">
        <v>6155000</v>
      </c>
      <c r="C10" s="17" t="n">
        <v>6439000</v>
      </c>
      <c r="D10" s="17" t="n">
        <v>6771000</v>
      </c>
      <c r="E10" s="17" t="n">
        <v>7320000</v>
      </c>
      <c r="F10" s="17" t="n">
        <v>7201000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137000</v>
      </c>
      <c r="C12" s="17" t="n">
        <v>119000</v>
      </c>
      <c r="D12" s="17" t="n">
        <v>191000</v>
      </c>
      <c r="E12" s="17" t="n">
        <v>175000</v>
      </c>
      <c r="F12" s="17" t="n">
        <v>107000</v>
      </c>
    </row>
    <row r="13">
      <c r="A13" s="16" t="inlineStr">
        <is>
          <t>Finansielle omkostninger</t>
        </is>
      </c>
      <c r="B13" s="17" t="n">
        <v>59000</v>
      </c>
      <c r="C13" s="17" t="n">
        <v>431000</v>
      </c>
      <c r="D13" s="17" t="n">
        <v>937000</v>
      </c>
      <c r="E13" s="17" t="n">
        <v>1100000</v>
      </c>
      <c r="F13" s="17" t="n">
        <v>1151000</v>
      </c>
    </row>
    <row r="14">
      <c r="A14" s="15" t="inlineStr">
        <is>
          <t>Finansielle poster, netto</t>
        </is>
      </c>
      <c r="B14" s="17" t="n">
        <v>78000</v>
      </c>
      <c r="C14" s="17" t="n">
        <v>-312000</v>
      </c>
      <c r="D14" s="17" t="n">
        <v>-746000</v>
      </c>
      <c r="E14" s="17" t="n">
        <v>-925000</v>
      </c>
      <c r="F14" s="17" t="n">
        <v>-1044000</v>
      </c>
    </row>
    <row r="15">
      <c r="A15" s="15" t="inlineStr">
        <is>
          <t>Resultat før skat</t>
        </is>
      </c>
      <c r="B15" s="17" t="n">
        <v>6233000</v>
      </c>
      <c r="C15" s="17" t="n">
        <v>6127000</v>
      </c>
      <c r="D15" s="17" t="n">
        <v>6025000</v>
      </c>
      <c r="E15" s="17" t="n">
        <v>6395000</v>
      </c>
      <c r="F15" s="17" t="n">
        <v>6157000</v>
      </c>
    </row>
    <row r="16">
      <c r="A16" s="16" t="inlineStr">
        <is>
          <t>Skat af årets resultat</t>
        </is>
      </c>
      <c r="B16" s="17" t="n">
        <v>1408000</v>
      </c>
      <c r="C16" s="17" t="n">
        <v>1421000</v>
      </c>
      <c r="D16" s="17" t="n">
        <v>1242000</v>
      </c>
      <c r="E16" s="17" t="n">
        <v>1343000</v>
      </c>
      <c r="F16" s="17" t="n">
        <v>2521000</v>
      </c>
    </row>
    <row r="17">
      <c r="A17" s="15" t="inlineStr">
        <is>
          <t>Årets resultat</t>
        </is>
      </c>
      <c r="B17" s="17" t="n">
        <v>4825000</v>
      </c>
      <c r="C17" s="17" t="n">
        <v>4706000</v>
      </c>
      <c r="D17" s="17" t="n">
        <v>4783000</v>
      </c>
      <c r="E17" s="17" t="n">
        <v>5052000</v>
      </c>
      <c r="F17" s="17" t="n">
        <v>3636000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/>
      <c r="C19" s="17" t="n"/>
      <c r="D19" s="17" t="n"/>
      <c r="E19" s="17" t="n"/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colo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3651000</v>
      </c>
      <c r="C2" s="17" t="n">
        <v>22767000</v>
      </c>
      <c r="D2" s="17" t="n">
        <v>31255000</v>
      </c>
      <c r="E2" s="17" t="n">
        <v>30332000</v>
      </c>
      <c r="F2" s="17" t="n">
        <v>29811000</v>
      </c>
    </row>
    <row r="3">
      <c r="A3" s="15" t="inlineStr">
        <is>
          <t>Materielle anlægsaktiver</t>
        </is>
      </c>
      <c r="B3" s="17" t="n">
        <v>3785000</v>
      </c>
      <c r="C3" s="17" t="n">
        <v>4474000</v>
      </c>
      <c r="D3" s="17" t="n">
        <v>5131000</v>
      </c>
      <c r="E3" s="17" t="n">
        <v>5649000</v>
      </c>
      <c r="F3" s="17" t="n">
        <v>6201000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41000</v>
      </c>
      <c r="C5" s="17" t="n">
        <v>51000</v>
      </c>
      <c r="D5" s="17" t="n">
        <v>65000</v>
      </c>
      <c r="E5" s="17" t="n">
        <v>74000</v>
      </c>
      <c r="F5" s="17" t="n">
        <v>90000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8847000</v>
      </c>
      <c r="C7" s="17" t="n">
        <v>28674000</v>
      </c>
      <c r="D7" s="17" t="n">
        <v>38222000</v>
      </c>
      <c r="E7" s="17" t="n">
        <v>37629000</v>
      </c>
      <c r="F7" s="17" t="n">
        <v>37914000</v>
      </c>
    </row>
    <row r="8">
      <c r="A8" s="15" t="inlineStr">
        <is>
          <t>Varebeholdninger</t>
        </is>
      </c>
      <c r="B8" s="17" t="n">
        <v>2428000</v>
      </c>
      <c r="C8" s="17" t="n">
        <v>3187000</v>
      </c>
      <c r="D8" s="17" t="n">
        <v>3522000</v>
      </c>
      <c r="E8" s="17" t="n">
        <v>3672000</v>
      </c>
      <c r="F8" s="17" t="n">
        <v>3919000</v>
      </c>
    </row>
    <row r="9">
      <c r="A9" s="16" t="inlineStr">
        <is>
          <t>Tilgodehavender fra salg og tjenesteydelser</t>
        </is>
      </c>
      <c r="B9" s="17" t="n">
        <v>3212000</v>
      </c>
      <c r="C9" s="17" t="n">
        <v>3940000</v>
      </c>
      <c r="D9" s="17" t="n">
        <v>4315000</v>
      </c>
      <c r="E9" s="17" t="n">
        <v>4675000</v>
      </c>
      <c r="F9" s="17" t="n">
        <v>4658000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172000</v>
      </c>
      <c r="C12" s="17" t="n">
        <v>293000</v>
      </c>
      <c r="D12" s="17" t="n">
        <v>384000</v>
      </c>
      <c r="E12" s="17" t="n">
        <v>434000</v>
      </c>
      <c r="F12" s="17" t="n">
        <v>411000</v>
      </c>
    </row>
    <row r="13">
      <c r="A13" s="16" t="inlineStr">
        <is>
          <t>Udskudt skatteaktiv</t>
        </is>
      </c>
      <c r="B13" s="17" t="n">
        <v>743000</v>
      </c>
      <c r="C13" s="17" t="n">
        <v>674000</v>
      </c>
      <c r="D13" s="17" t="n">
        <v>884000</v>
      </c>
      <c r="E13" s="17" t="n">
        <v>624000</v>
      </c>
      <c r="F13" s="17" t="n">
        <v>587000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282000</v>
      </c>
      <c r="C15" s="17" t="n">
        <v>336000</v>
      </c>
      <c r="D15" s="17" t="n">
        <v>532000</v>
      </c>
      <c r="E15" s="17" t="n">
        <v>509000</v>
      </c>
      <c r="F15" s="17" t="n">
        <v>64000</v>
      </c>
    </row>
    <row r="16">
      <c r="A16" s="15" t="inlineStr">
        <is>
          <t>Tilgodehavender</t>
        </is>
      </c>
      <c r="B16" s="17" t="n">
        <v>226000</v>
      </c>
      <c r="C16" s="17" t="n">
        <v>383000</v>
      </c>
      <c r="D16" s="17" t="n">
        <v>273000</v>
      </c>
      <c r="E16" s="17" t="n">
        <v>366000</v>
      </c>
      <c r="F16" s="17" t="n">
        <v>454000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448000</v>
      </c>
      <c r="C18" s="17" t="n">
        <v>414000</v>
      </c>
      <c r="D18" s="17" t="n">
        <v>911000</v>
      </c>
      <c r="E18" s="17" t="n">
        <v>788000</v>
      </c>
      <c r="F18" s="17" t="n">
        <v>947000</v>
      </c>
    </row>
    <row r="19">
      <c r="A19" s="15" t="inlineStr">
        <is>
          <t>Omsætningsaktiver</t>
        </is>
      </c>
      <c r="B19" s="17" t="n">
        <v>6994000</v>
      </c>
      <c r="C19" s="17" t="n">
        <v>8772000</v>
      </c>
      <c r="D19" s="17" t="n">
        <v>9937000</v>
      </c>
      <c r="E19" s="17" t="n">
        <v>10444000</v>
      </c>
      <c r="F19" s="17" t="n">
        <v>10453000</v>
      </c>
    </row>
    <row r="20">
      <c r="A20" s="15" t="inlineStr">
        <is>
          <t>Aktiver</t>
        </is>
      </c>
      <c r="B20" s="17" t="n">
        <v>15841000</v>
      </c>
      <c r="C20" s="17" t="n">
        <v>37446000</v>
      </c>
      <c r="D20" s="17" t="n">
        <v>48159000</v>
      </c>
      <c r="E20" s="17" t="n">
        <v>48073000</v>
      </c>
      <c r="F20" s="17" t="n">
        <v>48367000</v>
      </c>
    </row>
    <row r="21">
      <c r="A21" s="16" t="inlineStr">
        <is>
          <t>Selskabskapital</t>
        </is>
      </c>
      <c r="B21" s="17" t="n">
        <v>216000</v>
      </c>
      <c r="C21" s="17" t="n">
        <v>216000</v>
      </c>
      <c r="D21" s="17" t="n">
        <v>228000</v>
      </c>
      <c r="E21" s="17" t="n">
        <v>228000</v>
      </c>
      <c r="F21" s="17" t="n">
        <v>228000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-41000</v>
      </c>
      <c r="C25" s="17" t="n">
        <v>415000</v>
      </c>
      <c r="D25" s="17" t="n">
        <v>423000</v>
      </c>
      <c r="E25" s="17" t="n">
        <v>329000</v>
      </c>
      <c r="F25" s="17" t="n">
        <v>356000</v>
      </c>
    </row>
    <row r="26">
      <c r="A26" s="16" t="inlineStr">
        <is>
          <t>Overført resultat</t>
        </is>
      </c>
      <c r="B26" s="17" t="n">
        <v>5406000</v>
      </c>
      <c r="C26" s="17" t="n">
        <v>5386000</v>
      </c>
      <c r="D26" s="17" t="n">
        <v>14632000</v>
      </c>
      <c r="E26" s="17" t="n">
        <v>15391000</v>
      </c>
      <c r="F26" s="17" t="n">
        <v>13618000</v>
      </c>
    </row>
    <row r="27">
      <c r="A27" s="15" t="inlineStr">
        <is>
          <t>Egenkapital i alt</t>
        </is>
      </c>
      <c r="B27" s="17" t="n">
        <v>8168000</v>
      </c>
      <c r="C27" s="17" t="n">
        <v>8292000</v>
      </c>
      <c r="D27" s="17" t="n">
        <v>17299000</v>
      </c>
      <c r="E27" s="17" t="n">
        <v>17942000</v>
      </c>
      <c r="F27" s="17" t="n">
        <v>16122000</v>
      </c>
    </row>
    <row r="28">
      <c r="A28" s="16" t="inlineStr">
        <is>
          <t>Hensættelse til udskudt skat</t>
        </is>
      </c>
      <c r="B28" s="17" t="n">
        <v>671000</v>
      </c>
      <c r="C28" s="17" t="n">
        <v>4567000</v>
      </c>
      <c r="D28" s="17" t="n">
        <v>2122000</v>
      </c>
      <c r="E28" s="17" t="n">
        <v>2481000</v>
      </c>
      <c r="F28" s="17" t="n">
        <v>3042000</v>
      </c>
    </row>
    <row r="29">
      <c r="A29" s="15" t="inlineStr">
        <is>
          <t>Hensatte forpligtelser</t>
        </is>
      </c>
      <c r="B29" s="17" t="n">
        <v>181000</v>
      </c>
      <c r="C29" s="17" t="n">
        <v>115000</v>
      </c>
      <c r="D29" s="17" t="n">
        <v>124000</v>
      </c>
      <c r="E29" s="17" t="n">
        <v>126000</v>
      </c>
      <c r="F29" s="17" t="n">
        <v>111000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449000</v>
      </c>
      <c r="C32" s="17" t="n">
        <v>496000</v>
      </c>
      <c r="D32" s="17" t="n">
        <v>664000</v>
      </c>
      <c r="E32" s="17" t="n">
        <v>734000</v>
      </c>
      <c r="F32" s="17" t="n">
        <v>696000</v>
      </c>
    </row>
    <row r="33">
      <c r="A33" s="16" t="inlineStr">
        <is>
          <t>Anden gæld (langfristet)</t>
        </is>
      </c>
      <c r="B33" s="17" t="n">
        <v>0</v>
      </c>
      <c r="C33" s="17" t="n">
        <v>16359000</v>
      </c>
      <c r="D33" s="17" t="n">
        <v>11558000</v>
      </c>
      <c r="E33" s="17" t="n">
        <v>11557000</v>
      </c>
      <c r="F33" s="17" t="n">
        <v>11570000</v>
      </c>
    </row>
    <row r="34">
      <c r="A34" s="15" t="inlineStr">
        <is>
          <t>Langfristede gældsforpligtelser</t>
        </is>
      </c>
      <c r="B34" s="17" t="n">
        <v>1359000</v>
      </c>
      <c r="C34" s="17" t="n">
        <v>21818000</v>
      </c>
      <c r="D34" s="17" t="n">
        <v>14549000</v>
      </c>
      <c r="E34" s="17" t="n">
        <v>19927000</v>
      </c>
      <c r="F34" s="17" t="n">
        <v>25740000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2160000</v>
      </c>
      <c r="C37" s="17" t="n">
        <v>1644000</v>
      </c>
      <c r="D37" s="17" t="n">
        <v>2268000</v>
      </c>
      <c r="E37" s="17" t="n">
        <v>5085000</v>
      </c>
      <c r="F37" s="17" t="n">
        <v>2328000</v>
      </c>
    </row>
    <row r="38">
      <c r="A38" s="16" t="inlineStr">
        <is>
          <t>Leasingforpligtelser (kortfristet)</t>
        </is>
      </c>
      <c r="B38" s="17" t="n">
        <v>177000</v>
      </c>
      <c r="C38" s="17" t="n">
        <v>209000</v>
      </c>
      <c r="D38" s="17" t="n">
        <v>230000</v>
      </c>
      <c r="E38" s="17" t="n">
        <v>253000</v>
      </c>
      <c r="F38" s="17" t="n">
        <v>262000</v>
      </c>
    </row>
    <row r="39">
      <c r="A39" s="16" t="inlineStr">
        <is>
          <t>Leverandører af varer og tjenesteydelser</t>
        </is>
      </c>
      <c r="B39" s="17" t="n">
        <v>1036000</v>
      </c>
      <c r="C39" s="17" t="n">
        <v>1242000</v>
      </c>
      <c r="D39" s="17" t="n">
        <v>1294000</v>
      </c>
      <c r="E39" s="17" t="n">
        <v>1519000</v>
      </c>
      <c r="F39" s="17" t="n">
        <v>1324000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1840000</v>
      </c>
      <c r="C44" s="17" t="n">
        <v>2544000</v>
      </c>
      <c r="D44" s="17" t="n">
        <v>3249000</v>
      </c>
      <c r="E44" s="17" t="n">
        <v>2425000</v>
      </c>
      <c r="F44" s="17" t="n">
        <v>2382000</v>
      </c>
    </row>
    <row r="45">
      <c r="A45" s="16" t="inlineStr">
        <is>
          <t>Periodeafgrænsningsposter (passiver)</t>
        </is>
      </c>
      <c r="B45" s="17" t="n">
        <v>8000</v>
      </c>
      <c r="C45" s="17" t="n">
        <v>2000</v>
      </c>
      <c r="D45" s="17" t="n">
        <v>1000</v>
      </c>
      <c r="E45" s="17" t="n">
        <v>1000</v>
      </c>
      <c r="F45" s="17" t="n">
        <v>1000</v>
      </c>
    </row>
    <row r="46">
      <c r="A46" s="15" t="inlineStr">
        <is>
          <t>Kortfristede gældsforpligtelser</t>
        </is>
      </c>
      <c r="B46" s="17" t="n">
        <v>6314000</v>
      </c>
      <c r="C46" s="17" t="n">
        <v>7336000</v>
      </c>
      <c r="D46" s="17" t="n">
        <v>16311000</v>
      </c>
      <c r="E46" s="17" t="n">
        <v>10204000</v>
      </c>
      <c r="F46" s="17" t="n">
        <v>6505000</v>
      </c>
    </row>
    <row r="47">
      <c r="A47" s="15" t="inlineStr">
        <is>
          <t>Gældsforpligtelser</t>
        </is>
      </c>
      <c r="B47" s="17" t="n">
        <v>7673000</v>
      </c>
      <c r="C47" s="17" t="n">
        <v>29154000</v>
      </c>
      <c r="D47" s="17" t="n">
        <v>30860000</v>
      </c>
      <c r="E47" s="17" t="n">
        <v>30131000</v>
      </c>
      <c r="F47" s="17" t="n">
        <v>32245000</v>
      </c>
    </row>
    <row r="48">
      <c r="A48" s="15" t="inlineStr">
        <is>
          <t>Passiver</t>
        </is>
      </c>
      <c r="B48" s="17" t="n">
        <v>15841000</v>
      </c>
      <c r="C48" s="17" t="n">
        <v>37446000</v>
      </c>
      <c r="D48" s="17" t="n">
        <v>48159000</v>
      </c>
      <c r="E48" s="17" t="n">
        <v>48073000</v>
      </c>
      <c r="F48" s="17" t="n">
        <v>48367000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colo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5290000</v>
      </c>
      <c r="C2" s="17" t="n">
        <v>5099000</v>
      </c>
      <c r="D2" s="17" t="n">
        <v>4226000</v>
      </c>
      <c r="E2" s="17" t="n">
        <v>2766000</v>
      </c>
      <c r="F2" s="17" t="n">
        <v>6645000</v>
      </c>
    </row>
    <row r="3">
      <c r="A3" s="16" t="inlineStr">
        <is>
          <t>Pengestrømme fra investeringsaktivitet</t>
        </is>
      </c>
      <c r="B3" s="17" t="n">
        <v>-2011000</v>
      </c>
      <c r="C3" s="17" t="n">
        <v>-11759000</v>
      </c>
      <c r="D3" s="17" t="n">
        <v>-8957000</v>
      </c>
      <c r="E3" s="17" t="n">
        <v>-1336000</v>
      </c>
      <c r="F3" s="17" t="n">
        <v>-1251000</v>
      </c>
    </row>
    <row r="4">
      <c r="A4" s="16" t="inlineStr">
        <is>
          <t>Pengestrømme fra finansieringsaktivitet</t>
        </is>
      </c>
      <c r="B4" s="17" t="n">
        <v>-3176000</v>
      </c>
      <c r="C4" s="17" t="n">
        <v>6591000</v>
      </c>
      <c r="D4" s="17" t="n">
        <v>5265000</v>
      </c>
      <c r="E4" s="17" t="n">
        <v>-1518000</v>
      </c>
      <c r="F4" s="17" t="n">
        <v>-5187000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colo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'balance_raw'!$F$48-'balance_raw'!$F$27</f>
        <v/>
      </c>
      <c r="C24" s="24">
        <f>'balance_raw'!$E$48-'balance_raw'!$E$27</f>
        <v/>
      </c>
      <c r="D24" s="24">
        <f>'balance_raw'!$D$48-'balance_raw'!$D$27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'balance_raw'!$F$46</f>
        <v/>
      </c>
      <c r="C30" s="24">
        <f>'balance_raw'!$E$46</f>
        <v/>
      </c>
      <c r="D30" s="24">
        <f>'balance_raw'!$D$46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IF('balance_raw'!$F$20="","—",IF(ABS(B21-'balance_raw'!$F$20)&lt;=1,"✓ OK","❌ "&amp;TEXT(B21-'balance_raw'!$F$20,"+#,##0;-#,##0")&amp;" t.kr."))</f>
        <v/>
      </c>
      <c r="C62" s="31">
        <f>IF('balance_raw'!$E$20="","—",IF(ABS(C21-'balance_raw'!$E$20)&lt;=1,"✓ OK","❌ "&amp;TEXT(C21-'balance_raw'!$E$20,"+#,##0;-#,##0")&amp;" t.kr."))</f>
        <v/>
      </c>
      <c r="D62" s="31">
        <f>IF('balance_raw'!$D$20="","—",IF(ABS(D21-'balance_raw'!$D$20)&lt;=1,"✓ OK","❌ "&amp;TEXT(D21-'balance_raw'!$D$20,"+#,##0;-#,##0")&amp;"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IF('balance_raw'!$F$48="","—",IF(ABS(B25-'balance_raw'!$F$48)&lt;=1,"✓ OK","❌ "&amp;TEXT(B25-'balance_raw'!$F$48,"+#,##0;-#,##0")&amp;" t.kr."))</f>
        <v/>
      </c>
      <c r="C63" s="31">
        <f>IF('balance_raw'!$E$48="","—",IF(ABS(C25-'balance_raw'!$E$48)&lt;=1,"✓ OK","❌ "&amp;TEXT(C25-'balance_raw'!$E$48,"+#,##0;-#,##0")&amp;" t.kr."))</f>
        <v/>
      </c>
      <c r="D63" s="31">
        <f>IF('balance_raw'!$D$48="","—",IF(ABS(D25-'balance_raw'!$D$48)&lt;=1,"✓ OK","❌ "&amp;TEXT(D25-'balance_raw'!$D$48,"+#,##0;-#,##0")&amp;"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colo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ifrs-full:AccrualsAndDeferredIncomeClassifiedAsCurrent</t>
        </is>
      </c>
      <c r="C3" s="36" t="inlineStr">
        <is>
          <t>ifrs-full:AccrualsAndDeferredIncomeClassifiedAsCurrent</t>
        </is>
      </c>
      <c r="D3" s="37" t="n"/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ifrs-full:AccrualsAndDeferredIncomeClassifiedAsNoncurrent</t>
        </is>
      </c>
      <c r="C4" s="39" t="inlineStr">
        <is>
          <t>ifrs-full:AccrualsAndDeferredIncomeClassifiedAsNoncurrent</t>
        </is>
      </c>
      <c r="D4" s="40" t="n"/>
      <c r="E4" s="40" t="n"/>
      <c r="F4" s="40" t="n"/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ifrs-full:AdjustmentsForAmortisationExpense</t>
        </is>
      </c>
      <c r="C5" s="36" t="inlineStr">
        <is>
          <t>ifrs-full:AdjustmentsForAmortisationExpense</t>
        </is>
      </c>
      <c r="D5" s="37" t="n">
        <v>129000</v>
      </c>
      <c r="E5" s="37" t="n">
        <v>260000</v>
      </c>
      <c r="F5" s="37" t="n">
        <v>334000</v>
      </c>
      <c r="G5" s="37" t="n">
        <v>451000</v>
      </c>
      <c r="H5" s="37" t="n">
        <v>590000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ifrs-full:AdjustmentsForDepreciationExpense</t>
        </is>
      </c>
      <c r="C6" s="39" t="inlineStr">
        <is>
          <t>ifrs-full:AdjustmentsForDepreciationExpense</t>
        </is>
      </c>
      <c r="D6" s="40" t="n">
        <v>663000</v>
      </c>
      <c r="E6" s="40" t="n">
        <v>670000</v>
      </c>
      <c r="F6" s="40" t="n">
        <v>735000</v>
      </c>
      <c r="G6" s="40" t="n">
        <v>839000</v>
      </c>
      <c r="H6" s="40" t="n">
        <v>863000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ifrs-full:CashAndCashEquivalentsInSubsidiaryOrBusinessesAcquiredOrDisposed2013</t>
        </is>
      </c>
      <c r="C7" s="36" t="inlineStr">
        <is>
          <t>ifrs-full:CashAndCashEquivalentsInSubsidiaryOrBusinessesAcquiredOrDisposed2013</t>
        </is>
      </c>
      <c r="D7" s="37" t="n">
        <v>2000</v>
      </c>
      <c r="E7" s="37" t="n">
        <v>-2000</v>
      </c>
      <c r="F7" s="37" t="n">
        <v>0</v>
      </c>
      <c r="G7" s="37" t="n"/>
      <c r="H7" s="37" t="n"/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ifrs-full:CurrentBondsIssuedAndCurrentPortionOfNoncurrentBondsIssued</t>
        </is>
      </c>
      <c r="C8" s="39" t="inlineStr">
        <is>
          <t>ifrs-full:CurrentBondsIssuedAndCurrentPortionOfNoncurrentBondsIssued</t>
        </is>
      </c>
      <c r="D8" s="40" t="n"/>
      <c r="E8" s="40" t="n">
        <v>0</v>
      </c>
      <c r="F8" s="40" t="n">
        <v>4847000</v>
      </c>
      <c r="G8" s="40" t="n">
        <v>0</v>
      </c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ifrs-full:CurrentInvestments</t>
        </is>
      </c>
      <c r="C9" s="36" t="inlineStr">
        <is>
          <t>ifrs-full:CurrentInvestments</t>
        </is>
      </c>
      <c r="D9" s="37" t="n">
        <v>226000</v>
      </c>
      <c r="E9" s="37" t="n">
        <v>219000</v>
      </c>
      <c r="F9" s="37" t="n">
        <v>0</v>
      </c>
      <c r="G9" s="37" t="n"/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ifrs-full:CurrentProvisionsForEmployeeBenefits</t>
        </is>
      </c>
      <c r="C10" s="39" t="inlineStr">
        <is>
          <t>ifrs-full:CurrentProvisionsForEmployeeBenefits</t>
        </is>
      </c>
      <c r="D10" s="40" t="n">
        <v>15000</v>
      </c>
      <c r="E10" s="40" t="n">
        <v>6000</v>
      </c>
      <c r="F10" s="40" t="n">
        <v>7000</v>
      </c>
      <c r="G10" s="40" t="n">
        <v>7000</v>
      </c>
      <c r="H10" s="40" t="n">
        <v>8000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ifrs-full:DividendsRecognisedAsDistributionsToOwnersOfParentRelatingToPriorYears</t>
        </is>
      </c>
      <c r="C11" s="36" t="inlineStr">
        <is>
          <t>ifrs-full:DividendsRecognisedAsDistributionsToOwnersOfParentRelatingToPriorYears</t>
        </is>
      </c>
      <c r="D11" s="37" t="n">
        <v>0</v>
      </c>
      <c r="E11" s="37" t="n">
        <v>0</v>
      </c>
      <c r="F11" s="37" t="n">
        <v>0</v>
      </c>
      <c r="G11" s="37" t="n">
        <v>0</v>
      </c>
      <c r="H11" s="37" t="n"/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ifrs-full:DividendsRecognisedAsDistributionsToOwnersPerShare</t>
        </is>
      </c>
      <c r="C12" s="39" t="inlineStr">
        <is>
          <t>ifrs-full:DividendsRecognisedAsDistributionsToOwnersPerShare</t>
        </is>
      </c>
      <c r="D12" s="40" t="n"/>
      <c r="E12" s="40" t="n">
        <v>0</v>
      </c>
      <c r="F12" s="40" t="n">
        <v>0</v>
      </c>
      <c r="G12" s="40" t="n">
        <v>0</v>
      </c>
      <c r="H12" s="40" t="n">
        <v>0</v>
      </c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ifrs-full:IncreaseDecreaseInCashAndCashEquivalentsDiscontinuedOperations</t>
        </is>
      </c>
      <c r="C13" s="36" t="inlineStr">
        <is>
          <t>ifrs-full:IncreaseDecreaseInCashAndCashEquivalentsDiscontinuedOperations</t>
        </is>
      </c>
      <c r="D13" s="37" t="n"/>
      <c r="E13" s="37" t="n"/>
      <c r="F13" s="37" t="n"/>
      <c r="G13" s="37" t="n">
        <v>-4000</v>
      </c>
      <c r="H13" s="37" t="n">
        <v>0</v>
      </c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ifrs-full:NoncurrentPortionOfOtherNoncurrentBorrowings</t>
        </is>
      </c>
      <c r="C14" s="39" t="inlineStr">
        <is>
          <t>ifrs-full:NoncurrentPortionOfOtherNoncurrentBorrowings</t>
        </is>
      </c>
      <c r="D14" s="40" t="n"/>
      <c r="E14" s="40" t="n"/>
      <c r="F14" s="40" t="n"/>
      <c r="G14" s="40" t="n">
        <v>5000000</v>
      </c>
      <c r="H14" s="40" t="n">
        <v>7783000</v>
      </c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ifrs-full:ProceedsFromIssueOfBondsNotesAndDebentures</t>
        </is>
      </c>
      <c r="C15" s="36" t="inlineStr">
        <is>
          <t>ifrs-full:ProceedsFromIssueOfBondsNotesAndDebentures</t>
        </is>
      </c>
      <c r="D15" s="37" t="n">
        <v>0</v>
      </c>
      <c r="E15" s="37" t="n">
        <v>16367000</v>
      </c>
      <c r="F15" s="37" t="n">
        <v>0</v>
      </c>
      <c r="G15" s="37" t="n"/>
      <c r="H15" s="37" t="n"/>
      <c r="I15" s="38" t="inlineStr">
        <is>
          <t>Ingen forklaring tilgængelig.</t>
        </is>
      </c>
    </row>
    <row r="16" ht="30" customHeight="1">
      <c r="A16" s="39" t="inlineStr">
        <is>
          <t>Øvrige (ukendt)</t>
        </is>
      </c>
      <c r="B16" s="39" t="inlineStr">
        <is>
          <t>ifrs-full:RepaymentsOfBondsNotesAndDebentures</t>
        </is>
      </c>
      <c r="C16" s="39" t="inlineStr">
        <is>
          <t>ifrs-full:RepaymentsOfBondsNotesAndDebentures</t>
        </is>
      </c>
      <c r="D16" s="40" t="n"/>
      <c r="E16" s="40" t="n"/>
      <c r="F16" s="40" t="n"/>
      <c r="G16" s="40" t="n">
        <v>4848000</v>
      </c>
      <c r="H16" s="40" t="n">
        <v>0</v>
      </c>
      <c r="I16" s="41" t="inlineStr">
        <is>
          <t>Ingen forklaring tilgængelig.</t>
        </is>
      </c>
    </row>
    <row r="17" ht="30" customHeight="1">
      <c r="A17" s="36" t="inlineStr">
        <is>
          <t>Øvrige (ukendt)</t>
        </is>
      </c>
      <c r="B17" s="36" t="inlineStr">
        <is>
          <t>ifrs-full:ReserveOfExchangeDifferencesOnTranslation</t>
        </is>
      </c>
      <c r="C17" s="36" t="inlineStr">
        <is>
          <t>ifrs-full:ReserveOfExchangeDifferencesOnTranslation</t>
        </is>
      </c>
      <c r="D17" s="37" t="n">
        <v>-392000</v>
      </c>
      <c r="E17" s="37" t="n">
        <v>-910000</v>
      </c>
      <c r="F17" s="37" t="n">
        <v>-1579000</v>
      </c>
      <c r="G17" s="37" t="n">
        <v>-1837000</v>
      </c>
      <c r="H17" s="37" t="n">
        <v>-2137000</v>
      </c>
      <c r="I17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2026-10-02T21:11:48Z</dcterms:created>
  <dcterms:modified xmlns:dcterms="http://purl.org/dc/terms/" xmlns:xsi="http://www.w3.org/2001/XMLSchema-instance" xsi:type="dcterms:W3CDTF">2026-10-02T21:11:49Z</dcterms:modified>
</cp:coreProperties>
</file>