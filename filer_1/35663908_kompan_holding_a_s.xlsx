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blik_35663908" sheetId="1" state="visible" r:id="rId1"/>
    <sheet xmlns:r="http://schemas.openxmlformats.org/officeDocument/2006/relationships" name="res_raw_35663908" sheetId="2" state="visible" r:id="rId2"/>
    <sheet xmlns:r="http://schemas.openxmlformats.org/officeDocument/2006/relationships" name="balance_raw_35663908" sheetId="3" state="visible" r:id="rId3"/>
    <sheet xmlns:r="http://schemas.openxmlformats.org/officeDocument/2006/relationships" name="pengestrom_raw_35663908" sheetId="4" state="visible" r:id="rId4"/>
    <sheet xmlns:r="http://schemas.openxmlformats.org/officeDocument/2006/relationships" name="Simpel_arts" sheetId="5" state="visible" r:id="rId5"/>
    <sheet xmlns:r="http://schemas.openxmlformats.org/officeDocument/2006/relationships" name="Noter_info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10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color rgb="00000000"/>
      <sz val="10"/>
    </font>
    <font>
      <name val="Calibri"/>
      <b val="1"/>
      <color rgb="00000000"/>
      <sz val="10"/>
    </font>
    <font>
      <name val="Calibri"/>
      <b val="1"/>
      <color rgb="001F4E79"/>
      <sz val="14"/>
    </font>
    <font>
      <name val="Calibri"/>
      <b val="1"/>
      <color rgb="001F4E79"/>
      <sz val="11"/>
    </font>
    <font>
      <name val="Calibri"/>
      <i val="1"/>
      <color rgb="00595959"/>
      <sz val="9"/>
    </font>
    <font>
      <name val="Calibri"/>
      <i val="1"/>
      <color rgb="00595959"/>
      <sz val="10"/>
    </font>
    <font>
      <name val="Calibri"/>
      <b val="1"/>
      <color rgb="001F4E79"/>
      <sz val="13"/>
    </font>
    <font>
      <name val="Calibri"/>
      <color rgb="00444444"/>
      <sz val="9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  <fill>
      <patternFill patternType="solid">
        <fgColor rgb="00D6E4F0"/>
      </patternFill>
    </fill>
    <fill>
      <patternFill patternType="solid">
        <fgColor rgb="00EBF3FB"/>
        <bgColor rgb="00EBF3FB"/>
      </patternFill>
    </fill>
    <fill>
      <patternFill patternType="solid">
        <fgColor rgb="001F4E79"/>
        <bgColor rgb="001F4E79"/>
      </patternFill>
    </fill>
    <fill>
      <patternFill patternType="solid">
        <fgColor rgb="00D6E4F0"/>
        <bgColor rgb="00D6E4F0"/>
      </patternFill>
    </fill>
  </fills>
  <borders count="6">
    <border>
      <left/>
      <right/>
      <top/>
      <bottom/>
      <diagonal/>
    </border>
    <border>
      <top style="thin">
        <color rgb="00BDD7EE"/>
      </top>
      <bottom style="thin">
        <color rgb="00BDD7EE"/>
      </bottom>
    </border>
    <border>
      <top style="medium">
        <color rgb="002E75B6"/>
      </top>
      <bottom style="thin">
        <color rgb="002E75B6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/>
    <border>
      <left style="thin">
        <color rgb="00BFBFBF"/>
      </left>
      <right style="thin">
        <color rgb="00BFBFBF"/>
      </right>
      <top style="medium">
        <color rgb="00000000"/>
      </top>
      <bottom style="thin">
        <color rgb="00BFBFBF"/>
      </bottom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 wrapText="1"/>
    </xf>
    <xf numFmtId="0" fontId="2" fillId="3" borderId="1" pivotButton="0" quotePrefix="0" xfId="0"/>
    <xf numFmtId="3" fontId="2" fillId="3" borderId="1" pivotButton="0" quotePrefix="0" xfId="0"/>
    <xf numFmtId="164" fontId="2" fillId="3" borderId="1" pivotButton="0" quotePrefix="0" xfId="0"/>
    <xf numFmtId="0" fontId="2" fillId="0" borderId="1" pivotButton="0" quotePrefix="0" xfId="0"/>
    <xf numFmtId="3" fontId="2" fillId="0" borderId="1" pivotButton="0" quotePrefix="0" xfId="0"/>
    <xf numFmtId="164" fontId="2" fillId="0" borderId="1" pivotButton="0" quotePrefix="0" xfId="0"/>
    <xf numFmtId="0" fontId="3" fillId="4" borderId="2" pivotButton="0" quotePrefix="0" xfId="0"/>
    <xf numFmtId="3" fontId="3" fillId="4" borderId="2" pivotButton="0" quotePrefix="0" xfId="0"/>
    <xf numFmtId="164" fontId="3" fillId="4" borderId="2" pivotButton="0" quotePrefix="0" xfId="0"/>
    <xf numFmtId="4" fontId="2" fillId="0" borderId="1" pivotButton="0" quotePrefix="0" xfId="0"/>
    <xf numFmtId="4" fontId="2" fillId="3" borderId="1" pivotButton="0" quotePrefix="0" xfId="0"/>
    <xf numFmtId="0" fontId="3" fillId="0" borderId="0" pivotButton="0" quotePrefix="0" xfId="0"/>
    <xf numFmtId="0" fontId="2" fillId="0" borderId="0" pivotButton="0" quotePrefix="0" xfId="0"/>
    <xf numFmtId="3" fontId="2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3" fillId="5" borderId="3" pivotButton="0" quotePrefix="0" xfId="0"/>
    <xf numFmtId="0" fontId="3" fillId="5" borderId="3" applyAlignment="1" pivotButton="0" quotePrefix="0" xfId="0">
      <alignment horizontal="center" vertical="center"/>
    </xf>
    <xf numFmtId="0" fontId="3" fillId="5" borderId="3" applyAlignment="1" pivotButton="0" quotePrefix="0" xfId="0">
      <alignment horizontal="left" vertical="center"/>
    </xf>
    <xf numFmtId="0" fontId="1" fillId="6" borderId="4" applyAlignment="1" pivotButton="0" quotePrefix="0" xfId="0">
      <alignment horizontal="center" vertical="center" wrapText="1"/>
    </xf>
    <xf numFmtId="0" fontId="2" fillId="0" borderId="3" pivotButton="0" quotePrefix="0" xfId="0"/>
    <xf numFmtId="3" fontId="2" fillId="0" borderId="3" applyAlignment="1" pivotButton="0" quotePrefix="0" xfId="0">
      <alignment horizontal="right"/>
    </xf>
    <xf numFmtId="0" fontId="7" fillId="0" borderId="3" applyAlignment="1" pivotButton="0" quotePrefix="0" xfId="0">
      <alignment vertical="top" wrapText="1"/>
    </xf>
    <xf numFmtId="0" fontId="3" fillId="7" borderId="5" pivotButton="0" quotePrefix="0" xfId="0"/>
    <xf numFmtId="3" fontId="3" fillId="7" borderId="5" applyAlignment="1" pivotButton="0" quotePrefix="0" xfId="0">
      <alignment horizontal="right"/>
    </xf>
    <xf numFmtId="0" fontId="7" fillId="7" borderId="5" applyAlignment="1" pivotButton="0" quotePrefix="0" xfId="0">
      <alignment vertical="top" wrapText="1"/>
    </xf>
    <xf numFmtId="0" fontId="0" fillId="0" borderId="3" pivotButton="0" quotePrefix="0" xfId="0"/>
    <xf numFmtId="4" fontId="2" fillId="0" borderId="3" applyAlignment="1" pivotButton="0" quotePrefix="0" xfId="0">
      <alignment horizontal="right"/>
    </xf>
    <xf numFmtId="164" fontId="2" fillId="0" borderId="3" applyAlignment="1" pivotButton="0" quotePrefix="0" xfId="0">
      <alignment horizontal="right"/>
    </xf>
    <xf numFmtId="0" fontId="6" fillId="0" borderId="3" pivotButton="0" quotePrefix="0" xfId="0"/>
    <xf numFmtId="0" fontId="8" fillId="0" borderId="0" applyAlignment="1" pivotButton="0" quotePrefix="0" xfId="0">
      <alignment horizontal="left" vertical="center"/>
    </xf>
    <xf numFmtId="0" fontId="2" fillId="3" borderId="1" applyAlignment="1" pivotButton="0" quotePrefix="0" xfId="0">
      <alignment vertical="center" wrapText="1"/>
    </xf>
    <xf numFmtId="3" fontId="2" fillId="3" borderId="1" applyAlignment="1" pivotButton="0" quotePrefix="0" xfId="0">
      <alignment horizontal="right" vertical="center"/>
    </xf>
    <xf numFmtId="0" fontId="9" fillId="3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3" fontId="2" fillId="0" borderId="1" applyAlignment="1" pivotButton="0" quotePrefix="0" xfId="0">
      <alignment horizontal="right" vertical="center"/>
    </xf>
    <xf numFmtId="0" fontId="9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4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3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</cols>
  <sheetData>
    <row r="1" ht="28" customHeight="1">
      <c r="A1" s="1" t="inlineStr">
        <is>
          <t>KOMPAN Holding A/S (CVR 35663908) — Regnskabsanalyse – Resultatopgørelse &amp; Balance (t.kr.) · Klasse C-stor · Independent Auditor’s Report</t>
        </is>
      </c>
    </row>
    <row r="2" ht="18" customHeight="1">
      <c r="A2" t="inlineStr"/>
      <c r="B2" t="inlineStr"/>
      <c r="C2" t="inlineStr"/>
      <c r="D2" t="inlineStr"/>
      <c r="E2" t="inlineStr"/>
      <c r="F2" t="inlineStr"/>
      <c r="G2" t="inlineStr"/>
      <c r="H2" s="2" t="inlineStr">
        <is>
          <t>Indekstal (2021=100)</t>
        </is>
      </c>
      <c r="I2" t="inlineStr"/>
      <c r="J2" t="inlineStr"/>
      <c r="K2" t="inlineStr"/>
      <c r="L2" t="inlineStr"/>
    </row>
    <row r="3" ht="22" customHeight="1">
      <c r="A3" s="3" t="inlineStr">
        <is>
          <t>Resultatopgørelse t.kr.</t>
        </is>
      </c>
      <c r="B3" s="3" t="n">
        <v>2021</v>
      </c>
      <c r="C3" s="3" t="n">
        <v>2022</v>
      </c>
      <c r="D3" s="3" t="n">
        <v>2023</v>
      </c>
      <c r="E3" s="3" t="n">
        <v>2024</v>
      </c>
      <c r="F3" s="3" t="n">
        <v>2025</v>
      </c>
      <c r="G3" t="inlineStr"/>
      <c r="H3" s="3" t="n">
        <v>2021</v>
      </c>
      <c r="I3" s="3" t="n">
        <v>2022</v>
      </c>
      <c r="J3" s="3" t="n">
        <v>2023</v>
      </c>
      <c r="K3" s="3" t="n">
        <v>2024</v>
      </c>
      <c r="L3" s="3" t="n">
        <v>2025</v>
      </c>
    </row>
    <row r="4" ht="16" customHeight="1">
      <c r="A4" s="4" t="inlineStr">
        <is>
          <t>Nettoomsætning</t>
        </is>
      </c>
      <c r="B4" s="5">
        <f>'res_raw_35663908'!$B$2</f>
        <v/>
      </c>
      <c r="C4" s="5">
        <f>'res_raw_35663908'!$C$2</f>
        <v/>
      </c>
      <c r="D4" s="5">
        <f>'res_raw_35663908'!$D$2</f>
        <v/>
      </c>
      <c r="E4" s="5">
        <f>'res_raw_35663908'!$E$2</f>
        <v/>
      </c>
      <c r="F4" s="5">
        <f>'res_raw_35663908'!$F$2</f>
        <v/>
      </c>
      <c r="G4" t="inlineStr"/>
      <c r="H4" s="6">
        <f>IFERROR(B4/$B$4*100,"")</f>
        <v/>
      </c>
      <c r="I4" s="6">
        <f>IFERROR(C4/$B$4*100,"")</f>
        <v/>
      </c>
      <c r="J4" s="6">
        <f>IFERROR(D4/$B$4*100,"")</f>
        <v/>
      </c>
      <c r="K4" s="6">
        <f>IFERROR(E4/$B$4*100,"")</f>
        <v/>
      </c>
      <c r="L4" s="6">
        <f>IFERROR(F4/$B$4*100,"")</f>
        <v/>
      </c>
    </row>
    <row r="5" ht="16" customHeight="1">
      <c r="A5" s="7" t="inlineStr">
        <is>
          <t>Andre driftsindtægter</t>
        </is>
      </c>
      <c r="B5" s="8">
        <f>'res_raw_35663908'!$B$3</f>
        <v/>
      </c>
      <c r="C5" s="8">
        <f>'res_raw_35663908'!$C$3</f>
        <v/>
      </c>
      <c r="D5" s="8">
        <f>'res_raw_35663908'!$D$3</f>
        <v/>
      </c>
      <c r="E5" s="8">
        <f>'res_raw_35663908'!$E$3</f>
        <v/>
      </c>
      <c r="F5" s="8">
        <f>'res_raw_35663908'!$F$3</f>
        <v/>
      </c>
      <c r="G5" t="inlineStr"/>
      <c r="H5" s="9">
        <f>IFERROR(B5/$B$5*100,"")</f>
        <v/>
      </c>
      <c r="I5" s="9">
        <f>IFERROR(C5/$B$5*100,"")</f>
        <v/>
      </c>
      <c r="J5" s="9">
        <f>IFERROR(D5/$B$5*100,"")</f>
        <v/>
      </c>
      <c r="K5" s="9">
        <f>IFERROR(E5/$B$5*100,"")</f>
        <v/>
      </c>
      <c r="L5" s="9">
        <f>IFERROR(F5/$B$5*100,"")</f>
        <v/>
      </c>
    </row>
    <row r="6" ht="16" customHeight="1">
      <c r="A6" s="4" t="inlineStr">
        <is>
          <t>Vareforbrug</t>
        </is>
      </c>
      <c r="B6" s="5">
        <f>'res_raw_35663908'!$B$4</f>
        <v/>
      </c>
      <c r="C6" s="5">
        <f>'res_raw_35663908'!$C$4</f>
        <v/>
      </c>
      <c r="D6" s="5">
        <f>'res_raw_35663908'!$D$4</f>
        <v/>
      </c>
      <c r="E6" s="5">
        <f>'res_raw_35663908'!$E$4</f>
        <v/>
      </c>
      <c r="F6" s="5">
        <f>'res_raw_35663908'!$F$4</f>
        <v/>
      </c>
      <c r="G6" t="inlineStr"/>
      <c r="H6" s="6">
        <f>IFERROR(B6/$B$6*100,"")</f>
        <v/>
      </c>
      <c r="I6" s="6">
        <f>IFERROR(C6/$B$6*100,"")</f>
        <v/>
      </c>
      <c r="J6" s="6">
        <f>IFERROR(D6/$B$6*100,"")</f>
        <v/>
      </c>
      <c r="K6" s="6">
        <f>IFERROR(E6/$B$6*100,"")</f>
        <v/>
      </c>
      <c r="L6" s="6">
        <f>IFERROR(F6/$B$6*100,"")</f>
        <v/>
      </c>
    </row>
    <row r="7" ht="16" customHeight="1">
      <c r="A7" s="7" t="inlineStr">
        <is>
          <t>Andre eksterne omkostninger</t>
        </is>
      </c>
      <c r="B7" s="8">
        <f>'res_raw_35663908'!$B$5</f>
        <v/>
      </c>
      <c r="C7" s="8">
        <f>'res_raw_35663908'!$C$5</f>
        <v/>
      </c>
      <c r="D7" s="8">
        <f>'res_raw_35663908'!$D$5</f>
        <v/>
      </c>
      <c r="E7" s="8">
        <f>'res_raw_35663908'!$E$5</f>
        <v/>
      </c>
      <c r="F7" s="8">
        <f>'res_raw_35663908'!$F$5</f>
        <v/>
      </c>
      <c r="G7" t="inlineStr"/>
      <c r="H7" s="9">
        <f>IFERROR(B7/$B$7*100,"")</f>
        <v/>
      </c>
      <c r="I7" s="9">
        <f>IFERROR(C7/$B$7*100,"")</f>
        <v/>
      </c>
      <c r="J7" s="9">
        <f>IFERROR(D7/$B$7*100,"")</f>
        <v/>
      </c>
      <c r="K7" s="9">
        <f>IFERROR(E7/$B$7*100,"")</f>
        <v/>
      </c>
      <c r="L7" s="9">
        <f>IFERROR(F7/$B$7*100,"")</f>
        <v/>
      </c>
    </row>
    <row r="8" ht="16" customHeight="1">
      <c r="A8" s="10" t="inlineStr">
        <is>
          <t>Bruttoresultat</t>
        </is>
      </c>
      <c r="B8" s="11">
        <f>'res_raw_35663908'!$B$6</f>
        <v/>
      </c>
      <c r="C8" s="11">
        <f>'res_raw_35663908'!$C$6</f>
        <v/>
      </c>
      <c r="D8" s="11">
        <f>'res_raw_35663908'!$D$6</f>
        <v/>
      </c>
      <c r="E8" s="11">
        <f>'res_raw_35663908'!$E$6</f>
        <v/>
      </c>
      <c r="F8" s="11">
        <f>'res_raw_35663908'!$F$6</f>
        <v/>
      </c>
      <c r="G8" t="inlineStr"/>
      <c r="H8" s="12">
        <f>IFERROR(B8/$B$8*100,"")</f>
        <v/>
      </c>
      <c r="I8" s="12">
        <f>IFERROR(C8/$B$8*100,"")</f>
        <v/>
      </c>
      <c r="J8" s="12">
        <f>IFERROR(D8/$B$8*100,"")</f>
        <v/>
      </c>
      <c r="K8" s="12">
        <f>IFERROR(E8/$B$8*100,"")</f>
        <v/>
      </c>
      <c r="L8" s="12">
        <f>IFERROR(F8/$B$8*100,"")</f>
        <v/>
      </c>
    </row>
    <row r="9" ht="16" customHeight="1">
      <c r="A9" s="7" t="inlineStr">
        <is>
          <t>Personaleomkostninger</t>
        </is>
      </c>
      <c r="B9" s="8">
        <f>'res_raw_35663908'!$B$7</f>
        <v/>
      </c>
      <c r="C9" s="8">
        <f>'res_raw_35663908'!$C$7</f>
        <v/>
      </c>
      <c r="D9" s="8">
        <f>'res_raw_35663908'!$D$7</f>
        <v/>
      </c>
      <c r="E9" s="8">
        <f>'res_raw_35663908'!$E$7</f>
        <v/>
      </c>
      <c r="F9" s="8">
        <f>'res_raw_35663908'!$F$7</f>
        <v/>
      </c>
      <c r="G9" t="inlineStr"/>
      <c r="H9" s="9">
        <f>IFERROR(B9/$B$9*100,"")</f>
        <v/>
      </c>
      <c r="I9" s="9">
        <f>IFERROR(C9/$B$9*100,"")</f>
        <v/>
      </c>
      <c r="J9" s="9">
        <f>IFERROR(D9/$B$9*100,"")</f>
        <v/>
      </c>
      <c r="K9" s="9">
        <f>IFERROR(E9/$B$9*100,"")</f>
        <v/>
      </c>
      <c r="L9" s="9">
        <f>IFERROR(F9/$B$9*100,"")</f>
        <v/>
      </c>
    </row>
    <row r="10" ht="16" customHeight="1">
      <c r="A10" s="10" t="inlineStr">
        <is>
          <t>Resultat før afskrivninger</t>
        </is>
      </c>
      <c r="B10" s="11">
        <f>IFERROR($B$8-ABS($B$9),"")</f>
        <v/>
      </c>
      <c r="C10" s="11">
        <f>IFERROR($C$8-ABS($C$9),"")</f>
        <v/>
      </c>
      <c r="D10" s="11">
        <f>IFERROR($D$8-ABS($D$9),"")</f>
        <v/>
      </c>
      <c r="E10" s="11">
        <f>IFERROR($E$8-ABS($E$9),"")</f>
        <v/>
      </c>
      <c r="F10" s="11">
        <f>IFERROR($F$8-ABS($F$9),"")</f>
        <v/>
      </c>
      <c r="G10" t="inlineStr"/>
      <c r="H10" s="12">
        <f>IFERROR(B10/$B$10*100,"")</f>
        <v/>
      </c>
      <c r="I10" s="12">
        <f>IFERROR(C10/$B$10*100,"")</f>
        <v/>
      </c>
      <c r="J10" s="12">
        <f>IFERROR(D10/$B$10*100,"")</f>
        <v/>
      </c>
      <c r="K10" s="12">
        <f>IFERROR(E10/$B$10*100,"")</f>
        <v/>
      </c>
      <c r="L10" s="12">
        <f>IFERROR(F10/$B$10*100,"")</f>
        <v/>
      </c>
    </row>
    <row r="11" ht="16" customHeight="1">
      <c r="A11" s="7" t="inlineStr">
        <is>
          <t>Af- og nedskrivninger</t>
        </is>
      </c>
      <c r="B11" s="8">
        <f>'res_raw_35663908'!$B$9</f>
        <v/>
      </c>
      <c r="C11" s="8">
        <f>'res_raw_35663908'!$C$9</f>
        <v/>
      </c>
      <c r="D11" s="8">
        <f>'res_raw_35663908'!$D$9</f>
        <v/>
      </c>
      <c r="E11" s="8">
        <f>'res_raw_35663908'!$E$9</f>
        <v/>
      </c>
      <c r="F11" s="8">
        <f>'res_raw_35663908'!$F$9</f>
        <v/>
      </c>
      <c r="G11" t="inlineStr"/>
      <c r="H11" s="9">
        <f>IFERROR(B11/$B$11*100,"")</f>
        <v/>
      </c>
      <c r="I11" s="9">
        <f>IFERROR(C11/$B$11*100,"")</f>
        <v/>
      </c>
      <c r="J11" s="9">
        <f>IFERROR(D11/$B$11*100,"")</f>
        <v/>
      </c>
      <c r="K11" s="9">
        <f>IFERROR(E11/$B$11*100,"")</f>
        <v/>
      </c>
      <c r="L11" s="9">
        <f>IFERROR(F11/$B$11*100,"")</f>
        <v/>
      </c>
    </row>
    <row r="12" ht="16" customHeight="1">
      <c r="A12" s="4" t="inlineStr">
        <is>
          <t>Andre driftsomkostninger</t>
        </is>
      </c>
      <c r="B12" s="5">
        <f>'res_raw_35663908'!$B$10</f>
        <v/>
      </c>
      <c r="C12" s="5">
        <f>'res_raw_35663908'!$C$10</f>
        <v/>
      </c>
      <c r="D12" s="5">
        <f>'res_raw_35663908'!$D$10</f>
        <v/>
      </c>
      <c r="E12" s="5">
        <f>'res_raw_35663908'!$E$10</f>
        <v/>
      </c>
      <c r="F12" s="5">
        <f>'res_raw_35663908'!$F$10</f>
        <v/>
      </c>
      <c r="G12" t="inlineStr"/>
      <c r="H12" s="6">
        <f>IFERROR(B12/$B$12*100,"")</f>
        <v/>
      </c>
      <c r="I12" s="6">
        <f>IFERROR(C12/$B$12*100,"")</f>
        <v/>
      </c>
      <c r="J12" s="6">
        <f>IFERROR(D12/$B$12*100,"")</f>
        <v/>
      </c>
      <c r="K12" s="6">
        <f>IFERROR(E12/$B$12*100,"")</f>
        <v/>
      </c>
      <c r="L12" s="6">
        <f>IFERROR(F12/$B$12*100,"")</f>
        <v/>
      </c>
    </row>
    <row r="13" ht="16" customHeight="1">
      <c r="A13" s="10" t="inlineStr">
        <is>
          <t>Resultat af primær drift</t>
        </is>
      </c>
      <c r="B13" s="11">
        <f>'res_raw_35663908'!$B$11</f>
        <v/>
      </c>
      <c r="C13" s="11">
        <f>'res_raw_35663908'!$C$11</f>
        <v/>
      </c>
      <c r="D13" s="11">
        <f>'res_raw_35663908'!$D$11</f>
        <v/>
      </c>
      <c r="E13" s="11">
        <f>'res_raw_35663908'!$E$11</f>
        <v/>
      </c>
      <c r="F13" s="11">
        <f>'res_raw_35663908'!$F$11</f>
        <v/>
      </c>
      <c r="G13" t="inlineStr"/>
      <c r="H13" s="12">
        <f>IFERROR(B13/$B$13*100,"")</f>
        <v/>
      </c>
      <c r="I13" s="12">
        <f>IFERROR(C13/$B$13*100,"")</f>
        <v/>
      </c>
      <c r="J13" s="12">
        <f>IFERROR(D13/$B$13*100,"")</f>
        <v/>
      </c>
      <c r="K13" s="12">
        <f>IFERROR(E13/$B$13*100,"")</f>
        <v/>
      </c>
      <c r="L13" s="12">
        <f>IFERROR(F13/$B$13*100,"")</f>
        <v/>
      </c>
    </row>
    <row r="14" ht="16" customHeight="1">
      <c r="A14" s="4" t="inlineStr">
        <is>
          <t>Indtægter af kapitalandele, dattervirksomheder</t>
        </is>
      </c>
      <c r="B14" s="5">
        <f>'res_raw_35663908'!$B$12</f>
        <v/>
      </c>
      <c r="C14" s="5">
        <f>'res_raw_35663908'!$C$12</f>
        <v/>
      </c>
      <c r="D14" s="5">
        <f>'res_raw_35663908'!$D$12</f>
        <v/>
      </c>
      <c r="E14" s="5">
        <f>'res_raw_35663908'!$E$12</f>
        <v/>
      </c>
      <c r="F14" s="5">
        <f>'res_raw_35663908'!$F$12</f>
        <v/>
      </c>
      <c r="G14" t="inlineStr"/>
      <c r="H14" s="6">
        <f>IFERROR(B14/$B$14*100,"")</f>
        <v/>
      </c>
      <c r="I14" s="6">
        <f>IFERROR(C14/$B$14*100,"")</f>
        <v/>
      </c>
      <c r="J14" s="6">
        <f>IFERROR(D14/$B$14*100,"")</f>
        <v/>
      </c>
      <c r="K14" s="6">
        <f>IFERROR(E14/$B$14*100,"")</f>
        <v/>
      </c>
      <c r="L14" s="6">
        <f>IFERROR(F14/$B$14*100,"")</f>
        <v/>
      </c>
    </row>
    <row r="15" ht="16" customHeight="1">
      <c r="A15" s="7" t="inlineStr">
        <is>
          <t>Finansielle indtægter</t>
        </is>
      </c>
      <c r="B15" s="8">
        <f>'res_raw_35663908'!$B$13</f>
        <v/>
      </c>
      <c r="C15" s="8">
        <f>'res_raw_35663908'!$C$13</f>
        <v/>
      </c>
      <c r="D15" s="8">
        <f>'res_raw_35663908'!$D$13</f>
        <v/>
      </c>
      <c r="E15" s="8">
        <f>'res_raw_35663908'!$E$13</f>
        <v/>
      </c>
      <c r="F15" s="8">
        <f>'res_raw_35663908'!$F$13</f>
        <v/>
      </c>
      <c r="G15" t="inlineStr"/>
      <c r="H15" s="9">
        <f>IFERROR(B15/$B$15*100,"")</f>
        <v/>
      </c>
      <c r="I15" s="9">
        <f>IFERROR(C15/$B$15*100,"")</f>
        <v/>
      </c>
      <c r="J15" s="9">
        <f>IFERROR(D15/$B$15*100,"")</f>
        <v/>
      </c>
      <c r="K15" s="9">
        <f>IFERROR(E15/$B$15*100,"")</f>
        <v/>
      </c>
      <c r="L15" s="9">
        <f>IFERROR(F15/$B$15*100,"")</f>
        <v/>
      </c>
    </row>
    <row r="16" ht="16" customHeight="1">
      <c r="A16" s="4" t="inlineStr">
        <is>
          <t>Finansielle omkostninger</t>
        </is>
      </c>
      <c r="B16" s="5">
        <f>'res_raw_35663908'!$B$14</f>
        <v/>
      </c>
      <c r="C16" s="5">
        <f>'res_raw_35663908'!$C$14</f>
        <v/>
      </c>
      <c r="D16" s="5">
        <f>'res_raw_35663908'!$D$14</f>
        <v/>
      </c>
      <c r="E16" s="5">
        <f>'res_raw_35663908'!$E$14</f>
        <v/>
      </c>
      <c r="F16" s="5">
        <f>'res_raw_35663908'!$F$14</f>
        <v/>
      </c>
      <c r="G16" t="inlineStr"/>
      <c r="H16" s="6">
        <f>IFERROR(B16/$B$16*100,"")</f>
        <v/>
      </c>
      <c r="I16" s="6">
        <f>IFERROR(C16/$B$16*100,"")</f>
        <v/>
      </c>
      <c r="J16" s="6">
        <f>IFERROR(D16/$B$16*100,"")</f>
        <v/>
      </c>
      <c r="K16" s="6">
        <f>IFERROR(E16/$B$16*100,"")</f>
        <v/>
      </c>
      <c r="L16" s="6">
        <f>IFERROR(F16/$B$16*100,"")</f>
        <v/>
      </c>
    </row>
    <row r="17" ht="16" customHeight="1">
      <c r="A17" s="10" t="inlineStr">
        <is>
          <t>Finansielle poster, netto</t>
        </is>
      </c>
      <c r="B17" s="11">
        <f>'res_raw_35663908'!$B$15</f>
        <v/>
      </c>
      <c r="C17" s="11">
        <f>'res_raw_35663908'!$C$15</f>
        <v/>
      </c>
      <c r="D17" s="11">
        <f>'res_raw_35663908'!$D$15</f>
        <v/>
      </c>
      <c r="E17" s="11">
        <f>'res_raw_35663908'!$E$15</f>
        <v/>
      </c>
      <c r="F17" s="11">
        <f>'res_raw_35663908'!$F$15</f>
        <v/>
      </c>
      <c r="G17" t="inlineStr"/>
      <c r="H17" s="12">
        <f>IFERROR(B17/$B$17*100,"")</f>
        <v/>
      </c>
      <c r="I17" s="12">
        <f>IFERROR(C17/$B$17*100,"")</f>
        <v/>
      </c>
      <c r="J17" s="12">
        <f>IFERROR(D17/$B$17*100,"")</f>
        <v/>
      </c>
      <c r="K17" s="12">
        <f>IFERROR(E17/$B$17*100,"")</f>
        <v/>
      </c>
      <c r="L17" s="12">
        <f>IFERROR(F17/$B$17*100,"")</f>
        <v/>
      </c>
    </row>
    <row r="18" ht="16" customHeight="1">
      <c r="A18" s="10" t="inlineStr">
        <is>
          <t>Resultat før skat</t>
        </is>
      </c>
      <c r="B18" s="11">
        <f>'res_raw_35663908'!$B$16</f>
        <v/>
      </c>
      <c r="C18" s="11">
        <f>'res_raw_35663908'!$C$16</f>
        <v/>
      </c>
      <c r="D18" s="11">
        <f>'res_raw_35663908'!$D$16</f>
        <v/>
      </c>
      <c r="E18" s="11">
        <f>'res_raw_35663908'!$E$16</f>
        <v/>
      </c>
      <c r="F18" s="11">
        <f>'res_raw_35663908'!$F$16</f>
        <v/>
      </c>
      <c r="G18" t="inlineStr"/>
      <c r="H18" s="12">
        <f>IFERROR(B18/$B$18*100,"")</f>
        <v/>
      </c>
      <c r="I18" s="12">
        <f>IFERROR(C18/$B$18*100,"")</f>
        <v/>
      </c>
      <c r="J18" s="12">
        <f>IFERROR(D18/$B$18*100,"")</f>
        <v/>
      </c>
      <c r="K18" s="12">
        <f>IFERROR(E18/$B$18*100,"")</f>
        <v/>
      </c>
      <c r="L18" s="12">
        <f>IFERROR(F18/$B$18*100,"")</f>
        <v/>
      </c>
    </row>
    <row r="19" ht="16" customHeight="1">
      <c r="A19" s="7" t="inlineStr">
        <is>
          <t>Skat af årets resultat</t>
        </is>
      </c>
      <c r="B19" s="8">
        <f>'res_raw_35663908'!$B$17</f>
        <v/>
      </c>
      <c r="C19" s="8">
        <f>'res_raw_35663908'!$C$17</f>
        <v/>
      </c>
      <c r="D19" s="8">
        <f>'res_raw_35663908'!$D$17</f>
        <v/>
      </c>
      <c r="E19" s="8">
        <f>'res_raw_35663908'!$E$17</f>
        <v/>
      </c>
      <c r="F19" s="8">
        <f>'res_raw_35663908'!$F$17</f>
        <v/>
      </c>
      <c r="G19" t="inlineStr"/>
      <c r="H19" s="9">
        <f>IFERROR(B19/$B$19*100,"")</f>
        <v/>
      </c>
      <c r="I19" s="9">
        <f>IFERROR(C19/$B$19*100,"")</f>
        <v/>
      </c>
      <c r="J19" s="9">
        <f>IFERROR(D19/$B$19*100,"")</f>
        <v/>
      </c>
      <c r="K19" s="9">
        <f>IFERROR(E19/$B$19*100,"")</f>
        <v/>
      </c>
      <c r="L19" s="9">
        <f>IFERROR(F19/$B$19*100,"")</f>
        <v/>
      </c>
    </row>
    <row r="20" ht="16" customHeight="1">
      <c r="A20" s="10" t="inlineStr">
        <is>
          <t>Årets resultat</t>
        </is>
      </c>
      <c r="B20" s="11">
        <f>'res_raw_35663908'!$B$18</f>
        <v/>
      </c>
      <c r="C20" s="11">
        <f>'res_raw_35663908'!$C$18</f>
        <v/>
      </c>
      <c r="D20" s="11">
        <f>'res_raw_35663908'!$D$18</f>
        <v/>
      </c>
      <c r="E20" s="11">
        <f>'res_raw_35663908'!$E$18</f>
        <v/>
      </c>
      <c r="F20" s="11">
        <f>'res_raw_35663908'!$F$18</f>
        <v/>
      </c>
      <c r="G20" t="inlineStr"/>
      <c r="H20" s="12">
        <f>IFERROR(B20/$B$20*100,"")</f>
        <v/>
      </c>
      <c r="I20" s="12">
        <f>IFERROR(C20/$B$20*100,"")</f>
        <v/>
      </c>
      <c r="J20" s="12">
        <f>IFERROR(D20/$B$20*100,"")</f>
        <v/>
      </c>
      <c r="K20" s="12">
        <f>IFERROR(E20/$B$20*100,"")</f>
        <v/>
      </c>
      <c r="L20" s="12">
        <f>IFERROR(F20/$B$20*100,"")</f>
        <v/>
      </c>
    </row>
    <row r="22" ht="22" customHeight="1">
      <c r="A22" s="3" t="inlineStr">
        <is>
          <t>AKTIVER t.kr.</t>
        </is>
      </c>
      <c r="B22" s="3" t="n">
        <v>2021</v>
      </c>
      <c r="C22" s="3" t="n">
        <v>2022</v>
      </c>
      <c r="D22" s="3" t="n">
        <v>2023</v>
      </c>
      <c r="E22" s="3" t="n">
        <v>2024</v>
      </c>
      <c r="F22" s="3" t="n">
        <v>2025</v>
      </c>
      <c r="G22" t="inlineStr"/>
      <c r="H22" s="3" t="n">
        <v>2021</v>
      </c>
      <c r="I22" s="3" t="n">
        <v>2022</v>
      </c>
      <c r="J22" s="3" t="n">
        <v>2023</v>
      </c>
      <c r="K22" s="3" t="n">
        <v>2024</v>
      </c>
      <c r="L22" s="3" t="n">
        <v>2025</v>
      </c>
    </row>
    <row r="23" ht="16" customHeight="1">
      <c r="A23" s="7" t="inlineStr">
        <is>
          <t>Udviklingsprojekter</t>
        </is>
      </c>
      <c r="B23" s="8">
        <f>'balance_raw_35663908'!$B$2</f>
        <v/>
      </c>
      <c r="C23" s="8">
        <f>'balance_raw_35663908'!$C$2</f>
        <v/>
      </c>
      <c r="D23" s="8">
        <f>'balance_raw_35663908'!$D$2</f>
        <v/>
      </c>
      <c r="E23" s="8">
        <f>'balance_raw_35663908'!$E$2</f>
        <v/>
      </c>
      <c r="F23" s="8">
        <f>'balance_raw_35663908'!$F$2</f>
        <v/>
      </c>
      <c r="G23" t="inlineStr"/>
      <c r="H23" s="9">
        <f>IFERROR(B23/$B$23*100,"")</f>
        <v/>
      </c>
      <c r="I23" s="9">
        <f>IFERROR(C23/$B$23*100,"")</f>
        <v/>
      </c>
      <c r="J23" s="9">
        <f>IFERROR(D23/$B$23*100,"")</f>
        <v/>
      </c>
      <c r="K23" s="9">
        <f>IFERROR(E23/$B$23*100,"")</f>
        <v/>
      </c>
      <c r="L23" s="9">
        <f>IFERROR(F23/$B$23*100,"")</f>
        <v/>
      </c>
    </row>
    <row r="24" ht="16" customHeight="1">
      <c r="A24" s="4" t="inlineStr">
        <is>
          <t>Patenter, varemærker mv.</t>
        </is>
      </c>
      <c r="B24" s="5">
        <f>'balance_raw_35663908'!$B$3</f>
        <v/>
      </c>
      <c r="C24" s="5">
        <f>'balance_raw_35663908'!$C$3</f>
        <v/>
      </c>
      <c r="D24" s="5">
        <f>'balance_raw_35663908'!$D$3</f>
        <v/>
      </c>
      <c r="E24" s="5">
        <f>'balance_raw_35663908'!$E$3</f>
        <v/>
      </c>
      <c r="F24" s="5">
        <f>'balance_raw_35663908'!$F$3</f>
        <v/>
      </c>
      <c r="G24" t="inlineStr"/>
      <c r="H24" s="6">
        <f>IFERROR(B24/$B$24*100,"")</f>
        <v/>
      </c>
      <c r="I24" s="6">
        <f>IFERROR(C24/$B$24*100,"")</f>
        <v/>
      </c>
      <c r="J24" s="6">
        <f>IFERROR(D24/$B$24*100,"")</f>
        <v/>
      </c>
      <c r="K24" s="6">
        <f>IFERROR(E24/$B$24*100,"")</f>
        <v/>
      </c>
      <c r="L24" s="6">
        <f>IFERROR(F24/$B$24*100,"")</f>
        <v/>
      </c>
    </row>
    <row r="25" ht="16" customHeight="1">
      <c r="A25" s="7" t="inlineStr">
        <is>
          <t>Goodwill</t>
        </is>
      </c>
      <c r="B25" s="8">
        <f>'balance_raw_35663908'!$B$4</f>
        <v/>
      </c>
      <c r="C25" s="8">
        <f>'balance_raw_35663908'!$C$4</f>
        <v/>
      </c>
      <c r="D25" s="8">
        <f>'balance_raw_35663908'!$D$4</f>
        <v/>
      </c>
      <c r="E25" s="8">
        <f>'balance_raw_35663908'!$E$4</f>
        <v/>
      </c>
      <c r="F25" s="8">
        <f>'balance_raw_35663908'!$F$4</f>
        <v/>
      </c>
      <c r="G25" t="inlineStr"/>
      <c r="H25" s="9">
        <f>IFERROR(B25/$B$25*100,"")</f>
        <v/>
      </c>
      <c r="I25" s="9">
        <f>IFERROR(C25/$B$25*100,"")</f>
        <v/>
      </c>
      <c r="J25" s="9">
        <f>IFERROR(D25/$B$25*100,"")</f>
        <v/>
      </c>
      <c r="K25" s="9">
        <f>IFERROR(E25/$B$25*100,"")</f>
        <v/>
      </c>
      <c r="L25" s="9">
        <f>IFERROR(F25/$B$25*100,"")</f>
        <v/>
      </c>
    </row>
    <row r="26" ht="16" customHeight="1">
      <c r="A26" s="10" t="inlineStr">
        <is>
          <t>Immaterielle anlægsaktiver</t>
        </is>
      </c>
      <c r="B26" s="11">
        <f>'balance_raw_35663908'!$B$5</f>
        <v/>
      </c>
      <c r="C26" s="11">
        <f>'balance_raw_35663908'!$C$5</f>
        <v/>
      </c>
      <c r="D26" s="11">
        <f>'balance_raw_35663908'!$D$5</f>
        <v/>
      </c>
      <c r="E26" s="11">
        <f>'balance_raw_35663908'!$E$5</f>
        <v/>
      </c>
      <c r="F26" s="11">
        <f>'balance_raw_35663908'!$F$5</f>
        <v/>
      </c>
      <c r="G26" t="inlineStr"/>
      <c r="H26" s="12">
        <f>IFERROR(B26/$B$26*100,"")</f>
        <v/>
      </c>
      <c r="I26" s="12">
        <f>IFERROR(C26/$B$26*100,"")</f>
        <v/>
      </c>
      <c r="J26" s="12">
        <f>IFERROR(D26/$B$26*100,"")</f>
        <v/>
      </c>
      <c r="K26" s="12">
        <f>IFERROR(E26/$B$26*100,"")</f>
        <v/>
      </c>
      <c r="L26" s="12">
        <f>IFERROR(F26/$B$26*100,"")</f>
        <v/>
      </c>
    </row>
    <row r="27" ht="16" customHeight="1">
      <c r="A27" s="7" t="inlineStr">
        <is>
          <t>Grunde og bygninger</t>
        </is>
      </c>
      <c r="B27" s="8">
        <f>'balance_raw_35663908'!$B$6</f>
        <v/>
      </c>
      <c r="C27" s="8">
        <f>'balance_raw_35663908'!$C$6</f>
        <v/>
      </c>
      <c r="D27" s="8">
        <f>'balance_raw_35663908'!$D$6</f>
        <v/>
      </c>
      <c r="E27" s="8">
        <f>'balance_raw_35663908'!$E$6</f>
        <v/>
      </c>
      <c r="F27" s="8">
        <f>'balance_raw_35663908'!$F$6</f>
        <v/>
      </c>
      <c r="G27" t="inlineStr"/>
      <c r="H27" s="9">
        <f>IFERROR(B27/$B$27*100,"")</f>
        <v/>
      </c>
      <c r="I27" s="9">
        <f>IFERROR(C27/$B$27*100,"")</f>
        <v/>
      </c>
      <c r="J27" s="9">
        <f>IFERROR(D27/$B$27*100,"")</f>
        <v/>
      </c>
      <c r="K27" s="9">
        <f>IFERROR(E27/$B$27*100,"")</f>
        <v/>
      </c>
      <c r="L27" s="9">
        <f>IFERROR(F27/$B$27*100,"")</f>
        <v/>
      </c>
    </row>
    <row r="28" ht="16" customHeight="1">
      <c r="A28" s="4" t="inlineStr">
        <is>
          <t>Produktionsanlæg og maskiner</t>
        </is>
      </c>
      <c r="B28" s="5">
        <f>'balance_raw_35663908'!$B$7</f>
        <v/>
      </c>
      <c r="C28" s="5">
        <f>'balance_raw_35663908'!$C$7</f>
        <v/>
      </c>
      <c r="D28" s="5">
        <f>'balance_raw_35663908'!$D$7</f>
        <v/>
      </c>
      <c r="E28" s="5">
        <f>'balance_raw_35663908'!$E$7</f>
        <v/>
      </c>
      <c r="F28" s="5">
        <f>'balance_raw_35663908'!$F$7</f>
        <v/>
      </c>
      <c r="G28" t="inlineStr"/>
      <c r="H28" s="6">
        <f>IFERROR(B28/$B$28*100,"")</f>
        <v/>
      </c>
      <c r="I28" s="6">
        <f>IFERROR(C28/$B$28*100,"")</f>
        <v/>
      </c>
      <c r="J28" s="6">
        <f>IFERROR(D28/$B$28*100,"")</f>
        <v/>
      </c>
      <c r="K28" s="6">
        <f>IFERROR(E28/$B$28*100,"")</f>
        <v/>
      </c>
      <c r="L28" s="6">
        <f>IFERROR(F28/$B$28*100,"")</f>
        <v/>
      </c>
    </row>
    <row r="29" ht="16" customHeight="1">
      <c r="A29" s="7" t="inlineStr">
        <is>
          <t>Driftsmateriel og inventar</t>
        </is>
      </c>
      <c r="B29" s="8">
        <f>'balance_raw_35663908'!$B$8</f>
        <v/>
      </c>
      <c r="C29" s="8">
        <f>'balance_raw_35663908'!$C$8</f>
        <v/>
      </c>
      <c r="D29" s="8">
        <f>'balance_raw_35663908'!$D$8</f>
        <v/>
      </c>
      <c r="E29" s="8">
        <f>'balance_raw_35663908'!$E$8</f>
        <v/>
      </c>
      <c r="F29" s="8">
        <f>'balance_raw_35663908'!$F$8</f>
        <v/>
      </c>
      <c r="G29" t="inlineStr"/>
      <c r="H29" s="9">
        <f>IFERROR(B29/$B$29*100,"")</f>
        <v/>
      </c>
      <c r="I29" s="9">
        <f>IFERROR(C29/$B$29*100,"")</f>
        <v/>
      </c>
      <c r="J29" s="9">
        <f>IFERROR(D29/$B$29*100,"")</f>
        <v/>
      </c>
      <c r="K29" s="9">
        <f>IFERROR(E29/$B$29*100,"")</f>
        <v/>
      </c>
      <c r="L29" s="9">
        <f>IFERROR(F29/$B$29*100,"")</f>
        <v/>
      </c>
    </row>
    <row r="30" ht="16" customHeight="1">
      <c r="A30" s="4" t="inlineStr">
        <is>
          <t>Indretning af lejede lokaler</t>
        </is>
      </c>
      <c r="B30" s="5">
        <f>'balance_raw_35663908'!$B$9</f>
        <v/>
      </c>
      <c r="C30" s="5">
        <f>'balance_raw_35663908'!$C$9</f>
        <v/>
      </c>
      <c r="D30" s="5">
        <f>'balance_raw_35663908'!$D$9</f>
        <v/>
      </c>
      <c r="E30" s="5">
        <f>'balance_raw_35663908'!$E$9</f>
        <v/>
      </c>
      <c r="F30" s="5">
        <f>'balance_raw_35663908'!$F$9</f>
        <v/>
      </c>
      <c r="G30" t="inlineStr"/>
      <c r="H30" s="6">
        <f>IFERROR(B30/$B$30*100,"")</f>
        <v/>
      </c>
      <c r="I30" s="6">
        <f>IFERROR(C30/$B$30*100,"")</f>
        <v/>
      </c>
      <c r="J30" s="6">
        <f>IFERROR(D30/$B$30*100,"")</f>
        <v/>
      </c>
      <c r="K30" s="6">
        <f>IFERROR(E30/$B$30*100,"")</f>
        <v/>
      </c>
      <c r="L30" s="6">
        <f>IFERROR(F30/$B$30*100,"")</f>
        <v/>
      </c>
    </row>
    <row r="31" ht="16" customHeight="1">
      <c r="A31" s="7" t="inlineStr">
        <is>
          <t>Forudbetaling og anlægsaktiver under opførelse</t>
        </is>
      </c>
      <c r="B31" s="8">
        <f>'balance_raw_35663908'!$B$10</f>
        <v/>
      </c>
      <c r="C31" s="8">
        <f>'balance_raw_35663908'!$C$10</f>
        <v/>
      </c>
      <c r="D31" s="8">
        <f>'balance_raw_35663908'!$D$10</f>
        <v/>
      </c>
      <c r="E31" s="8">
        <f>'balance_raw_35663908'!$E$10</f>
        <v/>
      </c>
      <c r="F31" s="8">
        <f>'balance_raw_35663908'!$F$10</f>
        <v/>
      </c>
      <c r="G31" t="inlineStr"/>
      <c r="H31" s="9">
        <f>IFERROR(B31/$B$31*100,"")</f>
        <v/>
      </c>
      <c r="I31" s="9">
        <f>IFERROR(C31/$B$31*100,"")</f>
        <v/>
      </c>
      <c r="J31" s="9">
        <f>IFERROR(D31/$B$31*100,"")</f>
        <v/>
      </c>
      <c r="K31" s="9">
        <f>IFERROR(E31/$B$31*100,"")</f>
        <v/>
      </c>
      <c r="L31" s="9">
        <f>IFERROR(F31/$B$31*100,"")</f>
        <v/>
      </c>
    </row>
    <row r="32" ht="16" customHeight="1">
      <c r="A32" s="10" t="inlineStr">
        <is>
          <t>Materielle anlægsaktiver</t>
        </is>
      </c>
      <c r="B32" s="11">
        <f>'balance_raw_35663908'!$B$11</f>
        <v/>
      </c>
      <c r="C32" s="11">
        <f>'balance_raw_35663908'!$C$11</f>
        <v/>
      </c>
      <c r="D32" s="11">
        <f>'balance_raw_35663908'!$D$11</f>
        <v/>
      </c>
      <c r="E32" s="11">
        <f>'balance_raw_35663908'!$E$11</f>
        <v/>
      </c>
      <c r="F32" s="11">
        <f>'balance_raw_35663908'!$F$11</f>
        <v/>
      </c>
      <c r="G32" t="inlineStr"/>
      <c r="H32" s="12">
        <f>IFERROR(B32/$B$32*100,"")</f>
        <v/>
      </c>
      <c r="I32" s="12">
        <f>IFERROR(C32/$B$32*100,"")</f>
        <v/>
      </c>
      <c r="J32" s="12">
        <f>IFERROR(D32/$B$32*100,"")</f>
        <v/>
      </c>
      <c r="K32" s="12">
        <f>IFERROR(E32/$B$32*100,"")</f>
        <v/>
      </c>
      <c r="L32" s="12">
        <f>IFERROR(F32/$B$32*100,"")</f>
        <v/>
      </c>
    </row>
    <row r="33" ht="16" customHeight="1">
      <c r="A33" s="7" t="inlineStr">
        <is>
          <t>Kapitalandele, dattervirksomheder</t>
        </is>
      </c>
      <c r="B33" s="8">
        <f>'balance_raw_35663908'!$B$12</f>
        <v/>
      </c>
      <c r="C33" s="8">
        <f>'balance_raw_35663908'!$C$12</f>
        <v/>
      </c>
      <c r="D33" s="8">
        <f>'balance_raw_35663908'!$D$12</f>
        <v/>
      </c>
      <c r="E33" s="8">
        <f>'balance_raw_35663908'!$E$12</f>
        <v/>
      </c>
      <c r="F33" s="8">
        <f>'balance_raw_35663908'!$F$12</f>
        <v/>
      </c>
      <c r="G33" t="inlineStr"/>
      <c r="H33" s="9">
        <f>IFERROR(B33/$B$33*100,"")</f>
        <v/>
      </c>
      <c r="I33" s="9">
        <f>IFERROR(C33/$B$33*100,"")</f>
        <v/>
      </c>
      <c r="J33" s="9">
        <f>IFERROR(D33/$B$33*100,"")</f>
        <v/>
      </c>
      <c r="K33" s="9">
        <f>IFERROR(E33/$B$33*100,"")</f>
        <v/>
      </c>
      <c r="L33" s="9">
        <f>IFERROR(F33/$B$33*100,"")</f>
        <v/>
      </c>
    </row>
    <row r="34" ht="16" customHeight="1">
      <c r="A34" s="4" t="inlineStr">
        <is>
          <t>Deposita</t>
        </is>
      </c>
      <c r="B34" s="5">
        <f>'balance_raw_35663908'!$B$13</f>
        <v/>
      </c>
      <c r="C34" s="5">
        <f>'balance_raw_35663908'!$C$13</f>
        <v/>
      </c>
      <c r="D34" s="5">
        <f>'balance_raw_35663908'!$D$13</f>
        <v/>
      </c>
      <c r="E34" s="5">
        <f>'balance_raw_35663908'!$E$13</f>
        <v/>
      </c>
      <c r="F34" s="5">
        <f>'balance_raw_35663908'!$F$13</f>
        <v/>
      </c>
      <c r="G34" t="inlineStr"/>
      <c r="H34" s="6">
        <f>IFERROR(B34/$B$34*100,"")</f>
        <v/>
      </c>
      <c r="I34" s="6">
        <f>IFERROR(C34/$B$34*100,"")</f>
        <v/>
      </c>
      <c r="J34" s="6">
        <f>IFERROR(D34/$B$34*100,"")</f>
        <v/>
      </c>
      <c r="K34" s="6">
        <f>IFERROR(E34/$B$34*100,"")</f>
        <v/>
      </c>
      <c r="L34" s="6">
        <f>IFERROR(F34/$B$34*100,"")</f>
        <v/>
      </c>
    </row>
    <row r="35" ht="16" customHeight="1">
      <c r="A35" s="10" t="inlineStr">
        <is>
          <t>Finansielle anlægsaktiver</t>
        </is>
      </c>
      <c r="B35" s="11">
        <f>'balance_raw_35663908'!$B$14</f>
        <v/>
      </c>
      <c r="C35" s="11">
        <f>'balance_raw_35663908'!$C$14</f>
        <v/>
      </c>
      <c r="D35" s="11">
        <f>'balance_raw_35663908'!$D$14</f>
        <v/>
      </c>
      <c r="E35" s="11">
        <f>'balance_raw_35663908'!$E$14</f>
        <v/>
      </c>
      <c r="F35" s="11">
        <f>'balance_raw_35663908'!$F$14</f>
        <v/>
      </c>
      <c r="G35" t="inlineStr"/>
      <c r="H35" s="12">
        <f>IFERROR(B35/$B$35*100,"")</f>
        <v/>
      </c>
      <c r="I35" s="12">
        <f>IFERROR(C35/$B$35*100,"")</f>
        <v/>
      </c>
      <c r="J35" s="12">
        <f>IFERROR(D35/$B$35*100,"")</f>
        <v/>
      </c>
      <c r="K35" s="12">
        <f>IFERROR(E35/$B$35*100,"")</f>
        <v/>
      </c>
      <c r="L35" s="12">
        <f>IFERROR(F35/$B$35*100,"")</f>
        <v/>
      </c>
    </row>
    <row r="36" ht="16" customHeight="1">
      <c r="A36" s="10" t="inlineStr">
        <is>
          <t>Anlægsaktiver</t>
        </is>
      </c>
      <c r="B36" s="11">
        <f>'balance_raw_35663908'!$B$15</f>
        <v/>
      </c>
      <c r="C36" s="11">
        <f>'balance_raw_35663908'!$C$15</f>
        <v/>
      </c>
      <c r="D36" s="11">
        <f>'balance_raw_35663908'!$D$15</f>
        <v/>
      </c>
      <c r="E36" s="11">
        <f>'balance_raw_35663908'!$E$15</f>
        <v/>
      </c>
      <c r="F36" s="11">
        <f>'balance_raw_35663908'!$F$15</f>
        <v/>
      </c>
      <c r="G36" t="inlineStr"/>
      <c r="H36" s="12">
        <f>IFERROR(B36/$B$36*100,"")</f>
        <v/>
      </c>
      <c r="I36" s="12">
        <f>IFERROR(C36/$B$36*100,"")</f>
        <v/>
      </c>
      <c r="J36" s="12">
        <f>IFERROR(D36/$B$36*100,"")</f>
        <v/>
      </c>
      <c r="K36" s="12">
        <f>IFERROR(E36/$B$36*100,"")</f>
        <v/>
      </c>
      <c r="L36" s="12">
        <f>IFERROR(F36/$B$36*100,"")</f>
        <v/>
      </c>
    </row>
    <row r="37" ht="16" customHeight="1">
      <c r="A37" s="7" t="inlineStr">
        <is>
          <t>Råvarer og hjælpematerialer</t>
        </is>
      </c>
      <c r="B37" s="8">
        <f>'balance_raw_35663908'!$B$16</f>
        <v/>
      </c>
      <c r="C37" s="8">
        <f>'balance_raw_35663908'!$C$16</f>
        <v/>
      </c>
      <c r="D37" s="8">
        <f>'balance_raw_35663908'!$D$16</f>
        <v/>
      </c>
      <c r="E37" s="8">
        <f>'balance_raw_35663908'!$E$16</f>
        <v/>
      </c>
      <c r="F37" s="8">
        <f>'balance_raw_35663908'!$F$16</f>
        <v/>
      </c>
      <c r="G37" t="inlineStr"/>
      <c r="H37" s="9">
        <f>IFERROR(B37/$B$37*100,"")</f>
        <v/>
      </c>
      <c r="I37" s="9">
        <f>IFERROR(C37/$B$37*100,"")</f>
        <v/>
      </c>
      <c r="J37" s="9">
        <f>IFERROR(D37/$B$37*100,"")</f>
        <v/>
      </c>
      <c r="K37" s="9">
        <f>IFERROR(E37/$B$37*100,"")</f>
        <v/>
      </c>
      <c r="L37" s="9">
        <f>IFERROR(F37/$B$37*100,"")</f>
        <v/>
      </c>
    </row>
    <row r="38" ht="16" customHeight="1">
      <c r="A38" s="4" t="inlineStr">
        <is>
          <t>Varer under fremstilling</t>
        </is>
      </c>
      <c r="B38" s="5">
        <f>'balance_raw_35663908'!$B$17</f>
        <v/>
      </c>
      <c r="C38" s="5">
        <f>'balance_raw_35663908'!$C$17</f>
        <v/>
      </c>
      <c r="D38" s="5">
        <f>'balance_raw_35663908'!$D$17</f>
        <v/>
      </c>
      <c r="E38" s="5">
        <f>'balance_raw_35663908'!$E$17</f>
        <v/>
      </c>
      <c r="F38" s="5">
        <f>'balance_raw_35663908'!$F$17</f>
        <v/>
      </c>
      <c r="G38" t="inlineStr"/>
      <c r="H38" s="6">
        <f>IFERROR(B38/$B$38*100,"")</f>
        <v/>
      </c>
      <c r="I38" s="6">
        <f>IFERROR(C38/$B$38*100,"")</f>
        <v/>
      </c>
      <c r="J38" s="6">
        <f>IFERROR(D38/$B$38*100,"")</f>
        <v/>
      </c>
      <c r="K38" s="6">
        <f>IFERROR(E38/$B$38*100,"")</f>
        <v/>
      </c>
      <c r="L38" s="6">
        <f>IFERROR(F38/$B$38*100,"")</f>
        <v/>
      </c>
    </row>
    <row r="39" ht="16" customHeight="1">
      <c r="A39" s="7" t="inlineStr">
        <is>
          <t>Færdigvarer og handelsvarer</t>
        </is>
      </c>
      <c r="B39" s="8">
        <f>'balance_raw_35663908'!$B$18</f>
        <v/>
      </c>
      <c r="C39" s="8">
        <f>'balance_raw_35663908'!$C$18</f>
        <v/>
      </c>
      <c r="D39" s="8">
        <f>'balance_raw_35663908'!$D$18</f>
        <v/>
      </c>
      <c r="E39" s="8">
        <f>'balance_raw_35663908'!$E$18</f>
        <v/>
      </c>
      <c r="F39" s="8">
        <f>'balance_raw_35663908'!$F$18</f>
        <v/>
      </c>
      <c r="G39" t="inlineStr"/>
      <c r="H39" s="9">
        <f>IFERROR(B39/$B$39*100,"")</f>
        <v/>
      </c>
      <c r="I39" s="9">
        <f>IFERROR(C39/$B$39*100,"")</f>
        <v/>
      </c>
      <c r="J39" s="9">
        <f>IFERROR(D39/$B$39*100,"")</f>
        <v/>
      </c>
      <c r="K39" s="9">
        <f>IFERROR(E39/$B$39*100,"")</f>
        <v/>
      </c>
      <c r="L39" s="9">
        <f>IFERROR(F39/$B$39*100,"")</f>
        <v/>
      </c>
    </row>
    <row r="40" ht="16" customHeight="1">
      <c r="A40" s="10" t="inlineStr">
        <is>
          <t>Varebeholdninger</t>
        </is>
      </c>
      <c r="B40" s="11">
        <f>'balance_raw_35663908'!$B$19</f>
        <v/>
      </c>
      <c r="C40" s="11">
        <f>'balance_raw_35663908'!$C$19</f>
        <v/>
      </c>
      <c r="D40" s="11">
        <f>'balance_raw_35663908'!$D$19</f>
        <v/>
      </c>
      <c r="E40" s="11">
        <f>'balance_raw_35663908'!$E$19</f>
        <v/>
      </c>
      <c r="F40" s="11">
        <f>'balance_raw_35663908'!$F$19</f>
        <v/>
      </c>
      <c r="G40" t="inlineStr"/>
      <c r="H40" s="12">
        <f>IFERROR(B40/$B$40*100,"")</f>
        <v/>
      </c>
      <c r="I40" s="12">
        <f>IFERROR(C40/$B$40*100,"")</f>
        <v/>
      </c>
      <c r="J40" s="12">
        <f>IFERROR(D40/$B$40*100,"")</f>
        <v/>
      </c>
      <c r="K40" s="12">
        <f>IFERROR(E40/$B$40*100,"")</f>
        <v/>
      </c>
      <c r="L40" s="12">
        <f>IFERROR(F40/$B$40*100,"")</f>
        <v/>
      </c>
    </row>
    <row r="41" ht="16" customHeight="1">
      <c r="A41" s="7" t="inlineStr">
        <is>
          <t>Tilgodehavender fra salg og tjenesteydelser</t>
        </is>
      </c>
      <c r="B41" s="8">
        <f>'balance_raw_35663908'!$B$20</f>
        <v/>
      </c>
      <c r="C41" s="8">
        <f>'balance_raw_35663908'!$C$20</f>
        <v/>
      </c>
      <c r="D41" s="8">
        <f>'balance_raw_35663908'!$D$20</f>
        <v/>
      </c>
      <c r="E41" s="8">
        <f>'balance_raw_35663908'!$E$20</f>
        <v/>
      </c>
      <c r="F41" s="8">
        <f>'balance_raw_35663908'!$F$20</f>
        <v/>
      </c>
      <c r="G41" t="inlineStr"/>
      <c r="H41" s="9">
        <f>IFERROR(B41/$B$41*100,"")</f>
        <v/>
      </c>
      <c r="I41" s="9">
        <f>IFERROR(C41/$B$41*100,"")</f>
        <v/>
      </c>
      <c r="J41" s="9">
        <f>IFERROR(D41/$B$41*100,"")</f>
        <v/>
      </c>
      <c r="K41" s="9">
        <f>IFERROR(E41/$B$41*100,"")</f>
        <v/>
      </c>
      <c r="L41" s="9">
        <f>IFERROR(F41/$B$41*100,"")</f>
        <v/>
      </c>
    </row>
    <row r="42" ht="16" customHeight="1">
      <c r="A42" s="4" t="inlineStr">
        <is>
          <t>Tilgodehavender hos tilknyttede virksomheder</t>
        </is>
      </c>
      <c r="B42" s="5">
        <f>'balance_raw_35663908'!$B$21</f>
        <v/>
      </c>
      <c r="C42" s="5">
        <f>'balance_raw_35663908'!$C$21</f>
        <v/>
      </c>
      <c r="D42" s="5">
        <f>'balance_raw_35663908'!$D$21</f>
        <v/>
      </c>
      <c r="E42" s="5">
        <f>'balance_raw_35663908'!$E$21</f>
        <v/>
      </c>
      <c r="F42" s="5">
        <f>'balance_raw_35663908'!$F$21</f>
        <v/>
      </c>
      <c r="G42" t="inlineStr"/>
      <c r="H42" s="6">
        <f>IFERROR(B42/$B$42*100,"")</f>
        <v/>
      </c>
      <c r="I42" s="6">
        <f>IFERROR(C42/$B$42*100,"")</f>
        <v/>
      </c>
      <c r="J42" s="6">
        <f>IFERROR(D42/$B$42*100,"")</f>
        <v/>
      </c>
      <c r="K42" s="6">
        <f>IFERROR(E42/$B$42*100,"")</f>
        <v/>
      </c>
      <c r="L42" s="6">
        <f>IFERROR(F42/$B$42*100,"")</f>
        <v/>
      </c>
    </row>
    <row r="43" ht="16" customHeight="1">
      <c r="A43" s="7" t="inlineStr">
        <is>
          <t>Andre tilgodehavender</t>
        </is>
      </c>
      <c r="B43" s="8">
        <f>'balance_raw_35663908'!$B$22</f>
        <v/>
      </c>
      <c r="C43" s="8">
        <f>'balance_raw_35663908'!$C$22</f>
        <v/>
      </c>
      <c r="D43" s="8">
        <f>'balance_raw_35663908'!$D$22</f>
        <v/>
      </c>
      <c r="E43" s="8">
        <f>'balance_raw_35663908'!$E$22</f>
        <v/>
      </c>
      <c r="F43" s="8">
        <f>'balance_raw_35663908'!$F$22</f>
        <v/>
      </c>
      <c r="G43" t="inlineStr"/>
      <c r="H43" s="9">
        <f>IFERROR(B43/$B$43*100,"")</f>
        <v/>
      </c>
      <c r="I43" s="9">
        <f>IFERROR(C43/$B$43*100,"")</f>
        <v/>
      </c>
      <c r="J43" s="9">
        <f>IFERROR(D43/$B$43*100,"")</f>
        <v/>
      </c>
      <c r="K43" s="9">
        <f>IFERROR(E43/$B$43*100,"")</f>
        <v/>
      </c>
      <c r="L43" s="9">
        <f>IFERROR(F43/$B$43*100,"")</f>
        <v/>
      </c>
    </row>
    <row r="44" ht="16" customHeight="1">
      <c r="A44" s="4" t="inlineStr">
        <is>
          <t>Periodeafgrænsningsposter (aktiver)</t>
        </is>
      </c>
      <c r="B44" s="5">
        <f>'balance_raw_35663908'!$B$23</f>
        <v/>
      </c>
      <c r="C44" s="5">
        <f>'balance_raw_35663908'!$C$23</f>
        <v/>
      </c>
      <c r="D44" s="5">
        <f>'balance_raw_35663908'!$D$23</f>
        <v/>
      </c>
      <c r="E44" s="5">
        <f>'balance_raw_35663908'!$E$23</f>
        <v/>
      </c>
      <c r="F44" s="5">
        <f>'balance_raw_35663908'!$F$23</f>
        <v/>
      </c>
      <c r="G44" t="inlineStr"/>
      <c r="H44" s="6">
        <f>IFERROR(B44/$B$44*100,"")</f>
        <v/>
      </c>
      <c r="I44" s="6">
        <f>IFERROR(C44/$B$44*100,"")</f>
        <v/>
      </c>
      <c r="J44" s="6">
        <f>IFERROR(D44/$B$44*100,"")</f>
        <v/>
      </c>
      <c r="K44" s="6">
        <f>IFERROR(E44/$B$44*100,"")</f>
        <v/>
      </c>
      <c r="L44" s="6">
        <f>IFERROR(F44/$B$44*100,"")</f>
        <v/>
      </c>
    </row>
    <row r="45" ht="16" customHeight="1">
      <c r="A45" s="7" t="inlineStr">
        <is>
          <t>Udskudt skatteaktiv</t>
        </is>
      </c>
      <c r="B45" s="8">
        <f>'balance_raw_35663908'!$B$24</f>
        <v/>
      </c>
      <c r="C45" s="8">
        <f>'balance_raw_35663908'!$C$24</f>
        <v/>
      </c>
      <c r="D45" s="8">
        <f>'balance_raw_35663908'!$D$24</f>
        <v/>
      </c>
      <c r="E45" s="8">
        <f>'balance_raw_35663908'!$E$24</f>
        <v/>
      </c>
      <c r="F45" s="8">
        <f>'balance_raw_35663908'!$F$24</f>
        <v/>
      </c>
      <c r="G45" t="inlineStr"/>
      <c r="H45" s="9">
        <f>IFERROR(B45/$B$45*100,"")</f>
        <v/>
      </c>
      <c r="I45" s="9">
        <f>IFERROR(C45/$B$45*100,"")</f>
        <v/>
      </c>
      <c r="J45" s="9">
        <f>IFERROR(D45/$B$45*100,"")</f>
        <v/>
      </c>
      <c r="K45" s="9">
        <f>IFERROR(E45/$B$45*100,"")</f>
        <v/>
      </c>
      <c r="L45" s="9">
        <f>IFERROR(F45/$B$45*100,"")</f>
        <v/>
      </c>
    </row>
    <row r="46" ht="16" customHeight="1">
      <c r="A46" s="4" t="inlineStr">
        <is>
          <t>Tilgodehavende skat hos tilknyttede virksomheder</t>
        </is>
      </c>
      <c r="B46" s="5">
        <f>'balance_raw_35663908'!$B$25</f>
        <v/>
      </c>
      <c r="C46" s="5">
        <f>'balance_raw_35663908'!$C$25</f>
        <v/>
      </c>
      <c r="D46" s="5">
        <f>'balance_raw_35663908'!$D$25</f>
        <v/>
      </c>
      <c r="E46" s="5">
        <f>'balance_raw_35663908'!$E$25</f>
        <v/>
      </c>
      <c r="F46" s="5">
        <f>'balance_raw_35663908'!$F$25</f>
        <v/>
      </c>
      <c r="G46" t="inlineStr"/>
      <c r="H46" s="6">
        <f>IFERROR(B46/$B$46*100,"")</f>
        <v/>
      </c>
      <c r="I46" s="6">
        <f>IFERROR(C46/$B$46*100,"")</f>
        <v/>
      </c>
      <c r="J46" s="6">
        <f>IFERROR(D46/$B$46*100,"")</f>
        <v/>
      </c>
      <c r="K46" s="6">
        <f>IFERROR(E46/$B$46*100,"")</f>
        <v/>
      </c>
      <c r="L46" s="6">
        <f>IFERROR(F46/$B$46*100,"")</f>
        <v/>
      </c>
    </row>
    <row r="47" ht="16" customHeight="1">
      <c r="A47" s="7" t="inlineStr">
        <is>
          <t>Kortfristede skattetilgodehavender</t>
        </is>
      </c>
      <c r="B47" s="8">
        <f>'balance_raw_35663908'!$B$26</f>
        <v/>
      </c>
      <c r="C47" s="8">
        <f>'balance_raw_35663908'!$C$26</f>
        <v/>
      </c>
      <c r="D47" s="8">
        <f>'balance_raw_35663908'!$D$26</f>
        <v/>
      </c>
      <c r="E47" s="8">
        <f>'balance_raw_35663908'!$E$26</f>
        <v/>
      </c>
      <c r="F47" s="8">
        <f>'balance_raw_35663908'!$F$26</f>
        <v/>
      </c>
      <c r="G47" t="inlineStr"/>
      <c r="H47" s="9">
        <f>IFERROR(B47/$B$47*100,"")</f>
        <v/>
      </c>
      <c r="I47" s="9">
        <f>IFERROR(C47/$B$47*100,"")</f>
        <v/>
      </c>
      <c r="J47" s="9">
        <f>IFERROR(D47/$B$47*100,"")</f>
        <v/>
      </c>
      <c r="K47" s="9">
        <f>IFERROR(E47/$B$47*100,"")</f>
        <v/>
      </c>
      <c r="L47" s="9">
        <f>IFERROR(F47/$B$47*100,"")</f>
        <v/>
      </c>
    </row>
    <row r="48" ht="16" customHeight="1">
      <c r="A48" s="10" t="inlineStr">
        <is>
          <t>Tilgodehavender</t>
        </is>
      </c>
      <c r="B48" s="11">
        <f>'balance_raw_35663908'!$B$27</f>
        <v/>
      </c>
      <c r="C48" s="11">
        <f>'balance_raw_35663908'!$C$27</f>
        <v/>
      </c>
      <c r="D48" s="11">
        <f>'balance_raw_35663908'!$D$27</f>
        <v/>
      </c>
      <c r="E48" s="11">
        <f>'balance_raw_35663908'!$E$27</f>
        <v/>
      </c>
      <c r="F48" s="11">
        <f>'balance_raw_35663908'!$F$27</f>
        <v/>
      </c>
      <c r="G48" t="inlineStr"/>
      <c r="H48" s="12">
        <f>IFERROR(B48/$B$48*100,"")</f>
        <v/>
      </c>
      <c r="I48" s="12">
        <f>IFERROR(C48/$B$48*100,"")</f>
        <v/>
      </c>
      <c r="J48" s="12">
        <f>IFERROR(D48/$B$48*100,"")</f>
        <v/>
      </c>
      <c r="K48" s="12">
        <f>IFERROR(E48/$B$48*100,"")</f>
        <v/>
      </c>
      <c r="L48" s="12">
        <f>IFERROR(F48/$B$48*100,"")</f>
        <v/>
      </c>
    </row>
    <row r="49" ht="16" customHeight="1">
      <c r="A49" s="7" t="inlineStr">
        <is>
          <t>Værdipapirer</t>
        </is>
      </c>
      <c r="B49" s="8">
        <f>'balance_raw_35663908'!$B$28</f>
        <v/>
      </c>
      <c r="C49" s="8">
        <f>'balance_raw_35663908'!$C$28</f>
        <v/>
      </c>
      <c r="D49" s="8">
        <f>'balance_raw_35663908'!$D$28</f>
        <v/>
      </c>
      <c r="E49" s="8">
        <f>'balance_raw_35663908'!$E$28</f>
        <v/>
      </c>
      <c r="F49" s="8">
        <f>'balance_raw_35663908'!$F$28</f>
        <v/>
      </c>
      <c r="G49" t="inlineStr"/>
      <c r="H49" s="9">
        <f>IFERROR(B49/$B$49*100,"")</f>
        <v/>
      </c>
      <c r="I49" s="9">
        <f>IFERROR(C49/$B$49*100,"")</f>
        <v/>
      </c>
      <c r="J49" s="9">
        <f>IFERROR(D49/$B$49*100,"")</f>
        <v/>
      </c>
      <c r="K49" s="9">
        <f>IFERROR(E49/$B$49*100,"")</f>
        <v/>
      </c>
      <c r="L49" s="9">
        <f>IFERROR(F49/$B$49*100,"")</f>
        <v/>
      </c>
    </row>
    <row r="50" ht="16" customHeight="1">
      <c r="A50" s="4" t="inlineStr">
        <is>
          <t>Likvide beholdninger</t>
        </is>
      </c>
      <c r="B50" s="5">
        <f>'balance_raw_35663908'!$B$29</f>
        <v/>
      </c>
      <c r="C50" s="5">
        <f>'balance_raw_35663908'!$C$29</f>
        <v/>
      </c>
      <c r="D50" s="5">
        <f>'balance_raw_35663908'!$D$29</f>
        <v/>
      </c>
      <c r="E50" s="5">
        <f>'balance_raw_35663908'!$E$29</f>
        <v/>
      </c>
      <c r="F50" s="5">
        <f>'balance_raw_35663908'!$F$29</f>
        <v/>
      </c>
      <c r="G50" t="inlineStr"/>
      <c r="H50" s="6">
        <f>IFERROR(B50/$B$50*100,"")</f>
        <v/>
      </c>
      <c r="I50" s="6">
        <f>IFERROR(C50/$B$50*100,"")</f>
        <v/>
      </c>
      <c r="J50" s="6">
        <f>IFERROR(D50/$B$50*100,"")</f>
        <v/>
      </c>
      <c r="K50" s="6">
        <f>IFERROR(E50/$B$50*100,"")</f>
        <v/>
      </c>
      <c r="L50" s="6">
        <f>IFERROR(F50/$B$50*100,"")</f>
        <v/>
      </c>
    </row>
    <row r="51" ht="16" customHeight="1">
      <c r="A51" s="10" t="inlineStr">
        <is>
          <t>Omsætningsaktiver</t>
        </is>
      </c>
      <c r="B51" s="11">
        <f>'balance_raw_35663908'!$B$30</f>
        <v/>
      </c>
      <c r="C51" s="11">
        <f>'balance_raw_35663908'!$C$30</f>
        <v/>
      </c>
      <c r="D51" s="11">
        <f>'balance_raw_35663908'!$D$30</f>
        <v/>
      </c>
      <c r="E51" s="11">
        <f>'balance_raw_35663908'!$E$30</f>
        <v/>
      </c>
      <c r="F51" s="11">
        <f>'balance_raw_35663908'!$F$30</f>
        <v/>
      </c>
      <c r="G51" t="inlineStr"/>
      <c r="H51" s="12">
        <f>IFERROR(B51/$B$51*100,"")</f>
        <v/>
      </c>
      <c r="I51" s="12">
        <f>IFERROR(C51/$B$51*100,"")</f>
        <v/>
      </c>
      <c r="J51" s="12">
        <f>IFERROR(D51/$B$51*100,"")</f>
        <v/>
      </c>
      <c r="K51" s="12">
        <f>IFERROR(E51/$B$51*100,"")</f>
        <v/>
      </c>
      <c r="L51" s="12">
        <f>IFERROR(F51/$B$51*100,"")</f>
        <v/>
      </c>
    </row>
    <row r="52" ht="16" customHeight="1">
      <c r="A52" s="10" t="inlineStr">
        <is>
          <t>Aktiver</t>
        </is>
      </c>
      <c r="B52" s="11">
        <f>'balance_raw_35663908'!$B$31</f>
        <v/>
      </c>
      <c r="C52" s="11">
        <f>'balance_raw_35663908'!$C$31</f>
        <v/>
      </c>
      <c r="D52" s="11">
        <f>'balance_raw_35663908'!$D$31</f>
        <v/>
      </c>
      <c r="E52" s="11">
        <f>'balance_raw_35663908'!$E$31</f>
        <v/>
      </c>
      <c r="F52" s="11">
        <f>'balance_raw_35663908'!$F$31</f>
        <v/>
      </c>
      <c r="G52" t="inlineStr"/>
      <c r="H52" s="12">
        <f>IFERROR(B52/$B$52*100,"")</f>
        <v/>
      </c>
      <c r="I52" s="12">
        <f>IFERROR(C52/$B$52*100,"")</f>
        <v/>
      </c>
      <c r="J52" s="12">
        <f>IFERROR(D52/$B$52*100,"")</f>
        <v/>
      </c>
      <c r="K52" s="12">
        <f>IFERROR(E52/$B$52*100,"")</f>
        <v/>
      </c>
      <c r="L52" s="12">
        <f>IFERROR(F52/$B$52*100,"")</f>
        <v/>
      </c>
    </row>
    <row r="54" ht="22" customHeight="1">
      <c r="A54" s="3" t="inlineStr">
        <is>
          <t>PASSIVER t.kr.</t>
        </is>
      </c>
      <c r="B54" s="3" t="n">
        <v>2021</v>
      </c>
      <c r="C54" s="3" t="n">
        <v>2022</v>
      </c>
      <c r="D54" s="3" t="n">
        <v>2023</v>
      </c>
      <c r="E54" s="3" t="n">
        <v>2024</v>
      </c>
      <c r="F54" s="3" t="n">
        <v>2025</v>
      </c>
      <c r="G54" t="inlineStr"/>
      <c r="H54" s="3" t="n">
        <v>2021</v>
      </c>
      <c r="I54" s="3" t="n">
        <v>2022</v>
      </c>
      <c r="J54" s="3" t="n">
        <v>2023</v>
      </c>
      <c r="K54" s="3" t="n">
        <v>2024</v>
      </c>
      <c r="L54" s="3" t="n">
        <v>2025</v>
      </c>
    </row>
    <row r="55" ht="16" customHeight="1">
      <c r="A55" s="7" t="inlineStr">
        <is>
          <t>Selskabskapital</t>
        </is>
      </c>
      <c r="B55" s="8">
        <f>'balance_raw_35663908'!$B$32</f>
        <v/>
      </c>
      <c r="C55" s="8">
        <f>'balance_raw_35663908'!$C$32</f>
        <v/>
      </c>
      <c r="D55" s="8">
        <f>'balance_raw_35663908'!$D$32</f>
        <v/>
      </c>
      <c r="E55" s="8">
        <f>'balance_raw_35663908'!$E$32</f>
        <v/>
      </c>
      <c r="F55" s="8">
        <f>'balance_raw_35663908'!$F$32</f>
        <v/>
      </c>
      <c r="G55" t="inlineStr"/>
      <c r="H55" s="9">
        <f>IFERROR(B55/$B$55*100,"")</f>
        <v/>
      </c>
      <c r="I55" s="9">
        <f>IFERROR(C55/$B$55*100,"")</f>
        <v/>
      </c>
      <c r="J55" s="9">
        <f>IFERROR(D55/$B$55*100,"")</f>
        <v/>
      </c>
      <c r="K55" s="9">
        <f>IFERROR(E55/$B$55*100,"")</f>
        <v/>
      </c>
      <c r="L55" s="9">
        <f>IFERROR(F55/$B$55*100,"")</f>
        <v/>
      </c>
    </row>
    <row r="56" ht="16" customHeight="1">
      <c r="A56" s="4" t="inlineStr">
        <is>
          <t>Reserve for nettoopskrivning (indre værdis metode)</t>
        </is>
      </c>
      <c r="B56" s="5">
        <f>'balance_raw_35663908'!$B$33</f>
        <v/>
      </c>
      <c r="C56" s="5">
        <f>'balance_raw_35663908'!$C$33</f>
        <v/>
      </c>
      <c r="D56" s="5">
        <f>'balance_raw_35663908'!$D$33</f>
        <v/>
      </c>
      <c r="E56" s="5">
        <f>'balance_raw_35663908'!$E$33</f>
        <v/>
      </c>
      <c r="F56" s="5">
        <f>'balance_raw_35663908'!$F$33</f>
        <v/>
      </c>
      <c r="G56" t="inlineStr"/>
      <c r="H56" s="6">
        <f>IFERROR(B56/$B$56*100,"")</f>
        <v/>
      </c>
      <c r="I56" s="6">
        <f>IFERROR(C56/$B$56*100,"")</f>
        <v/>
      </c>
      <c r="J56" s="6">
        <f>IFERROR(D56/$B$56*100,"")</f>
        <v/>
      </c>
      <c r="K56" s="6">
        <f>IFERROR(E56/$B$56*100,"")</f>
        <v/>
      </c>
      <c r="L56" s="6">
        <f>IFERROR(F56/$B$56*100,"")</f>
        <v/>
      </c>
    </row>
    <row r="57" ht="16" customHeight="1">
      <c r="A57" s="7" t="inlineStr">
        <is>
          <t>Reserve for udviklingsomkostninger</t>
        </is>
      </c>
      <c r="B57" s="8">
        <f>'balance_raw_35663908'!$B$34</f>
        <v/>
      </c>
      <c r="C57" s="8">
        <f>'balance_raw_35663908'!$C$34</f>
        <v/>
      </c>
      <c r="D57" s="8">
        <f>'balance_raw_35663908'!$D$34</f>
        <v/>
      </c>
      <c r="E57" s="8">
        <f>'balance_raw_35663908'!$E$34</f>
        <v/>
      </c>
      <c r="F57" s="8">
        <f>'balance_raw_35663908'!$F$34</f>
        <v/>
      </c>
      <c r="G57" t="inlineStr"/>
      <c r="H57" s="9">
        <f>IFERROR(B57/$B$57*100,"")</f>
        <v/>
      </c>
      <c r="I57" s="9">
        <f>IFERROR(C57/$B$57*100,"")</f>
        <v/>
      </c>
      <c r="J57" s="9">
        <f>IFERROR(D57/$B$57*100,"")</f>
        <v/>
      </c>
      <c r="K57" s="9">
        <f>IFERROR(E57/$B$57*100,"")</f>
        <v/>
      </c>
      <c r="L57" s="9">
        <f>IFERROR(F57/$B$57*100,"")</f>
        <v/>
      </c>
    </row>
    <row r="58" ht="16" customHeight="1">
      <c r="A58" s="4" t="inlineStr">
        <is>
          <t>Reserve for sikringstransaktioner</t>
        </is>
      </c>
      <c r="B58" s="5">
        <f>'balance_raw_35663908'!$B$35</f>
        <v/>
      </c>
      <c r="C58" s="5">
        <f>'balance_raw_35663908'!$C$35</f>
        <v/>
      </c>
      <c r="D58" s="5">
        <f>'balance_raw_35663908'!$D$35</f>
        <v/>
      </c>
      <c r="E58" s="5">
        <f>'balance_raw_35663908'!$E$35</f>
        <v/>
      </c>
      <c r="F58" s="5">
        <f>'balance_raw_35663908'!$F$35</f>
        <v/>
      </c>
      <c r="G58" t="inlineStr"/>
      <c r="H58" s="6">
        <f>IFERROR(B58/$B$58*100,"")</f>
        <v/>
      </c>
      <c r="I58" s="6">
        <f>IFERROR(C58/$B$58*100,"")</f>
        <v/>
      </c>
      <c r="J58" s="6">
        <f>IFERROR(D58/$B$58*100,"")</f>
        <v/>
      </c>
      <c r="K58" s="6">
        <f>IFERROR(E58/$B$58*100,"")</f>
        <v/>
      </c>
      <c r="L58" s="6">
        <f>IFERROR(F58/$B$58*100,"")</f>
        <v/>
      </c>
    </row>
    <row r="59" ht="16" customHeight="1">
      <c r="A59" s="7" t="inlineStr">
        <is>
          <t>Andre reserver</t>
        </is>
      </c>
      <c r="B59" s="8">
        <f>'balance_raw_35663908'!$B$36</f>
        <v/>
      </c>
      <c r="C59" s="8">
        <f>'balance_raw_35663908'!$C$36</f>
        <v/>
      </c>
      <c r="D59" s="8">
        <f>'balance_raw_35663908'!$D$36</f>
        <v/>
      </c>
      <c r="E59" s="8">
        <f>'balance_raw_35663908'!$E$36</f>
        <v/>
      </c>
      <c r="F59" s="8">
        <f>'balance_raw_35663908'!$F$36</f>
        <v/>
      </c>
      <c r="G59" t="inlineStr"/>
      <c r="H59" s="9">
        <f>IFERROR(B59/$B$59*100,"")</f>
        <v/>
      </c>
      <c r="I59" s="9">
        <f>IFERROR(C59/$B$59*100,"")</f>
        <v/>
      </c>
      <c r="J59" s="9">
        <f>IFERROR(D59/$B$59*100,"")</f>
        <v/>
      </c>
      <c r="K59" s="9">
        <f>IFERROR(E59/$B$59*100,"")</f>
        <v/>
      </c>
      <c r="L59" s="9">
        <f>IFERROR(F59/$B$59*100,"")</f>
        <v/>
      </c>
    </row>
    <row r="60" ht="16" customHeight="1">
      <c r="A60" s="4" t="inlineStr">
        <is>
          <t>Overført resultat</t>
        </is>
      </c>
      <c r="B60" s="5">
        <f>'balance_raw_35663908'!$B$37</f>
        <v/>
      </c>
      <c r="C60" s="5">
        <f>'balance_raw_35663908'!$C$37</f>
        <v/>
      </c>
      <c r="D60" s="5">
        <f>'balance_raw_35663908'!$D$37</f>
        <v/>
      </c>
      <c r="E60" s="5">
        <f>'balance_raw_35663908'!$E$37</f>
        <v/>
      </c>
      <c r="F60" s="5">
        <f>'balance_raw_35663908'!$F$37</f>
        <v/>
      </c>
      <c r="G60" t="inlineStr"/>
      <c r="H60" s="6">
        <f>IFERROR(B60/$B$60*100,"")</f>
        <v/>
      </c>
      <c r="I60" s="6">
        <f>IFERROR(C60/$B$60*100,"")</f>
        <v/>
      </c>
      <c r="J60" s="6">
        <f>IFERROR(D60/$B$60*100,"")</f>
        <v/>
      </c>
      <c r="K60" s="6">
        <f>IFERROR(E60/$B$60*100,"")</f>
        <v/>
      </c>
      <c r="L60" s="6">
        <f>IFERROR(F60/$B$60*100,"")</f>
        <v/>
      </c>
    </row>
    <row r="61" ht="16" customHeight="1">
      <c r="A61" s="10" t="inlineStr">
        <is>
          <t>Egenkapital i alt</t>
        </is>
      </c>
      <c r="B61" s="11">
        <f>'balance_raw_35663908'!$B$38</f>
        <v/>
      </c>
      <c r="C61" s="11">
        <f>'balance_raw_35663908'!$C$38</f>
        <v/>
      </c>
      <c r="D61" s="11">
        <f>'balance_raw_35663908'!$D$38</f>
        <v/>
      </c>
      <c r="E61" s="11">
        <f>'balance_raw_35663908'!$E$38</f>
        <v/>
      </c>
      <c r="F61" s="11">
        <f>'balance_raw_35663908'!$F$38</f>
        <v/>
      </c>
      <c r="G61" t="inlineStr"/>
      <c r="H61" s="12">
        <f>IFERROR(B61/$B$61*100,"")</f>
        <v/>
      </c>
      <c r="I61" s="12">
        <f>IFERROR(C61/$B$61*100,"")</f>
        <v/>
      </c>
      <c r="J61" s="12">
        <f>IFERROR(D61/$B$61*100,"")</f>
        <v/>
      </c>
      <c r="K61" s="12">
        <f>IFERROR(E61/$B$61*100,"")</f>
        <v/>
      </c>
      <c r="L61" s="12">
        <f>IFERROR(F61/$B$61*100,"")</f>
        <v/>
      </c>
    </row>
    <row r="62" ht="16" customHeight="1">
      <c r="A62" s="4" t="inlineStr">
        <is>
          <t>Hensættelse til udskudt skat</t>
        </is>
      </c>
      <c r="B62" s="5">
        <f>'balance_raw_35663908'!$B$39</f>
        <v/>
      </c>
      <c r="C62" s="5">
        <f>'balance_raw_35663908'!$C$39</f>
        <v/>
      </c>
      <c r="D62" s="5">
        <f>'balance_raw_35663908'!$D$39</f>
        <v/>
      </c>
      <c r="E62" s="5">
        <f>'balance_raw_35663908'!$E$39</f>
        <v/>
      </c>
      <c r="F62" s="5">
        <f>'balance_raw_35663908'!$F$39</f>
        <v/>
      </c>
      <c r="G62" t="inlineStr"/>
      <c r="H62" s="6">
        <f>IFERROR(B62/$B$62*100,"")</f>
        <v/>
      </c>
      <c r="I62" s="6">
        <f>IFERROR(C62/$B$62*100,"")</f>
        <v/>
      </c>
      <c r="J62" s="6">
        <f>IFERROR(D62/$B$62*100,"")</f>
        <v/>
      </c>
      <c r="K62" s="6">
        <f>IFERROR(E62/$B$62*100,"")</f>
        <v/>
      </c>
      <c r="L62" s="6">
        <f>IFERROR(F62/$B$62*100,"")</f>
        <v/>
      </c>
    </row>
    <row r="63" ht="16" customHeight="1">
      <c r="A63" s="10" t="inlineStr">
        <is>
          <t>Hensatte forpligtelser</t>
        </is>
      </c>
      <c r="B63" s="11">
        <f>'balance_raw_35663908'!$B$40</f>
        <v/>
      </c>
      <c r="C63" s="11">
        <f>'balance_raw_35663908'!$C$40</f>
        <v/>
      </c>
      <c r="D63" s="11">
        <f>'balance_raw_35663908'!$D$40</f>
        <v/>
      </c>
      <c r="E63" s="11">
        <f>'balance_raw_35663908'!$E$40</f>
        <v/>
      </c>
      <c r="F63" s="11">
        <f>'balance_raw_35663908'!$F$40</f>
        <v/>
      </c>
      <c r="G63" t="inlineStr"/>
      <c r="H63" s="12">
        <f>IFERROR(B63/$B$63*100,"")</f>
        <v/>
      </c>
      <c r="I63" s="12">
        <f>IFERROR(C63/$B$63*100,"")</f>
        <v/>
      </c>
      <c r="J63" s="12">
        <f>IFERROR(D63/$B$63*100,"")</f>
        <v/>
      </c>
      <c r="K63" s="12">
        <f>IFERROR(E63/$B$63*100,"")</f>
        <v/>
      </c>
      <c r="L63" s="12">
        <f>IFERROR(F63/$B$63*100,"")</f>
        <v/>
      </c>
    </row>
    <row r="64" ht="16" customHeight="1">
      <c r="A64" s="4" t="inlineStr">
        <is>
          <t>Ansvarlig lånekapital (langfristet)</t>
        </is>
      </c>
      <c r="B64" s="5">
        <f>'balance_raw_35663908'!$B$41</f>
        <v/>
      </c>
      <c r="C64" s="5">
        <f>'balance_raw_35663908'!$C$41</f>
        <v/>
      </c>
      <c r="D64" s="5">
        <f>'balance_raw_35663908'!$D$41</f>
        <v/>
      </c>
      <c r="E64" s="5">
        <f>'balance_raw_35663908'!$E$41</f>
        <v/>
      </c>
      <c r="F64" s="5">
        <f>'balance_raw_35663908'!$F$41</f>
        <v/>
      </c>
      <c r="G64" t="inlineStr"/>
      <c r="H64" s="6">
        <f>IFERROR(B64/$B$64*100,"")</f>
        <v/>
      </c>
      <c r="I64" s="6">
        <f>IFERROR(C64/$B$64*100,"")</f>
        <v/>
      </c>
      <c r="J64" s="6">
        <f>IFERROR(D64/$B$64*100,"")</f>
        <v/>
      </c>
      <c r="K64" s="6">
        <f>IFERROR(E64/$B$64*100,"")</f>
        <v/>
      </c>
      <c r="L64" s="6">
        <f>IFERROR(F64/$B$64*100,"")</f>
        <v/>
      </c>
    </row>
    <row r="65" ht="16" customHeight="1">
      <c r="A65" s="7" t="inlineStr">
        <is>
          <t>Langfristede lån</t>
        </is>
      </c>
      <c r="B65" s="8">
        <f>'balance_raw_35663908'!$B$42</f>
        <v/>
      </c>
      <c r="C65" s="8">
        <f>'balance_raw_35663908'!$C$42</f>
        <v/>
      </c>
      <c r="D65" s="8">
        <f>'balance_raw_35663908'!$D$42</f>
        <v/>
      </c>
      <c r="E65" s="8">
        <f>'balance_raw_35663908'!$E$42</f>
        <v/>
      </c>
      <c r="F65" s="8">
        <f>'balance_raw_35663908'!$F$42</f>
        <v/>
      </c>
      <c r="G65" t="inlineStr"/>
      <c r="H65" s="9">
        <f>IFERROR(B65/$B$65*100,"")</f>
        <v/>
      </c>
      <c r="I65" s="9">
        <f>IFERROR(C65/$B$65*100,"")</f>
        <v/>
      </c>
      <c r="J65" s="9">
        <f>IFERROR(D65/$B$65*100,"")</f>
        <v/>
      </c>
      <c r="K65" s="9">
        <f>IFERROR(E65/$B$65*100,"")</f>
        <v/>
      </c>
      <c r="L65" s="9">
        <f>IFERROR(F65/$B$65*100,"")</f>
        <v/>
      </c>
    </row>
    <row r="66" ht="16" customHeight="1">
      <c r="A66" s="4" t="inlineStr">
        <is>
          <t>Leasingforpligtelser (langfristet)</t>
        </is>
      </c>
      <c r="B66" s="5">
        <f>'balance_raw_35663908'!$B$43</f>
        <v/>
      </c>
      <c r="C66" s="5">
        <f>'balance_raw_35663908'!$C$43</f>
        <v/>
      </c>
      <c r="D66" s="5">
        <f>'balance_raw_35663908'!$D$43</f>
        <v/>
      </c>
      <c r="E66" s="5">
        <f>'balance_raw_35663908'!$E$43</f>
        <v/>
      </c>
      <c r="F66" s="5">
        <f>'balance_raw_35663908'!$F$43</f>
        <v/>
      </c>
      <c r="G66" t="inlineStr"/>
      <c r="H66" s="6">
        <f>IFERROR(B66/$B$66*100,"")</f>
        <v/>
      </c>
      <c r="I66" s="6">
        <f>IFERROR(C66/$B$66*100,"")</f>
        <v/>
      </c>
      <c r="J66" s="6">
        <f>IFERROR(D66/$B$66*100,"")</f>
        <v/>
      </c>
      <c r="K66" s="6">
        <f>IFERROR(E66/$B$66*100,"")</f>
        <v/>
      </c>
      <c r="L66" s="6">
        <f>IFERROR(F66/$B$66*100,"")</f>
        <v/>
      </c>
    </row>
    <row r="67" ht="16" customHeight="1">
      <c r="A67" s="7" t="inlineStr">
        <is>
          <t>Anden gæld (langfristet)</t>
        </is>
      </c>
      <c r="B67" s="8">
        <f>'balance_raw_35663908'!$B$44</f>
        <v/>
      </c>
      <c r="C67" s="8">
        <f>'balance_raw_35663908'!$C$44</f>
        <v/>
      </c>
      <c r="D67" s="8">
        <f>'balance_raw_35663908'!$D$44</f>
        <v/>
      </c>
      <c r="E67" s="8">
        <f>'balance_raw_35663908'!$E$44</f>
        <v/>
      </c>
      <c r="F67" s="8">
        <f>'balance_raw_35663908'!$F$44</f>
        <v/>
      </c>
      <c r="G67" t="inlineStr"/>
      <c r="H67" s="9">
        <f>IFERROR(B67/$B$67*100,"")</f>
        <v/>
      </c>
      <c r="I67" s="9">
        <f>IFERROR(C67/$B$67*100,"")</f>
        <v/>
      </c>
      <c r="J67" s="9">
        <f>IFERROR(D67/$B$67*100,"")</f>
        <v/>
      </c>
      <c r="K67" s="9">
        <f>IFERROR(E67/$B$67*100,"")</f>
        <v/>
      </c>
      <c r="L67" s="9">
        <f>IFERROR(F67/$B$67*100,"")</f>
        <v/>
      </c>
    </row>
    <row r="68" ht="16" customHeight="1">
      <c r="A68" s="10" t="inlineStr">
        <is>
          <t>Langfristede gældsforpligtelser</t>
        </is>
      </c>
      <c r="B68" s="11">
        <f>'balance_raw_35663908'!$B$45</f>
        <v/>
      </c>
      <c r="C68" s="11">
        <f>'balance_raw_35663908'!$C$45</f>
        <v/>
      </c>
      <c r="D68" s="11">
        <f>'balance_raw_35663908'!$D$45</f>
        <v/>
      </c>
      <c r="E68" s="11">
        <f>'balance_raw_35663908'!$E$45</f>
        <v/>
      </c>
      <c r="F68" s="11">
        <f>'balance_raw_35663908'!$F$45</f>
        <v/>
      </c>
      <c r="G68" t="inlineStr"/>
      <c r="H68" s="12">
        <f>IFERROR(B68/$B$68*100,"")</f>
        <v/>
      </c>
      <c r="I68" s="12">
        <f>IFERROR(C68/$B$68*100,"")</f>
        <v/>
      </c>
      <c r="J68" s="12">
        <f>IFERROR(D68/$B$68*100,"")</f>
        <v/>
      </c>
      <c r="K68" s="12">
        <f>IFERROR(E68/$B$68*100,"")</f>
        <v/>
      </c>
      <c r="L68" s="12">
        <f>IFERROR(F68/$B$68*100,"")</f>
        <v/>
      </c>
    </row>
    <row r="69" ht="16" customHeight="1">
      <c r="A69" s="7" t="inlineStr">
        <is>
          <t>Ansvarlig lånekapital (kortfristet)</t>
        </is>
      </c>
      <c r="B69" s="8">
        <f>'balance_raw_35663908'!$B$46</f>
        <v/>
      </c>
      <c r="C69" s="8">
        <f>'balance_raw_35663908'!$C$46</f>
        <v/>
      </c>
      <c r="D69" s="8">
        <f>'balance_raw_35663908'!$D$46</f>
        <v/>
      </c>
      <c r="E69" s="8">
        <f>'balance_raw_35663908'!$E$46</f>
        <v/>
      </c>
      <c r="F69" s="8">
        <f>'balance_raw_35663908'!$F$46</f>
        <v/>
      </c>
      <c r="G69" t="inlineStr"/>
      <c r="H69" s="9">
        <f>IFERROR(B69/$B$69*100,"")</f>
        <v/>
      </c>
      <c r="I69" s="9">
        <f>IFERROR(C69/$B$69*100,"")</f>
        <v/>
      </c>
      <c r="J69" s="9">
        <f>IFERROR(D69/$B$69*100,"")</f>
        <v/>
      </c>
      <c r="K69" s="9">
        <f>IFERROR(E69/$B$69*100,"")</f>
        <v/>
      </c>
      <c r="L69" s="9">
        <f>IFERROR(F69/$B$69*100,"")</f>
        <v/>
      </c>
    </row>
    <row r="70" ht="16" customHeight="1">
      <c r="A70" s="4" t="inlineStr">
        <is>
          <t>Kortfristet del af langfristede gældsforpligtelser</t>
        </is>
      </c>
      <c r="B70" s="5">
        <f>'balance_raw_35663908'!$B$47</f>
        <v/>
      </c>
      <c r="C70" s="5">
        <f>'balance_raw_35663908'!$C$47</f>
        <v/>
      </c>
      <c r="D70" s="5">
        <f>'balance_raw_35663908'!$D$47</f>
        <v/>
      </c>
      <c r="E70" s="5">
        <f>'balance_raw_35663908'!$E$47</f>
        <v/>
      </c>
      <c r="F70" s="5">
        <f>'balance_raw_35663908'!$F$47</f>
        <v/>
      </c>
      <c r="G70" t="inlineStr"/>
      <c r="H70" s="6">
        <f>IFERROR(B70/$B$70*100,"")</f>
        <v/>
      </c>
      <c r="I70" s="6">
        <f>IFERROR(C70/$B$70*100,"")</f>
        <v/>
      </c>
      <c r="J70" s="6">
        <f>IFERROR(D70/$B$70*100,"")</f>
        <v/>
      </c>
      <c r="K70" s="6">
        <f>IFERROR(E70/$B$70*100,"")</f>
        <v/>
      </c>
      <c r="L70" s="6">
        <f>IFERROR(F70/$B$70*100,"")</f>
        <v/>
      </c>
    </row>
    <row r="71" ht="16" customHeight="1">
      <c r="A71" s="7" t="inlineStr">
        <is>
          <t>Kreditinstitutter</t>
        </is>
      </c>
      <c r="B71" s="8">
        <f>'balance_raw_35663908'!$B$48</f>
        <v/>
      </c>
      <c r="C71" s="8">
        <f>'balance_raw_35663908'!$C$48</f>
        <v/>
      </c>
      <c r="D71" s="8">
        <f>'balance_raw_35663908'!$D$48</f>
        <v/>
      </c>
      <c r="E71" s="8">
        <f>'balance_raw_35663908'!$E$48</f>
        <v/>
      </c>
      <c r="F71" s="8">
        <f>'balance_raw_35663908'!$F$48</f>
        <v/>
      </c>
      <c r="G71" t="inlineStr"/>
      <c r="H71" s="9">
        <f>IFERROR(B71/$B$71*100,"")</f>
        <v/>
      </c>
      <c r="I71" s="9">
        <f>IFERROR(C71/$B$71*100,"")</f>
        <v/>
      </c>
      <c r="J71" s="9">
        <f>IFERROR(D71/$B$71*100,"")</f>
        <v/>
      </c>
      <c r="K71" s="9">
        <f>IFERROR(E71/$B$71*100,"")</f>
        <v/>
      </c>
      <c r="L71" s="9">
        <f>IFERROR(F71/$B$71*100,"")</f>
        <v/>
      </c>
    </row>
    <row r="72" ht="16" customHeight="1">
      <c r="A72" s="4" t="inlineStr">
        <is>
          <t>Leasingforpligtelser (kortfristet)</t>
        </is>
      </c>
      <c r="B72" s="5">
        <f>'balance_raw_35663908'!$B$49</f>
        <v/>
      </c>
      <c r="C72" s="5">
        <f>'balance_raw_35663908'!$C$49</f>
        <v/>
      </c>
      <c r="D72" s="5">
        <f>'balance_raw_35663908'!$D$49</f>
        <v/>
      </c>
      <c r="E72" s="5">
        <f>'balance_raw_35663908'!$E$49</f>
        <v/>
      </c>
      <c r="F72" s="5">
        <f>'balance_raw_35663908'!$F$49</f>
        <v/>
      </c>
      <c r="G72" t="inlineStr"/>
      <c r="H72" s="6">
        <f>IFERROR(B72/$B$72*100,"")</f>
        <v/>
      </c>
      <c r="I72" s="6">
        <f>IFERROR(C72/$B$72*100,"")</f>
        <v/>
      </c>
      <c r="J72" s="6">
        <f>IFERROR(D72/$B$72*100,"")</f>
        <v/>
      </c>
      <c r="K72" s="6">
        <f>IFERROR(E72/$B$72*100,"")</f>
        <v/>
      </c>
      <c r="L72" s="6">
        <f>IFERROR(F72/$B$72*100,"")</f>
        <v/>
      </c>
    </row>
    <row r="73" ht="16" customHeight="1">
      <c r="A73" s="7" t="inlineStr">
        <is>
          <t>Leverandører af varer og tjenesteydelser</t>
        </is>
      </c>
      <c r="B73" s="8">
        <f>'balance_raw_35663908'!$B$50</f>
        <v/>
      </c>
      <c r="C73" s="8">
        <f>'balance_raw_35663908'!$C$50</f>
        <v/>
      </c>
      <c r="D73" s="8">
        <f>'balance_raw_35663908'!$D$50</f>
        <v/>
      </c>
      <c r="E73" s="8">
        <f>'balance_raw_35663908'!$E$50</f>
        <v/>
      </c>
      <c r="F73" s="8">
        <f>'balance_raw_35663908'!$F$50</f>
        <v/>
      </c>
      <c r="G73" t="inlineStr"/>
      <c r="H73" s="9">
        <f>IFERROR(B73/$B$73*100,"")</f>
        <v/>
      </c>
      <c r="I73" s="9">
        <f>IFERROR(C73/$B$73*100,"")</f>
        <v/>
      </c>
      <c r="J73" s="9">
        <f>IFERROR(D73/$B$73*100,"")</f>
        <v/>
      </c>
      <c r="K73" s="9">
        <f>IFERROR(E73/$B$73*100,"")</f>
        <v/>
      </c>
      <c r="L73" s="9">
        <f>IFERROR(F73/$B$73*100,"")</f>
        <v/>
      </c>
    </row>
    <row r="74" ht="16" customHeight="1">
      <c r="A74" s="4" t="inlineStr">
        <is>
          <t>Gæld til tilknyttede virksomheder</t>
        </is>
      </c>
      <c r="B74" s="5">
        <f>'balance_raw_35663908'!$B$51</f>
        <v/>
      </c>
      <c r="C74" s="5">
        <f>'balance_raw_35663908'!$C$51</f>
        <v/>
      </c>
      <c r="D74" s="5">
        <f>'balance_raw_35663908'!$D$51</f>
        <v/>
      </c>
      <c r="E74" s="5">
        <f>'balance_raw_35663908'!$E$51</f>
        <v/>
      </c>
      <c r="F74" s="5">
        <f>'balance_raw_35663908'!$F$51</f>
        <v/>
      </c>
      <c r="G74" t="inlineStr"/>
      <c r="H74" s="6">
        <f>IFERROR(B74/$B$74*100,"")</f>
        <v/>
      </c>
      <c r="I74" s="6">
        <f>IFERROR(C74/$B$74*100,"")</f>
        <v/>
      </c>
      <c r="J74" s="6">
        <f>IFERROR(D74/$B$74*100,"")</f>
        <v/>
      </c>
      <c r="K74" s="6">
        <f>IFERROR(E74/$B$74*100,"")</f>
        <v/>
      </c>
      <c r="L74" s="6">
        <f>IFERROR(F74/$B$74*100,"")</f>
        <v/>
      </c>
    </row>
    <row r="75" ht="16" customHeight="1">
      <c r="A75" s="7" t="inlineStr">
        <is>
          <t>Gæld til selskabsdeltagere og ledelse</t>
        </is>
      </c>
      <c r="B75" s="8">
        <f>'balance_raw_35663908'!$B$52</f>
        <v/>
      </c>
      <c r="C75" s="8">
        <f>'balance_raw_35663908'!$C$52</f>
        <v/>
      </c>
      <c r="D75" s="8">
        <f>'balance_raw_35663908'!$D$52</f>
        <v/>
      </c>
      <c r="E75" s="8">
        <f>'balance_raw_35663908'!$E$52</f>
        <v/>
      </c>
      <c r="F75" s="8">
        <f>'balance_raw_35663908'!$F$52</f>
        <v/>
      </c>
      <c r="G75" t="inlineStr"/>
      <c r="H75" s="9">
        <f>IFERROR(B75/$B$75*100,"")</f>
        <v/>
      </c>
      <c r="I75" s="9">
        <f>IFERROR(C75/$B$75*100,"")</f>
        <v/>
      </c>
      <c r="J75" s="9">
        <f>IFERROR(D75/$B$75*100,"")</f>
        <v/>
      </c>
      <c r="K75" s="9">
        <f>IFERROR(E75/$B$75*100,"")</f>
        <v/>
      </c>
      <c r="L75" s="9">
        <f>IFERROR(F75/$B$75*100,"")</f>
        <v/>
      </c>
    </row>
    <row r="76" ht="16" customHeight="1">
      <c r="A76" s="4" t="inlineStr">
        <is>
          <t>Selskabsskat</t>
        </is>
      </c>
      <c r="B76" s="5">
        <f>'balance_raw_35663908'!$B$53</f>
        <v/>
      </c>
      <c r="C76" s="5">
        <f>'balance_raw_35663908'!$C$53</f>
        <v/>
      </c>
      <c r="D76" s="5">
        <f>'balance_raw_35663908'!$D$53</f>
        <v/>
      </c>
      <c r="E76" s="5">
        <f>'balance_raw_35663908'!$E$53</f>
        <v/>
      </c>
      <c r="F76" s="5">
        <f>'balance_raw_35663908'!$F$53</f>
        <v/>
      </c>
      <c r="G76" t="inlineStr"/>
      <c r="H76" s="6">
        <f>IFERROR(B76/$B$76*100,"")</f>
        <v/>
      </c>
      <c r="I76" s="6">
        <f>IFERROR(C76/$B$76*100,"")</f>
        <v/>
      </c>
      <c r="J76" s="6">
        <f>IFERROR(D76/$B$76*100,"")</f>
        <v/>
      </c>
      <c r="K76" s="6">
        <f>IFERROR(E76/$B$76*100,"")</f>
        <v/>
      </c>
      <c r="L76" s="6">
        <f>IFERROR(F76/$B$76*100,"")</f>
        <v/>
      </c>
    </row>
    <row r="77" ht="16" customHeight="1">
      <c r="A77" s="7" t="inlineStr">
        <is>
          <t>Gæld til tilknyttede virksomheder vedr. selskabsskat</t>
        </is>
      </c>
      <c r="B77" s="8">
        <f>'balance_raw_35663908'!$B$54</f>
        <v/>
      </c>
      <c r="C77" s="8">
        <f>'balance_raw_35663908'!$C$54</f>
        <v/>
      </c>
      <c r="D77" s="8">
        <f>'balance_raw_35663908'!$D$54</f>
        <v/>
      </c>
      <c r="E77" s="8">
        <f>'balance_raw_35663908'!$E$54</f>
        <v/>
      </c>
      <c r="F77" s="8">
        <f>'balance_raw_35663908'!$F$54</f>
        <v/>
      </c>
      <c r="G77" t="inlineStr"/>
      <c r="H77" s="9">
        <f>IFERROR(B77/$B$77*100,"")</f>
        <v/>
      </c>
      <c r="I77" s="9">
        <f>IFERROR(C77/$B$77*100,"")</f>
        <v/>
      </c>
      <c r="J77" s="9">
        <f>IFERROR(D77/$B$77*100,"")</f>
        <v/>
      </c>
      <c r="K77" s="9">
        <f>IFERROR(E77/$B$77*100,"")</f>
        <v/>
      </c>
      <c r="L77" s="9">
        <f>IFERROR(F77/$B$77*100,"")</f>
        <v/>
      </c>
    </row>
    <row r="78" ht="16" customHeight="1">
      <c r="A78" s="4" t="inlineStr">
        <is>
          <t>Anden gæld (kortfristet)</t>
        </is>
      </c>
      <c r="B78" s="5">
        <f>'balance_raw_35663908'!$B$55</f>
        <v/>
      </c>
      <c r="C78" s="5">
        <f>'balance_raw_35663908'!$C$55</f>
        <v/>
      </c>
      <c r="D78" s="5">
        <f>'balance_raw_35663908'!$D$55</f>
        <v/>
      </c>
      <c r="E78" s="5">
        <f>'balance_raw_35663908'!$E$55</f>
        <v/>
      </c>
      <c r="F78" s="5">
        <f>'balance_raw_35663908'!$F$55</f>
        <v/>
      </c>
      <c r="G78" t="inlineStr"/>
      <c r="H78" s="6">
        <f>IFERROR(B78/$B$78*100,"")</f>
        <v/>
      </c>
      <c r="I78" s="6">
        <f>IFERROR(C78/$B$78*100,"")</f>
        <v/>
      </c>
      <c r="J78" s="6">
        <f>IFERROR(D78/$B$78*100,"")</f>
        <v/>
      </c>
      <c r="K78" s="6">
        <f>IFERROR(E78/$B$78*100,"")</f>
        <v/>
      </c>
      <c r="L78" s="6">
        <f>IFERROR(F78/$B$78*100,"")</f>
        <v/>
      </c>
    </row>
    <row r="79" ht="16" customHeight="1">
      <c r="A79" s="7" t="inlineStr">
        <is>
          <t>Periodeafgrænsningsposter (passiver)</t>
        </is>
      </c>
      <c r="B79" s="8">
        <f>'balance_raw_35663908'!$B$56</f>
        <v/>
      </c>
      <c r="C79" s="8">
        <f>'balance_raw_35663908'!$C$56</f>
        <v/>
      </c>
      <c r="D79" s="8">
        <f>'balance_raw_35663908'!$D$56</f>
        <v/>
      </c>
      <c r="E79" s="8">
        <f>'balance_raw_35663908'!$E$56</f>
        <v/>
      </c>
      <c r="F79" s="8">
        <f>'balance_raw_35663908'!$F$56</f>
        <v/>
      </c>
      <c r="G79" t="inlineStr"/>
      <c r="H79" s="9">
        <f>IFERROR(B79/$B$79*100,"")</f>
        <v/>
      </c>
      <c r="I79" s="9">
        <f>IFERROR(C79/$B$79*100,"")</f>
        <v/>
      </c>
      <c r="J79" s="9">
        <f>IFERROR(D79/$B$79*100,"")</f>
        <v/>
      </c>
      <c r="K79" s="9">
        <f>IFERROR(E79/$B$79*100,"")</f>
        <v/>
      </c>
      <c r="L79" s="9">
        <f>IFERROR(F79/$B$79*100,"")</f>
        <v/>
      </c>
    </row>
    <row r="80" ht="16" customHeight="1">
      <c r="A80" s="10" t="inlineStr">
        <is>
          <t>Kortfristede gældsforpligtelser</t>
        </is>
      </c>
      <c r="B80" s="11">
        <f>'balance_raw_35663908'!$B$57</f>
        <v/>
      </c>
      <c r="C80" s="11">
        <f>'balance_raw_35663908'!$C$57</f>
        <v/>
      </c>
      <c r="D80" s="11">
        <f>'balance_raw_35663908'!$D$57</f>
        <v/>
      </c>
      <c r="E80" s="11">
        <f>'balance_raw_35663908'!$E$57</f>
        <v/>
      </c>
      <c r="F80" s="11">
        <f>'balance_raw_35663908'!$F$57</f>
        <v/>
      </c>
      <c r="G80" t="inlineStr"/>
      <c r="H80" s="12">
        <f>IFERROR(B80/$B$80*100,"")</f>
        <v/>
      </c>
      <c r="I80" s="12">
        <f>IFERROR(C80/$B$80*100,"")</f>
        <v/>
      </c>
      <c r="J80" s="12">
        <f>IFERROR(D80/$B$80*100,"")</f>
        <v/>
      </c>
      <c r="K80" s="12">
        <f>IFERROR(E80/$B$80*100,"")</f>
        <v/>
      </c>
      <c r="L80" s="12">
        <f>IFERROR(F80/$B$80*100,"")</f>
        <v/>
      </c>
    </row>
    <row r="81" ht="16" customHeight="1">
      <c r="A81" s="10" t="inlineStr">
        <is>
          <t>Gældsforpligtelser</t>
        </is>
      </c>
      <c r="B81" s="11">
        <f>'balance_raw_35663908'!$B$58</f>
        <v/>
      </c>
      <c r="C81" s="11">
        <f>'balance_raw_35663908'!$C$58</f>
        <v/>
      </c>
      <c r="D81" s="11">
        <f>'balance_raw_35663908'!$D$58</f>
        <v/>
      </c>
      <c r="E81" s="11">
        <f>'balance_raw_35663908'!$E$58</f>
        <v/>
      </c>
      <c r="F81" s="11">
        <f>'balance_raw_35663908'!$F$58</f>
        <v/>
      </c>
      <c r="G81" t="inlineStr"/>
      <c r="H81" s="12">
        <f>IFERROR(B81/$B$81*100,"")</f>
        <v/>
      </c>
      <c r="I81" s="12">
        <f>IFERROR(C81/$B$81*100,"")</f>
        <v/>
      </c>
      <c r="J81" s="12">
        <f>IFERROR(D81/$B$81*100,"")</f>
        <v/>
      </c>
      <c r="K81" s="12">
        <f>IFERROR(E81/$B$81*100,"")</f>
        <v/>
      </c>
      <c r="L81" s="12">
        <f>IFERROR(F81/$B$81*100,"")</f>
        <v/>
      </c>
    </row>
    <row r="82" ht="16" customHeight="1">
      <c r="A82" s="10" t="inlineStr">
        <is>
          <t>Passiver</t>
        </is>
      </c>
      <c r="B82" s="11">
        <f>'balance_raw_35663908'!$B$59</f>
        <v/>
      </c>
      <c r="C82" s="11">
        <f>'balance_raw_35663908'!$C$59</f>
        <v/>
      </c>
      <c r="D82" s="11">
        <f>'balance_raw_35663908'!$D$59</f>
        <v/>
      </c>
      <c r="E82" s="11">
        <f>'balance_raw_35663908'!$E$59</f>
        <v/>
      </c>
      <c r="F82" s="11">
        <f>'balance_raw_35663908'!$F$59</f>
        <v/>
      </c>
      <c r="G82" t="inlineStr"/>
      <c r="H82" s="12">
        <f>IFERROR(B82/$B$82*100,"")</f>
        <v/>
      </c>
      <c r="I82" s="12">
        <f>IFERROR(C82/$B$82*100,"")</f>
        <v/>
      </c>
      <c r="J82" s="12">
        <f>IFERROR(D82/$B$82*100,"")</f>
        <v/>
      </c>
      <c r="K82" s="12">
        <f>IFERROR(E82/$B$82*100,"")</f>
        <v/>
      </c>
      <c r="L82" s="12">
        <f>IFERROR(F82/$B$82*100,"")</f>
        <v/>
      </c>
    </row>
    <row r="84" ht="22" customHeight="1">
      <c r="A84" s="3" t="inlineStr">
        <is>
          <t>NØGLEOPLYSNINGER</t>
        </is>
      </c>
      <c r="B84" s="3" t="n">
        <v>2021</v>
      </c>
      <c r="C84" s="3" t="n">
        <v>2022</v>
      </c>
      <c r="D84" s="3" t="n">
        <v>2023</v>
      </c>
      <c r="E84" s="3" t="n">
        <v>2024</v>
      </c>
      <c r="F84" s="3" t="n">
        <v>2025</v>
      </c>
    </row>
    <row r="85" ht="16" customHeight="1">
      <c r="A85" s="7" t="inlineStr">
        <is>
          <t>Gns. antal medarbejdere</t>
        </is>
      </c>
      <c r="B85" s="8">
        <f>'res_raw_35663908'!$B$19</f>
        <v/>
      </c>
      <c r="C85" s="8">
        <f>'res_raw_35663908'!$C$19</f>
        <v/>
      </c>
      <c r="D85" s="8">
        <f>'res_raw_35663908'!$D$19</f>
        <v/>
      </c>
      <c r="E85" s="8">
        <f>'res_raw_35663908'!$E$19</f>
        <v/>
      </c>
      <c r="F85" s="8">
        <f>'res_raw_35663908'!$F$19</f>
        <v/>
      </c>
      <c r="G85" t="inlineStr"/>
      <c r="H85" s="9">
        <f>IFERROR(B85/$B$85*100,"")</f>
        <v/>
      </c>
      <c r="I85" s="9">
        <f>IFERROR(C85/$B$85*100,"")</f>
        <v/>
      </c>
      <c r="J85" s="9">
        <f>IFERROR(D85/$B$85*100,"")</f>
        <v/>
      </c>
      <c r="K85" s="9">
        <f>IFERROR(E85/$B$85*100,"")</f>
        <v/>
      </c>
      <c r="L85" s="9">
        <f>IFERROR(F85/$B$85*100,"")</f>
        <v/>
      </c>
    </row>
    <row r="86" ht="16" customHeight="1">
      <c r="A86" s="4" t="inlineStr">
        <is>
          <t>Investering i materielle anlægsaktiver</t>
        </is>
      </c>
      <c r="B86" s="5">
        <f>'res_raw_35663908'!$B$20</f>
        <v/>
      </c>
      <c r="C86" s="5">
        <f>'res_raw_35663908'!$C$20</f>
        <v/>
      </c>
      <c r="D86" s="5">
        <f>'res_raw_35663908'!$D$20</f>
        <v/>
      </c>
      <c r="E86" s="5">
        <f>'res_raw_35663908'!$E$20</f>
        <v/>
      </c>
      <c r="F86" s="5">
        <f>'res_raw_35663908'!$F$20</f>
        <v/>
      </c>
      <c r="G86" t="inlineStr"/>
      <c r="H86" s="6">
        <f>IFERROR(B86/$B$86*100,"")</f>
        <v/>
      </c>
      <c r="I86" s="6">
        <f>IFERROR(C86/$B$86*100,"")</f>
        <v/>
      </c>
      <c r="J86" s="6">
        <f>IFERROR(D86/$B$86*100,"")</f>
        <v/>
      </c>
      <c r="K86" s="6">
        <f>IFERROR(E86/$B$86*100,"")</f>
        <v/>
      </c>
      <c r="L86" s="6">
        <f>IFERROR(F86/$B$86*100,"")</f>
        <v/>
      </c>
    </row>
    <row r="88" ht="22" customHeight="1">
      <c r="A88" s="3" t="inlineStr">
        <is>
          <t>NØGLETAL</t>
        </is>
      </c>
      <c r="B88" s="3" t="n">
        <v>2021</v>
      </c>
      <c r="C88" s="3" t="n">
        <v>2022</v>
      </c>
      <c r="D88" s="3" t="n">
        <v>2023</v>
      </c>
      <c r="E88" s="3" t="n">
        <v>2024</v>
      </c>
      <c r="F88" s="3" t="n">
        <v>2025</v>
      </c>
    </row>
    <row r="89" ht="16" customHeight="1">
      <c r="A89" s="7" t="inlineStr">
        <is>
          <t>Afkastningsgrad, %</t>
        </is>
      </c>
      <c r="B89" s="13">
        <f>IFERROR(($B$13+$B$15+$B$14)/$B$52*100,"")</f>
        <v/>
      </c>
      <c r="C89" s="13">
        <f>IFERROR(($C$13+$C$15+$C$14)/$C$52*100,"")</f>
        <v/>
      </c>
      <c r="D89" s="13">
        <f>IFERROR(($D$13+$D$15+$D$14)/$D$52*100,"")</f>
        <v/>
      </c>
      <c r="E89" s="13">
        <f>IFERROR(($E$13+$E$15+$E$14)/$E$52*100,"")</f>
        <v/>
      </c>
      <c r="F89" s="13">
        <f>IFERROR(($F$13+$F$15+$F$14)/$F$52*100,"")</f>
        <v/>
      </c>
    </row>
    <row r="90" ht="16" customHeight="1">
      <c r="A90" s="4" t="inlineStr">
        <is>
          <t>Overskudsgrad, %</t>
        </is>
      </c>
      <c r="B90" s="14">
        <f>IFERROR(($B$13+$B$15+$B$14)/$B$4*100,"")</f>
        <v/>
      </c>
      <c r="C90" s="14">
        <f>IFERROR(($C$13+$C$15+$C$14)/$C$4*100,"")</f>
        <v/>
      </c>
      <c r="D90" s="14">
        <f>IFERROR(($D$13+$D$15+$D$14)/$D$4*100,"")</f>
        <v/>
      </c>
      <c r="E90" s="14">
        <f>IFERROR(($E$13+$E$15+$E$14)/$E$4*100,"")</f>
        <v/>
      </c>
      <c r="F90" s="14">
        <f>IFERROR(($F$13+$F$15+$F$14)/$F$4*100,"")</f>
        <v/>
      </c>
    </row>
    <row r="91" ht="16" customHeight="1">
      <c r="A91" s="7" t="inlineStr">
        <is>
          <t>Aktivernes omsætningshastighed, gange</t>
        </is>
      </c>
      <c r="B91" s="13">
        <f>IFERROR($B$4/$B$52,"")</f>
        <v/>
      </c>
      <c r="C91" s="13">
        <f>IFERROR($C$4/$C$52,"")</f>
        <v/>
      </c>
      <c r="D91" s="13">
        <f>IFERROR($D$4/$D$52,"")</f>
        <v/>
      </c>
      <c r="E91" s="13">
        <f>IFERROR($E$4/$E$52,"")</f>
        <v/>
      </c>
      <c r="F91" s="13">
        <f>IFERROR($F$4/$F$52,"")</f>
        <v/>
      </c>
    </row>
    <row r="92" ht="16" customHeight="1">
      <c r="A92" s="4" t="inlineStr">
        <is>
          <t>Egenkapitalens forrentning, %</t>
        </is>
      </c>
      <c r="B92" s="14">
        <f>IFERROR($B$18/$B$61*100,"")</f>
        <v/>
      </c>
      <c r="C92" s="14">
        <f>IFERROR($C$18/$C$61*100,"")</f>
        <v/>
      </c>
      <c r="D92" s="14">
        <f>IFERROR($D$18/$D$61*100,"")</f>
        <v/>
      </c>
      <c r="E92" s="14">
        <f>IFERROR($E$18/$E$61*100,"")</f>
        <v/>
      </c>
      <c r="F92" s="14">
        <f>IFERROR($F$18/$F$61*100,"")</f>
        <v/>
      </c>
    </row>
    <row r="93" ht="16" customHeight="1">
      <c r="A93" s="7" t="inlineStr">
        <is>
          <t>Gældsrente, %</t>
        </is>
      </c>
      <c r="B93" s="13">
        <f>IFERROR($B$16/($B$82-$B$61)*100,"")</f>
        <v/>
      </c>
      <c r="C93" s="13">
        <f>IFERROR($C$16/($C$82-$C$61)*100,"")</f>
        <v/>
      </c>
      <c r="D93" s="13">
        <f>IFERROR($D$16/($D$82-$D$61)*100,"")</f>
        <v/>
      </c>
      <c r="E93" s="13">
        <f>IFERROR($E$16/($E$82-$E$61)*100,"")</f>
        <v/>
      </c>
      <c r="F93" s="13">
        <f>IFERROR($F$16/($F$82-$F$61)*100,"")</f>
        <v/>
      </c>
    </row>
    <row r="94" ht="16" customHeight="1">
      <c r="A94" s="4" t="inlineStr">
        <is>
          <t>Soliditetsgrad, %</t>
        </is>
      </c>
      <c r="B94" s="14">
        <f>IFERROR($B$61/$B$52*100,"")</f>
        <v/>
      </c>
      <c r="C94" s="14">
        <f>IFERROR($C$61/$C$52*100,"")</f>
        <v/>
      </c>
      <c r="D94" s="14">
        <f>IFERROR($D$61/$D$52*100,"")</f>
        <v/>
      </c>
      <c r="E94" s="14">
        <f>IFERROR($E$61/$E$52*100,"")</f>
        <v/>
      </c>
      <c r="F94" s="14">
        <f>IFERROR($F$61/$F$52*100,"")</f>
        <v/>
      </c>
    </row>
    <row r="95" ht="16" customHeight="1">
      <c r="A95" s="7" t="inlineStr">
        <is>
          <t>Gearing</t>
        </is>
      </c>
      <c r="B95" s="13">
        <f>IFERROR(($B$82-$B$61)/$B$61,"")</f>
        <v/>
      </c>
      <c r="C95" s="13">
        <f>IFERROR(($C$82-$C$61)/$C$61,"")</f>
        <v/>
      </c>
      <c r="D95" s="13">
        <f>IFERROR(($D$82-$D$61)/$D$61,"")</f>
        <v/>
      </c>
      <c r="E95" s="13">
        <f>IFERROR(($E$82-$E$61)/$E$61,"")</f>
        <v/>
      </c>
      <c r="F95" s="13">
        <f>IFERROR(($F$82-$F$61)/$F$61,"")</f>
        <v/>
      </c>
    </row>
    <row r="96" ht="16" customHeight="1">
      <c r="A96" s="4" t="inlineStr">
        <is>
          <t>Likviditetsgrad, %</t>
        </is>
      </c>
      <c r="B96" s="14">
        <f>IFERROR($B$51/$B$80*100,"")</f>
        <v/>
      </c>
      <c r="C96" s="14">
        <f>IFERROR($C$51/$C$80*100,"")</f>
        <v/>
      </c>
      <c r="D96" s="14">
        <f>IFERROR($D$51/$D$80*100,"")</f>
        <v/>
      </c>
      <c r="E96" s="14">
        <f>IFERROR($E$51/$E$80*100,"")</f>
        <v/>
      </c>
      <c r="F96" s="14">
        <f>IFERROR($F$51/$F$80*100,"")</f>
        <v/>
      </c>
    </row>
    <row r="97" ht="16" customHeight="1">
      <c r="A97" s="7" t="inlineStr">
        <is>
          <t>Rentemarginal, %</t>
        </is>
      </c>
      <c r="B97" s="13">
        <f>IFERROR(B89-B93,"")</f>
        <v/>
      </c>
      <c r="C97" s="13">
        <f>IFERROR(C89-C93,"")</f>
        <v/>
      </c>
      <c r="D97" s="13">
        <f>IFERROR(D89-D93,"")</f>
        <v/>
      </c>
      <c r="E97" s="13">
        <f>IFERROR(E89-E93,"")</f>
        <v/>
      </c>
      <c r="F97" s="13">
        <f>IFERROR(F89-F93,"")</f>
        <v/>
      </c>
    </row>
    <row r="98" ht="16" customHeight="1">
      <c r="A98" s="4" t="inlineStr">
        <is>
          <t>Gældsandel, %</t>
        </is>
      </c>
      <c r="B98" s="14">
        <f>IFERROR(($B$82-$B$61)/$B$52*100,"")</f>
        <v/>
      </c>
      <c r="C98" s="14">
        <f>IFERROR(($C$82-$C$61)/$C$52*100,"")</f>
        <v/>
      </c>
      <c r="D98" s="14">
        <f>IFERROR(($D$82-$D$61)/$D$52*100,"")</f>
        <v/>
      </c>
      <c r="E98" s="14">
        <f>IFERROR(($E$82-$E$61)/$E$52*100,"")</f>
        <v/>
      </c>
      <c r="F98" s="14">
        <f>IFERROR(($F$82-$F$61)/$F$52*100,"")</f>
        <v/>
      </c>
    </row>
    <row r="99" ht="16" customHeight="1">
      <c r="A99" s="7" t="inlineStr">
        <is>
          <t>Kapitalbindingsgrad, %</t>
        </is>
      </c>
      <c r="B99" s="13">
        <f>IFERROR($B$36/($B$61+$B$68)*100,"")</f>
        <v/>
      </c>
      <c r="C99" s="13">
        <f>IFERROR($C$36/($C$61+$C$68)*100,"")</f>
        <v/>
      </c>
      <c r="D99" s="13">
        <f>IFERROR($D$36/($D$61+$D$68)*100,"")</f>
        <v/>
      </c>
      <c r="E99" s="13">
        <f>IFERROR($E$36/($E$61+$E$68)*100,"")</f>
        <v/>
      </c>
      <c r="F99" s="13">
        <f>IFERROR($F$36/($F$61+$F$68)*100,"")</f>
        <v/>
      </c>
    </row>
    <row r="101">
      <c r="A101" s="15" t="inlineStr">
        <is>
          <t>PENGESTRØMSOPGØRELSE t.kr.</t>
        </is>
      </c>
    </row>
    <row r="102">
      <c r="A102" s="16" t="inlineStr">
        <is>
          <t>Pengestrømme fra driftsaktivitet</t>
        </is>
      </c>
      <c r="B102" s="17">
        <f>'pengestrom_raw_35663908'!$B$2</f>
        <v/>
      </c>
      <c r="C102" s="17">
        <f>'pengestrom_raw_35663908'!$C$2</f>
        <v/>
      </c>
      <c r="D102" s="17">
        <f>'pengestrom_raw_35663908'!$D$2</f>
        <v/>
      </c>
      <c r="E102" s="17">
        <f>'pengestrom_raw_35663908'!$E$2</f>
        <v/>
      </c>
      <c r="F102" s="17">
        <f>'pengestrom_raw_35663908'!$F$2</f>
        <v/>
      </c>
    </row>
    <row r="103">
      <c r="A103" s="16" t="inlineStr">
        <is>
          <t>Pengestrømme fra investeringsaktivitet</t>
        </is>
      </c>
      <c r="B103" s="17">
        <f>'pengestrom_raw_35663908'!$B$3</f>
        <v/>
      </c>
      <c r="C103" s="17">
        <f>'pengestrom_raw_35663908'!$C$3</f>
        <v/>
      </c>
      <c r="D103" s="17">
        <f>'pengestrom_raw_35663908'!$D$3</f>
        <v/>
      </c>
      <c r="E103" s="17">
        <f>'pengestrom_raw_35663908'!$E$3</f>
        <v/>
      </c>
      <c r="F103" s="17">
        <f>'pengestrom_raw_35663908'!$F$3</f>
        <v/>
      </c>
    </row>
    <row r="104">
      <c r="A104" s="16" t="inlineStr">
        <is>
          <t>Pengestrømme fra finansieringsaktivitet</t>
        </is>
      </c>
      <c r="B104" s="17">
        <f>'pengestrom_raw_35663908'!$B$4</f>
        <v/>
      </c>
      <c r="C104" s="17">
        <f>'pengestrom_raw_35663908'!$C$4</f>
        <v/>
      </c>
      <c r="D104" s="17">
        <f>'pengestrom_raw_35663908'!$D$4</f>
        <v/>
      </c>
      <c r="E104" s="17">
        <f>'pengestrom_raw_35663908'!$E$4</f>
        <v/>
      </c>
      <c r="F104" s="17">
        <f>'pengestrom_raw_35663908'!$F$4</f>
        <v/>
      </c>
    </row>
    <row r="105">
      <c r="A105" s="16" t="inlineStr">
        <is>
          <t>Årets pengestrøm (rapporteret)</t>
        </is>
      </c>
      <c r="B105" s="17">
        <f>'pengestrom_raw_35663908'!$B$5</f>
        <v/>
      </c>
      <c r="C105" s="17">
        <f>'pengestrom_raw_35663908'!$C$5</f>
        <v/>
      </c>
      <c r="D105" s="17">
        <f>'pengestrom_raw_35663908'!$D$5</f>
        <v/>
      </c>
      <c r="E105" s="17">
        <f>'pengestrom_raw_35663908'!$E$5</f>
        <v/>
      </c>
      <c r="F105" s="17">
        <f>'pengestrom_raw_35663908'!$F$5</f>
        <v/>
      </c>
    </row>
    <row r="106">
      <c r="A106" s="16" t="inlineStr">
        <is>
          <t>Krydstjek: drift + inv. + fin. = årets pengestrøm</t>
        </is>
      </c>
      <c r="B106">
        <f>IF(ABS(('pengestrom_raw_35663908'!$B$2+'pengestrom_raw_35663908'!$B$3+'pengestrom_raw_35663908'!$B$4)-'pengestrom_raw_35663908'!$B$5)&lt;=2,"✓","⚠ "&amp;TEXT(('pengestrom_raw_35663908'!$B$2+'pengestrom_raw_35663908'!$B$3+'pengestrom_raw_35663908'!$B$4)-'pengestrom_raw_35663908'!$B$5,"+#,##0;-#,##0"))</f>
        <v/>
      </c>
      <c r="C106">
        <f>IF(ABS(('pengestrom_raw_35663908'!$C$2+'pengestrom_raw_35663908'!$C$3+'pengestrom_raw_35663908'!$C$4)-'pengestrom_raw_35663908'!$C$5)&lt;=2,"✓","⚠ "&amp;TEXT(('pengestrom_raw_35663908'!$C$2+'pengestrom_raw_35663908'!$C$3+'pengestrom_raw_35663908'!$C$4)-'pengestrom_raw_35663908'!$C$5,"+#,##0;-#,##0"))</f>
        <v/>
      </c>
      <c r="D106">
        <f>IF(ABS(('pengestrom_raw_35663908'!$D$2+'pengestrom_raw_35663908'!$D$3+'pengestrom_raw_35663908'!$D$4)-'pengestrom_raw_35663908'!$D$5)&lt;=2,"✓","⚠ "&amp;TEXT(('pengestrom_raw_35663908'!$D$2+'pengestrom_raw_35663908'!$D$3+'pengestrom_raw_35663908'!$D$4)-'pengestrom_raw_35663908'!$D$5,"+#,##0;-#,##0"))</f>
        <v/>
      </c>
      <c r="E106">
        <f>IF(ABS(('pengestrom_raw_35663908'!$E$2+'pengestrom_raw_35663908'!$E$3+'pengestrom_raw_35663908'!$E$4)-'pengestrom_raw_35663908'!$E$5)&lt;=2,"✓","⚠ "&amp;TEXT(('pengestrom_raw_35663908'!$E$2+'pengestrom_raw_35663908'!$E$3+'pengestrom_raw_35663908'!$E$4)-'pengestrom_raw_35663908'!$E$5,"+#,##0;-#,##0"))</f>
        <v/>
      </c>
      <c r="F106">
        <f>IF(ABS(('pengestrom_raw_35663908'!$F$2+'pengestrom_raw_35663908'!$F$3+'pengestrom_raw_35663908'!$F$4)-'pengestrom_raw_35663908'!$F$5)&lt;=2,"✓","⚠ "&amp;TEXT(('pengestrom_raw_35663908'!$F$2+'pengestrom_raw_35663908'!$F$3+'pengestrom_raw_35663908'!$F$4)-'pengestrom_raw_35663908'!$F$5,"+#,##0;-#,##0"))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3" t="inlineStr">
        <is>
          <t>KOMPAN Holding A/S (CVR 35663908) — Resultatopgørelse &amp; nøgleoplysninger (t.kr.)</t>
        </is>
      </c>
      <c r="B1" s="3" t="n">
        <v>2021</v>
      </c>
      <c r="C1" s="3" t="n">
        <v>2022</v>
      </c>
      <c r="D1" s="3" t="n">
        <v>2023</v>
      </c>
      <c r="E1" s="3" t="n">
        <v>2024</v>
      </c>
      <c r="F1" s="3" t="n">
        <v>2025</v>
      </c>
    </row>
    <row r="2">
      <c r="A2" s="16" t="inlineStr">
        <is>
          <t>Nettoomsætning</t>
        </is>
      </c>
      <c r="B2" s="17" t="n">
        <v>2381500</v>
      </c>
      <c r="C2" s="17" t="n">
        <v>3128500</v>
      </c>
      <c r="D2" s="17" t="n">
        <v>3377900</v>
      </c>
      <c r="E2" s="17" t="n">
        <v>3455600</v>
      </c>
      <c r="F2" s="17" t="n">
        <v>3822200</v>
      </c>
    </row>
    <row r="3">
      <c r="A3" s="16" t="inlineStr">
        <is>
          <t>Andre driftsindtægter</t>
        </is>
      </c>
      <c r="B3" s="17" t="n"/>
      <c r="C3" s="17" t="n">
        <v>16500</v>
      </c>
      <c r="D3" s="17" t="n">
        <v>23600</v>
      </c>
      <c r="E3" s="17" t="n">
        <v>20600</v>
      </c>
      <c r="F3" s="17" t="n">
        <v>28800</v>
      </c>
    </row>
    <row r="4">
      <c r="A4" s="16" t="inlineStr">
        <is>
          <t>Vareforbrug</t>
        </is>
      </c>
      <c r="B4" s="17" t="n"/>
      <c r="C4" s="17" t="n"/>
      <c r="D4" s="17" t="n"/>
      <c r="E4" s="17" t="n">
        <v>1859900</v>
      </c>
      <c r="F4" s="17" t="n">
        <v>2101400</v>
      </c>
    </row>
    <row r="5">
      <c r="A5" s="16" t="inlineStr">
        <is>
          <t>Andre eksterne omkostninger</t>
        </is>
      </c>
      <c r="B5" s="17" t="n"/>
      <c r="C5" s="17" t="n"/>
      <c r="D5" s="17" t="n"/>
      <c r="E5" s="17" t="n"/>
      <c r="F5" s="17" t="n"/>
    </row>
    <row r="6">
      <c r="A6" s="15" t="inlineStr">
        <is>
          <t>Bruttoresultat</t>
        </is>
      </c>
      <c r="B6" s="17" t="n">
        <v>1047600</v>
      </c>
      <c r="C6" s="17" t="n">
        <v>1339700</v>
      </c>
      <c r="D6" s="17" t="n">
        <v>1518200</v>
      </c>
      <c r="E6" s="17" t="n">
        <v>1595700</v>
      </c>
      <c r="F6" s="17" t="n">
        <v>1720800</v>
      </c>
    </row>
    <row r="7">
      <c r="A7" s="16" t="inlineStr">
        <is>
          <t>Personaleomkostninger</t>
        </is>
      </c>
      <c r="B7" s="17" t="n"/>
      <c r="C7" s="17" t="n"/>
      <c r="D7" s="17" t="n"/>
      <c r="E7" s="17" t="n">
        <v>881400</v>
      </c>
      <c r="F7" s="17" t="n">
        <v>1025400</v>
      </c>
    </row>
    <row r="8">
      <c r="A8" s="15" t="inlineStr">
        <is>
          <t>Resultat før afskrivninger</t>
        </is>
      </c>
    </row>
    <row r="9">
      <c r="A9" s="16" t="inlineStr">
        <is>
          <t>Af- og nedskrivninger</t>
        </is>
      </c>
      <c r="B9" s="17" t="n"/>
      <c r="C9" s="17" t="n"/>
      <c r="D9" s="17" t="n"/>
      <c r="E9" s="17" t="n"/>
      <c r="F9" s="17" t="n"/>
    </row>
    <row r="10">
      <c r="A10" s="16" t="inlineStr">
        <is>
          <t>Andre driftsomkostninger</t>
        </is>
      </c>
      <c r="B10" s="17" t="n"/>
      <c r="C10" s="17" t="n"/>
      <c r="D10" s="17" t="n"/>
      <c r="E10" s="17" t="n"/>
      <c r="F10" s="17" t="n"/>
    </row>
    <row r="11">
      <c r="A11" s="15" t="inlineStr">
        <is>
          <t>Resultat af primær drift</t>
        </is>
      </c>
      <c r="B11" s="17" t="n">
        <v>378200</v>
      </c>
      <c r="C11" s="17" t="n">
        <v>498300</v>
      </c>
      <c r="D11" s="17" t="n">
        <v>621400</v>
      </c>
      <c r="E11" s="17" t="n">
        <v>490800</v>
      </c>
      <c r="F11" s="17" t="n">
        <v>522000</v>
      </c>
    </row>
    <row r="12">
      <c r="A12" s="16" t="inlineStr">
        <is>
          <t>Indtægter af kapitalandele, dattervirksomheder</t>
        </is>
      </c>
      <c r="B12" s="17" t="n"/>
      <c r="C12" s="17" t="n"/>
      <c r="D12" s="17" t="n"/>
      <c r="E12" s="17" t="n"/>
      <c r="F12" s="17" t="n"/>
    </row>
    <row r="13">
      <c r="A13" s="16" t="inlineStr">
        <is>
          <t>Finansielle indtægter</t>
        </is>
      </c>
      <c r="B13" s="17" t="n">
        <v>29800</v>
      </c>
      <c r="C13" s="17" t="n">
        <v>101800</v>
      </c>
      <c r="D13" s="17" t="n">
        <v>25500</v>
      </c>
      <c r="E13" s="17" t="n">
        <v>20600</v>
      </c>
      <c r="F13" s="17" t="n">
        <v>42600</v>
      </c>
    </row>
    <row r="14">
      <c r="A14" s="16" t="inlineStr">
        <is>
          <t>Finansielle omkostninger</t>
        </is>
      </c>
      <c r="B14" s="17" t="n">
        <v>34100</v>
      </c>
      <c r="C14" s="17" t="n">
        <v>37200</v>
      </c>
      <c r="D14" s="17" t="n">
        <v>48800</v>
      </c>
      <c r="E14" s="17" t="n">
        <v>55900</v>
      </c>
      <c r="F14" s="17" t="n">
        <v>47300</v>
      </c>
    </row>
    <row r="15">
      <c r="A15" s="15" t="inlineStr">
        <is>
          <t>Finansielle poster, netto</t>
        </is>
      </c>
      <c r="B15" s="17" t="n"/>
      <c r="C15" s="17" t="n"/>
      <c r="D15" s="17" t="n"/>
      <c r="E15" s="17" t="n"/>
      <c r="F15" s="17" t="n"/>
    </row>
    <row r="16">
      <c r="A16" s="15" t="inlineStr">
        <is>
          <t>Resultat før skat</t>
        </is>
      </c>
      <c r="B16" s="17" t="n">
        <v>355900</v>
      </c>
      <c r="C16" s="17" t="n">
        <v>562900</v>
      </c>
      <c r="D16" s="17" t="n">
        <v>598100</v>
      </c>
      <c r="E16" s="17" t="n">
        <v>455500</v>
      </c>
      <c r="F16" s="17" t="n">
        <v>517300</v>
      </c>
    </row>
    <row r="17">
      <c r="A17" s="16" t="inlineStr">
        <is>
          <t>Skat af årets resultat</t>
        </is>
      </c>
      <c r="B17" s="17" t="n"/>
      <c r="C17" s="17" t="n">
        <v>115400</v>
      </c>
      <c r="D17" s="17" t="n">
        <v>133700</v>
      </c>
      <c r="E17" s="17" t="n">
        <v>116200</v>
      </c>
      <c r="F17" s="17" t="n">
        <v>130000</v>
      </c>
    </row>
    <row r="18">
      <c r="A18" s="15" t="inlineStr">
        <is>
          <t>Årets resultat</t>
        </is>
      </c>
      <c r="B18" s="17" t="n">
        <v>279200</v>
      </c>
      <c r="C18" s="17" t="n">
        <v>447500</v>
      </c>
      <c r="D18" s="17" t="n">
        <v>464400</v>
      </c>
      <c r="E18" s="17" t="n">
        <v>339300</v>
      </c>
      <c r="F18" s="17" t="n">
        <v>387300</v>
      </c>
    </row>
    <row r="19">
      <c r="A19" s="16" t="inlineStr">
        <is>
          <t>Gns. antal medarbejdere</t>
        </is>
      </c>
      <c r="B19" s="17" t="n">
        <v>1488</v>
      </c>
      <c r="C19" s="17" t="n">
        <v>1811</v>
      </c>
      <c r="D19" s="17" t="n">
        <v>3</v>
      </c>
      <c r="E19" s="17" t="n">
        <v>1886</v>
      </c>
      <c r="F19" s="17" t="n">
        <v>2172</v>
      </c>
    </row>
    <row r="20">
      <c r="A20" s="16" t="inlineStr">
        <is>
          <t>Investering i materielle anlægsaktiver</t>
        </is>
      </c>
      <c r="B20" s="17" t="n">
        <v>19900</v>
      </c>
      <c r="C20" s="17" t="n">
        <v>39900</v>
      </c>
      <c r="D20" s="17" t="n">
        <v>59600</v>
      </c>
      <c r="E20" s="17" t="n">
        <v>102600</v>
      </c>
      <c r="F20" s="17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3" t="inlineStr">
        <is>
          <t>KOMPAN Holding A/S (CVR 35663908) — Balance (t.kr.)</t>
        </is>
      </c>
      <c r="B1" s="3" t="n">
        <v>2021</v>
      </c>
      <c r="C1" s="3" t="n">
        <v>2022</v>
      </c>
      <c r="D1" s="3" t="n">
        <v>2023</v>
      </c>
      <c r="E1" s="3" t="n">
        <v>2024</v>
      </c>
      <c r="F1" s="3" t="n">
        <v>2025</v>
      </c>
    </row>
    <row r="2">
      <c r="A2" s="16" t="inlineStr">
        <is>
          <t>Udviklingsprojekter</t>
        </is>
      </c>
      <c r="B2" s="17" t="n"/>
      <c r="C2" s="17" t="n"/>
      <c r="D2" s="17" t="n"/>
      <c r="E2" s="17" t="n">
        <v>64500</v>
      </c>
      <c r="F2" s="17" t="n">
        <v>54300</v>
      </c>
    </row>
    <row r="3">
      <c r="A3" s="16" t="inlineStr">
        <is>
          <t>Patenter, varemærker mv.</t>
        </is>
      </c>
      <c r="B3" s="17" t="n"/>
      <c r="C3" s="17" t="n"/>
      <c r="D3" s="17" t="n"/>
      <c r="E3" s="17" t="n">
        <v>99800</v>
      </c>
      <c r="F3" s="17" t="n">
        <v>99900</v>
      </c>
    </row>
    <row r="4">
      <c r="A4" s="16" t="inlineStr">
        <is>
          <t>Goodwill</t>
        </is>
      </c>
      <c r="B4" s="17" t="n"/>
      <c r="C4" s="17" t="n"/>
      <c r="D4" s="17" t="n"/>
      <c r="E4" s="17" t="n">
        <v>1056100</v>
      </c>
      <c r="F4" s="17" t="n">
        <v>965700</v>
      </c>
    </row>
    <row r="5">
      <c r="A5" s="15" t="inlineStr">
        <is>
          <t>Immaterielle anlægsaktiver</t>
        </is>
      </c>
      <c r="B5" s="17" t="n">
        <v>1288800</v>
      </c>
      <c r="C5" s="17" t="n">
        <v>1289800</v>
      </c>
      <c r="D5" s="17" t="n">
        <v>1295100</v>
      </c>
      <c r="E5" s="17" t="n">
        <v>1239900</v>
      </c>
      <c r="F5" s="17" t="n">
        <v>1161000</v>
      </c>
    </row>
    <row r="6">
      <c r="A6" s="16" t="inlineStr">
        <is>
          <t>Grunde og bygninger</t>
        </is>
      </c>
      <c r="B6" s="17" t="n"/>
      <c r="C6" s="17" t="n"/>
      <c r="D6" s="17" t="n"/>
      <c r="E6" s="17" t="n">
        <v>156900</v>
      </c>
      <c r="F6" s="17" t="n">
        <v>153000</v>
      </c>
    </row>
    <row r="7">
      <c r="A7" s="16" t="inlineStr">
        <is>
          <t>Produktionsanlæg og maskiner</t>
        </is>
      </c>
      <c r="B7" s="17" t="n"/>
      <c r="C7" s="17" t="n"/>
      <c r="D7" s="17" t="n"/>
      <c r="E7" s="17" t="n">
        <v>81700</v>
      </c>
      <c r="F7" s="17" t="n">
        <v>86300</v>
      </c>
    </row>
    <row r="8">
      <c r="A8" s="16" t="inlineStr">
        <is>
          <t>Driftsmateriel og inventar</t>
        </is>
      </c>
      <c r="B8" s="17" t="n"/>
      <c r="C8" s="17" t="n"/>
      <c r="D8" s="17" t="n"/>
      <c r="E8" s="17" t="n"/>
      <c r="F8" s="17" t="n"/>
    </row>
    <row r="9">
      <c r="A9" s="16" t="inlineStr">
        <is>
          <t>Indretning af lejede lokaler</t>
        </is>
      </c>
      <c r="B9" s="17" t="n"/>
      <c r="C9" s="17" t="n"/>
      <c r="D9" s="17" t="n"/>
      <c r="E9" s="17" t="n"/>
      <c r="F9" s="17" t="n"/>
    </row>
    <row r="10">
      <c r="A10" s="16" t="inlineStr">
        <is>
          <t>Forudbetaling og anlægsaktiver under opførelse</t>
        </is>
      </c>
      <c r="B10" s="17" t="n"/>
      <c r="C10" s="17" t="n"/>
      <c r="D10" s="17" t="n"/>
      <c r="E10" s="17" t="n">
        <v>4700</v>
      </c>
      <c r="F10" s="17" t="n">
        <v>13000</v>
      </c>
    </row>
    <row r="11">
      <c r="A11" s="15" t="inlineStr">
        <is>
          <t>Materielle anlægsaktiver</t>
        </is>
      </c>
      <c r="B11" s="17" t="n"/>
      <c r="C11" s="17" t="n">
        <v>145300</v>
      </c>
      <c r="D11" s="17" t="n">
        <v>179300</v>
      </c>
      <c r="E11" s="17" t="n">
        <v>243300</v>
      </c>
      <c r="F11" s="17" t="n">
        <v>252300</v>
      </c>
    </row>
    <row r="12">
      <c r="A12" s="16" t="inlineStr">
        <is>
          <t>Kapitalandele, dattervirksomheder</t>
        </is>
      </c>
      <c r="B12" s="17" t="n"/>
      <c r="C12" s="17" t="n"/>
      <c r="D12" s="17" t="n"/>
      <c r="E12" s="17" t="n">
        <v>1312400</v>
      </c>
      <c r="F12" s="17" t="n">
        <v>1312400</v>
      </c>
    </row>
    <row r="13">
      <c r="A13" s="16" t="inlineStr">
        <is>
          <t>Deposita</t>
        </is>
      </c>
      <c r="B13" s="17" t="n"/>
      <c r="C13" s="17" t="n"/>
      <c r="D13" s="17" t="n"/>
      <c r="E13" s="17" t="n">
        <v>100</v>
      </c>
      <c r="F13" s="17" t="n">
        <v>0</v>
      </c>
    </row>
    <row r="14">
      <c r="A14" s="15" t="inlineStr">
        <is>
          <t>Finansielle anlægsaktiver</t>
        </is>
      </c>
      <c r="B14" s="17" t="n"/>
      <c r="C14" s="17" t="n"/>
      <c r="D14" s="17" t="n"/>
      <c r="E14" s="17" t="n">
        <v>12800</v>
      </c>
      <c r="F14" s="17" t="n">
        <v>24000</v>
      </c>
    </row>
    <row r="15">
      <c r="A15" s="15" t="inlineStr">
        <is>
          <t>Anlægsaktiver</t>
        </is>
      </c>
      <c r="B15" s="17" t="n">
        <v>1642900</v>
      </c>
      <c r="C15" s="17" t="n">
        <v>1714500</v>
      </c>
      <c r="D15" s="17" t="n">
        <v>1708000</v>
      </c>
      <c r="E15" s="17" t="n">
        <v>1496000</v>
      </c>
      <c r="F15" s="17" t="n">
        <v>1437300</v>
      </c>
    </row>
    <row r="16">
      <c r="A16" s="16" t="inlineStr">
        <is>
          <t>Råvarer og hjælpematerialer</t>
        </is>
      </c>
      <c r="B16" s="17" t="n"/>
      <c r="C16" s="17" t="n"/>
      <c r="D16" s="17" t="n"/>
      <c r="E16" s="17" t="n">
        <v>74000</v>
      </c>
      <c r="F16" s="17" t="n">
        <v>72800</v>
      </c>
    </row>
    <row r="17">
      <c r="A17" s="16" t="inlineStr">
        <is>
          <t>Varer under fremstilling</t>
        </is>
      </c>
      <c r="B17" s="17" t="n"/>
      <c r="C17" s="17" t="n"/>
      <c r="D17" s="17" t="n"/>
      <c r="E17" s="17" t="n">
        <v>59100</v>
      </c>
      <c r="F17" s="17" t="n">
        <v>74600</v>
      </c>
    </row>
    <row r="18">
      <c r="A18" s="16" t="inlineStr">
        <is>
          <t>Færdigvarer og handelsvarer</t>
        </is>
      </c>
      <c r="B18" s="17" t="n"/>
      <c r="C18" s="17" t="n"/>
      <c r="D18" s="17" t="n"/>
      <c r="E18" s="17" t="n">
        <v>105300</v>
      </c>
      <c r="F18" s="17" t="n">
        <v>123800</v>
      </c>
    </row>
    <row r="19">
      <c r="A19" s="15" t="inlineStr">
        <is>
          <t>Varebeholdninger</t>
        </is>
      </c>
      <c r="B19" s="17" t="n">
        <v>168200</v>
      </c>
      <c r="C19" s="17" t="n">
        <v>260200</v>
      </c>
      <c r="D19" s="17" t="n">
        <v>219900</v>
      </c>
      <c r="E19" s="17" t="n">
        <v>238400</v>
      </c>
      <c r="F19" s="17" t="n">
        <v>271200</v>
      </c>
    </row>
    <row r="20">
      <c r="A20" s="16" t="inlineStr">
        <is>
          <t>Tilgodehavender fra salg og tjenesteydelser</t>
        </is>
      </c>
      <c r="B20" s="17" t="n">
        <v>462300</v>
      </c>
      <c r="C20" s="17" t="n"/>
      <c r="D20" s="17" t="n"/>
      <c r="E20" s="17" t="n">
        <v>554100</v>
      </c>
      <c r="F20" s="17" t="n">
        <v>617900</v>
      </c>
    </row>
    <row r="21">
      <c r="A21" s="16" t="inlineStr">
        <is>
          <t>Tilgodehavender hos tilknyttede virksomheder</t>
        </is>
      </c>
      <c r="B21" s="17" t="n"/>
      <c r="C21" s="17" t="n"/>
      <c r="D21" s="17" t="n"/>
      <c r="E21" s="17" t="n"/>
      <c r="F21" s="17" t="n"/>
    </row>
    <row r="22">
      <c r="A22" s="16" t="inlineStr">
        <is>
          <t>Andre tilgodehavender</t>
        </is>
      </c>
      <c r="B22" s="17" t="n"/>
      <c r="C22" s="17" t="n"/>
      <c r="D22" s="17" t="n"/>
      <c r="E22" s="17" t="n">
        <v>43200</v>
      </c>
      <c r="F22" s="17" t="n">
        <v>22700</v>
      </c>
    </row>
    <row r="23">
      <c r="A23" s="16" t="inlineStr">
        <is>
          <t>Periodeafgrænsningsposter (aktiver)</t>
        </is>
      </c>
      <c r="B23" s="17" t="n">
        <v>42700</v>
      </c>
      <c r="C23" s="17" t="n">
        <v>54000</v>
      </c>
      <c r="D23" s="17" t="n">
        <v>48500</v>
      </c>
      <c r="E23" s="17" t="n">
        <v>67400</v>
      </c>
      <c r="F23" s="17" t="n">
        <v>79400</v>
      </c>
    </row>
    <row r="24">
      <c r="A24" s="16" t="inlineStr">
        <is>
          <t>Udskudt skatteaktiv</t>
        </is>
      </c>
      <c r="B24" s="17" t="n">
        <v>5400</v>
      </c>
      <c r="C24" s="17" t="n">
        <v>10100</v>
      </c>
      <c r="D24" s="17" t="n">
        <v>10400</v>
      </c>
      <c r="E24" s="17" t="n">
        <v>11400</v>
      </c>
      <c r="F24" s="17" t="n">
        <v>10900</v>
      </c>
    </row>
    <row r="25">
      <c r="A25" s="16" t="inlineStr">
        <is>
          <t>Tilgodehavende skat hos tilknyttede virksomheder</t>
        </is>
      </c>
      <c r="B25" s="17" t="n"/>
      <c r="C25" s="17" t="n"/>
      <c r="D25" s="17" t="n"/>
      <c r="E25" s="17" t="n"/>
      <c r="F25" s="17" t="n"/>
    </row>
    <row r="26">
      <c r="A26" s="16" t="inlineStr">
        <is>
          <t>Kortfristede skattetilgodehavender</t>
        </is>
      </c>
      <c r="B26" s="17" t="n"/>
      <c r="C26" s="17" t="n">
        <v>9000</v>
      </c>
      <c r="D26" s="17" t="n">
        <v>0</v>
      </c>
      <c r="E26" s="17" t="n"/>
      <c r="F26" s="17" t="n"/>
    </row>
    <row r="27">
      <c r="A27" s="15" t="inlineStr">
        <is>
          <t>Tilgodehavender</t>
        </is>
      </c>
      <c r="B27" s="17" t="n">
        <v>38800</v>
      </c>
      <c r="C27" s="17" t="n">
        <v>65200</v>
      </c>
      <c r="D27" s="17" t="n">
        <v>41500</v>
      </c>
      <c r="E27" s="17" t="n">
        <v>732600</v>
      </c>
      <c r="F27" s="17" t="n">
        <v>775800</v>
      </c>
    </row>
    <row r="28">
      <c r="A28" s="16" t="inlineStr">
        <is>
          <t>Værdipapirer</t>
        </is>
      </c>
      <c r="B28" s="17" t="n"/>
      <c r="C28" s="17" t="n"/>
      <c r="D28" s="17" t="n"/>
      <c r="E28" s="17" t="n"/>
      <c r="F28" s="17" t="n"/>
    </row>
    <row r="29">
      <c r="A29" s="16" t="inlineStr">
        <is>
          <t>Likvide beholdninger</t>
        </is>
      </c>
      <c r="B29" s="17" t="n">
        <v>116000</v>
      </c>
      <c r="C29" s="17" t="n">
        <v>195100</v>
      </c>
      <c r="D29" s="17" t="n">
        <v>243900</v>
      </c>
      <c r="E29" s="17" t="n">
        <v>228000</v>
      </c>
      <c r="F29" s="17" t="n">
        <v>173800</v>
      </c>
    </row>
    <row r="30">
      <c r="A30" s="15" t="inlineStr">
        <is>
          <t>Omsætningsaktiver</t>
        </is>
      </c>
      <c r="B30" s="17" t="n">
        <v>845900</v>
      </c>
      <c r="C30" s="17" t="n">
        <v>1259600</v>
      </c>
      <c r="D30" s="17" t="n">
        <v>1177800</v>
      </c>
      <c r="E30" s="17" t="n">
        <v>1199000</v>
      </c>
      <c r="F30" s="17" t="n">
        <v>1220700</v>
      </c>
    </row>
    <row r="31">
      <c r="A31" s="15" t="inlineStr">
        <is>
          <t>Aktiver</t>
        </is>
      </c>
      <c r="B31" s="17" t="n">
        <v>2488800</v>
      </c>
      <c r="C31" s="17" t="n">
        <v>2974100</v>
      </c>
      <c r="D31" s="17" t="n">
        <v>2885800</v>
      </c>
      <c r="E31" s="17" t="n">
        <v>2695000</v>
      </c>
      <c r="F31" s="17" t="n">
        <v>2658000</v>
      </c>
    </row>
    <row r="32">
      <c r="A32" s="16" t="inlineStr">
        <is>
          <t>Selskabskapital</t>
        </is>
      </c>
      <c r="B32" s="17" t="n">
        <v>51900</v>
      </c>
      <c r="C32" s="17" t="n">
        <v>51900</v>
      </c>
      <c r="D32" s="17" t="n">
        <v>51900</v>
      </c>
      <c r="E32" s="17" t="n">
        <v>51900</v>
      </c>
      <c r="F32" s="17" t="n">
        <v>51900</v>
      </c>
    </row>
    <row r="33">
      <c r="A33" s="16" t="inlineStr">
        <is>
          <t>Reserve for nettoopskrivning (indre værdis metode)</t>
        </is>
      </c>
      <c r="B33" s="17" t="n"/>
      <c r="C33" s="17" t="n"/>
      <c r="D33" s="17" t="n"/>
      <c r="E33" s="17" t="n"/>
      <c r="F33" s="17" t="n"/>
    </row>
    <row r="34">
      <c r="A34" s="16" t="inlineStr">
        <is>
          <t>Reserve for udviklingsomkostninger</t>
        </is>
      </c>
      <c r="B34" s="17" t="n"/>
      <c r="C34" s="17" t="n"/>
      <c r="D34" s="17" t="n"/>
      <c r="E34" s="17" t="n"/>
      <c r="F34" s="17" t="n"/>
    </row>
    <row r="35">
      <c r="A35" s="16" t="inlineStr">
        <is>
          <t>Reserve for sikringstransaktioner</t>
        </is>
      </c>
      <c r="B35" s="17" t="n"/>
      <c r="C35" s="17" t="n"/>
      <c r="D35" s="17" t="n"/>
      <c r="E35" s="17" t="n"/>
      <c r="F35" s="17" t="n"/>
    </row>
    <row r="36">
      <c r="A36" s="16" t="inlineStr">
        <is>
          <t>Andre reserver</t>
        </is>
      </c>
      <c r="B36" s="17" t="n"/>
      <c r="C36" s="17" t="n"/>
      <c r="D36" s="17" t="n"/>
      <c r="E36" s="17" t="n">
        <v>-14400</v>
      </c>
      <c r="F36" s="17" t="n">
        <v>-47700</v>
      </c>
    </row>
    <row r="37">
      <c r="A37" s="16" t="inlineStr">
        <is>
          <t>Overført resultat</t>
        </is>
      </c>
      <c r="B37" s="17" t="n">
        <v>756600</v>
      </c>
      <c r="C37" s="17" t="n">
        <v>955900</v>
      </c>
      <c r="D37" s="17" t="n">
        <v>982100</v>
      </c>
      <c r="E37" s="17" t="n">
        <v>821700</v>
      </c>
      <c r="F37" s="17" t="n">
        <v>701200</v>
      </c>
    </row>
    <row r="38">
      <c r="A38" s="15" t="inlineStr">
        <is>
          <t>Egenkapital i alt</t>
        </is>
      </c>
      <c r="B38" s="17" t="n">
        <v>1032100</v>
      </c>
      <c r="C38" s="17" t="n">
        <v>1220400</v>
      </c>
      <c r="D38" s="17" t="n">
        <v>1446800</v>
      </c>
      <c r="E38" s="17" t="n">
        <v>1377900</v>
      </c>
      <c r="F38" s="17" t="n">
        <v>1226500</v>
      </c>
    </row>
    <row r="39">
      <c r="A39" s="16" t="inlineStr">
        <is>
          <t>Hensættelse til udskudt skat</t>
        </is>
      </c>
      <c r="B39" s="17" t="n">
        <v>42800</v>
      </c>
      <c r="C39" s="17" t="n">
        <v>43300</v>
      </c>
      <c r="D39" s="17" t="n">
        <v>45300</v>
      </c>
      <c r="E39" s="17" t="n"/>
      <c r="F39" s="17" t="n"/>
    </row>
    <row r="40">
      <c r="A40" s="15" t="inlineStr">
        <is>
          <t>Hensatte forpligtelser</t>
        </is>
      </c>
      <c r="B40" s="17" t="n">
        <v>14000</v>
      </c>
      <c r="C40" s="17" t="n">
        <v>43300</v>
      </c>
      <c r="D40" s="17" t="n">
        <v>45300</v>
      </c>
      <c r="E40" s="17" t="n">
        <v>13300</v>
      </c>
      <c r="F40" s="17" t="n">
        <v>19900</v>
      </c>
    </row>
    <row r="41">
      <c r="A41" s="16" t="inlineStr">
        <is>
          <t>Ansvarlig lånekapital (langfristet)</t>
        </is>
      </c>
      <c r="B41" s="17" t="n"/>
      <c r="C41" s="17" t="n"/>
      <c r="D41" s="17" t="n"/>
      <c r="E41" s="17" t="n"/>
      <c r="F41" s="17" t="n"/>
    </row>
    <row r="42">
      <c r="A42" s="16" t="inlineStr">
        <is>
          <t>Langfristede lån</t>
        </is>
      </c>
      <c r="B42" s="17" t="n"/>
      <c r="C42" s="17" t="n"/>
      <c r="D42" s="17" t="n"/>
      <c r="E42" s="17" t="n">
        <v>559500</v>
      </c>
      <c r="F42" s="17" t="n">
        <v>56100</v>
      </c>
    </row>
    <row r="43">
      <c r="A43" s="16" t="inlineStr">
        <is>
          <t>Leasingforpligtelser (langfristet)</t>
        </is>
      </c>
      <c r="B43" s="17" t="n">
        <v>182200</v>
      </c>
      <c r="C43" s="17" t="n">
        <v>185900</v>
      </c>
      <c r="D43" s="17" t="n">
        <v>153800</v>
      </c>
      <c r="E43" s="17" t="n"/>
      <c r="F43" s="17" t="n"/>
    </row>
    <row r="44">
      <c r="A44" s="16" t="inlineStr">
        <is>
          <t>Anden gæld (langfristet)</t>
        </is>
      </c>
      <c r="B44" s="17" t="n">
        <v>52100</v>
      </c>
      <c r="C44" s="17" t="n"/>
      <c r="D44" s="17" t="n"/>
      <c r="E44" s="17" t="n"/>
      <c r="F44" s="17" t="n"/>
    </row>
    <row r="45">
      <c r="A45" s="15" t="inlineStr">
        <is>
          <t>Langfristede gældsforpligtelser</t>
        </is>
      </c>
      <c r="B45" s="17" t="n">
        <v>858700</v>
      </c>
      <c r="C45" s="17" t="n">
        <v>1007900</v>
      </c>
      <c r="D45" s="17" t="n">
        <v>812400</v>
      </c>
      <c r="E45" s="17" t="n">
        <v>670200</v>
      </c>
      <c r="F45" s="17" t="n">
        <v>186100</v>
      </c>
    </row>
    <row r="46">
      <c r="A46" s="16" t="inlineStr">
        <is>
          <t>Ansvarlig lånekapital (kortfristet)</t>
        </is>
      </c>
      <c r="B46" s="17" t="n"/>
      <c r="C46" s="17" t="n"/>
      <c r="D46" s="17" t="n"/>
      <c r="E46" s="17" t="n"/>
      <c r="F46" s="17" t="n"/>
    </row>
    <row r="47">
      <c r="A47" s="16" t="inlineStr">
        <is>
          <t>Kortfristet del af langfristede gældsforpligtelser</t>
        </is>
      </c>
      <c r="B47" s="17" t="n"/>
      <c r="C47" s="17" t="n"/>
      <c r="D47" s="17" t="n"/>
      <c r="E47" s="17" t="n"/>
      <c r="F47" s="17" t="n"/>
    </row>
    <row r="48">
      <c r="A48" s="16" t="inlineStr">
        <is>
          <t>Kreditinstitutter</t>
        </is>
      </c>
      <c r="B48" s="17" t="n">
        <v>97100</v>
      </c>
      <c r="C48" s="17" t="n"/>
      <c r="D48" s="17" t="n"/>
      <c r="E48" s="17" t="n">
        <v>23900</v>
      </c>
      <c r="F48" s="17" t="n">
        <v>568500</v>
      </c>
    </row>
    <row r="49">
      <c r="A49" s="16" t="inlineStr">
        <is>
          <t>Leasingforpligtelser (kortfristet)</t>
        </is>
      </c>
      <c r="B49" s="17" t="n">
        <v>45600</v>
      </c>
      <c r="C49" s="17" t="n">
        <v>55800</v>
      </c>
      <c r="D49" s="17" t="n">
        <v>54600</v>
      </c>
      <c r="E49" s="17" t="n"/>
      <c r="F49" s="17" t="n"/>
    </row>
    <row r="50">
      <c r="A50" s="16" t="inlineStr">
        <is>
          <t>Leverandører af varer og tjenesteydelser</t>
        </is>
      </c>
      <c r="B50" s="17" t="n">
        <v>241800</v>
      </c>
      <c r="C50" s="17" t="n">
        <v>249200</v>
      </c>
      <c r="D50" s="17" t="n">
        <v>260400</v>
      </c>
      <c r="E50" s="17" t="n">
        <v>302300</v>
      </c>
      <c r="F50" s="17" t="n">
        <v>296100</v>
      </c>
    </row>
    <row r="51">
      <c r="A51" s="16" t="inlineStr">
        <is>
          <t>Gæld til tilknyttede virksomheder</t>
        </is>
      </c>
      <c r="B51" s="17" t="n"/>
      <c r="C51" s="17" t="n"/>
      <c r="D51" s="17" t="n"/>
      <c r="E51" s="17" t="n">
        <v>7200</v>
      </c>
      <c r="F51" s="17" t="n">
        <v>10500</v>
      </c>
    </row>
    <row r="52">
      <c r="A52" s="16" t="inlineStr">
        <is>
          <t>Gæld til selskabsdeltagere og ledelse</t>
        </is>
      </c>
      <c r="B52" s="17" t="n"/>
      <c r="C52" s="17" t="n"/>
      <c r="D52" s="17" t="n"/>
      <c r="E52" s="17" t="n"/>
      <c r="F52" s="17" t="n"/>
    </row>
    <row r="53">
      <c r="A53" s="16" t="inlineStr">
        <is>
          <t>Selskabsskat</t>
        </is>
      </c>
      <c r="B53" s="17" t="n"/>
      <c r="C53" s="17" t="n"/>
      <c r="D53" s="17" t="n"/>
      <c r="E53" s="17" t="n">
        <v>14100</v>
      </c>
      <c r="F53" s="17" t="n">
        <v>25500</v>
      </c>
    </row>
    <row r="54">
      <c r="A54" s="16" t="inlineStr">
        <is>
          <t>Gæld til tilknyttede virksomheder vedr. selskabsskat</t>
        </is>
      </c>
      <c r="B54" s="17" t="n"/>
      <c r="C54" s="17" t="n"/>
      <c r="D54" s="17" t="n"/>
      <c r="E54" s="17" t="n"/>
      <c r="F54" s="17" t="n"/>
    </row>
    <row r="55">
      <c r="A55" s="16" t="inlineStr">
        <is>
          <t>Anden gæld (kortfristet)</t>
        </is>
      </c>
      <c r="B55" s="17" t="n"/>
      <c r="C55" s="17" t="n">
        <v>185600</v>
      </c>
      <c r="D55" s="17" t="n">
        <v>183200</v>
      </c>
      <c r="E55" s="17" t="n">
        <v>189200</v>
      </c>
      <c r="F55" s="17" t="n">
        <v>222500</v>
      </c>
    </row>
    <row r="56">
      <c r="A56" s="16" t="inlineStr">
        <is>
          <t>Periodeafgrænsningsposter (passiver)</t>
        </is>
      </c>
      <c r="B56" s="17" t="n"/>
      <c r="C56" s="17" t="n"/>
      <c r="D56" s="17" t="n"/>
      <c r="E56" s="17" t="n"/>
      <c r="F56" s="17" t="n"/>
    </row>
    <row r="57">
      <c r="A57" s="15" t="inlineStr">
        <is>
          <t>Kortfristede gældsforpligtelser</t>
        </is>
      </c>
      <c r="B57" s="17" t="n">
        <v>598000</v>
      </c>
      <c r="C57" s="17" t="n">
        <v>745800</v>
      </c>
      <c r="D57" s="17" t="n">
        <v>626600</v>
      </c>
      <c r="E57" s="17" t="n">
        <v>646900</v>
      </c>
      <c r="F57" s="17" t="n">
        <v>1246600</v>
      </c>
    </row>
    <row r="58">
      <c r="A58" s="15" t="inlineStr">
        <is>
          <t>Gældsforpligtelser</t>
        </is>
      </c>
      <c r="B58" s="17" t="n">
        <v>1456700</v>
      </c>
      <c r="C58" s="17" t="n">
        <v>1753700</v>
      </c>
      <c r="D58" s="17" t="n">
        <v>1439000</v>
      </c>
      <c r="E58" s="17" t="n">
        <v>1317100</v>
      </c>
      <c r="F58" s="17" t="n">
        <v>1432700</v>
      </c>
    </row>
    <row r="59">
      <c r="A59" s="15" t="inlineStr">
        <is>
          <t>Passiver</t>
        </is>
      </c>
      <c r="B59" s="17" t="n">
        <v>2488800</v>
      </c>
      <c r="C59" s="17" t="n">
        <v>2974100</v>
      </c>
      <c r="D59" s="17" t="n">
        <v>2885800</v>
      </c>
      <c r="E59" s="17" t="n">
        <v>2695000</v>
      </c>
      <c r="F59" s="17" t="n">
        <v>2658000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3" t="inlineStr">
        <is>
          <t>KOMPAN Holding A/S (CVR 35663908) — Pengestrømsopgørelse (t.kr.)</t>
        </is>
      </c>
      <c r="B1" s="3" t="n">
        <v>2021</v>
      </c>
      <c r="C1" s="3" t="n">
        <v>2022</v>
      </c>
      <c r="D1" s="3" t="n">
        <v>2023</v>
      </c>
      <c r="E1" s="3" t="n">
        <v>2024</v>
      </c>
      <c r="F1" s="3" t="n">
        <v>2025</v>
      </c>
    </row>
    <row r="2">
      <c r="A2" s="16" t="inlineStr">
        <is>
          <t>Pengestrømme fra driftsaktivitet</t>
        </is>
      </c>
      <c r="B2" s="17" t="n">
        <v>259600</v>
      </c>
      <c r="C2" s="17" t="n">
        <v>324600</v>
      </c>
      <c r="D2" s="17" t="n">
        <v>711100</v>
      </c>
      <c r="E2" s="17" t="n"/>
      <c r="F2" s="17" t="n"/>
    </row>
    <row r="3">
      <c r="A3" s="16" t="inlineStr">
        <is>
          <t>Pengestrømme fra investeringsaktivitet</t>
        </is>
      </c>
      <c r="B3" s="17" t="n">
        <v>-54800</v>
      </c>
      <c r="C3" s="17" t="n">
        <v>-97900</v>
      </c>
      <c r="D3" s="17" t="n">
        <v>-126700</v>
      </c>
      <c r="E3" s="17" t="n">
        <v>-138800</v>
      </c>
      <c r="F3" s="17" t="n">
        <v>-97700</v>
      </c>
    </row>
    <row r="4">
      <c r="A4" s="16" t="inlineStr">
        <is>
          <t>Pengestrømme fra finansieringsaktivitet</t>
        </is>
      </c>
      <c r="B4" s="17" t="n">
        <v>-288800</v>
      </c>
      <c r="C4" s="17" t="n">
        <v>-148900</v>
      </c>
      <c r="D4" s="17" t="n">
        <v>-535500</v>
      </c>
      <c r="E4" s="17" t="n">
        <v>-422400</v>
      </c>
      <c r="F4" s="17" t="n">
        <v>-469800</v>
      </c>
    </row>
    <row r="5">
      <c r="A5" s="16" t="inlineStr">
        <is>
          <t>Årets pengestrøm</t>
        </is>
      </c>
      <c r="B5" s="17" t="n"/>
      <c r="C5" s="17" t="n">
        <v>77800</v>
      </c>
      <c r="D5" s="17" t="n">
        <v>48900</v>
      </c>
      <c r="E5" s="17" t="n"/>
      <c r="F5" s="17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66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2" customWidth="1" min="2" max="2"/>
    <col width="12" customWidth="1" min="3" max="3"/>
    <col width="12" customWidth="1" min="4" max="4"/>
    <col width="2" customWidth="1" min="5" max="5"/>
    <col width="90" customWidth="1" min="6" max="6"/>
  </cols>
  <sheetData>
    <row r="1" ht="22" customHeight="1">
      <c r="A1" s="18" t="inlineStr">
        <is>
          <t>KOMPAN Holding A/S (CVR 35663908) — Regnskabs- og nøgletal (CVR: 35663908) — artsopdelt</t>
        </is>
      </c>
    </row>
    <row r="3">
      <c r="A3" s="19" t="inlineStr">
        <is>
          <t>Beløb i 1.000 kr.</t>
        </is>
      </c>
      <c r="B3" s="20" t="n">
        <v>2025</v>
      </c>
      <c r="C3" s="20" t="n">
        <v>2024</v>
      </c>
      <c r="D3" s="20" t="n">
        <v>2023</v>
      </c>
      <c r="F3" s="21" t="inlineStr">
        <is>
          <t>Note / XBRL-felt</t>
        </is>
      </c>
    </row>
    <row r="4">
      <c r="A4" s="22" t="inlineStr">
        <is>
          <t>Uddrag af resultatopgørelse</t>
        </is>
      </c>
      <c r="B4" s="22" t="n"/>
      <c r="C4" s="22" t="n"/>
      <c r="D4" s="22" t="n"/>
      <c r="F4" s="22" t="n"/>
    </row>
    <row r="5">
      <c r="A5" s="23" t="inlineStr">
        <is>
          <t>Nettoomsætning</t>
        </is>
      </c>
      <c r="B5" s="24">
        <f>'res_raw_35663908'!$F$2</f>
        <v/>
      </c>
      <c r="C5" s="24">
        <f>'res_raw_35663908'!$E$2</f>
        <v/>
      </c>
      <c r="D5" s="24">
        <f>'res_raw_35663908'!$D$2</f>
        <v/>
      </c>
      <c r="F5" s="25" t="inlineStr">
        <is>
          <t>fsa:Revenue</t>
        </is>
      </c>
    </row>
    <row r="6">
      <c r="A6" s="23" t="inlineStr">
        <is>
          <t>Andre driftsindtægter</t>
        </is>
      </c>
      <c r="B6" s="24">
        <f>'res_raw_35663908'!$F$3</f>
        <v/>
      </c>
      <c r="C6" s="24">
        <f>'res_raw_35663908'!$E$3</f>
        <v/>
      </c>
      <c r="D6" s="24">
        <f>'res_raw_35663908'!$D$3</f>
        <v/>
      </c>
      <c r="F6" s="25" t="inlineStr">
        <is>
          <t>fsa:OtherOperatingIncome. Indtægter fra sekundære aktiviteter (huslejeindtægter, avance ved salg af anlæg mv.).</t>
        </is>
      </c>
    </row>
    <row r="7">
      <c r="A7" s="23" t="inlineStr">
        <is>
          <t>Vareforbrug</t>
        </is>
      </c>
      <c r="B7" s="24">
        <f>-'res_raw_35663908'!$F$4</f>
        <v/>
      </c>
      <c r="C7" s="24">
        <f>-'res_raw_35663908'!$E$4</f>
        <v/>
      </c>
      <c r="D7" s="24">
        <f>-'res_raw_35663908'!$D$4</f>
        <v/>
      </c>
      <c r="F7" s="25" t="inlineStr">
        <is>
          <t>fsa:CostOfSales (vises negativt for korrekt SUM-formel).</t>
        </is>
      </c>
    </row>
    <row r="8">
      <c r="A8" s="23" t="inlineStr">
        <is>
          <t>Andre eksterne omk. mv.</t>
        </is>
      </c>
      <c r="B8" s="24">
        <f>-'res_raw_35663908'!$F$5</f>
        <v/>
      </c>
      <c r="C8" s="24">
        <f>-'res_raw_35663908'!$E$5</f>
        <v/>
      </c>
      <c r="D8" s="24">
        <f>-'res_raw_35663908'!$D$5</f>
        <v/>
      </c>
      <c r="F8" s="25" t="inlineStr">
        <is>
          <t>fsa:OtherExternalExpenses (vises negativt). Husleje, energi, kontorhold mv.</t>
        </is>
      </c>
    </row>
    <row r="9">
      <c r="A9" s="26" t="inlineStr">
        <is>
          <t>Bruttofortjeneste</t>
        </is>
      </c>
      <c r="B9" s="27">
        <f>IF(COUNT('res_raw_35663908'!$F$2,'res_raw_35663908'!$F$3,'res_raw_35663908'!$F$4,'res_raw_35663908'!$F$5)=0,'res_raw_35663908'!$F$6,SUM(B5:B8))</f>
        <v/>
      </c>
      <c r="C9" s="27">
        <f>IF(COUNT('res_raw_35663908'!$E$2,'res_raw_35663908'!$E$3,'res_raw_35663908'!$E$4,'res_raw_35663908'!$E$5)=0,'res_raw_35663908'!$E$6,SUM(C5:C8))</f>
        <v/>
      </c>
      <c r="D9" s="27">
        <f>IF(COUNT('res_raw_35663908'!$D$2,'res_raw_35663908'!$D$3,'res_raw_35663908'!$D$4,'res_raw_35663908'!$D$5)=0,'res_raw_35663908'!$D$6,SUM(D5:D8))</f>
        <v/>
      </c>
      <c r="F9" s="28" t="inlineStr">
        <is>
          <t>Beregnet: Nettoomsætning + Andre driftsindt. − Vareforbrug − Andre ext. omk. Er komponenterne ikke indberettet, vises rapporteret bruttoresultat (fsa:GrossResult) direkte.</t>
        </is>
      </c>
    </row>
    <row r="10">
      <c r="A10" s="23" t="inlineStr">
        <is>
          <t>Personaleomkostninger</t>
        </is>
      </c>
      <c r="B10" s="24">
        <f>-'res_raw_35663908'!$F$7</f>
        <v/>
      </c>
      <c r="C10" s="24">
        <f>-'res_raw_35663908'!$E$7</f>
        <v/>
      </c>
      <c r="D10" s="24">
        <f>-'res_raw_35663908'!$D$7</f>
        <v/>
      </c>
      <c r="F10" s="25" t="inlineStr">
        <is>
          <t>fsa:EmployeeBenefitsExpense (vises negativt). Lønninger, pension, sociale ydelser.</t>
        </is>
      </c>
    </row>
    <row r="11">
      <c r="A11" s="23" t="inlineStr">
        <is>
          <t>Af- og nedskrivninger</t>
        </is>
      </c>
      <c r="B11" s="24">
        <f>-'res_raw_35663908'!$F$9</f>
        <v/>
      </c>
      <c r="C11" s="24">
        <f>-'res_raw_35663908'!$E$9</f>
        <v/>
      </c>
      <c r="D11" s="24">
        <f>-'res_raw_35663908'!$D$9</f>
        <v/>
      </c>
      <c r="F11" s="25" t="inlineStr">
        <is>
          <t>fsa:Depreciation (vises negativt). Af- og nedskrivninger på materielle og immaterielle anlægsaktiver.</t>
        </is>
      </c>
    </row>
    <row r="12">
      <c r="A12" s="23" t="inlineStr">
        <is>
          <t>Andre driftsomkostninger</t>
        </is>
      </c>
      <c r="B12" s="24">
        <f>-'res_raw_35663908'!$F$10</f>
        <v/>
      </c>
      <c r="C12" s="24">
        <f>-'res_raw_35663908'!$E$10</f>
        <v/>
      </c>
      <c r="D12" s="24">
        <f>-'res_raw_35663908'!$D$10</f>
        <v/>
      </c>
      <c r="F12" s="25" t="inlineStr">
        <is>
          <t>fsa:OtherOperatingExpenses (vises negativt). Typisk 0 eller meget lille post.</t>
        </is>
      </c>
    </row>
    <row r="13">
      <c r="A13" s="26" t="inlineStr">
        <is>
          <t>Resultat af primær drift</t>
        </is>
      </c>
      <c r="B13" s="27">
        <f>SUM(B9:B12)</f>
        <v/>
      </c>
      <c r="C13" s="27">
        <f>SUM(C9:C12)</f>
        <v/>
      </c>
      <c r="D13" s="27">
        <f>SUM(D9:D12)</f>
        <v/>
      </c>
      <c r="F13" s="28" t="inlineStr">
        <is>
          <t>Beregnet: Bruttofortjeneste − Personaleomk. − Af- og nedskrivninger − Andre driftsomk. EBIT.</t>
        </is>
      </c>
    </row>
    <row r="14">
      <c r="A14" s="23" t="inlineStr">
        <is>
          <t>Finansielle indtægter mv.</t>
        </is>
      </c>
      <c r="B14" s="24">
        <f>N('res_raw_35663908'!$F$12)+N('res_raw_35663908'!$F$13)</f>
        <v/>
      </c>
      <c r="C14" s="24">
        <f>N('res_raw_35663908'!$E$12)+N('res_raw_35663908'!$E$13)</f>
        <v/>
      </c>
      <c r="D14" s="24">
        <f>N('res_raw_35663908'!$D$12)+N('res_raw_35663908'!$D$13)</f>
        <v/>
      </c>
      <c r="F14" s="25" t="inlineStr">
        <is>
          <t>fsa:IncomeFromSubsidiaries + fsa:OtherFinanceIncome.</t>
        </is>
      </c>
    </row>
    <row r="15">
      <c r="A15" s="23" t="inlineStr">
        <is>
          <t>Finansielle omkostninger mv.</t>
        </is>
      </c>
      <c r="B15" s="24">
        <f>-'res_raw_35663908'!$F$14</f>
        <v/>
      </c>
      <c r="C15" s="24">
        <f>-'res_raw_35663908'!$E$14</f>
        <v/>
      </c>
      <c r="D15" s="24">
        <f>-'res_raw_35663908'!$D$14</f>
        <v/>
      </c>
      <c r="F15" s="25" t="inlineStr">
        <is>
          <t>fsa:OtherFinanceExpenses (vises negativt). Renteomkostninger, kurstab mv.</t>
        </is>
      </c>
    </row>
    <row r="16">
      <c r="A16" s="26" t="inlineStr">
        <is>
          <t>Resultat før skat</t>
        </is>
      </c>
      <c r="B16" s="27">
        <f>SUM(B13:B15)</f>
        <v/>
      </c>
      <c r="C16" s="27">
        <f>SUM(C13:C15)</f>
        <v/>
      </c>
      <c r="D16" s="27">
        <f>SUM(D13:D15)</f>
        <v/>
      </c>
      <c r="F16" s="28" t="inlineStr">
        <is>
          <t>Beregnet: EBIT + Fin. indtægter + Fin. omk. EBT.</t>
        </is>
      </c>
    </row>
    <row r="17">
      <c r="A17" s="29" t="n"/>
      <c r="B17" s="29" t="n"/>
      <c r="C17" s="29" t="n"/>
      <c r="D17" s="29" t="n"/>
      <c r="F17" s="29" t="n"/>
    </row>
    <row r="18">
      <c r="A18" s="22" t="inlineStr">
        <is>
          <t>Uddrag af balance</t>
        </is>
      </c>
      <c r="B18" s="22" t="n"/>
      <c r="C18" s="22" t="n"/>
      <c r="D18" s="22" t="n"/>
      <c r="F18" s="22" t="n"/>
    </row>
    <row r="19">
      <c r="A19" s="23" t="inlineStr">
        <is>
          <t>Anlægsaktiver</t>
        </is>
      </c>
      <c r="B19" s="24">
        <f>'balance_raw_35663908'!$F$15</f>
        <v/>
      </c>
      <c r="C19" s="24">
        <f>'balance_raw_35663908'!$E$15</f>
        <v/>
      </c>
      <c r="D19" s="24">
        <f>'balance_raw_35663908'!$D$15</f>
        <v/>
      </c>
      <c r="F19" s="25" t="inlineStr">
        <is>
          <t>fsa:NoncurrentAssets. Materielle, immaterielle og finansielle anlægsaktiver.</t>
        </is>
      </c>
    </row>
    <row r="20">
      <c r="A20" s="23" t="inlineStr">
        <is>
          <t>Omsætningsaktiver</t>
        </is>
      </c>
      <c r="B20" s="24">
        <f>'balance_raw_35663908'!$F$30</f>
        <v/>
      </c>
      <c r="C20" s="24">
        <f>'balance_raw_35663908'!$E$30</f>
        <v/>
      </c>
      <c r="D20" s="24">
        <f>'balance_raw_35663908'!$D$30</f>
        <v/>
      </c>
      <c r="F20" s="25" t="inlineStr">
        <is>
          <t>fsa:CurrentAssets. Varebeholdninger, tilgodehavender, likvider.</t>
        </is>
      </c>
    </row>
    <row r="21">
      <c r="A21" s="26" t="inlineStr">
        <is>
          <t>Aktiver i alt</t>
        </is>
      </c>
      <c r="B21" s="27">
        <f>SUM(B19:B20)</f>
        <v/>
      </c>
      <c r="C21" s="27">
        <f>SUM(C19:C20)</f>
        <v/>
      </c>
      <c r="D21" s="27">
        <f>SUM(D19:D20)</f>
        <v/>
      </c>
      <c r="F21" s="28" t="inlineStr">
        <is>
          <t>Beregnet: Anlægsaktiver + Omsætningsaktiver. Bør matche fsa:Assets.</t>
        </is>
      </c>
    </row>
    <row r="22">
      <c r="A22" s="29" t="n"/>
      <c r="B22" s="29" t="n"/>
      <c r="C22" s="29" t="n"/>
      <c r="D22" s="29" t="n"/>
      <c r="F22" s="29" t="n"/>
    </row>
    <row r="23">
      <c r="A23" s="23" t="inlineStr">
        <is>
          <t>Egenkapital</t>
        </is>
      </c>
      <c r="B23" s="24">
        <f>'balance_raw_35663908'!$F$38</f>
        <v/>
      </c>
      <c r="C23" s="24">
        <f>'balance_raw_35663908'!$E$38</f>
        <v/>
      </c>
      <c r="D23" s="24">
        <f>'balance_raw_35663908'!$D$38</f>
        <v/>
      </c>
      <c r="F23" s="25" t="inlineStr">
        <is>
          <t>fsa:Equity. Selskabskapital, overført resultat, reserver.</t>
        </is>
      </c>
    </row>
    <row r="24">
      <c r="A24" s="23" t="inlineStr">
        <is>
          <t>Forpligtelser</t>
        </is>
      </c>
      <c r="B24" s="24">
        <f>'balance_raw_35663908'!$F$59-'balance_raw_35663908'!$F$38</f>
        <v/>
      </c>
      <c r="C24" s="24">
        <f>'balance_raw_35663908'!$E$59-'balance_raw_35663908'!$E$38</f>
        <v/>
      </c>
      <c r="D24" s="24">
        <f>'balance_raw_35663908'!$D$59-'balance_raw_35663908'!$D$38</f>
        <v/>
      </c>
      <c r="F24" s="25" t="inlineStr">
        <is>
          <t>Beregnet: Passiver (fsa:LiabilitiesAndEquity) − Egenkapital. Hensættelser + kort- og langfristet gæld.</t>
        </is>
      </c>
    </row>
    <row r="25">
      <c r="A25" s="26" t="inlineStr">
        <is>
          <t>Passiver i alt</t>
        </is>
      </c>
      <c r="B25" s="27">
        <f>SUM(B23:B24)</f>
        <v/>
      </c>
      <c r="C25" s="27">
        <f>SUM(C23:C24)</f>
        <v/>
      </c>
      <c r="D25" s="27">
        <f>SUM(D23:D24)</f>
        <v/>
      </c>
      <c r="F25" s="28" t="inlineStr">
        <is>
          <t>Beregnet: Egenkapital + Forpligtelser. Bør matche Aktiver i alt.</t>
        </is>
      </c>
    </row>
    <row r="26">
      <c r="A26" s="29" t="n"/>
      <c r="B26" s="29" t="n"/>
      <c r="C26" s="29" t="n"/>
      <c r="D26" s="29" t="n"/>
      <c r="F26" s="29" t="n"/>
    </row>
    <row r="27">
      <c r="A27" s="22" t="inlineStr">
        <is>
          <t>Udvalgte balanceposter</t>
        </is>
      </c>
      <c r="B27" s="22" t="n"/>
      <c r="C27" s="22" t="n"/>
      <c r="D27" s="22" t="n"/>
      <c r="F27" s="22" t="n"/>
    </row>
    <row r="28">
      <c r="A28" s="23" t="inlineStr">
        <is>
          <t>Varebeholdninger</t>
        </is>
      </c>
      <c r="B28" s="24">
        <f>'balance_raw_35663908'!$F$19</f>
        <v/>
      </c>
      <c r="C28" s="24">
        <f>'balance_raw_35663908'!$E$19</f>
        <v/>
      </c>
      <c r="D28" s="24">
        <f>'balance_raw_35663908'!$D$19</f>
        <v/>
      </c>
      <c r="F28" s="25" t="inlineStr">
        <is>
          <t>fsa:Inventories (eller fsa:ManufacturedGoodsAndGoodsForResale hvis total mangler).</t>
        </is>
      </c>
    </row>
    <row r="29">
      <c r="A29" s="23" t="inlineStr">
        <is>
          <t>Tilgodehavender fra salg</t>
        </is>
      </c>
      <c r="B29" s="24">
        <f>'balance_raw_35663908'!$F$20</f>
        <v/>
      </c>
      <c r="C29" s="24">
        <f>'balance_raw_35663908'!$E$20</f>
        <v/>
      </c>
      <c r="D29" s="24">
        <f>'balance_raw_35663908'!$D$20</f>
        <v/>
      </c>
      <c r="F29" s="25" t="inlineStr">
        <is>
          <t>fsa:ShorttermTradeReceivables. Kortfristede tilgodehavender fra kunder.</t>
        </is>
      </c>
    </row>
    <row r="30">
      <c r="A30" s="23" t="inlineStr">
        <is>
          <t>Kortfristede gældsforpligtelser</t>
        </is>
      </c>
      <c r="B30" s="24">
        <f>'balance_raw_35663908'!$F$57</f>
        <v/>
      </c>
      <c r="C30" s="24">
        <f>'balance_raw_35663908'!$E$57</f>
        <v/>
      </c>
      <c r="D30" s="24">
        <f>'balance_raw_35663908'!$D$57</f>
        <v/>
      </c>
      <c r="F30" s="25" t="inlineStr">
        <is>
          <t>fsa:ShorttermLiabilitiesOtherThanProvisions. Gæld der forfalder inden for 1 år.</t>
        </is>
      </c>
    </row>
    <row r="31">
      <c r="A31" s="29" t="n"/>
      <c r="B31" s="29" t="n"/>
      <c r="C31" s="29" t="n"/>
      <c r="D31" s="29" t="n"/>
      <c r="F31" s="29" t="n"/>
    </row>
    <row r="32">
      <c r="A32" s="22" t="inlineStr">
        <is>
          <t>Rentabilitet</t>
        </is>
      </c>
      <c r="B32" s="22" t="n"/>
      <c r="C32" s="22" t="n"/>
      <c r="D32" s="22" t="n"/>
      <c r="F32" s="22" t="n"/>
    </row>
    <row r="33">
      <c r="A33" s="23" t="inlineStr">
        <is>
          <t>Afkastningsgrad, %</t>
        </is>
      </c>
      <c r="B33" s="30">
        <f>IFERROR((B13+B14)/B21*100,"")</f>
        <v/>
      </c>
      <c r="C33" s="30">
        <f>IFERROR((C13+C14)/C21*100,"")</f>
        <v/>
      </c>
      <c r="D33" s="30">
        <f>IFERROR((D13+D14)/D21*100,"")</f>
        <v/>
      </c>
      <c r="F33" s="29" t="n"/>
    </row>
    <row r="34">
      <c r="A34" s="23" t="inlineStr">
        <is>
          <t>Overskudsgrad, %</t>
        </is>
      </c>
      <c r="B34" s="30">
        <f>IFERROR((B13+B14)/B5*100,"")</f>
        <v/>
      </c>
      <c r="C34" s="30">
        <f>IFERROR((C13+C14)/C5*100,"")</f>
        <v/>
      </c>
      <c r="D34" s="30">
        <f>IFERROR((D13+D14)/D5*100,"")</f>
        <v/>
      </c>
      <c r="F34" s="29" t="n"/>
    </row>
    <row r="35">
      <c r="A35" s="23" t="inlineStr">
        <is>
          <t>Aktivernes omsætningshastighed, gange</t>
        </is>
      </c>
      <c r="B35" s="30">
        <f>IFERROR(B5/B21,"")</f>
        <v/>
      </c>
      <c r="C35" s="30">
        <f>IFERROR(C5/C21,"")</f>
        <v/>
      </c>
      <c r="D35" s="30">
        <f>IFERROR(D5/D21,"")</f>
        <v/>
      </c>
      <c r="F35" s="29" t="n"/>
    </row>
    <row r="36">
      <c r="A36" s="23" t="inlineStr">
        <is>
          <t>Gældsrente, %</t>
        </is>
      </c>
      <c r="B36" s="30">
        <f>IFERROR(-B15*100/B24,"")</f>
        <v/>
      </c>
      <c r="C36" s="30">
        <f>IFERROR(-C15*100/C24,"")</f>
        <v/>
      </c>
      <c r="D36" s="30">
        <f>IFERROR(-D15*100/D24,"")</f>
        <v/>
      </c>
      <c r="F36" s="29" t="n"/>
    </row>
    <row r="37">
      <c r="A37" s="23" t="inlineStr">
        <is>
          <t>Egenkapitalens forrentning, %</t>
        </is>
      </c>
      <c r="B37" s="30">
        <f>IFERROR(B16/B23*100,"")</f>
        <v/>
      </c>
      <c r="C37" s="30">
        <f>IFERROR(C16/C23*100,"")</f>
        <v/>
      </c>
      <c r="D37" s="30">
        <f>IFERROR(D16/D23*100,"")</f>
        <v/>
      </c>
      <c r="F37" s="29" t="n"/>
    </row>
    <row r="38">
      <c r="A38" s="23" t="inlineStr">
        <is>
          <t>Gearing, gange</t>
        </is>
      </c>
      <c r="B38" s="30">
        <f>IFERROR(B24/B23,"")</f>
        <v/>
      </c>
      <c r="C38" s="30">
        <f>IFERROR(C24/C23,"")</f>
        <v/>
      </c>
      <c r="D38" s="30">
        <f>IFERROR(D24/D23,"")</f>
        <v/>
      </c>
      <c r="F38" s="29" t="n"/>
    </row>
    <row r="39">
      <c r="A39" s="29" t="n"/>
      <c r="B39" s="29" t="n"/>
      <c r="C39" s="29" t="n"/>
      <c r="D39" s="29" t="n"/>
      <c r="F39" s="29" t="n"/>
    </row>
    <row r="40">
      <c r="A40" s="22" t="inlineStr">
        <is>
          <t>Indekstal for indtjeningsevne (2023=100)</t>
        </is>
      </c>
      <c r="B40" s="22" t="n"/>
      <c r="C40" s="22" t="n"/>
      <c r="D40" s="22" t="n"/>
      <c r="F40" s="22" t="n"/>
    </row>
    <row r="41">
      <c r="A41" s="23" t="inlineStr">
        <is>
          <t>Nettoomsætning</t>
        </is>
      </c>
      <c r="B41" s="31">
        <f>IFERROR(B5/$D5*100,"")</f>
        <v/>
      </c>
      <c r="C41" s="31">
        <f>IFERROR(C5/$D5*100,"")</f>
        <v/>
      </c>
      <c r="D41" s="31">
        <f>IFERROR(D5/$D5*100,"")</f>
        <v/>
      </c>
      <c r="F41" s="29" t="n"/>
    </row>
    <row r="42">
      <c r="A42" s="23" t="inlineStr">
        <is>
          <t>Vareforbrug</t>
        </is>
      </c>
      <c r="B42" s="31">
        <f>IFERROR(B7/$D7*100,"")</f>
        <v/>
      </c>
      <c r="C42" s="31">
        <f>IFERROR(C7/$D7*100,"")</f>
        <v/>
      </c>
      <c r="D42" s="31">
        <f>IFERROR(D7/$D7*100,"")</f>
        <v/>
      </c>
      <c r="F42" s="29" t="n"/>
    </row>
    <row r="43">
      <c r="A43" s="23" t="inlineStr">
        <is>
          <t>Andre eksterne omk.</t>
        </is>
      </c>
      <c r="B43" s="31">
        <f>IFERROR(B8/$D8*100,"")</f>
        <v/>
      </c>
      <c r="C43" s="31">
        <f>IFERROR(C8/$D8*100,"")</f>
        <v/>
      </c>
      <c r="D43" s="31">
        <f>IFERROR(D8/$D8*100,"")</f>
        <v/>
      </c>
      <c r="F43" s="29" t="n"/>
    </row>
    <row r="44">
      <c r="A44" s="23" t="inlineStr">
        <is>
          <t>Personaleomkostninger</t>
        </is>
      </c>
      <c r="B44" s="31">
        <f>IFERROR(B10/$D10*100,"")</f>
        <v/>
      </c>
      <c r="C44" s="31">
        <f>IFERROR(C10/$D10*100,"")</f>
        <v/>
      </c>
      <c r="D44" s="31">
        <f>IFERROR(D10/$D10*100,"")</f>
        <v/>
      </c>
      <c r="F44" s="29" t="n"/>
    </row>
    <row r="45">
      <c r="A45" s="23" t="inlineStr">
        <is>
          <t>Af- og nedskrivninger</t>
        </is>
      </c>
      <c r="B45" s="31">
        <f>IFERROR(B11/$D11*100,"")</f>
        <v/>
      </c>
      <c r="C45" s="31">
        <f>IFERROR(C11/$D11*100,"")</f>
        <v/>
      </c>
      <c r="D45" s="31">
        <f>IFERROR(D11/$D11*100,"")</f>
        <v/>
      </c>
      <c r="F45" s="29" t="n"/>
    </row>
    <row r="46">
      <c r="A46" s="29" t="n"/>
      <c r="B46" s="29" t="n"/>
      <c r="C46" s="29" t="n"/>
      <c r="D46" s="29" t="n"/>
      <c r="F46" s="29" t="n"/>
    </row>
    <row r="47">
      <c r="A47" s="22" t="inlineStr">
        <is>
          <t>Indekstal for kapitaltilpasningsevne (2023=100)</t>
        </is>
      </c>
      <c r="B47" s="22" t="n"/>
      <c r="C47" s="22" t="n"/>
      <c r="D47" s="22" t="n"/>
      <c r="F47" s="22" t="n"/>
    </row>
    <row r="48">
      <c r="A48" s="23" t="inlineStr">
        <is>
          <t>Nettoomsætning</t>
        </is>
      </c>
      <c r="B48" s="31">
        <f>IFERROR(B5*100/$D5,"")</f>
        <v/>
      </c>
      <c r="C48" s="31">
        <f>IFERROR(C5*100/$D5,"")</f>
        <v/>
      </c>
      <c r="D48" s="31">
        <f>IFERROR(D5*100/$D5,"")</f>
        <v/>
      </c>
      <c r="F48" s="29" t="n"/>
    </row>
    <row r="49">
      <c r="A49" s="23" t="inlineStr">
        <is>
          <t>Anlægsaktiver</t>
        </is>
      </c>
      <c r="B49" s="31">
        <f>IFERROR(B19*100/$D19,"")</f>
        <v/>
      </c>
      <c r="C49" s="31">
        <f>IFERROR(C19*100/$D19,"")</f>
        <v/>
      </c>
      <c r="D49" s="31">
        <f>IFERROR(D19*100/$D19,"")</f>
        <v/>
      </c>
      <c r="F49" s="29" t="n"/>
    </row>
    <row r="50">
      <c r="A50" s="23" t="inlineStr">
        <is>
          <t>Varebeholdninger</t>
        </is>
      </c>
      <c r="B50" s="31">
        <f>IFERROR(B28*100/$D28,"")</f>
        <v/>
      </c>
      <c r="C50" s="31">
        <f>IFERROR(C28*100/$D28,"")</f>
        <v/>
      </c>
      <c r="D50" s="31">
        <f>IFERROR(D28*100/$D28,"")</f>
        <v/>
      </c>
      <c r="F50" s="29" t="n"/>
    </row>
    <row r="51">
      <c r="A51" s="23" t="inlineStr">
        <is>
          <t>Tilgodehavender fra salg</t>
        </is>
      </c>
      <c r="B51" s="31">
        <f>IFERROR(B29*100/$D29,"")</f>
        <v/>
      </c>
      <c r="C51" s="31">
        <f>IFERROR(C29*100/$D29,"")</f>
        <v/>
      </c>
      <c r="D51" s="31">
        <f>IFERROR(D29*100/$D29,"")</f>
        <v/>
      </c>
      <c r="F51" s="29" t="n"/>
    </row>
    <row r="52">
      <c r="A52" s="29" t="n"/>
      <c r="B52" s="29" t="n"/>
      <c r="C52" s="29" t="n"/>
      <c r="D52" s="29" t="n"/>
      <c r="F52" s="29" t="n"/>
    </row>
    <row r="53">
      <c r="A53" s="22" t="inlineStr">
        <is>
          <t>Soliditet og likviditet</t>
        </is>
      </c>
      <c r="B53" s="22" t="n"/>
      <c r="C53" s="22" t="n"/>
      <c r="D53" s="22" t="n"/>
      <c r="F53" s="22" t="n"/>
    </row>
    <row r="54">
      <c r="A54" s="23" t="inlineStr">
        <is>
          <t>Soliditetsgrad, %</t>
        </is>
      </c>
      <c r="B54" s="30">
        <f>IFERROR(B23*100/B21,"")</f>
        <v/>
      </c>
      <c r="C54" s="30">
        <f>IFERROR(C23*100/C21,"")</f>
        <v/>
      </c>
      <c r="D54" s="30">
        <f>IFERROR(D23*100/D21,"")</f>
        <v/>
      </c>
      <c r="F54" s="29" t="n"/>
    </row>
    <row r="55">
      <c r="A55" s="23" t="inlineStr">
        <is>
          <t>Gældsandel, %</t>
        </is>
      </c>
      <c r="B55" s="30">
        <f>IFERROR(B24*100/B21,"")</f>
        <v/>
      </c>
      <c r="C55" s="30">
        <f>IFERROR(C24*100/C21,"")</f>
        <v/>
      </c>
      <c r="D55" s="30">
        <f>IFERROR(D24*100/D21,"")</f>
        <v/>
      </c>
      <c r="F55" s="29" t="n"/>
    </row>
    <row r="56">
      <c r="A56" s="23" t="inlineStr">
        <is>
          <t>Likviditetsgrad, %</t>
        </is>
      </c>
      <c r="B56" s="30">
        <f>IFERROR(B20*100/B30,"")</f>
        <v/>
      </c>
      <c r="C56" s="30">
        <f>IFERROR(C20*100/C30,"")</f>
        <v/>
      </c>
      <c r="D56" s="30">
        <f>IFERROR(D20*100/D30,"")</f>
        <v/>
      </c>
      <c r="F56" s="29" t="n"/>
    </row>
    <row r="57">
      <c r="A57" s="29" t="n"/>
      <c r="B57" s="29" t="n"/>
      <c r="C57" s="29" t="n"/>
      <c r="D57" s="29" t="n"/>
      <c r="F57" s="29" t="n"/>
    </row>
    <row r="58">
      <c r="A58" s="32" t="inlineStr">
        <is>
          <t>Kilde: Bearbejdet uddrag af årsrapporter for 2023-2025. Alle dataceller er live formler der peger på res_raw / balance_raw.</t>
        </is>
      </c>
      <c r="B58" s="29" t="n"/>
      <c r="C58" s="29" t="n"/>
      <c r="D58" s="29" t="n"/>
      <c r="F58" s="29" t="n"/>
    </row>
    <row r="59">
      <c r="A59" s="29" t="n"/>
      <c r="B59" s="29" t="n"/>
      <c r="C59" s="29" t="n"/>
      <c r="D59" s="29" t="n"/>
      <c r="F59" s="29" t="n"/>
    </row>
    <row r="60">
      <c r="A60" s="22" t="inlineStr">
        <is>
          <t>Krydstjek mod rådata (tolerance: 1 t.kr.)</t>
        </is>
      </c>
      <c r="B60" s="22" t="n"/>
      <c r="C60" s="22" t="n"/>
      <c r="D60" s="22" t="n"/>
      <c r="F60" s="22" t="n"/>
    </row>
    <row r="61">
      <c r="A61" s="23" t="inlineStr">
        <is>
          <t>Aktiver i alt = fsa:Assets</t>
        </is>
      </c>
      <c r="B61" s="29">
        <f>IF('balance_raw_35663908'!$F$31="","—",IF(ABS(B21-'balance_raw_35663908'!$F$31)&lt;=1,"✓ OK","❌ "&amp;TEXT(B21-'balance_raw_35663908'!$F$31,"+#,##0;-#,##0")&amp;" t.kr."))</f>
        <v/>
      </c>
      <c r="C61" s="29">
        <f>IF('balance_raw_35663908'!$E$31="","—",IF(ABS(C21-'balance_raw_35663908'!$E$31)&lt;=1,"✓ OK","❌ "&amp;TEXT(C21-'balance_raw_35663908'!$E$31,"+#,##0;-#,##0")&amp;" t.kr."))</f>
        <v/>
      </c>
      <c r="D61" s="29">
        <f>IF('balance_raw_35663908'!$D$31="","—",IF(ABS(D21-'balance_raw_35663908'!$D$31)&lt;=1,"✓ OK","❌ "&amp;TEXT(D21-'balance_raw_35663908'!$D$31,"+#,##0;-#,##0")&amp;" t.kr."))</f>
        <v/>
      </c>
      <c r="F61" s="25" t="inlineStr">
        <is>
          <t>Verificerer at sum(Anlæg+Omsætning) matcher Assets-totalen.</t>
        </is>
      </c>
    </row>
    <row r="62">
      <c r="A62" s="23" t="inlineStr">
        <is>
          <t>Passiver i alt = fsa:LiabilitiesAndEquity</t>
        </is>
      </c>
      <c r="B62" s="29">
        <f>IF('balance_raw_35663908'!$F$59="","—",IF(ABS(B25-'balance_raw_35663908'!$F$59)&lt;=1,"✓ OK","❌ "&amp;TEXT(B25-'balance_raw_35663908'!$F$59,"+#,##0;-#,##0")&amp;" t.kr."))</f>
        <v/>
      </c>
      <c r="C62" s="29">
        <f>IF('balance_raw_35663908'!$E$59="","—",IF(ABS(C25-'balance_raw_35663908'!$E$59)&lt;=1,"✓ OK","❌ "&amp;TEXT(C25-'balance_raw_35663908'!$E$59,"+#,##0;-#,##0")&amp;" t.kr."))</f>
        <v/>
      </c>
      <c r="D62" s="29">
        <f>IF('balance_raw_35663908'!$D$59="","—",IF(ABS(D25-'balance_raw_35663908'!$D$59)&lt;=1,"✓ OK","❌ "&amp;TEXT(D25-'balance_raw_35663908'!$D$59,"+#,##0;-#,##0")&amp;" t.kr."))</f>
        <v/>
      </c>
      <c r="F62" s="25" t="inlineStr">
        <is>
          <t>Verificerer at sum(EK+Forpligtelser) matcher Passiver-totalen.</t>
        </is>
      </c>
    </row>
    <row r="63">
      <c r="A63" s="23" t="inlineStr">
        <is>
          <t>Aktiver i alt = Passiver i alt</t>
        </is>
      </c>
      <c r="B63" s="29">
        <f>IF(ABS(B21-B25)&lt;=1,"✓ OK","❌ "&amp;TEXT(B21-B25,"+#,##0;-#,##0")&amp;" t.kr.")</f>
        <v/>
      </c>
      <c r="C63" s="29">
        <f>IF(ABS(C21-C25)&lt;=1,"✓ OK","❌ "&amp;TEXT(C21-C25,"+#,##0;-#,##0")&amp;" t.kr.")</f>
        <v/>
      </c>
      <c r="D63" s="29">
        <f>IF(ABS(D21-D25)&lt;=1,"✓ OK","❌ "&amp;TEXT(D21-D25,"+#,##0;-#,##0")&amp;" t.kr.")</f>
        <v/>
      </c>
      <c r="F63" s="25" t="inlineStr">
        <is>
          <t>Balance-identitet på arket selv. Skal altid være 0 differance.</t>
        </is>
      </c>
    </row>
    <row r="64">
      <c r="A64" s="23" t="inlineStr">
        <is>
          <t>Bruttoresultat (beregnet) = fsa:GrossResult</t>
        </is>
      </c>
      <c r="B64" s="29">
        <f>IF('res_raw_35663908'!$F$6="","—",IF(ABS(B9-'res_raw_35663908'!$F$6)&lt;=1,"✓ OK","❌ "&amp;TEXT(B9-'res_raw_35663908'!$F$6,"+#,##0;-#,##0")&amp;" t.kr."))</f>
        <v/>
      </c>
      <c r="C64" s="29">
        <f>IF('res_raw_35663908'!$E$6="","—",IF(ABS(C9-'res_raw_35663908'!$E$6)&lt;=1,"✓ OK","❌ "&amp;TEXT(C9-'res_raw_35663908'!$E$6,"+#,##0;-#,##0")&amp;" t.kr."))</f>
        <v/>
      </c>
      <c r="D64" s="29">
        <f>IF('res_raw_35663908'!$D$6="","—",IF(ABS(D9-'res_raw_35663908'!$D$6)&lt;=1,"✓ OK","❌ "&amp;TEXT(D9-'res_raw_35663908'!$D$6,"+#,##0;-#,##0")&amp;" t.kr."))</f>
        <v/>
      </c>
      <c r="F64" s="25" t="inlineStr">
        <is>
          <t>Hvis Nettoomsætning eller omkostninger mangler, vil sumberegnet bruttoresultat afvige.</t>
        </is>
      </c>
    </row>
    <row r="65">
      <c r="A65" s="23" t="inlineStr">
        <is>
          <t>EBIT (beregnet) = fsa:ProfitLossFromOrdinaryOperatingActivities</t>
        </is>
      </c>
      <c r="B65" s="29">
        <f>IF('res_raw_35663908'!$F$11="","—",IF(ABS(B13-'res_raw_35663908'!$F$11)&lt;=1,"✓ OK","❌ "&amp;TEXT(B13-'res_raw_35663908'!$F$11,"+#,##0;-#,##0")&amp;" t.kr."))</f>
        <v/>
      </c>
      <c r="C65" s="29">
        <f>IF('res_raw_35663908'!$E$11="","—",IF(ABS(C13-'res_raw_35663908'!$E$11)&lt;=1,"✓ OK","❌ "&amp;TEXT(C13-'res_raw_35663908'!$E$11,"+#,##0;-#,##0")&amp;" t.kr."))</f>
        <v/>
      </c>
      <c r="D65" s="29">
        <f>IF('res_raw_35663908'!$D$11="","—",IF(ABS(D13-'res_raw_35663908'!$D$11)&lt;=1,"✓ OK","❌ "&amp;TEXT(D13-'res_raw_35663908'!$D$11,"+#,##0;-#,##0")&amp;" t.kr."))</f>
        <v/>
      </c>
      <c r="F65" s="25" t="inlineStr">
        <is>
          <t>Verificerer at sumberegnet EBIT matcher det rapporterede.</t>
        </is>
      </c>
    </row>
    <row r="66">
      <c r="A66" s="23" t="inlineStr">
        <is>
          <t>EBT (beregnet) = fsa:ProfitLossFromOrdinaryActivitiesBeforeTax</t>
        </is>
      </c>
      <c r="B66" s="29">
        <f>IF('res_raw_35663908'!$F$16="","—",IF(ABS(B16-'res_raw_35663908'!$F$16)&lt;=1,"✓ OK","❌ "&amp;TEXT(B16-'res_raw_35663908'!$F$16,"+#,##0;-#,##0")&amp;" t.kr."))</f>
        <v/>
      </c>
      <c r="C66" s="29">
        <f>IF('res_raw_35663908'!$E$16="","—",IF(ABS(C16-'res_raw_35663908'!$E$16)&lt;=1,"✓ OK","❌ "&amp;TEXT(C16-'res_raw_35663908'!$E$16,"+#,##0;-#,##0")&amp;" t.kr."))</f>
        <v/>
      </c>
      <c r="D66" s="29">
        <f>IF('res_raw_35663908'!$D$16="","—",IF(ABS(D16-'res_raw_35663908'!$D$16)&lt;=1,"✓ OK","❌ "&amp;TEXT(D16-'res_raw_35663908'!$D$16,"+#,##0;-#,##0")&amp;" t.kr."))</f>
        <v/>
      </c>
      <c r="F66" s="25" t="inlineStr">
        <is>
          <t>Verificerer at sumberegnet resultat før skat matcher det rapporterede.</t>
        </is>
      </c>
    </row>
  </sheetData>
  <mergeCells count="1">
    <mergeCell ref="A1:D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38" customWidth="1" min="2" max="2"/>
    <col width="2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62" customWidth="1" min="9" max="9"/>
  </cols>
  <sheetData>
    <row r="1" ht="28" customHeight="1">
      <c r="A1" s="33" t="inlineStr">
        <is>
          <t>KOMPAN Holding A/S (CVR 35663908) — Ukendte XBRL-felter — disse er noter og ikke en del af hoved-regnskabet</t>
        </is>
      </c>
    </row>
    <row r="2" ht="20" customHeight="1">
      <c r="A2" s="3" t="inlineStr">
        <is>
          <t>Kategori</t>
        </is>
      </c>
      <c r="B2" s="3" t="inlineStr">
        <is>
          <t>Dansk navn</t>
        </is>
      </c>
      <c r="C2" s="3" t="inlineStr">
        <is>
          <t>XBRL feltnavn</t>
        </is>
      </c>
      <c r="D2" s="3" t="inlineStr">
        <is>
          <t>2021 t.kr.</t>
        </is>
      </c>
      <c r="E2" s="3" t="inlineStr">
        <is>
          <t>2022 t.kr.</t>
        </is>
      </c>
      <c r="F2" s="3" t="inlineStr">
        <is>
          <t>2023 t.kr.</t>
        </is>
      </c>
      <c r="G2" s="3" t="inlineStr">
        <is>
          <t>2024 t.kr.</t>
        </is>
      </c>
      <c r="H2" s="3" t="inlineStr">
        <is>
          <t>2025 t.kr.</t>
        </is>
      </c>
      <c r="I2" s="3" t="inlineStr">
        <is>
          <t>Forklaring</t>
        </is>
      </c>
    </row>
    <row r="3" ht="30" customHeight="1">
      <c r="A3" s="34" t="inlineStr">
        <is>
          <t>Øvrige (ukendt)</t>
        </is>
      </c>
      <c r="B3" s="34" t="inlineStr">
        <is>
          <t>fsa:AcquisitionOfCompaniesAndActivitiesSpecification</t>
        </is>
      </c>
      <c r="C3" s="34" t="inlineStr">
        <is>
          <t>fsa:AcquisitionOfCompaniesAndActivitiesSpecification</t>
        </is>
      </c>
      <c r="D3" s="35" t="n"/>
      <c r="E3" s="35" t="n"/>
      <c r="F3" s="35" t="n"/>
      <c r="G3" s="35" t="n">
        <v>3600</v>
      </c>
      <c r="H3" s="35" t="n">
        <v>0</v>
      </c>
      <c r="I3" s="36" t="inlineStr">
        <is>
          <t>Ingen forklaring tilgængelig.</t>
        </is>
      </c>
    </row>
    <row r="4" ht="30" customHeight="1">
      <c r="A4" s="37" t="inlineStr">
        <is>
          <t>Øvrige (ukendt)</t>
        </is>
      </c>
      <c r="B4" s="37" t="inlineStr">
        <is>
          <t>fsa:CurrentContractAssets</t>
        </is>
      </c>
      <c r="C4" s="37" t="inlineStr">
        <is>
          <t>fsa:CurrentContractAssets</t>
        </is>
      </c>
      <c r="D4" s="38" t="n"/>
      <c r="E4" s="38" t="n"/>
      <c r="F4" s="38" t="n"/>
      <c r="G4" s="38" t="n">
        <v>67900</v>
      </c>
      <c r="H4" s="38" t="n">
        <v>55700</v>
      </c>
      <c r="I4" s="39" t="inlineStr">
        <is>
          <t>Ingen forklaring tilgængelig.</t>
        </is>
      </c>
    </row>
    <row r="5" ht="30" customHeight="1">
      <c r="A5" s="34" t="inlineStr">
        <is>
          <t>Øvrige (ukendt)</t>
        </is>
      </c>
      <c r="B5" s="34" t="inlineStr">
        <is>
          <t>fsa:CurrentContractLiabilities</t>
        </is>
      </c>
      <c r="C5" s="34" t="inlineStr">
        <is>
          <t>fsa:CurrentContractLiabilities</t>
        </is>
      </c>
      <c r="D5" s="35" t="n"/>
      <c r="E5" s="35" t="n"/>
      <c r="F5" s="35" t="n"/>
      <c r="G5" s="35" t="n">
        <v>101400</v>
      </c>
      <c r="H5" s="35" t="n">
        <v>118500</v>
      </c>
      <c r="I5" s="36" t="inlineStr">
        <is>
          <t>Ingen forklaring tilgængelig.</t>
        </is>
      </c>
    </row>
    <row r="6" ht="30" customHeight="1">
      <c r="A6" s="37" t="inlineStr">
        <is>
          <t>Øvrige (ukendt)</t>
        </is>
      </c>
      <c r="B6" s="37" t="inlineStr">
        <is>
          <t>fsa:DecreaseOfCapital</t>
        </is>
      </c>
      <c r="C6" s="37" t="inlineStr">
        <is>
          <t>fsa:DecreaseOfCapital</t>
        </is>
      </c>
      <c r="D6" s="38" t="n"/>
      <c r="E6" s="38" t="n"/>
      <c r="F6" s="38" t="n"/>
      <c r="G6" s="38" t="n"/>
      <c r="H6" s="38" t="n">
        <v>33300</v>
      </c>
      <c r="I6" s="39" t="inlineStr">
        <is>
          <t>Ingen forklaring tilgængelig.</t>
        </is>
      </c>
    </row>
    <row r="7" ht="30" customHeight="1">
      <c r="A7" s="34" t="inlineStr">
        <is>
          <t>Øvrige (ukendt)</t>
        </is>
      </c>
      <c r="B7" s="34" t="inlineStr">
        <is>
          <t>fsa:EmployeeExpensesTransferredToAssets</t>
        </is>
      </c>
      <c r="C7" s="34" t="inlineStr">
        <is>
          <t>fsa:EmployeeExpensesTransferredToAssets</t>
        </is>
      </c>
      <c r="D7" s="35" t="n"/>
      <c r="E7" s="35" t="n"/>
      <c r="F7" s="35" t="n"/>
      <c r="G7" s="35" t="n">
        <v>-15200</v>
      </c>
      <c r="H7" s="35" t="n">
        <v>-21300</v>
      </c>
      <c r="I7" s="36" t="inlineStr">
        <is>
          <t>Ingen forklaring tilgængelig.</t>
        </is>
      </c>
    </row>
    <row r="8" ht="30" customHeight="1">
      <c r="A8" s="37" t="inlineStr">
        <is>
          <t>Øvrige (ukendt)</t>
        </is>
      </c>
      <c r="B8" s="37" t="inlineStr">
        <is>
          <t>fsa:FeesForAuditorsPerformingOtherAssuranceReports</t>
        </is>
      </c>
      <c r="C8" s="37" t="inlineStr">
        <is>
          <t>fsa:FeesForAuditorsPerformingOtherAssuranceReports</t>
        </is>
      </c>
      <c r="D8" s="38" t="n"/>
      <c r="E8" s="38" t="n"/>
      <c r="F8" s="38" t="n"/>
      <c r="G8" s="38" t="n">
        <v>100</v>
      </c>
      <c r="H8" s="38" t="n">
        <v>0</v>
      </c>
      <c r="I8" s="39" t="inlineStr">
        <is>
          <t>Ingen forklaring tilgængelig.</t>
        </is>
      </c>
    </row>
    <row r="9" ht="30" customHeight="1">
      <c r="A9" s="34" t="inlineStr">
        <is>
          <t>Øvrige (ukendt)</t>
        </is>
      </c>
      <c r="B9" s="34" t="inlineStr">
        <is>
          <t>fsa:InterestExpenseAssignedToAssociates</t>
        </is>
      </c>
      <c r="C9" s="34" t="inlineStr">
        <is>
          <t>fsa:InterestExpenseAssignedToAssociates</t>
        </is>
      </c>
      <c r="D9" s="35" t="n"/>
      <c r="E9" s="35" t="n"/>
      <c r="F9" s="35" t="n"/>
      <c r="G9" s="35" t="n">
        <v>0</v>
      </c>
      <c r="H9" s="35" t="n">
        <v>700</v>
      </c>
      <c r="I9" s="36" t="inlineStr">
        <is>
          <t>Ingen forklaring tilgængelig.</t>
        </is>
      </c>
    </row>
    <row r="10" ht="30" customHeight="1">
      <c r="A10" s="37" t="inlineStr">
        <is>
          <t>Øvrige (ukendt)</t>
        </is>
      </c>
      <c r="B10" s="37" t="inlineStr">
        <is>
          <t>fsa:InterestExpenseToParticipatingInterests</t>
        </is>
      </c>
      <c r="C10" s="37" t="inlineStr">
        <is>
          <t>fsa:InterestExpenseToParticipatingInterests</t>
        </is>
      </c>
      <c r="D10" s="38" t="n"/>
      <c r="E10" s="38" t="n"/>
      <c r="F10" s="38" t="n"/>
      <c r="G10" s="38" t="n">
        <v>25700</v>
      </c>
      <c r="H10" s="38" t="n">
        <v>17900</v>
      </c>
      <c r="I10" s="39" t="inlineStr">
        <is>
          <t>Ingen forklaring tilgængelig.</t>
        </is>
      </c>
    </row>
    <row r="11" ht="30" customHeight="1">
      <c r="A11" s="34" t="inlineStr">
        <is>
          <t>Øvrige (ukendt)</t>
        </is>
      </c>
      <c r="B11" s="34" t="inlineStr">
        <is>
          <t>fsa:InterestReceived</t>
        </is>
      </c>
      <c r="C11" s="34" t="inlineStr">
        <is>
          <t>fsa:InterestReceived</t>
        </is>
      </c>
      <c r="D11" s="35" t="n"/>
      <c r="E11" s="35" t="n"/>
      <c r="F11" s="35" t="n"/>
      <c r="G11" s="35" t="n">
        <v>-11800</v>
      </c>
      <c r="H11" s="35" t="n">
        <v>-7700</v>
      </c>
      <c r="I11" s="36" t="inlineStr">
        <is>
          <t>Ingen forklaring tilgængelig.</t>
        </is>
      </c>
    </row>
    <row r="12" ht="30" customHeight="1">
      <c r="A12" s="37" t="inlineStr">
        <is>
          <t>Øvrige (ukendt)</t>
        </is>
      </c>
      <c r="B12" s="37" t="inlineStr">
        <is>
          <t>fsa:LongtermTaxPayables</t>
        </is>
      </c>
      <c r="C12" s="37" t="inlineStr">
        <is>
          <t>fsa:LongtermTaxPayables</t>
        </is>
      </c>
      <c r="D12" s="38" t="n"/>
      <c r="E12" s="38" t="n"/>
      <c r="F12" s="38" t="n"/>
      <c r="G12" s="38" t="n">
        <v>53300</v>
      </c>
      <c r="H12" s="38" t="n">
        <v>54100</v>
      </c>
      <c r="I12" s="39" t="inlineStr">
        <is>
          <t>Ingen forklaring tilgængelig.</t>
        </is>
      </c>
    </row>
    <row r="13" ht="30" customHeight="1">
      <c r="A13" s="34" t="inlineStr">
        <is>
          <t>Øvrige (ukendt)</t>
        </is>
      </c>
      <c r="B13" s="34" t="inlineStr">
        <is>
          <t>fsa:NoncurrentContractLiabilities</t>
        </is>
      </c>
      <c r="C13" s="34" t="inlineStr">
        <is>
          <t>fsa:NoncurrentContractLiabilities</t>
        </is>
      </c>
      <c r="D13" s="35" t="n"/>
      <c r="E13" s="35" t="n"/>
      <c r="F13" s="35" t="n"/>
      <c r="G13" s="35" t="n">
        <v>11100</v>
      </c>
      <c r="H13" s="35" t="n">
        <v>31100</v>
      </c>
      <c r="I13" s="36" t="inlineStr">
        <is>
          <t>Ingen forklaring tilgængelig.</t>
        </is>
      </c>
    </row>
    <row r="14" ht="30" customHeight="1">
      <c r="A14" s="37" t="inlineStr">
        <is>
          <t>Øvrige (ukendt)</t>
        </is>
      </c>
      <c r="B14" s="37" t="inlineStr">
        <is>
          <t>fsa:OtherProvisionsLiabilitiesShortterm</t>
        </is>
      </c>
      <c r="C14" s="37" t="inlineStr">
        <is>
          <t>fsa:OtherProvisionsLiabilitiesShortterm</t>
        </is>
      </c>
      <c r="D14" s="38" t="n"/>
      <c r="E14" s="38" t="n"/>
      <c r="F14" s="38" t="n"/>
      <c r="G14" s="38" t="n">
        <v>8800</v>
      </c>
      <c r="H14" s="38" t="n">
        <v>5000</v>
      </c>
      <c r="I14" s="39" t="inlineStr">
        <is>
          <t>Ingen forklaring tilgængelig.</t>
        </is>
      </c>
    </row>
    <row r="15" ht="30" customHeight="1">
      <c r="A15" s="34" t="inlineStr">
        <is>
          <t>Øvrige (ukendt)</t>
        </is>
      </c>
      <c r="B15" s="34" t="inlineStr">
        <is>
          <t>fsa:PensionLiabilitiesRelatedToManagementCategory</t>
        </is>
      </c>
      <c r="C15" s="34" t="inlineStr">
        <is>
          <t>fsa:PensionLiabilitiesRelatedToManagementCategory</t>
        </is>
      </c>
      <c r="D15" s="35" t="n"/>
      <c r="E15" s="35" t="n"/>
      <c r="F15" s="35" t="n"/>
      <c r="G15" s="35" t="n">
        <v>400</v>
      </c>
      <c r="H15" s="35" t="n">
        <v>300</v>
      </c>
      <c r="I15" s="36" t="inlineStr">
        <is>
          <t>Ingen forklaring tilgængelig.</t>
        </is>
      </c>
    </row>
    <row r="16" ht="30" customHeight="1">
      <c r="A16" s="37" t="inlineStr">
        <is>
          <t>Øvrige (ukendt)</t>
        </is>
      </c>
      <c r="B16" s="37" t="inlineStr">
        <is>
          <t>fsa:PensionsAndSimilarLiabilitiesLiabilitiesLongterm</t>
        </is>
      </c>
      <c r="C16" s="37" t="inlineStr">
        <is>
          <t>fsa:PensionsAndSimilarLiabilitiesLiabilitiesLongterm</t>
        </is>
      </c>
      <c r="D16" s="38" t="n"/>
      <c r="E16" s="38" t="n"/>
      <c r="F16" s="38" t="n"/>
      <c r="G16" s="38" t="n">
        <v>3500</v>
      </c>
      <c r="H16" s="38" t="n">
        <v>3900</v>
      </c>
      <c r="I16" s="39" t="inlineStr">
        <is>
          <t>Ingen forklaring tilgængelig.</t>
        </is>
      </c>
    </row>
    <row r="17" ht="30" customHeight="1">
      <c r="A17" s="34" t="inlineStr">
        <is>
          <t>Øvrige (ukendt)</t>
        </is>
      </c>
      <c r="B17" s="34" t="inlineStr">
        <is>
          <t>fsa:SaleOfMinorityShares</t>
        </is>
      </c>
      <c r="C17" s="34" t="inlineStr">
        <is>
          <t>fsa:SaleOfMinorityShares</t>
        </is>
      </c>
      <c r="D17" s="35" t="n"/>
      <c r="E17" s="35" t="n"/>
      <c r="F17" s="35" t="n"/>
      <c r="G17" s="35" t="n"/>
      <c r="H17" s="35" t="n">
        <v>500</v>
      </c>
      <c r="I17" s="36" t="inlineStr">
        <is>
          <t>Ingen forklaring tilgængelig.</t>
        </is>
      </c>
    </row>
    <row r="18" ht="30" customHeight="1">
      <c r="A18" s="37" t="inlineStr">
        <is>
          <t>Øvrige (ukendt)</t>
        </is>
      </c>
      <c r="B18" s="37" t="inlineStr">
        <is>
          <t>fsa:SaleOfTreasuryShares</t>
        </is>
      </c>
      <c r="C18" s="37" t="inlineStr">
        <is>
          <t>fsa:SaleOfTreasuryShares</t>
        </is>
      </c>
      <c r="D18" s="38" t="n"/>
      <c r="E18" s="38" t="n"/>
      <c r="F18" s="38" t="n"/>
      <c r="G18" s="38" t="n">
        <v>8600</v>
      </c>
      <c r="H18" s="38" t="n">
        <v>10100</v>
      </c>
      <c r="I18" s="39" t="inlineStr">
        <is>
          <t>Ingen forklaring tilgængelig.</t>
        </is>
      </c>
    </row>
    <row r="19" ht="30" customHeight="1">
      <c r="A19" s="34" t="inlineStr">
        <is>
          <t>Øvrige (ukendt)</t>
        </is>
      </c>
      <c r="B19" s="34" t="inlineStr">
        <is>
          <t>fsa:SalesOfTreasuryShares</t>
        </is>
      </c>
      <c r="C19" s="34" t="inlineStr">
        <is>
          <t>fsa:SalesOfTreasuryShares</t>
        </is>
      </c>
      <c r="D19" s="35" t="n"/>
      <c r="E19" s="35" t="n"/>
      <c r="F19" s="35" t="n"/>
      <c r="G19" s="35" t="n"/>
      <c r="H19" s="35" t="n">
        <v>9600</v>
      </c>
      <c r="I19" s="36" t="inlineStr">
        <is>
          <t>Ingen forklaring tilgængelig.</t>
        </is>
      </c>
    </row>
    <row r="20" ht="30" customHeight="1">
      <c r="A20" s="37" t="inlineStr">
        <is>
          <t>Øvrige (ukendt)</t>
        </is>
      </c>
      <c r="B20" s="37" t="inlineStr">
        <is>
          <t>fsa:ShorttermReceivablesDividendsFromGroupEnterprises</t>
        </is>
      </c>
      <c r="C20" s="37" t="inlineStr">
        <is>
          <t>fsa:ShorttermReceivablesDividendsFromGroupEnterprises</t>
        </is>
      </c>
      <c r="D20" s="38" t="n"/>
      <c r="E20" s="38" t="n"/>
      <c r="F20" s="38" t="n"/>
      <c r="G20" s="38" t="n">
        <v>7700</v>
      </c>
      <c r="H20" s="38" t="n">
        <v>5200</v>
      </c>
      <c r="I20" s="39" t="inlineStr">
        <is>
          <t>Ingen forklaring tilgængelig.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2026-09-27T21:18:30Z</dcterms:created>
  <dcterms:modified xmlns:dcterms="http://purl.org/dc/terms/" xmlns:xsi="http://www.w3.org/2001/XMLSchema-instance" xsi:type="dcterms:W3CDTF">2026-09-27T21:18:31Z</dcterms:modified>
</cp:coreProperties>
</file>