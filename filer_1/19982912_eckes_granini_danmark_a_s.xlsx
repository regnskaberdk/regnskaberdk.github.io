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pengestrom_raw_19982912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Eckes-Granini Danmark A/S (CVR 19982912)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(kortfristet)</t>
        </is>
      </c>
      <c r="B61" s="8">
        <f>'balance_raw_19982912'!$B$38</f>
        <v/>
      </c>
      <c r="C61" s="8">
        <f>'balance_raw_19982912'!$C$38</f>
        <v/>
      </c>
      <c r="D61" s="8">
        <f>'balance_raw_19982912'!$D$38</f>
        <v/>
      </c>
      <c r="E61" s="8">
        <f>'balance_raw_19982912'!$E$38</f>
        <v/>
      </c>
      <c r="F61" s="8">
        <f>'balance_raw_19982912'!$F$38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Kreditinstitutter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Leverandører af varer og tjenesteydelser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selskabsdeltagere og ledelse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Selskabsskat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tilknyttede virksomheder vedr. 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Periodeafgrænsningsposter (passiver)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10" t="inlineStr">
        <is>
          <t>Kortfristede gældsforpligtelser</t>
        </is>
      </c>
      <c r="B72" s="11">
        <f>'balance_raw_19982912'!$B$49</f>
        <v/>
      </c>
      <c r="C72" s="11">
        <f>'balance_raw_19982912'!$C$49</f>
        <v/>
      </c>
      <c r="D72" s="11">
        <f>'balance_raw_19982912'!$D$49</f>
        <v/>
      </c>
      <c r="E72" s="11">
        <f>'balance_raw_19982912'!$E$49</f>
        <v/>
      </c>
      <c r="F72" s="11">
        <f>'balance_raw_19982912'!$F$49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Passiver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7" t="inlineStr">
        <is>
          <t>Gns. antal medarbejdere</t>
        </is>
      </c>
      <c r="B77" s="8">
        <f>'res_raw_19982912'!$B$19</f>
        <v/>
      </c>
      <c r="C77" s="8">
        <f>'res_raw_19982912'!$C$19</f>
        <v/>
      </c>
      <c r="D77" s="8">
        <f>'res_raw_19982912'!$D$19</f>
        <v/>
      </c>
      <c r="E77" s="8">
        <f>'res_raw_19982912'!$E$19</f>
        <v/>
      </c>
      <c r="F77" s="8">
        <f>'res_raw_19982912'!$F$19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'res_raw_19982912'!$B$20</f>
        <v/>
      </c>
      <c r="C78" s="5">
        <f>'res_raw_19982912'!$C$20</f>
        <v/>
      </c>
      <c r="D78" s="5">
        <f>'res_raw_19982912'!$D$20</f>
        <v/>
      </c>
      <c r="E78" s="5">
        <f>'res_raw_19982912'!$E$20</f>
        <v/>
      </c>
      <c r="F78" s="5">
        <f>'res_raw_19982912'!$F$20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Afkastningsgrad, %</t>
        </is>
      </c>
      <c r="B81" s="13">
        <f>IFERROR(($B$13+$B$15+$B$14)/$B$49*100,"")</f>
        <v/>
      </c>
      <c r="C81" s="13">
        <f>IFERROR(($C$13+$C$15+$C$14)/$C$49*100,"")</f>
        <v/>
      </c>
      <c r="D81" s="13">
        <f>IFERROR(($D$13+$D$15+$D$14)/$D$49*100,"")</f>
        <v/>
      </c>
      <c r="E81" s="13">
        <f>IFERROR(($E$13+$E$15+$E$14)/$E$49*100,"")</f>
        <v/>
      </c>
      <c r="F81" s="13">
        <f>IFERROR(($F$13+$F$15+$F$14)/$F$49*100,"")</f>
        <v/>
      </c>
    </row>
    <row r="82" ht="16" customHeight="1">
      <c r="A82" s="4" t="inlineStr">
        <is>
          <t>Overskudsgrad, %</t>
        </is>
      </c>
      <c r="B82" s="14">
        <f>IFERROR(($B$13+$B$15+$B$14)/$B$4*100,"")</f>
        <v/>
      </c>
      <c r="C82" s="14">
        <f>IFERROR(($C$13+$C$15+$C$14)/$C$4*100,"")</f>
        <v/>
      </c>
      <c r="D82" s="14">
        <f>IFERROR(($D$13+$D$15+$D$14)/$D$4*100,"")</f>
        <v/>
      </c>
      <c r="E82" s="14">
        <f>IFERROR(($E$13+$E$15+$E$14)/$E$4*100,"")</f>
        <v/>
      </c>
      <c r="F82" s="14">
        <f>IFERROR(($F$13+$F$15+$F$14)/$F$4*100,"")</f>
        <v/>
      </c>
    </row>
    <row r="83" ht="16" customHeight="1">
      <c r="A83" s="7" t="inlineStr">
        <is>
          <t>Aktivernes omsætningshastighed, gange</t>
        </is>
      </c>
      <c r="B83" s="13">
        <f>IFERROR($B$4/$B$49,"")</f>
        <v/>
      </c>
      <c r="C83" s="13">
        <f>IFERROR($C$4/$C$49,"")</f>
        <v/>
      </c>
      <c r="D83" s="13">
        <f>IFERROR($D$4/$D$49,"")</f>
        <v/>
      </c>
      <c r="E83" s="13">
        <f>IFERROR($E$4/$E$49,"")</f>
        <v/>
      </c>
      <c r="F83" s="13">
        <f>IFERROR($F$4/$F$49,"")</f>
        <v/>
      </c>
    </row>
    <row r="84" ht="16" customHeight="1">
      <c r="A84" s="4" t="inlineStr">
        <is>
          <t>Egenkapitalens forrentning, %</t>
        </is>
      </c>
      <c r="B84" s="14">
        <f>IFERROR($B$18/$B$58*100,"")</f>
        <v/>
      </c>
      <c r="C84" s="14">
        <f>IFERROR($C$18/$C$58*100,"")</f>
        <v/>
      </c>
      <c r="D84" s="14">
        <f>IFERROR($D$18/$D$58*100,"")</f>
        <v/>
      </c>
      <c r="E84" s="14">
        <f>IFERROR($E$18/$E$58*100,"")</f>
        <v/>
      </c>
      <c r="F84" s="14">
        <f>IFERROR($F$18/$F$58*100,"")</f>
        <v/>
      </c>
    </row>
    <row r="85" ht="16" customHeight="1">
      <c r="A85" s="7" t="inlineStr">
        <is>
          <t>Gældsrente, %</t>
        </is>
      </c>
      <c r="B85" s="13">
        <f>IFERROR($B$16/($B$74-$B$58)*100,"")</f>
        <v/>
      </c>
      <c r="C85" s="13">
        <f>IFERROR($C$16/($C$74-$C$58)*100,"")</f>
        <v/>
      </c>
      <c r="D85" s="13">
        <f>IFERROR($D$16/($D$74-$D$58)*100,"")</f>
        <v/>
      </c>
      <c r="E85" s="13">
        <f>IFERROR($E$16/($E$74-$E$58)*100,"")</f>
        <v/>
      </c>
      <c r="F85" s="13">
        <f>IFERROR($F$16/($F$74-$F$58)*100,"")</f>
        <v/>
      </c>
    </row>
    <row r="86" ht="16" customHeight="1">
      <c r="A86" s="4" t="inlineStr">
        <is>
          <t>Soliditetsgrad, %</t>
        </is>
      </c>
      <c r="B86" s="14">
        <f>IFERROR($B$58/$B$49*100,"")</f>
        <v/>
      </c>
      <c r="C86" s="14">
        <f>IFERROR($C$58/$C$49*100,"")</f>
        <v/>
      </c>
      <c r="D86" s="14">
        <f>IFERROR($D$58/$D$49*100,"")</f>
        <v/>
      </c>
      <c r="E86" s="14">
        <f>IFERROR($E$58/$E$49*100,"")</f>
        <v/>
      </c>
      <c r="F86" s="14">
        <f>IFERROR($F$58/$F$49*100,"")</f>
        <v/>
      </c>
    </row>
    <row r="87" ht="16" customHeight="1">
      <c r="A87" s="7" t="inlineStr">
        <is>
          <t>Gearing</t>
        </is>
      </c>
      <c r="B87" s="13">
        <f>IFERROR(($B$74-$B$58)/$B$58,"")</f>
        <v/>
      </c>
      <c r="C87" s="13">
        <f>IFERROR(($C$74-$C$58)/$C$58,"")</f>
        <v/>
      </c>
      <c r="D87" s="13">
        <f>IFERROR(($D$74-$D$58)/$D$58,"")</f>
        <v/>
      </c>
      <c r="E87" s="13">
        <f>IFERROR(($E$74-$E$58)/$E$58,"")</f>
        <v/>
      </c>
      <c r="F87" s="13">
        <f>IFERROR(($F$74-$F$58)/$F$58,"")</f>
        <v/>
      </c>
    </row>
    <row r="88" ht="16" customHeight="1">
      <c r="A88" s="4" t="inlineStr">
        <is>
          <t>Likviditetsgrad, %</t>
        </is>
      </c>
      <c r="B88" s="14">
        <f>IFERROR($B$48/$B$72*100,"")</f>
        <v/>
      </c>
      <c r="C88" s="14">
        <f>IFERROR($C$48/$C$72*100,"")</f>
        <v/>
      </c>
      <c r="D88" s="14">
        <f>IFERROR($D$48/$D$72*100,"")</f>
        <v/>
      </c>
      <c r="E88" s="14">
        <f>IFERROR($E$48/$E$72*100,"")</f>
        <v/>
      </c>
      <c r="F88" s="14">
        <f>IFERROR($F$48/$F$72*100,"")</f>
        <v/>
      </c>
    </row>
    <row r="89" ht="16" customHeight="1">
      <c r="A89" s="7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IFERROR(($B$74-$B$58)/$B$49*100,"")</f>
        <v/>
      </c>
      <c r="C90" s="14">
        <f>IFERROR(($C$74-$C$58)/$C$49*100,"")</f>
        <v/>
      </c>
      <c r="D90" s="14">
        <f>IFERROR(($D$74-$D$58)/$D$49*100,"")</f>
        <v/>
      </c>
      <c r="E90" s="14">
        <f>IFERROR(($E$74-$E$58)/$E$49*100,"")</f>
        <v/>
      </c>
      <c r="F90" s="14">
        <f>IFERROR(($F$74-$F$58)/$F$49*100,"")</f>
        <v/>
      </c>
    </row>
    <row r="91" ht="16" customHeight="1">
      <c r="A91" s="7" t="inlineStr">
        <is>
          <t>Kapitalbindingsgrad, %</t>
        </is>
      </c>
      <c r="B91" s="13">
        <f>IFERROR($B$33/($B$58+0)*100,"")</f>
        <v/>
      </c>
      <c r="C91" s="13">
        <f>IFERROR($C$33/($C$58+0)*100,"")</f>
        <v/>
      </c>
      <c r="D91" s="13">
        <f>IFERROR($D$33/($D$58+0)*100,"")</f>
        <v/>
      </c>
      <c r="E91" s="13">
        <f>IFERROR($E$33/($E$58+0)*100,"")</f>
        <v/>
      </c>
      <c r="F91" s="13">
        <f>IFERROR($F$33/($F$58+0)*100,"")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'pengestrom_raw_19982912'!$B$2</f>
        <v/>
      </c>
      <c r="C94" s="17">
        <f>'pengestrom_raw_19982912'!$C$2</f>
        <v/>
      </c>
      <c r="D94" s="17">
        <f>'pengestrom_raw_19982912'!$D$2</f>
        <v/>
      </c>
      <c r="E94" s="17">
        <f>'pengestrom_raw_19982912'!$E$2</f>
        <v/>
      </c>
      <c r="F94" s="17">
        <f>'pengestrom_raw_19982912'!$F$2</f>
        <v/>
      </c>
    </row>
    <row r="95">
      <c r="A95" s="16" t="inlineStr">
        <is>
          <t>Pengestrømme fra investeringsaktivitet</t>
        </is>
      </c>
      <c r="B95" s="17">
        <f>'pengestrom_raw_19982912'!$B$3</f>
        <v/>
      </c>
      <c r="C95" s="17">
        <f>'pengestrom_raw_19982912'!$C$3</f>
        <v/>
      </c>
      <c r="D95" s="17">
        <f>'pengestrom_raw_19982912'!$D$3</f>
        <v/>
      </c>
      <c r="E95" s="17">
        <f>'pengestrom_raw_19982912'!$E$3</f>
        <v/>
      </c>
      <c r="F95" s="17">
        <f>'pengestrom_raw_19982912'!$F$3</f>
        <v/>
      </c>
    </row>
    <row r="96">
      <c r="A96" s="16" t="inlineStr">
        <is>
          <t>Pengestrømme fra finansieringsaktivitet</t>
        </is>
      </c>
      <c r="B96" s="17">
        <f>'pengestrom_raw_19982912'!$B$4</f>
        <v/>
      </c>
      <c r="C96" s="17">
        <f>'pengestrom_raw_19982912'!$C$4</f>
        <v/>
      </c>
      <c r="D96" s="17">
        <f>'pengestrom_raw_19982912'!$D$4</f>
        <v/>
      </c>
      <c r="E96" s="17">
        <f>'pengestrom_raw_19982912'!$E$4</f>
        <v/>
      </c>
      <c r="F96" s="17">
        <f>'pengestrom_raw_19982912'!$F$4</f>
        <v/>
      </c>
    </row>
    <row r="97">
      <c r="A97" s="16" t="inlineStr">
        <is>
          <t>Årets pengestrøm (rapporteret)</t>
        </is>
      </c>
      <c r="B97" s="17">
        <f>'pengestrom_raw_19982912'!$B$5</f>
        <v/>
      </c>
      <c r="C97" s="17">
        <f>'pengestrom_raw_19982912'!$C$5</f>
        <v/>
      </c>
      <c r="D97" s="17">
        <f>'pengestrom_raw_19982912'!$D$5</f>
        <v/>
      </c>
      <c r="E97" s="17">
        <f>'pengestrom_raw_19982912'!$E$5</f>
        <v/>
      </c>
      <c r="F97" s="17">
        <f>'pengestrom_raw_19982912'!$F$5</f>
        <v/>
      </c>
    </row>
    <row r="98">
      <c r="A98" s="16" t="inlineStr">
        <is>
          <t>Krydstjek: drift + inv. + fin. = årets pengestrøm</t>
        </is>
      </c>
      <c r="B98">
        <f>IF(ABS(('pengestrom_raw_19982912'!$B$2+'pengestrom_raw_19982912'!$B$3+'pengestrom_raw_19982912'!$B$4)-'pengestrom_raw_19982912'!$B$5)&lt;=2,"✓","⚠ "&amp;TEXT(('pengestrom_raw_19982912'!$B$2+'pengestrom_raw_19982912'!$B$3+'pengestrom_raw_19982912'!$B$4)-'pengestrom_raw_19982912'!$B$5,"+#,##0;-#,##0"))</f>
        <v/>
      </c>
      <c r="C98">
        <f>IF(ABS(('pengestrom_raw_19982912'!$C$2+'pengestrom_raw_19982912'!$C$3+'pengestrom_raw_19982912'!$C$4)-'pengestrom_raw_19982912'!$C$5)&lt;=2,"✓","⚠ "&amp;TEXT(('pengestrom_raw_19982912'!$C$2+'pengestrom_raw_19982912'!$C$3+'pengestrom_raw_19982912'!$C$4)-'pengestrom_raw_19982912'!$C$5,"+#,##0;-#,##0"))</f>
        <v/>
      </c>
      <c r="D98">
        <f>IF(ABS(('pengestrom_raw_19982912'!$D$2+'pengestrom_raw_19982912'!$D$3+'pengestrom_raw_19982912'!$D$4)-'pengestrom_raw_19982912'!$D$5)&lt;=2,"✓","⚠ "&amp;TEXT(('pengestrom_raw_19982912'!$D$2+'pengestrom_raw_19982912'!$D$3+'pengestrom_raw_19982912'!$D$4)-'pengestrom_raw_19982912'!$D$5,"+#,##0;-#,##0"))</f>
        <v/>
      </c>
      <c r="E98">
        <f>IF(ABS(('pengestrom_raw_19982912'!$E$2+'pengestrom_raw_19982912'!$E$3+'pengestrom_raw_19982912'!$E$4)-'pengestrom_raw_19982912'!$E$5)&lt;=2,"✓","⚠ "&amp;TEXT(('pengestrom_raw_19982912'!$E$2+'pengestrom_raw_19982912'!$E$3+'pengestrom_raw_19982912'!$E$4)-'pengestrom_raw_19982912'!$E$5,"+#,##0;-#,##0"))</f>
        <v/>
      </c>
      <c r="F98">
        <f>IF(ABS(('pengestrom_raw_19982912'!$F$2+'pengestrom_raw_19982912'!$F$3+'pengestrom_raw_19982912'!$F$4)-'pengestrom_raw_19982912'!$F$5)&lt;=2,"✓","⚠ "&amp;TEXT(('pengestrom_raw_19982912'!$F$2+'pengestrom_raw_19982912'!$F$3+'pengestrom_raw_19982912'!$F$4)-'pengestrom_raw_19982912'!$F$5,"+#,##0;-#,##0"))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913041</v>
      </c>
      <c r="C2" s="17" t="n">
        <v>977892</v>
      </c>
      <c r="D2" s="17" t="n">
        <v>1026053</v>
      </c>
      <c r="E2" s="17" t="n">
        <v>1132379</v>
      </c>
      <c r="F2" s="17" t="n">
        <v>1111896</v>
      </c>
    </row>
    <row r="3">
      <c r="A3" s="16" t="inlineStr">
        <is>
          <t>Andre driftsindtægter</t>
        </is>
      </c>
      <c r="B3" s="17" t="n">
        <v>20017</v>
      </c>
      <c r="C3" s="17" t="n">
        <v>26642</v>
      </c>
      <c r="D3" s="17" t="n">
        <v>22140</v>
      </c>
      <c r="E3" s="17" t="n">
        <v>19298</v>
      </c>
      <c r="F3" s="17" t="n">
        <v>21980</v>
      </c>
    </row>
    <row r="4">
      <c r="A4" s="16" t="inlineStr">
        <is>
          <t>Vareforbrug</t>
        </is>
      </c>
      <c r="B4" s="17" t="n">
        <v>528325</v>
      </c>
      <c r="C4" s="17" t="n">
        <v>589891</v>
      </c>
      <c r="D4" s="17" t="n">
        <v>625263</v>
      </c>
      <c r="E4" s="17" t="n">
        <v>719829</v>
      </c>
      <c r="F4" s="17" t="n">
        <v>681325</v>
      </c>
    </row>
    <row r="5">
      <c r="A5" s="16" t="inlineStr">
        <is>
          <t>Andre eksterne omkostninger</t>
        </is>
      </c>
      <c r="B5" s="17" t="n">
        <v>207219</v>
      </c>
      <c r="C5" s="17" t="n">
        <v>229677</v>
      </c>
      <c r="D5" s="17" t="n">
        <v>215016</v>
      </c>
      <c r="E5" s="17" t="n">
        <v>231008</v>
      </c>
      <c r="F5" s="17" t="n">
        <v>253505</v>
      </c>
    </row>
    <row r="6">
      <c r="A6" s="15" t="inlineStr">
        <is>
          <t>Bruttoresultat</t>
        </is>
      </c>
      <c r="B6" s="17" t="n">
        <v>197514</v>
      </c>
      <c r="C6" s="17" t="n">
        <v>184966</v>
      </c>
      <c r="D6" s="17" t="n">
        <v>207914</v>
      </c>
      <c r="E6" s="17" t="n">
        <v>200840</v>
      </c>
      <c r="F6" s="17" t="n">
        <v>199046</v>
      </c>
    </row>
    <row r="7">
      <c r="A7" s="16" t="inlineStr">
        <is>
          <t>Personaleomkostninger</t>
        </is>
      </c>
      <c r="B7" s="17" t="n">
        <v>128902</v>
      </c>
      <c r="C7" s="17" t="n">
        <v>138343</v>
      </c>
      <c r="D7" s="17" t="n">
        <v>139853</v>
      </c>
      <c r="E7" s="17" t="n">
        <v>139836</v>
      </c>
      <c r="F7" s="17" t="n">
        <v>137052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52299</v>
      </c>
      <c r="C9" s="17" t="n">
        <v>56235</v>
      </c>
      <c r="D9" s="17" t="n">
        <v>57544</v>
      </c>
      <c r="E9" s="17" t="n">
        <v>48900</v>
      </c>
      <c r="F9" s="17" t="n">
        <v>49142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16313</v>
      </c>
      <c r="C11" s="17" t="n">
        <v>-9612</v>
      </c>
      <c r="D11" s="17" t="n">
        <v>10517</v>
      </c>
      <c r="E11" s="17" t="n">
        <v>12104</v>
      </c>
      <c r="F11" s="17" t="n">
        <v>12852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920</v>
      </c>
      <c r="C13" s="17" t="n">
        <v>153</v>
      </c>
      <c r="D13" s="17" t="n">
        <v>2074</v>
      </c>
      <c r="E13" s="17" t="n">
        <v>2709</v>
      </c>
      <c r="F13" s="17" t="n">
        <v>1072</v>
      </c>
    </row>
    <row r="14">
      <c r="A14" s="16" t="inlineStr">
        <is>
          <t>Finansielle omkostninger</t>
        </is>
      </c>
      <c r="B14" s="17" t="n">
        <v>1889</v>
      </c>
      <c r="C14" s="17" t="n">
        <v>2668</v>
      </c>
      <c r="D14" s="17" t="n">
        <v>3056</v>
      </c>
      <c r="E14" s="17" t="n">
        <v>1370</v>
      </c>
      <c r="F14" s="17" t="n">
        <v>153</v>
      </c>
    </row>
    <row r="15">
      <c r="A15" s="15" t="inlineStr">
        <is>
          <t>Finansielle poster, netto</t>
        </is>
      </c>
      <c r="B15" s="17" t="n">
        <v>-969</v>
      </c>
      <c r="C15" s="17" t="n">
        <v>-2515</v>
      </c>
      <c r="D15" s="17" t="n">
        <v>-982</v>
      </c>
      <c r="E15" s="17" t="n">
        <v>1339</v>
      </c>
      <c r="F15" s="17" t="n">
        <v>919</v>
      </c>
    </row>
    <row r="16">
      <c r="A16" s="15" t="inlineStr">
        <is>
          <t>Resultat før skat</t>
        </is>
      </c>
      <c r="B16" s="17" t="n">
        <v>15344</v>
      </c>
      <c r="C16" s="17" t="n">
        <v>-12127</v>
      </c>
      <c r="D16" s="17" t="n">
        <v>9535</v>
      </c>
      <c r="E16" s="17" t="n">
        <v>13443</v>
      </c>
      <c r="F16" s="17" t="n">
        <v>13771</v>
      </c>
    </row>
    <row r="17">
      <c r="A17" s="16" t="inlineStr">
        <is>
          <t>Skat af årets resultat</t>
        </is>
      </c>
      <c r="B17" s="17" t="n">
        <v>6284</v>
      </c>
      <c r="C17" s="17" t="n">
        <v>-5360</v>
      </c>
      <c r="D17" s="17" t="n">
        <v>4785</v>
      </c>
      <c r="E17" s="17" t="n">
        <v>4111</v>
      </c>
      <c r="F17" s="17" t="n">
        <v>5728</v>
      </c>
    </row>
    <row r="18">
      <c r="A18" s="15" t="inlineStr">
        <is>
          <t>Årets resultat</t>
        </is>
      </c>
      <c r="B18" s="17" t="n">
        <v>9060</v>
      </c>
      <c r="C18" s="17" t="n">
        <v>-6767</v>
      </c>
      <c r="D18" s="17" t="n">
        <v>4750</v>
      </c>
      <c r="E18" s="17" t="n">
        <v>9332</v>
      </c>
      <c r="F18" s="17" t="n">
        <v>8043</v>
      </c>
    </row>
    <row r="19">
      <c r="A19" s="16" t="inlineStr">
        <is>
          <t>Gns. antal medarbejdere</t>
        </is>
      </c>
      <c r="B19" s="17" t="n">
        <v>248</v>
      </c>
      <c r="C19" s="17" t="n">
        <v>239</v>
      </c>
      <c r="D19" s="17" t="n">
        <v>232</v>
      </c>
      <c r="E19" s="17" t="n">
        <v>223</v>
      </c>
      <c r="F19" s="17" t="n">
        <v>211</v>
      </c>
    </row>
    <row r="20">
      <c r="A20" s="16" t="inlineStr">
        <is>
          <t>Investering i materielle anlægsaktiver</t>
        </is>
      </c>
      <c r="B20" s="17" t="n">
        <v>58751</v>
      </c>
      <c r="C20" s="17" t="n">
        <v>26569</v>
      </c>
      <c r="D20" s="17" t="n">
        <v>15626</v>
      </c>
      <c r="E20" s="17" t="n">
        <v>30127</v>
      </c>
      <c r="F20" s="17" t="n">
        <v>22424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0</v>
      </c>
      <c r="F2" s="17" t="n">
        <v>1411</v>
      </c>
    </row>
    <row r="3">
      <c r="A3" s="16" t="inlineStr">
        <is>
          <t>Patenter, varemærker mv.</t>
        </is>
      </c>
      <c r="B3" s="17" t="n">
        <v>161782</v>
      </c>
      <c r="C3" s="17" t="n">
        <v>158137</v>
      </c>
      <c r="D3" s="17" t="n">
        <v>154492</v>
      </c>
      <c r="E3" s="17" t="n">
        <v>150846</v>
      </c>
      <c r="F3" s="17" t="n">
        <v>147200</v>
      </c>
    </row>
    <row r="4">
      <c r="A4" s="16" t="inlineStr">
        <is>
          <t>Goodwill</t>
        </is>
      </c>
      <c r="B4" s="17" t="n">
        <v>165453</v>
      </c>
      <c r="C4" s="17" t="n">
        <v>156915</v>
      </c>
      <c r="D4" s="17" t="n">
        <v>148377</v>
      </c>
      <c r="E4" s="17" t="n">
        <v>139938</v>
      </c>
      <c r="F4" s="17" t="n">
        <v>131400</v>
      </c>
    </row>
    <row r="5">
      <c r="A5" s="15" t="inlineStr">
        <is>
          <t>Immaterielle anlægsaktiver</t>
        </is>
      </c>
      <c r="B5" s="17" t="n">
        <v>403726</v>
      </c>
      <c r="C5" s="17" t="n">
        <v>393303</v>
      </c>
      <c r="D5" s="17" t="n">
        <v>374963</v>
      </c>
      <c r="E5" s="17" t="n">
        <v>356826</v>
      </c>
      <c r="F5" s="17" t="n">
        <v>344541</v>
      </c>
    </row>
    <row r="6">
      <c r="A6" s="16" t="inlineStr">
        <is>
          <t>Grunde og bygninger</t>
        </is>
      </c>
      <c r="B6" s="17" t="n">
        <v>73414</v>
      </c>
      <c r="C6" s="17" t="n">
        <v>76347</v>
      </c>
      <c r="D6" s="17" t="n">
        <v>70221</v>
      </c>
      <c r="E6" s="17" t="n">
        <v>64737</v>
      </c>
      <c r="F6" s="17" t="n">
        <v>58740</v>
      </c>
    </row>
    <row r="7">
      <c r="A7" s="16" t="inlineStr">
        <is>
          <t>Produktionsanlæg og maskiner</t>
        </is>
      </c>
      <c r="B7" s="17" t="n">
        <v>150671</v>
      </c>
      <c r="C7" s="17" t="n">
        <v>172242</v>
      </c>
      <c r="D7" s="17" t="n">
        <v>147936</v>
      </c>
      <c r="E7" s="17" t="n">
        <v>161309</v>
      </c>
      <c r="F7" s="17" t="n">
        <v>153244</v>
      </c>
    </row>
    <row r="8">
      <c r="A8" s="16" t="inlineStr">
        <is>
          <t>Driftsmateriel og inventar</t>
        </is>
      </c>
      <c r="B8" s="17" t="n">
        <v>2858</v>
      </c>
      <c r="C8" s="17" t="n">
        <v>3998</v>
      </c>
      <c r="D8" s="17" t="n">
        <v>2907</v>
      </c>
      <c r="E8" s="17" t="n">
        <v>3317</v>
      </c>
      <c r="F8" s="17" t="n">
        <v>3241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65352</v>
      </c>
      <c r="C10" s="17" t="n">
        <v>22470</v>
      </c>
      <c r="D10" s="17" t="n">
        <v>30416</v>
      </c>
      <c r="E10" s="17" t="n">
        <v>21480</v>
      </c>
      <c r="F10" s="17" t="n">
        <v>22596</v>
      </c>
    </row>
    <row r="11">
      <c r="A11" s="15" t="inlineStr">
        <is>
          <t>Materielle anlægsaktiver</t>
        </is>
      </c>
      <c r="B11" s="17" t="n">
        <v>292295</v>
      </c>
      <c r="C11" s="17" t="n">
        <v>275057</v>
      </c>
      <c r="D11" s="17" t="n">
        <v>251480</v>
      </c>
      <c r="E11" s="17" t="n">
        <v>250843</v>
      </c>
      <c r="F11" s="17" t="n">
        <v>237821</v>
      </c>
    </row>
    <row r="12">
      <c r="A12" s="15" t="inlineStr">
        <is>
          <t>Anlægsaktiver</t>
        </is>
      </c>
      <c r="B12" s="17" t="n">
        <v>696021</v>
      </c>
      <c r="C12" s="17" t="n">
        <v>668360</v>
      </c>
      <c r="D12" s="17" t="n">
        <v>626443</v>
      </c>
      <c r="E12" s="17" t="n">
        <v>607669</v>
      </c>
      <c r="F12" s="17" t="n">
        <v>582362</v>
      </c>
    </row>
    <row r="13">
      <c r="A13" s="16" t="inlineStr">
        <is>
          <t>Råvarer og hjælpematerialer</t>
        </is>
      </c>
      <c r="B13" s="17" t="n">
        <v>34621</v>
      </c>
      <c r="C13" s="17" t="n">
        <v>36955</v>
      </c>
      <c r="D13" s="17" t="n">
        <v>37886</v>
      </c>
      <c r="E13" s="17" t="n">
        <v>35230</v>
      </c>
      <c r="F13" s="17" t="n">
        <v>35142</v>
      </c>
    </row>
    <row r="14">
      <c r="A14" s="16" t="inlineStr">
        <is>
          <t>Varer under fremstilling</t>
        </is>
      </c>
      <c r="B14" s="17" t="n">
        <v>3418</v>
      </c>
      <c r="C14" s="17" t="n">
        <v>3818</v>
      </c>
      <c r="D14" s="17" t="n">
        <v>1701</v>
      </c>
      <c r="E14" s="17" t="n">
        <v>4592</v>
      </c>
      <c r="F14" s="17" t="n">
        <v>5665</v>
      </c>
    </row>
    <row r="15">
      <c r="A15" s="16" t="inlineStr">
        <is>
          <t>Færdigvarer og handelsvarer</t>
        </is>
      </c>
      <c r="B15" s="17" t="n">
        <v>38772</v>
      </c>
      <c r="C15" s="17" t="n">
        <v>45398</v>
      </c>
      <c r="D15" s="17" t="n">
        <v>35360</v>
      </c>
      <c r="E15" s="17" t="n">
        <v>52015</v>
      </c>
      <c r="F15" s="17" t="n">
        <v>56809</v>
      </c>
    </row>
    <row r="16">
      <c r="A16" s="15" t="inlineStr">
        <is>
          <t>Varebeholdninger</t>
        </is>
      </c>
      <c r="B16" s="17" t="n">
        <v>76811</v>
      </c>
      <c r="C16" s="17" t="n">
        <v>86171</v>
      </c>
      <c r="D16" s="17" t="n">
        <v>74947</v>
      </c>
      <c r="E16" s="17" t="n">
        <v>91837</v>
      </c>
      <c r="F16" s="17" t="n">
        <v>97616</v>
      </c>
    </row>
    <row r="17">
      <c r="A17" s="16" t="inlineStr">
        <is>
          <t>Tilgodehavender fra salg og tjenesteydelser</t>
        </is>
      </c>
      <c r="B17" s="17" t="n">
        <v>74719</v>
      </c>
      <c r="C17" s="17" t="n">
        <v>110176</v>
      </c>
      <c r="D17" s="17" t="n">
        <v>122666</v>
      </c>
      <c r="E17" s="17" t="n">
        <v>137493</v>
      </c>
      <c r="F17" s="17" t="n">
        <v>127385</v>
      </c>
    </row>
    <row r="18">
      <c r="A18" s="16" t="inlineStr">
        <is>
          <t>Tilgodehavender hos tilknyttede virksomheder</t>
        </is>
      </c>
      <c r="B18" s="17" t="n">
        <v>37997</v>
      </c>
      <c r="C18" s="17" t="n">
        <v>75757</v>
      </c>
      <c r="D18" s="17" t="n">
        <v>32470</v>
      </c>
      <c r="E18" s="17" t="n">
        <v>50450</v>
      </c>
      <c r="F18" s="17" t="n">
        <v>45565</v>
      </c>
    </row>
    <row r="19">
      <c r="A19" s="16" t="inlineStr">
        <is>
          <t>Andre tilgodehavender</t>
        </is>
      </c>
      <c r="B19" s="17" t="n">
        <v>2933</v>
      </c>
      <c r="C19" s="17" t="n">
        <v>1280</v>
      </c>
      <c r="D19" s="17" t="n">
        <v>458</v>
      </c>
      <c r="E19" s="17" t="n">
        <v>707</v>
      </c>
      <c r="F19" s="17" t="n">
        <v>398</v>
      </c>
    </row>
    <row r="20">
      <c r="A20" s="16" t="inlineStr">
        <is>
          <t>Periodeafgrænsningsposter (aktiver)</t>
        </is>
      </c>
      <c r="B20" s="17" t="n">
        <v>2040</v>
      </c>
      <c r="C20" s="17" t="n">
        <v>2411</v>
      </c>
      <c r="D20" s="17" t="n">
        <v>4329</v>
      </c>
      <c r="E20" s="17" t="n">
        <v>2297</v>
      </c>
      <c r="F20" s="17" t="n">
        <v>3306</v>
      </c>
    </row>
    <row r="21">
      <c r="A21" s="16" t="inlineStr">
        <is>
          <t>Udskudt skatteaktiv</t>
        </is>
      </c>
      <c r="B21" s="17" t="n">
        <v>0</v>
      </c>
      <c r="C21" s="17" t="n">
        <v>0</v>
      </c>
      <c r="D21" s="17" t="n"/>
      <c r="E21" s="17" t="n"/>
      <c r="F21" s="17" t="n"/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1146</v>
      </c>
      <c r="C23" s="17" t="n">
        <v>0</v>
      </c>
      <c r="D23" s="17" t="n">
        <v>191</v>
      </c>
      <c r="E23" s="17" t="n">
        <v>168</v>
      </c>
      <c r="F23" s="17" t="n">
        <v>0</v>
      </c>
    </row>
    <row r="24">
      <c r="A24" s="15" t="inlineStr">
        <is>
          <t>Tilgodehavender</t>
        </is>
      </c>
      <c r="B24" s="17" t="n">
        <v>118835</v>
      </c>
      <c r="C24" s="17" t="n">
        <v>189624</v>
      </c>
      <c r="D24" s="17" t="n">
        <v>160114</v>
      </c>
      <c r="E24" s="17" t="n">
        <v>191115</v>
      </c>
      <c r="F24" s="17" t="n">
        <v>176654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22597</v>
      </c>
      <c r="C26" s="17" t="n">
        <v>23604</v>
      </c>
      <c r="D26" s="17" t="n">
        <v>51107</v>
      </c>
      <c r="E26" s="17" t="n">
        <v>34133</v>
      </c>
      <c r="F26" s="17" t="n">
        <v>31100</v>
      </c>
    </row>
    <row r="27">
      <c r="A27" s="15" t="inlineStr">
        <is>
          <t>Omsætningsaktiver</t>
        </is>
      </c>
      <c r="B27" s="17" t="n">
        <v>218243</v>
      </c>
      <c r="C27" s="17" t="n">
        <v>299399</v>
      </c>
      <c r="D27" s="17" t="n">
        <v>286168</v>
      </c>
      <c r="E27" s="17" t="n">
        <v>317085</v>
      </c>
      <c r="F27" s="17" t="n">
        <v>305370</v>
      </c>
    </row>
    <row r="28">
      <c r="A28" s="15" t="inlineStr">
        <is>
          <t>Aktiver</t>
        </is>
      </c>
      <c r="B28" s="17" t="n">
        <v>914264</v>
      </c>
      <c r="C28" s="17" t="n">
        <v>967759</v>
      </c>
      <c r="D28" s="17" t="n">
        <v>912611</v>
      </c>
      <c r="E28" s="17" t="n">
        <v>924754</v>
      </c>
      <c r="F28" s="17" t="n">
        <v>887732</v>
      </c>
    </row>
    <row r="29">
      <c r="A29" s="16" t="inlineStr">
        <is>
          <t>Selskabskapital</t>
        </is>
      </c>
      <c r="B29" s="17" t="n">
        <v>30000</v>
      </c>
      <c r="C29" s="17" t="n">
        <v>30000</v>
      </c>
      <c r="D29" s="17" t="n">
        <v>30000</v>
      </c>
      <c r="E29" s="17" t="n">
        <v>30000</v>
      </c>
      <c r="F29" s="17" t="n">
        <v>30000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>
        <v>0</v>
      </c>
      <c r="F31" s="17" t="n">
        <v>1101</v>
      </c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Overført resultat</t>
        </is>
      </c>
      <c r="B34" s="17" t="n">
        <v>674158</v>
      </c>
      <c r="C34" s="17" t="n">
        <v>667391</v>
      </c>
      <c r="D34" s="17" t="n">
        <v>672141</v>
      </c>
      <c r="E34" s="17" t="n">
        <v>681473</v>
      </c>
      <c r="F34" s="17" t="n">
        <v>613815</v>
      </c>
    </row>
    <row r="35">
      <c r="A35" s="15" t="inlineStr">
        <is>
          <t>Egenkapital i alt</t>
        </is>
      </c>
      <c r="B35" s="17" t="n">
        <v>704158</v>
      </c>
      <c r="C35" s="17" t="n">
        <v>697391</v>
      </c>
      <c r="D35" s="17" t="n">
        <v>702141</v>
      </c>
      <c r="E35" s="17" t="n">
        <v>711473</v>
      </c>
      <c r="F35" s="17" t="n">
        <v>719516</v>
      </c>
    </row>
    <row r="36">
      <c r="A36" s="16" t="inlineStr">
        <is>
          <t>Hensættelse til udskudt skat</t>
        </is>
      </c>
      <c r="B36" s="17" t="n">
        <v>20772</v>
      </c>
      <c r="C36" s="17" t="n">
        <v>13797</v>
      </c>
      <c r="D36" s="17" t="n">
        <v>18196</v>
      </c>
      <c r="E36" s="17" t="n">
        <v>23918</v>
      </c>
      <c r="F36" s="17" t="n">
        <v>26824</v>
      </c>
    </row>
    <row r="37">
      <c r="A37" s="15" t="inlineStr">
        <is>
          <t>Hensatte forpligtelser</t>
        </is>
      </c>
      <c r="B37" s="17" t="n">
        <v>32990</v>
      </c>
      <c r="C37" s="17" t="n">
        <v>25725</v>
      </c>
      <c r="D37" s="17" t="n">
        <v>21176</v>
      </c>
      <c r="E37" s="17" t="n">
        <v>24849</v>
      </c>
      <c r="F37" s="17" t="n">
        <v>26824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87802</v>
      </c>
      <c r="C42" s="17" t="n">
        <v>78879</v>
      </c>
      <c r="D42" s="17" t="n">
        <v>78764</v>
      </c>
      <c r="E42" s="17" t="n">
        <v>98072</v>
      </c>
      <c r="F42" s="17" t="n">
        <v>103134</v>
      </c>
    </row>
    <row r="43">
      <c r="A43" s="16" t="inlineStr">
        <is>
          <t>Gæld til tilknyttede virksomheder</t>
        </is>
      </c>
      <c r="B43" s="17" t="n">
        <v>57304</v>
      </c>
      <c r="C43" s="17" t="n">
        <v>132970</v>
      </c>
      <c r="D43" s="17" t="n">
        <v>79332</v>
      </c>
      <c r="E43" s="17" t="n">
        <v>60387</v>
      </c>
      <c r="F43" s="17" t="n">
        <v>4188</v>
      </c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>
        <v>0</v>
      </c>
      <c r="C45" s="17" t="n">
        <v>6290</v>
      </c>
      <c r="D45" s="17" t="n">
        <v>0</v>
      </c>
      <c r="E45" s="17" t="n">
        <v>0</v>
      </c>
      <c r="F45" s="17" t="n">
        <v>2585</v>
      </c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32010</v>
      </c>
      <c r="C47" s="17" t="n">
        <v>26504</v>
      </c>
      <c r="D47" s="17" t="n">
        <v>31198</v>
      </c>
      <c r="E47" s="17" t="n">
        <v>29973</v>
      </c>
      <c r="F47" s="17" t="n">
        <v>31485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177116</v>
      </c>
      <c r="C49" s="17" t="n">
        <v>244643</v>
      </c>
      <c r="D49" s="17" t="n">
        <v>189294</v>
      </c>
      <c r="E49" s="17" t="n">
        <v>188432</v>
      </c>
      <c r="F49" s="17" t="n">
        <v>141392</v>
      </c>
    </row>
    <row r="50">
      <c r="A50" s="15" t="inlineStr">
        <is>
          <t>Gældsforpligtelser</t>
        </is>
      </c>
      <c r="B50" s="17" t="n">
        <v>177116</v>
      </c>
      <c r="C50" s="17" t="n">
        <v>244643</v>
      </c>
      <c r="D50" s="17" t="n">
        <v>189294</v>
      </c>
      <c r="E50" s="17" t="n">
        <v>188432</v>
      </c>
      <c r="F50" s="17" t="n">
        <v>141392</v>
      </c>
    </row>
    <row r="51">
      <c r="A51" s="15" t="inlineStr">
        <is>
          <t>Passiver</t>
        </is>
      </c>
      <c r="B51" s="17" t="n">
        <v>914264</v>
      </c>
      <c r="C51" s="17" t="n">
        <v>967759</v>
      </c>
      <c r="D51" s="17" t="n">
        <v>912611</v>
      </c>
      <c r="E51" s="17" t="n">
        <v>924754</v>
      </c>
      <c r="F51" s="17" t="n">
        <v>887732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Eckes-Granini Danmark A/S (CVR 19982912)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47654</v>
      </c>
      <c r="C2" s="17" t="n">
        <v>-7670</v>
      </c>
      <c r="D2" s="17" t="n">
        <v>60347</v>
      </c>
      <c r="E2" s="17" t="n">
        <v>48477</v>
      </c>
      <c r="F2" s="17" t="n">
        <v>77070</v>
      </c>
    </row>
    <row r="3">
      <c r="A3" s="16" t="inlineStr">
        <is>
          <t>Pengestrømme fra investeringsaktivitet</t>
        </is>
      </c>
      <c r="B3" s="17" t="n">
        <v>-51675</v>
      </c>
      <c r="C3" s="17" t="n">
        <v>-28573</v>
      </c>
      <c r="D3" s="17" t="n">
        <v>-15626</v>
      </c>
      <c r="E3" s="17" t="n">
        <v>-30127</v>
      </c>
      <c r="F3" s="17" t="n">
        <v>-23835</v>
      </c>
    </row>
    <row r="4">
      <c r="A4" s="16" t="inlineStr">
        <is>
          <t>Pengestrømme fra finansieringsaktivitet</t>
        </is>
      </c>
      <c r="B4" s="17" t="n">
        <v>-30476</v>
      </c>
      <c r="C4" s="17" t="n">
        <v>37906</v>
      </c>
      <c r="D4" s="17" t="n">
        <v>-10351</v>
      </c>
      <c r="E4" s="17" t="n">
        <v>-36925</v>
      </c>
      <c r="F4" s="17" t="n">
        <v>-56199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Eckes-Granini Danmark A/S (CVR 19982912) — Regnskabs- og nøgletal (CVR: 19982912)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IF(ABS((SUM(B5:B8))-'res_raw_19982912'!$F$6)&lt;=2,SUM(B5:B8),'res_raw_19982912'!$F$6)</f>
        <v/>
      </c>
      <c r="C9" s="27">
        <f>IF(ABS((SUM(C5:C8))-'res_raw_19982912'!$E$6)&lt;=2,SUM(C5:C8),'res_raw_19982912'!$E$6)</f>
        <v/>
      </c>
      <c r="D9" s="27">
        <f>IF(ABS((SUM(D5:D8))-'res_raw_19982912'!$D$6)&lt;=2,SUM(D5:D8),'res_raw_19982912'!$D$6)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IF(ABS((SUM(B9:B12))-'res_raw_19982912'!$F$11)&lt;=2,SUM(B9:B12),'res_raw_19982912'!$F$11)</f>
        <v/>
      </c>
      <c r="C13" s="27">
        <f>IF(ABS((SUM(C9:C12))-'res_raw_19982912'!$E$11)&lt;=2,SUM(C9:C12),'res_raw_19982912'!$E$11)</f>
        <v/>
      </c>
      <c r="D13" s="27">
        <f>IF(ABS((SUM(D9:D12))-'res_raw_19982912'!$D$11)&lt;=2,SUM(D9:D12),'res_raw_19982912'!$D$11)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IF(ABS((SUM(B13:B15))-'res_raw_19982912'!$F$16)&lt;=2,SUM(B13:B15),'res_raw_19982912'!$F$16)</f>
        <v/>
      </c>
      <c r="C16" s="27">
        <f>IF(ABS((SUM(C13:C15))-'res_raw_19982912'!$E$16)&lt;=2,SUM(C13:C15),'res_raw_19982912'!$E$16)</f>
        <v/>
      </c>
      <c r="D16" s="27">
        <f>IF(ABS((SUM(D13:D15))-'res_raw_19982912'!$D$16)&lt;=2,SUM(D13:D15),'res_raw_19982912'!$D$16)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'balance_raw_19982912'!$F$51-'balance_raw_19982912'!$F$35</f>
        <v/>
      </c>
      <c r="C24" s="24">
        <f>'balance_raw_19982912'!$E$51-'balance_raw_19982912'!$E$35</f>
        <v/>
      </c>
      <c r="D24" s="24">
        <f>'balance_raw_19982912'!$D$51-'balance_raw_19982912'!$D$35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'balance_raw_19982912'!$F$49</f>
        <v/>
      </c>
      <c r="C30" s="24">
        <f>'balance_raw_19982912'!$E$49</f>
        <v/>
      </c>
      <c r="D30" s="24">
        <f>'balance_raw_19982912'!$D$49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IF('balance_raw_19982912'!$F$51="","—",IF(ABS(B25-'balance_raw_19982912'!$F$51)&lt;=1,"✓ OK","❌ "&amp;TEXT(B25-'balance_raw_19982912'!$F$51,"+#,##0;-#,##0")&amp;" t.kr."))</f>
        <v/>
      </c>
      <c r="C62" s="29">
        <f>IF('balance_raw_19982912'!$E$51="","—",IF(ABS(C25-'balance_raw_19982912'!$E$51)&lt;=1,"✓ OK","❌ "&amp;TEXT(C25-'balance_raw_19982912'!$E$51,"+#,##0;-#,##0")&amp;" t.kr."))</f>
        <v/>
      </c>
      <c r="D62" s="29">
        <f>IF('balance_raw_19982912'!$D$51="","—",IF(ABS(D25-'balance_raw_19982912'!$D$51)&lt;=1,"✓ OK","❌ "&amp;TEXT(D25-'balance_raw_19982912'!$D$51,"+#,##0;-#,##0")&amp;"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2026-10-02T21:14:38Z</dcterms:created>
  <dcterms:modified xmlns:dcterms="http://purl.org/dc/terms/" xmlns:xsi="http://www.w3.org/2001/XMLSchema-instance" xsi:type="dcterms:W3CDTF">2026-10-02T21:14:38Z</dcterms:modified>
</cp:coreProperties>
</file>