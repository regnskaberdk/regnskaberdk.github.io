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9982912" sheetId="1" state="visible" r:id="rId1"/>
    <sheet xmlns:r="http://schemas.openxmlformats.org/officeDocument/2006/relationships" name="res_raw_19982912" sheetId="2" state="visible" r:id="rId2"/>
    <sheet xmlns:r="http://schemas.openxmlformats.org/officeDocument/2006/relationships" name="balance_raw_19982912" sheetId="3" state="visible" r:id="rId3"/>
    <sheet xmlns:r="http://schemas.openxmlformats.org/officeDocument/2006/relationships" name="pengestrom_raw_19982912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Eckes-Granini Danmark A/S (CVR 19982912)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'res_raw_19982912'!$B$2</f>
        <v/>
      </c>
      <c r="C4" s="5">
        <f>'res_raw_19982912'!$C$2</f>
        <v/>
      </c>
      <c r="D4" s="5">
        <f>'res_raw_19982912'!$D$2</f>
        <v/>
      </c>
      <c r="E4" s="5">
        <f>'res_raw_19982912'!$E$2</f>
        <v/>
      </c>
      <c r="F4" s="5">
        <f>'res_raw_19982912'!$F$2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'res_raw_19982912'!$B$3</f>
        <v/>
      </c>
      <c r="C5" s="8">
        <f>'res_raw_19982912'!$C$3</f>
        <v/>
      </c>
      <c r="D5" s="8">
        <f>'res_raw_19982912'!$D$3</f>
        <v/>
      </c>
      <c r="E5" s="8">
        <f>'res_raw_19982912'!$E$3</f>
        <v/>
      </c>
      <c r="F5" s="8">
        <f>'res_raw_19982912'!$F$3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'res_raw_19982912'!$B$4</f>
        <v/>
      </c>
      <c r="C6" s="5">
        <f>'res_raw_19982912'!$C$4</f>
        <v/>
      </c>
      <c r="D6" s="5">
        <f>'res_raw_19982912'!$D$4</f>
        <v/>
      </c>
      <c r="E6" s="5">
        <f>'res_raw_19982912'!$E$4</f>
        <v/>
      </c>
      <c r="F6" s="5">
        <f>'res_raw_19982912'!$F$4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'res_raw_19982912'!$B$5</f>
        <v/>
      </c>
      <c r="C7" s="8">
        <f>'res_raw_19982912'!$C$5</f>
        <v/>
      </c>
      <c r="D7" s="8">
        <f>'res_raw_19982912'!$D$5</f>
        <v/>
      </c>
      <c r="E7" s="8">
        <f>'res_raw_19982912'!$E$5</f>
        <v/>
      </c>
      <c r="F7" s="8">
        <f>'res_raw_19982912'!$F$5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'res_raw_19982912'!$B$6</f>
        <v/>
      </c>
      <c r="C8" s="11">
        <f>'res_raw_19982912'!$C$6</f>
        <v/>
      </c>
      <c r="D8" s="11">
        <f>'res_raw_19982912'!$D$6</f>
        <v/>
      </c>
      <c r="E8" s="11">
        <f>'res_raw_19982912'!$E$6</f>
        <v/>
      </c>
      <c r="F8" s="11">
        <f>'res_raw_19982912'!$F$6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'res_raw_19982912'!$B$7</f>
        <v/>
      </c>
      <c r="C9" s="8">
        <f>'res_raw_19982912'!$C$7</f>
        <v/>
      </c>
      <c r="D9" s="8">
        <f>'res_raw_19982912'!$D$7</f>
        <v/>
      </c>
      <c r="E9" s="8">
        <f>'res_raw_19982912'!$E$7</f>
        <v/>
      </c>
      <c r="F9" s="8">
        <f>'res_raw_19982912'!$F$7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'res_raw_19982912'!$B$9</f>
        <v/>
      </c>
      <c r="C11" s="8">
        <f>'res_raw_19982912'!$C$9</f>
        <v/>
      </c>
      <c r="D11" s="8">
        <f>'res_raw_19982912'!$D$9</f>
        <v/>
      </c>
      <c r="E11" s="8">
        <f>'res_raw_19982912'!$E$9</f>
        <v/>
      </c>
      <c r="F11" s="8">
        <f>'res_raw_19982912'!$F$9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'res_raw_19982912'!$B$10</f>
        <v/>
      </c>
      <c r="C12" s="5">
        <f>'res_raw_19982912'!$C$10</f>
        <v/>
      </c>
      <c r="D12" s="5">
        <f>'res_raw_19982912'!$D$10</f>
        <v/>
      </c>
      <c r="E12" s="5">
        <f>'res_raw_19982912'!$E$10</f>
        <v/>
      </c>
      <c r="F12" s="5">
        <f>'res_raw_19982912'!$F$10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'res_raw_19982912'!$B$11</f>
        <v/>
      </c>
      <c r="C13" s="11">
        <f>'res_raw_19982912'!$C$11</f>
        <v/>
      </c>
      <c r="D13" s="11">
        <f>'res_raw_19982912'!$D$11</f>
        <v/>
      </c>
      <c r="E13" s="11">
        <f>'res_raw_19982912'!$E$11</f>
        <v/>
      </c>
      <c r="F13" s="11">
        <f>'res_raw_19982912'!$F$11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'res_raw_19982912'!$B$12</f>
        <v/>
      </c>
      <c r="C14" s="5">
        <f>'res_raw_19982912'!$C$12</f>
        <v/>
      </c>
      <c r="D14" s="5">
        <f>'res_raw_19982912'!$D$12</f>
        <v/>
      </c>
      <c r="E14" s="5">
        <f>'res_raw_19982912'!$E$12</f>
        <v/>
      </c>
      <c r="F14" s="5">
        <f>'res_raw_19982912'!$F$12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'res_raw_19982912'!$B$13</f>
        <v/>
      </c>
      <c r="C15" s="8">
        <f>'res_raw_19982912'!$C$13</f>
        <v/>
      </c>
      <c r="D15" s="8">
        <f>'res_raw_19982912'!$D$13</f>
        <v/>
      </c>
      <c r="E15" s="8">
        <f>'res_raw_19982912'!$E$13</f>
        <v/>
      </c>
      <c r="F15" s="8">
        <f>'res_raw_19982912'!$F$13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'res_raw_19982912'!$B$14</f>
        <v/>
      </c>
      <c r="C16" s="5">
        <f>'res_raw_19982912'!$C$14</f>
        <v/>
      </c>
      <c r="D16" s="5">
        <f>'res_raw_19982912'!$D$14</f>
        <v/>
      </c>
      <c r="E16" s="5">
        <f>'res_raw_19982912'!$E$14</f>
        <v/>
      </c>
      <c r="F16" s="5">
        <f>'res_raw_19982912'!$F$14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'res_raw_19982912'!$B$15</f>
        <v/>
      </c>
      <c r="C17" s="11">
        <f>'res_raw_19982912'!$C$15</f>
        <v/>
      </c>
      <c r="D17" s="11">
        <f>'res_raw_19982912'!$D$15</f>
        <v/>
      </c>
      <c r="E17" s="11">
        <f>'res_raw_19982912'!$E$15</f>
        <v/>
      </c>
      <c r="F17" s="11">
        <f>'res_raw_19982912'!$F$15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'res_raw_19982912'!$B$16</f>
        <v/>
      </c>
      <c r="C18" s="11">
        <f>'res_raw_19982912'!$C$16</f>
        <v/>
      </c>
      <c r="D18" s="11">
        <f>'res_raw_19982912'!$D$16</f>
        <v/>
      </c>
      <c r="E18" s="11">
        <f>'res_raw_19982912'!$E$16</f>
        <v/>
      </c>
      <c r="F18" s="11">
        <f>'res_raw_19982912'!$F$16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'res_raw_19982912'!$B$17</f>
        <v/>
      </c>
      <c r="C19" s="8">
        <f>'res_raw_19982912'!$C$17</f>
        <v/>
      </c>
      <c r="D19" s="8">
        <f>'res_raw_19982912'!$D$17</f>
        <v/>
      </c>
      <c r="E19" s="8">
        <f>'res_raw_19982912'!$E$17</f>
        <v/>
      </c>
      <c r="F19" s="8">
        <f>'res_raw_19982912'!$F$17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'res_raw_19982912'!$B$18</f>
        <v/>
      </c>
      <c r="C20" s="11">
        <f>'res_raw_19982912'!$C$18</f>
        <v/>
      </c>
      <c r="D20" s="11">
        <f>'res_raw_19982912'!$D$18</f>
        <v/>
      </c>
      <c r="E20" s="11">
        <f>'res_raw_19982912'!$E$18</f>
        <v/>
      </c>
      <c r="F20" s="11">
        <f>'res_raw_19982912'!$F$18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'balance_raw_19982912'!$B$2</f>
        <v/>
      </c>
      <c r="C23" s="8">
        <f>'balance_raw_19982912'!$C$2</f>
        <v/>
      </c>
      <c r="D23" s="8">
        <f>'balance_raw_19982912'!$D$2</f>
        <v/>
      </c>
      <c r="E23" s="8">
        <f>'balance_raw_19982912'!$E$2</f>
        <v/>
      </c>
      <c r="F23" s="8">
        <f>'balance_raw_19982912'!$F$2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'balance_raw_19982912'!$B$3</f>
        <v/>
      </c>
      <c r="C24" s="5">
        <f>'balance_raw_19982912'!$C$3</f>
        <v/>
      </c>
      <c r="D24" s="5">
        <f>'balance_raw_19982912'!$D$3</f>
        <v/>
      </c>
      <c r="E24" s="5">
        <f>'balance_raw_19982912'!$E$3</f>
        <v/>
      </c>
      <c r="F24" s="5">
        <f>'balance_raw_19982912'!$F$3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'balance_raw_19982912'!$B$4</f>
        <v/>
      </c>
      <c r="C25" s="8">
        <f>'balance_raw_19982912'!$C$4</f>
        <v/>
      </c>
      <c r="D25" s="8">
        <f>'balance_raw_19982912'!$D$4</f>
        <v/>
      </c>
      <c r="E25" s="8">
        <f>'balance_raw_19982912'!$E$4</f>
        <v/>
      </c>
      <c r="F25" s="8">
        <f>'balance_raw_19982912'!$F$4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'balance_raw_19982912'!$B$5</f>
        <v/>
      </c>
      <c r="C26" s="11">
        <f>'balance_raw_19982912'!$C$5</f>
        <v/>
      </c>
      <c r="D26" s="11">
        <f>'balance_raw_19982912'!$D$5</f>
        <v/>
      </c>
      <c r="E26" s="11">
        <f>'balance_raw_19982912'!$E$5</f>
        <v/>
      </c>
      <c r="F26" s="11">
        <f>'balance_raw_19982912'!$F$5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'balance_raw_19982912'!$B$6</f>
        <v/>
      </c>
      <c r="C27" s="8">
        <f>'balance_raw_19982912'!$C$6</f>
        <v/>
      </c>
      <c r="D27" s="8">
        <f>'balance_raw_19982912'!$D$6</f>
        <v/>
      </c>
      <c r="E27" s="8">
        <f>'balance_raw_19982912'!$E$6</f>
        <v/>
      </c>
      <c r="F27" s="8">
        <f>'balance_raw_19982912'!$F$6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'balance_raw_19982912'!$B$7</f>
        <v/>
      </c>
      <c r="C28" s="5">
        <f>'balance_raw_19982912'!$C$7</f>
        <v/>
      </c>
      <c r="D28" s="5">
        <f>'balance_raw_19982912'!$D$7</f>
        <v/>
      </c>
      <c r="E28" s="5">
        <f>'balance_raw_19982912'!$E$7</f>
        <v/>
      </c>
      <c r="F28" s="5">
        <f>'balance_raw_19982912'!$F$7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'balance_raw_19982912'!$B$8</f>
        <v/>
      </c>
      <c r="C29" s="8">
        <f>'balance_raw_19982912'!$C$8</f>
        <v/>
      </c>
      <c r="D29" s="8">
        <f>'balance_raw_19982912'!$D$8</f>
        <v/>
      </c>
      <c r="E29" s="8">
        <f>'balance_raw_19982912'!$E$8</f>
        <v/>
      </c>
      <c r="F29" s="8">
        <f>'balance_raw_19982912'!$F$8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'balance_raw_19982912'!$B$9</f>
        <v/>
      </c>
      <c r="C30" s="5">
        <f>'balance_raw_19982912'!$C$9</f>
        <v/>
      </c>
      <c r="D30" s="5">
        <f>'balance_raw_19982912'!$D$9</f>
        <v/>
      </c>
      <c r="E30" s="5">
        <f>'balance_raw_19982912'!$E$9</f>
        <v/>
      </c>
      <c r="F30" s="5">
        <f>'balance_raw_19982912'!$F$9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'balance_raw_19982912'!$B$10</f>
        <v/>
      </c>
      <c r="C31" s="8">
        <f>'balance_raw_19982912'!$C$10</f>
        <v/>
      </c>
      <c r="D31" s="8">
        <f>'balance_raw_19982912'!$D$10</f>
        <v/>
      </c>
      <c r="E31" s="8">
        <f>'balance_raw_19982912'!$E$10</f>
        <v/>
      </c>
      <c r="F31" s="8">
        <f>'balance_raw_19982912'!$F$10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'balance_raw_19982912'!$B$11</f>
        <v/>
      </c>
      <c r="C32" s="11">
        <f>'balance_raw_19982912'!$C$11</f>
        <v/>
      </c>
      <c r="D32" s="11">
        <f>'balance_raw_19982912'!$D$11</f>
        <v/>
      </c>
      <c r="E32" s="11">
        <f>'balance_raw_19982912'!$E$11</f>
        <v/>
      </c>
      <c r="F32" s="11">
        <f>'balance_raw_19982912'!$F$11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'balance_raw_19982912'!$B$12</f>
        <v/>
      </c>
      <c r="C33" s="11">
        <f>'balance_raw_19982912'!$C$12</f>
        <v/>
      </c>
      <c r="D33" s="11">
        <f>'balance_raw_19982912'!$D$12</f>
        <v/>
      </c>
      <c r="E33" s="11">
        <f>'balance_raw_19982912'!$E$12</f>
        <v/>
      </c>
      <c r="F33" s="11">
        <f>'balance_raw_19982912'!$F$12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'balance_raw_19982912'!$B$13</f>
        <v/>
      </c>
      <c r="C34" s="5">
        <f>'balance_raw_19982912'!$C$13</f>
        <v/>
      </c>
      <c r="D34" s="5">
        <f>'balance_raw_19982912'!$D$13</f>
        <v/>
      </c>
      <c r="E34" s="5">
        <f>'balance_raw_19982912'!$E$13</f>
        <v/>
      </c>
      <c r="F34" s="5">
        <f>'balance_raw_19982912'!$F$13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'balance_raw_19982912'!$B$14</f>
        <v/>
      </c>
      <c r="C35" s="8">
        <f>'balance_raw_19982912'!$C$14</f>
        <v/>
      </c>
      <c r="D35" s="8">
        <f>'balance_raw_19982912'!$D$14</f>
        <v/>
      </c>
      <c r="E35" s="8">
        <f>'balance_raw_19982912'!$E$14</f>
        <v/>
      </c>
      <c r="F35" s="8">
        <f>'balance_raw_19982912'!$F$14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'balance_raw_19982912'!$B$15</f>
        <v/>
      </c>
      <c r="C36" s="5">
        <f>'balance_raw_19982912'!$C$15</f>
        <v/>
      </c>
      <c r="D36" s="5">
        <f>'balance_raw_19982912'!$D$15</f>
        <v/>
      </c>
      <c r="E36" s="5">
        <f>'balance_raw_19982912'!$E$15</f>
        <v/>
      </c>
      <c r="F36" s="5">
        <f>'balance_raw_19982912'!$F$15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'balance_raw_19982912'!$B$16</f>
        <v/>
      </c>
      <c r="C37" s="11">
        <f>'balance_raw_19982912'!$C$16</f>
        <v/>
      </c>
      <c r="D37" s="11">
        <f>'balance_raw_19982912'!$D$16</f>
        <v/>
      </c>
      <c r="E37" s="11">
        <f>'balance_raw_19982912'!$E$16</f>
        <v/>
      </c>
      <c r="F37" s="11">
        <f>'balance_raw_19982912'!$F$16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'balance_raw_19982912'!$B$17</f>
        <v/>
      </c>
      <c r="C38" s="5">
        <f>'balance_raw_19982912'!$C$17</f>
        <v/>
      </c>
      <c r="D38" s="5">
        <f>'balance_raw_19982912'!$D$17</f>
        <v/>
      </c>
      <c r="E38" s="5">
        <f>'balance_raw_19982912'!$E$17</f>
        <v/>
      </c>
      <c r="F38" s="5">
        <f>'balance_raw_19982912'!$F$17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'balance_raw_19982912'!$B$18</f>
        <v/>
      </c>
      <c r="C39" s="8">
        <f>'balance_raw_19982912'!$C$18</f>
        <v/>
      </c>
      <c r="D39" s="8">
        <f>'balance_raw_19982912'!$D$18</f>
        <v/>
      </c>
      <c r="E39" s="8">
        <f>'balance_raw_19982912'!$E$18</f>
        <v/>
      </c>
      <c r="F39" s="8">
        <f>'balance_raw_19982912'!$F$18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'balance_raw_19982912'!$B$19</f>
        <v/>
      </c>
      <c r="C40" s="5">
        <f>'balance_raw_19982912'!$C$19</f>
        <v/>
      </c>
      <c r="D40" s="5">
        <f>'balance_raw_19982912'!$D$19</f>
        <v/>
      </c>
      <c r="E40" s="5">
        <f>'balance_raw_19982912'!$E$19</f>
        <v/>
      </c>
      <c r="F40" s="5">
        <f>'balance_raw_19982912'!$F$19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'balance_raw_19982912'!$B$20</f>
        <v/>
      </c>
      <c r="C41" s="8">
        <f>'balance_raw_19982912'!$C$20</f>
        <v/>
      </c>
      <c r="D41" s="8">
        <f>'balance_raw_19982912'!$D$20</f>
        <v/>
      </c>
      <c r="E41" s="8">
        <f>'balance_raw_19982912'!$E$20</f>
        <v/>
      </c>
      <c r="F41" s="8">
        <f>'balance_raw_19982912'!$F$20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'balance_raw_19982912'!$B$21</f>
        <v/>
      </c>
      <c r="C42" s="5">
        <f>'balance_raw_19982912'!$C$21</f>
        <v/>
      </c>
      <c r="D42" s="5">
        <f>'balance_raw_19982912'!$D$21</f>
        <v/>
      </c>
      <c r="E42" s="5">
        <f>'balance_raw_19982912'!$E$21</f>
        <v/>
      </c>
      <c r="F42" s="5">
        <f>'balance_raw_19982912'!$F$21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'balance_raw_19982912'!$B$22</f>
        <v/>
      </c>
      <c r="C43" s="8">
        <f>'balance_raw_19982912'!$C$22</f>
        <v/>
      </c>
      <c r="D43" s="8">
        <f>'balance_raw_19982912'!$D$22</f>
        <v/>
      </c>
      <c r="E43" s="8">
        <f>'balance_raw_19982912'!$E$22</f>
        <v/>
      </c>
      <c r="F43" s="8">
        <f>'balance_raw_19982912'!$F$22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'balance_raw_19982912'!$B$23</f>
        <v/>
      </c>
      <c r="C44" s="5">
        <f>'balance_raw_19982912'!$C$23</f>
        <v/>
      </c>
      <c r="D44" s="5">
        <f>'balance_raw_19982912'!$D$23</f>
        <v/>
      </c>
      <c r="E44" s="5">
        <f>'balance_raw_19982912'!$E$23</f>
        <v/>
      </c>
      <c r="F44" s="5">
        <f>'balance_raw_19982912'!$F$23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'balance_raw_19982912'!$B$24</f>
        <v/>
      </c>
      <c r="C45" s="11">
        <f>'balance_raw_19982912'!$C$24</f>
        <v/>
      </c>
      <c r="D45" s="11">
        <f>'balance_raw_19982912'!$D$24</f>
        <v/>
      </c>
      <c r="E45" s="11">
        <f>'balance_raw_19982912'!$E$24</f>
        <v/>
      </c>
      <c r="F45" s="11">
        <f>'balance_raw_19982912'!$F$24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'balance_raw_19982912'!$B$25</f>
        <v/>
      </c>
      <c r="C46" s="5">
        <f>'balance_raw_19982912'!$C$25</f>
        <v/>
      </c>
      <c r="D46" s="5">
        <f>'balance_raw_19982912'!$D$25</f>
        <v/>
      </c>
      <c r="E46" s="5">
        <f>'balance_raw_19982912'!$E$25</f>
        <v/>
      </c>
      <c r="F46" s="5">
        <f>'balance_raw_19982912'!$F$25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'balance_raw_19982912'!$B$26</f>
        <v/>
      </c>
      <c r="C47" s="8">
        <f>'balance_raw_19982912'!$C$26</f>
        <v/>
      </c>
      <c r="D47" s="8">
        <f>'balance_raw_19982912'!$D$26</f>
        <v/>
      </c>
      <c r="E47" s="8">
        <f>'balance_raw_19982912'!$E$26</f>
        <v/>
      </c>
      <c r="F47" s="8">
        <f>'balance_raw_19982912'!$F$26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'balance_raw_19982912'!$B$27</f>
        <v/>
      </c>
      <c r="C48" s="11">
        <f>'balance_raw_19982912'!$C$27</f>
        <v/>
      </c>
      <c r="D48" s="11">
        <f>'balance_raw_19982912'!$D$27</f>
        <v/>
      </c>
      <c r="E48" s="11">
        <f>'balance_raw_19982912'!$E$27</f>
        <v/>
      </c>
      <c r="F48" s="11">
        <f>'balance_raw_19982912'!$F$27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'balance_raw_19982912'!$B$28</f>
        <v/>
      </c>
      <c r="C49" s="11">
        <f>'balance_raw_19982912'!$C$28</f>
        <v/>
      </c>
      <c r="D49" s="11">
        <f>'balance_raw_19982912'!$D$28</f>
        <v/>
      </c>
      <c r="E49" s="11">
        <f>'balance_raw_19982912'!$E$28</f>
        <v/>
      </c>
      <c r="F49" s="11">
        <f>'balance_raw_19982912'!$F$28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'balance_raw_19982912'!$B$29</f>
        <v/>
      </c>
      <c r="C52" s="5">
        <f>'balance_raw_19982912'!$C$29</f>
        <v/>
      </c>
      <c r="D52" s="5">
        <f>'balance_raw_19982912'!$D$29</f>
        <v/>
      </c>
      <c r="E52" s="5">
        <f>'balance_raw_19982912'!$E$29</f>
        <v/>
      </c>
      <c r="F52" s="5">
        <f>'balance_raw_19982912'!$F$29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'balance_raw_19982912'!$B$30</f>
        <v/>
      </c>
      <c r="C53" s="8">
        <f>'balance_raw_19982912'!$C$30</f>
        <v/>
      </c>
      <c r="D53" s="8">
        <f>'balance_raw_19982912'!$D$30</f>
        <v/>
      </c>
      <c r="E53" s="8">
        <f>'balance_raw_19982912'!$E$30</f>
        <v/>
      </c>
      <c r="F53" s="8">
        <f>'balance_raw_19982912'!$F$30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'balance_raw_19982912'!$B$31</f>
        <v/>
      </c>
      <c r="C54" s="5">
        <f>'balance_raw_19982912'!$C$31</f>
        <v/>
      </c>
      <c r="D54" s="5">
        <f>'balance_raw_19982912'!$D$31</f>
        <v/>
      </c>
      <c r="E54" s="5">
        <f>'balance_raw_19982912'!$E$31</f>
        <v/>
      </c>
      <c r="F54" s="5">
        <f>'balance_raw_19982912'!$F$31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'balance_raw_19982912'!$B$32</f>
        <v/>
      </c>
      <c r="C55" s="8">
        <f>'balance_raw_19982912'!$C$32</f>
        <v/>
      </c>
      <c r="D55" s="8">
        <f>'balance_raw_19982912'!$D$32</f>
        <v/>
      </c>
      <c r="E55" s="8">
        <f>'balance_raw_19982912'!$E$32</f>
        <v/>
      </c>
      <c r="F55" s="8">
        <f>'balance_raw_19982912'!$F$32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'balance_raw_19982912'!$B$33</f>
        <v/>
      </c>
      <c r="C56" s="5">
        <f>'balance_raw_19982912'!$C$33</f>
        <v/>
      </c>
      <c r="D56" s="5">
        <f>'balance_raw_19982912'!$D$33</f>
        <v/>
      </c>
      <c r="E56" s="5">
        <f>'balance_raw_19982912'!$E$33</f>
        <v/>
      </c>
      <c r="F56" s="5">
        <f>'balance_raw_19982912'!$F$33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'balance_raw_19982912'!$B$34</f>
        <v/>
      </c>
      <c r="C57" s="8">
        <f>'balance_raw_19982912'!$C$34</f>
        <v/>
      </c>
      <c r="D57" s="8">
        <f>'balance_raw_19982912'!$D$34</f>
        <v/>
      </c>
      <c r="E57" s="8">
        <f>'balance_raw_19982912'!$E$34</f>
        <v/>
      </c>
      <c r="F57" s="8">
        <f>'balance_raw_19982912'!$F$34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'balance_raw_19982912'!$B$35</f>
        <v/>
      </c>
      <c r="C58" s="11">
        <f>'balance_raw_19982912'!$C$35</f>
        <v/>
      </c>
      <c r="D58" s="11">
        <f>'balance_raw_19982912'!$D$35</f>
        <v/>
      </c>
      <c r="E58" s="11">
        <f>'balance_raw_19982912'!$E$35</f>
        <v/>
      </c>
      <c r="F58" s="11">
        <f>'balance_raw_19982912'!$F$35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'balance_raw_19982912'!$B$36</f>
        <v/>
      </c>
      <c r="C59" s="8">
        <f>'balance_raw_19982912'!$C$36</f>
        <v/>
      </c>
      <c r="D59" s="8">
        <f>'balance_raw_19982912'!$D$36</f>
        <v/>
      </c>
      <c r="E59" s="8">
        <f>'balance_raw_19982912'!$E$36</f>
        <v/>
      </c>
      <c r="F59" s="8">
        <f>'balance_raw_19982912'!$F$36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'balance_raw_19982912'!$B$37</f>
        <v/>
      </c>
      <c r="C60" s="11">
        <f>'balance_raw_19982912'!$C$37</f>
        <v/>
      </c>
      <c r="D60" s="11">
        <f>'balance_raw_19982912'!$D$37</f>
        <v/>
      </c>
      <c r="E60" s="11">
        <f>'balance_raw_19982912'!$E$37</f>
        <v/>
      </c>
      <c r="F60" s="11">
        <f>'balance_raw_19982912'!$F$37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'balance_raw_19982912'!$B$38</f>
        <v/>
      </c>
      <c r="C61" s="8">
        <f>'balance_raw_19982912'!$C$38</f>
        <v/>
      </c>
      <c r="D61" s="8">
        <f>'balance_raw_19982912'!$D$38</f>
        <v/>
      </c>
      <c r="E61" s="8">
        <f>'balance_raw_19982912'!$E$38</f>
        <v/>
      </c>
      <c r="F61" s="8">
        <f>'balance_raw_19982912'!$F$38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'balance_raw_19982912'!$B$39</f>
        <v/>
      </c>
      <c r="C62" s="5">
        <f>'balance_raw_19982912'!$C$39</f>
        <v/>
      </c>
      <c r="D62" s="5">
        <f>'balance_raw_19982912'!$D$39</f>
        <v/>
      </c>
      <c r="E62" s="5">
        <f>'balance_raw_19982912'!$E$39</f>
        <v/>
      </c>
      <c r="F62" s="5">
        <f>'balance_raw_19982912'!$F$39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'balance_raw_19982912'!$B$40</f>
        <v/>
      </c>
      <c r="C63" s="8">
        <f>'balance_raw_19982912'!$C$40</f>
        <v/>
      </c>
      <c r="D63" s="8">
        <f>'balance_raw_19982912'!$D$40</f>
        <v/>
      </c>
      <c r="E63" s="8">
        <f>'balance_raw_19982912'!$E$40</f>
        <v/>
      </c>
      <c r="F63" s="8">
        <f>'balance_raw_19982912'!$F$40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'balance_raw_19982912'!$B$41</f>
        <v/>
      </c>
      <c r="C64" s="5">
        <f>'balance_raw_19982912'!$C$41</f>
        <v/>
      </c>
      <c r="D64" s="5">
        <f>'balance_raw_19982912'!$D$41</f>
        <v/>
      </c>
      <c r="E64" s="5">
        <f>'balance_raw_19982912'!$E$41</f>
        <v/>
      </c>
      <c r="F64" s="5">
        <f>'balance_raw_19982912'!$F$41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'balance_raw_19982912'!$B$42</f>
        <v/>
      </c>
      <c r="C65" s="8">
        <f>'balance_raw_19982912'!$C$42</f>
        <v/>
      </c>
      <c r="D65" s="8">
        <f>'balance_raw_19982912'!$D$42</f>
        <v/>
      </c>
      <c r="E65" s="8">
        <f>'balance_raw_19982912'!$E$42</f>
        <v/>
      </c>
      <c r="F65" s="8">
        <f>'balance_raw_19982912'!$F$42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'balance_raw_19982912'!$B$43</f>
        <v/>
      </c>
      <c r="C66" s="5">
        <f>'balance_raw_19982912'!$C$43</f>
        <v/>
      </c>
      <c r="D66" s="5">
        <f>'balance_raw_19982912'!$D$43</f>
        <v/>
      </c>
      <c r="E66" s="5">
        <f>'balance_raw_19982912'!$E$43</f>
        <v/>
      </c>
      <c r="F66" s="5">
        <f>'balance_raw_19982912'!$F$43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'balance_raw_19982912'!$B$44</f>
        <v/>
      </c>
      <c r="C67" s="8">
        <f>'balance_raw_19982912'!$C$44</f>
        <v/>
      </c>
      <c r="D67" s="8">
        <f>'balance_raw_19982912'!$D$44</f>
        <v/>
      </c>
      <c r="E67" s="8">
        <f>'balance_raw_19982912'!$E$44</f>
        <v/>
      </c>
      <c r="F67" s="8">
        <f>'balance_raw_19982912'!$F$44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'balance_raw_19982912'!$B$45</f>
        <v/>
      </c>
      <c r="C68" s="5">
        <f>'balance_raw_19982912'!$C$45</f>
        <v/>
      </c>
      <c r="D68" s="5">
        <f>'balance_raw_19982912'!$D$45</f>
        <v/>
      </c>
      <c r="E68" s="5">
        <f>'balance_raw_19982912'!$E$45</f>
        <v/>
      </c>
      <c r="F68" s="5">
        <f>'balance_raw_19982912'!$F$45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'balance_raw_19982912'!$B$46</f>
        <v/>
      </c>
      <c r="C69" s="8">
        <f>'balance_raw_19982912'!$C$46</f>
        <v/>
      </c>
      <c r="D69" s="8">
        <f>'balance_raw_19982912'!$D$46</f>
        <v/>
      </c>
      <c r="E69" s="8">
        <f>'balance_raw_19982912'!$E$46</f>
        <v/>
      </c>
      <c r="F69" s="8">
        <f>'balance_raw_19982912'!$F$46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'balance_raw_19982912'!$B$47</f>
        <v/>
      </c>
      <c r="C70" s="5">
        <f>'balance_raw_19982912'!$C$47</f>
        <v/>
      </c>
      <c r="D70" s="5">
        <f>'balance_raw_19982912'!$D$47</f>
        <v/>
      </c>
      <c r="E70" s="5">
        <f>'balance_raw_19982912'!$E$47</f>
        <v/>
      </c>
      <c r="F70" s="5">
        <f>'balance_raw_19982912'!$F$47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'balance_raw_19982912'!$B$48</f>
        <v/>
      </c>
      <c r="C71" s="8">
        <f>'balance_raw_19982912'!$C$48</f>
        <v/>
      </c>
      <c r="D71" s="8">
        <f>'balance_raw_19982912'!$D$48</f>
        <v/>
      </c>
      <c r="E71" s="8">
        <f>'balance_raw_19982912'!$E$48</f>
        <v/>
      </c>
      <c r="F71" s="8">
        <f>'balance_raw_19982912'!$F$48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'balance_raw_19982912'!$B$49</f>
        <v/>
      </c>
      <c r="C72" s="11">
        <f>'balance_raw_19982912'!$C$49</f>
        <v/>
      </c>
      <c r="D72" s="11">
        <f>'balance_raw_19982912'!$D$49</f>
        <v/>
      </c>
      <c r="E72" s="11">
        <f>'balance_raw_19982912'!$E$49</f>
        <v/>
      </c>
      <c r="F72" s="11">
        <f>'balance_raw_19982912'!$F$49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'balance_raw_19982912'!$B$50</f>
        <v/>
      </c>
      <c r="C73" s="11">
        <f>'balance_raw_19982912'!$C$50</f>
        <v/>
      </c>
      <c r="D73" s="11">
        <f>'balance_raw_19982912'!$D$50</f>
        <v/>
      </c>
      <c r="E73" s="11">
        <f>'balance_raw_19982912'!$E$50</f>
        <v/>
      </c>
      <c r="F73" s="11">
        <f>'balance_raw_19982912'!$F$50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'balance_raw_19982912'!$B$51</f>
        <v/>
      </c>
      <c r="C74" s="11">
        <f>'balance_raw_19982912'!$C$51</f>
        <v/>
      </c>
      <c r="D74" s="11">
        <f>'balance_raw_19982912'!$D$51</f>
        <v/>
      </c>
      <c r="E74" s="11">
        <f>'balance_raw_19982912'!$E$51</f>
        <v/>
      </c>
      <c r="F74" s="11">
        <f>'balance_raw_19982912'!$F$51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'res_raw_19982912'!$B$19</f>
        <v/>
      </c>
      <c r="C77" s="8">
        <f>'res_raw_19982912'!$C$19</f>
        <v/>
      </c>
      <c r="D77" s="8">
        <f>'res_raw_19982912'!$D$19</f>
        <v/>
      </c>
      <c r="E77" s="8">
        <f>'res_raw_19982912'!$E$19</f>
        <v/>
      </c>
      <c r="F77" s="8">
        <f>'res_raw_19982912'!$F$19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'res_raw_19982912'!$B$20</f>
        <v/>
      </c>
      <c r="C78" s="5">
        <f>'res_raw_19982912'!$C$20</f>
        <v/>
      </c>
      <c r="D78" s="5">
        <f>'res_raw_19982912'!$D$20</f>
        <v/>
      </c>
      <c r="E78" s="5">
        <f>'res_raw_19982912'!$E$20</f>
        <v/>
      </c>
      <c r="F78" s="5">
        <f>'res_raw_19982912'!$F$20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'pengestrom_raw_19982912'!$B$2</f>
        <v/>
      </c>
      <c r="C94" s="17">
        <f>'pengestrom_raw_19982912'!$C$2</f>
        <v/>
      </c>
      <c r="D94" s="17">
        <f>'pengestrom_raw_19982912'!$D$2</f>
        <v/>
      </c>
      <c r="E94" s="17">
        <f>'pengestrom_raw_19982912'!$E$2</f>
        <v/>
      </c>
      <c r="F94" s="17">
        <f>'pengestrom_raw_19982912'!$F$2</f>
        <v/>
      </c>
    </row>
    <row r="95">
      <c r="A95" s="16" t="inlineStr">
        <is>
          <t>Pengestrømme fra investeringsaktivitet</t>
        </is>
      </c>
      <c r="B95" s="17">
        <f>'pengestrom_raw_19982912'!$B$3</f>
        <v/>
      </c>
      <c r="C95" s="17">
        <f>'pengestrom_raw_19982912'!$C$3</f>
        <v/>
      </c>
      <c r="D95" s="17">
        <f>'pengestrom_raw_19982912'!$D$3</f>
        <v/>
      </c>
      <c r="E95" s="17">
        <f>'pengestrom_raw_19982912'!$E$3</f>
        <v/>
      </c>
      <c r="F95" s="17">
        <f>'pengestrom_raw_19982912'!$F$3</f>
        <v/>
      </c>
    </row>
    <row r="96">
      <c r="A96" s="16" t="inlineStr">
        <is>
          <t>Pengestrømme fra finansieringsaktivitet</t>
        </is>
      </c>
      <c r="B96" s="17">
        <f>'pengestrom_raw_19982912'!$B$4</f>
        <v/>
      </c>
      <c r="C96" s="17">
        <f>'pengestrom_raw_19982912'!$C$4</f>
        <v/>
      </c>
      <c r="D96" s="17">
        <f>'pengestrom_raw_19982912'!$D$4</f>
        <v/>
      </c>
      <c r="E96" s="17">
        <f>'pengestrom_raw_19982912'!$E$4</f>
        <v/>
      </c>
      <c r="F96" s="17">
        <f>'pengestrom_raw_19982912'!$F$4</f>
        <v/>
      </c>
    </row>
    <row r="97">
      <c r="A97" s="16" t="inlineStr">
        <is>
          <t>Årets pengestrøm (rapporteret)</t>
        </is>
      </c>
      <c r="B97" s="17">
        <f>'pengestrom_raw_19982912'!$B$5</f>
        <v/>
      </c>
      <c r="C97" s="17">
        <f>'pengestrom_raw_19982912'!$C$5</f>
        <v/>
      </c>
      <c r="D97" s="17">
        <f>'pengestrom_raw_19982912'!$D$5</f>
        <v/>
      </c>
      <c r="E97" s="17">
        <f>'pengestrom_raw_19982912'!$E$5</f>
        <v/>
      </c>
      <c r="F97" s="17">
        <f>'pengestrom_raw_19982912'!$F$5</f>
        <v/>
      </c>
    </row>
    <row r="98">
      <c r="A98" s="16" t="inlineStr">
        <is>
          <t>Krydstjek: drift + inv. + fin. = årets pengestrøm</t>
        </is>
      </c>
      <c r="B98">
        <f>IF(ABS(('pengestrom_raw_19982912'!$B$2+'pengestrom_raw_19982912'!$B$3+'pengestrom_raw_19982912'!$B$4)-'pengestrom_raw_19982912'!$B$5)&lt;=2,"✓","⚠ "&amp;TEXT(('pengestrom_raw_19982912'!$B$2+'pengestrom_raw_19982912'!$B$3+'pengestrom_raw_19982912'!$B$4)-'pengestrom_raw_19982912'!$B$5,"+#,##0;-#,##0"))</f>
        <v/>
      </c>
      <c r="C98">
        <f>IF(ABS(('pengestrom_raw_19982912'!$C$2+'pengestrom_raw_19982912'!$C$3+'pengestrom_raw_19982912'!$C$4)-'pengestrom_raw_19982912'!$C$5)&lt;=2,"✓","⚠ "&amp;TEXT(('pengestrom_raw_19982912'!$C$2+'pengestrom_raw_19982912'!$C$3+'pengestrom_raw_19982912'!$C$4)-'pengestrom_raw_19982912'!$C$5,"+#,##0;-#,##0"))</f>
        <v/>
      </c>
      <c r="D98">
        <f>IF(ABS(('pengestrom_raw_19982912'!$D$2+'pengestrom_raw_19982912'!$D$3+'pengestrom_raw_19982912'!$D$4)-'pengestrom_raw_19982912'!$D$5)&lt;=2,"✓","⚠ "&amp;TEXT(('pengestrom_raw_19982912'!$D$2+'pengestrom_raw_19982912'!$D$3+'pengestrom_raw_19982912'!$D$4)-'pengestrom_raw_19982912'!$D$5,"+#,##0;-#,##0"))</f>
        <v/>
      </c>
      <c r="E98">
        <f>IF(ABS(('pengestrom_raw_19982912'!$E$2+'pengestrom_raw_19982912'!$E$3+'pengestrom_raw_19982912'!$E$4)-'pengestrom_raw_19982912'!$E$5)&lt;=2,"✓","⚠ "&amp;TEXT(('pengestrom_raw_19982912'!$E$2+'pengestrom_raw_19982912'!$E$3+'pengestrom_raw_19982912'!$E$4)-'pengestrom_raw_19982912'!$E$5,"+#,##0;-#,##0"))</f>
        <v/>
      </c>
      <c r="F98">
        <f>IF(ABS(('pengestrom_raw_19982912'!$F$2+'pengestrom_raw_19982912'!$F$3+'pengestrom_raw_19982912'!$F$4)-'pengestrom_raw_19982912'!$F$5)&lt;=2,"✓","⚠ "&amp;TEXT(('pengestrom_raw_19982912'!$F$2+'pengestrom_raw_19982912'!$F$3+'pengestrom_raw_19982912'!$F$4)-'pengestrom_raw_19982912'!$F$5,"+#,##0;-#,##0"))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913041</v>
      </c>
      <c r="C2" s="17" t="n">
        <v>977892</v>
      </c>
      <c r="D2" s="17" t="n">
        <v>1026053</v>
      </c>
      <c r="E2" s="17" t="n">
        <v>1132379</v>
      </c>
      <c r="F2" s="17" t="n">
        <v>1111896</v>
      </c>
    </row>
    <row r="3">
      <c r="A3" s="16" t="inlineStr">
        <is>
          <t>Andre driftsindtægter</t>
        </is>
      </c>
      <c r="B3" s="17" t="n">
        <v>20017</v>
      </c>
      <c r="C3" s="17" t="n">
        <v>26642</v>
      </c>
      <c r="D3" s="17" t="n">
        <v>22140</v>
      </c>
      <c r="E3" s="17" t="n">
        <v>19298</v>
      </c>
      <c r="F3" s="17" t="n">
        <v>21980</v>
      </c>
    </row>
    <row r="4">
      <c r="A4" s="16" t="inlineStr">
        <is>
          <t>Vareforbrug</t>
        </is>
      </c>
      <c r="B4" s="17" t="n">
        <v>528325</v>
      </c>
      <c r="C4" s="17" t="n">
        <v>589891</v>
      </c>
      <c r="D4" s="17" t="n">
        <v>625263</v>
      </c>
      <c r="E4" s="17" t="n">
        <v>719829</v>
      </c>
      <c r="F4" s="17" t="n">
        <v>681325</v>
      </c>
    </row>
    <row r="5">
      <c r="A5" s="16" t="inlineStr">
        <is>
          <t>Andre eksterne omkostninger</t>
        </is>
      </c>
      <c r="B5" s="17" t="n">
        <v>207219</v>
      </c>
      <c r="C5" s="17" t="n">
        <v>229677</v>
      </c>
      <c r="D5" s="17" t="n">
        <v>215016</v>
      </c>
      <c r="E5" s="17" t="n">
        <v>231008</v>
      </c>
      <c r="F5" s="17" t="n">
        <v>253505</v>
      </c>
    </row>
    <row r="6">
      <c r="A6" s="15" t="inlineStr">
        <is>
          <t>Bruttoresultat</t>
        </is>
      </c>
      <c r="B6" s="17" t="n">
        <v>197514</v>
      </c>
      <c r="C6" s="17" t="n">
        <v>184966</v>
      </c>
      <c r="D6" s="17" t="n">
        <v>207914</v>
      </c>
      <c r="E6" s="17" t="n">
        <v>200840</v>
      </c>
      <c r="F6" s="17" t="n">
        <v>199046</v>
      </c>
    </row>
    <row r="7">
      <c r="A7" s="16" t="inlineStr">
        <is>
          <t>Personaleomkostninger</t>
        </is>
      </c>
      <c r="B7" s="17" t="n">
        <v>128902</v>
      </c>
      <c r="C7" s="17" t="n">
        <v>138343</v>
      </c>
      <c r="D7" s="17" t="n">
        <v>139853</v>
      </c>
      <c r="E7" s="17" t="n">
        <v>139836</v>
      </c>
      <c r="F7" s="17" t="n">
        <v>137052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52299</v>
      </c>
      <c r="C9" s="17" t="n">
        <v>56235</v>
      </c>
      <c r="D9" s="17" t="n">
        <v>57544</v>
      </c>
      <c r="E9" s="17" t="n">
        <v>48900</v>
      </c>
      <c r="F9" s="17" t="n">
        <v>49142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16313</v>
      </c>
      <c r="C11" s="17" t="n">
        <v>-9612</v>
      </c>
      <c r="D11" s="17" t="n">
        <v>10517</v>
      </c>
      <c r="E11" s="17" t="n">
        <v>12104</v>
      </c>
      <c r="F11" s="17" t="n">
        <v>12852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920</v>
      </c>
      <c r="C13" s="17" t="n">
        <v>153</v>
      </c>
      <c r="D13" s="17" t="n">
        <v>2074</v>
      </c>
      <c r="E13" s="17" t="n">
        <v>2709</v>
      </c>
      <c r="F13" s="17" t="n">
        <v>1072</v>
      </c>
    </row>
    <row r="14">
      <c r="A14" s="16" t="inlineStr">
        <is>
          <t>Finansielle omkostninger</t>
        </is>
      </c>
      <c r="B14" s="17" t="n">
        <v>1889</v>
      </c>
      <c r="C14" s="17" t="n">
        <v>2668</v>
      </c>
      <c r="D14" s="17" t="n">
        <v>3056</v>
      </c>
      <c r="E14" s="17" t="n">
        <v>1370</v>
      </c>
      <c r="F14" s="17" t="n">
        <v>153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15344</v>
      </c>
      <c r="C16" s="17" t="n">
        <v>-12127</v>
      </c>
      <c r="D16" s="17" t="n">
        <v>9535</v>
      </c>
      <c r="E16" s="17" t="n">
        <v>13443</v>
      </c>
      <c r="F16" s="17" t="n">
        <v>13771</v>
      </c>
    </row>
    <row r="17">
      <c r="A17" s="16" t="inlineStr">
        <is>
          <t>Skat af årets resultat</t>
        </is>
      </c>
      <c r="B17" s="17" t="n">
        <v>6284</v>
      </c>
      <c r="C17" s="17" t="n">
        <v>-5360</v>
      </c>
      <c r="D17" s="17" t="n">
        <v>4785</v>
      </c>
      <c r="E17" s="17" t="n">
        <v>4111</v>
      </c>
      <c r="F17" s="17" t="n">
        <v>5728</v>
      </c>
    </row>
    <row r="18">
      <c r="A18" s="15" t="inlineStr">
        <is>
          <t>Årets resultat</t>
        </is>
      </c>
      <c r="B18" s="17" t="n">
        <v>9060</v>
      </c>
      <c r="C18" s="17" t="n">
        <v>-6767</v>
      </c>
      <c r="D18" s="17" t="n">
        <v>4750</v>
      </c>
      <c r="E18" s="17" t="n">
        <v>9332</v>
      </c>
      <c r="F18" s="17" t="n">
        <v>8043</v>
      </c>
    </row>
    <row r="19">
      <c r="A19" s="16" t="inlineStr">
        <is>
          <t>Gns. antal medarbejdere</t>
        </is>
      </c>
      <c r="B19" s="17" t="n">
        <v>248</v>
      </c>
      <c r="C19" s="17" t="n">
        <v>239</v>
      </c>
      <c r="D19" s="17" t="n">
        <v>232</v>
      </c>
      <c r="E19" s="17" t="n">
        <v>223</v>
      </c>
      <c r="F19" s="17" t="n">
        <v>211</v>
      </c>
    </row>
    <row r="20">
      <c r="A20" s="16" t="inlineStr">
        <is>
          <t>Investering i materielle anlægsaktiver</t>
        </is>
      </c>
      <c r="B20" s="17" t="n">
        <v>58751</v>
      </c>
      <c r="C20" s="17" t="n">
        <v>26569</v>
      </c>
      <c r="D20" s="17" t="n">
        <v>15626</v>
      </c>
      <c r="E20" s="17" t="n">
        <v>30127</v>
      </c>
      <c r="F20" s="17" t="n">
        <v>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>
        <v>0</v>
      </c>
      <c r="F2" s="17" t="n">
        <v>1411</v>
      </c>
    </row>
    <row r="3">
      <c r="A3" s="16" t="inlineStr">
        <is>
          <t>Patenter, varemærker mv.</t>
        </is>
      </c>
      <c r="B3" s="17" t="n">
        <v>161782</v>
      </c>
      <c r="C3" s="17" t="n">
        <v>158137</v>
      </c>
      <c r="D3" s="17" t="n">
        <v>154492</v>
      </c>
      <c r="E3" s="17" t="n">
        <v>150846</v>
      </c>
      <c r="F3" s="17" t="n">
        <v>147200</v>
      </c>
    </row>
    <row r="4">
      <c r="A4" s="16" t="inlineStr">
        <is>
          <t>Goodwill</t>
        </is>
      </c>
      <c r="B4" s="17" t="n">
        <v>165453</v>
      </c>
      <c r="C4" s="17" t="n">
        <v>156915</v>
      </c>
      <c r="D4" s="17" t="n">
        <v>148377</v>
      </c>
      <c r="E4" s="17" t="n">
        <v>139938</v>
      </c>
      <c r="F4" s="17" t="n">
        <v>131400</v>
      </c>
    </row>
    <row r="5">
      <c r="A5" s="15" t="inlineStr">
        <is>
          <t>Immaterielle anlægsaktiver</t>
        </is>
      </c>
      <c r="B5" s="17" t="n">
        <v>403726</v>
      </c>
      <c r="C5" s="17" t="n">
        <v>393303</v>
      </c>
      <c r="D5" s="17" t="n">
        <v>374963</v>
      </c>
      <c r="E5" s="17" t="n">
        <v>356826</v>
      </c>
      <c r="F5" s="17" t="n">
        <v>344541</v>
      </c>
    </row>
    <row r="6">
      <c r="A6" s="16" t="inlineStr">
        <is>
          <t>Grunde og bygninger</t>
        </is>
      </c>
      <c r="B6" s="17" t="n">
        <v>73414</v>
      </c>
      <c r="C6" s="17" t="n">
        <v>76347</v>
      </c>
      <c r="D6" s="17" t="n">
        <v>70221</v>
      </c>
      <c r="E6" s="17" t="n">
        <v>64737</v>
      </c>
      <c r="F6" s="17" t="n">
        <v>58740</v>
      </c>
    </row>
    <row r="7">
      <c r="A7" s="16" t="inlineStr">
        <is>
          <t>Produktionsanlæg og maskiner</t>
        </is>
      </c>
      <c r="B7" s="17" t="n">
        <v>150671</v>
      </c>
      <c r="C7" s="17" t="n">
        <v>172242</v>
      </c>
      <c r="D7" s="17" t="n">
        <v>147936</v>
      </c>
      <c r="E7" s="17" t="n">
        <v>161309</v>
      </c>
      <c r="F7" s="17" t="n">
        <v>153244</v>
      </c>
    </row>
    <row r="8">
      <c r="A8" s="16" t="inlineStr">
        <is>
          <t>Driftsmateriel og inventar</t>
        </is>
      </c>
      <c r="B8" s="17" t="n">
        <v>2858</v>
      </c>
      <c r="C8" s="17" t="n">
        <v>3998</v>
      </c>
      <c r="D8" s="17" t="n">
        <v>2907</v>
      </c>
      <c r="E8" s="17" t="n">
        <v>3317</v>
      </c>
      <c r="F8" s="17" t="n">
        <v>3241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65352</v>
      </c>
      <c r="C10" s="17" t="n">
        <v>22470</v>
      </c>
      <c r="D10" s="17" t="n">
        <v>30416</v>
      </c>
      <c r="E10" s="17" t="n">
        <v>21480</v>
      </c>
      <c r="F10" s="17" t="n">
        <v>22596</v>
      </c>
    </row>
    <row r="11">
      <c r="A11" s="15" t="inlineStr">
        <is>
          <t>Materielle anlægsaktiver</t>
        </is>
      </c>
      <c r="B11" s="17" t="n">
        <v>292295</v>
      </c>
      <c r="C11" s="17" t="n">
        <v>275057</v>
      </c>
      <c r="D11" s="17" t="n">
        <v>251480</v>
      </c>
      <c r="E11" s="17" t="n">
        <v>250843</v>
      </c>
      <c r="F11" s="17" t="n">
        <v>237821</v>
      </c>
    </row>
    <row r="12">
      <c r="A12" s="15" t="inlineStr">
        <is>
          <t>Anlægsaktiver</t>
        </is>
      </c>
      <c r="B12" s="17" t="n">
        <v>696021</v>
      </c>
      <c r="C12" s="17" t="n">
        <v>668360</v>
      </c>
      <c r="D12" s="17" t="n">
        <v>626443</v>
      </c>
      <c r="E12" s="17" t="n">
        <v>607669</v>
      </c>
      <c r="F12" s="17" t="n">
        <v>582362</v>
      </c>
    </row>
    <row r="13">
      <c r="A13" s="16" t="inlineStr">
        <is>
          <t>Råvarer og hjælpematerialer</t>
        </is>
      </c>
      <c r="B13" s="17" t="n">
        <v>34621</v>
      </c>
      <c r="C13" s="17" t="n">
        <v>36955</v>
      </c>
      <c r="D13" s="17" t="n">
        <v>37886</v>
      </c>
      <c r="E13" s="17" t="n">
        <v>35230</v>
      </c>
      <c r="F13" s="17" t="n">
        <v>35142</v>
      </c>
    </row>
    <row r="14">
      <c r="A14" s="16" t="inlineStr">
        <is>
          <t>Varer under fremstilling</t>
        </is>
      </c>
      <c r="B14" s="17" t="n">
        <v>3418</v>
      </c>
      <c r="C14" s="17" t="n">
        <v>3818</v>
      </c>
      <c r="D14" s="17" t="n">
        <v>1701</v>
      </c>
      <c r="E14" s="17" t="n">
        <v>4592</v>
      </c>
      <c r="F14" s="17" t="n">
        <v>5665</v>
      </c>
    </row>
    <row r="15">
      <c r="A15" s="16" t="inlineStr">
        <is>
          <t>Færdigvarer og handelsvarer</t>
        </is>
      </c>
      <c r="B15" s="17" t="n">
        <v>38772</v>
      </c>
      <c r="C15" s="17" t="n">
        <v>45398</v>
      </c>
      <c r="D15" s="17" t="n">
        <v>35360</v>
      </c>
      <c r="E15" s="17" t="n">
        <v>52015</v>
      </c>
      <c r="F15" s="17" t="n">
        <v>56809</v>
      </c>
    </row>
    <row r="16">
      <c r="A16" s="15" t="inlineStr">
        <is>
          <t>Varebeholdninger</t>
        </is>
      </c>
      <c r="B16" s="17" t="n">
        <v>76811</v>
      </c>
      <c r="C16" s="17" t="n">
        <v>86171</v>
      </c>
      <c r="D16" s="17" t="n">
        <v>74947</v>
      </c>
      <c r="E16" s="17" t="n">
        <v>91837</v>
      </c>
      <c r="F16" s="17" t="n">
        <v>97616</v>
      </c>
    </row>
    <row r="17">
      <c r="A17" s="16" t="inlineStr">
        <is>
          <t>Tilgodehavender fra salg og tjenesteydelser</t>
        </is>
      </c>
      <c r="B17" s="17" t="n">
        <v>74719</v>
      </c>
      <c r="C17" s="17" t="n">
        <v>110176</v>
      </c>
      <c r="D17" s="17" t="n">
        <v>122666</v>
      </c>
      <c r="E17" s="17" t="n">
        <v>137493</v>
      </c>
      <c r="F17" s="17" t="n">
        <v>127385</v>
      </c>
    </row>
    <row r="18">
      <c r="A18" s="16" t="inlineStr">
        <is>
          <t>Tilgodehavender hos tilknyttede virksomheder</t>
        </is>
      </c>
      <c r="B18" s="17" t="n">
        <v>37997</v>
      </c>
      <c r="C18" s="17" t="n">
        <v>75757</v>
      </c>
      <c r="D18" s="17" t="n">
        <v>32470</v>
      </c>
      <c r="E18" s="17" t="n">
        <v>50450</v>
      </c>
      <c r="F18" s="17" t="n">
        <v>45565</v>
      </c>
    </row>
    <row r="19">
      <c r="A19" s="16" t="inlineStr">
        <is>
          <t>Andre tilgodehavender</t>
        </is>
      </c>
      <c r="B19" s="17" t="n">
        <v>2933</v>
      </c>
      <c r="C19" s="17" t="n">
        <v>1280</v>
      </c>
      <c r="D19" s="17" t="n">
        <v>458</v>
      </c>
      <c r="E19" s="17" t="n">
        <v>707</v>
      </c>
      <c r="F19" s="17" t="n">
        <v>398</v>
      </c>
    </row>
    <row r="20">
      <c r="A20" s="16" t="inlineStr">
        <is>
          <t>Periodeafgrænsningsposter (aktiver)</t>
        </is>
      </c>
      <c r="B20" s="17" t="n">
        <v>2040</v>
      </c>
      <c r="C20" s="17" t="n">
        <v>2411</v>
      </c>
      <c r="D20" s="17" t="n">
        <v>4329</v>
      </c>
      <c r="E20" s="17" t="n">
        <v>2297</v>
      </c>
      <c r="F20" s="17" t="n">
        <v>3306</v>
      </c>
    </row>
    <row r="21">
      <c r="A21" s="16" t="inlineStr">
        <is>
          <t>Udskudt skatteaktiv</t>
        </is>
      </c>
      <c r="B21" s="17" t="n">
        <v>0</v>
      </c>
      <c r="C21" s="17" t="n">
        <v>0</v>
      </c>
      <c r="D21" s="17" t="n"/>
      <c r="E21" s="17" t="n"/>
      <c r="F21" s="17" t="n"/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1146</v>
      </c>
      <c r="C23" s="17" t="n">
        <v>0</v>
      </c>
      <c r="D23" s="17" t="n">
        <v>191</v>
      </c>
      <c r="E23" s="17" t="n">
        <v>168</v>
      </c>
      <c r="F23" s="17" t="n">
        <v>0</v>
      </c>
    </row>
    <row r="24">
      <c r="A24" s="15" t="inlineStr">
        <is>
          <t>Tilgodehavender</t>
        </is>
      </c>
      <c r="B24" s="17" t="n">
        <v>118835</v>
      </c>
      <c r="C24" s="17" t="n">
        <v>189624</v>
      </c>
      <c r="D24" s="17" t="n">
        <v>160114</v>
      </c>
      <c r="E24" s="17" t="n">
        <v>191115</v>
      </c>
      <c r="F24" s="17" t="n">
        <v>176654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22597</v>
      </c>
      <c r="C26" s="17" t="n">
        <v>23604</v>
      </c>
      <c r="D26" s="17" t="n">
        <v>51107</v>
      </c>
      <c r="E26" s="17" t="n">
        <v>34133</v>
      </c>
      <c r="F26" s="17" t="n">
        <v>31100</v>
      </c>
    </row>
    <row r="27">
      <c r="A27" s="15" t="inlineStr">
        <is>
          <t>Omsætningsaktiver</t>
        </is>
      </c>
      <c r="B27" s="17" t="n">
        <v>218243</v>
      </c>
      <c r="C27" s="17" t="n">
        <v>299399</v>
      </c>
      <c r="D27" s="17" t="n">
        <v>286168</v>
      </c>
      <c r="E27" s="17" t="n">
        <v>317085</v>
      </c>
      <c r="F27" s="17" t="n">
        <v>305370</v>
      </c>
    </row>
    <row r="28">
      <c r="A28" s="15" t="inlineStr">
        <is>
          <t>Aktiver</t>
        </is>
      </c>
      <c r="B28" s="17" t="n">
        <v>914264</v>
      </c>
      <c r="C28" s="17" t="n">
        <v>967759</v>
      </c>
      <c r="D28" s="17" t="n">
        <v>912611</v>
      </c>
      <c r="E28" s="17" t="n">
        <v>924754</v>
      </c>
      <c r="F28" s="17" t="n">
        <v>887732</v>
      </c>
    </row>
    <row r="29">
      <c r="A29" s="16" t="inlineStr">
        <is>
          <t>Selskabskapital</t>
        </is>
      </c>
      <c r="B29" s="17" t="n">
        <v>30000</v>
      </c>
      <c r="C29" s="17" t="n">
        <v>30000</v>
      </c>
      <c r="D29" s="17" t="n">
        <v>30000</v>
      </c>
      <c r="E29" s="17" t="n">
        <v>30000</v>
      </c>
      <c r="F29" s="17" t="n">
        <v>30000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>
        <v>0</v>
      </c>
      <c r="F31" s="17" t="n">
        <v>1101</v>
      </c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674158</v>
      </c>
      <c r="C34" s="17" t="n">
        <v>667391</v>
      </c>
      <c r="D34" s="17" t="n">
        <v>672141</v>
      </c>
      <c r="E34" s="17" t="n">
        <v>681473</v>
      </c>
      <c r="F34" s="17" t="n">
        <v>613815</v>
      </c>
    </row>
    <row r="35">
      <c r="A35" s="15" t="inlineStr">
        <is>
          <t>Egenkapital i alt</t>
        </is>
      </c>
      <c r="B35" s="17" t="n">
        <v>704158</v>
      </c>
      <c r="C35" s="17" t="n">
        <v>697391</v>
      </c>
      <c r="D35" s="17" t="n">
        <v>702141</v>
      </c>
      <c r="E35" s="17" t="n">
        <v>711473</v>
      </c>
      <c r="F35" s="17" t="n">
        <v>719516</v>
      </c>
    </row>
    <row r="36">
      <c r="A36" s="16" t="inlineStr">
        <is>
          <t>Hensættelse til udskudt skat</t>
        </is>
      </c>
      <c r="B36" s="17" t="n">
        <v>20772</v>
      </c>
      <c r="C36" s="17" t="n">
        <v>13797</v>
      </c>
      <c r="D36" s="17" t="n">
        <v>18196</v>
      </c>
      <c r="E36" s="17" t="n">
        <v>23918</v>
      </c>
      <c r="F36" s="17" t="n">
        <v>26824</v>
      </c>
    </row>
    <row r="37">
      <c r="A37" s="15" t="inlineStr">
        <is>
          <t>Hensatte forpligtelser</t>
        </is>
      </c>
      <c r="B37" s="17" t="n">
        <v>32990</v>
      </c>
      <c r="C37" s="17" t="n">
        <v>25725</v>
      </c>
      <c r="D37" s="17" t="n">
        <v>21176</v>
      </c>
      <c r="E37" s="17" t="n">
        <v>24849</v>
      </c>
      <c r="F37" s="17" t="n">
        <v>26824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87802</v>
      </c>
      <c r="C42" s="17" t="n">
        <v>78879</v>
      </c>
      <c r="D42" s="17" t="n">
        <v>78764</v>
      </c>
      <c r="E42" s="17" t="n">
        <v>98072</v>
      </c>
      <c r="F42" s="17" t="n">
        <v>103134</v>
      </c>
    </row>
    <row r="43">
      <c r="A43" s="16" t="inlineStr">
        <is>
          <t>Gæld til tilknyttede virksomheder</t>
        </is>
      </c>
      <c r="B43" s="17" t="n">
        <v>57304</v>
      </c>
      <c r="C43" s="17" t="n">
        <v>132970</v>
      </c>
      <c r="D43" s="17" t="n">
        <v>79332</v>
      </c>
      <c r="E43" s="17" t="n">
        <v>60387</v>
      </c>
      <c r="F43" s="17" t="n">
        <v>4188</v>
      </c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>
        <v>0</v>
      </c>
      <c r="C45" s="17" t="n">
        <v>6290</v>
      </c>
      <c r="D45" s="17" t="n">
        <v>0</v>
      </c>
      <c r="E45" s="17" t="n">
        <v>0</v>
      </c>
      <c r="F45" s="17" t="n">
        <v>2585</v>
      </c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32010</v>
      </c>
      <c r="C47" s="17" t="n">
        <v>26504</v>
      </c>
      <c r="D47" s="17" t="n">
        <v>31198</v>
      </c>
      <c r="E47" s="17" t="n">
        <v>29973</v>
      </c>
      <c r="F47" s="17" t="n">
        <v>31485</v>
      </c>
    </row>
    <row r="48">
      <c r="A48" s="16" t="inlineStr">
        <is>
          <t>Periodeafgrænsningsposter (passiver)</t>
        </is>
      </c>
      <c r="B48" s="17" t="n"/>
      <c r="C48" s="17" t="n"/>
      <c r="D48" s="17" t="n"/>
      <c r="E48" s="17" t="n"/>
      <c r="F48" s="17" t="n"/>
    </row>
    <row r="49">
      <c r="A49" s="15" t="inlineStr">
        <is>
          <t>Kortfristede gældsforpligtelser</t>
        </is>
      </c>
      <c r="B49" s="17" t="n">
        <v>177116</v>
      </c>
      <c r="C49" s="17" t="n">
        <v>244643</v>
      </c>
      <c r="D49" s="17" t="n">
        <v>189294</v>
      </c>
      <c r="E49" s="17" t="n">
        <v>188432</v>
      </c>
      <c r="F49" s="17" t="n">
        <v>141392</v>
      </c>
    </row>
    <row r="50">
      <c r="A50" s="15" t="inlineStr">
        <is>
          <t>Gældsforpligtelser</t>
        </is>
      </c>
      <c r="B50" s="17" t="n">
        <v>177116</v>
      </c>
      <c r="C50" s="17" t="n">
        <v>244643</v>
      </c>
      <c r="D50" s="17" t="n">
        <v>189294</v>
      </c>
      <c r="E50" s="17" t="n">
        <v>188432</v>
      </c>
      <c r="F50" s="17" t="n">
        <v>141392</v>
      </c>
    </row>
    <row r="51">
      <c r="A51" s="15" t="inlineStr">
        <is>
          <t>Passiver</t>
        </is>
      </c>
      <c r="B51" s="17" t="n">
        <v>914264</v>
      </c>
      <c r="C51" s="17" t="n">
        <v>967759</v>
      </c>
      <c r="D51" s="17" t="n">
        <v>912611</v>
      </c>
      <c r="E51" s="17" t="n">
        <v>924754</v>
      </c>
      <c r="F51" s="17" t="n">
        <v>887732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Eckes-Granini Danmark A/S (CVR 19982912)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47654</v>
      </c>
      <c r="C2" s="17" t="n">
        <v>-7670</v>
      </c>
      <c r="D2" s="17" t="n">
        <v>60347</v>
      </c>
      <c r="E2" s="17" t="n">
        <v>48477</v>
      </c>
      <c r="F2" s="17" t="n">
        <v>77070</v>
      </c>
    </row>
    <row r="3">
      <c r="A3" s="16" t="inlineStr">
        <is>
          <t>Pengestrømme fra investeringsaktivitet</t>
        </is>
      </c>
      <c r="B3" s="17" t="n">
        <v>-51675</v>
      </c>
      <c r="C3" s="17" t="n">
        <v>-28573</v>
      </c>
      <c r="D3" s="17" t="n">
        <v>-15626</v>
      </c>
      <c r="E3" s="17" t="n">
        <v>-30127</v>
      </c>
      <c r="F3" s="17" t="n">
        <v>-23835</v>
      </c>
    </row>
    <row r="4">
      <c r="A4" s="16" t="inlineStr">
        <is>
          <t>Pengestrømme fra finansieringsaktivitet</t>
        </is>
      </c>
      <c r="B4" s="17" t="n">
        <v>-30476</v>
      </c>
      <c r="C4" s="17" t="n">
        <v>37906</v>
      </c>
      <c r="D4" s="17" t="n">
        <v>-10351</v>
      </c>
      <c r="E4" s="17" t="n">
        <v>-36925</v>
      </c>
      <c r="F4" s="17" t="n">
        <v>-56199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Eckes-Granini Danmark A/S (CVR 19982912) — Regnskabs- og nøgletal (CVR: 19982912)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'res_raw_19982912'!$F$2</f>
        <v/>
      </c>
      <c r="C5" s="24">
        <f>'res_raw_19982912'!$E$2</f>
        <v/>
      </c>
      <c r="D5" s="24">
        <f>'res_raw_19982912'!$D$2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'res_raw_19982912'!$F$3</f>
        <v/>
      </c>
      <c r="C6" s="24">
        <f>'res_raw_19982912'!$E$3</f>
        <v/>
      </c>
      <c r="D6" s="24">
        <f>'res_raw_19982912'!$D$3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-'res_raw_19982912'!$F$4</f>
        <v/>
      </c>
      <c r="C7" s="24">
        <f>-'res_raw_19982912'!$E$4</f>
        <v/>
      </c>
      <c r="D7" s="24">
        <f>-'res_raw_19982912'!$D$4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-'res_raw_19982912'!$F$5</f>
        <v/>
      </c>
      <c r="C8" s="24">
        <f>-'res_raw_19982912'!$E$5</f>
        <v/>
      </c>
      <c r="D8" s="24">
        <f>-'res_raw_19982912'!$D$5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IF(ABS((SUM(B5:B8))-'res_raw_19982912'!$F$6)&lt;=2,SUM(B5:B8),'res_raw_19982912'!$F$6)</f>
        <v/>
      </c>
      <c r="C9" s="27">
        <f>IF(ABS((SUM(C5:C8))-'res_raw_19982912'!$E$6)&lt;=2,SUM(C5:C8),'res_raw_19982912'!$E$6)</f>
        <v/>
      </c>
      <c r="D9" s="27">
        <f>IF(ABS((SUM(D5:D8))-'res_raw_19982912'!$D$6)&lt;=2,SUM(D5:D8),'res_raw_19982912'!$D$6)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-'res_raw_19982912'!$F$7</f>
        <v/>
      </c>
      <c r="C10" s="24">
        <f>-'res_raw_19982912'!$E$7</f>
        <v/>
      </c>
      <c r="D10" s="24">
        <f>-'res_raw_19982912'!$D$7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-'res_raw_19982912'!$F$9</f>
        <v/>
      </c>
      <c r="C11" s="24">
        <f>-'res_raw_19982912'!$E$9</f>
        <v/>
      </c>
      <c r="D11" s="24">
        <f>-'res_raw_19982912'!$D$9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-'res_raw_19982912'!$F$10</f>
        <v/>
      </c>
      <c r="C12" s="24">
        <f>-'res_raw_19982912'!$E$10</f>
        <v/>
      </c>
      <c r="D12" s="24">
        <f>-'res_raw_19982912'!$D$10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IF(ABS((SUM(B9:B12))-'res_raw_19982912'!$F$11)&lt;=2,SUM(B9:B12),'res_raw_19982912'!$F$11)</f>
        <v/>
      </c>
      <c r="C13" s="27">
        <f>IF(ABS((SUM(C9:C12))-'res_raw_19982912'!$E$11)&lt;=2,SUM(C9:C12),'res_raw_19982912'!$E$11)</f>
        <v/>
      </c>
      <c r="D13" s="27">
        <f>IF(ABS((SUM(D9:D12))-'res_raw_19982912'!$D$11)&lt;=2,SUM(D9:D12),'res_raw_19982912'!$D$11)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N('res_raw_19982912'!$F$12)+N('res_raw_19982912'!$F$13)</f>
        <v/>
      </c>
      <c r="C14" s="24">
        <f>N('res_raw_19982912'!$E$12)+N('res_raw_19982912'!$E$13)</f>
        <v/>
      </c>
      <c r="D14" s="24">
        <f>N('res_raw_19982912'!$D$12)+N('res_raw_19982912'!$D$13)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-'res_raw_19982912'!$F$14</f>
        <v/>
      </c>
      <c r="C15" s="24">
        <f>-'res_raw_19982912'!$E$14</f>
        <v/>
      </c>
      <c r="D15" s="24">
        <f>-'res_raw_19982912'!$D$14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IF(ABS((SUM(B13:B15))-'res_raw_19982912'!$F$16)&lt;=2,SUM(B13:B15),'res_raw_19982912'!$F$16)</f>
        <v/>
      </c>
      <c r="C16" s="27">
        <f>IF(ABS((SUM(C13:C15))-'res_raw_19982912'!$E$16)&lt;=2,SUM(C13:C15),'res_raw_19982912'!$E$16)</f>
        <v/>
      </c>
      <c r="D16" s="27">
        <f>IF(ABS((SUM(D13:D15))-'res_raw_19982912'!$D$16)&lt;=2,SUM(D13:D15),'res_raw_19982912'!$D$16)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'balance_raw_19982912'!$F$12</f>
        <v/>
      </c>
      <c r="C19" s="24">
        <f>'balance_raw_19982912'!$E$12</f>
        <v/>
      </c>
      <c r="D19" s="24">
        <f>'balance_raw_19982912'!$D$12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'balance_raw_19982912'!$F$27</f>
        <v/>
      </c>
      <c r="C20" s="24">
        <f>'balance_raw_19982912'!$E$27</f>
        <v/>
      </c>
      <c r="D20" s="24">
        <f>'balance_raw_19982912'!$D$27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'balance_raw_19982912'!$F$35</f>
        <v/>
      </c>
      <c r="C23" s="24">
        <f>'balance_raw_19982912'!$E$35</f>
        <v/>
      </c>
      <c r="D23" s="24">
        <f>'balance_raw_19982912'!$D$35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'balance_raw_19982912'!$F$51-'balance_raw_19982912'!$F$35</f>
        <v/>
      </c>
      <c r="C24" s="24">
        <f>'balance_raw_19982912'!$E$51-'balance_raw_19982912'!$E$35</f>
        <v/>
      </c>
      <c r="D24" s="24">
        <f>'balance_raw_19982912'!$D$51-'balance_raw_19982912'!$D$35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'balance_raw_19982912'!$F$16</f>
        <v/>
      </c>
      <c r="C28" s="24">
        <f>'balance_raw_19982912'!$E$16</f>
        <v/>
      </c>
      <c r="D28" s="24">
        <f>'balance_raw_19982912'!$D$16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'balance_raw_19982912'!$F$17</f>
        <v/>
      </c>
      <c r="C29" s="24">
        <f>'balance_raw_19982912'!$E$17</f>
        <v/>
      </c>
      <c r="D29" s="24">
        <f>'balance_raw_19982912'!$D$17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'balance_raw_19982912'!$F$49</f>
        <v/>
      </c>
      <c r="C30" s="24">
        <f>'balance_raw_19982912'!$E$49</f>
        <v/>
      </c>
      <c r="D30" s="24">
        <f>'balance_raw_19982912'!$D$49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IF('balance_raw_19982912'!$F$28="","—",IF(ABS(B21-'balance_raw_19982912'!$F$28)&lt;=1,"✓ OK","❌ "&amp;TEXT(B21-'balance_raw_19982912'!$F$28,"+#,##0;-#,##0")&amp;" t.kr."))</f>
        <v/>
      </c>
      <c r="C61" s="29">
        <f>IF('balance_raw_19982912'!$E$28="","—",IF(ABS(C21-'balance_raw_19982912'!$E$28)&lt;=1,"✓ OK","❌ "&amp;TEXT(C21-'balance_raw_19982912'!$E$28,"+#,##0;-#,##0")&amp;" t.kr."))</f>
        <v/>
      </c>
      <c r="D61" s="29">
        <f>IF('balance_raw_19982912'!$D$28="","—",IF(ABS(D21-'balance_raw_19982912'!$D$28)&lt;=1,"✓ OK","❌ "&amp;TEXT(D21-'balance_raw_19982912'!$D$28,"+#,##0;-#,##0")&amp;"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IF('balance_raw_19982912'!$F$51="","—",IF(ABS(B25-'balance_raw_19982912'!$F$51)&lt;=1,"✓ OK","❌ "&amp;TEXT(B25-'balance_raw_19982912'!$F$51,"+#,##0;-#,##0")&amp;" t.kr."))</f>
        <v/>
      </c>
      <c r="C62" s="29">
        <f>IF('balance_raw_19982912'!$E$51="","—",IF(ABS(C25-'balance_raw_19982912'!$E$51)&lt;=1,"✓ OK","❌ "&amp;TEXT(C25-'balance_raw_19982912'!$E$51,"+#,##0;-#,##0")&amp;" t.kr."))</f>
        <v/>
      </c>
      <c r="D62" s="29">
        <f>IF('balance_raw_19982912'!$D$51="","—",IF(ABS(D25-'balance_raw_19982912'!$D$51)&lt;=1,"✓ OK","❌ "&amp;TEXT(D25-'balance_raw_19982912'!$D$51,"+#,##0;-#,##0")&amp;"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IF('res_raw_19982912'!$F$6="","—",IF(ABS(B9-'res_raw_19982912'!$F$6)&lt;=1,"✓ OK","❌ "&amp;TEXT(B9-'res_raw_19982912'!$F$6,"+#,##0;-#,##0")&amp;" t.kr."))</f>
        <v/>
      </c>
      <c r="C64" s="29">
        <f>IF('res_raw_19982912'!$E$6="","—",IF(ABS(C9-'res_raw_19982912'!$E$6)&lt;=1,"✓ OK","❌ "&amp;TEXT(C9-'res_raw_19982912'!$E$6,"+#,##0;-#,##0")&amp;" t.kr."))</f>
        <v/>
      </c>
      <c r="D64" s="29">
        <f>IF('res_raw_19982912'!$D$6="","—",IF(ABS(D9-'res_raw_19982912'!$D$6)&lt;=1,"✓ OK","❌ "&amp;TEXT(D9-'res_raw_19982912'!$D$6,"+#,##0;-#,##0")&amp;"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IF('res_raw_19982912'!$F$11="","—",IF(ABS(B13-'res_raw_19982912'!$F$11)&lt;=1,"✓ OK","❌ "&amp;TEXT(B13-'res_raw_19982912'!$F$11,"+#,##0;-#,##0")&amp;" t.kr."))</f>
        <v/>
      </c>
      <c r="C65" s="29">
        <f>IF('res_raw_19982912'!$E$11="","—",IF(ABS(C13-'res_raw_19982912'!$E$11)&lt;=1,"✓ OK","❌ "&amp;TEXT(C13-'res_raw_19982912'!$E$11,"+#,##0;-#,##0")&amp;" t.kr."))</f>
        <v/>
      </c>
      <c r="D65" s="29">
        <f>IF('res_raw_19982912'!$D$11="","—",IF(ABS(D13-'res_raw_19982912'!$D$11)&lt;=1,"✓ OK","❌ "&amp;TEXT(D13-'res_raw_19982912'!$D$11,"+#,##0;-#,##0")&amp;"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IF('res_raw_19982912'!$F$16="","—",IF(ABS(B16-'res_raw_19982912'!$F$16)&lt;=1,"✓ OK","❌ "&amp;TEXT(B16-'res_raw_19982912'!$F$16,"+#,##0;-#,##0")&amp;" t.kr."))</f>
        <v/>
      </c>
      <c r="C66" s="29">
        <f>IF('res_raw_19982912'!$E$16="","—",IF(ABS(C16-'res_raw_19982912'!$E$16)&lt;=1,"✓ OK","❌ "&amp;TEXT(C16-'res_raw_19982912'!$E$16,"+#,##0;-#,##0")&amp;" t.kr."))</f>
        <v/>
      </c>
      <c r="D66" s="29">
        <f>IF('res_raw_19982912'!$D$16="","—",IF(ABS(D16-'res_raw_19982912'!$D$16)&lt;=1,"✓ OK","❌ "&amp;TEXT(D16-'res_raw_19982912'!$D$16,"+#,##0;-#,##0")&amp;"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2026-09-29T14:48:32Z</dcterms:created>
  <dcterms:modified xmlns:dcterms="http://purl.org/dc/terms/" xmlns:xsi="http://www.w3.org/2001/XMLSchema-instance" xsi:type="dcterms:W3CDTF">2026-09-29T14:48:32Z</dcterms:modified>
</cp:coreProperties>
</file>