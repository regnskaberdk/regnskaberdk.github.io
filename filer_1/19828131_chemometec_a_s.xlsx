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828131" sheetId="1" state="visible" r:id="rId1"/>
    <sheet xmlns:r="http://schemas.openxmlformats.org/officeDocument/2006/relationships" name="res_raw_19828131" sheetId="2" state="visible" r:id="rId2"/>
    <sheet xmlns:r="http://schemas.openxmlformats.org/officeDocument/2006/relationships" name="balance_raw_19828131" sheetId="3" state="visible" r:id="rId3"/>
    <sheet xmlns:r="http://schemas.openxmlformats.org/officeDocument/2006/relationships" name="pengestrom_raw_1982813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ChemoMetec A/S (CVR 19828131) — Regnskabsanalyse – Resultatopgørelse &amp; Balance (t.kr.) · Revision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'res_raw_19828131'!$B$2</f>
        <v/>
      </c>
      <c r="C4" s="5">
        <f>'res_raw_19828131'!$C$2</f>
        <v/>
      </c>
      <c r="D4" s="5">
        <f>'res_raw_19828131'!$D$2</f>
        <v/>
      </c>
      <c r="E4" s="5">
        <f>'res_raw_19828131'!$E$2</f>
        <v/>
      </c>
      <c r="F4" s="5">
        <f>'res_raw_19828131'!$F$2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'res_raw_19828131'!$B$3</f>
        <v/>
      </c>
      <c r="C5" s="8">
        <f>'res_raw_19828131'!$C$3</f>
        <v/>
      </c>
      <c r="D5" s="8">
        <f>'res_raw_19828131'!$D$3</f>
        <v/>
      </c>
      <c r="E5" s="8">
        <f>'res_raw_19828131'!$E$3</f>
        <v/>
      </c>
      <c r="F5" s="8">
        <f>'res_raw_19828131'!$F$3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'res_raw_19828131'!$B$4</f>
        <v/>
      </c>
      <c r="C6" s="5">
        <f>'res_raw_19828131'!$C$4</f>
        <v/>
      </c>
      <c r="D6" s="5">
        <f>'res_raw_19828131'!$D$4</f>
        <v/>
      </c>
      <c r="E6" s="5">
        <f>'res_raw_19828131'!$E$4</f>
        <v/>
      </c>
      <c r="F6" s="5">
        <f>'res_raw_19828131'!$F$4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'res_raw_19828131'!$B$5</f>
        <v/>
      </c>
      <c r="C7" s="8">
        <f>'res_raw_19828131'!$C$5</f>
        <v/>
      </c>
      <c r="D7" s="8">
        <f>'res_raw_19828131'!$D$5</f>
        <v/>
      </c>
      <c r="E7" s="8">
        <f>'res_raw_19828131'!$E$5</f>
        <v/>
      </c>
      <c r="F7" s="8">
        <f>'res_raw_19828131'!$F$5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'res_raw_19828131'!$B$6</f>
        <v/>
      </c>
      <c r="C8" s="11">
        <f>'res_raw_19828131'!$C$6</f>
        <v/>
      </c>
      <c r="D8" s="11">
        <f>'res_raw_19828131'!$D$6</f>
        <v/>
      </c>
      <c r="E8" s="11">
        <f>'res_raw_19828131'!$E$6</f>
        <v/>
      </c>
      <c r="F8" s="11">
        <f>'res_raw_19828131'!$F$6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'res_raw_19828131'!$B$7</f>
        <v/>
      </c>
      <c r="C9" s="8">
        <f>'res_raw_19828131'!$C$7</f>
        <v/>
      </c>
      <c r="D9" s="8">
        <f>'res_raw_19828131'!$D$7</f>
        <v/>
      </c>
      <c r="E9" s="8">
        <f>'res_raw_19828131'!$E$7</f>
        <v/>
      </c>
      <c r="F9" s="8">
        <f>'res_raw_19828131'!$F$7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'res_raw_19828131'!$B$9</f>
        <v/>
      </c>
      <c r="C11" s="8">
        <f>'res_raw_19828131'!$C$9</f>
        <v/>
      </c>
      <c r="D11" s="8">
        <f>'res_raw_19828131'!$D$9</f>
        <v/>
      </c>
      <c r="E11" s="8">
        <f>'res_raw_19828131'!$E$9</f>
        <v/>
      </c>
      <c r="F11" s="8">
        <f>'res_raw_19828131'!$F$9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'res_raw_19828131'!$B$10</f>
        <v/>
      </c>
      <c r="C12" s="5">
        <f>'res_raw_19828131'!$C$10</f>
        <v/>
      </c>
      <c r="D12" s="5">
        <f>'res_raw_19828131'!$D$10</f>
        <v/>
      </c>
      <c r="E12" s="5">
        <f>'res_raw_19828131'!$E$10</f>
        <v/>
      </c>
      <c r="F12" s="5">
        <f>'res_raw_19828131'!$F$10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'res_raw_19828131'!$B$11</f>
        <v/>
      </c>
      <c r="C13" s="11">
        <f>'res_raw_19828131'!$C$11</f>
        <v/>
      </c>
      <c r="D13" s="11">
        <f>'res_raw_19828131'!$D$11</f>
        <v/>
      </c>
      <c r="E13" s="11">
        <f>'res_raw_19828131'!$E$11</f>
        <v/>
      </c>
      <c r="F13" s="11">
        <f>'res_raw_19828131'!$F$11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'res_raw_19828131'!$B$12</f>
        <v/>
      </c>
      <c r="C14" s="5">
        <f>'res_raw_19828131'!$C$12</f>
        <v/>
      </c>
      <c r="D14" s="5">
        <f>'res_raw_19828131'!$D$12</f>
        <v/>
      </c>
      <c r="E14" s="5">
        <f>'res_raw_19828131'!$E$12</f>
        <v/>
      </c>
      <c r="F14" s="5">
        <f>'res_raw_19828131'!$F$12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'res_raw_19828131'!$B$13</f>
        <v/>
      </c>
      <c r="C15" s="8">
        <f>'res_raw_19828131'!$C$13</f>
        <v/>
      </c>
      <c r="D15" s="8">
        <f>'res_raw_19828131'!$D$13</f>
        <v/>
      </c>
      <c r="E15" s="8">
        <f>'res_raw_19828131'!$E$13</f>
        <v/>
      </c>
      <c r="F15" s="8">
        <f>'res_raw_19828131'!$F$13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'res_raw_19828131'!$B$14</f>
        <v/>
      </c>
      <c r="C16" s="5">
        <f>'res_raw_19828131'!$C$14</f>
        <v/>
      </c>
      <c r="D16" s="5">
        <f>'res_raw_19828131'!$D$14</f>
        <v/>
      </c>
      <c r="E16" s="5">
        <f>'res_raw_19828131'!$E$14</f>
        <v/>
      </c>
      <c r="F16" s="5">
        <f>'res_raw_19828131'!$F$14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'res_raw_19828131'!$B$15</f>
        <v/>
      </c>
      <c r="C17" s="11">
        <f>'res_raw_19828131'!$C$15</f>
        <v/>
      </c>
      <c r="D17" s="11">
        <f>'res_raw_19828131'!$D$15</f>
        <v/>
      </c>
      <c r="E17" s="11">
        <f>'res_raw_19828131'!$E$15</f>
        <v/>
      </c>
      <c r="F17" s="11">
        <f>'res_raw_19828131'!$F$15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'res_raw_19828131'!$B$16</f>
        <v/>
      </c>
      <c r="C18" s="11">
        <f>'res_raw_19828131'!$C$16</f>
        <v/>
      </c>
      <c r="D18" s="11">
        <f>'res_raw_19828131'!$D$16</f>
        <v/>
      </c>
      <c r="E18" s="11">
        <f>'res_raw_19828131'!$E$16</f>
        <v/>
      </c>
      <c r="F18" s="11">
        <f>'res_raw_19828131'!$F$16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'res_raw_19828131'!$B$17</f>
        <v/>
      </c>
      <c r="C19" s="8">
        <f>'res_raw_19828131'!$C$17</f>
        <v/>
      </c>
      <c r="D19" s="8">
        <f>'res_raw_19828131'!$D$17</f>
        <v/>
      </c>
      <c r="E19" s="8">
        <f>'res_raw_19828131'!$E$17</f>
        <v/>
      </c>
      <c r="F19" s="8">
        <f>'res_raw_19828131'!$F$17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'res_raw_19828131'!$B$18</f>
        <v/>
      </c>
      <c r="C20" s="11">
        <f>'res_raw_19828131'!$C$18</f>
        <v/>
      </c>
      <c r="D20" s="11">
        <f>'res_raw_19828131'!$D$18</f>
        <v/>
      </c>
      <c r="E20" s="11">
        <f>'res_raw_19828131'!$E$18</f>
        <v/>
      </c>
      <c r="F20" s="11">
        <f>'res_raw_19828131'!$F$18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'balance_raw_19828131'!$B$2</f>
        <v/>
      </c>
      <c r="C23" s="8">
        <f>'balance_raw_19828131'!$C$2</f>
        <v/>
      </c>
      <c r="D23" s="8">
        <f>'balance_raw_19828131'!$D$2</f>
        <v/>
      </c>
      <c r="E23" s="8">
        <f>'balance_raw_19828131'!$E$2</f>
        <v/>
      </c>
      <c r="F23" s="8">
        <f>'balance_raw_19828131'!$F$2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'balance_raw_19828131'!$B$3</f>
        <v/>
      </c>
      <c r="C24" s="5">
        <f>'balance_raw_19828131'!$C$3</f>
        <v/>
      </c>
      <c r="D24" s="5">
        <f>'balance_raw_19828131'!$D$3</f>
        <v/>
      </c>
      <c r="E24" s="5">
        <f>'balance_raw_19828131'!$E$3</f>
        <v/>
      </c>
      <c r="F24" s="5">
        <f>'balance_raw_19828131'!$F$3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'balance_raw_19828131'!$B$4</f>
        <v/>
      </c>
      <c r="C25" s="8">
        <f>'balance_raw_19828131'!$C$4</f>
        <v/>
      </c>
      <c r="D25" s="8">
        <f>'balance_raw_19828131'!$D$4</f>
        <v/>
      </c>
      <c r="E25" s="8">
        <f>'balance_raw_19828131'!$E$4</f>
        <v/>
      </c>
      <c r="F25" s="8">
        <f>'balance_raw_19828131'!$F$4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'balance_raw_19828131'!$B$5</f>
        <v/>
      </c>
      <c r="C26" s="11">
        <f>'balance_raw_19828131'!$C$5</f>
        <v/>
      </c>
      <c r="D26" s="11">
        <f>'balance_raw_19828131'!$D$5</f>
        <v/>
      </c>
      <c r="E26" s="11">
        <f>'balance_raw_19828131'!$E$5</f>
        <v/>
      </c>
      <c r="F26" s="11">
        <f>'balance_raw_19828131'!$F$5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'balance_raw_19828131'!$B$6</f>
        <v/>
      </c>
      <c r="C27" s="8">
        <f>'balance_raw_19828131'!$C$6</f>
        <v/>
      </c>
      <c r="D27" s="8">
        <f>'balance_raw_19828131'!$D$6</f>
        <v/>
      </c>
      <c r="E27" s="8">
        <f>'balance_raw_19828131'!$E$6</f>
        <v/>
      </c>
      <c r="F27" s="8">
        <f>'balance_raw_19828131'!$F$6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'balance_raw_19828131'!$B$7</f>
        <v/>
      </c>
      <c r="C28" s="5">
        <f>'balance_raw_19828131'!$C$7</f>
        <v/>
      </c>
      <c r="D28" s="5">
        <f>'balance_raw_19828131'!$D$7</f>
        <v/>
      </c>
      <c r="E28" s="5">
        <f>'balance_raw_19828131'!$E$7</f>
        <v/>
      </c>
      <c r="F28" s="5">
        <f>'balance_raw_19828131'!$F$7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'balance_raw_19828131'!$B$8</f>
        <v/>
      </c>
      <c r="C29" s="8">
        <f>'balance_raw_19828131'!$C$8</f>
        <v/>
      </c>
      <c r="D29" s="8">
        <f>'balance_raw_19828131'!$D$8</f>
        <v/>
      </c>
      <c r="E29" s="8">
        <f>'balance_raw_19828131'!$E$8</f>
        <v/>
      </c>
      <c r="F29" s="8">
        <f>'balance_raw_19828131'!$F$8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'balance_raw_19828131'!$B$9</f>
        <v/>
      </c>
      <c r="C30" s="5">
        <f>'balance_raw_19828131'!$C$9</f>
        <v/>
      </c>
      <c r="D30" s="5">
        <f>'balance_raw_19828131'!$D$9</f>
        <v/>
      </c>
      <c r="E30" s="5">
        <f>'balance_raw_19828131'!$E$9</f>
        <v/>
      </c>
      <c r="F30" s="5">
        <f>'balance_raw_19828131'!$F$9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'balance_raw_19828131'!$B$10</f>
        <v/>
      </c>
      <c r="C31" s="8">
        <f>'balance_raw_19828131'!$C$10</f>
        <v/>
      </c>
      <c r="D31" s="8">
        <f>'balance_raw_19828131'!$D$10</f>
        <v/>
      </c>
      <c r="E31" s="8">
        <f>'balance_raw_19828131'!$E$10</f>
        <v/>
      </c>
      <c r="F31" s="8">
        <f>'balance_raw_19828131'!$F$10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'balance_raw_19828131'!$B$11</f>
        <v/>
      </c>
      <c r="C32" s="11">
        <f>'balance_raw_19828131'!$C$11</f>
        <v/>
      </c>
      <c r="D32" s="11">
        <f>'balance_raw_19828131'!$D$11</f>
        <v/>
      </c>
      <c r="E32" s="11">
        <f>'balance_raw_19828131'!$E$11</f>
        <v/>
      </c>
      <c r="F32" s="11">
        <f>'balance_raw_19828131'!$F$11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'balance_raw_19828131'!$B$12</f>
        <v/>
      </c>
      <c r="C33" s="11">
        <f>'balance_raw_19828131'!$C$12</f>
        <v/>
      </c>
      <c r="D33" s="11">
        <f>'balance_raw_19828131'!$D$12</f>
        <v/>
      </c>
      <c r="E33" s="11">
        <f>'balance_raw_19828131'!$E$12</f>
        <v/>
      </c>
      <c r="F33" s="11">
        <f>'balance_raw_19828131'!$F$12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'balance_raw_19828131'!$B$13</f>
        <v/>
      </c>
      <c r="C34" s="5">
        <f>'balance_raw_19828131'!$C$13</f>
        <v/>
      </c>
      <c r="D34" s="5">
        <f>'balance_raw_19828131'!$D$13</f>
        <v/>
      </c>
      <c r="E34" s="5">
        <f>'balance_raw_19828131'!$E$13</f>
        <v/>
      </c>
      <c r="F34" s="5">
        <f>'balance_raw_19828131'!$F$13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'balance_raw_19828131'!$B$14</f>
        <v/>
      </c>
      <c r="C35" s="8">
        <f>'balance_raw_19828131'!$C$14</f>
        <v/>
      </c>
      <c r="D35" s="8">
        <f>'balance_raw_19828131'!$D$14</f>
        <v/>
      </c>
      <c r="E35" s="8">
        <f>'balance_raw_19828131'!$E$14</f>
        <v/>
      </c>
      <c r="F35" s="8">
        <f>'balance_raw_19828131'!$F$14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'balance_raw_19828131'!$B$15</f>
        <v/>
      </c>
      <c r="C36" s="5">
        <f>'balance_raw_19828131'!$C$15</f>
        <v/>
      </c>
      <c r="D36" s="5">
        <f>'balance_raw_19828131'!$D$15</f>
        <v/>
      </c>
      <c r="E36" s="5">
        <f>'balance_raw_19828131'!$E$15</f>
        <v/>
      </c>
      <c r="F36" s="5">
        <f>'balance_raw_19828131'!$F$15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'balance_raw_19828131'!$B$16</f>
        <v/>
      </c>
      <c r="C37" s="11">
        <f>'balance_raw_19828131'!$C$16</f>
        <v/>
      </c>
      <c r="D37" s="11">
        <f>'balance_raw_19828131'!$D$16</f>
        <v/>
      </c>
      <c r="E37" s="11">
        <f>'balance_raw_19828131'!$E$16</f>
        <v/>
      </c>
      <c r="F37" s="11">
        <f>'balance_raw_19828131'!$F$16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'balance_raw_19828131'!$B$17</f>
        <v/>
      </c>
      <c r="C38" s="5">
        <f>'balance_raw_19828131'!$C$17</f>
        <v/>
      </c>
      <c r="D38" s="5">
        <f>'balance_raw_19828131'!$D$17</f>
        <v/>
      </c>
      <c r="E38" s="5">
        <f>'balance_raw_19828131'!$E$17</f>
        <v/>
      </c>
      <c r="F38" s="5">
        <f>'balance_raw_19828131'!$F$17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'balance_raw_19828131'!$B$18</f>
        <v/>
      </c>
      <c r="C39" s="8">
        <f>'balance_raw_19828131'!$C$18</f>
        <v/>
      </c>
      <c r="D39" s="8">
        <f>'balance_raw_19828131'!$D$18</f>
        <v/>
      </c>
      <c r="E39" s="8">
        <f>'balance_raw_19828131'!$E$18</f>
        <v/>
      </c>
      <c r="F39" s="8">
        <f>'balance_raw_19828131'!$F$18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'balance_raw_19828131'!$B$19</f>
        <v/>
      </c>
      <c r="C40" s="5">
        <f>'balance_raw_19828131'!$C$19</f>
        <v/>
      </c>
      <c r="D40" s="5">
        <f>'balance_raw_19828131'!$D$19</f>
        <v/>
      </c>
      <c r="E40" s="5">
        <f>'balance_raw_19828131'!$E$19</f>
        <v/>
      </c>
      <c r="F40" s="5">
        <f>'balance_raw_19828131'!$F$19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'balance_raw_19828131'!$B$20</f>
        <v/>
      </c>
      <c r="C41" s="8">
        <f>'balance_raw_19828131'!$C$20</f>
        <v/>
      </c>
      <c r="D41" s="8">
        <f>'balance_raw_19828131'!$D$20</f>
        <v/>
      </c>
      <c r="E41" s="8">
        <f>'balance_raw_19828131'!$E$20</f>
        <v/>
      </c>
      <c r="F41" s="8">
        <f>'balance_raw_19828131'!$F$20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'balance_raw_19828131'!$B$21</f>
        <v/>
      </c>
      <c r="C42" s="5">
        <f>'balance_raw_19828131'!$C$21</f>
        <v/>
      </c>
      <c r="D42" s="5">
        <f>'balance_raw_19828131'!$D$21</f>
        <v/>
      </c>
      <c r="E42" s="5">
        <f>'balance_raw_19828131'!$E$21</f>
        <v/>
      </c>
      <c r="F42" s="5">
        <f>'balance_raw_19828131'!$F$21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'balance_raw_19828131'!$B$22</f>
        <v/>
      </c>
      <c r="C43" s="8">
        <f>'balance_raw_19828131'!$C$22</f>
        <v/>
      </c>
      <c r="D43" s="8">
        <f>'balance_raw_19828131'!$D$22</f>
        <v/>
      </c>
      <c r="E43" s="8">
        <f>'balance_raw_19828131'!$E$22</f>
        <v/>
      </c>
      <c r="F43" s="8">
        <f>'balance_raw_19828131'!$F$22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'balance_raw_19828131'!$B$23</f>
        <v/>
      </c>
      <c r="C44" s="5">
        <f>'balance_raw_19828131'!$C$23</f>
        <v/>
      </c>
      <c r="D44" s="5">
        <f>'balance_raw_19828131'!$D$23</f>
        <v/>
      </c>
      <c r="E44" s="5">
        <f>'balance_raw_19828131'!$E$23</f>
        <v/>
      </c>
      <c r="F44" s="5">
        <f>'balance_raw_19828131'!$F$23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'balance_raw_19828131'!$B$24</f>
        <v/>
      </c>
      <c r="C45" s="11">
        <f>'balance_raw_19828131'!$C$24</f>
        <v/>
      </c>
      <c r="D45" s="11">
        <f>'balance_raw_19828131'!$D$24</f>
        <v/>
      </c>
      <c r="E45" s="11">
        <f>'balance_raw_19828131'!$E$24</f>
        <v/>
      </c>
      <c r="F45" s="11">
        <f>'balance_raw_19828131'!$F$24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'balance_raw_19828131'!$B$25</f>
        <v/>
      </c>
      <c r="C46" s="5">
        <f>'balance_raw_19828131'!$C$25</f>
        <v/>
      </c>
      <c r="D46" s="5">
        <f>'balance_raw_19828131'!$D$25</f>
        <v/>
      </c>
      <c r="E46" s="5">
        <f>'balance_raw_19828131'!$E$25</f>
        <v/>
      </c>
      <c r="F46" s="5">
        <f>'balance_raw_19828131'!$F$25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'balance_raw_19828131'!$B$26</f>
        <v/>
      </c>
      <c r="C47" s="8">
        <f>'balance_raw_19828131'!$C$26</f>
        <v/>
      </c>
      <c r="D47" s="8">
        <f>'balance_raw_19828131'!$D$26</f>
        <v/>
      </c>
      <c r="E47" s="8">
        <f>'balance_raw_19828131'!$E$26</f>
        <v/>
      </c>
      <c r="F47" s="8">
        <f>'balance_raw_19828131'!$F$26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'balance_raw_19828131'!$B$27</f>
        <v/>
      </c>
      <c r="C48" s="11">
        <f>'balance_raw_19828131'!$C$27</f>
        <v/>
      </c>
      <c r="D48" s="11">
        <f>'balance_raw_19828131'!$D$27</f>
        <v/>
      </c>
      <c r="E48" s="11">
        <f>'balance_raw_19828131'!$E$27</f>
        <v/>
      </c>
      <c r="F48" s="11">
        <f>'balance_raw_19828131'!$F$27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'balance_raw_19828131'!$B$28</f>
        <v/>
      </c>
      <c r="C49" s="11">
        <f>'balance_raw_19828131'!$C$28</f>
        <v/>
      </c>
      <c r="D49" s="11">
        <f>'balance_raw_19828131'!$D$28</f>
        <v/>
      </c>
      <c r="E49" s="11">
        <f>'balance_raw_19828131'!$E$28</f>
        <v/>
      </c>
      <c r="F49" s="11">
        <f>'balance_raw_19828131'!$F$28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'balance_raw_19828131'!$B$29</f>
        <v/>
      </c>
      <c r="C52" s="5">
        <f>'balance_raw_19828131'!$C$29</f>
        <v/>
      </c>
      <c r="D52" s="5">
        <f>'balance_raw_19828131'!$D$29</f>
        <v/>
      </c>
      <c r="E52" s="5">
        <f>'balance_raw_19828131'!$E$29</f>
        <v/>
      </c>
      <c r="F52" s="5">
        <f>'balance_raw_19828131'!$F$29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'balance_raw_19828131'!$B$30</f>
        <v/>
      </c>
      <c r="C53" s="8">
        <f>'balance_raw_19828131'!$C$30</f>
        <v/>
      </c>
      <c r="D53" s="8">
        <f>'balance_raw_19828131'!$D$30</f>
        <v/>
      </c>
      <c r="E53" s="8">
        <f>'balance_raw_19828131'!$E$30</f>
        <v/>
      </c>
      <c r="F53" s="8">
        <f>'balance_raw_19828131'!$F$30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'balance_raw_19828131'!$B$31</f>
        <v/>
      </c>
      <c r="C54" s="5">
        <f>'balance_raw_19828131'!$C$31</f>
        <v/>
      </c>
      <c r="D54" s="5">
        <f>'balance_raw_19828131'!$D$31</f>
        <v/>
      </c>
      <c r="E54" s="5">
        <f>'balance_raw_19828131'!$E$31</f>
        <v/>
      </c>
      <c r="F54" s="5">
        <f>'balance_raw_19828131'!$F$31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'balance_raw_19828131'!$B$32</f>
        <v/>
      </c>
      <c r="C55" s="8">
        <f>'balance_raw_19828131'!$C$32</f>
        <v/>
      </c>
      <c r="D55" s="8">
        <f>'balance_raw_19828131'!$D$32</f>
        <v/>
      </c>
      <c r="E55" s="8">
        <f>'balance_raw_19828131'!$E$32</f>
        <v/>
      </c>
      <c r="F55" s="8">
        <f>'balance_raw_19828131'!$F$32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'balance_raw_19828131'!$B$33</f>
        <v/>
      </c>
      <c r="C56" s="5">
        <f>'balance_raw_19828131'!$C$33</f>
        <v/>
      </c>
      <c r="D56" s="5">
        <f>'balance_raw_19828131'!$D$33</f>
        <v/>
      </c>
      <c r="E56" s="5">
        <f>'balance_raw_19828131'!$E$33</f>
        <v/>
      </c>
      <c r="F56" s="5">
        <f>'balance_raw_19828131'!$F$33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'balance_raw_19828131'!$B$34</f>
        <v/>
      </c>
      <c r="C57" s="8">
        <f>'balance_raw_19828131'!$C$34</f>
        <v/>
      </c>
      <c r="D57" s="8">
        <f>'balance_raw_19828131'!$D$34</f>
        <v/>
      </c>
      <c r="E57" s="8">
        <f>'balance_raw_19828131'!$E$34</f>
        <v/>
      </c>
      <c r="F57" s="8">
        <f>'balance_raw_19828131'!$F$34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'balance_raw_19828131'!$B$35</f>
        <v/>
      </c>
      <c r="C58" s="11">
        <f>'balance_raw_19828131'!$C$35</f>
        <v/>
      </c>
      <c r="D58" s="11">
        <f>'balance_raw_19828131'!$D$35</f>
        <v/>
      </c>
      <c r="E58" s="11">
        <f>'balance_raw_19828131'!$E$35</f>
        <v/>
      </c>
      <c r="F58" s="11">
        <f>'balance_raw_19828131'!$F$35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'balance_raw_19828131'!$B$36</f>
        <v/>
      </c>
      <c r="C59" s="8">
        <f>'balance_raw_19828131'!$C$36</f>
        <v/>
      </c>
      <c r="D59" s="8">
        <f>'balance_raw_19828131'!$D$36</f>
        <v/>
      </c>
      <c r="E59" s="8">
        <f>'balance_raw_19828131'!$E$36</f>
        <v/>
      </c>
      <c r="F59" s="8">
        <f>'balance_raw_19828131'!$F$36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'balance_raw_19828131'!$B$37</f>
        <v/>
      </c>
      <c r="C60" s="11">
        <f>'balance_raw_19828131'!$C$37</f>
        <v/>
      </c>
      <c r="D60" s="11">
        <f>'balance_raw_19828131'!$D$37</f>
        <v/>
      </c>
      <c r="E60" s="11">
        <f>'balance_raw_19828131'!$E$37</f>
        <v/>
      </c>
      <c r="F60" s="11">
        <f>'balance_raw_19828131'!$F$37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'balance_raw_19828131'!$B$38</f>
        <v/>
      </c>
      <c r="C61" s="8">
        <f>'balance_raw_19828131'!$C$38</f>
        <v/>
      </c>
      <c r="D61" s="8">
        <f>'balance_raw_19828131'!$D$38</f>
        <v/>
      </c>
      <c r="E61" s="8">
        <f>'balance_raw_19828131'!$E$38</f>
        <v/>
      </c>
      <c r="F61" s="8">
        <f>'balance_raw_19828131'!$F$38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'balance_raw_19828131'!$B$39</f>
        <v/>
      </c>
      <c r="C62" s="5">
        <f>'balance_raw_19828131'!$C$39</f>
        <v/>
      </c>
      <c r="D62" s="5">
        <f>'balance_raw_19828131'!$D$39</f>
        <v/>
      </c>
      <c r="E62" s="5">
        <f>'balance_raw_19828131'!$E$39</f>
        <v/>
      </c>
      <c r="F62" s="5">
        <f>'balance_raw_19828131'!$F$39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'balance_raw_19828131'!$B$40</f>
        <v/>
      </c>
      <c r="C63" s="8">
        <f>'balance_raw_19828131'!$C$40</f>
        <v/>
      </c>
      <c r="D63" s="8">
        <f>'balance_raw_19828131'!$D$40</f>
        <v/>
      </c>
      <c r="E63" s="8">
        <f>'balance_raw_19828131'!$E$40</f>
        <v/>
      </c>
      <c r="F63" s="8">
        <f>'balance_raw_19828131'!$F$40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'balance_raw_19828131'!$B$41</f>
        <v/>
      </c>
      <c r="C64" s="5">
        <f>'balance_raw_19828131'!$C$41</f>
        <v/>
      </c>
      <c r="D64" s="5">
        <f>'balance_raw_19828131'!$D$41</f>
        <v/>
      </c>
      <c r="E64" s="5">
        <f>'balance_raw_19828131'!$E$41</f>
        <v/>
      </c>
      <c r="F64" s="5">
        <f>'balance_raw_19828131'!$F$41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'balance_raw_19828131'!$B$42</f>
        <v/>
      </c>
      <c r="C65" s="11">
        <f>'balance_raw_19828131'!$C$42</f>
        <v/>
      </c>
      <c r="D65" s="11">
        <f>'balance_raw_19828131'!$D$42</f>
        <v/>
      </c>
      <c r="E65" s="11">
        <f>'balance_raw_19828131'!$E$42</f>
        <v/>
      </c>
      <c r="F65" s="11">
        <f>'balance_raw_19828131'!$F$42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'balance_raw_19828131'!$B$43</f>
        <v/>
      </c>
      <c r="C66" s="5">
        <f>'balance_raw_19828131'!$C$43</f>
        <v/>
      </c>
      <c r="D66" s="5">
        <f>'balance_raw_19828131'!$D$43</f>
        <v/>
      </c>
      <c r="E66" s="5">
        <f>'balance_raw_19828131'!$E$43</f>
        <v/>
      </c>
      <c r="F66" s="5">
        <f>'balance_raw_19828131'!$F$43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'balance_raw_19828131'!$B$44</f>
        <v/>
      </c>
      <c r="C67" s="8">
        <f>'balance_raw_19828131'!$C$44</f>
        <v/>
      </c>
      <c r="D67" s="8">
        <f>'balance_raw_19828131'!$D$44</f>
        <v/>
      </c>
      <c r="E67" s="8">
        <f>'balance_raw_19828131'!$E$44</f>
        <v/>
      </c>
      <c r="F67" s="8">
        <f>'balance_raw_19828131'!$F$44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'balance_raw_19828131'!$B$45</f>
        <v/>
      </c>
      <c r="C68" s="5">
        <f>'balance_raw_19828131'!$C$45</f>
        <v/>
      </c>
      <c r="D68" s="5">
        <f>'balance_raw_19828131'!$D$45</f>
        <v/>
      </c>
      <c r="E68" s="5">
        <f>'balance_raw_19828131'!$E$45</f>
        <v/>
      </c>
      <c r="F68" s="5">
        <f>'balance_raw_19828131'!$F$45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'balance_raw_19828131'!$B$46</f>
        <v/>
      </c>
      <c r="C69" s="8">
        <f>'balance_raw_19828131'!$C$46</f>
        <v/>
      </c>
      <c r="D69" s="8">
        <f>'balance_raw_19828131'!$D$46</f>
        <v/>
      </c>
      <c r="E69" s="8">
        <f>'balance_raw_19828131'!$E$46</f>
        <v/>
      </c>
      <c r="F69" s="8">
        <f>'balance_raw_19828131'!$F$46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'balance_raw_19828131'!$B$47</f>
        <v/>
      </c>
      <c r="C70" s="5">
        <f>'balance_raw_19828131'!$C$47</f>
        <v/>
      </c>
      <c r="D70" s="5">
        <f>'balance_raw_19828131'!$D$47</f>
        <v/>
      </c>
      <c r="E70" s="5">
        <f>'balance_raw_19828131'!$E$47</f>
        <v/>
      </c>
      <c r="F70" s="5">
        <f>'balance_raw_19828131'!$F$47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'balance_raw_19828131'!$B$48</f>
        <v/>
      </c>
      <c r="C71" s="8">
        <f>'balance_raw_19828131'!$C$48</f>
        <v/>
      </c>
      <c r="D71" s="8">
        <f>'balance_raw_19828131'!$D$48</f>
        <v/>
      </c>
      <c r="E71" s="8">
        <f>'balance_raw_19828131'!$E$48</f>
        <v/>
      </c>
      <c r="F71" s="8">
        <f>'balance_raw_19828131'!$F$48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'balance_raw_19828131'!$B$49</f>
        <v/>
      </c>
      <c r="C72" s="5">
        <f>'balance_raw_19828131'!$C$49</f>
        <v/>
      </c>
      <c r="D72" s="5">
        <f>'balance_raw_19828131'!$D$49</f>
        <v/>
      </c>
      <c r="E72" s="5">
        <f>'balance_raw_19828131'!$E$49</f>
        <v/>
      </c>
      <c r="F72" s="5">
        <f>'balance_raw_19828131'!$F$49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'balance_raw_19828131'!$B$50</f>
        <v/>
      </c>
      <c r="C73" s="8">
        <f>'balance_raw_19828131'!$C$50</f>
        <v/>
      </c>
      <c r="D73" s="8">
        <f>'balance_raw_19828131'!$D$50</f>
        <v/>
      </c>
      <c r="E73" s="8">
        <f>'balance_raw_19828131'!$E$50</f>
        <v/>
      </c>
      <c r="F73" s="8">
        <f>'balance_raw_19828131'!$F$50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'balance_raw_19828131'!$B$51</f>
        <v/>
      </c>
      <c r="C74" s="5">
        <f>'balance_raw_19828131'!$C$51</f>
        <v/>
      </c>
      <c r="D74" s="5">
        <f>'balance_raw_19828131'!$D$51</f>
        <v/>
      </c>
      <c r="E74" s="5">
        <f>'balance_raw_19828131'!$E$51</f>
        <v/>
      </c>
      <c r="F74" s="5">
        <f>'balance_raw_19828131'!$F$51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'balance_raw_19828131'!$B$52</f>
        <v/>
      </c>
      <c r="C75" s="8">
        <f>'balance_raw_19828131'!$C$52</f>
        <v/>
      </c>
      <c r="D75" s="8">
        <f>'balance_raw_19828131'!$D$52</f>
        <v/>
      </c>
      <c r="E75" s="8">
        <f>'balance_raw_19828131'!$E$52</f>
        <v/>
      </c>
      <c r="F75" s="8">
        <f>'balance_raw_19828131'!$F$52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'balance_raw_19828131'!$B$53</f>
        <v/>
      </c>
      <c r="C76" s="5">
        <f>'balance_raw_19828131'!$C$53</f>
        <v/>
      </c>
      <c r="D76" s="5">
        <f>'balance_raw_19828131'!$D$53</f>
        <v/>
      </c>
      <c r="E76" s="5">
        <f>'balance_raw_19828131'!$E$53</f>
        <v/>
      </c>
      <c r="F76" s="5">
        <f>'balance_raw_19828131'!$F$53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'balance_raw_19828131'!$B$54</f>
        <v/>
      </c>
      <c r="C77" s="11">
        <f>'balance_raw_19828131'!$C$54</f>
        <v/>
      </c>
      <c r="D77" s="11">
        <f>'balance_raw_19828131'!$D$54</f>
        <v/>
      </c>
      <c r="E77" s="11">
        <f>'balance_raw_19828131'!$E$54</f>
        <v/>
      </c>
      <c r="F77" s="11">
        <f>'balance_raw_19828131'!$F$54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'balance_raw_19828131'!$B$55</f>
        <v/>
      </c>
      <c r="C78" s="11">
        <f>'balance_raw_19828131'!$C$55</f>
        <v/>
      </c>
      <c r="D78" s="11">
        <f>'balance_raw_19828131'!$D$55</f>
        <v/>
      </c>
      <c r="E78" s="11">
        <f>'balance_raw_19828131'!$E$55</f>
        <v/>
      </c>
      <c r="F78" s="11">
        <f>'balance_raw_19828131'!$F$55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'balance_raw_19828131'!$B$56</f>
        <v/>
      </c>
      <c r="C79" s="11">
        <f>'balance_raw_19828131'!$C$56</f>
        <v/>
      </c>
      <c r="D79" s="11">
        <f>'balance_raw_19828131'!$D$56</f>
        <v/>
      </c>
      <c r="E79" s="11">
        <f>'balance_raw_19828131'!$E$56</f>
        <v/>
      </c>
      <c r="F79" s="11">
        <f>'balance_raw_19828131'!$F$56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'res_raw_19828131'!$B$19</f>
        <v/>
      </c>
      <c r="C82" s="5">
        <f>'res_raw_19828131'!$C$19</f>
        <v/>
      </c>
      <c r="D82" s="5">
        <f>'res_raw_19828131'!$D$19</f>
        <v/>
      </c>
      <c r="E82" s="5">
        <f>'res_raw_19828131'!$E$19</f>
        <v/>
      </c>
      <c r="F82" s="5">
        <f>'res_raw_19828131'!$F$19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'res_raw_19828131'!$B$20</f>
        <v/>
      </c>
      <c r="C83" s="8">
        <f>'res_raw_19828131'!$C$20</f>
        <v/>
      </c>
      <c r="D83" s="8">
        <f>'res_raw_19828131'!$D$20</f>
        <v/>
      </c>
      <c r="E83" s="8">
        <f>'res_raw_19828131'!$E$20</f>
        <v/>
      </c>
      <c r="F83" s="8">
        <f>'res_raw_19828131'!$F$20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IFERROR($B$33/($B$58+$B$65)*100,"")</f>
        <v/>
      </c>
      <c r="C96" s="13">
        <f>IFERROR($C$33/($C$58+$C$65)*100,"")</f>
        <v/>
      </c>
      <c r="D96" s="13">
        <f>IFERROR($D$33/($D$58+$D$65)*100,"")</f>
        <v/>
      </c>
      <c r="E96" s="13">
        <f>IFERROR($E$33/($E$58+$E$65)*100,"")</f>
        <v/>
      </c>
      <c r="F96" s="13">
        <f>IFERROR($F$33/($F$58+$F$65)*100,"")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'pengestrom_raw_19828131'!$B$2</f>
        <v/>
      </c>
      <c r="C99" s="17">
        <f>'pengestrom_raw_19828131'!$C$2</f>
        <v/>
      </c>
      <c r="D99" s="17">
        <f>'pengestrom_raw_19828131'!$D$2</f>
        <v/>
      </c>
      <c r="E99" s="17">
        <f>'pengestrom_raw_19828131'!$E$2</f>
        <v/>
      </c>
      <c r="F99" s="17">
        <f>'pengestrom_raw_19828131'!$F$2</f>
        <v/>
      </c>
    </row>
    <row r="100">
      <c r="A100" s="16" t="inlineStr">
        <is>
          <t>Pengestrømme fra investeringsaktivitet</t>
        </is>
      </c>
      <c r="B100" s="17">
        <f>'pengestrom_raw_19828131'!$B$3</f>
        <v/>
      </c>
      <c r="C100" s="17">
        <f>'pengestrom_raw_19828131'!$C$3</f>
        <v/>
      </c>
      <c r="D100" s="17">
        <f>'pengestrom_raw_19828131'!$D$3</f>
        <v/>
      </c>
      <c r="E100" s="17">
        <f>'pengestrom_raw_19828131'!$E$3</f>
        <v/>
      </c>
      <c r="F100" s="17">
        <f>'pengestrom_raw_19828131'!$F$3</f>
        <v/>
      </c>
    </row>
    <row r="101">
      <c r="A101" s="16" t="inlineStr">
        <is>
          <t>Pengestrømme fra finansieringsaktivitet</t>
        </is>
      </c>
      <c r="B101" s="17">
        <f>'pengestrom_raw_19828131'!$B$4</f>
        <v/>
      </c>
      <c r="C101" s="17">
        <f>'pengestrom_raw_19828131'!$C$4</f>
        <v/>
      </c>
      <c r="D101" s="17">
        <f>'pengestrom_raw_19828131'!$D$4</f>
        <v/>
      </c>
      <c r="E101" s="17">
        <f>'pengestrom_raw_19828131'!$E$4</f>
        <v/>
      </c>
      <c r="F101" s="17">
        <f>'pengestrom_raw_19828131'!$F$4</f>
        <v/>
      </c>
    </row>
    <row r="102">
      <c r="A102" s="16" t="inlineStr">
        <is>
          <t>Årets pengestrøm (rapporteret)</t>
        </is>
      </c>
      <c r="B102" s="17">
        <f>'pengestrom_raw_19828131'!$B$5</f>
        <v/>
      </c>
      <c r="C102" s="17">
        <f>'pengestrom_raw_19828131'!$C$5</f>
        <v/>
      </c>
      <c r="D102" s="17">
        <f>'pengestrom_raw_19828131'!$D$5</f>
        <v/>
      </c>
      <c r="E102" s="17">
        <f>'pengestrom_raw_19828131'!$E$5</f>
        <v/>
      </c>
      <c r="F102" s="17">
        <f>'pengestrom_raw_19828131'!$F$5</f>
        <v/>
      </c>
    </row>
    <row r="103">
      <c r="A103" s="16" t="inlineStr">
        <is>
          <t>Krydstjek: drift + inv. + fin. = årets pengestrøm</t>
        </is>
      </c>
      <c r="B103">
        <f>IF(ABS(('pengestrom_raw_19828131'!$B$2+'pengestrom_raw_19828131'!$B$3+'pengestrom_raw_19828131'!$B$4)-'pengestrom_raw_19828131'!$B$5)&lt;=2,"✓","⚠ "&amp;TEXT(('pengestrom_raw_19828131'!$B$2+'pengestrom_raw_19828131'!$B$3+'pengestrom_raw_19828131'!$B$4)-'pengestrom_raw_19828131'!$B$5,"+#,##0;-#,##0"))</f>
        <v/>
      </c>
      <c r="C103">
        <f>IF(ABS(('pengestrom_raw_19828131'!$C$2+'pengestrom_raw_19828131'!$C$3+'pengestrom_raw_19828131'!$C$4)-'pengestrom_raw_19828131'!$C$5)&lt;=2,"✓","⚠ "&amp;TEXT(('pengestrom_raw_19828131'!$C$2+'pengestrom_raw_19828131'!$C$3+'pengestrom_raw_19828131'!$C$4)-'pengestrom_raw_19828131'!$C$5,"+#,##0;-#,##0"))</f>
        <v/>
      </c>
      <c r="D103">
        <f>IF(ABS(('pengestrom_raw_19828131'!$D$2+'pengestrom_raw_19828131'!$D$3+'pengestrom_raw_19828131'!$D$4)-'pengestrom_raw_19828131'!$D$5)&lt;=2,"✓","⚠ "&amp;TEXT(('pengestrom_raw_19828131'!$D$2+'pengestrom_raw_19828131'!$D$3+'pengestrom_raw_19828131'!$D$4)-'pengestrom_raw_19828131'!$D$5,"+#,##0;-#,##0"))</f>
        <v/>
      </c>
      <c r="E103">
        <f>IF(ABS(('pengestrom_raw_19828131'!$E$2+'pengestrom_raw_19828131'!$E$3+'pengestrom_raw_19828131'!$E$4)-'pengestrom_raw_19828131'!$E$5)&lt;=2,"✓","⚠ "&amp;TEXT(('pengestrom_raw_19828131'!$E$2+'pengestrom_raw_19828131'!$E$3+'pengestrom_raw_19828131'!$E$4)-'pengestrom_raw_19828131'!$E$5,"+#,##0;-#,##0"))</f>
        <v/>
      </c>
      <c r="F103">
        <f>IF(ABS(('pengestrom_raw_19828131'!$F$2+'pengestrom_raw_19828131'!$F$3+'pengestrom_raw_19828131'!$F$4)-'pengestrom_raw_19828131'!$F$5)&lt;=2,"✓","⚠ "&amp;TEXT(('pengestrom_raw_19828131'!$F$2+'pengestrom_raw_19828131'!$F$3+'pengestrom_raw_19828131'!$F$4)-'pengestrom_raw_19828131'!$F$5,"+#,##0;-#,##0"))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ChemoMetec A/S (CVR 19828131)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281127</v>
      </c>
      <c r="C2" s="17" t="n">
        <v>427160</v>
      </c>
      <c r="D2" s="17" t="n">
        <v>442274</v>
      </c>
      <c r="E2" s="17" t="n">
        <v>407350</v>
      </c>
      <c r="F2" s="17" t="n">
        <v>495572</v>
      </c>
    </row>
    <row r="3">
      <c r="A3" s="16" t="inlineStr">
        <is>
          <t>Andre driftsindtægter</t>
        </is>
      </c>
      <c r="B3" s="17" t="n"/>
      <c r="C3" s="17" t="n">
        <v>1231</v>
      </c>
      <c r="D3" s="17" t="n">
        <v>2127</v>
      </c>
      <c r="E3" s="17" t="n">
        <v>520</v>
      </c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253344</v>
      </c>
      <c r="C6" s="17" t="n">
        <v>384253</v>
      </c>
      <c r="D6" s="17" t="n">
        <v>411500</v>
      </c>
      <c r="E6" s="17" t="n">
        <v>367595</v>
      </c>
      <c r="F6" s="17" t="n">
        <v>465509</v>
      </c>
    </row>
    <row r="7">
      <c r="A7" s="16" t="inlineStr">
        <is>
          <t>Personaleomkostninger</t>
        </is>
      </c>
      <c r="B7" s="17" t="n">
        <v>94273</v>
      </c>
      <c r="C7" s="17" t="n">
        <v>120060</v>
      </c>
      <c r="D7" s="17" t="n">
        <v>115754</v>
      </c>
      <c r="E7" s="17" t="n">
        <v>135226</v>
      </c>
      <c r="F7" s="17" t="n">
        <v>153913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19607</v>
      </c>
      <c r="C9" s="17" t="n">
        <v>20038</v>
      </c>
      <c r="D9" s="17" t="n">
        <v>20469</v>
      </c>
      <c r="E9" s="17" t="n">
        <v>17209</v>
      </c>
      <c r="F9" s="17" t="n">
        <v>21532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116023</v>
      </c>
      <c r="C11" s="17" t="n">
        <v>202854</v>
      </c>
      <c r="D11" s="17" t="n">
        <v>230561</v>
      </c>
      <c r="E11" s="17" t="n">
        <v>168966</v>
      </c>
      <c r="F11" s="17" t="n">
        <v>236516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920</v>
      </c>
      <c r="C13" s="17" t="n">
        <v>1883</v>
      </c>
      <c r="D13" s="17" t="n">
        <v>2516</v>
      </c>
      <c r="E13" s="17" t="n">
        <v>8900</v>
      </c>
      <c r="F13" s="17" t="n">
        <v>5899</v>
      </c>
    </row>
    <row r="14">
      <c r="A14" s="16" t="inlineStr">
        <is>
          <t>Finansielle omkostninger</t>
        </is>
      </c>
      <c r="B14" s="17" t="n">
        <v>4210</v>
      </c>
      <c r="C14" s="17" t="n">
        <v>1518</v>
      </c>
      <c r="D14" s="17" t="n">
        <v>2717</v>
      </c>
      <c r="E14" s="17" t="n">
        <v>1280</v>
      </c>
      <c r="F14" s="17" t="n">
        <v>2402</v>
      </c>
    </row>
    <row r="15">
      <c r="A15" s="15" t="inlineStr">
        <is>
          <t>Finansielle poster, netto</t>
        </is>
      </c>
      <c r="B15" s="17" t="n">
        <v>-3290</v>
      </c>
      <c r="C15" s="17" t="n">
        <v>365</v>
      </c>
      <c r="D15" s="17" t="n">
        <v>-201</v>
      </c>
      <c r="E15" s="17" t="n">
        <v>7620</v>
      </c>
      <c r="F15" s="17" t="n">
        <v>3497</v>
      </c>
    </row>
    <row r="16">
      <c r="A16" s="15" t="inlineStr">
        <is>
          <t>Resultat før skat</t>
        </is>
      </c>
      <c r="B16" s="17" t="n">
        <v>112733</v>
      </c>
      <c r="C16" s="17" t="n">
        <v>203220</v>
      </c>
      <c r="D16" s="17" t="n">
        <v>230360</v>
      </c>
      <c r="E16" s="17" t="n">
        <v>176586</v>
      </c>
      <c r="F16" s="17" t="n">
        <v>240013</v>
      </c>
    </row>
    <row r="17">
      <c r="A17" s="16" t="inlineStr">
        <is>
          <t>Skat af årets resultat</t>
        </is>
      </c>
      <c r="B17" s="17" t="n">
        <v>24379</v>
      </c>
      <c r="C17" s="17" t="n">
        <v>43751</v>
      </c>
      <c r="D17" s="17" t="n">
        <v>51693</v>
      </c>
      <c r="E17" s="17" t="n">
        <v>40302</v>
      </c>
      <c r="F17" s="17" t="n">
        <v>53608</v>
      </c>
    </row>
    <row r="18">
      <c r="A18" s="15" t="inlineStr">
        <is>
          <t>Årets resultat</t>
        </is>
      </c>
      <c r="B18" s="17" t="n">
        <v>88354</v>
      </c>
      <c r="C18" s="17" t="n">
        <v>159469</v>
      </c>
      <c r="D18" s="17" t="n">
        <v>178667</v>
      </c>
      <c r="E18" s="17" t="n">
        <v>136284</v>
      </c>
      <c r="F18" s="17" t="n">
        <v>186405</v>
      </c>
    </row>
    <row r="19">
      <c r="A19" s="16" t="inlineStr">
        <is>
          <t>Gns. antal medarbejdere</t>
        </is>
      </c>
      <c r="B19" s="17" t="n">
        <v>128</v>
      </c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-11249</v>
      </c>
      <c r="C20" s="17" t="n">
        <v>39101</v>
      </c>
      <c r="D20" s="17" t="n">
        <v>21181</v>
      </c>
      <c r="E20" s="17" t="n">
        <v>20947</v>
      </c>
      <c r="F20" s="17" t="n">
        <v>29867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ChemoMetec A/S (CVR 19828131)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26374</v>
      </c>
      <c r="D2" s="17" t="n">
        <v>21732</v>
      </c>
      <c r="E2" s="17" t="n">
        <v>20617</v>
      </c>
      <c r="F2" s="17" t="n">
        <v>86294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>
        <v>7350</v>
      </c>
    </row>
    <row r="5">
      <c r="A5" s="15" t="inlineStr">
        <is>
          <t>Immaterielle anlægsaktiver</t>
        </is>
      </c>
      <c r="B5" s="17" t="n">
        <v>57884</v>
      </c>
      <c r="C5" s="17" t="n">
        <v>67398</v>
      </c>
      <c r="D5" s="17" t="n">
        <v>79663</v>
      </c>
      <c r="E5" s="17" t="n">
        <v>94547</v>
      </c>
      <c r="F5" s="17" t="n">
        <v>153041</v>
      </c>
    </row>
    <row r="6">
      <c r="A6" s="16" t="inlineStr">
        <is>
          <t>Grunde og bygninger</t>
        </is>
      </c>
      <c r="B6" s="17" t="n">
        <v>24172</v>
      </c>
      <c r="C6" s="17" t="n">
        <v>48392</v>
      </c>
      <c r="D6" s="17" t="n">
        <v>56003</v>
      </c>
      <c r="E6" s="17" t="n">
        <v>54388</v>
      </c>
      <c r="F6" s="17" t="n">
        <v>54798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>
        <v>7714</v>
      </c>
      <c r="D10" s="17" t="n">
        <v>13537</v>
      </c>
      <c r="E10" s="17" t="n">
        <v>28173</v>
      </c>
      <c r="F10" s="17" t="n">
        <v>41353</v>
      </c>
    </row>
    <row r="11">
      <c r="A11" s="15" t="inlineStr">
        <is>
          <t>Materielle anlægsaktiver</t>
        </is>
      </c>
      <c r="B11" s="17" t="n">
        <v>42496</v>
      </c>
      <c r="C11" s="17" t="n">
        <v>5326</v>
      </c>
      <c r="D11" s="17" t="n">
        <v>3369</v>
      </c>
      <c r="E11" s="17" t="n">
        <v>2902</v>
      </c>
      <c r="F11" s="17" t="n">
        <v>13688</v>
      </c>
    </row>
    <row r="12">
      <c r="A12" s="15" t="inlineStr">
        <is>
          <t>Anlægsaktiver</t>
        </is>
      </c>
      <c r="B12" s="17" t="n">
        <v>100552</v>
      </c>
      <c r="C12" s="17" t="n">
        <v>148338</v>
      </c>
      <c r="D12" s="17" t="n">
        <v>165315</v>
      </c>
      <c r="E12" s="17" t="n">
        <v>186877</v>
      </c>
      <c r="F12" s="17" t="n">
        <v>284884</v>
      </c>
    </row>
    <row r="13">
      <c r="A13" s="16" t="inlineStr">
        <is>
          <t>Råvarer og hjælpematerialer</t>
        </is>
      </c>
      <c r="B13" s="17" t="n">
        <v>32329</v>
      </c>
      <c r="C13" s="17" t="n">
        <v>55354</v>
      </c>
      <c r="D13" s="17" t="n">
        <v>60359</v>
      </c>
      <c r="E13" s="17" t="n">
        <v>68098</v>
      </c>
      <c r="F13" s="17" t="n"/>
    </row>
    <row r="14">
      <c r="A14" s="16" t="inlineStr">
        <is>
          <t>Varer under fremstilling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Færdigvarer og handelsvarer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Varebeholdninger</t>
        </is>
      </c>
      <c r="B16" s="17" t="n">
        <v>30113</v>
      </c>
      <c r="C16" s="17" t="n">
        <v>66790</v>
      </c>
      <c r="D16" s="17" t="n">
        <v>112635</v>
      </c>
      <c r="E16" s="17" t="n">
        <v>119495</v>
      </c>
      <c r="F16" s="17" t="n">
        <v>109336</v>
      </c>
    </row>
    <row r="17">
      <c r="A17" s="16" t="inlineStr">
        <is>
          <t>Tilgodehavender fra salg og tjenesteydelser</t>
        </is>
      </c>
      <c r="B17" s="17" t="n">
        <v>50644</v>
      </c>
      <c r="C17" s="17" t="n">
        <v>65867</v>
      </c>
      <c r="D17" s="17" t="n">
        <v>54830</v>
      </c>
      <c r="E17" s="17" t="n">
        <v>62257</v>
      </c>
      <c r="F17" s="17" t="n">
        <v>79618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Periodeafgrænsningsposter (aktiver)</t>
        </is>
      </c>
      <c r="B20" s="17" t="n">
        <v>1486</v>
      </c>
      <c r="C20" s="17" t="n"/>
      <c r="D20" s="17" t="n"/>
      <c r="E20" s="17" t="n"/>
      <c r="F20" s="17" t="n"/>
    </row>
    <row r="21">
      <c r="A21" s="16" t="inlineStr">
        <is>
          <t>Udskudt skatteaktiv</t>
        </is>
      </c>
      <c r="B21" s="17" t="n"/>
      <c r="C21" s="17" t="n">
        <v>5854</v>
      </c>
      <c r="D21" s="17" t="n">
        <v>2649</v>
      </c>
      <c r="E21" s="17" t="n">
        <v>0</v>
      </c>
      <c r="F21" s="17" t="n">
        <v>15047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/>
      <c r="D23" s="17" t="n"/>
      <c r="E23" s="17" t="n"/>
      <c r="F23" s="17" t="n"/>
    </row>
    <row r="24">
      <c r="A24" s="15" t="inlineStr">
        <is>
          <t>Tilgodehavender</t>
        </is>
      </c>
      <c r="B24" s="17" t="n">
        <v>12005</v>
      </c>
      <c r="C24" s="17" t="n">
        <v>3669</v>
      </c>
      <c r="D24" s="17" t="n">
        <v>4913</v>
      </c>
      <c r="E24" s="17" t="n">
        <v>6820</v>
      </c>
      <c r="F24" s="17" t="n">
        <v>6304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150109</v>
      </c>
      <c r="C26" s="17" t="n">
        <v>209025</v>
      </c>
      <c r="D26" s="17" t="n">
        <v>316571</v>
      </c>
      <c r="E26" s="17" t="n">
        <v>296146</v>
      </c>
      <c r="F26" s="17" t="n">
        <v>341849</v>
      </c>
    </row>
    <row r="27">
      <c r="A27" s="15" t="inlineStr">
        <is>
          <t>Omsætningsaktiver</t>
        </is>
      </c>
      <c r="B27" s="17" t="n">
        <v>244357</v>
      </c>
      <c r="C27" s="17" t="n">
        <v>352934</v>
      </c>
      <c r="D27" s="17" t="n">
        <v>492661</v>
      </c>
      <c r="E27" s="17" t="n">
        <v>489796</v>
      </c>
      <c r="F27" s="17" t="n">
        <v>543162</v>
      </c>
    </row>
    <row r="28">
      <c r="A28" s="15" t="inlineStr">
        <is>
          <t>Aktiver</t>
        </is>
      </c>
      <c r="B28" s="17" t="n">
        <v>344909</v>
      </c>
      <c r="C28" s="17" t="n">
        <v>501273</v>
      </c>
      <c r="D28" s="17" t="n">
        <v>657976</v>
      </c>
      <c r="E28" s="17" t="n">
        <v>676673</v>
      </c>
      <c r="F28" s="17" t="n">
        <v>828046</v>
      </c>
    </row>
    <row r="29">
      <c r="A29" s="16" t="inlineStr">
        <is>
          <t>Selskabskapital</t>
        </is>
      </c>
      <c r="B29" s="17" t="n">
        <v>17402</v>
      </c>
      <c r="C29" s="17" t="n">
        <v>17402</v>
      </c>
      <c r="D29" s="17" t="n">
        <v>17402</v>
      </c>
      <c r="E29" s="17" t="n">
        <v>17402</v>
      </c>
      <c r="F29" s="17" t="n">
        <v>17402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>
        <v>339803</v>
      </c>
      <c r="D33" s="17" t="n">
        <v>515640</v>
      </c>
      <c r="E33" s="17" t="n">
        <v>547914</v>
      </c>
      <c r="F33" s="17" t="n">
        <v>655953</v>
      </c>
    </row>
    <row r="34">
      <c r="A34" s="16" t="inlineStr">
        <is>
          <t>Overført resultat</t>
        </is>
      </c>
      <c r="B34" s="17" t="n"/>
      <c r="C34" s="17" t="n"/>
      <c r="D34" s="17" t="n"/>
      <c r="E34" s="17" t="n"/>
      <c r="F34" s="17" t="n"/>
    </row>
    <row r="35">
      <c r="A35" s="15" t="inlineStr">
        <is>
          <t>Egenkapital i alt</t>
        </is>
      </c>
      <c r="B35" s="17" t="n">
        <v>264977</v>
      </c>
      <c r="C35" s="17" t="n">
        <v>357205</v>
      </c>
      <c r="D35" s="17" t="n">
        <v>533042</v>
      </c>
      <c r="E35" s="17" t="n">
        <v>565316</v>
      </c>
      <c r="F35" s="17" t="n">
        <v>673355</v>
      </c>
    </row>
    <row r="36">
      <c r="A36" s="16" t="inlineStr">
        <is>
          <t>Hensættelse til udskudt skat</t>
        </is>
      </c>
      <c r="B36" s="17" t="n">
        <v>5757</v>
      </c>
      <c r="C36" s="17" t="n"/>
      <c r="D36" s="17" t="n">
        <v>0</v>
      </c>
      <c r="E36" s="17" t="n">
        <v>8454</v>
      </c>
      <c r="F36" s="17" t="n"/>
    </row>
    <row r="37">
      <c r="A37" s="15" t="inlineStr">
        <is>
          <t>Hensatte forpligtelser</t>
        </is>
      </c>
      <c r="B37" s="17" t="n">
        <v>1290</v>
      </c>
      <c r="C37" s="17" t="n">
        <v>1830</v>
      </c>
      <c r="D37" s="17" t="n">
        <v>2100</v>
      </c>
      <c r="E37" s="17" t="n">
        <v>3400</v>
      </c>
      <c r="F37" s="17" t="n">
        <v>4683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912</v>
      </c>
      <c r="C40" s="17" t="n">
        <v>4860</v>
      </c>
      <c r="D40" s="17" t="n">
        <v>3643</v>
      </c>
      <c r="E40" s="17" t="n">
        <v>974</v>
      </c>
      <c r="F40" s="17" t="n">
        <v>3015</v>
      </c>
    </row>
    <row r="41">
      <c r="A41" s="16" t="inlineStr">
        <is>
          <t>Anden gæld (langfristet)</t>
        </is>
      </c>
      <c r="B41" s="17" t="n"/>
      <c r="C41" s="17" t="n"/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7959</v>
      </c>
      <c r="C42" s="17" t="n">
        <v>6690</v>
      </c>
      <c r="D42" s="17" t="n">
        <v>5743</v>
      </c>
      <c r="E42" s="17" t="n">
        <v>12828</v>
      </c>
      <c r="F42" s="17" t="n">
        <v>7699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/>
      <c r="C45" s="17" t="n">
        <v>1025</v>
      </c>
      <c r="D45" s="17" t="n">
        <v>1011</v>
      </c>
      <c r="E45" s="17" t="n">
        <v>1331</v>
      </c>
      <c r="F45" s="17" t="n">
        <v>1465</v>
      </c>
    </row>
    <row r="46">
      <c r="A46" s="16" t="inlineStr">
        <is>
          <t>Leasingforpligtelser (kortfristet)</t>
        </is>
      </c>
      <c r="B46" s="17" t="n">
        <v>854</v>
      </c>
      <c r="C46" s="17" t="n">
        <v>909</v>
      </c>
      <c r="D46" s="17" t="n">
        <v>2506</v>
      </c>
      <c r="E46" s="17" t="n">
        <v>1850</v>
      </c>
      <c r="F46" s="17" t="n">
        <v>1924</v>
      </c>
    </row>
    <row r="47">
      <c r="A47" s="16" t="inlineStr">
        <is>
          <t>Leverandører af varer og tjenesteydelser</t>
        </is>
      </c>
      <c r="B47" s="17" t="n">
        <v>8710</v>
      </c>
      <c r="C47" s="17" t="n">
        <v>17023</v>
      </c>
      <c r="D47" s="17" t="n">
        <v>17550</v>
      </c>
      <c r="E47" s="17" t="n">
        <v>11085</v>
      </c>
      <c r="F47" s="17" t="n">
        <v>16079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21246</v>
      </c>
      <c r="C52" s="17" t="n">
        <v>30176</v>
      </c>
      <c r="D52" s="17" t="n">
        <v>8204</v>
      </c>
      <c r="E52" s="17" t="n">
        <v>13483</v>
      </c>
      <c r="F52" s="17" t="n">
        <v>20964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71973</v>
      </c>
      <c r="C54" s="17" t="n">
        <v>137378</v>
      </c>
      <c r="D54" s="17" t="n">
        <v>119191</v>
      </c>
      <c r="E54" s="17" t="n">
        <v>98529</v>
      </c>
      <c r="F54" s="17" t="n">
        <v>146992</v>
      </c>
    </row>
    <row r="55">
      <c r="A55" s="15" t="inlineStr">
        <is>
          <t>Gældsforpligtelser</t>
        </is>
      </c>
      <c r="B55" s="17" t="n">
        <v>79932</v>
      </c>
      <c r="C55" s="17" t="n">
        <v>144068</v>
      </c>
      <c r="D55" s="17" t="n">
        <v>124934</v>
      </c>
      <c r="E55" s="17" t="n">
        <v>111357</v>
      </c>
      <c r="F55" s="17" t="n">
        <v>154690</v>
      </c>
    </row>
    <row r="56">
      <c r="A56" s="15" t="inlineStr">
        <is>
          <t>Passiver</t>
        </is>
      </c>
      <c r="B56" s="17" t="n">
        <v>344909</v>
      </c>
      <c r="C56" s="17" t="n">
        <v>501273</v>
      </c>
      <c r="D56" s="17" t="n">
        <v>657976</v>
      </c>
      <c r="E56" s="17" t="n">
        <v>676673</v>
      </c>
      <c r="F56" s="17" t="n">
        <v>828046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ChemoMetec A/S (CVR 19828131)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107901</v>
      </c>
      <c r="C2" s="17" t="n">
        <v>176860</v>
      </c>
      <c r="D2" s="17" t="n">
        <v>154146</v>
      </c>
      <c r="E2" s="17" t="n">
        <v>129002</v>
      </c>
      <c r="F2" s="17" t="n">
        <v>207449</v>
      </c>
    </row>
    <row r="3">
      <c r="A3" s="16" t="inlineStr">
        <is>
          <t>Pengestrømme fra investeringsaktivitet</t>
        </is>
      </c>
      <c r="B3" s="17" t="n">
        <v>-24683</v>
      </c>
      <c r="C3" s="17" t="n">
        <v>-56046</v>
      </c>
      <c r="D3" s="17" t="n">
        <v>-40831</v>
      </c>
      <c r="E3" s="17" t="n">
        <v>-43494</v>
      </c>
      <c r="F3" s="17" t="n">
        <v>-85520</v>
      </c>
    </row>
    <row r="4">
      <c r="A4" s="16" t="inlineStr">
        <is>
          <t>Pengestrømme fra finansieringsaktivitet</t>
        </is>
      </c>
      <c r="B4" s="17" t="n">
        <v>-26037</v>
      </c>
      <c r="C4" s="17" t="n">
        <v>-69012</v>
      </c>
      <c r="D4" s="17" t="n">
        <v>-2925</v>
      </c>
      <c r="E4" s="17" t="n">
        <v>-105715</v>
      </c>
      <c r="F4" s="17" t="n">
        <v>-74963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ChemoMetec A/S (CVR 19828131) — Regnskabs- og nøgletal (CVR: 19828131)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'res_raw_19828131'!$F$2</f>
        <v/>
      </c>
      <c r="C5" s="24">
        <f>'res_raw_19828131'!$E$2</f>
        <v/>
      </c>
      <c r="D5" s="24">
        <f>'res_raw_19828131'!$D$2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'res_raw_19828131'!$F$3</f>
        <v/>
      </c>
      <c r="C6" s="24">
        <f>'res_raw_19828131'!$E$3</f>
        <v/>
      </c>
      <c r="D6" s="24">
        <f>'res_raw_19828131'!$D$3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-'res_raw_19828131'!$F$4</f>
        <v/>
      </c>
      <c r="C7" s="24">
        <f>-'res_raw_19828131'!$E$4</f>
        <v/>
      </c>
      <c r="D7" s="24">
        <f>-'res_raw_19828131'!$D$4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-'res_raw_19828131'!$F$5</f>
        <v/>
      </c>
      <c r="C8" s="24">
        <f>-'res_raw_19828131'!$E$5</f>
        <v/>
      </c>
      <c r="D8" s="24">
        <f>-'res_raw_19828131'!$D$5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IF(ABS((SUM(B5:B8))-'res_raw_19828131'!$F$6)&lt;=2,SUM(B5:B8),'res_raw_19828131'!$F$6)</f>
        <v/>
      </c>
      <c r="C9" s="27">
        <f>IF(ABS((SUM(C5:C8))-'res_raw_19828131'!$E$6)&lt;=2,SUM(C5:C8),'res_raw_19828131'!$E$6)</f>
        <v/>
      </c>
      <c r="D9" s="27">
        <f>IF(ABS((SUM(D5:D8))-'res_raw_19828131'!$D$6)&lt;=2,SUM(D5:D8),'res_raw_19828131'!$D$6)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-'res_raw_19828131'!$F$7</f>
        <v/>
      </c>
      <c r="C10" s="24">
        <f>-'res_raw_19828131'!$E$7</f>
        <v/>
      </c>
      <c r="D10" s="24">
        <f>-'res_raw_19828131'!$D$7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-'res_raw_19828131'!$F$9</f>
        <v/>
      </c>
      <c r="C11" s="24">
        <f>-'res_raw_19828131'!$E$9</f>
        <v/>
      </c>
      <c r="D11" s="24">
        <f>-'res_raw_19828131'!$D$9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-'res_raw_19828131'!$F$10</f>
        <v/>
      </c>
      <c r="C12" s="24">
        <f>-'res_raw_19828131'!$E$10</f>
        <v/>
      </c>
      <c r="D12" s="24">
        <f>-'res_raw_19828131'!$D$10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IF(ABS((SUM(B9:B12))-'res_raw_19828131'!$F$11)&lt;=2,SUM(B9:B12),'res_raw_19828131'!$F$11)</f>
        <v/>
      </c>
      <c r="C13" s="27">
        <f>IF(ABS((SUM(C9:C12))-'res_raw_19828131'!$E$11)&lt;=2,SUM(C9:C12),'res_raw_19828131'!$E$11)</f>
        <v/>
      </c>
      <c r="D13" s="27">
        <f>IF(ABS((SUM(D9:D12))-'res_raw_19828131'!$D$11)&lt;=2,SUM(D9:D12),'res_raw_19828131'!$D$11)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N('res_raw_19828131'!$F$12)+N('res_raw_19828131'!$F$13)</f>
        <v/>
      </c>
      <c r="C14" s="24">
        <f>N('res_raw_19828131'!$E$12)+N('res_raw_19828131'!$E$13)</f>
        <v/>
      </c>
      <c r="D14" s="24">
        <f>N('res_raw_19828131'!$D$12)+N('res_raw_19828131'!$D$13)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-'res_raw_19828131'!$F$14</f>
        <v/>
      </c>
      <c r="C15" s="24">
        <f>-'res_raw_19828131'!$E$14</f>
        <v/>
      </c>
      <c r="D15" s="24">
        <f>-'res_raw_19828131'!$D$14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IF(ABS((SUM(B13:B15))-'res_raw_19828131'!$F$16)&lt;=2,SUM(B13:B15),'res_raw_19828131'!$F$16)</f>
        <v/>
      </c>
      <c r="C16" s="27">
        <f>IF(ABS((SUM(C13:C15))-'res_raw_19828131'!$E$16)&lt;=2,SUM(C13:C15),'res_raw_19828131'!$E$16)</f>
        <v/>
      </c>
      <c r="D16" s="27">
        <f>IF(ABS((SUM(D13:D15))-'res_raw_19828131'!$D$16)&lt;=2,SUM(D13:D15),'res_raw_19828131'!$D$16)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'balance_raw_19828131'!$F$12</f>
        <v/>
      </c>
      <c r="C19" s="24">
        <f>'balance_raw_19828131'!$E$12</f>
        <v/>
      </c>
      <c r="D19" s="24">
        <f>'balance_raw_19828131'!$D$12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'balance_raw_19828131'!$F$27</f>
        <v/>
      </c>
      <c r="C20" s="24">
        <f>'balance_raw_19828131'!$E$27</f>
        <v/>
      </c>
      <c r="D20" s="24">
        <f>'balance_raw_19828131'!$D$27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'balance_raw_19828131'!$F$35</f>
        <v/>
      </c>
      <c r="C23" s="24">
        <f>'balance_raw_19828131'!$E$35</f>
        <v/>
      </c>
      <c r="D23" s="24">
        <f>'balance_raw_19828131'!$D$35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'balance_raw_19828131'!$F$56-'balance_raw_19828131'!$F$35</f>
        <v/>
      </c>
      <c r="C24" s="24">
        <f>'balance_raw_19828131'!$E$56-'balance_raw_19828131'!$E$35</f>
        <v/>
      </c>
      <c r="D24" s="24">
        <f>'balance_raw_19828131'!$D$56-'balance_raw_19828131'!$D$35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'balance_raw_19828131'!$F$16</f>
        <v/>
      </c>
      <c r="C28" s="24">
        <f>'balance_raw_19828131'!$E$16</f>
        <v/>
      </c>
      <c r="D28" s="24">
        <f>'balance_raw_19828131'!$D$16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'balance_raw_19828131'!$F$17</f>
        <v/>
      </c>
      <c r="C29" s="24">
        <f>'balance_raw_19828131'!$E$17</f>
        <v/>
      </c>
      <c r="D29" s="24">
        <f>'balance_raw_19828131'!$D$17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'balance_raw_19828131'!$F$54</f>
        <v/>
      </c>
      <c r="C30" s="24">
        <f>'balance_raw_19828131'!$E$54</f>
        <v/>
      </c>
      <c r="D30" s="24">
        <f>'balance_raw_19828131'!$D$54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IF('balance_raw_19828131'!$F$28="","—",IF(ABS(B21-'balance_raw_19828131'!$F$28)&lt;=1,"✓ OK","❌ "&amp;TEXT(B21-'balance_raw_19828131'!$F$28,"+#,##0;-#,##0")&amp;" t.kr."))</f>
        <v/>
      </c>
      <c r="C61" s="29">
        <f>IF('balance_raw_19828131'!$E$28="","—",IF(ABS(C21-'balance_raw_19828131'!$E$28)&lt;=1,"✓ OK","❌ "&amp;TEXT(C21-'balance_raw_19828131'!$E$28,"+#,##0;-#,##0")&amp;" t.kr."))</f>
        <v/>
      </c>
      <c r="D61" s="29">
        <f>IF('balance_raw_19828131'!$D$28="","—",IF(ABS(D21-'balance_raw_19828131'!$D$28)&lt;=1,"✓ OK","❌ "&amp;TEXT(D21-'balance_raw_19828131'!$D$28,"+#,##0;-#,##0")&amp;"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IF('balance_raw_19828131'!$F$56="","—",IF(ABS(B25-'balance_raw_19828131'!$F$56)&lt;=1,"✓ OK","❌ "&amp;TEXT(B25-'balance_raw_19828131'!$F$56,"+#,##0;-#,##0")&amp;" t.kr."))</f>
        <v/>
      </c>
      <c r="C62" s="29">
        <f>IF('balance_raw_19828131'!$E$56="","—",IF(ABS(C25-'balance_raw_19828131'!$E$56)&lt;=1,"✓ OK","❌ "&amp;TEXT(C25-'balance_raw_19828131'!$E$56,"+#,##0;-#,##0")&amp;" t.kr."))</f>
        <v/>
      </c>
      <c r="D62" s="29">
        <f>IF('balance_raw_19828131'!$D$56="","—",IF(ABS(D25-'balance_raw_19828131'!$D$56)&lt;=1,"✓ OK","❌ "&amp;TEXT(D25-'balance_raw_19828131'!$D$56,"+#,##0;-#,##0")&amp;"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IF('res_raw_19828131'!$F$6="","—",IF(ABS(B9-'res_raw_19828131'!$F$6)&lt;=1,"✓ OK","❌ "&amp;TEXT(B9-'res_raw_19828131'!$F$6,"+#,##0;-#,##0")&amp;" t.kr."))</f>
        <v/>
      </c>
      <c r="C64" s="29">
        <f>IF('res_raw_19828131'!$E$6="","—",IF(ABS(C9-'res_raw_19828131'!$E$6)&lt;=1,"✓ OK","❌ "&amp;TEXT(C9-'res_raw_19828131'!$E$6,"+#,##0;-#,##0")&amp;" t.kr."))</f>
        <v/>
      </c>
      <c r="D64" s="29">
        <f>IF('res_raw_19828131'!$D$6="","—",IF(ABS(D9-'res_raw_19828131'!$D$6)&lt;=1,"✓ OK","❌ "&amp;TEXT(D9-'res_raw_19828131'!$D$6,"+#,##0;-#,##0")&amp;"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IF('res_raw_19828131'!$F$11="","—",IF(ABS(B13-'res_raw_19828131'!$F$11)&lt;=1,"✓ OK","❌ "&amp;TEXT(B13-'res_raw_19828131'!$F$11,"+#,##0;-#,##0")&amp;" t.kr."))</f>
        <v/>
      </c>
      <c r="C65" s="29">
        <f>IF('res_raw_19828131'!$E$11="","—",IF(ABS(C13-'res_raw_19828131'!$E$11)&lt;=1,"✓ OK","❌ "&amp;TEXT(C13-'res_raw_19828131'!$E$11,"+#,##0;-#,##0")&amp;" t.kr."))</f>
        <v/>
      </c>
      <c r="D65" s="29">
        <f>IF('res_raw_19828131'!$D$11="","—",IF(ABS(D13-'res_raw_19828131'!$D$11)&lt;=1,"✓ OK","❌ "&amp;TEXT(D13-'res_raw_19828131'!$D$11,"+#,##0;-#,##0")&amp;"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IF('res_raw_19828131'!$F$16="","—",IF(ABS(B16-'res_raw_19828131'!$F$16)&lt;=1,"✓ OK","❌ "&amp;TEXT(B16-'res_raw_19828131'!$F$16,"+#,##0;-#,##0")&amp;" t.kr."))</f>
        <v/>
      </c>
      <c r="C66" s="29">
        <f>IF('res_raw_19828131'!$E$16="","—",IF(ABS(C16-'res_raw_19828131'!$E$16)&lt;=1,"✓ OK","❌ "&amp;TEXT(C16-'res_raw_19828131'!$E$16,"+#,##0;-#,##0")&amp;" t.kr."))</f>
        <v/>
      </c>
      <c r="D66" s="29">
        <f>IF('res_raw_19828131'!$D$16="","—",IF(ABS(D16-'res_raw_19828131'!$D$16)&lt;=1,"✓ OK","❌ "&amp;TEXT(D16-'res_raw_19828131'!$D$16,"+#,##0;-#,##0")&amp;"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ChemoMetec A/S (CVR 19828131)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ifrs-full:AccruedIncomeOtherThanContractAssets</t>
        </is>
      </c>
      <c r="C3" s="34" t="inlineStr">
        <is>
          <t>ifrs-full:AccruedIncomeOtherThanContractAssets</t>
        </is>
      </c>
      <c r="D3" s="35" t="n"/>
      <c r="E3" s="35" t="n">
        <v>7583</v>
      </c>
      <c r="F3" s="35" t="n">
        <v>3712</v>
      </c>
      <c r="G3" s="35" t="n">
        <v>5078</v>
      </c>
      <c r="H3" s="35" t="n">
        <v>6055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ifrs-full:AdjustmentsForFinanceCosts</t>
        </is>
      </c>
      <c r="C4" s="37" t="inlineStr">
        <is>
          <t>ifrs-full:AdjustmentsForFinanceCosts</t>
        </is>
      </c>
      <c r="D4" s="38" t="n">
        <v>-918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ifrs-full:AdjustmentsForFinanceIncome</t>
        </is>
      </c>
      <c r="C5" s="34" t="inlineStr">
        <is>
          <t>ifrs-full:AdjustmentsForFinanceIncome</t>
        </is>
      </c>
      <c r="D5" s="35" t="n">
        <v>88</v>
      </c>
      <c r="E5" s="35" t="n"/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ifrs-full:ChangesInInventoriesOfFinishedGoodsAndWorkInProgress</t>
        </is>
      </c>
      <c r="C6" s="37" t="inlineStr">
        <is>
          <t>ifrs-full:ChangesInInventoriesOfFinishedGoodsAndWorkInProgress</t>
        </is>
      </c>
      <c r="D6" s="38" t="n">
        <v>5001</v>
      </c>
      <c r="E6" s="38" t="n"/>
      <c r="F6" s="38" t="n"/>
      <c r="G6" s="38" t="n"/>
      <c r="H6" s="38" t="n">
        <v>65133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ifrs-full:CopyrightsPatentsAndOtherIndustrialPropertyRightsServiceAndOperatingRights</t>
        </is>
      </c>
      <c r="C7" s="34" t="inlineStr">
        <is>
          <t>ifrs-full:CopyrightsPatentsAndOtherIndustrialPropertyRightsServiceAndOperatingRights</t>
        </is>
      </c>
      <c r="D7" s="35" t="n"/>
      <c r="E7" s="35" t="n">
        <v>1928</v>
      </c>
      <c r="F7" s="35" t="n">
        <v>1755</v>
      </c>
      <c r="G7" s="35" t="n">
        <v>1549</v>
      </c>
      <c r="H7" s="35" t="n">
        <v>3845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ifrs-full:GainsLossesOnExchangeDifferencesOnTranslationNetOfTax</t>
        </is>
      </c>
      <c r="C8" s="37" t="inlineStr">
        <is>
          <t>ifrs-full:GainsLossesOnExchangeDifferencesOnTranslationNetOfTax</t>
        </is>
      </c>
      <c r="D8" s="38" t="n">
        <v>-24</v>
      </c>
      <c r="E8" s="38" t="n">
        <v>474</v>
      </c>
      <c r="F8" s="38" t="n">
        <v>-2763</v>
      </c>
      <c r="G8" s="38" t="n">
        <v>405</v>
      </c>
      <c r="H8" s="38" t="n">
        <v>-8766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ifrs-full:Machinery</t>
        </is>
      </c>
      <c r="C9" s="34" t="inlineStr">
        <is>
          <t>ifrs-full:Machinery</t>
        </is>
      </c>
      <c r="D9" s="35" t="n"/>
      <c r="E9" s="35" t="n">
        <v>13351</v>
      </c>
      <c r="F9" s="35" t="n">
        <v>9776</v>
      </c>
      <c r="G9" s="35" t="n">
        <v>6586</v>
      </c>
      <c r="H9" s="35" t="n">
        <v>5774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ifrs-full:OtherInflowsOutflowsOfCashClassifiedAsFinancingActivities</t>
        </is>
      </c>
      <c r="C10" s="37" t="inlineStr">
        <is>
          <t>ifrs-full:OtherInflowsOutflowsOfCashClassifiedAsFinancingActivities</t>
        </is>
      </c>
      <c r="D10" s="38" t="n"/>
      <c r="E10" s="38" t="n">
        <v>1895</v>
      </c>
      <c r="F10" s="38" t="n">
        <v>-67</v>
      </c>
      <c r="G10" s="38" t="n">
        <v>0</v>
      </c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ifrs-full:OtherWorkPerformedByEntityAndCapitalised</t>
        </is>
      </c>
      <c r="C11" s="34" t="inlineStr">
        <is>
          <t>ifrs-full:OtherWorkPerformedByEntityAndCapitalised</t>
        </is>
      </c>
      <c r="D11" s="35" t="n"/>
      <c r="E11" s="35" t="n">
        <v>11216</v>
      </c>
      <c r="F11" s="35" t="n">
        <v>27458</v>
      </c>
      <c r="G11" s="35" t="n">
        <v>27823</v>
      </c>
      <c r="H11" s="35" t="n">
        <v>35070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ifrs-full:TradeAndOtherReceivables</t>
        </is>
      </c>
      <c r="C12" s="37" t="inlineStr">
        <is>
          <t>ifrs-full:TradeAndOtherReceivables</t>
        </is>
      </c>
      <c r="D12" s="38" t="n"/>
      <c r="E12" s="38" t="n">
        <v>77119</v>
      </c>
      <c r="F12" s="38" t="n">
        <v>63455</v>
      </c>
      <c r="G12" s="38" t="n">
        <v>74155</v>
      </c>
      <c r="H12" s="38" t="n">
        <v>91977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2026-10-01T22:16:53Z</dcterms:created>
  <dcterms:modified xmlns:dcterms="http://purl.org/dc/terms/" xmlns:xsi="http://www.w3.org/2001/XMLSchema-instance" xsi:type="dcterms:W3CDTF">2026-10-01T22:16:53Z</dcterms:modified>
</cp:coreProperties>
</file>