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20342781" sheetId="1" state="visible" r:id="rId1"/>
    <sheet xmlns:r="http://schemas.openxmlformats.org/officeDocument/2006/relationships" name="res_raw_20342781" sheetId="2" state="visible" r:id="rId2"/>
    <sheet xmlns:r="http://schemas.openxmlformats.org/officeDocument/2006/relationships" name="balance_raw_20342781" sheetId="3" state="visible" r:id="rId3"/>
    <sheet xmlns:r="http://schemas.openxmlformats.org/officeDocument/2006/relationships" name="pengestrom_raw_20342781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COMPANY INFORMATION Albatros Travel A/S (CVR 20342781) — 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'res_raw_20342781'!$B$2</f>
        <v/>
      </c>
      <c r="C4" s="5">
        <f>'res_raw_20342781'!$C$2</f>
        <v/>
      </c>
      <c r="D4" s="5">
        <f>'res_raw_20342781'!$D$2</f>
        <v/>
      </c>
      <c r="E4" s="5">
        <f>'res_raw_20342781'!$E$2</f>
        <v/>
      </c>
      <c r="F4" s="5">
        <f>'res_raw_20342781'!$F$2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'res_raw_20342781'!$B$3</f>
        <v/>
      </c>
      <c r="C5" s="8">
        <f>'res_raw_20342781'!$C$3</f>
        <v/>
      </c>
      <c r="D5" s="8">
        <f>'res_raw_20342781'!$D$3</f>
        <v/>
      </c>
      <c r="E5" s="8">
        <f>'res_raw_20342781'!$E$3</f>
        <v/>
      </c>
      <c r="F5" s="8">
        <f>'res_raw_20342781'!$F$3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'res_raw_20342781'!$B$4</f>
        <v/>
      </c>
      <c r="C6" s="5">
        <f>'res_raw_20342781'!$C$4</f>
        <v/>
      </c>
      <c r="D6" s="5">
        <f>'res_raw_20342781'!$D$4</f>
        <v/>
      </c>
      <c r="E6" s="5">
        <f>'res_raw_20342781'!$E$4</f>
        <v/>
      </c>
      <c r="F6" s="5">
        <f>'res_raw_20342781'!$F$4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'res_raw_20342781'!$B$5</f>
        <v/>
      </c>
      <c r="C7" s="8">
        <f>'res_raw_20342781'!$C$5</f>
        <v/>
      </c>
      <c r="D7" s="8">
        <f>'res_raw_20342781'!$D$5</f>
        <v/>
      </c>
      <c r="E7" s="8">
        <f>'res_raw_20342781'!$E$5</f>
        <v/>
      </c>
      <c r="F7" s="8">
        <f>'res_raw_20342781'!$F$5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'res_raw_20342781'!$B$6</f>
        <v/>
      </c>
      <c r="C8" s="11">
        <f>'res_raw_20342781'!$C$6</f>
        <v/>
      </c>
      <c r="D8" s="11">
        <f>'res_raw_20342781'!$D$6</f>
        <v/>
      </c>
      <c r="E8" s="11">
        <f>'res_raw_20342781'!$E$6</f>
        <v/>
      </c>
      <c r="F8" s="11">
        <f>'res_raw_20342781'!$F$6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'res_raw_20342781'!$B$7</f>
        <v/>
      </c>
      <c r="C9" s="8">
        <f>'res_raw_20342781'!$C$7</f>
        <v/>
      </c>
      <c r="D9" s="8">
        <f>'res_raw_20342781'!$D$7</f>
        <v/>
      </c>
      <c r="E9" s="8">
        <f>'res_raw_20342781'!$E$7</f>
        <v/>
      </c>
      <c r="F9" s="8">
        <f>'res_raw_20342781'!$F$7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'res_raw_20342781'!$B$9</f>
        <v/>
      </c>
      <c r="C11" s="8">
        <f>'res_raw_20342781'!$C$9</f>
        <v/>
      </c>
      <c r="D11" s="8">
        <f>'res_raw_20342781'!$D$9</f>
        <v/>
      </c>
      <c r="E11" s="8">
        <f>'res_raw_20342781'!$E$9</f>
        <v/>
      </c>
      <c r="F11" s="8">
        <f>'res_raw_20342781'!$F$9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'res_raw_20342781'!$B$10</f>
        <v/>
      </c>
      <c r="C12" s="5">
        <f>'res_raw_20342781'!$C$10</f>
        <v/>
      </c>
      <c r="D12" s="5">
        <f>'res_raw_20342781'!$D$10</f>
        <v/>
      </c>
      <c r="E12" s="5">
        <f>'res_raw_20342781'!$E$10</f>
        <v/>
      </c>
      <c r="F12" s="5">
        <f>'res_raw_20342781'!$F$10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'res_raw_20342781'!$B$11</f>
        <v/>
      </c>
      <c r="C13" s="11">
        <f>'res_raw_20342781'!$C$11</f>
        <v/>
      </c>
      <c r="D13" s="11">
        <f>'res_raw_20342781'!$D$11</f>
        <v/>
      </c>
      <c r="E13" s="11">
        <f>'res_raw_20342781'!$E$11</f>
        <v/>
      </c>
      <c r="F13" s="11">
        <f>'res_raw_20342781'!$F$11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'res_raw_20342781'!$B$12</f>
        <v/>
      </c>
      <c r="C14" s="5">
        <f>'res_raw_20342781'!$C$12</f>
        <v/>
      </c>
      <c r="D14" s="5">
        <f>'res_raw_20342781'!$D$12</f>
        <v/>
      </c>
      <c r="E14" s="5">
        <f>'res_raw_20342781'!$E$12</f>
        <v/>
      </c>
      <c r="F14" s="5">
        <f>'res_raw_20342781'!$F$12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'res_raw_20342781'!$B$13</f>
        <v/>
      </c>
      <c r="C15" s="8">
        <f>'res_raw_20342781'!$C$13</f>
        <v/>
      </c>
      <c r="D15" s="8">
        <f>'res_raw_20342781'!$D$13</f>
        <v/>
      </c>
      <c r="E15" s="8">
        <f>'res_raw_20342781'!$E$13</f>
        <v/>
      </c>
      <c r="F15" s="8">
        <f>'res_raw_20342781'!$F$13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'res_raw_20342781'!$B$14</f>
        <v/>
      </c>
      <c r="C16" s="5">
        <f>'res_raw_20342781'!$C$14</f>
        <v/>
      </c>
      <c r="D16" s="5">
        <f>'res_raw_20342781'!$D$14</f>
        <v/>
      </c>
      <c r="E16" s="5">
        <f>'res_raw_20342781'!$E$14</f>
        <v/>
      </c>
      <c r="F16" s="5">
        <f>'res_raw_20342781'!$F$14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'res_raw_20342781'!$B$15</f>
        <v/>
      </c>
      <c r="C17" s="11">
        <f>'res_raw_20342781'!$C$15</f>
        <v/>
      </c>
      <c r="D17" s="11">
        <f>'res_raw_20342781'!$D$15</f>
        <v/>
      </c>
      <c r="E17" s="11">
        <f>'res_raw_20342781'!$E$15</f>
        <v/>
      </c>
      <c r="F17" s="11">
        <f>'res_raw_20342781'!$F$15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'res_raw_20342781'!$B$16</f>
        <v/>
      </c>
      <c r="C18" s="11">
        <f>'res_raw_20342781'!$C$16</f>
        <v/>
      </c>
      <c r="D18" s="11">
        <f>'res_raw_20342781'!$D$16</f>
        <v/>
      </c>
      <c r="E18" s="11">
        <f>'res_raw_20342781'!$E$16</f>
        <v/>
      </c>
      <c r="F18" s="11">
        <f>'res_raw_20342781'!$F$16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'res_raw_20342781'!$B$17</f>
        <v/>
      </c>
      <c r="C19" s="8">
        <f>'res_raw_20342781'!$C$17</f>
        <v/>
      </c>
      <c r="D19" s="8">
        <f>'res_raw_20342781'!$D$17</f>
        <v/>
      </c>
      <c r="E19" s="8">
        <f>'res_raw_20342781'!$E$17</f>
        <v/>
      </c>
      <c r="F19" s="8">
        <f>'res_raw_20342781'!$F$17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'res_raw_20342781'!$B$18</f>
        <v/>
      </c>
      <c r="C20" s="11">
        <f>'res_raw_20342781'!$C$18</f>
        <v/>
      </c>
      <c r="D20" s="11">
        <f>'res_raw_20342781'!$D$18</f>
        <v/>
      </c>
      <c r="E20" s="11">
        <f>'res_raw_20342781'!$E$18</f>
        <v/>
      </c>
      <c r="F20" s="11">
        <f>'res_raw_20342781'!$F$18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'balance_raw_20342781'!$B$2</f>
        <v/>
      </c>
      <c r="C23" s="8">
        <f>'balance_raw_20342781'!$C$2</f>
        <v/>
      </c>
      <c r="D23" s="8">
        <f>'balance_raw_20342781'!$D$2</f>
        <v/>
      </c>
      <c r="E23" s="8">
        <f>'balance_raw_20342781'!$E$2</f>
        <v/>
      </c>
      <c r="F23" s="8">
        <f>'balance_raw_20342781'!$F$2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'balance_raw_20342781'!$B$3</f>
        <v/>
      </c>
      <c r="C24" s="5">
        <f>'balance_raw_20342781'!$C$3</f>
        <v/>
      </c>
      <c r="D24" s="5">
        <f>'balance_raw_20342781'!$D$3</f>
        <v/>
      </c>
      <c r="E24" s="5">
        <f>'balance_raw_20342781'!$E$3</f>
        <v/>
      </c>
      <c r="F24" s="5">
        <f>'balance_raw_20342781'!$F$3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'balance_raw_20342781'!$B$4</f>
        <v/>
      </c>
      <c r="C25" s="8">
        <f>'balance_raw_20342781'!$C$4</f>
        <v/>
      </c>
      <c r="D25" s="8">
        <f>'balance_raw_20342781'!$D$4</f>
        <v/>
      </c>
      <c r="E25" s="8">
        <f>'balance_raw_20342781'!$E$4</f>
        <v/>
      </c>
      <c r="F25" s="8">
        <f>'balance_raw_20342781'!$F$4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'balance_raw_20342781'!$B$5</f>
        <v/>
      </c>
      <c r="C26" s="11">
        <f>'balance_raw_20342781'!$C$5</f>
        <v/>
      </c>
      <c r="D26" s="11">
        <f>'balance_raw_20342781'!$D$5</f>
        <v/>
      </c>
      <c r="E26" s="11">
        <f>'balance_raw_20342781'!$E$5</f>
        <v/>
      </c>
      <c r="F26" s="11">
        <f>'balance_raw_20342781'!$F$5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'balance_raw_20342781'!$B$6</f>
        <v/>
      </c>
      <c r="C27" s="8">
        <f>'balance_raw_20342781'!$C$6</f>
        <v/>
      </c>
      <c r="D27" s="8">
        <f>'balance_raw_20342781'!$D$6</f>
        <v/>
      </c>
      <c r="E27" s="8">
        <f>'balance_raw_20342781'!$E$6</f>
        <v/>
      </c>
      <c r="F27" s="8">
        <f>'balance_raw_20342781'!$F$6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'balance_raw_20342781'!$B$7</f>
        <v/>
      </c>
      <c r="C28" s="5">
        <f>'balance_raw_20342781'!$C$7</f>
        <v/>
      </c>
      <c r="D28" s="5">
        <f>'balance_raw_20342781'!$D$7</f>
        <v/>
      </c>
      <c r="E28" s="5">
        <f>'balance_raw_20342781'!$E$7</f>
        <v/>
      </c>
      <c r="F28" s="5">
        <f>'balance_raw_20342781'!$F$7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'balance_raw_20342781'!$B$8</f>
        <v/>
      </c>
      <c r="C29" s="8">
        <f>'balance_raw_20342781'!$C$8</f>
        <v/>
      </c>
      <c r="D29" s="8">
        <f>'balance_raw_20342781'!$D$8</f>
        <v/>
      </c>
      <c r="E29" s="8">
        <f>'balance_raw_20342781'!$E$8</f>
        <v/>
      </c>
      <c r="F29" s="8">
        <f>'balance_raw_20342781'!$F$8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'balance_raw_20342781'!$B$9</f>
        <v/>
      </c>
      <c r="C30" s="5">
        <f>'balance_raw_20342781'!$C$9</f>
        <v/>
      </c>
      <c r="D30" s="5">
        <f>'balance_raw_20342781'!$D$9</f>
        <v/>
      </c>
      <c r="E30" s="5">
        <f>'balance_raw_20342781'!$E$9</f>
        <v/>
      </c>
      <c r="F30" s="5">
        <f>'balance_raw_20342781'!$F$9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'balance_raw_20342781'!$B$10</f>
        <v/>
      </c>
      <c r="C31" s="8">
        <f>'balance_raw_20342781'!$C$10</f>
        <v/>
      </c>
      <c r="D31" s="8">
        <f>'balance_raw_20342781'!$D$10</f>
        <v/>
      </c>
      <c r="E31" s="8">
        <f>'balance_raw_20342781'!$E$10</f>
        <v/>
      </c>
      <c r="F31" s="8">
        <f>'balance_raw_20342781'!$F$10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'balance_raw_20342781'!$B$11</f>
        <v/>
      </c>
      <c r="C32" s="11">
        <f>'balance_raw_20342781'!$C$11</f>
        <v/>
      </c>
      <c r="D32" s="11">
        <f>'balance_raw_20342781'!$D$11</f>
        <v/>
      </c>
      <c r="E32" s="11">
        <f>'balance_raw_20342781'!$E$11</f>
        <v/>
      </c>
      <c r="F32" s="11">
        <f>'balance_raw_20342781'!$F$11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'balance_raw_20342781'!$B$12</f>
        <v/>
      </c>
      <c r="C33" s="8">
        <f>'balance_raw_20342781'!$C$12</f>
        <v/>
      </c>
      <c r="D33" s="8">
        <f>'balance_raw_20342781'!$D$12</f>
        <v/>
      </c>
      <c r="E33" s="8">
        <f>'balance_raw_20342781'!$E$12</f>
        <v/>
      </c>
      <c r="F33" s="8">
        <f>'balance_raw_20342781'!$F$12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'balance_raw_20342781'!$B$13</f>
        <v/>
      </c>
      <c r="C34" s="5">
        <f>'balance_raw_20342781'!$C$13</f>
        <v/>
      </c>
      <c r="D34" s="5">
        <f>'balance_raw_20342781'!$D$13</f>
        <v/>
      </c>
      <c r="E34" s="5">
        <f>'balance_raw_20342781'!$E$13</f>
        <v/>
      </c>
      <c r="F34" s="5">
        <f>'balance_raw_20342781'!$F$13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'balance_raw_20342781'!$B$14</f>
        <v/>
      </c>
      <c r="C35" s="11">
        <f>'balance_raw_20342781'!$C$14</f>
        <v/>
      </c>
      <c r="D35" s="11">
        <f>'balance_raw_20342781'!$D$14</f>
        <v/>
      </c>
      <c r="E35" s="11">
        <f>'balance_raw_20342781'!$E$14</f>
        <v/>
      </c>
      <c r="F35" s="11">
        <f>'balance_raw_20342781'!$F$14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'balance_raw_20342781'!$B$15</f>
        <v/>
      </c>
      <c r="C36" s="11">
        <f>'balance_raw_20342781'!$C$15</f>
        <v/>
      </c>
      <c r="D36" s="11">
        <f>'balance_raw_20342781'!$D$15</f>
        <v/>
      </c>
      <c r="E36" s="11">
        <f>'balance_raw_20342781'!$E$15</f>
        <v/>
      </c>
      <c r="F36" s="11">
        <f>'balance_raw_20342781'!$F$15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'balance_raw_20342781'!$B$16</f>
        <v/>
      </c>
      <c r="C37" s="8">
        <f>'balance_raw_20342781'!$C$16</f>
        <v/>
      </c>
      <c r="D37" s="8">
        <f>'balance_raw_20342781'!$D$16</f>
        <v/>
      </c>
      <c r="E37" s="8">
        <f>'balance_raw_20342781'!$E$16</f>
        <v/>
      </c>
      <c r="F37" s="8">
        <f>'balance_raw_20342781'!$F$16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'balance_raw_20342781'!$B$17</f>
        <v/>
      </c>
      <c r="C38" s="5">
        <f>'balance_raw_20342781'!$C$17</f>
        <v/>
      </c>
      <c r="D38" s="5">
        <f>'balance_raw_20342781'!$D$17</f>
        <v/>
      </c>
      <c r="E38" s="5">
        <f>'balance_raw_20342781'!$E$17</f>
        <v/>
      </c>
      <c r="F38" s="5">
        <f>'balance_raw_20342781'!$F$17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'balance_raw_20342781'!$B$18</f>
        <v/>
      </c>
      <c r="C39" s="8">
        <f>'balance_raw_20342781'!$C$18</f>
        <v/>
      </c>
      <c r="D39" s="8">
        <f>'balance_raw_20342781'!$D$18</f>
        <v/>
      </c>
      <c r="E39" s="8">
        <f>'balance_raw_20342781'!$E$18</f>
        <v/>
      </c>
      <c r="F39" s="8">
        <f>'balance_raw_20342781'!$F$18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'balance_raw_20342781'!$B$19</f>
        <v/>
      </c>
      <c r="C40" s="11">
        <f>'balance_raw_20342781'!$C$19</f>
        <v/>
      </c>
      <c r="D40" s="11">
        <f>'balance_raw_20342781'!$D$19</f>
        <v/>
      </c>
      <c r="E40" s="11">
        <f>'balance_raw_20342781'!$E$19</f>
        <v/>
      </c>
      <c r="F40" s="11">
        <f>'balance_raw_20342781'!$F$19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'balance_raw_20342781'!$B$20</f>
        <v/>
      </c>
      <c r="C41" s="8">
        <f>'balance_raw_20342781'!$C$20</f>
        <v/>
      </c>
      <c r="D41" s="8">
        <f>'balance_raw_20342781'!$D$20</f>
        <v/>
      </c>
      <c r="E41" s="8">
        <f>'balance_raw_20342781'!$E$20</f>
        <v/>
      </c>
      <c r="F41" s="8">
        <f>'balance_raw_20342781'!$F$20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'balance_raw_20342781'!$B$21</f>
        <v/>
      </c>
      <c r="C42" s="5">
        <f>'balance_raw_20342781'!$C$21</f>
        <v/>
      </c>
      <c r="D42" s="5">
        <f>'balance_raw_20342781'!$D$21</f>
        <v/>
      </c>
      <c r="E42" s="5">
        <f>'balance_raw_20342781'!$E$21</f>
        <v/>
      </c>
      <c r="F42" s="5">
        <f>'balance_raw_20342781'!$F$21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'balance_raw_20342781'!$B$22</f>
        <v/>
      </c>
      <c r="C43" s="8">
        <f>'balance_raw_20342781'!$C$22</f>
        <v/>
      </c>
      <c r="D43" s="8">
        <f>'balance_raw_20342781'!$D$22</f>
        <v/>
      </c>
      <c r="E43" s="8">
        <f>'balance_raw_20342781'!$E$22</f>
        <v/>
      </c>
      <c r="F43" s="8">
        <f>'balance_raw_20342781'!$F$22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'balance_raw_20342781'!$B$23</f>
        <v/>
      </c>
      <c r="C44" s="5">
        <f>'balance_raw_20342781'!$C$23</f>
        <v/>
      </c>
      <c r="D44" s="5">
        <f>'balance_raw_20342781'!$D$23</f>
        <v/>
      </c>
      <c r="E44" s="5">
        <f>'balance_raw_20342781'!$E$23</f>
        <v/>
      </c>
      <c r="F44" s="5">
        <f>'balance_raw_20342781'!$F$23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'balance_raw_20342781'!$B$24</f>
        <v/>
      </c>
      <c r="C45" s="8">
        <f>'balance_raw_20342781'!$C$24</f>
        <v/>
      </c>
      <c r="D45" s="8">
        <f>'balance_raw_20342781'!$D$24</f>
        <v/>
      </c>
      <c r="E45" s="8">
        <f>'balance_raw_20342781'!$E$24</f>
        <v/>
      </c>
      <c r="F45" s="8">
        <f>'balance_raw_20342781'!$F$24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'balance_raw_20342781'!$B$25</f>
        <v/>
      </c>
      <c r="C46" s="5">
        <f>'balance_raw_20342781'!$C$25</f>
        <v/>
      </c>
      <c r="D46" s="5">
        <f>'balance_raw_20342781'!$D$25</f>
        <v/>
      </c>
      <c r="E46" s="5">
        <f>'balance_raw_20342781'!$E$25</f>
        <v/>
      </c>
      <c r="F46" s="5">
        <f>'balance_raw_20342781'!$F$25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'balance_raw_20342781'!$B$26</f>
        <v/>
      </c>
      <c r="C47" s="8">
        <f>'balance_raw_20342781'!$C$26</f>
        <v/>
      </c>
      <c r="D47" s="8">
        <f>'balance_raw_20342781'!$D$26</f>
        <v/>
      </c>
      <c r="E47" s="8">
        <f>'balance_raw_20342781'!$E$26</f>
        <v/>
      </c>
      <c r="F47" s="8">
        <f>'balance_raw_20342781'!$F$26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'balance_raw_20342781'!$B$27</f>
        <v/>
      </c>
      <c r="C48" s="11">
        <f>'balance_raw_20342781'!$C$27</f>
        <v/>
      </c>
      <c r="D48" s="11">
        <f>'balance_raw_20342781'!$D$27</f>
        <v/>
      </c>
      <c r="E48" s="11">
        <f>'balance_raw_20342781'!$E$27</f>
        <v/>
      </c>
      <c r="F48" s="11">
        <f>'balance_raw_20342781'!$F$27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'balance_raw_20342781'!$B$28</f>
        <v/>
      </c>
      <c r="C49" s="8">
        <f>'balance_raw_20342781'!$C$28</f>
        <v/>
      </c>
      <c r="D49" s="8">
        <f>'balance_raw_20342781'!$D$28</f>
        <v/>
      </c>
      <c r="E49" s="8">
        <f>'balance_raw_20342781'!$E$28</f>
        <v/>
      </c>
      <c r="F49" s="8">
        <f>'balance_raw_20342781'!$F$28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'balance_raw_20342781'!$B$29</f>
        <v/>
      </c>
      <c r="C50" s="5">
        <f>'balance_raw_20342781'!$C$29</f>
        <v/>
      </c>
      <c r="D50" s="5">
        <f>'balance_raw_20342781'!$D$29</f>
        <v/>
      </c>
      <c r="E50" s="5">
        <f>'balance_raw_20342781'!$E$29</f>
        <v/>
      </c>
      <c r="F50" s="5">
        <f>'balance_raw_20342781'!$F$29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'balance_raw_20342781'!$B$30</f>
        <v/>
      </c>
      <c r="C51" s="11">
        <f>'balance_raw_20342781'!$C$30</f>
        <v/>
      </c>
      <c r="D51" s="11">
        <f>'balance_raw_20342781'!$D$30</f>
        <v/>
      </c>
      <c r="E51" s="11">
        <f>'balance_raw_20342781'!$E$30</f>
        <v/>
      </c>
      <c r="F51" s="11">
        <f>'balance_raw_20342781'!$F$30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'balance_raw_20342781'!$B$31</f>
        <v/>
      </c>
      <c r="C52" s="11">
        <f>'balance_raw_20342781'!$C$31</f>
        <v/>
      </c>
      <c r="D52" s="11">
        <f>'balance_raw_20342781'!$D$31</f>
        <v/>
      </c>
      <c r="E52" s="11">
        <f>'balance_raw_20342781'!$E$31</f>
        <v/>
      </c>
      <c r="F52" s="11">
        <f>'balance_raw_20342781'!$F$31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'balance_raw_20342781'!$B$32</f>
        <v/>
      </c>
      <c r="C55" s="8">
        <f>'balance_raw_20342781'!$C$32</f>
        <v/>
      </c>
      <c r="D55" s="8">
        <f>'balance_raw_20342781'!$D$32</f>
        <v/>
      </c>
      <c r="E55" s="8">
        <f>'balance_raw_20342781'!$E$32</f>
        <v/>
      </c>
      <c r="F55" s="8">
        <f>'balance_raw_20342781'!$F$32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'balance_raw_20342781'!$B$33</f>
        <v/>
      </c>
      <c r="C56" s="5">
        <f>'balance_raw_20342781'!$C$33</f>
        <v/>
      </c>
      <c r="D56" s="5">
        <f>'balance_raw_20342781'!$D$33</f>
        <v/>
      </c>
      <c r="E56" s="5">
        <f>'balance_raw_20342781'!$E$33</f>
        <v/>
      </c>
      <c r="F56" s="5">
        <f>'balance_raw_20342781'!$F$33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'balance_raw_20342781'!$B$34</f>
        <v/>
      </c>
      <c r="C57" s="8">
        <f>'balance_raw_20342781'!$C$34</f>
        <v/>
      </c>
      <c r="D57" s="8">
        <f>'balance_raw_20342781'!$D$34</f>
        <v/>
      </c>
      <c r="E57" s="8">
        <f>'balance_raw_20342781'!$E$34</f>
        <v/>
      </c>
      <c r="F57" s="8">
        <f>'balance_raw_20342781'!$F$34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'balance_raw_20342781'!$B$35</f>
        <v/>
      </c>
      <c r="C58" s="5">
        <f>'balance_raw_20342781'!$C$35</f>
        <v/>
      </c>
      <c r="D58" s="5">
        <f>'balance_raw_20342781'!$D$35</f>
        <v/>
      </c>
      <c r="E58" s="5">
        <f>'balance_raw_20342781'!$E$35</f>
        <v/>
      </c>
      <c r="F58" s="5">
        <f>'balance_raw_20342781'!$F$35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'balance_raw_20342781'!$B$36</f>
        <v/>
      </c>
      <c r="C59" s="8">
        <f>'balance_raw_20342781'!$C$36</f>
        <v/>
      </c>
      <c r="D59" s="8">
        <f>'balance_raw_20342781'!$D$36</f>
        <v/>
      </c>
      <c r="E59" s="8">
        <f>'balance_raw_20342781'!$E$36</f>
        <v/>
      </c>
      <c r="F59" s="8">
        <f>'balance_raw_20342781'!$F$36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'balance_raw_20342781'!$B$37</f>
        <v/>
      </c>
      <c r="C60" s="5">
        <f>'balance_raw_20342781'!$C$37</f>
        <v/>
      </c>
      <c r="D60" s="5">
        <f>'balance_raw_20342781'!$D$37</f>
        <v/>
      </c>
      <c r="E60" s="5">
        <f>'balance_raw_20342781'!$E$37</f>
        <v/>
      </c>
      <c r="F60" s="5">
        <f>'balance_raw_20342781'!$F$37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'balance_raw_20342781'!$B$38</f>
        <v/>
      </c>
      <c r="C61" s="11">
        <f>'balance_raw_20342781'!$C$38</f>
        <v/>
      </c>
      <c r="D61" s="11">
        <f>'balance_raw_20342781'!$D$38</f>
        <v/>
      </c>
      <c r="E61" s="11">
        <f>'balance_raw_20342781'!$E$38</f>
        <v/>
      </c>
      <c r="F61" s="11">
        <f>'balance_raw_20342781'!$F$38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'balance_raw_20342781'!$B$39</f>
        <v/>
      </c>
      <c r="C62" s="5">
        <f>'balance_raw_20342781'!$C$39</f>
        <v/>
      </c>
      <c r="D62" s="5">
        <f>'balance_raw_20342781'!$D$39</f>
        <v/>
      </c>
      <c r="E62" s="5">
        <f>'balance_raw_20342781'!$E$39</f>
        <v/>
      </c>
      <c r="F62" s="5">
        <f>'balance_raw_20342781'!$F$39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'balance_raw_20342781'!$B$40</f>
        <v/>
      </c>
      <c r="C63" s="11">
        <f>'balance_raw_20342781'!$C$40</f>
        <v/>
      </c>
      <c r="D63" s="11">
        <f>'balance_raw_20342781'!$D$40</f>
        <v/>
      </c>
      <c r="E63" s="11">
        <f>'balance_raw_20342781'!$E$40</f>
        <v/>
      </c>
      <c r="F63" s="11">
        <f>'balance_raw_20342781'!$F$40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'balance_raw_20342781'!$B$41</f>
        <v/>
      </c>
      <c r="C64" s="5">
        <f>'balance_raw_20342781'!$C$41</f>
        <v/>
      </c>
      <c r="D64" s="5">
        <f>'balance_raw_20342781'!$D$41</f>
        <v/>
      </c>
      <c r="E64" s="5">
        <f>'balance_raw_20342781'!$E$41</f>
        <v/>
      </c>
      <c r="F64" s="5">
        <f>'balance_raw_20342781'!$F$41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'balance_raw_20342781'!$B$42</f>
        <v/>
      </c>
      <c r="C65" s="8">
        <f>'balance_raw_20342781'!$C$42</f>
        <v/>
      </c>
      <c r="D65" s="8">
        <f>'balance_raw_20342781'!$D$42</f>
        <v/>
      </c>
      <c r="E65" s="8">
        <f>'balance_raw_20342781'!$E$42</f>
        <v/>
      </c>
      <c r="F65" s="8">
        <f>'balance_raw_20342781'!$F$42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'balance_raw_20342781'!$B$43</f>
        <v/>
      </c>
      <c r="C66" s="5">
        <f>'balance_raw_20342781'!$C$43</f>
        <v/>
      </c>
      <c r="D66" s="5">
        <f>'balance_raw_20342781'!$D$43</f>
        <v/>
      </c>
      <c r="E66" s="5">
        <f>'balance_raw_20342781'!$E$43</f>
        <v/>
      </c>
      <c r="F66" s="5">
        <f>'balance_raw_20342781'!$F$43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'balance_raw_20342781'!$B$44</f>
        <v/>
      </c>
      <c r="C67" s="8">
        <f>'balance_raw_20342781'!$C$44</f>
        <v/>
      </c>
      <c r="D67" s="8">
        <f>'balance_raw_20342781'!$D$44</f>
        <v/>
      </c>
      <c r="E67" s="8">
        <f>'balance_raw_20342781'!$E$44</f>
        <v/>
      </c>
      <c r="F67" s="8">
        <f>'balance_raw_20342781'!$F$44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'balance_raw_20342781'!$B$45</f>
        <v/>
      </c>
      <c r="C68" s="11">
        <f>'balance_raw_20342781'!$C$45</f>
        <v/>
      </c>
      <c r="D68" s="11">
        <f>'balance_raw_20342781'!$D$45</f>
        <v/>
      </c>
      <c r="E68" s="11">
        <f>'balance_raw_20342781'!$E$45</f>
        <v/>
      </c>
      <c r="F68" s="11">
        <f>'balance_raw_20342781'!$F$45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'balance_raw_20342781'!$B$46</f>
        <v/>
      </c>
      <c r="C69" s="8">
        <f>'balance_raw_20342781'!$C$46</f>
        <v/>
      </c>
      <c r="D69" s="8">
        <f>'balance_raw_20342781'!$D$46</f>
        <v/>
      </c>
      <c r="E69" s="8">
        <f>'balance_raw_20342781'!$E$46</f>
        <v/>
      </c>
      <c r="F69" s="8">
        <f>'balance_raw_20342781'!$F$46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'balance_raw_20342781'!$B$47</f>
        <v/>
      </c>
      <c r="C70" s="5">
        <f>'balance_raw_20342781'!$C$47</f>
        <v/>
      </c>
      <c r="D70" s="5">
        <f>'balance_raw_20342781'!$D$47</f>
        <v/>
      </c>
      <c r="E70" s="5">
        <f>'balance_raw_20342781'!$E$47</f>
        <v/>
      </c>
      <c r="F70" s="5">
        <f>'balance_raw_20342781'!$F$47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'balance_raw_20342781'!$B$48</f>
        <v/>
      </c>
      <c r="C71" s="8">
        <f>'balance_raw_20342781'!$C$48</f>
        <v/>
      </c>
      <c r="D71" s="8">
        <f>'balance_raw_20342781'!$D$48</f>
        <v/>
      </c>
      <c r="E71" s="8">
        <f>'balance_raw_20342781'!$E$48</f>
        <v/>
      </c>
      <c r="F71" s="8">
        <f>'balance_raw_20342781'!$F$48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'balance_raw_20342781'!$B$49</f>
        <v/>
      </c>
      <c r="C72" s="5">
        <f>'balance_raw_20342781'!$C$49</f>
        <v/>
      </c>
      <c r="D72" s="5">
        <f>'balance_raw_20342781'!$D$49</f>
        <v/>
      </c>
      <c r="E72" s="5">
        <f>'balance_raw_20342781'!$E$49</f>
        <v/>
      </c>
      <c r="F72" s="5">
        <f>'balance_raw_20342781'!$F$49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'balance_raw_20342781'!$B$50</f>
        <v/>
      </c>
      <c r="C73" s="8">
        <f>'balance_raw_20342781'!$C$50</f>
        <v/>
      </c>
      <c r="D73" s="8">
        <f>'balance_raw_20342781'!$D$50</f>
        <v/>
      </c>
      <c r="E73" s="8">
        <f>'balance_raw_20342781'!$E$50</f>
        <v/>
      </c>
      <c r="F73" s="8">
        <f>'balance_raw_20342781'!$F$50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'balance_raw_20342781'!$B$51</f>
        <v/>
      </c>
      <c r="C74" s="5">
        <f>'balance_raw_20342781'!$C$51</f>
        <v/>
      </c>
      <c r="D74" s="5">
        <f>'balance_raw_20342781'!$D$51</f>
        <v/>
      </c>
      <c r="E74" s="5">
        <f>'balance_raw_20342781'!$E$51</f>
        <v/>
      </c>
      <c r="F74" s="5">
        <f>'balance_raw_20342781'!$F$51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'balance_raw_20342781'!$B$52</f>
        <v/>
      </c>
      <c r="C75" s="8">
        <f>'balance_raw_20342781'!$C$52</f>
        <v/>
      </c>
      <c r="D75" s="8">
        <f>'balance_raw_20342781'!$D$52</f>
        <v/>
      </c>
      <c r="E75" s="8">
        <f>'balance_raw_20342781'!$E$52</f>
        <v/>
      </c>
      <c r="F75" s="8">
        <f>'balance_raw_20342781'!$F$52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'balance_raw_20342781'!$B$53</f>
        <v/>
      </c>
      <c r="C76" s="5">
        <f>'balance_raw_20342781'!$C$53</f>
        <v/>
      </c>
      <c r="D76" s="5">
        <f>'balance_raw_20342781'!$D$53</f>
        <v/>
      </c>
      <c r="E76" s="5">
        <f>'balance_raw_20342781'!$E$53</f>
        <v/>
      </c>
      <c r="F76" s="5">
        <f>'balance_raw_20342781'!$F$53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'balance_raw_20342781'!$B$54</f>
        <v/>
      </c>
      <c r="C77" s="8">
        <f>'balance_raw_20342781'!$C$54</f>
        <v/>
      </c>
      <c r="D77" s="8">
        <f>'balance_raw_20342781'!$D$54</f>
        <v/>
      </c>
      <c r="E77" s="8">
        <f>'balance_raw_20342781'!$E$54</f>
        <v/>
      </c>
      <c r="F77" s="8">
        <f>'balance_raw_20342781'!$F$54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'balance_raw_20342781'!$B$55</f>
        <v/>
      </c>
      <c r="C78" s="5">
        <f>'balance_raw_20342781'!$C$55</f>
        <v/>
      </c>
      <c r="D78" s="5">
        <f>'balance_raw_20342781'!$D$55</f>
        <v/>
      </c>
      <c r="E78" s="5">
        <f>'balance_raw_20342781'!$E$55</f>
        <v/>
      </c>
      <c r="F78" s="5">
        <f>'balance_raw_20342781'!$F$55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'balance_raw_20342781'!$B$56</f>
        <v/>
      </c>
      <c r="C79" s="8">
        <f>'balance_raw_20342781'!$C$56</f>
        <v/>
      </c>
      <c r="D79" s="8">
        <f>'balance_raw_20342781'!$D$56</f>
        <v/>
      </c>
      <c r="E79" s="8">
        <f>'balance_raw_20342781'!$E$56</f>
        <v/>
      </c>
      <c r="F79" s="8">
        <f>'balance_raw_20342781'!$F$56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'balance_raw_20342781'!$B$57</f>
        <v/>
      </c>
      <c r="C80" s="11">
        <f>'balance_raw_20342781'!$C$57</f>
        <v/>
      </c>
      <c r="D80" s="11">
        <f>'balance_raw_20342781'!$D$57</f>
        <v/>
      </c>
      <c r="E80" s="11">
        <f>'balance_raw_20342781'!$E$57</f>
        <v/>
      </c>
      <c r="F80" s="11">
        <f>'balance_raw_20342781'!$F$57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'balance_raw_20342781'!$B$58</f>
        <v/>
      </c>
      <c r="C81" s="11">
        <f>'balance_raw_20342781'!$C$58</f>
        <v/>
      </c>
      <c r="D81" s="11">
        <f>'balance_raw_20342781'!$D$58</f>
        <v/>
      </c>
      <c r="E81" s="11">
        <f>'balance_raw_20342781'!$E$58</f>
        <v/>
      </c>
      <c r="F81" s="11">
        <f>'balance_raw_20342781'!$F$58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'balance_raw_20342781'!$B$59</f>
        <v/>
      </c>
      <c r="C82" s="11">
        <f>'balance_raw_20342781'!$C$59</f>
        <v/>
      </c>
      <c r="D82" s="11">
        <f>'balance_raw_20342781'!$D$59</f>
        <v/>
      </c>
      <c r="E82" s="11">
        <f>'balance_raw_20342781'!$E$59</f>
        <v/>
      </c>
      <c r="F82" s="11">
        <f>'balance_raw_20342781'!$F$59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Gns. antal medarbejdere</t>
        </is>
      </c>
      <c r="B85" s="8">
        <f>'res_raw_20342781'!$B$19</f>
        <v/>
      </c>
      <c r="C85" s="8">
        <f>'res_raw_20342781'!$C$19</f>
        <v/>
      </c>
      <c r="D85" s="8">
        <f>'res_raw_20342781'!$D$19</f>
        <v/>
      </c>
      <c r="E85" s="8">
        <f>'res_raw_20342781'!$E$19</f>
        <v/>
      </c>
      <c r="F85" s="8">
        <f>'res_raw_20342781'!$F$19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'res_raw_20342781'!$B$20</f>
        <v/>
      </c>
      <c r="C86" s="5">
        <f>'res_raw_20342781'!$C$20</f>
        <v/>
      </c>
      <c r="D86" s="5">
        <f>'res_raw_20342781'!$D$20</f>
        <v/>
      </c>
      <c r="E86" s="5">
        <f>'res_raw_20342781'!$E$20</f>
        <v/>
      </c>
      <c r="F86" s="5">
        <f>'res_raw_20342781'!$F$20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2021</v>
      </c>
      <c r="C88" s="3" t="n">
        <v>2022</v>
      </c>
      <c r="D88" s="3" t="n">
        <v>2023</v>
      </c>
      <c r="E88" s="3" t="n">
        <v>2024</v>
      </c>
      <c r="F88" s="3" t="n">
        <v>2025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Overskudsgrad, %</t>
        </is>
      </c>
      <c r="B90" s="14">
        <f>IFERROR(($B$13+$B$15+$B$14)/$B$4*100,"")</f>
        <v/>
      </c>
      <c r="C90" s="14">
        <f>IFERROR(($C$13+$C$15+$C$14)/$C$4*100,"")</f>
        <v/>
      </c>
      <c r="D90" s="14">
        <f>IFERROR(($D$13+$D$15+$D$14)/$D$4*100,"")</f>
        <v/>
      </c>
      <c r="E90" s="14">
        <f>IFERROR(($E$13+$E$15+$E$14)/$E$4*100,"")</f>
        <v/>
      </c>
      <c r="F90" s="14">
        <f>IFERROR(($F$13+$F$15+$F$14)/$F$4*100,"")</f>
        <v/>
      </c>
    </row>
    <row r="91" ht="16" customHeight="1">
      <c r="A91" s="7" t="inlineStr">
        <is>
          <t>Aktivernes omsætningshastighed, gange</t>
        </is>
      </c>
      <c r="B91" s="13">
        <f>IFERROR($B$4/$B$52,"")</f>
        <v/>
      </c>
      <c r="C91" s="13">
        <f>IFERROR($C$4/$C$52,"")</f>
        <v/>
      </c>
      <c r="D91" s="13">
        <f>IFERROR($D$4/$D$52,"")</f>
        <v/>
      </c>
      <c r="E91" s="13">
        <f>IFERROR($E$4/$E$52,"")</f>
        <v/>
      </c>
      <c r="F91" s="13">
        <f>IFERROR($F$4/$F$52,"")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  <row r="101">
      <c r="A101" s="15" t="inlineStr">
        <is>
          <t>PENGESTRØMSOPGØRELSE t.kr.</t>
        </is>
      </c>
    </row>
    <row r="102">
      <c r="A102" s="16" t="inlineStr">
        <is>
          <t>Pengestrømme fra driftsaktivitet</t>
        </is>
      </c>
      <c r="B102" s="17">
        <f>'pengestrom_raw_20342781'!$B$2</f>
        <v/>
      </c>
      <c r="C102" s="17">
        <f>'pengestrom_raw_20342781'!$C$2</f>
        <v/>
      </c>
      <c r="D102" s="17">
        <f>'pengestrom_raw_20342781'!$D$2</f>
        <v/>
      </c>
      <c r="E102" s="17">
        <f>'pengestrom_raw_20342781'!$E$2</f>
        <v/>
      </c>
      <c r="F102" s="17">
        <f>'pengestrom_raw_20342781'!$F$2</f>
        <v/>
      </c>
    </row>
    <row r="103">
      <c r="A103" s="16" t="inlineStr">
        <is>
          <t>Pengestrømme fra investeringsaktivitet</t>
        </is>
      </c>
      <c r="B103" s="17">
        <f>'pengestrom_raw_20342781'!$B$3</f>
        <v/>
      </c>
      <c r="C103" s="17">
        <f>'pengestrom_raw_20342781'!$C$3</f>
        <v/>
      </c>
      <c r="D103" s="17">
        <f>'pengestrom_raw_20342781'!$D$3</f>
        <v/>
      </c>
      <c r="E103" s="17">
        <f>'pengestrom_raw_20342781'!$E$3</f>
        <v/>
      </c>
      <c r="F103" s="17">
        <f>'pengestrom_raw_20342781'!$F$3</f>
        <v/>
      </c>
    </row>
    <row r="104">
      <c r="A104" s="16" t="inlineStr">
        <is>
          <t>Pengestrømme fra finansieringsaktivitet</t>
        </is>
      </c>
      <c r="B104" s="17">
        <f>'pengestrom_raw_20342781'!$B$4</f>
        <v/>
      </c>
      <c r="C104" s="17">
        <f>'pengestrom_raw_20342781'!$C$4</f>
        <v/>
      </c>
      <c r="D104" s="17">
        <f>'pengestrom_raw_20342781'!$D$4</f>
        <v/>
      </c>
      <c r="E104" s="17">
        <f>'pengestrom_raw_20342781'!$E$4</f>
        <v/>
      </c>
      <c r="F104" s="17">
        <f>'pengestrom_raw_20342781'!$F$4</f>
        <v/>
      </c>
    </row>
    <row r="105">
      <c r="A105" s="16" t="inlineStr">
        <is>
          <t>Årets pengestrøm (rapporteret)</t>
        </is>
      </c>
      <c r="B105" s="17">
        <f>'pengestrom_raw_20342781'!$B$5</f>
        <v/>
      </c>
      <c r="C105" s="17">
        <f>'pengestrom_raw_20342781'!$C$5</f>
        <v/>
      </c>
      <c r="D105" s="17">
        <f>'pengestrom_raw_20342781'!$D$5</f>
        <v/>
      </c>
      <c r="E105" s="17">
        <f>'pengestrom_raw_20342781'!$E$5</f>
        <v/>
      </c>
      <c r="F105" s="17">
        <f>'pengestrom_raw_20342781'!$F$5</f>
        <v/>
      </c>
    </row>
    <row r="106">
      <c r="A106" s="16" t="inlineStr">
        <is>
          <t>Krydstjek: drift + inv. + fin. = årets pengestrøm</t>
        </is>
      </c>
      <c r="B106">
        <f>IF(ABS(('pengestrom_raw_20342781'!$B$2+'pengestrom_raw_20342781'!$B$3+'pengestrom_raw_20342781'!$B$4)-'pengestrom_raw_20342781'!$B$5)&lt;=2,"✓","⚠ "&amp;TEXT(('pengestrom_raw_20342781'!$B$2+'pengestrom_raw_20342781'!$B$3+'pengestrom_raw_20342781'!$B$4)-'pengestrom_raw_20342781'!$B$5,"+#,##0;-#,##0"))</f>
        <v/>
      </c>
      <c r="C106">
        <f>IF(ABS(('pengestrom_raw_20342781'!$C$2+'pengestrom_raw_20342781'!$C$3+'pengestrom_raw_20342781'!$C$4)-'pengestrom_raw_20342781'!$C$5)&lt;=2,"✓","⚠ "&amp;TEXT(('pengestrom_raw_20342781'!$C$2+'pengestrom_raw_20342781'!$C$3+'pengestrom_raw_20342781'!$C$4)-'pengestrom_raw_20342781'!$C$5,"+#,##0;-#,##0"))</f>
        <v/>
      </c>
      <c r="D106">
        <f>IF(ABS(('pengestrom_raw_20342781'!$D$2+'pengestrom_raw_20342781'!$D$3+'pengestrom_raw_20342781'!$D$4)-'pengestrom_raw_20342781'!$D$5)&lt;=2,"✓","⚠ "&amp;TEXT(('pengestrom_raw_20342781'!$D$2+'pengestrom_raw_20342781'!$D$3+'pengestrom_raw_20342781'!$D$4)-'pengestrom_raw_20342781'!$D$5,"+#,##0;-#,##0"))</f>
        <v/>
      </c>
      <c r="E106">
        <f>IF(ABS(('pengestrom_raw_20342781'!$E$2+'pengestrom_raw_20342781'!$E$3+'pengestrom_raw_20342781'!$E$4)-'pengestrom_raw_20342781'!$E$5)&lt;=2,"✓","⚠ "&amp;TEXT(('pengestrom_raw_20342781'!$E$2+'pengestrom_raw_20342781'!$E$3+'pengestrom_raw_20342781'!$E$4)-'pengestrom_raw_20342781'!$E$5,"+#,##0;-#,##0"))</f>
        <v/>
      </c>
      <c r="F106">
        <f>IF(ABS(('pengestrom_raw_20342781'!$F$2+'pengestrom_raw_20342781'!$F$3+'pengestrom_raw_20342781'!$F$4)-'pengestrom_raw_20342781'!$F$5)&lt;=2,"✓","⚠ "&amp;TEXT(('pengestrom_raw_20342781'!$F$2+'pengestrom_raw_20342781'!$F$3+'pengestrom_raw_20342781'!$F$4)-'pengestrom_raw_20342781'!$F$5,"+#,##0;-#,##0"))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COMPANY INFORMATION Albatros Travel A/S (CVR 20342781)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148384</v>
      </c>
      <c r="C2" s="17" t="n">
        <v>500231</v>
      </c>
      <c r="D2" s="17" t="n">
        <v>733382</v>
      </c>
      <c r="E2" s="17" t="n">
        <v>764561</v>
      </c>
      <c r="F2" s="17" t="n">
        <v>753144</v>
      </c>
    </row>
    <row r="3">
      <c r="A3" s="16" t="inlineStr">
        <is>
          <t>Andre driftsindtægter</t>
        </is>
      </c>
      <c r="B3" s="17" t="n">
        <v>3776</v>
      </c>
      <c r="C3" s="17" t="n">
        <v>3118</v>
      </c>
      <c r="D3" s="17" t="n">
        <v>125</v>
      </c>
      <c r="E3" s="17" t="n">
        <v>1205</v>
      </c>
      <c r="F3" s="17" t="n">
        <v>0</v>
      </c>
    </row>
    <row r="4">
      <c r="A4" s="16" t="inlineStr">
        <is>
          <t>Vareforbrug</t>
        </is>
      </c>
      <c r="B4" s="17" t="n">
        <v>100089</v>
      </c>
      <c r="C4" s="17" t="n">
        <v>389803</v>
      </c>
      <c r="D4" s="17" t="n">
        <v>585067</v>
      </c>
      <c r="E4" s="17" t="n">
        <v>606632</v>
      </c>
      <c r="F4" s="17" t="n">
        <v>580086</v>
      </c>
    </row>
    <row r="5">
      <c r="A5" s="16" t="inlineStr">
        <is>
          <t>Andre eksterne omkostninger</t>
        </is>
      </c>
      <c r="B5" s="17" t="n">
        <v>29979</v>
      </c>
      <c r="C5" s="17" t="n">
        <v>47483</v>
      </c>
      <c r="D5" s="17" t="n">
        <v>59696</v>
      </c>
      <c r="E5" s="17" t="n">
        <v>64182</v>
      </c>
      <c r="F5" s="17" t="n">
        <v>73085</v>
      </c>
    </row>
    <row r="6">
      <c r="A6" s="15" t="inlineStr">
        <is>
          <t>Bruttoresultat</t>
        </is>
      </c>
      <c r="B6" s="17" t="n">
        <v>48296</v>
      </c>
      <c r="C6" s="17" t="n">
        <v>110429</v>
      </c>
      <c r="D6" s="17" t="n">
        <v>148315</v>
      </c>
      <c r="E6" s="17" t="n">
        <v>157929</v>
      </c>
      <c r="F6" s="17" t="n">
        <v>173058</v>
      </c>
    </row>
    <row r="7">
      <c r="A7" s="16" t="inlineStr">
        <is>
          <t>Personaleomkostninger</t>
        </is>
      </c>
      <c r="B7" s="17" t="n">
        <v>32684</v>
      </c>
      <c r="C7" s="17" t="n">
        <v>43563</v>
      </c>
      <c r="D7" s="17" t="n">
        <v>53902</v>
      </c>
      <c r="E7" s="17" t="n">
        <v>58428</v>
      </c>
      <c r="F7" s="17" t="n">
        <v>65674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2217</v>
      </c>
      <c r="C9" s="17" t="n">
        <v>1913</v>
      </c>
      <c r="D9" s="17" t="n">
        <v>1016</v>
      </c>
      <c r="E9" s="17" t="n">
        <v>2971</v>
      </c>
      <c r="F9" s="17" t="n">
        <v>6882</v>
      </c>
    </row>
    <row r="10">
      <c r="A10" s="16" t="inlineStr">
        <is>
          <t>Andre driftsomkostninger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Resultat af primær drift</t>
        </is>
      </c>
      <c r="B11" s="17" t="n">
        <v>-10591</v>
      </c>
      <c r="C11" s="17" t="n">
        <v>22500</v>
      </c>
      <c r="D11" s="17" t="n">
        <v>34842</v>
      </c>
      <c r="E11" s="17" t="n">
        <v>36523</v>
      </c>
      <c r="F11" s="17" t="n">
        <v>27417</v>
      </c>
    </row>
    <row r="12">
      <c r="A12" s="16" t="inlineStr">
        <is>
          <t>Indtægter af kapitalandele, dattervirksomheder</t>
        </is>
      </c>
      <c r="B12" s="17" t="n">
        <v>-43</v>
      </c>
      <c r="C12" s="17" t="n">
        <v>-1377</v>
      </c>
      <c r="D12" s="17" t="n">
        <v>-39</v>
      </c>
      <c r="E12" s="17" t="n">
        <v>-19</v>
      </c>
      <c r="F12" s="17" t="n">
        <v>-21</v>
      </c>
    </row>
    <row r="13">
      <c r="A13" s="16" t="inlineStr">
        <is>
          <t>Finansielle indtægter</t>
        </is>
      </c>
      <c r="B13" s="17" t="n">
        <v>7810</v>
      </c>
      <c r="C13" s="17" t="n">
        <v>2519</v>
      </c>
      <c r="D13" s="17" t="n">
        <v>19126</v>
      </c>
      <c r="E13" s="17" t="n">
        <v>20566</v>
      </c>
      <c r="F13" s="17" t="n">
        <v>9921</v>
      </c>
    </row>
    <row r="14">
      <c r="A14" s="16" t="inlineStr">
        <is>
          <t>Finansielle omkostninger</t>
        </is>
      </c>
      <c r="B14" s="17" t="n">
        <v>4406</v>
      </c>
      <c r="C14" s="17" t="n">
        <v>21288</v>
      </c>
      <c r="D14" s="17" t="n">
        <v>5723</v>
      </c>
      <c r="E14" s="17" t="n">
        <v>5589</v>
      </c>
      <c r="F14" s="17" t="n">
        <v>5594</v>
      </c>
    </row>
    <row r="15">
      <c r="A15" s="15" t="inlineStr">
        <is>
          <t>Finansielle poster, netto</t>
        </is>
      </c>
      <c r="B15" s="17" t="n">
        <v>4813</v>
      </c>
      <c r="C15" s="17" t="n">
        <v>-17128</v>
      </c>
      <c r="D15" s="17" t="n">
        <v>16628</v>
      </c>
      <c r="E15" s="17" t="n">
        <v>19080</v>
      </c>
      <c r="F15" s="17" t="n">
        <v>8134</v>
      </c>
    </row>
    <row r="16">
      <c r="A16" s="15" t="inlineStr">
        <is>
          <t>Resultat før skat</t>
        </is>
      </c>
      <c r="B16" s="17" t="n">
        <v>-8037</v>
      </c>
      <c r="C16" s="17" t="n">
        <v>2081</v>
      </c>
      <c r="D16" s="17" t="n">
        <v>50416</v>
      </c>
      <c r="E16" s="17" t="n">
        <v>52613</v>
      </c>
      <c r="F16" s="17" t="n">
        <v>35529</v>
      </c>
    </row>
    <row r="17">
      <c r="A17" s="16" t="inlineStr">
        <is>
          <t>Skat af årets resultat</t>
        </is>
      </c>
      <c r="B17" s="17" t="n">
        <v>-1802</v>
      </c>
      <c r="C17" s="17" t="n">
        <v>724</v>
      </c>
      <c r="D17" s="17" t="n">
        <v>11021</v>
      </c>
      <c r="E17" s="17" t="n">
        <v>11509</v>
      </c>
      <c r="F17" s="17" t="n">
        <v>7982</v>
      </c>
    </row>
    <row r="18">
      <c r="A18" s="15" t="inlineStr">
        <is>
          <t>Årets resultat</t>
        </is>
      </c>
      <c r="B18" s="17" t="n">
        <v>-6236</v>
      </c>
      <c r="C18" s="17" t="n">
        <v>1357</v>
      </c>
      <c r="D18" s="17" t="n">
        <v>39395</v>
      </c>
      <c r="E18" s="17" t="n">
        <v>41104</v>
      </c>
      <c r="F18" s="17" t="n">
        <v>27547</v>
      </c>
    </row>
    <row r="19">
      <c r="A19" s="16" t="inlineStr">
        <is>
          <t>Gns. antal medarbejdere</t>
        </is>
      </c>
      <c r="B19" s="17" t="n">
        <v>75</v>
      </c>
      <c r="C19" s="17" t="n">
        <v>84</v>
      </c>
      <c r="D19" s="17" t="n">
        <v>105</v>
      </c>
      <c r="E19" s="17" t="n">
        <v>112</v>
      </c>
      <c r="F19" s="17" t="n">
        <v>121</v>
      </c>
    </row>
    <row r="20">
      <c r="A20" s="16" t="inlineStr">
        <is>
          <t>Investering i materielle anlægsaktiver</t>
        </is>
      </c>
      <c r="B20" s="17" t="n"/>
      <c r="C20" s="17" t="n"/>
      <c r="D20" s="17" t="n"/>
      <c r="E20" s="17" t="n"/>
      <c r="F20" s="1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COMPANY INFORMATION Albatros Travel A/S (CVR 20342781)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/>
      <c r="C2" s="17" t="n"/>
      <c r="D2" s="17" t="n"/>
      <c r="E2" s="17" t="n"/>
      <c r="F2" s="17" t="n">
        <v>19129</v>
      </c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/>
      <c r="C4" s="17" t="n"/>
      <c r="D4" s="17" t="n"/>
      <c r="E4" s="17" t="n"/>
      <c r="F4" s="17" t="n"/>
    </row>
    <row r="5">
      <c r="A5" s="15" t="inlineStr">
        <is>
          <t>Immaterielle anlægsaktiver</t>
        </is>
      </c>
      <c r="B5" s="17" t="n">
        <v>3029</v>
      </c>
      <c r="C5" s="17" t="n">
        <v>1641</v>
      </c>
      <c r="D5" s="17" t="n">
        <v>7422</v>
      </c>
      <c r="E5" s="17" t="n">
        <v>17209</v>
      </c>
      <c r="F5" s="17" t="n">
        <v>19129</v>
      </c>
    </row>
    <row r="6">
      <c r="A6" s="16" t="inlineStr">
        <is>
          <t>Grunde og bygninger</t>
        </is>
      </c>
      <c r="B6" s="17" t="n"/>
      <c r="C6" s="17" t="n"/>
      <c r="D6" s="17" t="n"/>
      <c r="E6" s="17" t="n"/>
      <c r="F6" s="17" t="n"/>
    </row>
    <row r="7">
      <c r="A7" s="16" t="inlineStr">
        <is>
          <t>Produktionsanlæg og maskiner</t>
        </is>
      </c>
      <c r="B7" s="17" t="n"/>
      <c r="C7" s="17" t="n"/>
      <c r="D7" s="17" t="n"/>
      <c r="E7" s="17" t="n"/>
      <c r="F7" s="17" t="n"/>
    </row>
    <row r="8">
      <c r="A8" s="16" t="inlineStr">
        <is>
          <t>Driftsmateriel og inventar</t>
        </is>
      </c>
      <c r="B8" s="17" t="n">
        <v>1329</v>
      </c>
      <c r="C8" s="17" t="n">
        <v>1367</v>
      </c>
      <c r="D8" s="17" t="n">
        <v>1828</v>
      </c>
      <c r="E8" s="17" t="n">
        <v>2006</v>
      </c>
      <c r="F8" s="17" t="n">
        <v>2224</v>
      </c>
    </row>
    <row r="9">
      <c r="A9" s="16" t="inlineStr">
        <is>
          <t>Indretning af lejede lokaler</t>
        </is>
      </c>
      <c r="B9" s="17" t="n">
        <v>282</v>
      </c>
      <c r="C9" s="17" t="n">
        <v>230</v>
      </c>
      <c r="D9" s="17" t="n">
        <v>282</v>
      </c>
      <c r="E9" s="17" t="n">
        <v>629</v>
      </c>
      <c r="F9" s="17" t="n">
        <v>1077</v>
      </c>
    </row>
    <row r="10">
      <c r="A10" s="16" t="inlineStr">
        <is>
          <t>Forudbetaling og anlægsaktiver under opførelse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Materielle anlægsaktiver</t>
        </is>
      </c>
      <c r="B11" s="17" t="n">
        <v>1611</v>
      </c>
      <c r="C11" s="17" t="n">
        <v>1598</v>
      </c>
      <c r="D11" s="17" t="n">
        <v>2110</v>
      </c>
      <c r="E11" s="17" t="n">
        <v>2635</v>
      </c>
      <c r="F11" s="17" t="n">
        <v>3301</v>
      </c>
    </row>
    <row r="12">
      <c r="A12" s="16" t="inlineStr">
        <is>
          <t>Kapitalandele, dattervirksomheder</t>
        </is>
      </c>
      <c r="B12" s="17" t="n">
        <v>1908</v>
      </c>
      <c r="C12" s="17" t="n">
        <v>630</v>
      </c>
      <c r="D12" s="17" t="n">
        <v>557</v>
      </c>
      <c r="E12" s="17" t="n">
        <v>535</v>
      </c>
      <c r="F12" s="17" t="n">
        <v>517</v>
      </c>
    </row>
    <row r="13">
      <c r="A13" s="16" t="inlineStr">
        <is>
          <t>Deposita</t>
        </is>
      </c>
      <c r="B13" s="17" t="n">
        <v>1978</v>
      </c>
      <c r="C13" s="17" t="n">
        <v>2048</v>
      </c>
      <c r="D13" s="17" t="n">
        <v>2251</v>
      </c>
      <c r="E13" s="17" t="n">
        <v>2322</v>
      </c>
      <c r="F13" s="17" t="n">
        <v>2395</v>
      </c>
    </row>
    <row r="14">
      <c r="A14" s="15" t="inlineStr">
        <is>
          <t>Finansielle anlægsaktiver</t>
        </is>
      </c>
      <c r="B14" s="17" t="n">
        <v>3886</v>
      </c>
      <c r="C14" s="17" t="n">
        <v>2678</v>
      </c>
      <c r="D14" s="17" t="n">
        <v>2808</v>
      </c>
      <c r="E14" s="17" t="n">
        <v>2856</v>
      </c>
      <c r="F14" s="17" t="n">
        <v>23400</v>
      </c>
    </row>
    <row r="15">
      <c r="A15" s="15" t="inlineStr">
        <is>
          <t>Anlægsaktiver</t>
        </is>
      </c>
      <c r="B15" s="17" t="n">
        <v>8526</v>
      </c>
      <c r="C15" s="17" t="n">
        <v>5917</v>
      </c>
      <c r="D15" s="17" t="n">
        <v>12340</v>
      </c>
      <c r="E15" s="17" t="n">
        <v>22701</v>
      </c>
      <c r="F15" s="17" t="n">
        <v>45830</v>
      </c>
    </row>
    <row r="16">
      <c r="A16" s="16" t="inlineStr">
        <is>
          <t>Råvarer og hjælpematerialer</t>
        </is>
      </c>
      <c r="B16" s="17" t="n"/>
      <c r="C16" s="17" t="n"/>
      <c r="D16" s="17" t="n"/>
      <c r="E16" s="17" t="n"/>
      <c r="F16" s="17" t="n"/>
    </row>
    <row r="17">
      <c r="A17" s="16" t="inlineStr">
        <is>
          <t>Varer under fremstilling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Færdigvarer og handelsvarer</t>
        </is>
      </c>
      <c r="B18" s="17" t="n">
        <v>1054</v>
      </c>
      <c r="C18" s="17" t="n">
        <v>875</v>
      </c>
      <c r="D18" s="17" t="n">
        <v>773</v>
      </c>
      <c r="E18" s="17" t="n">
        <v>707</v>
      </c>
      <c r="F18" s="17" t="n"/>
    </row>
    <row r="19">
      <c r="A19" s="15" t="inlineStr">
        <is>
          <t>Varebeholdninger</t>
        </is>
      </c>
      <c r="B19" s="17" t="n">
        <v>1054</v>
      </c>
      <c r="C19" s="17" t="n">
        <v>875</v>
      </c>
      <c r="D19" s="17" t="n">
        <v>773</v>
      </c>
      <c r="E19" s="17" t="n">
        <v>707</v>
      </c>
      <c r="F19" s="17" t="n">
        <v>588</v>
      </c>
    </row>
    <row r="20">
      <c r="A20" s="16" t="inlineStr">
        <is>
          <t>Tilgodehavender fra salg og tjenesteydelser</t>
        </is>
      </c>
      <c r="B20" s="17" t="n"/>
      <c r="C20" s="17" t="n"/>
      <c r="D20" s="17" t="n"/>
      <c r="E20" s="17" t="n"/>
      <c r="F20" s="17" t="n"/>
    </row>
    <row r="21">
      <c r="A21" s="16" t="inlineStr">
        <is>
          <t>Tilgodehavender hos tilknyttede virksomheder</t>
        </is>
      </c>
      <c r="B21" s="17" t="n"/>
      <c r="C21" s="17" t="n"/>
      <c r="D21" s="17" t="n"/>
      <c r="E21" s="17" t="n"/>
      <c r="F21" s="17" t="n"/>
    </row>
    <row r="22">
      <c r="A22" s="16" t="inlineStr">
        <is>
          <t>Andre tilgodehavender</t>
        </is>
      </c>
      <c r="B22" s="17" t="n">
        <v>7339</v>
      </c>
      <c r="C22" s="17" t="n">
        <v>6520</v>
      </c>
      <c r="D22" s="17" t="n">
        <v>15127</v>
      </c>
      <c r="E22" s="17" t="n">
        <v>10443</v>
      </c>
      <c r="F22" s="17" t="n">
        <v>5018</v>
      </c>
    </row>
    <row r="23">
      <c r="A23" s="16" t="inlineStr">
        <is>
          <t>Periodeafgrænsningsposter (aktiver)</t>
        </is>
      </c>
      <c r="B23" s="17" t="n">
        <v>60291</v>
      </c>
      <c r="C23" s="17" t="n">
        <v>104318</v>
      </c>
      <c r="D23" s="17" t="n">
        <v>109748</v>
      </c>
      <c r="E23" s="17" t="n">
        <v>120618</v>
      </c>
      <c r="F23" s="17" t="n">
        <v>95433</v>
      </c>
    </row>
    <row r="24">
      <c r="A24" s="16" t="inlineStr">
        <is>
          <t>Udskudt skatteaktiv</t>
        </is>
      </c>
      <c r="B24" s="17" t="n"/>
      <c r="C24" s="17" t="n"/>
      <c r="D24" s="17" t="n"/>
      <c r="E24" s="17" t="n"/>
      <c r="F24" s="17" t="n"/>
    </row>
    <row r="25">
      <c r="A25" s="16" t="inlineStr">
        <is>
          <t>Tilgodehavende skat hos tilknyttede virksomheder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Kortfristede skattetilgodehavender</t>
        </is>
      </c>
      <c r="B26" s="17" t="n">
        <v>4410</v>
      </c>
      <c r="C26" s="17" t="n">
        <v>3686</v>
      </c>
      <c r="D26" s="17" t="n">
        <v>0</v>
      </c>
      <c r="E26" s="17" t="n"/>
      <c r="F26" s="17" t="n"/>
    </row>
    <row r="27">
      <c r="A27" s="15" t="inlineStr">
        <is>
          <t>Tilgodehavender</t>
        </is>
      </c>
      <c r="B27" s="17" t="n">
        <v>170237</v>
      </c>
      <c r="C27" s="17" t="n">
        <v>203893</v>
      </c>
      <c r="D27" s="17" t="n">
        <v>214187</v>
      </c>
      <c r="E27" s="17" t="n">
        <v>223205</v>
      </c>
      <c r="F27" s="17" t="n">
        <v>159472</v>
      </c>
    </row>
    <row r="28">
      <c r="A28" s="16" t="inlineStr">
        <is>
          <t>Værdipapirer</t>
        </is>
      </c>
      <c r="B28" s="17" t="n"/>
      <c r="C28" s="17" t="n"/>
      <c r="D28" s="17" t="n"/>
      <c r="E28" s="17" t="n"/>
      <c r="F28" s="17" t="n">
        <v>117088</v>
      </c>
    </row>
    <row r="29">
      <c r="A29" s="16" t="inlineStr">
        <is>
          <t>Likvide beholdninger</t>
        </is>
      </c>
      <c r="B29" s="17" t="n">
        <v>139441</v>
      </c>
      <c r="C29" s="17" t="n">
        <v>163802</v>
      </c>
      <c r="D29" s="17" t="n">
        <v>173499</v>
      </c>
      <c r="E29" s="17" t="n">
        <v>177942</v>
      </c>
      <c r="F29" s="17" t="n">
        <v>78965</v>
      </c>
    </row>
    <row r="30">
      <c r="A30" s="15" t="inlineStr">
        <is>
          <t>Omsætningsaktiver</t>
        </is>
      </c>
      <c r="B30" s="17" t="n">
        <v>310731</v>
      </c>
      <c r="C30" s="17" t="n">
        <v>368570</v>
      </c>
      <c r="D30" s="17" t="n">
        <v>388460</v>
      </c>
      <c r="E30" s="17" t="n">
        <v>401854</v>
      </c>
      <c r="F30" s="17" t="n">
        <v>356113</v>
      </c>
    </row>
    <row r="31">
      <c r="A31" s="15" t="inlineStr">
        <is>
          <t>Aktiver</t>
        </is>
      </c>
      <c r="B31" s="17" t="n">
        <v>319257</v>
      </c>
      <c r="C31" s="17" t="n">
        <v>374487</v>
      </c>
      <c r="D31" s="17" t="n">
        <v>400800</v>
      </c>
      <c r="E31" s="17" t="n">
        <v>424555</v>
      </c>
      <c r="F31" s="17" t="n">
        <v>401943</v>
      </c>
    </row>
    <row r="32">
      <c r="A32" s="16" t="inlineStr">
        <is>
          <t>Selskabskapital</t>
        </is>
      </c>
      <c r="B32" s="17" t="n">
        <v>1000</v>
      </c>
      <c r="C32" s="17" t="n">
        <v>1000</v>
      </c>
      <c r="D32" s="17" t="n">
        <v>1000</v>
      </c>
      <c r="E32" s="17" t="n">
        <v>1000</v>
      </c>
      <c r="F32" s="17" t="n">
        <v>1000</v>
      </c>
    </row>
    <row r="33">
      <c r="A33" s="16" t="inlineStr">
        <is>
          <t>Reserve for nettoopskrivning (indre værdis metode)</t>
        </is>
      </c>
      <c r="B33" s="17" t="n">
        <v>0</v>
      </c>
      <c r="C33" s="17" t="n"/>
      <c r="D33" s="17" t="n"/>
      <c r="E33" s="17" t="n"/>
      <c r="F33" s="17" t="n"/>
    </row>
    <row r="34">
      <c r="A34" s="16" t="inlineStr">
        <is>
          <t>Reserve for udviklingsomkostninger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Reserve for sikringstransaktioner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Andre reserver</t>
        </is>
      </c>
      <c r="B36" s="17" t="n"/>
      <c r="C36" s="17" t="n"/>
      <c r="D36" s="17" t="n"/>
      <c r="E36" s="17" t="n"/>
      <c r="F36" s="17" t="n"/>
    </row>
    <row r="37">
      <c r="A37" s="16" t="inlineStr">
        <is>
          <t>Overført resultat</t>
        </is>
      </c>
      <c r="B37" s="17" t="n">
        <v>32948</v>
      </c>
      <c r="C37" s="17" t="n">
        <v>34404</v>
      </c>
      <c r="D37" s="17" t="n">
        <v>61800</v>
      </c>
      <c r="E37" s="17" t="n">
        <v>82903</v>
      </c>
      <c r="F37" s="17" t="n">
        <v>110454</v>
      </c>
    </row>
    <row r="38">
      <c r="A38" s="15" t="inlineStr">
        <is>
          <t>Egenkapital i alt</t>
        </is>
      </c>
      <c r="B38" s="17" t="n">
        <v>34972</v>
      </c>
      <c r="C38" s="17" t="n">
        <v>35061</v>
      </c>
      <c r="D38" s="17" t="n">
        <v>61532</v>
      </c>
      <c r="E38" s="17" t="n">
        <v>109174</v>
      </c>
      <c r="F38" s="17" t="n">
        <v>102344</v>
      </c>
    </row>
    <row r="39">
      <c r="A39" s="16" t="inlineStr">
        <is>
          <t>Hensættelse til udskudt skat</t>
        </is>
      </c>
      <c r="B39" s="17" t="n">
        <v>4392</v>
      </c>
      <c r="C39" s="17" t="n">
        <v>8341</v>
      </c>
      <c r="D39" s="17" t="n">
        <v>12499</v>
      </c>
      <c r="E39" s="17" t="n">
        <v>9407</v>
      </c>
      <c r="F39" s="17" t="n">
        <v>12524</v>
      </c>
    </row>
    <row r="40">
      <c r="A40" s="15" t="inlineStr">
        <is>
          <t>Hensatte forpligtelser</t>
        </is>
      </c>
      <c r="B40" s="17" t="n">
        <v>4392</v>
      </c>
      <c r="C40" s="17" t="n">
        <v>8341</v>
      </c>
      <c r="D40" s="17" t="n">
        <v>12499</v>
      </c>
      <c r="E40" s="17" t="n">
        <v>9407</v>
      </c>
      <c r="F40" s="17" t="n">
        <v>12524</v>
      </c>
    </row>
    <row r="41">
      <c r="A41" s="16" t="inlineStr">
        <is>
          <t>Ansvarlig lånekapital (langfristet)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Langfristede lån</t>
        </is>
      </c>
      <c r="B42" s="17" t="n">
        <v>38533</v>
      </c>
      <c r="C42" s="17" t="n">
        <v>26866</v>
      </c>
      <c r="D42" s="17" t="n">
        <v>15199</v>
      </c>
      <c r="E42" s="17" t="n">
        <v>3532</v>
      </c>
      <c r="F42" s="17" t="n">
        <v>0</v>
      </c>
    </row>
    <row r="43">
      <c r="A43" s="16" t="inlineStr">
        <is>
          <t>Leasingforpligtelser (langfristet)</t>
        </is>
      </c>
      <c r="B43" s="17" t="n"/>
      <c r="C43" s="17" t="n"/>
      <c r="D43" s="17" t="n"/>
      <c r="E43" s="17" t="n"/>
      <c r="F43" s="17" t="n"/>
    </row>
    <row r="44">
      <c r="A44" s="16" t="inlineStr">
        <is>
          <t>Anden gæld (langfristet)</t>
        </is>
      </c>
      <c r="B44" s="17" t="n"/>
      <c r="C44" s="17" t="n"/>
      <c r="D44" s="17" t="n"/>
      <c r="E44" s="17" t="n"/>
      <c r="F44" s="17" t="n"/>
    </row>
    <row r="45">
      <c r="A45" s="15" t="inlineStr">
        <is>
          <t>Langfristede gældsforpligtelser</t>
        </is>
      </c>
      <c r="B45" s="17" t="n">
        <v>106574</v>
      </c>
      <c r="C45" s="17" t="n">
        <v>82454</v>
      </c>
      <c r="D45" s="17" t="n">
        <v>58468</v>
      </c>
      <c r="E45" s="17" t="n">
        <v>34480</v>
      </c>
      <c r="F45" s="17" t="n">
        <v>18668</v>
      </c>
    </row>
    <row r="46">
      <c r="A46" s="16" t="inlineStr">
        <is>
          <t>Ansvarlig lånekapital (kortfristet)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Kortfristet del af langfristede gældsforpligtelser</t>
        </is>
      </c>
      <c r="B47" s="17" t="n">
        <v>31467</v>
      </c>
      <c r="C47" s="17" t="n">
        <v>24167</v>
      </c>
      <c r="D47" s="17" t="n">
        <v>24167</v>
      </c>
      <c r="E47" s="17" t="n"/>
      <c r="F47" s="17" t="n"/>
    </row>
    <row r="48">
      <c r="A48" s="16" t="inlineStr">
        <is>
          <t>Kreditinstitutter</t>
        </is>
      </c>
      <c r="B48" s="17" t="n"/>
      <c r="C48" s="17" t="n"/>
      <c r="D48" s="17" t="n"/>
      <c r="E48" s="17" t="n">
        <v>24167</v>
      </c>
      <c r="F48" s="17" t="n">
        <v>12500</v>
      </c>
    </row>
    <row r="49">
      <c r="A49" s="16" t="inlineStr">
        <is>
          <t>Leasingforpligtelser (kortfristet)</t>
        </is>
      </c>
      <c r="B49" s="17" t="n"/>
      <c r="C49" s="17" t="n"/>
      <c r="D49" s="17" t="n"/>
      <c r="E49" s="17" t="n"/>
      <c r="F49" s="17" t="n"/>
    </row>
    <row r="50">
      <c r="A50" s="16" t="inlineStr">
        <is>
          <t>Leverandører af varer og tjenesteydelser</t>
        </is>
      </c>
      <c r="B50" s="17" t="n">
        <v>5170</v>
      </c>
      <c r="C50" s="17" t="n">
        <v>16946</v>
      </c>
      <c r="D50" s="17" t="n">
        <v>21410</v>
      </c>
      <c r="E50" s="17" t="n">
        <v>16612</v>
      </c>
      <c r="F50" s="17" t="n">
        <v>15199</v>
      </c>
    </row>
    <row r="51">
      <c r="A51" s="16" t="inlineStr">
        <is>
          <t>Gæld til tilknyttede virksomheder</t>
        </is>
      </c>
      <c r="B51" s="17" t="n"/>
      <c r="C51" s="17" t="n"/>
      <c r="D51" s="17" t="n"/>
      <c r="E51" s="17" t="n"/>
      <c r="F51" s="17" t="n"/>
    </row>
    <row r="52">
      <c r="A52" s="16" t="inlineStr">
        <is>
          <t>Gæld til selskabsdeltagere og ledelse</t>
        </is>
      </c>
      <c r="B52" s="17" t="n"/>
      <c r="C52" s="17" t="n"/>
      <c r="D52" s="17" t="n"/>
      <c r="E52" s="17" t="n"/>
      <c r="F52" s="17" t="n"/>
    </row>
    <row r="53">
      <c r="A53" s="16" t="inlineStr">
        <is>
          <t>Selskabsskat</t>
        </is>
      </c>
      <c r="B53" s="17" t="n">
        <v>0</v>
      </c>
      <c r="C53" s="17" t="n"/>
      <c r="D53" s="17" t="n">
        <v>6725</v>
      </c>
      <c r="E53" s="17" t="n">
        <v>14456</v>
      </c>
      <c r="F53" s="17" t="n">
        <v>4573</v>
      </c>
    </row>
    <row r="54">
      <c r="A54" s="16" t="inlineStr">
        <is>
          <t>Gæld til tilknyttede virksomheder vedr. selskabsskat</t>
        </is>
      </c>
      <c r="B54" s="17" t="n"/>
      <c r="C54" s="17" t="n"/>
      <c r="D54" s="17" t="n"/>
      <c r="E54" s="17" t="n"/>
      <c r="F54" s="17" t="n"/>
    </row>
    <row r="55">
      <c r="A55" s="16" t="inlineStr">
        <is>
          <t>Anden gæld (kortfristet)</t>
        </is>
      </c>
      <c r="B55" s="17" t="n">
        <v>18323</v>
      </c>
      <c r="C55" s="17" t="n">
        <v>17254</v>
      </c>
      <c r="D55" s="17" t="n">
        <v>30127</v>
      </c>
      <c r="E55" s="17" t="n">
        <v>27169</v>
      </c>
      <c r="F55" s="17" t="n">
        <v>40338</v>
      </c>
    </row>
    <row r="56">
      <c r="A56" s="16" t="inlineStr">
        <is>
          <t>Periodeafgrænsningsposter (passiver)</t>
        </is>
      </c>
      <c r="B56" s="17" t="n">
        <v>117471</v>
      </c>
      <c r="C56" s="17" t="n">
        <v>186718</v>
      </c>
      <c r="D56" s="17" t="n">
        <v>181762</v>
      </c>
      <c r="E56" s="17" t="n">
        <v>189090</v>
      </c>
      <c r="F56" s="17" t="n">
        <v>195797</v>
      </c>
    </row>
    <row r="57">
      <c r="A57" s="15" t="inlineStr">
        <is>
          <t>Kortfristede gældsforpligtelser</t>
        </is>
      </c>
      <c r="B57" s="17" t="n">
        <v>173320</v>
      </c>
      <c r="C57" s="17" t="n">
        <v>248630</v>
      </c>
      <c r="D57" s="17" t="n">
        <v>268301</v>
      </c>
      <c r="E57" s="17" t="n">
        <v>271494</v>
      </c>
      <c r="F57" s="17" t="n">
        <v>268406</v>
      </c>
    </row>
    <row r="58">
      <c r="A58" s="15" t="inlineStr">
        <is>
          <t>Gældsforpligtelser</t>
        </is>
      </c>
      <c r="B58" s="17" t="n">
        <v>279894</v>
      </c>
      <c r="C58" s="17" t="n">
        <v>331085</v>
      </c>
      <c r="D58" s="17" t="n">
        <v>326769</v>
      </c>
      <c r="E58" s="17" t="n">
        <v>305974</v>
      </c>
      <c r="F58" s="17" t="n">
        <v>287075</v>
      </c>
    </row>
    <row r="59">
      <c r="A59" s="15" t="inlineStr">
        <is>
          <t>Passiver</t>
        </is>
      </c>
      <c r="B59" s="17" t="n">
        <v>319257</v>
      </c>
      <c r="C59" s="17" t="n">
        <v>374487</v>
      </c>
      <c r="D59" s="17" t="n">
        <v>400800</v>
      </c>
      <c r="E59" s="17" t="n">
        <v>424555</v>
      </c>
      <c r="F59" s="17" t="n">
        <v>401943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COMPANY INFORMATION Albatros Travel A/S (CVR 20342781)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52588</v>
      </c>
      <c r="C2" s="17" t="n">
        <v>47686</v>
      </c>
      <c r="D2" s="17" t="n">
        <v>41120</v>
      </c>
      <c r="E2" s="17" t="n">
        <v>53764</v>
      </c>
      <c r="F2" s="17" t="n">
        <v>63443</v>
      </c>
    </row>
    <row r="3">
      <c r="A3" s="16" t="inlineStr">
        <is>
          <t>Pengestrømme fra investeringsaktivitet</t>
        </is>
      </c>
      <c r="B3" s="17" t="n">
        <v>-7764</v>
      </c>
      <c r="C3" s="17" t="n">
        <v>16154</v>
      </c>
      <c r="D3" s="17" t="n">
        <v>-16481</v>
      </c>
      <c r="E3" s="17" t="n">
        <v>-26377</v>
      </c>
      <c r="F3" s="17" t="n">
        <v>-959</v>
      </c>
    </row>
    <row r="4">
      <c r="A4" s="16" t="inlineStr">
        <is>
          <t>Pengestrømme fra finansieringsaktivitet</t>
        </is>
      </c>
      <c r="B4" s="17" t="n">
        <v>-18688</v>
      </c>
      <c r="C4" s="17" t="n">
        <v>-24119</v>
      </c>
      <c r="D4" s="17" t="n">
        <v>-23986</v>
      </c>
      <c r="E4" s="17" t="n">
        <v>-35988</v>
      </c>
      <c r="F4" s="17" t="n">
        <v>-35812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COMPANY INFORMATION Albatros Travel A/S (CVR 20342781) — Regnskabs- og nøgletal (CVR: 20342781)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'res_raw_20342781'!$F$2</f>
        <v/>
      </c>
      <c r="C5" s="24">
        <f>'res_raw_20342781'!$E$2</f>
        <v/>
      </c>
      <c r="D5" s="24">
        <f>'res_raw_20342781'!$D$2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'res_raw_20342781'!$F$3</f>
        <v/>
      </c>
      <c r="C6" s="24">
        <f>'res_raw_20342781'!$E$3</f>
        <v/>
      </c>
      <c r="D6" s="24">
        <f>'res_raw_20342781'!$D$3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-'res_raw_20342781'!$F$4</f>
        <v/>
      </c>
      <c r="C7" s="24">
        <f>-'res_raw_20342781'!$E$4</f>
        <v/>
      </c>
      <c r="D7" s="24">
        <f>-'res_raw_20342781'!$D$4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-'res_raw_20342781'!$F$5</f>
        <v/>
      </c>
      <c r="C8" s="24">
        <f>-'res_raw_20342781'!$E$5</f>
        <v/>
      </c>
      <c r="D8" s="24">
        <f>-'res_raw_20342781'!$D$5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IF(COUNT('res_raw_20342781'!$F$2,'res_raw_20342781'!$F$3,'res_raw_20342781'!$F$4,'res_raw_20342781'!$F$5)=0,'res_raw_20342781'!$F$6,SUM(B5:B8))</f>
        <v/>
      </c>
      <c r="C9" s="27">
        <f>IF(COUNT('res_raw_20342781'!$E$2,'res_raw_20342781'!$E$3,'res_raw_20342781'!$E$4,'res_raw_20342781'!$E$5)=0,'res_raw_20342781'!$E$6,SUM(C5:C8))</f>
        <v/>
      </c>
      <c r="D9" s="27">
        <f>IF(COUNT('res_raw_20342781'!$D$2,'res_raw_20342781'!$D$3,'res_raw_20342781'!$D$4,'res_raw_20342781'!$D$5)=0,'res_raw_20342781'!$D$6,SUM(D5:D8))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-'res_raw_20342781'!$F$7</f>
        <v/>
      </c>
      <c r="C10" s="24">
        <f>-'res_raw_20342781'!$E$7</f>
        <v/>
      </c>
      <c r="D10" s="24">
        <f>-'res_raw_20342781'!$D$7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-'res_raw_20342781'!$F$9</f>
        <v/>
      </c>
      <c r="C11" s="24">
        <f>-'res_raw_20342781'!$E$9</f>
        <v/>
      </c>
      <c r="D11" s="24">
        <f>-'res_raw_20342781'!$D$9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-'res_raw_20342781'!$F$10</f>
        <v/>
      </c>
      <c r="C12" s="24">
        <f>-'res_raw_20342781'!$E$10</f>
        <v/>
      </c>
      <c r="D12" s="24">
        <f>-'res_raw_20342781'!$D$10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N('res_raw_20342781'!$F$12)+N('res_raw_20342781'!$F$13)</f>
        <v/>
      </c>
      <c r="C14" s="24">
        <f>N('res_raw_20342781'!$E$12)+N('res_raw_20342781'!$E$13)</f>
        <v/>
      </c>
      <c r="D14" s="24">
        <f>N('res_raw_20342781'!$D$12)+N('res_raw_20342781'!$D$13)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-'res_raw_20342781'!$F$14</f>
        <v/>
      </c>
      <c r="C15" s="24">
        <f>-'res_raw_20342781'!$E$14</f>
        <v/>
      </c>
      <c r="D15" s="24">
        <f>-'res_raw_20342781'!$D$14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'balance_raw_20342781'!$F$15</f>
        <v/>
      </c>
      <c r="C19" s="24">
        <f>'balance_raw_20342781'!$E$15</f>
        <v/>
      </c>
      <c r="D19" s="24">
        <f>'balance_raw_20342781'!$D$15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'balance_raw_20342781'!$F$30</f>
        <v/>
      </c>
      <c r="C20" s="24">
        <f>'balance_raw_20342781'!$E$30</f>
        <v/>
      </c>
      <c r="D20" s="24">
        <f>'balance_raw_20342781'!$D$30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'balance_raw_20342781'!$F$38</f>
        <v/>
      </c>
      <c r="C23" s="24">
        <f>'balance_raw_20342781'!$E$38</f>
        <v/>
      </c>
      <c r="D23" s="24">
        <f>'balance_raw_20342781'!$D$38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'balance_raw_20342781'!$F$59-'balance_raw_20342781'!$F$38</f>
        <v/>
      </c>
      <c r="C24" s="24">
        <f>'balance_raw_20342781'!$E$59-'balance_raw_20342781'!$E$38</f>
        <v/>
      </c>
      <c r="D24" s="24">
        <f>'balance_raw_20342781'!$D$59-'balance_raw_20342781'!$D$38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'balance_raw_20342781'!$F$19</f>
        <v/>
      </c>
      <c r="C28" s="24">
        <f>'balance_raw_20342781'!$E$19</f>
        <v/>
      </c>
      <c r="D28" s="24">
        <f>'balance_raw_20342781'!$D$19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'balance_raw_20342781'!$F$20</f>
        <v/>
      </c>
      <c r="C29" s="24">
        <f>'balance_raw_20342781'!$E$20</f>
        <v/>
      </c>
      <c r="D29" s="24">
        <f>'balance_raw_20342781'!$D$20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'balance_raw_20342781'!$F$57</f>
        <v/>
      </c>
      <c r="C30" s="24">
        <f>'balance_raw_20342781'!$E$57</f>
        <v/>
      </c>
      <c r="D30" s="24">
        <f>'balance_raw_20342781'!$D$57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IF('balance_raw_20342781'!$F$31="","—",IF(ABS(B21-'balance_raw_20342781'!$F$31)&lt;=1,"✓ OK","❌ "&amp;TEXT(B21-'balance_raw_20342781'!$F$31,"+#,##0;-#,##0")&amp;" t.kr."))</f>
        <v/>
      </c>
      <c r="C61" s="29">
        <f>IF('balance_raw_20342781'!$E$31="","—",IF(ABS(C21-'balance_raw_20342781'!$E$31)&lt;=1,"✓ OK","❌ "&amp;TEXT(C21-'balance_raw_20342781'!$E$31,"+#,##0;-#,##0")&amp;" t.kr."))</f>
        <v/>
      </c>
      <c r="D61" s="29">
        <f>IF('balance_raw_20342781'!$D$31="","—",IF(ABS(D21-'balance_raw_20342781'!$D$31)&lt;=1,"✓ OK","❌ "&amp;TEXT(D21-'balance_raw_20342781'!$D$31,"+#,##0;-#,##0")&amp;"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IF('balance_raw_20342781'!$F$59="","—",IF(ABS(B25-'balance_raw_20342781'!$F$59)&lt;=1,"✓ OK","❌ "&amp;TEXT(B25-'balance_raw_20342781'!$F$59,"+#,##0;-#,##0")&amp;" t.kr."))</f>
        <v/>
      </c>
      <c r="C62" s="29">
        <f>IF('balance_raw_20342781'!$E$59="","—",IF(ABS(C25-'balance_raw_20342781'!$E$59)&lt;=1,"✓ OK","❌ "&amp;TEXT(C25-'balance_raw_20342781'!$E$59,"+#,##0;-#,##0")&amp;" t.kr."))</f>
        <v/>
      </c>
      <c r="D62" s="29">
        <f>IF('balance_raw_20342781'!$D$59="","—",IF(ABS(D25-'balance_raw_20342781'!$D$59)&lt;=1,"✓ OK","❌ "&amp;TEXT(D25-'balance_raw_20342781'!$D$59,"+#,##0;-#,##0")&amp;"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IF('res_raw_20342781'!$F$6="","—",IF(ABS(B9-'res_raw_20342781'!$F$6)&lt;=1,"✓ OK","❌ "&amp;TEXT(B9-'res_raw_20342781'!$F$6,"+#,##0;-#,##0")&amp;" t.kr."))</f>
        <v/>
      </c>
      <c r="C64" s="29">
        <f>IF('res_raw_20342781'!$E$6="","—",IF(ABS(C9-'res_raw_20342781'!$E$6)&lt;=1,"✓ OK","❌ "&amp;TEXT(C9-'res_raw_20342781'!$E$6,"+#,##0;-#,##0")&amp;" t.kr."))</f>
        <v/>
      </c>
      <c r="D64" s="29">
        <f>IF('res_raw_20342781'!$D$6="","—",IF(ABS(D9-'res_raw_20342781'!$D$6)&lt;=1,"✓ OK","❌ "&amp;TEXT(D9-'res_raw_20342781'!$D$6,"+#,##0;-#,##0")&amp;"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IF('res_raw_20342781'!$F$11="","—",IF(ABS(B13-'res_raw_20342781'!$F$11)&lt;=1,"✓ OK","❌ "&amp;TEXT(B13-'res_raw_20342781'!$F$11,"+#,##0;-#,##0")&amp;" t.kr."))</f>
        <v/>
      </c>
      <c r="C65" s="29">
        <f>IF('res_raw_20342781'!$E$11="","—",IF(ABS(C13-'res_raw_20342781'!$E$11)&lt;=1,"✓ OK","❌ "&amp;TEXT(C13-'res_raw_20342781'!$E$11,"+#,##0;-#,##0")&amp;" t.kr."))</f>
        <v/>
      </c>
      <c r="D65" s="29">
        <f>IF('res_raw_20342781'!$D$11="","—",IF(ABS(D13-'res_raw_20342781'!$D$11)&lt;=1,"✓ OK","❌ "&amp;TEXT(D13-'res_raw_20342781'!$D$11,"+#,##0;-#,##0")&amp;"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IF('res_raw_20342781'!$F$16="","—",IF(ABS(B16-'res_raw_20342781'!$F$16)&lt;=1,"✓ OK","❌ "&amp;TEXT(B16-'res_raw_20342781'!$F$16,"+#,##0;-#,##0")&amp;" t.kr."))</f>
        <v/>
      </c>
      <c r="C66" s="29">
        <f>IF('res_raw_20342781'!$E$16="","—",IF(ABS(C16-'res_raw_20342781'!$E$16)&lt;=1,"✓ OK","❌ "&amp;TEXT(C16-'res_raw_20342781'!$E$16,"+#,##0;-#,##0")&amp;" t.kr."))</f>
        <v/>
      </c>
      <c r="D66" s="29">
        <f>IF('res_raw_20342781'!$D$16="","—",IF(ABS(D16-'res_raw_20342781'!$D$16)&lt;=1,"✓ OK","❌ "&amp;TEXT(D16-'res_raw_20342781'!$D$16,"+#,##0;-#,##0")&amp;"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COMPANY INFORMATION Albatros Travel A/S (CVR 20342781)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fsa:CashFlowsStatement</t>
        </is>
      </c>
      <c r="C3" s="34" t="inlineStr">
        <is>
          <t>fsa:CashFlowsStatement</t>
        </is>
      </c>
      <c r="D3" s="35" t="n"/>
      <c r="E3" s="35" t="n"/>
      <c r="F3" s="35" t="n"/>
      <c r="G3" s="35" t="n"/>
      <c r="H3" s="35" t="n">
        <v>2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fsa:IncomeFromOtherLongtermInvestmentsAndReceivables</t>
        </is>
      </c>
      <c r="C4" s="37" t="inlineStr">
        <is>
          <t>fsa:IncomeFromOtherLongtermInvestmentsAndReceivables</t>
        </is>
      </c>
      <c r="D4" s="38" t="n">
        <v>1408</v>
      </c>
      <c r="E4" s="38" t="n">
        <v>1641</v>
      </c>
      <c r="F4" s="38" t="n">
        <v>3225</v>
      </c>
      <c r="G4" s="38" t="n">
        <v>4103</v>
      </c>
      <c r="H4" s="38" t="n"/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fsa:ReserveForCurrentValueAdjustmentsOfCurrencyGains</t>
        </is>
      </c>
      <c r="C5" s="34" t="inlineStr">
        <is>
          <t>fsa:ReserveForCurrentValueAdjustmentsOfCurrencyGains</t>
        </is>
      </c>
      <c r="D5" s="35" t="n">
        <v>1024</v>
      </c>
      <c r="E5" s="35" t="n">
        <v>-343</v>
      </c>
      <c r="F5" s="35" t="n">
        <v>-13269</v>
      </c>
      <c r="G5" s="35" t="n">
        <v>5270</v>
      </c>
      <c r="H5" s="35" t="n">
        <v>-9110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fsa:ShorttermPayablesToAssociates</t>
        </is>
      </c>
      <c r="C6" s="37" t="inlineStr">
        <is>
          <t>fsa:ShorttermPayablesToAssociates</t>
        </is>
      </c>
      <c r="D6" s="38" t="n">
        <v>890</v>
      </c>
      <c r="E6" s="38" t="n">
        <v>3545</v>
      </c>
      <c r="F6" s="38" t="n">
        <v>4110</v>
      </c>
      <c r="G6" s="38" t="n">
        <v>0</v>
      </c>
      <c r="H6" s="38" t="n"/>
      <c r="I6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2026-09-27T21:16:33Z</dcterms:created>
  <dcterms:modified xmlns:dcterms="http://purl.org/dc/terms/" xmlns:xsi="http://www.w3.org/2001/XMLSchema-instance" xsi:type="dcterms:W3CDTF">2026-09-27T21:16:33Z</dcterms:modified>
</cp:coreProperties>
</file>