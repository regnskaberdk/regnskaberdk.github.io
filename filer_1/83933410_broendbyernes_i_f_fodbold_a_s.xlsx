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pengestrom_raw_83933410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Brøndbyernes I. F. Fodbold A/S (CVR 83933410)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'pengestrom_raw_83933410'!$B$2</f>
        <v/>
      </c>
      <c r="C100" s="17">
        <f>'pengestrom_raw_83933410'!$C$2</f>
        <v/>
      </c>
      <c r="D100" s="17">
        <f>'pengestrom_raw_83933410'!$D$2</f>
        <v/>
      </c>
      <c r="E100" s="17">
        <f>'pengestrom_raw_83933410'!$E$2</f>
        <v/>
      </c>
      <c r="F100" s="17">
        <f>'pengestrom_raw_83933410'!$F$2</f>
        <v/>
      </c>
    </row>
    <row r="101">
      <c r="A101" s="16" t="inlineStr">
        <is>
          <t>Pengestrømme fra investeringsaktivitet</t>
        </is>
      </c>
      <c r="B101" s="17">
        <f>'pengestrom_raw_83933410'!$B$3</f>
        <v/>
      </c>
      <c r="C101" s="17">
        <f>'pengestrom_raw_83933410'!$C$3</f>
        <v/>
      </c>
      <c r="D101" s="17">
        <f>'pengestrom_raw_83933410'!$D$3</f>
        <v/>
      </c>
      <c r="E101" s="17">
        <f>'pengestrom_raw_83933410'!$E$3</f>
        <v/>
      </c>
      <c r="F101" s="17">
        <f>'pengestrom_raw_83933410'!$F$3</f>
        <v/>
      </c>
    </row>
    <row r="102">
      <c r="A102" s="16" t="inlineStr">
        <is>
          <t>Pengestrømme fra finansieringsaktivitet</t>
        </is>
      </c>
      <c r="B102" s="17">
        <f>'pengestrom_raw_83933410'!$B$4</f>
        <v/>
      </c>
      <c r="C102" s="17">
        <f>'pengestrom_raw_83933410'!$C$4</f>
        <v/>
      </c>
      <c r="D102" s="17">
        <f>'pengestrom_raw_83933410'!$D$4</f>
        <v/>
      </c>
      <c r="E102" s="17">
        <f>'pengestrom_raw_83933410'!$E$4</f>
        <v/>
      </c>
      <c r="F102" s="17">
        <f>'pengestrom_raw_83933410'!$F$4</f>
        <v/>
      </c>
    </row>
    <row r="103">
      <c r="A103" s="16" t="inlineStr">
        <is>
          <t>Årets pengestrøm (rapporteret)</t>
        </is>
      </c>
      <c r="B103" s="17">
        <f>'pengestrom_raw_83933410'!$B$5</f>
        <v/>
      </c>
      <c r="C103" s="17">
        <f>'pengestrom_raw_83933410'!$C$5</f>
        <v/>
      </c>
      <c r="D103" s="17">
        <f>'pengestrom_raw_83933410'!$D$5</f>
        <v/>
      </c>
      <c r="E103" s="17">
        <f>'pengestrom_raw_83933410'!$E$5</f>
        <v/>
      </c>
      <c r="F103" s="17">
        <f>'pengestrom_raw_83933410'!$F$5</f>
        <v/>
      </c>
    </row>
    <row r="104">
      <c r="A104" s="16" t="inlineStr">
        <is>
          <t>Krydstjek: drift + inv. + fin. = årets pengestrøm</t>
        </is>
      </c>
      <c r="B104">
        <f>IF(ABS(('pengestrom_raw_83933410'!$B$2+'pengestrom_raw_83933410'!$B$3+'pengestrom_raw_83933410'!$B$4)-'pengestrom_raw_83933410'!$B$5)&lt;=2,"✓","⚠ "&amp;TEXT(('pengestrom_raw_83933410'!$B$2+'pengestrom_raw_83933410'!$B$3+'pengestrom_raw_83933410'!$B$4)-'pengestrom_raw_83933410'!$B$5,"+#,##0;-#,##0"))</f>
        <v/>
      </c>
      <c r="C104">
        <f>IF(ABS(('pengestrom_raw_83933410'!$C$2+'pengestrom_raw_83933410'!$C$3+'pengestrom_raw_83933410'!$C$4)-'pengestrom_raw_83933410'!$C$5)&lt;=2,"✓","⚠ "&amp;TEXT(('pengestrom_raw_83933410'!$C$2+'pengestrom_raw_83933410'!$C$3+'pengestrom_raw_83933410'!$C$4)-'pengestrom_raw_83933410'!$C$5,"+#,##0;-#,##0"))</f>
        <v/>
      </c>
      <c r="D104">
        <f>IF(ABS(('pengestrom_raw_83933410'!$D$2+'pengestrom_raw_83933410'!$D$3+'pengestrom_raw_83933410'!$D$4)-'pengestrom_raw_83933410'!$D$5)&lt;=2,"✓","⚠ "&amp;TEXT(('pengestrom_raw_83933410'!$D$2+'pengestrom_raw_83933410'!$D$3+'pengestrom_raw_83933410'!$D$4)-'pengestrom_raw_83933410'!$D$5,"+#,##0;-#,##0"))</f>
        <v/>
      </c>
      <c r="E104">
        <f>IF(ABS(('pengestrom_raw_83933410'!$E$2+'pengestrom_raw_83933410'!$E$3+'pengestrom_raw_83933410'!$E$4)-'pengestrom_raw_83933410'!$E$5)&lt;=2,"✓","⚠ "&amp;TEXT(('pengestrom_raw_83933410'!$E$2+'pengestrom_raw_83933410'!$E$3+'pengestrom_raw_83933410'!$E$4)-'pengestrom_raw_83933410'!$E$5,"+#,##0;-#,##0"))</f>
        <v/>
      </c>
      <c r="F104">
        <f>IF(ABS(('pengestrom_raw_83933410'!$F$2+'pengestrom_raw_83933410'!$F$3+'pengestrom_raw_83933410'!$F$4)-'pengestrom_raw_83933410'!$F$5)&lt;=2,"✓","⚠ "&amp;TEXT(('pengestrom_raw_83933410'!$F$2+'pengestrom_raw_83933410'!$F$3+'pengestrom_raw_83933410'!$F$4)-'pengestrom_raw_83933410'!$F$5,"+#,##0;-#,##0"))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290004</v>
      </c>
      <c r="C2" s="17" t="n">
        <v>221104</v>
      </c>
      <c r="D2" s="17" t="n"/>
      <c r="E2" s="17" t="n">
        <v>341418</v>
      </c>
      <c r="F2" s="17" t="n">
        <v>261208</v>
      </c>
    </row>
    <row r="3">
      <c r="A3" s="16" t="inlineStr">
        <is>
          <t>Andre driftsindtægter</t>
        </is>
      </c>
      <c r="B3" s="17" t="n">
        <v>19817</v>
      </c>
      <c r="C3" s="17" t="n">
        <v>2405</v>
      </c>
      <c r="D3" s="17" t="n"/>
      <c r="E3" s="17" t="n">
        <v>7700</v>
      </c>
      <c r="F3" s="17" t="n">
        <v>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>
        <v>181865</v>
      </c>
      <c r="F5" s="17" t="n">
        <v>130374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125120</v>
      </c>
      <c r="C7" s="17" t="n">
        <v>-133179</v>
      </c>
      <c r="D7" s="17" t="n"/>
      <c r="E7" s="17" t="n">
        <v>-245524</v>
      </c>
      <c r="F7" s="17" t="n">
        <v>195941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10886</v>
      </c>
      <c r="C9" s="17" t="n">
        <v>-12599</v>
      </c>
      <c r="D9" s="17" t="n"/>
      <c r="E9" s="17" t="n">
        <v>-23527</v>
      </c>
      <c r="F9" s="17" t="n">
        <v>15320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83564</v>
      </c>
      <c r="C11" s="17" t="n">
        <v>-11824</v>
      </c>
      <c r="D11" s="17" t="n"/>
      <c r="E11" s="17" t="n">
        <v>-92946</v>
      </c>
      <c r="F11" s="17" t="n">
        <v>-119283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446</v>
      </c>
      <c r="C13" s="17" t="n">
        <v>1384</v>
      </c>
      <c r="D13" s="17" t="n"/>
      <c r="E13" s="17" t="n">
        <v>3588</v>
      </c>
      <c r="F13" s="17" t="n">
        <v>2649</v>
      </c>
    </row>
    <row r="14">
      <c r="A14" s="16" t="inlineStr">
        <is>
          <t>Finansielle omkostninger</t>
        </is>
      </c>
      <c r="B14" s="17" t="n">
        <v>591</v>
      </c>
      <c r="C14" s="17" t="n">
        <v>-1337</v>
      </c>
      <c r="D14" s="17" t="n"/>
      <c r="E14" s="17" t="n">
        <v>-14806</v>
      </c>
      <c r="F14" s="17" t="n">
        <v>13944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83418</v>
      </c>
      <c r="C16" s="17" t="n">
        <v>-11777</v>
      </c>
      <c r="D16" s="17" t="n"/>
      <c r="E16" s="17" t="n">
        <v>-104164</v>
      </c>
      <c r="F16" s="17" t="n">
        <v>-130578</v>
      </c>
    </row>
    <row r="17">
      <c r="A17" s="16" t="inlineStr">
        <is>
          <t>Skat af årets resultat</t>
        </is>
      </c>
      <c r="B17" s="17" t="n">
        <v>0</v>
      </c>
      <c r="C17" s="17" t="n">
        <v>-102</v>
      </c>
      <c r="D17" s="17" t="n"/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65023</v>
      </c>
      <c r="C18" s="17" t="n">
        <v>-43816</v>
      </c>
      <c r="D18" s="17" t="n"/>
      <c r="E18" s="17" t="n">
        <v>-101799</v>
      </c>
      <c r="F18" s="17" t="n">
        <v>-130578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-11484</v>
      </c>
      <c r="C20" s="17" t="n">
        <v>-9667</v>
      </c>
      <c r="D20" s="17" t="n"/>
      <c r="E20" s="17" t="n">
        <v>-29605</v>
      </c>
      <c r="F20" s="17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798</v>
      </c>
      <c r="C2" s="17" t="n">
        <v>7144</v>
      </c>
      <c r="D2" s="17" t="n"/>
      <c r="E2" s="17" t="n">
        <v>1316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63330</v>
      </c>
      <c r="C5" s="17" t="n">
        <v>121979</v>
      </c>
      <c r="D5" s="17" t="n"/>
      <c r="E5" s="17" t="n">
        <v>136645</v>
      </c>
      <c r="F5" s="17" t="n">
        <v>119055</v>
      </c>
    </row>
    <row r="6">
      <c r="A6" s="16" t="inlineStr">
        <is>
          <t>Grunde og bygninger</t>
        </is>
      </c>
      <c r="B6" s="17" t="n">
        <v>126333</v>
      </c>
      <c r="C6" s="17" t="n">
        <v>132672</v>
      </c>
      <c r="D6" s="17" t="n"/>
      <c r="E6" s="17" t="n">
        <v>139769</v>
      </c>
      <c r="F6" s="17" t="n">
        <v>135974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141866</v>
      </c>
      <c r="C11" s="17" t="n">
        <v>146189</v>
      </c>
      <c r="D11" s="17" t="n"/>
      <c r="E11" s="17" t="n">
        <v>152171</v>
      </c>
      <c r="F11" s="17" t="n">
        <v>9259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/>
      <c r="C13" s="17" t="n">
        <v>17373</v>
      </c>
      <c r="D13" s="17" t="n"/>
      <c r="E13" s="17" t="n">
        <v>29454</v>
      </c>
      <c r="F13" s="17" t="n">
        <v>11457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205196</v>
      </c>
      <c r="C15" s="17" t="n">
        <v>285540</v>
      </c>
      <c r="D15" s="17" t="n"/>
      <c r="E15" s="17" t="n">
        <v>318270</v>
      </c>
      <c r="F15" s="17" t="n">
        <v>277500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3189</v>
      </c>
      <c r="C18" s="17" t="n">
        <v>4455</v>
      </c>
      <c r="D18" s="17" t="n"/>
      <c r="E18" s="17" t="n">
        <v>4124</v>
      </c>
      <c r="F18" s="17" t="n">
        <v>42</v>
      </c>
    </row>
    <row r="19">
      <c r="A19" s="15" t="inlineStr">
        <is>
          <t>Varebeholdninger</t>
        </is>
      </c>
      <c r="B19" s="17" t="n">
        <v>3189</v>
      </c>
      <c r="C19" s="17" t="n">
        <v>4455</v>
      </c>
      <c r="D19" s="17" t="n"/>
      <c r="E19" s="17" t="n">
        <v>4124</v>
      </c>
      <c r="F19" s="17" t="n">
        <v>42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>
        <v>22918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90788</v>
      </c>
      <c r="C29" s="17" t="n">
        <v>67803</v>
      </c>
      <c r="D29" s="17" t="n">
        <v>31792</v>
      </c>
      <c r="E29" s="17" t="n">
        <v>80303</v>
      </c>
      <c r="F29" s="17" t="n">
        <v>284942</v>
      </c>
    </row>
    <row r="30">
      <c r="A30" s="15" t="inlineStr">
        <is>
          <t>Omsætningsaktiver</t>
        </is>
      </c>
      <c r="B30" s="17" t="n">
        <v>142653</v>
      </c>
      <c r="C30" s="17" t="n">
        <v>67419</v>
      </c>
      <c r="D30" s="17" t="n"/>
      <c r="E30" s="17" t="n">
        <v>108037</v>
      </c>
      <c r="F30" s="17" t="n">
        <v>206383</v>
      </c>
    </row>
    <row r="31">
      <c r="A31" s="15" t="inlineStr">
        <is>
          <t>Aktiver</t>
        </is>
      </c>
      <c r="B31" s="17" t="n">
        <v>347849</v>
      </c>
      <c r="C31" s="17" t="n">
        <v>352959</v>
      </c>
      <c r="D31" s="17" t="n"/>
      <c r="E31" s="17" t="n">
        <v>426307</v>
      </c>
      <c r="F31" s="17" t="n">
        <v>483883</v>
      </c>
    </row>
    <row r="32">
      <c r="A32" s="16" t="inlineStr">
        <is>
          <t>Selskabskapital</t>
        </is>
      </c>
      <c r="B32" s="17" t="n"/>
      <c r="C32" s="17" t="n"/>
      <c r="D32" s="17" t="n"/>
      <c r="E32" s="17" t="n"/>
      <c r="F32" s="17" t="n">
        <v>285166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Egenkapital i alt</t>
        </is>
      </c>
      <c r="B38" s="17" t="n">
        <v>239542</v>
      </c>
      <c r="C38" s="17" t="n">
        <v>227663</v>
      </c>
      <c r="D38" s="17" t="n">
        <v>142583</v>
      </c>
      <c r="E38" s="17" t="n">
        <v>157730</v>
      </c>
      <c r="F38" s="17" t="n">
        <v>285166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15288</v>
      </c>
      <c r="C42" s="17" t="n">
        <v>33866</v>
      </c>
      <c r="D42" s="17" t="n"/>
      <c r="E42" s="17" t="n">
        <v>19465</v>
      </c>
      <c r="F42" s="17" t="n">
        <v>168927</v>
      </c>
    </row>
    <row r="43">
      <c r="A43" s="15" t="inlineStr">
        <is>
          <t>Langfristede gældsforpligtelser</t>
        </is>
      </c>
      <c r="B43" s="17" t="n">
        <v>15288</v>
      </c>
      <c r="C43" s="17" t="n">
        <v>33866</v>
      </c>
      <c r="D43" s="17" t="n"/>
      <c r="E43" s="17" t="n">
        <v>175677</v>
      </c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>
        <v>156211</v>
      </c>
      <c r="F46" s="17" t="n">
        <v>206383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70383</v>
      </c>
      <c r="C48" s="17" t="n">
        <v>75380</v>
      </c>
      <c r="D48" s="17" t="n"/>
      <c r="E48" s="17" t="n">
        <v>69728</v>
      </c>
      <c r="F48" s="17" t="n">
        <v>28206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93019</v>
      </c>
      <c r="C55" s="17" t="n">
        <v>91430</v>
      </c>
      <c r="D55" s="17" t="n"/>
      <c r="E55" s="17" t="n">
        <v>92901</v>
      </c>
      <c r="F55" s="17" t="n">
        <v>289387</v>
      </c>
    </row>
    <row r="56">
      <c r="A56" s="15" t="inlineStr">
        <is>
          <t>Gældsforpligtelser</t>
        </is>
      </c>
      <c r="B56" s="17" t="n">
        <v>108307</v>
      </c>
      <c r="C56" s="17" t="n">
        <v>125296</v>
      </c>
      <c r="D56" s="17" t="n"/>
      <c r="E56" s="17" t="n">
        <v>268578</v>
      </c>
      <c r="F56" s="17" t="n">
        <v>483883</v>
      </c>
    </row>
    <row r="57">
      <c r="A57" s="15" t="inlineStr">
        <is>
          <t>Passiver</t>
        </is>
      </c>
      <c r="B57" s="17" t="n">
        <v>347849</v>
      </c>
      <c r="C57" s="17" t="n">
        <v>352959</v>
      </c>
      <c r="D57" s="17" t="n"/>
      <c r="E57" s="17" t="n">
        <v>426307</v>
      </c>
      <c r="F57" s="17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478</v>
      </c>
      <c r="D2" s="17" t="n"/>
      <c r="E2" s="17" t="n">
        <v>-88116</v>
      </c>
      <c r="F2" s="17" t="n">
        <v>-45323</v>
      </c>
    </row>
    <row r="3">
      <c r="A3" s="16" t="inlineStr">
        <is>
          <t>Pengestrømme fra investeringsaktivitet</t>
        </is>
      </c>
      <c r="B3" s="17" t="n">
        <v>-6022</v>
      </c>
      <c r="C3" s="17" t="n">
        <v>-36537</v>
      </c>
      <c r="D3" s="17" t="n"/>
      <c r="E3" s="17" t="n">
        <v>-75811</v>
      </c>
      <c r="F3" s="17" t="n">
        <v>-31197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/>
      <c r="E4" s="17" t="n">
        <v>0</v>
      </c>
      <c r="F4" s="17" t="n">
        <v>167345</v>
      </c>
    </row>
    <row r="5">
      <c r="A5" s="16" t="inlineStr">
        <is>
          <t>Årets pengestrøm</t>
        </is>
      </c>
      <c r="B5" s="17" t="n">
        <v>44818</v>
      </c>
      <c r="C5" s="17" t="n">
        <v>-36011</v>
      </c>
      <c r="D5" s="17" t="n"/>
      <c r="E5" s="17" t="n"/>
      <c r="F5" s="17" t="n">
        <v>90825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Brøndbyernes I. F. Fodbold A/S (CVR 83933410) — 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IF(COUNT('res_raw_83933410'!$F$2,'res_raw_83933410'!$F$3,'res_raw_83933410'!$F$4,'res_raw_83933410'!$F$5)=0,'res_raw_83933410'!$F$6,SUM(B5:B8))</f>
        <v/>
      </c>
      <c r="C9" s="27">
        <f>IF(COUNT('res_raw_83933410'!$E$2,'res_raw_83933410'!$E$3,'res_raw_83933410'!$E$4,'res_raw_83933410'!$E$5)=0,'res_raw_83933410'!$E$6,SUM(C5:C8))</f>
        <v/>
      </c>
      <c r="D9" s="27">
        <f>IF(COUNT('res_raw_83933410'!$D$2,'res_raw_83933410'!$D$3,'res_raw_83933410'!$D$4,'res_raw_83933410'!$D$5)=0,'res_raw_83933410'!$D$6,SUM(D5:D8))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2026-09-27T21:16:50Z</dcterms:created>
  <dcterms:modified xmlns:dcterms="http://purl.org/dc/terms/" xmlns:xsi="http://www.w3.org/2001/XMLSchema-instance" xsi:type="dcterms:W3CDTF">2026-09-27T21:16:51Z</dcterms:modified>
</cp:coreProperties>
</file>