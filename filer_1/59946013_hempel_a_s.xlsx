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'pengestrom_raw_59946013'!$B$2</f>
        <v/>
      </c>
      <c r="C97" s="17">
        <f>'pengestrom_raw_59946013'!$C$2</f>
        <v/>
      </c>
      <c r="D97" s="17">
        <f>'pengestrom_raw_59946013'!$D$2</f>
        <v/>
      </c>
      <c r="E97" s="17">
        <f>'pengestrom_raw_59946013'!$E$2</f>
        <v/>
      </c>
      <c r="F97" s="17">
        <f>'pengestrom_raw_59946013'!$F$2</f>
        <v/>
      </c>
    </row>
    <row r="98">
      <c r="A98" s="16" t="inlineStr">
        <is>
          <t>Pengestrømme fra investeringsaktivitet</t>
        </is>
      </c>
      <c r="B98" s="17">
        <f>'pengestrom_raw_59946013'!$B$3</f>
        <v/>
      </c>
      <c r="C98" s="17">
        <f>'pengestrom_raw_59946013'!$C$3</f>
        <v/>
      </c>
      <c r="D98" s="17">
        <f>'pengestrom_raw_59946013'!$D$3</f>
        <v/>
      </c>
      <c r="E98" s="17">
        <f>'pengestrom_raw_59946013'!$E$3</f>
        <v/>
      </c>
      <c r="F98" s="17">
        <f>'pengestrom_raw_59946013'!$F$3</f>
        <v/>
      </c>
    </row>
    <row r="99">
      <c r="A99" s="16" t="inlineStr">
        <is>
          <t>Pengestrømme fra finansieringsaktivitet</t>
        </is>
      </c>
      <c r="B99" s="17">
        <f>'pengestrom_raw_59946013'!$B$4</f>
        <v/>
      </c>
      <c r="C99" s="17">
        <f>'pengestrom_raw_59946013'!$C$4</f>
        <v/>
      </c>
      <c r="D99" s="17">
        <f>'pengestrom_raw_59946013'!$D$4</f>
        <v/>
      </c>
      <c r="E99" s="17">
        <f>'pengestrom_raw_59946013'!$E$4</f>
        <v/>
      </c>
      <c r="F99" s="17">
        <f>'pengestrom_raw_59946013'!$F$4</f>
        <v/>
      </c>
    </row>
    <row r="100">
      <c r="A100" s="16" t="inlineStr">
        <is>
          <t>Årets pengestrøm (rapporteret)</t>
        </is>
      </c>
      <c r="B100" s="17">
        <f>'pengestrom_raw_59946013'!$B$5</f>
        <v/>
      </c>
      <c r="C100" s="17">
        <f>'pengestrom_raw_59946013'!$C$5</f>
        <v/>
      </c>
      <c r="D100" s="17">
        <f>'pengestrom_raw_59946013'!$D$5</f>
        <v/>
      </c>
      <c r="E100" s="17">
        <f>'pengestrom_raw_59946013'!$E$5</f>
        <v/>
      </c>
      <c r="F100" s="17">
        <f>'pengestrom_raw_59946013'!$F$5</f>
        <v/>
      </c>
    </row>
    <row r="101">
      <c r="A101" s="16" t="inlineStr">
        <is>
          <t>Krydstjek: drift + inv. + fin. = årets pengestrøm</t>
        </is>
      </c>
      <c r="B101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1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1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1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1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/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Salgs- og distributionsomkostninger</t>
        </is>
      </c>
      <c r="B5" s="17" t="n">
        <v>397000</v>
      </c>
      <c r="C5" s="17" t="n"/>
      <c r="D5" s="17" t="n">
        <v>552000</v>
      </c>
      <c r="E5" s="17" t="n">
        <v>561000</v>
      </c>
      <c r="F5" s="17" t="n">
        <v>511000</v>
      </c>
    </row>
    <row r="6">
      <c r="A6" s="16" t="inlineStr">
        <is>
          <t>Administrationsomkostninger</t>
        </is>
      </c>
      <c r="B6" s="17" t="n">
        <v>120000</v>
      </c>
      <c r="C6" s="17" t="n">
        <v>121000</v>
      </c>
      <c r="D6" s="17" t="n">
        <v>121000</v>
      </c>
      <c r="E6" s="17" t="n">
        <v>165000</v>
      </c>
      <c r="F6" s="17" t="n">
        <v>160000</v>
      </c>
    </row>
    <row r="7">
      <c r="A7" s="16" t="inlineStr">
        <is>
          <t>Andre driftsindtægter</t>
        </is>
      </c>
      <c r="B7" s="17" t="n">
        <v>1000</v>
      </c>
      <c r="C7" s="17" t="n">
        <v>20000</v>
      </c>
      <c r="D7" s="17" t="n">
        <v>4000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>
        <v>0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89000</v>
      </c>
      <c r="C9" s="17" t="n">
        <v>112000</v>
      </c>
      <c r="D9" s="17" t="n">
        <v>114000</v>
      </c>
      <c r="E9" s="17" t="n">
        <v>189000</v>
      </c>
      <c r="F9" s="17" t="n"/>
    </row>
    <row r="10">
      <c r="A10" s="16" t="inlineStr">
        <is>
          <t>Indtægter af kapitalandele, dattervirksomheder</t>
        </is>
      </c>
      <c r="B10" s="17" t="n">
        <v>0</v>
      </c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>
        <v>4000</v>
      </c>
      <c r="D11" s="17" t="n">
        <v>12000</v>
      </c>
      <c r="E11" s="17" t="n">
        <v>14000</v>
      </c>
      <c r="F11" s="17" t="n">
        <v>39000</v>
      </c>
    </row>
    <row r="12">
      <c r="A12" s="16" t="inlineStr">
        <is>
          <t>Finansielle omkostninger</t>
        </is>
      </c>
      <c r="B12" s="17" t="n">
        <v>25000</v>
      </c>
      <c r="C12" s="17" t="n">
        <v>21000</v>
      </c>
      <c r="D12" s="17" t="n">
        <v>70000</v>
      </c>
      <c r="E12" s="17" t="n">
        <v>121000</v>
      </c>
      <c r="F12" s="17" t="n">
        <v>96000</v>
      </c>
    </row>
    <row r="13">
      <c r="A13" s="15" t="inlineStr">
        <is>
          <t>Finansielle poster, netto</t>
        </is>
      </c>
      <c r="B13" s="17" t="n">
        <v>-25000</v>
      </c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64000</v>
      </c>
      <c r="C14" s="17" t="n">
        <v>95000</v>
      </c>
      <c r="D14" s="17" t="n">
        <v>56000</v>
      </c>
      <c r="E14" s="17" t="n">
        <v>82000</v>
      </c>
      <c r="F14" s="17" t="n">
        <v>220000</v>
      </c>
    </row>
    <row r="15">
      <c r="A15" s="16" t="inlineStr">
        <is>
          <t>Skat af årets resultat</t>
        </is>
      </c>
      <c r="B15" s="17" t="n">
        <v>21000</v>
      </c>
      <c r="C15" s="17" t="n">
        <v>29000</v>
      </c>
      <c r="D15" s="17" t="n">
        <v>19000</v>
      </c>
      <c r="E15" s="17" t="n">
        <v>21000</v>
      </c>
      <c r="F15" s="17" t="n">
        <v>50000</v>
      </c>
    </row>
    <row r="16">
      <c r="A16" s="15" t="inlineStr">
        <is>
          <t>Årets resultat</t>
        </is>
      </c>
      <c r="B16" s="17" t="n">
        <v>43000</v>
      </c>
      <c r="C16" s="17" t="n">
        <v>66000</v>
      </c>
      <c r="D16" s="17" t="n">
        <v>37000</v>
      </c>
      <c r="E16" s="17" t="n">
        <v>61000</v>
      </c>
      <c r="F16" s="17" t="n">
        <v>170000</v>
      </c>
    </row>
    <row r="17">
      <c r="A17" s="16" t="inlineStr">
        <is>
          <t>Gns. antal medarbejdere</t>
        </is>
      </c>
      <c r="B17" s="17" t="n">
        <v>6</v>
      </c>
      <c r="C17" s="17" t="n">
        <v>6746</v>
      </c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62000</v>
      </c>
      <c r="C18" s="17" t="n">
        <v>86000</v>
      </c>
      <c r="D18" s="17" t="n">
        <v>84000</v>
      </c>
      <c r="E18" s="17" t="n">
        <v>71000</v>
      </c>
      <c r="F18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2026-09-16T11:56:46Z</dcterms:created>
  <dcterms:modified xmlns:dcterms="http://purl.org/dc/terms/" xmlns:xsi="http://www.w3.org/2001/XMLSchema-instance" xsi:type="dcterms:W3CDTF">2026-09-16T11:56:46Z</dcterms:modified>
</cp:coreProperties>
</file>