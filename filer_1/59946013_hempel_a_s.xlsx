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9946013" sheetId="1" state="visible" r:id="rId1"/>
    <sheet xmlns:r="http://schemas.openxmlformats.org/officeDocument/2006/relationships" name="res_raw_59946013" sheetId="2" state="visible" r:id="rId2"/>
    <sheet xmlns:r="http://schemas.openxmlformats.org/officeDocument/2006/relationships" name="balance_raw_59946013" sheetId="3" state="visible" r:id="rId3"/>
    <sheet xmlns:r="http://schemas.openxmlformats.org/officeDocument/2006/relationships" name="pengestrom_raw_5994601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Hempel A/S (CVR 59946013)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'res_raw_59946013'!$B$2</f>
        <v/>
      </c>
      <c r="C4" s="5">
        <f>'res_raw_59946013'!$C$2</f>
        <v/>
      </c>
      <c r="D4" s="5">
        <f>'res_raw_59946013'!$D$2</f>
        <v/>
      </c>
      <c r="E4" s="5">
        <f>'res_raw_59946013'!$E$2</f>
        <v/>
      </c>
      <c r="F4" s="5">
        <f>'res_raw_59946013'!$F$2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'res_raw_59946013'!$B$3</f>
        <v/>
      </c>
      <c r="C5" s="8">
        <f>'res_raw_59946013'!$C$3</f>
        <v/>
      </c>
      <c r="D5" s="8">
        <f>'res_raw_59946013'!$D$3</f>
        <v/>
      </c>
      <c r="E5" s="8">
        <f>'res_raw_59946013'!$E$3</f>
        <v/>
      </c>
      <c r="F5" s="8">
        <f>'res_raw_59946013'!$F$3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'res_raw_59946013'!$B$4</f>
        <v/>
      </c>
      <c r="C6" s="8">
        <f>'res_raw_59946013'!$C$4</f>
        <v/>
      </c>
      <c r="D6" s="8">
        <f>'res_raw_59946013'!$D$4</f>
        <v/>
      </c>
      <c r="E6" s="8">
        <f>'res_raw_59946013'!$E$4</f>
        <v/>
      </c>
      <c r="F6" s="8">
        <f>'res_raw_59946013'!$F$4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'res_raw_59946013'!$B$5</f>
        <v/>
      </c>
      <c r="C7" s="11">
        <f>'res_raw_59946013'!$C$5</f>
        <v/>
      </c>
      <c r="D7" s="11">
        <f>'res_raw_59946013'!$D$5</f>
        <v/>
      </c>
      <c r="E7" s="11">
        <f>'res_raw_59946013'!$E$5</f>
        <v/>
      </c>
      <c r="F7" s="11">
        <f>'res_raw_59946013'!$F$5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'res_raw_59946013'!$B$6</f>
        <v/>
      </c>
      <c r="C8" s="8">
        <f>'res_raw_59946013'!$C$6</f>
        <v/>
      </c>
      <c r="D8" s="8">
        <f>'res_raw_59946013'!$D$6</f>
        <v/>
      </c>
      <c r="E8" s="8">
        <f>'res_raw_59946013'!$E$6</f>
        <v/>
      </c>
      <c r="F8" s="8">
        <f>'res_raw_59946013'!$F$6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'res_raw_59946013'!$B$7</f>
        <v/>
      </c>
      <c r="C9" s="8">
        <f>'res_raw_59946013'!$C$7</f>
        <v/>
      </c>
      <c r="D9" s="8">
        <f>'res_raw_59946013'!$D$7</f>
        <v/>
      </c>
      <c r="E9" s="8">
        <f>'res_raw_59946013'!$E$7</f>
        <v/>
      </c>
      <c r="F9" s="8">
        <f>'res_raw_59946013'!$F$7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'res_raw_59946013'!$B$8</f>
        <v/>
      </c>
      <c r="C10" s="5">
        <f>'res_raw_59946013'!$C$8</f>
        <v/>
      </c>
      <c r="D10" s="5">
        <f>'res_raw_59946013'!$D$8</f>
        <v/>
      </c>
      <c r="E10" s="5">
        <f>'res_raw_59946013'!$E$8</f>
        <v/>
      </c>
      <c r="F10" s="5">
        <f>'res_raw_59946013'!$F$8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'res_raw_59946013'!$B$9</f>
        <v/>
      </c>
      <c r="C11" s="11">
        <f>'res_raw_59946013'!$C$9</f>
        <v/>
      </c>
      <c r="D11" s="11">
        <f>'res_raw_59946013'!$D$9</f>
        <v/>
      </c>
      <c r="E11" s="11">
        <f>'res_raw_59946013'!$E$9</f>
        <v/>
      </c>
      <c r="F11" s="11">
        <f>'res_raw_59946013'!$F$9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'res_raw_59946013'!$B$10</f>
        <v/>
      </c>
      <c r="C12" s="8">
        <f>'res_raw_59946013'!$C$10</f>
        <v/>
      </c>
      <c r="D12" s="8">
        <f>'res_raw_59946013'!$D$10</f>
        <v/>
      </c>
      <c r="E12" s="8">
        <f>'res_raw_59946013'!$E$10</f>
        <v/>
      </c>
      <c r="F12" s="8">
        <f>'res_raw_59946013'!$F$10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'res_raw_59946013'!$B$11</f>
        <v/>
      </c>
      <c r="C13" s="11">
        <f>'res_raw_59946013'!$C$11</f>
        <v/>
      </c>
      <c r="D13" s="11">
        <f>'res_raw_59946013'!$D$11</f>
        <v/>
      </c>
      <c r="E13" s="11">
        <f>'res_raw_59946013'!$E$11</f>
        <v/>
      </c>
      <c r="F13" s="11">
        <f>'res_raw_59946013'!$F$11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'res_raw_59946013'!$B$12</f>
        <v/>
      </c>
      <c r="C14" s="5">
        <f>'res_raw_59946013'!$C$12</f>
        <v/>
      </c>
      <c r="D14" s="5">
        <f>'res_raw_59946013'!$D$12</f>
        <v/>
      </c>
      <c r="E14" s="5">
        <f>'res_raw_59946013'!$E$12</f>
        <v/>
      </c>
      <c r="F14" s="5">
        <f>'res_raw_59946013'!$F$12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'res_raw_59946013'!$B$13</f>
        <v/>
      </c>
      <c r="C15" s="11">
        <f>'res_raw_59946013'!$C$13</f>
        <v/>
      </c>
      <c r="D15" s="11">
        <f>'res_raw_59946013'!$D$13</f>
        <v/>
      </c>
      <c r="E15" s="11">
        <f>'res_raw_59946013'!$E$13</f>
        <v/>
      </c>
      <c r="F15" s="11">
        <f>'res_raw_59946013'!$F$13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'res_raw_59946013'!$B$14</f>
        <v/>
      </c>
      <c r="C16" s="8">
        <f>'res_raw_59946013'!$C$14</f>
        <v/>
      </c>
      <c r="D16" s="8">
        <f>'res_raw_59946013'!$D$14</f>
        <v/>
      </c>
      <c r="E16" s="8">
        <f>'res_raw_59946013'!$E$14</f>
        <v/>
      </c>
      <c r="F16" s="8">
        <f>'res_raw_59946013'!$F$14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'res_raw_59946013'!$B$15</f>
        <v/>
      </c>
      <c r="C17" s="8">
        <f>'res_raw_59946013'!$C$15</f>
        <v/>
      </c>
      <c r="D17" s="8">
        <f>'res_raw_59946013'!$D$15</f>
        <v/>
      </c>
      <c r="E17" s="8">
        <f>'res_raw_59946013'!$E$15</f>
        <v/>
      </c>
      <c r="F17" s="8">
        <f>'res_raw_59946013'!$F$15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'res_raw_59946013'!$B$16</f>
        <v/>
      </c>
      <c r="C18" s="5">
        <f>'res_raw_59946013'!$C$16</f>
        <v/>
      </c>
      <c r="D18" s="5">
        <f>'res_raw_59946013'!$D$16</f>
        <v/>
      </c>
      <c r="E18" s="5">
        <f>'res_raw_59946013'!$E$16</f>
        <v/>
      </c>
      <c r="F18" s="5">
        <f>'res_raw_59946013'!$F$16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'res_raw_59946013'!$B$17</f>
        <v/>
      </c>
      <c r="C19" s="8">
        <f>'res_raw_59946013'!$C$17</f>
        <v/>
      </c>
      <c r="D19" s="8">
        <f>'res_raw_59946013'!$D$17</f>
        <v/>
      </c>
      <c r="E19" s="8">
        <f>'res_raw_59946013'!$E$17</f>
        <v/>
      </c>
      <c r="F19" s="8">
        <f>'res_raw_59946013'!$F$17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t.EUR</t>
        </is>
      </c>
      <c r="B21" s="3" t="n">
        <v>2020</v>
      </c>
      <c r="C21" s="3" t="n">
        <v>2021</v>
      </c>
      <c r="D21" s="3" t="n">
        <v>2022</v>
      </c>
      <c r="E21" s="3" t="n">
        <v>2023</v>
      </c>
      <c r="F21" s="3" t="n">
        <v>2024</v>
      </c>
      <c r="G21" t="inlineStr"/>
      <c r="H21" s="3" t="n">
        <v>2020</v>
      </c>
      <c r="I21" s="3" t="n">
        <v>2021</v>
      </c>
      <c r="J21" s="3" t="n">
        <v>2022</v>
      </c>
      <c r="K21" s="3" t="n">
        <v>2023</v>
      </c>
      <c r="L21" s="3" t="n">
        <v>2024</v>
      </c>
    </row>
    <row r="22" ht="16" customHeight="1">
      <c r="A22" s="4" t="inlineStr">
        <is>
          <t>Udviklingsprojekter</t>
        </is>
      </c>
      <c r="B22" s="5">
        <f>'balance_raw_59946013'!$B$2</f>
        <v/>
      </c>
      <c r="C22" s="5">
        <f>'balance_raw_59946013'!$C$2</f>
        <v/>
      </c>
      <c r="D22" s="5">
        <f>'balance_raw_59946013'!$D$2</f>
        <v/>
      </c>
      <c r="E22" s="5">
        <f>'balance_raw_59946013'!$E$2</f>
        <v/>
      </c>
      <c r="F22" s="5">
        <f>'balance_raw_59946013'!$F$2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'balance_raw_59946013'!$B$3</f>
        <v/>
      </c>
      <c r="C23" s="11">
        <f>'balance_raw_59946013'!$C$3</f>
        <v/>
      </c>
      <c r="D23" s="11">
        <f>'balance_raw_59946013'!$D$3</f>
        <v/>
      </c>
      <c r="E23" s="11">
        <f>'balance_raw_59946013'!$E$3</f>
        <v/>
      </c>
      <c r="F23" s="11">
        <f>'balance_raw_59946013'!$F$3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'balance_raw_59946013'!$B$4</f>
        <v/>
      </c>
      <c r="C24" s="5">
        <f>'balance_raw_59946013'!$C$4</f>
        <v/>
      </c>
      <c r="D24" s="5">
        <f>'balance_raw_59946013'!$D$4</f>
        <v/>
      </c>
      <c r="E24" s="5">
        <f>'balance_raw_59946013'!$E$4</f>
        <v/>
      </c>
      <c r="F24" s="5">
        <f>'balance_raw_59946013'!$F$4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'balance_raw_59946013'!$B$5</f>
        <v/>
      </c>
      <c r="C25" s="8">
        <f>'balance_raw_59946013'!$C$5</f>
        <v/>
      </c>
      <c r="D25" s="8">
        <f>'balance_raw_59946013'!$D$5</f>
        <v/>
      </c>
      <c r="E25" s="8">
        <f>'balance_raw_59946013'!$E$5</f>
        <v/>
      </c>
      <c r="F25" s="8">
        <f>'balance_raw_59946013'!$F$5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'balance_raw_59946013'!$B$6</f>
        <v/>
      </c>
      <c r="C26" s="5">
        <f>'balance_raw_59946013'!$C$6</f>
        <v/>
      </c>
      <c r="D26" s="5">
        <f>'balance_raw_59946013'!$D$6</f>
        <v/>
      </c>
      <c r="E26" s="5">
        <f>'balance_raw_59946013'!$E$6</f>
        <v/>
      </c>
      <c r="F26" s="5">
        <f>'balance_raw_59946013'!$F$6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'balance_raw_59946013'!$B$7</f>
        <v/>
      </c>
      <c r="C27" s="11">
        <f>'balance_raw_59946013'!$C$7</f>
        <v/>
      </c>
      <c r="D27" s="11">
        <f>'balance_raw_59946013'!$D$7</f>
        <v/>
      </c>
      <c r="E27" s="11">
        <f>'balance_raw_59946013'!$E$7</f>
        <v/>
      </c>
      <c r="F27" s="11">
        <f>'balance_raw_59946013'!$F$7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'balance_raw_59946013'!$B$8</f>
        <v/>
      </c>
      <c r="C28" s="5">
        <f>'balance_raw_59946013'!$C$8</f>
        <v/>
      </c>
      <c r="D28" s="5">
        <f>'balance_raw_59946013'!$D$8</f>
        <v/>
      </c>
      <c r="E28" s="5">
        <f>'balance_raw_59946013'!$E$8</f>
        <v/>
      </c>
      <c r="F28" s="5">
        <f>'balance_raw_59946013'!$F$8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'balance_raw_59946013'!$B$9</f>
        <v/>
      </c>
      <c r="C29" s="11">
        <f>'balance_raw_59946013'!$C$9</f>
        <v/>
      </c>
      <c r="D29" s="11">
        <f>'balance_raw_59946013'!$D$9</f>
        <v/>
      </c>
      <c r="E29" s="11">
        <f>'balance_raw_59946013'!$E$9</f>
        <v/>
      </c>
      <c r="F29" s="11">
        <f>'balance_raw_59946013'!$F$9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'balance_raw_59946013'!$B$10</f>
        <v/>
      </c>
      <c r="C30" s="5">
        <f>'balance_raw_59946013'!$C$10</f>
        <v/>
      </c>
      <c r="D30" s="5">
        <f>'balance_raw_59946013'!$D$10</f>
        <v/>
      </c>
      <c r="E30" s="5">
        <f>'balance_raw_59946013'!$E$10</f>
        <v/>
      </c>
      <c r="F30" s="5">
        <f>'balance_raw_59946013'!$F$10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'balance_raw_59946013'!$B$11</f>
        <v/>
      </c>
      <c r="C31" s="8">
        <f>'balance_raw_59946013'!$C$11</f>
        <v/>
      </c>
      <c r="D31" s="8">
        <f>'balance_raw_59946013'!$D$11</f>
        <v/>
      </c>
      <c r="E31" s="8">
        <f>'balance_raw_59946013'!$E$11</f>
        <v/>
      </c>
      <c r="F31" s="8">
        <f>'balance_raw_59946013'!$F$11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'balance_raw_59946013'!$B$12</f>
        <v/>
      </c>
      <c r="C32" s="5">
        <f>'balance_raw_59946013'!$C$12</f>
        <v/>
      </c>
      <c r="D32" s="5">
        <f>'balance_raw_59946013'!$D$12</f>
        <v/>
      </c>
      <c r="E32" s="5">
        <f>'balance_raw_59946013'!$E$12</f>
        <v/>
      </c>
      <c r="F32" s="5">
        <f>'balance_raw_59946013'!$F$12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'balance_raw_59946013'!$B$13</f>
        <v/>
      </c>
      <c r="C33" s="11">
        <f>'balance_raw_59946013'!$C$13</f>
        <v/>
      </c>
      <c r="D33" s="11">
        <f>'balance_raw_59946013'!$D$13</f>
        <v/>
      </c>
      <c r="E33" s="11">
        <f>'balance_raw_59946013'!$E$13</f>
        <v/>
      </c>
      <c r="F33" s="11">
        <f>'balance_raw_59946013'!$F$13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'balance_raw_59946013'!$B$14</f>
        <v/>
      </c>
      <c r="C34" s="8">
        <f>'balance_raw_59946013'!$C$14</f>
        <v/>
      </c>
      <c r="D34" s="8">
        <f>'balance_raw_59946013'!$D$14</f>
        <v/>
      </c>
      <c r="E34" s="8">
        <f>'balance_raw_59946013'!$E$14</f>
        <v/>
      </c>
      <c r="F34" s="8">
        <f>'balance_raw_59946013'!$F$14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'balance_raw_59946013'!$B$15</f>
        <v/>
      </c>
      <c r="C35" s="8">
        <f>'balance_raw_59946013'!$C$15</f>
        <v/>
      </c>
      <c r="D35" s="8">
        <f>'balance_raw_59946013'!$D$15</f>
        <v/>
      </c>
      <c r="E35" s="8">
        <f>'balance_raw_59946013'!$E$15</f>
        <v/>
      </c>
      <c r="F35" s="8">
        <f>'balance_raw_59946013'!$F$15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Varebeholdninger</t>
        </is>
      </c>
      <c r="B36" s="8">
        <f>'balance_raw_59946013'!$B$16</f>
        <v/>
      </c>
      <c r="C36" s="8">
        <f>'balance_raw_59946013'!$C$16</f>
        <v/>
      </c>
      <c r="D36" s="8">
        <f>'balance_raw_59946013'!$D$16</f>
        <v/>
      </c>
      <c r="E36" s="8">
        <f>'balance_raw_59946013'!$E$16</f>
        <v/>
      </c>
      <c r="F36" s="8">
        <f>'balance_raw_59946013'!$F$16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'balance_raw_59946013'!$B$17</f>
        <v/>
      </c>
      <c r="C37" s="11">
        <f>'balance_raw_59946013'!$C$17</f>
        <v/>
      </c>
      <c r="D37" s="11">
        <f>'balance_raw_59946013'!$D$17</f>
        <v/>
      </c>
      <c r="E37" s="11">
        <f>'balance_raw_59946013'!$E$17</f>
        <v/>
      </c>
      <c r="F37" s="11">
        <f>'balance_raw_59946013'!$F$17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'balance_raw_59946013'!$B$18</f>
        <v/>
      </c>
      <c r="C38" s="5">
        <f>'balance_raw_59946013'!$C$18</f>
        <v/>
      </c>
      <c r="D38" s="5">
        <f>'balance_raw_59946013'!$D$18</f>
        <v/>
      </c>
      <c r="E38" s="5">
        <f>'balance_raw_59946013'!$E$18</f>
        <v/>
      </c>
      <c r="F38" s="5">
        <f>'balance_raw_59946013'!$F$18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'balance_raw_59946013'!$B$19</f>
        <v/>
      </c>
      <c r="C39" s="11">
        <f>'balance_raw_59946013'!$C$19</f>
        <v/>
      </c>
      <c r="D39" s="11">
        <f>'balance_raw_59946013'!$D$19</f>
        <v/>
      </c>
      <c r="E39" s="11">
        <f>'balance_raw_59946013'!$E$19</f>
        <v/>
      </c>
      <c r="F39" s="11">
        <f>'balance_raw_59946013'!$F$19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'balance_raw_59946013'!$B$20</f>
        <v/>
      </c>
      <c r="C40" s="5">
        <f>'balance_raw_59946013'!$C$20</f>
        <v/>
      </c>
      <c r="D40" s="5">
        <f>'balance_raw_59946013'!$D$20</f>
        <v/>
      </c>
      <c r="E40" s="5">
        <f>'balance_raw_59946013'!$E$20</f>
        <v/>
      </c>
      <c r="F40" s="5">
        <f>'balance_raw_59946013'!$F$20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'balance_raw_59946013'!$B$21</f>
        <v/>
      </c>
      <c r="C41" s="11">
        <f>'balance_raw_59946013'!$C$21</f>
        <v/>
      </c>
      <c r="D41" s="11">
        <f>'balance_raw_59946013'!$D$21</f>
        <v/>
      </c>
      <c r="E41" s="11">
        <f>'balance_raw_59946013'!$E$21</f>
        <v/>
      </c>
      <c r="F41" s="11">
        <f>'balance_raw_59946013'!$F$21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'balance_raw_59946013'!$B$22</f>
        <v/>
      </c>
      <c r="C42" s="5">
        <f>'balance_raw_59946013'!$C$22</f>
        <v/>
      </c>
      <c r="D42" s="5">
        <f>'balance_raw_59946013'!$D$22</f>
        <v/>
      </c>
      <c r="E42" s="5">
        <f>'balance_raw_59946013'!$E$22</f>
        <v/>
      </c>
      <c r="F42" s="5">
        <f>'balance_raw_59946013'!$F$22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'balance_raw_59946013'!$B$23</f>
        <v/>
      </c>
      <c r="C43" s="11">
        <f>'balance_raw_59946013'!$C$23</f>
        <v/>
      </c>
      <c r="D43" s="11">
        <f>'balance_raw_59946013'!$D$23</f>
        <v/>
      </c>
      <c r="E43" s="11">
        <f>'balance_raw_59946013'!$E$23</f>
        <v/>
      </c>
      <c r="F43" s="11">
        <f>'balance_raw_59946013'!$F$23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'balance_raw_59946013'!$B$24</f>
        <v/>
      </c>
      <c r="C44" s="8">
        <f>'balance_raw_59946013'!$C$24</f>
        <v/>
      </c>
      <c r="D44" s="8">
        <f>'balance_raw_59946013'!$D$24</f>
        <v/>
      </c>
      <c r="E44" s="8">
        <f>'balance_raw_59946013'!$E$24</f>
        <v/>
      </c>
      <c r="F44" s="8">
        <f>'balance_raw_59946013'!$F$24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'balance_raw_59946013'!$B$25</f>
        <v/>
      </c>
      <c r="C45" s="11">
        <f>'balance_raw_59946013'!$C$25</f>
        <v/>
      </c>
      <c r="D45" s="11">
        <f>'balance_raw_59946013'!$D$25</f>
        <v/>
      </c>
      <c r="E45" s="11">
        <f>'balance_raw_59946013'!$E$25</f>
        <v/>
      </c>
      <c r="F45" s="11">
        <f>'balance_raw_59946013'!$F$25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'balance_raw_59946013'!$B$26</f>
        <v/>
      </c>
      <c r="C46" s="5">
        <f>'balance_raw_59946013'!$C$26</f>
        <v/>
      </c>
      <c r="D46" s="5">
        <f>'balance_raw_59946013'!$D$26</f>
        <v/>
      </c>
      <c r="E46" s="5">
        <f>'balance_raw_59946013'!$E$26</f>
        <v/>
      </c>
      <c r="F46" s="5">
        <f>'balance_raw_59946013'!$F$26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'balance_raw_59946013'!$B$27</f>
        <v/>
      </c>
      <c r="C47" s="8">
        <f>'balance_raw_59946013'!$C$27</f>
        <v/>
      </c>
      <c r="D47" s="8">
        <f>'balance_raw_59946013'!$D$27</f>
        <v/>
      </c>
      <c r="E47" s="8">
        <f>'balance_raw_59946013'!$E$27</f>
        <v/>
      </c>
      <c r="F47" s="8">
        <f>'balance_raw_59946013'!$F$27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'balance_raw_59946013'!$B$28</f>
        <v/>
      </c>
      <c r="C48" s="8">
        <f>'balance_raw_59946013'!$C$28</f>
        <v/>
      </c>
      <c r="D48" s="8">
        <f>'balance_raw_59946013'!$D$28</f>
        <v/>
      </c>
      <c r="E48" s="8">
        <f>'balance_raw_59946013'!$E$28</f>
        <v/>
      </c>
      <c r="F48" s="8">
        <f>'balance_raw_59946013'!$F$28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t.EUR</t>
        </is>
      </c>
      <c r="B50" s="3" t="n">
        <v>2020</v>
      </c>
      <c r="C50" s="3" t="n">
        <v>2021</v>
      </c>
      <c r="D50" s="3" t="n">
        <v>2022</v>
      </c>
      <c r="E50" s="3" t="n">
        <v>2023</v>
      </c>
      <c r="F50" s="3" t="n">
        <v>2024</v>
      </c>
      <c r="G50" t="inlineStr"/>
      <c r="H50" s="3" t="n">
        <v>2020</v>
      </c>
      <c r="I50" s="3" t="n">
        <v>2021</v>
      </c>
      <c r="J50" s="3" t="n">
        <v>2022</v>
      </c>
      <c r="K50" s="3" t="n">
        <v>2023</v>
      </c>
      <c r="L50" s="3" t="n">
        <v>2024</v>
      </c>
    </row>
    <row r="51" ht="16" customHeight="1">
      <c r="A51" s="10" t="inlineStr">
        <is>
          <t>Selskabskapital</t>
        </is>
      </c>
      <c r="B51" s="11">
        <f>'balance_raw_59946013'!$B$29</f>
        <v/>
      </c>
      <c r="C51" s="11">
        <f>'balance_raw_59946013'!$C$29</f>
        <v/>
      </c>
      <c r="D51" s="11">
        <f>'balance_raw_59946013'!$D$29</f>
        <v/>
      </c>
      <c r="E51" s="11">
        <f>'balance_raw_59946013'!$E$29</f>
        <v/>
      </c>
      <c r="F51" s="11">
        <f>'balance_raw_59946013'!$F$29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'balance_raw_59946013'!$B$30</f>
        <v/>
      </c>
      <c r="C52" s="5">
        <f>'balance_raw_59946013'!$C$30</f>
        <v/>
      </c>
      <c r="D52" s="5">
        <f>'balance_raw_59946013'!$D$30</f>
        <v/>
      </c>
      <c r="E52" s="5">
        <f>'balance_raw_59946013'!$E$30</f>
        <v/>
      </c>
      <c r="F52" s="5">
        <f>'balance_raw_59946013'!$F$30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'balance_raw_59946013'!$B$31</f>
        <v/>
      </c>
      <c r="C53" s="11">
        <f>'balance_raw_59946013'!$C$31</f>
        <v/>
      </c>
      <c r="D53" s="11">
        <f>'balance_raw_59946013'!$D$31</f>
        <v/>
      </c>
      <c r="E53" s="11">
        <f>'balance_raw_59946013'!$E$31</f>
        <v/>
      </c>
      <c r="F53" s="11">
        <f>'balance_raw_59946013'!$F$31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'balance_raw_59946013'!$B$32</f>
        <v/>
      </c>
      <c r="C54" s="5">
        <f>'balance_raw_59946013'!$C$32</f>
        <v/>
      </c>
      <c r="D54" s="5">
        <f>'balance_raw_59946013'!$D$32</f>
        <v/>
      </c>
      <c r="E54" s="5">
        <f>'balance_raw_59946013'!$E$32</f>
        <v/>
      </c>
      <c r="F54" s="5">
        <f>'balance_raw_59946013'!$F$32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'balance_raw_59946013'!$B$33</f>
        <v/>
      </c>
      <c r="C55" s="11">
        <f>'balance_raw_59946013'!$C$33</f>
        <v/>
      </c>
      <c r="D55" s="11">
        <f>'balance_raw_59946013'!$D$33</f>
        <v/>
      </c>
      <c r="E55" s="11">
        <f>'balance_raw_59946013'!$E$33</f>
        <v/>
      </c>
      <c r="F55" s="11">
        <f>'balance_raw_59946013'!$F$33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'balance_raw_59946013'!$B$34</f>
        <v/>
      </c>
      <c r="C56" s="5">
        <f>'balance_raw_59946013'!$C$34</f>
        <v/>
      </c>
      <c r="D56" s="5">
        <f>'balance_raw_59946013'!$D$34</f>
        <v/>
      </c>
      <c r="E56" s="5">
        <f>'balance_raw_59946013'!$E$34</f>
        <v/>
      </c>
      <c r="F56" s="5">
        <f>'balance_raw_59946013'!$F$34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'balance_raw_59946013'!$B$35</f>
        <v/>
      </c>
      <c r="C57" s="8">
        <f>'balance_raw_59946013'!$C$35</f>
        <v/>
      </c>
      <c r="D57" s="8">
        <f>'balance_raw_59946013'!$D$35</f>
        <v/>
      </c>
      <c r="E57" s="8">
        <f>'balance_raw_59946013'!$E$35</f>
        <v/>
      </c>
      <c r="F57" s="8">
        <f>'balance_raw_59946013'!$F$35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'balance_raw_59946013'!$B$36</f>
        <v/>
      </c>
      <c r="C58" s="5">
        <f>'balance_raw_59946013'!$C$36</f>
        <v/>
      </c>
      <c r="D58" s="5">
        <f>'balance_raw_59946013'!$D$36</f>
        <v/>
      </c>
      <c r="E58" s="5">
        <f>'balance_raw_59946013'!$E$36</f>
        <v/>
      </c>
      <c r="F58" s="5">
        <f>'balance_raw_59946013'!$F$36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'balance_raw_59946013'!$B$37</f>
        <v/>
      </c>
      <c r="C59" s="8">
        <f>'balance_raw_59946013'!$C$37</f>
        <v/>
      </c>
      <c r="D59" s="8">
        <f>'balance_raw_59946013'!$D$37</f>
        <v/>
      </c>
      <c r="E59" s="8">
        <f>'balance_raw_59946013'!$E$37</f>
        <v/>
      </c>
      <c r="F59" s="8">
        <f>'balance_raw_59946013'!$F$37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'balance_raw_59946013'!$B$38</f>
        <v/>
      </c>
      <c r="C60" s="5">
        <f>'balance_raw_59946013'!$C$38</f>
        <v/>
      </c>
      <c r="D60" s="5">
        <f>'balance_raw_59946013'!$D$38</f>
        <v/>
      </c>
      <c r="E60" s="5">
        <f>'balance_raw_59946013'!$E$38</f>
        <v/>
      </c>
      <c r="F60" s="5">
        <f>'balance_raw_59946013'!$F$38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'balance_raw_59946013'!$B$39</f>
        <v/>
      </c>
      <c r="C61" s="11">
        <f>'balance_raw_59946013'!$C$39</f>
        <v/>
      </c>
      <c r="D61" s="11">
        <f>'balance_raw_59946013'!$D$39</f>
        <v/>
      </c>
      <c r="E61" s="11">
        <f>'balance_raw_59946013'!$E$39</f>
        <v/>
      </c>
      <c r="F61" s="11">
        <f>'balance_raw_59946013'!$F$39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'balance_raw_59946013'!$B$40</f>
        <v/>
      </c>
      <c r="C62" s="5">
        <f>'balance_raw_59946013'!$C$40</f>
        <v/>
      </c>
      <c r="D62" s="5">
        <f>'balance_raw_59946013'!$D$40</f>
        <v/>
      </c>
      <c r="E62" s="5">
        <f>'balance_raw_59946013'!$E$40</f>
        <v/>
      </c>
      <c r="F62" s="5">
        <f>'balance_raw_59946013'!$F$40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'balance_raw_59946013'!$B$41</f>
        <v/>
      </c>
      <c r="C63" s="11">
        <f>'balance_raw_59946013'!$C$41</f>
        <v/>
      </c>
      <c r="D63" s="11">
        <f>'balance_raw_59946013'!$D$41</f>
        <v/>
      </c>
      <c r="E63" s="11">
        <f>'balance_raw_59946013'!$E$41</f>
        <v/>
      </c>
      <c r="F63" s="11">
        <f>'balance_raw_59946013'!$F$41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'balance_raw_59946013'!$B$42</f>
        <v/>
      </c>
      <c r="C64" s="8">
        <f>'balance_raw_59946013'!$C$42</f>
        <v/>
      </c>
      <c r="D64" s="8">
        <f>'balance_raw_59946013'!$D$42</f>
        <v/>
      </c>
      <c r="E64" s="8">
        <f>'balance_raw_59946013'!$E$42</f>
        <v/>
      </c>
      <c r="F64" s="8">
        <f>'balance_raw_59946013'!$F$42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'balance_raw_59946013'!$B$43</f>
        <v/>
      </c>
      <c r="C65" s="11">
        <f>'balance_raw_59946013'!$C$43</f>
        <v/>
      </c>
      <c r="D65" s="11">
        <f>'balance_raw_59946013'!$D$43</f>
        <v/>
      </c>
      <c r="E65" s="11">
        <f>'balance_raw_59946013'!$E$43</f>
        <v/>
      </c>
      <c r="F65" s="11">
        <f>'balance_raw_59946013'!$F$43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'balance_raw_59946013'!$B$44</f>
        <v/>
      </c>
      <c r="C66" s="5">
        <f>'balance_raw_59946013'!$C$44</f>
        <v/>
      </c>
      <c r="D66" s="5">
        <f>'balance_raw_59946013'!$D$44</f>
        <v/>
      </c>
      <c r="E66" s="5">
        <f>'balance_raw_59946013'!$E$44</f>
        <v/>
      </c>
      <c r="F66" s="5">
        <f>'balance_raw_59946013'!$F$44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'balance_raw_59946013'!$B$45</f>
        <v/>
      </c>
      <c r="C67" s="11">
        <f>'balance_raw_59946013'!$C$45</f>
        <v/>
      </c>
      <c r="D67" s="11">
        <f>'balance_raw_59946013'!$D$45</f>
        <v/>
      </c>
      <c r="E67" s="11">
        <f>'balance_raw_59946013'!$E$45</f>
        <v/>
      </c>
      <c r="F67" s="11">
        <f>'balance_raw_59946013'!$F$45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'balance_raw_59946013'!$B$46</f>
        <v/>
      </c>
      <c r="C68" s="5">
        <f>'balance_raw_59946013'!$C$46</f>
        <v/>
      </c>
      <c r="D68" s="5">
        <f>'balance_raw_59946013'!$D$46</f>
        <v/>
      </c>
      <c r="E68" s="5">
        <f>'balance_raw_59946013'!$E$46</f>
        <v/>
      </c>
      <c r="F68" s="5">
        <f>'balance_raw_59946013'!$F$46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'balance_raw_59946013'!$B$47</f>
        <v/>
      </c>
      <c r="C69" s="11">
        <f>'balance_raw_59946013'!$C$47</f>
        <v/>
      </c>
      <c r="D69" s="11">
        <f>'balance_raw_59946013'!$D$47</f>
        <v/>
      </c>
      <c r="E69" s="11">
        <f>'balance_raw_59946013'!$E$47</f>
        <v/>
      </c>
      <c r="F69" s="11">
        <f>'balance_raw_59946013'!$F$47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'balance_raw_59946013'!$B$48</f>
        <v/>
      </c>
      <c r="C70" s="5">
        <f>'balance_raw_59946013'!$C$48</f>
        <v/>
      </c>
      <c r="D70" s="5">
        <f>'balance_raw_59946013'!$D$48</f>
        <v/>
      </c>
      <c r="E70" s="5">
        <f>'balance_raw_59946013'!$E$48</f>
        <v/>
      </c>
      <c r="F70" s="5">
        <f>'balance_raw_59946013'!$F$48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'balance_raw_59946013'!$B$49</f>
        <v/>
      </c>
      <c r="C71" s="11">
        <f>'balance_raw_59946013'!$C$49</f>
        <v/>
      </c>
      <c r="D71" s="11">
        <f>'balance_raw_59946013'!$D$49</f>
        <v/>
      </c>
      <c r="E71" s="11">
        <f>'balance_raw_59946013'!$E$49</f>
        <v/>
      </c>
      <c r="F71" s="11">
        <f>'balance_raw_59946013'!$F$49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'balance_raw_59946013'!$B$50</f>
        <v/>
      </c>
      <c r="C72" s="5">
        <f>'balance_raw_59946013'!$C$50</f>
        <v/>
      </c>
      <c r="D72" s="5">
        <f>'balance_raw_59946013'!$D$50</f>
        <v/>
      </c>
      <c r="E72" s="5">
        <f>'balance_raw_59946013'!$E$50</f>
        <v/>
      </c>
      <c r="F72" s="5">
        <f>'balance_raw_59946013'!$F$50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'balance_raw_59946013'!$B$51</f>
        <v/>
      </c>
      <c r="C73" s="11">
        <f>'balance_raw_59946013'!$C$51</f>
        <v/>
      </c>
      <c r="D73" s="11">
        <f>'balance_raw_59946013'!$D$51</f>
        <v/>
      </c>
      <c r="E73" s="11">
        <f>'balance_raw_59946013'!$E$51</f>
        <v/>
      </c>
      <c r="F73" s="11">
        <f>'balance_raw_59946013'!$F$51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'balance_raw_59946013'!$B$52</f>
        <v/>
      </c>
      <c r="C74" s="5">
        <f>'balance_raw_59946013'!$C$52</f>
        <v/>
      </c>
      <c r="D74" s="5">
        <f>'balance_raw_59946013'!$D$52</f>
        <v/>
      </c>
      <c r="E74" s="5">
        <f>'balance_raw_59946013'!$E$52</f>
        <v/>
      </c>
      <c r="F74" s="5">
        <f>'balance_raw_59946013'!$F$52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'balance_raw_59946013'!$B$53</f>
        <v/>
      </c>
      <c r="C75" s="11">
        <f>'balance_raw_59946013'!$C$53</f>
        <v/>
      </c>
      <c r="D75" s="11">
        <f>'balance_raw_59946013'!$D$53</f>
        <v/>
      </c>
      <c r="E75" s="11">
        <f>'balance_raw_59946013'!$E$53</f>
        <v/>
      </c>
      <c r="F75" s="11">
        <f>'balance_raw_59946013'!$F$53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'balance_raw_59946013'!$B$54</f>
        <v/>
      </c>
      <c r="C76" s="8">
        <f>'balance_raw_59946013'!$C$54</f>
        <v/>
      </c>
      <c r="D76" s="8">
        <f>'balance_raw_59946013'!$D$54</f>
        <v/>
      </c>
      <c r="E76" s="8">
        <f>'balance_raw_59946013'!$E$54</f>
        <v/>
      </c>
      <c r="F76" s="8">
        <f>'balance_raw_59946013'!$F$54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'balance_raw_59946013'!$B$55</f>
        <v/>
      </c>
      <c r="C77" s="8">
        <f>'balance_raw_59946013'!$C$55</f>
        <v/>
      </c>
      <c r="D77" s="8">
        <f>'balance_raw_59946013'!$D$55</f>
        <v/>
      </c>
      <c r="E77" s="8">
        <f>'balance_raw_59946013'!$E$55</f>
        <v/>
      </c>
      <c r="F77" s="8">
        <f>'balance_raw_59946013'!$F$55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'balance_raw_59946013'!$B$56</f>
        <v/>
      </c>
      <c r="C78" s="8">
        <f>'balance_raw_59946013'!$C$56</f>
        <v/>
      </c>
      <c r="D78" s="8">
        <f>'balance_raw_59946013'!$D$56</f>
        <v/>
      </c>
      <c r="E78" s="8">
        <f>'balance_raw_59946013'!$E$56</f>
        <v/>
      </c>
      <c r="F78" s="8">
        <f>'balance_raw_59946013'!$F$56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10" t="inlineStr">
        <is>
          <t>Gns. antal medarbejdere</t>
        </is>
      </c>
      <c r="B81" s="11">
        <f>'res_raw_59946013'!$B$18</f>
        <v/>
      </c>
      <c r="C81" s="11">
        <f>'res_raw_59946013'!$C$18</f>
        <v/>
      </c>
      <c r="D81" s="11">
        <f>'res_raw_59946013'!$D$18</f>
        <v/>
      </c>
      <c r="E81" s="11">
        <f>'res_raw_59946013'!$E$18</f>
        <v/>
      </c>
      <c r="F81" s="11">
        <f>'res_raw_59946013'!$F$18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'res_raw_59946013'!$B$19</f>
        <v/>
      </c>
      <c r="C82" s="5">
        <f>'res_raw_59946013'!$C$19</f>
        <v/>
      </c>
      <c r="D82" s="5">
        <f>'res_raw_59946013'!$D$19</f>
        <v/>
      </c>
      <c r="E82" s="5">
        <f>'res_raw_59946013'!$E$19</f>
        <v/>
      </c>
      <c r="F82" s="5">
        <f>'res_raw_59946013'!$F$19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IFERROR($B$35/($B$57+$B$64)*100,"")</f>
        <v/>
      </c>
      <c r="C95" s="13">
        <f>IFERROR($C$35/($C$57+$C$64)*100,"")</f>
        <v/>
      </c>
      <c r="D95" s="13">
        <f>IFERROR($D$35/($D$57+$D$64)*100,"")</f>
        <v/>
      </c>
      <c r="E95" s="13">
        <f>IFERROR($E$35/($E$57+$E$64)*100,"")</f>
        <v/>
      </c>
      <c r="F95" s="13">
        <f>IFERROR($F$35/($F$57+$F$64)*100,"")</f>
        <v/>
      </c>
    </row>
    <row r="97">
      <c r="A97" s="15" t="inlineStr">
        <is>
          <t>PENGESTRØMSOPGØRELSE t.EUR</t>
        </is>
      </c>
    </row>
    <row r="98">
      <c r="A98" s="16" t="inlineStr">
        <is>
          <t>Pengestrømme fra driftsaktivitet</t>
        </is>
      </c>
      <c r="B98" s="17">
        <f>'pengestrom_raw_59946013'!$B$2</f>
        <v/>
      </c>
      <c r="C98" s="17">
        <f>'pengestrom_raw_59946013'!$C$2</f>
        <v/>
      </c>
      <c r="D98" s="17">
        <f>'pengestrom_raw_59946013'!$D$2</f>
        <v/>
      </c>
      <c r="E98" s="17">
        <f>'pengestrom_raw_59946013'!$E$2</f>
        <v/>
      </c>
      <c r="F98" s="17">
        <f>'pengestrom_raw_59946013'!$F$2</f>
        <v/>
      </c>
    </row>
    <row r="99">
      <c r="A99" s="16" t="inlineStr">
        <is>
          <t>Pengestrømme fra investeringsaktivitet</t>
        </is>
      </c>
      <c r="B99" s="17">
        <f>'pengestrom_raw_59946013'!$B$3</f>
        <v/>
      </c>
      <c r="C99" s="17">
        <f>'pengestrom_raw_59946013'!$C$3</f>
        <v/>
      </c>
      <c r="D99" s="17">
        <f>'pengestrom_raw_59946013'!$D$3</f>
        <v/>
      </c>
      <c r="E99" s="17">
        <f>'pengestrom_raw_59946013'!$E$3</f>
        <v/>
      </c>
      <c r="F99" s="17">
        <f>'pengestrom_raw_59946013'!$F$3</f>
        <v/>
      </c>
    </row>
    <row r="100">
      <c r="A100" s="16" t="inlineStr">
        <is>
          <t>Pengestrømme fra finansieringsaktivitet</t>
        </is>
      </c>
      <c r="B100" s="17">
        <f>'pengestrom_raw_59946013'!$B$4</f>
        <v/>
      </c>
      <c r="C100" s="17">
        <f>'pengestrom_raw_59946013'!$C$4</f>
        <v/>
      </c>
      <c r="D100" s="17">
        <f>'pengestrom_raw_59946013'!$D$4</f>
        <v/>
      </c>
      <c r="E100" s="17">
        <f>'pengestrom_raw_59946013'!$E$4</f>
        <v/>
      </c>
      <c r="F100" s="17">
        <f>'pengestrom_raw_59946013'!$F$4</f>
        <v/>
      </c>
    </row>
    <row r="101">
      <c r="A101" s="16" t="inlineStr">
        <is>
          <t>Årets pengestrøm (rapporteret)</t>
        </is>
      </c>
      <c r="B101" s="17">
        <f>'pengestrom_raw_59946013'!$B$5</f>
        <v/>
      </c>
      <c r="C101" s="17">
        <f>'pengestrom_raw_59946013'!$C$5</f>
        <v/>
      </c>
      <c r="D101" s="17">
        <f>'pengestrom_raw_59946013'!$D$5</f>
        <v/>
      </c>
      <c r="E101" s="17">
        <f>'pengestrom_raw_59946013'!$E$5</f>
        <v/>
      </c>
      <c r="F101" s="17">
        <f>'pengestrom_raw_59946013'!$F$5</f>
        <v/>
      </c>
    </row>
    <row r="102">
      <c r="A102" s="16" t="inlineStr">
        <is>
          <t>Krydstjek: drift + inv. + fin. = årets pengestrøm</t>
        </is>
      </c>
      <c r="B102">
        <f>IF(ABS(('pengestrom_raw_59946013'!$B$2+'pengestrom_raw_59946013'!$B$3+'pengestrom_raw_59946013'!$B$4)-'pengestrom_raw_59946013'!$B$5)&lt;=2,"✓","⚠ "&amp;TEXT(('pengestrom_raw_59946013'!$B$2+'pengestrom_raw_59946013'!$B$3+'pengestrom_raw_59946013'!$B$4)-'pengestrom_raw_59946013'!$B$5,"+#,##0;-#,##0"))</f>
        <v/>
      </c>
      <c r="C102">
        <f>IF(ABS(('pengestrom_raw_59946013'!$C$2+'pengestrom_raw_59946013'!$C$3+'pengestrom_raw_59946013'!$C$4)-'pengestrom_raw_59946013'!$C$5)&lt;=2,"✓","⚠ "&amp;TEXT(('pengestrom_raw_59946013'!$C$2+'pengestrom_raw_59946013'!$C$3+'pengestrom_raw_59946013'!$C$4)-'pengestrom_raw_59946013'!$C$5,"+#,##0;-#,##0"))</f>
        <v/>
      </c>
      <c r="D102">
        <f>IF(ABS(('pengestrom_raw_59946013'!$D$2+'pengestrom_raw_59946013'!$D$3+'pengestrom_raw_59946013'!$D$4)-'pengestrom_raw_59946013'!$D$5)&lt;=2,"✓","⚠ "&amp;TEXT(('pengestrom_raw_59946013'!$D$2+'pengestrom_raw_59946013'!$D$3+'pengestrom_raw_59946013'!$D$4)-'pengestrom_raw_59946013'!$D$5,"+#,##0;-#,##0"))</f>
        <v/>
      </c>
      <c r="E102">
        <f>IF(ABS(('pengestrom_raw_59946013'!$E$2+'pengestrom_raw_59946013'!$E$3+'pengestrom_raw_59946013'!$E$4)-'pengestrom_raw_59946013'!$E$5)&lt;=2,"✓","⚠ "&amp;TEXT(('pengestrom_raw_59946013'!$E$2+'pengestrom_raw_59946013'!$E$3+'pengestrom_raw_59946013'!$E$4)-'pengestrom_raw_59946013'!$E$5,"+#,##0;-#,##0"))</f>
        <v/>
      </c>
      <c r="F102">
        <f>IF(ABS(('pengestrom_raw_59946013'!$F$2+'pengestrom_raw_59946013'!$F$3+'pengestrom_raw_59946013'!$F$4)-'pengestrom_raw_59946013'!$F$5)&lt;=2,"✓","⚠ "&amp;TEXT(('pengestrom_raw_59946013'!$F$2+'pengestrom_raw_59946013'!$F$3+'pengestrom_raw_59946013'!$F$4)-'pengestrom_raw_59946013'!$F$5,"+#,##0;-#,##0"))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Resultatopgørelse &amp; nøgleoplysninger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1542000</v>
      </c>
      <c r="C2" s="17" t="n">
        <v>1774000</v>
      </c>
      <c r="D2" s="17" t="n">
        <v>2159000</v>
      </c>
      <c r="E2" s="17" t="n">
        <v>2351000</v>
      </c>
      <c r="F2" s="17" t="n">
        <v>2185000</v>
      </c>
    </row>
    <row r="3">
      <c r="A3" s="16" t="inlineStr">
        <is>
          <t>Produktionsomkostninger</t>
        </is>
      </c>
      <c r="B3" s="17" t="n">
        <v>937000</v>
      </c>
      <c r="C3" s="17" t="n">
        <v>1102000</v>
      </c>
      <c r="D3" s="17" t="n">
        <v>1375000</v>
      </c>
      <c r="E3" s="17" t="n">
        <v>1436000</v>
      </c>
      <c r="F3" s="17" t="n">
        <v>1237000</v>
      </c>
    </row>
    <row r="4">
      <c r="A4" s="15" t="inlineStr">
        <is>
          <t>Bruttoresultat</t>
        </is>
      </c>
      <c r="B4" s="17" t="n">
        <v>605000</v>
      </c>
      <c r="C4" s="17" t="n">
        <v>672000</v>
      </c>
      <c r="D4" s="17" t="n">
        <v>784000</v>
      </c>
      <c r="E4" s="17" t="n">
        <v>915000</v>
      </c>
      <c r="F4" s="17" t="n">
        <v>948000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397000</v>
      </c>
      <c r="C6" s="17" t="n"/>
      <c r="D6" s="17" t="n">
        <v>552000</v>
      </c>
      <c r="E6" s="17" t="n">
        <v>561000</v>
      </c>
      <c r="F6" s="17" t="n">
        <v>511000</v>
      </c>
    </row>
    <row r="7">
      <c r="A7" s="16" t="inlineStr">
        <is>
          <t>Administrationsomkostninger</t>
        </is>
      </c>
      <c r="B7" s="17" t="n">
        <v>120000</v>
      </c>
      <c r="C7" s="17" t="n">
        <v>121000</v>
      </c>
      <c r="D7" s="17" t="n">
        <v>121000</v>
      </c>
      <c r="E7" s="17" t="n">
        <v>165000</v>
      </c>
      <c r="F7" s="17" t="n">
        <v>160000</v>
      </c>
    </row>
    <row r="8">
      <c r="A8" s="16" t="inlineStr">
        <is>
          <t>Andre driftsindtægter</t>
        </is>
      </c>
      <c r="B8" s="17" t="n">
        <v>1000</v>
      </c>
      <c r="C8" s="17" t="n">
        <v>20000</v>
      </c>
      <c r="D8" s="17" t="n">
        <v>4000</v>
      </c>
      <c r="E8" s="17" t="n">
        <v>0</v>
      </c>
      <c r="F8" s="17" t="n"/>
    </row>
    <row r="9">
      <c r="A9" s="16" t="inlineStr">
        <is>
          <t>Andre driftsomkostninger</t>
        </is>
      </c>
      <c r="B9" s="17" t="n"/>
      <c r="C9" s="17" t="n">
        <v>0</v>
      </c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89000</v>
      </c>
      <c r="C10" s="17" t="n">
        <v>112000</v>
      </c>
      <c r="D10" s="17" t="n">
        <v>114000</v>
      </c>
      <c r="E10" s="17" t="n">
        <v>189000</v>
      </c>
      <c r="F10" s="17" t="n">
        <v>277000</v>
      </c>
    </row>
    <row r="11">
      <c r="A11" s="16" t="inlineStr">
        <is>
          <t>Indtægter af kapitalandele, dattervirksomheder</t>
        </is>
      </c>
      <c r="B11" s="17" t="n">
        <v>0</v>
      </c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/>
      <c r="C12" s="17" t="n">
        <v>4000</v>
      </c>
      <c r="D12" s="17" t="n">
        <v>12000</v>
      </c>
      <c r="E12" s="17" t="n">
        <v>14000</v>
      </c>
      <c r="F12" s="17" t="n">
        <v>39000</v>
      </c>
    </row>
    <row r="13">
      <c r="A13" s="16" t="inlineStr">
        <is>
          <t>Finansielle omkostninger</t>
        </is>
      </c>
      <c r="B13" s="17" t="n">
        <v>25000</v>
      </c>
      <c r="C13" s="17" t="n">
        <v>21000</v>
      </c>
      <c r="D13" s="17" t="n">
        <v>70000</v>
      </c>
      <c r="E13" s="17" t="n">
        <v>121000</v>
      </c>
      <c r="F13" s="17" t="n">
        <v>96000</v>
      </c>
    </row>
    <row r="14">
      <c r="A14" s="15" t="inlineStr">
        <is>
          <t>Finansielle poster, netto</t>
        </is>
      </c>
      <c r="B14" s="17" t="n">
        <v>-25000</v>
      </c>
      <c r="C14" s="17" t="n">
        <v>-17000</v>
      </c>
      <c r="D14" s="17" t="n">
        <v>-58000</v>
      </c>
      <c r="E14" s="17" t="n">
        <v>-107000</v>
      </c>
      <c r="F14" s="17" t="n">
        <v>-57000</v>
      </c>
    </row>
    <row r="15">
      <c r="A15" s="15" t="inlineStr">
        <is>
          <t>Resultat før skat</t>
        </is>
      </c>
      <c r="B15" s="17" t="n">
        <v>64000</v>
      </c>
      <c r="C15" s="17" t="n">
        <v>95000</v>
      </c>
      <c r="D15" s="17" t="n">
        <v>56000</v>
      </c>
      <c r="E15" s="17" t="n">
        <v>82000</v>
      </c>
      <c r="F15" s="17" t="n">
        <v>220000</v>
      </c>
    </row>
    <row r="16">
      <c r="A16" s="16" t="inlineStr">
        <is>
          <t>Skat af årets resultat</t>
        </is>
      </c>
      <c r="B16" s="17" t="n">
        <v>21000</v>
      </c>
      <c r="C16" s="17" t="n">
        <v>29000</v>
      </c>
      <c r="D16" s="17" t="n">
        <v>19000</v>
      </c>
      <c r="E16" s="17" t="n">
        <v>21000</v>
      </c>
      <c r="F16" s="17" t="n">
        <v>50000</v>
      </c>
    </row>
    <row r="17">
      <c r="A17" s="15" t="inlineStr">
        <is>
          <t>Årets resultat</t>
        </is>
      </c>
      <c r="B17" s="17" t="n">
        <v>43000</v>
      </c>
      <c r="C17" s="17" t="n">
        <v>66000</v>
      </c>
      <c r="D17" s="17" t="n">
        <v>37000</v>
      </c>
      <c r="E17" s="17" t="n">
        <v>61000</v>
      </c>
      <c r="F17" s="17" t="n">
        <v>170000</v>
      </c>
    </row>
    <row r="18">
      <c r="A18" s="16" t="inlineStr">
        <is>
          <t>Gns. antal medarbejdere</t>
        </is>
      </c>
      <c r="B18" s="17" t="n">
        <v>6</v>
      </c>
      <c r="C18" s="17" t="n">
        <v>6746</v>
      </c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62000</v>
      </c>
      <c r="C19" s="17" t="n">
        <v>86000</v>
      </c>
      <c r="D19" s="17" t="n">
        <v>84000</v>
      </c>
      <c r="E19" s="17" t="n">
        <v>71000</v>
      </c>
      <c r="F19" s="17" t="n">
        <v>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Balance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4000</v>
      </c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56000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142000</v>
      </c>
      <c r="C5" s="17" t="n">
        <v>767000</v>
      </c>
      <c r="D5" s="17" t="n">
        <v>765000</v>
      </c>
      <c r="E5" s="17" t="n">
        <v>761000</v>
      </c>
      <c r="F5" s="17" t="n">
        <v>793000</v>
      </c>
    </row>
    <row r="6">
      <c r="A6" s="16" t="inlineStr">
        <is>
          <t>Grunde og bygninger</t>
        </is>
      </c>
      <c r="B6" s="17" t="n">
        <v>154000</v>
      </c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81000</v>
      </c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29000</v>
      </c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74000</v>
      </c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338000</v>
      </c>
      <c r="C11" s="17" t="n">
        <v>477000</v>
      </c>
      <c r="D11" s="17" t="n">
        <v>511000</v>
      </c>
      <c r="E11" s="17" t="n">
        <v>492000</v>
      </c>
      <c r="F11" s="17" t="n">
        <v>480000</v>
      </c>
    </row>
    <row r="12">
      <c r="A12" s="16" t="inlineStr">
        <is>
          <t>Kapitalandele, dattervirksomheder</t>
        </is>
      </c>
      <c r="B12" s="17" t="n">
        <v>0</v>
      </c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4000</v>
      </c>
      <c r="C13" s="17" t="n">
        <v>11000</v>
      </c>
      <c r="D13" s="17" t="n">
        <v>13000</v>
      </c>
      <c r="E13" s="17" t="n">
        <v>13000</v>
      </c>
      <c r="F13" s="17" t="n">
        <v>9000</v>
      </c>
    </row>
    <row r="14">
      <c r="A14" s="15" t="inlineStr">
        <is>
          <t>Finansielle anlægsaktiver</t>
        </is>
      </c>
      <c r="B14" s="17" t="n">
        <v>51000</v>
      </c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531000</v>
      </c>
      <c r="C15" s="17" t="n">
        <v>1516000</v>
      </c>
      <c r="D15" s="17" t="n">
        <v>1544000</v>
      </c>
      <c r="E15" s="17" t="n">
        <v>1514000</v>
      </c>
      <c r="F15" s="17" t="n">
        <v>1530000</v>
      </c>
    </row>
    <row r="16">
      <c r="A16" s="15" t="inlineStr">
        <is>
          <t>Varebeholdninger</t>
        </is>
      </c>
      <c r="B16" s="17" t="n">
        <v>220000</v>
      </c>
      <c r="C16" s="17" t="n">
        <v>334000</v>
      </c>
      <c r="D16" s="17" t="n">
        <v>343000</v>
      </c>
      <c r="E16" s="17" t="n">
        <v>332000</v>
      </c>
      <c r="F16" s="17" t="n">
        <v>336000</v>
      </c>
    </row>
    <row r="17">
      <c r="A17" s="16" t="inlineStr">
        <is>
          <t>Tilgodehavender fra salg og tjenesteydelser</t>
        </is>
      </c>
      <c r="B17" s="17" t="n">
        <v>335000</v>
      </c>
      <c r="C17" s="17" t="n">
        <v>397000</v>
      </c>
      <c r="D17" s="17" t="n">
        <v>476000</v>
      </c>
      <c r="E17" s="17" t="n">
        <v>505000</v>
      </c>
      <c r="F17" s="17" t="n">
        <v>450000</v>
      </c>
    </row>
    <row r="18">
      <c r="A18" s="16" t="inlineStr">
        <is>
          <t>Tilgodehavender hos tilknyttede virksomheder</t>
        </is>
      </c>
      <c r="B18" s="17" t="n">
        <v>0</v>
      </c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41000</v>
      </c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15000</v>
      </c>
      <c r="C20" s="17" t="n">
        <v>21000</v>
      </c>
      <c r="D20" s="17" t="n">
        <v>17000</v>
      </c>
      <c r="E20" s="17" t="n">
        <v>18000</v>
      </c>
      <c r="F20" s="17" t="n">
        <v>20000</v>
      </c>
    </row>
    <row r="21">
      <c r="A21" s="16" t="inlineStr">
        <is>
          <t>Udskudt skatteaktiv</t>
        </is>
      </c>
      <c r="B21" s="17" t="n">
        <v>47000</v>
      </c>
      <c r="C21" s="17" t="n">
        <v>89000</v>
      </c>
      <c r="D21" s="17" t="n">
        <v>94000</v>
      </c>
      <c r="E21" s="17" t="n">
        <v>112000</v>
      </c>
      <c r="F21" s="17" t="n">
        <v>122000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3000</v>
      </c>
      <c r="C23" s="17" t="n">
        <v>4000</v>
      </c>
      <c r="D23" s="17" t="n">
        <v>4000</v>
      </c>
      <c r="E23" s="17" t="n">
        <v>18000</v>
      </c>
      <c r="F23" s="17" t="n">
        <v>22000</v>
      </c>
    </row>
    <row r="24">
      <c r="A24" s="15" t="inlineStr">
        <is>
          <t>Tilgodehavender</t>
        </is>
      </c>
      <c r="B24" s="17" t="n">
        <v>394000</v>
      </c>
      <c r="C24" s="17" t="n">
        <v>48000</v>
      </c>
      <c r="D24" s="17" t="n">
        <v>70000</v>
      </c>
      <c r="E24" s="17" t="n">
        <v>71000</v>
      </c>
      <c r="F24" s="17" t="n">
        <v>63000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265000</v>
      </c>
      <c r="C26" s="17" t="n">
        <v>176000</v>
      </c>
      <c r="D26" s="17" t="n">
        <v>180000</v>
      </c>
      <c r="E26" s="17" t="n">
        <v>209000</v>
      </c>
      <c r="F26" s="17" t="n">
        <v>210000</v>
      </c>
    </row>
    <row r="27">
      <c r="A27" s="15" t="inlineStr">
        <is>
          <t>Omsætningsaktiver</t>
        </is>
      </c>
      <c r="B27" s="17" t="n">
        <v>879000</v>
      </c>
      <c r="C27" s="17" t="n">
        <v>980000</v>
      </c>
      <c r="D27" s="17" t="n">
        <v>1111000</v>
      </c>
      <c r="E27" s="17" t="n">
        <v>1153000</v>
      </c>
      <c r="F27" s="17" t="n">
        <v>1101000</v>
      </c>
    </row>
    <row r="28">
      <c r="A28" s="15" t="inlineStr">
        <is>
          <t>Aktiver</t>
        </is>
      </c>
      <c r="B28" s="17" t="n">
        <v>1410000</v>
      </c>
      <c r="C28" s="17" t="n">
        <v>2496000</v>
      </c>
      <c r="D28" s="17" t="n">
        <v>2655000</v>
      </c>
      <c r="E28" s="17" t="n">
        <v>2667000</v>
      </c>
      <c r="F28" s="17" t="n">
        <v>2631000</v>
      </c>
    </row>
    <row r="29">
      <c r="A29" s="16" t="inlineStr">
        <is>
          <t>Selskabskapital</t>
        </is>
      </c>
      <c r="B29" s="17" t="n">
        <v>15000</v>
      </c>
      <c r="C29" s="17" t="n">
        <v>15000</v>
      </c>
      <c r="D29" s="17" t="n">
        <v>15000</v>
      </c>
      <c r="E29" s="17" t="n">
        <v>15000</v>
      </c>
      <c r="F29" s="17" t="n">
        <v>19000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>
        <v>0</v>
      </c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-33000</v>
      </c>
      <c r="C33" s="17" t="n"/>
      <c r="D33" s="17" t="n">
        <v>0</v>
      </c>
      <c r="E33" s="17" t="n">
        <v>-4000</v>
      </c>
      <c r="F33" s="17" t="n">
        <v>590000</v>
      </c>
    </row>
    <row r="34">
      <c r="A34" s="16" t="inlineStr">
        <is>
          <t>Overført resultat</t>
        </is>
      </c>
      <c r="B34" s="17" t="n">
        <v>436000</v>
      </c>
      <c r="C34" s="17" t="n">
        <v>482000</v>
      </c>
      <c r="D34" s="17" t="n">
        <v>529000</v>
      </c>
      <c r="E34" s="17" t="n">
        <v>490000</v>
      </c>
      <c r="F34" s="17" t="n">
        <v>417000</v>
      </c>
    </row>
    <row r="35">
      <c r="A35" s="15" t="inlineStr">
        <is>
          <t>Egenkapital i alt</t>
        </is>
      </c>
      <c r="B35" s="17" t="n">
        <v>486000</v>
      </c>
      <c r="C35" s="17" t="n">
        <v>529000</v>
      </c>
      <c r="D35" s="17" t="n">
        <v>519000</v>
      </c>
      <c r="E35" s="17" t="n">
        <v>502000</v>
      </c>
      <c r="F35" s="17" t="n">
        <v>1058000</v>
      </c>
    </row>
    <row r="36">
      <c r="A36" s="16" t="inlineStr">
        <is>
          <t>Hensættelse til udskudt skat</t>
        </is>
      </c>
      <c r="B36" s="17" t="n">
        <v>48000</v>
      </c>
      <c r="C36" s="17" t="n">
        <v>131000</v>
      </c>
      <c r="D36" s="17" t="n">
        <v>99000</v>
      </c>
      <c r="E36" s="17" t="n">
        <v>77000</v>
      </c>
      <c r="F36" s="17" t="n">
        <v>70000</v>
      </c>
    </row>
    <row r="37">
      <c r="A37" s="15" t="inlineStr">
        <is>
          <t>Hensatte forpligtelser</t>
        </is>
      </c>
      <c r="B37" s="17" t="n">
        <v>121000</v>
      </c>
      <c r="C37" s="17" t="n">
        <v>41000</v>
      </c>
      <c r="D37" s="17" t="n">
        <v>36000</v>
      </c>
      <c r="E37" s="17" t="n">
        <v>36000</v>
      </c>
      <c r="F37" s="17" t="n">
        <v>55000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190000</v>
      </c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>
        <v>138000</v>
      </c>
      <c r="D40" s="17" t="n">
        <v>129000</v>
      </c>
      <c r="E40" s="17" t="n">
        <v>105000</v>
      </c>
      <c r="F40" s="17" t="n">
        <v>95000</v>
      </c>
    </row>
    <row r="41">
      <c r="A41" s="16" t="inlineStr">
        <is>
          <t>Anden gæld (langfristet)</t>
        </is>
      </c>
      <c r="B41" s="17" t="n">
        <v>2000</v>
      </c>
      <c r="C41" s="17" t="n">
        <v>0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192000</v>
      </c>
      <c r="C42" s="17" t="n">
        <v>770000</v>
      </c>
      <c r="D42" s="17" t="n">
        <v>901000</v>
      </c>
      <c r="E42" s="17" t="n">
        <v>1034000</v>
      </c>
      <c r="F42" s="17" t="n">
        <v>548000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9000</v>
      </c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40000</v>
      </c>
      <c r="C45" s="17" t="n">
        <v>67000</v>
      </c>
      <c r="D45" s="17" t="n">
        <v>100000</v>
      </c>
      <c r="E45" s="17" t="n">
        <v>53000</v>
      </c>
      <c r="F45" s="17" t="n">
        <v>75000</v>
      </c>
    </row>
    <row r="46">
      <c r="A46" s="16" t="inlineStr">
        <is>
          <t>Leasingforpligtelser (kortfristet)</t>
        </is>
      </c>
      <c r="B46" s="17" t="n"/>
      <c r="C46" s="17" t="n">
        <v>38000</v>
      </c>
      <c r="D46" s="17" t="n">
        <v>36000</v>
      </c>
      <c r="E46" s="17" t="n">
        <v>35000</v>
      </c>
      <c r="F46" s="17" t="n">
        <v>34000</v>
      </c>
    </row>
    <row r="47">
      <c r="A47" s="16" t="inlineStr">
        <is>
          <t>Leverandører af varer og tjenesteydelser</t>
        </is>
      </c>
      <c r="B47" s="17" t="n">
        <v>261000</v>
      </c>
      <c r="C47" s="17" t="n">
        <v>344000</v>
      </c>
      <c r="D47" s="17" t="n">
        <v>355000</v>
      </c>
      <c r="E47" s="17" t="n">
        <v>332000</v>
      </c>
      <c r="F47" s="17" t="n">
        <v>317000</v>
      </c>
    </row>
    <row r="48">
      <c r="A48" s="16" t="inlineStr">
        <is>
          <t>Gæld til tilknyttede virksomheder</t>
        </is>
      </c>
      <c r="B48" s="17" t="n">
        <v>48000</v>
      </c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9000</v>
      </c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238000</v>
      </c>
      <c r="C52" s="17" t="n">
        <v>283000</v>
      </c>
      <c r="D52" s="17" t="n">
        <v>320000</v>
      </c>
      <c r="E52" s="17" t="n">
        <v>301000</v>
      </c>
      <c r="F52" s="17" t="n">
        <v>223000</v>
      </c>
    </row>
    <row r="53">
      <c r="A53" s="16" t="inlineStr">
        <is>
          <t>Periodeafgrænsningsposter (passiver)</t>
        </is>
      </c>
      <c r="B53" s="17" t="n">
        <v>6000</v>
      </c>
      <c r="C53" s="17" t="n"/>
      <c r="D53" s="17" t="n">
        <v>7000</v>
      </c>
      <c r="E53" s="17" t="n">
        <v>8000</v>
      </c>
      <c r="F53" s="17" t="n">
        <v>7000</v>
      </c>
    </row>
    <row r="54">
      <c r="A54" s="15" t="inlineStr">
        <is>
          <t>Kortfristede gældsforpligtelser</t>
        </is>
      </c>
      <c r="B54" s="17" t="n">
        <v>611000</v>
      </c>
      <c r="C54" s="17" t="n">
        <v>825000</v>
      </c>
      <c r="D54" s="17" t="n">
        <v>927000</v>
      </c>
      <c r="E54" s="17" t="n">
        <v>837000</v>
      </c>
      <c r="F54" s="17" t="n">
        <v>716000</v>
      </c>
    </row>
    <row r="55">
      <c r="A55" s="15" t="inlineStr">
        <is>
          <t>Gældsforpligtelser</t>
        </is>
      </c>
      <c r="B55" s="17" t="n">
        <v>924000</v>
      </c>
      <c r="C55" s="17" t="n">
        <v>1926000</v>
      </c>
      <c r="D55" s="17" t="n">
        <v>2108000</v>
      </c>
      <c r="E55" s="17" t="n">
        <v>2108000</v>
      </c>
      <c r="F55" s="17" t="n">
        <v>1506000</v>
      </c>
    </row>
    <row r="56">
      <c r="A56" s="15" t="inlineStr">
        <is>
          <t>Passiver</t>
        </is>
      </c>
      <c r="B56" s="17" t="n">
        <v>1410000</v>
      </c>
      <c r="C56" s="17" t="n">
        <v>2496000</v>
      </c>
      <c r="D56" s="17" t="n">
        <v>2655000</v>
      </c>
      <c r="E56" s="17" t="n">
        <v>2667000</v>
      </c>
      <c r="F56" s="17" t="n">
        <v>2631000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Pengestrømsopgørelse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171000</v>
      </c>
      <c r="C2" s="17" t="n">
        <v>72000</v>
      </c>
      <c r="D2" s="17" t="n">
        <v>72000</v>
      </c>
      <c r="E2" s="17" t="n">
        <v>127000</v>
      </c>
      <c r="F2" s="17" t="n">
        <v>225000</v>
      </c>
    </row>
    <row r="3">
      <c r="A3" s="16" t="inlineStr">
        <is>
          <t>Pengestrømme fra investeringsaktivitet</t>
        </is>
      </c>
      <c r="B3" s="17" t="n">
        <v>-65000</v>
      </c>
      <c r="C3" s="17" t="n">
        <v>-601000</v>
      </c>
      <c r="D3" s="17" t="n">
        <v>-136000</v>
      </c>
      <c r="E3" s="17" t="n">
        <v>-98000</v>
      </c>
      <c r="F3" s="17" t="n">
        <v>-86000</v>
      </c>
    </row>
    <row r="4">
      <c r="A4" s="16" t="inlineStr">
        <is>
          <t>Pengestrømme fra finansieringsaktivitet</t>
        </is>
      </c>
      <c r="B4" s="17" t="n">
        <v>53000</v>
      </c>
      <c r="C4" s="17" t="n">
        <v>435000</v>
      </c>
      <c r="D4" s="17" t="n">
        <v>79000</v>
      </c>
      <c r="E4" s="17" t="n">
        <v>12000</v>
      </c>
      <c r="F4" s="17" t="n">
        <v>-135000</v>
      </c>
    </row>
    <row r="5">
      <c r="A5" s="16" t="inlineStr">
        <is>
          <t>Årets pengestrøm</t>
        </is>
      </c>
      <c r="B5" s="17" t="n"/>
      <c r="C5" s="17" t="n">
        <v>-94000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Hempel A/S (CVR 59946013) — Regnskabs- og nøgletal (CVR: 59946013)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'res_raw_59946013'!$F$2</f>
        <v/>
      </c>
      <c r="C5" s="24">
        <f>'res_raw_59946013'!$E$2</f>
        <v/>
      </c>
      <c r="D5" s="24">
        <f>'res_raw_59946013'!$D$2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-'res_raw_59946013'!$F$3</f>
        <v/>
      </c>
      <c r="C6" s="24">
        <f>-'res_raw_59946013'!$E$3</f>
        <v/>
      </c>
      <c r="D6" s="24">
        <f>-'res_raw_59946013'!$D$3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IF(ABS((SUM(B5:B6))-'res_raw_59946013'!$F$4)&lt;=2,SUM(B5:B6),'res_raw_59946013'!$F$4)</f>
        <v/>
      </c>
      <c r="C7" s="27">
        <f>IF(ABS((SUM(C5:C6))-'res_raw_59946013'!$E$4)&lt;=2,SUM(C5:C6),'res_raw_59946013'!$E$4)</f>
        <v/>
      </c>
      <c r="D7" s="27">
        <f>IF(ABS((SUM(D5:D6))-'res_raw_59946013'!$D$4)&lt;=2,SUM(D5:D6),'res_raw_59946013'!$D$4)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-'res_raw_59946013'!$F$5</f>
        <v/>
      </c>
      <c r="C8" s="24">
        <f>-'res_raw_59946013'!$E$5</f>
        <v/>
      </c>
      <c r="D8" s="24">
        <f>-'res_raw_59946013'!$D$5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-'res_raw_59946013'!$F$6</f>
        <v/>
      </c>
      <c r="C9" s="24">
        <f>-'res_raw_59946013'!$E$6</f>
        <v/>
      </c>
      <c r="D9" s="24">
        <f>-'res_raw_59946013'!$D$6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-'res_raw_59946013'!$F$7</f>
        <v/>
      </c>
      <c r="C10" s="24">
        <f>-'res_raw_59946013'!$E$7</f>
        <v/>
      </c>
      <c r="D10" s="24">
        <f>-'res_raw_59946013'!$D$7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'res_raw_59946013'!$F$8</f>
        <v/>
      </c>
      <c r="C11" s="24">
        <f>'res_raw_59946013'!$E$8</f>
        <v/>
      </c>
      <c r="D11" s="24">
        <f>'res_raw_59946013'!$D$8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-'res_raw_59946013'!$F$9</f>
        <v/>
      </c>
      <c r="C12" s="27">
        <f>-'res_raw_59946013'!$E$9</f>
        <v/>
      </c>
      <c r="D12" s="27">
        <f>-'res_raw_59946013'!$D$9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IF(ABS((SUM(B7:B12))-'res_raw_59946013'!$F$10)&lt;=2,SUM(B7:B12),'res_raw_59946013'!$F$10)</f>
        <v/>
      </c>
      <c r="C13" s="30">
        <f>IF(ABS((SUM(C7:C12))-'res_raw_59946013'!$E$10)&lt;=2,SUM(C7:C12),'res_raw_59946013'!$E$10)</f>
        <v/>
      </c>
      <c r="D13" s="30">
        <f>IF(ABS((SUM(D7:D12))-'res_raw_59946013'!$D$10)&lt;=2,SUM(D7:D12),'res_raw_59946013'!$D$10)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N('res_raw_59946013'!$F$11)+N('res_raw_59946013'!$F$12)</f>
        <v/>
      </c>
      <c r="C14" s="24">
        <f>N('res_raw_59946013'!$E$11)+N('res_raw_59946013'!$E$12)</f>
        <v/>
      </c>
      <c r="D14" s="24">
        <f>N('res_raw_59946013'!$D$11)+N('res_raw_59946013'!$D$12)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-'res_raw_59946013'!$F$13</f>
        <v/>
      </c>
      <c r="C15" s="27">
        <f>-'res_raw_59946013'!$E$13</f>
        <v/>
      </c>
      <c r="D15" s="27">
        <f>-'res_raw_59946013'!$D$13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IF(ABS((SUM(B13:B15))-'res_raw_59946013'!$F$15)&lt;=2,SUM(B13:B15),'res_raw_59946013'!$F$15)</f>
        <v/>
      </c>
      <c r="C16" s="30">
        <f>IF(ABS((SUM(C13:C15))-'res_raw_59946013'!$E$15)&lt;=2,SUM(C13:C15),'res_raw_59946013'!$E$15)</f>
        <v/>
      </c>
      <c r="D16" s="30">
        <f>IF(ABS((SUM(D13:D15))-'res_raw_59946013'!$D$15)&lt;=2,SUM(D13:D15),'res_raw_59946013'!$D$15)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'balance_raw_59946013'!$F$15</f>
        <v/>
      </c>
      <c r="C19" s="24">
        <f>'balance_raw_59946013'!$E$15</f>
        <v/>
      </c>
      <c r="D19" s="24">
        <f>'balance_raw_59946013'!$D$15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'balance_raw_59946013'!$F$27</f>
        <v/>
      </c>
      <c r="C20" s="24">
        <f>'balance_raw_59946013'!$E$27</f>
        <v/>
      </c>
      <c r="D20" s="24">
        <f>'balance_raw_59946013'!$D$27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'balance_raw_59946013'!$F$35</f>
        <v/>
      </c>
      <c r="C23" s="24">
        <f>'balance_raw_59946013'!$E$35</f>
        <v/>
      </c>
      <c r="D23" s="24">
        <f>'balance_raw_59946013'!$D$35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'balance_raw_59946013'!$F$56-'balance_raw_59946013'!$F$35</f>
        <v/>
      </c>
      <c r="C24" s="24">
        <f>'balance_raw_59946013'!$E$56-'balance_raw_59946013'!$E$35</f>
        <v/>
      </c>
      <c r="D24" s="24">
        <f>'balance_raw_59946013'!$D$56-'balance_raw_59946013'!$D$35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'balance_raw_59946013'!$F$16</f>
        <v/>
      </c>
      <c r="C28" s="24">
        <f>'balance_raw_59946013'!$E$16</f>
        <v/>
      </c>
      <c r="D28" s="24">
        <f>'balance_raw_59946013'!$D$16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'balance_raw_59946013'!$F$17</f>
        <v/>
      </c>
      <c r="C29" s="24">
        <f>'balance_raw_59946013'!$E$17</f>
        <v/>
      </c>
      <c r="D29" s="24">
        <f>'balance_raw_59946013'!$D$17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'balance_raw_59946013'!$F$54</f>
        <v/>
      </c>
      <c r="C30" s="24">
        <f>'balance_raw_59946013'!$E$54</f>
        <v/>
      </c>
      <c r="D30" s="24">
        <f>'balance_raw_59946013'!$D$54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(2022=100)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2022-2024.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IF('balance_raw_59946013'!$F$28="","—",IF(ABS(B21-'balance_raw_59946013'!$F$28)&lt;=1,"✓ OK","❌ "&amp;TEXT(B21-'balance_raw_59946013'!$F$28,"+#,##0;-#,##0")&amp;" t.EUR"))</f>
        <v/>
      </c>
      <c r="C62" s="31">
        <f>IF('balance_raw_59946013'!$E$28="","—",IF(ABS(C21-'balance_raw_59946013'!$E$28)&lt;=1,"✓ OK","❌ "&amp;TEXT(C21-'balance_raw_59946013'!$E$28,"+#,##0;-#,##0")&amp;" t.EUR"))</f>
        <v/>
      </c>
      <c r="D62" s="31">
        <f>IF('balance_raw_59946013'!$D$28="","—",IF(ABS(D21-'balance_raw_59946013'!$D$28)&lt;=1,"✓ OK","❌ "&amp;TEXT(D21-'balance_raw_59946013'!$D$28,"+#,##0;-#,##0")&amp;" t.EUR"))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IF('balance_raw_59946013'!$F$56="","—",IF(ABS(B25-'balance_raw_59946013'!$F$56)&lt;=1,"✓ OK","❌ "&amp;TEXT(B25-'balance_raw_59946013'!$F$56,"+#,##0;-#,##0")&amp;" t.EUR"))</f>
        <v/>
      </c>
      <c r="C63" s="31">
        <f>IF('balance_raw_59946013'!$E$56="","—",IF(ABS(C25-'balance_raw_59946013'!$E$56)&lt;=1,"✓ OK","❌ "&amp;TEXT(C25-'balance_raw_59946013'!$E$56,"+#,##0;-#,##0")&amp;" t.EUR"))</f>
        <v/>
      </c>
      <c r="D63" s="31">
        <f>IF('balance_raw_59946013'!$D$56="","—",IF(ABS(D25-'balance_raw_59946013'!$D$56)&lt;=1,"✓ OK","❌ "&amp;TEXT(D25-'balance_raw_59946013'!$D$56,"+#,##0;-#,##0")&amp;" t.EUR"))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t.EUR")</f>
        <v/>
      </c>
      <c r="C64" s="31">
        <f>IF(ABS(C21-C25)&lt;=1,"✓ OK","❌ "&amp;TEXT(C21-C25,"+#,##0;-#,##0")&amp;" t.EUR")</f>
        <v/>
      </c>
      <c r="D64" s="31">
        <f>IF(ABS(D21-D25)&lt;=1,"✓ OK","❌ "&amp;TEXT(D21-D25,"+#,##0;-#,##0")&amp;" t.EUR")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IF('res_raw_59946013'!$F$4="","—",IF(ABS(B7-'res_raw_59946013'!$F$4)&lt;=1,"✓ OK","❌ "&amp;TEXT(B7-'res_raw_59946013'!$F$4,"+#,##0;-#,##0")&amp;" t.EUR"))</f>
        <v/>
      </c>
      <c r="C65" s="31">
        <f>IF('res_raw_59946013'!$E$4="","—",IF(ABS(C7-'res_raw_59946013'!$E$4)&lt;=1,"✓ OK","❌ "&amp;TEXT(C7-'res_raw_59946013'!$E$4,"+#,##0;-#,##0")&amp;" t.EUR"))</f>
        <v/>
      </c>
      <c r="D65" s="31">
        <f>IF('res_raw_59946013'!$D$4="","—",IF(ABS(D7-'res_raw_59946013'!$D$4)&lt;=1,"✓ OK","❌ "&amp;TEXT(D7-'res_raw_59946013'!$D$4,"+#,##0;-#,##0")&amp;" t.EUR"))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IF('res_raw_59946013'!$F$10="","—",IF(ABS(B13-'res_raw_59946013'!$F$10)&lt;=1,"✓ OK","❌ "&amp;TEXT(B13-'res_raw_59946013'!$F$10,"+#,##0;-#,##0")&amp;" t.EUR"))</f>
        <v/>
      </c>
      <c r="C66" s="31">
        <f>IF('res_raw_59946013'!$E$10="","—",IF(ABS(C13-'res_raw_59946013'!$E$10)&lt;=1,"✓ OK","❌ "&amp;TEXT(C13-'res_raw_59946013'!$E$10,"+#,##0;-#,##0")&amp;" t.EUR"))</f>
        <v/>
      </c>
      <c r="D66" s="31">
        <f>IF('res_raw_59946013'!$D$10="","—",IF(ABS(D13-'res_raw_59946013'!$D$10)&lt;=1,"✓ OK","❌ "&amp;TEXT(D13-'res_raw_59946013'!$D$10,"+#,##0;-#,##0")&amp;" t.EUR"))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IF('res_raw_59946013'!$F$15="","—",IF(ABS(B16-'res_raw_59946013'!$F$15)&lt;=1,"✓ OK","❌ "&amp;TEXT(B16-'res_raw_59946013'!$F$15,"+#,##0;-#,##0")&amp;" t.EUR"))</f>
        <v/>
      </c>
      <c r="C67" s="31">
        <f>IF('res_raw_59946013'!$E$15="","—",IF(ABS(C16-'res_raw_59946013'!$E$15)&lt;=1,"✓ OK","❌ "&amp;TEXT(C16-'res_raw_59946013'!$E$15,"+#,##0;-#,##0")&amp;" t.EUR"))</f>
        <v/>
      </c>
      <c r="D67" s="31">
        <f>IF('res_raw_59946013'!$D$15="","—",IF(ABS(D16-'res_raw_59946013'!$D$15)&lt;=1,"✓ OK","❌ "&amp;TEXT(D16-'res_raw_59946013'!$D$15,"+#,##0;-#,##0")&amp;" t.EUR"))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Hempel A/S (CVR 59946013)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fsa:AcquisitionOfOtherCompany</t>
        </is>
      </c>
      <c r="C3" s="36" t="inlineStr">
        <is>
          <t>fsa:AcquisitionOfOtherCompany</t>
        </is>
      </c>
      <c r="D3" s="37" t="n">
        <v>0</v>
      </c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ifrs-full:ReserveOfExchangeDifferencesOnTranslation</t>
        </is>
      </c>
      <c r="C4" s="39" t="inlineStr">
        <is>
          <t>ifrs-full:ReserveOfExchangeDifferencesOnTranslation</t>
        </is>
      </c>
      <c r="D4" s="40" t="n"/>
      <c r="E4" s="40" t="n"/>
      <c r="F4" s="40" t="n">
        <v>-25000</v>
      </c>
      <c r="G4" s="40" t="n">
        <v>-24000</v>
      </c>
      <c r="H4" s="40" t="n">
        <v>28000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ifrs-full:WarrantReserve</t>
        </is>
      </c>
      <c r="C5" s="36" t="inlineStr">
        <is>
          <t>ifrs-full:WarrantReserve</t>
        </is>
      </c>
      <c r="D5" s="37" t="n"/>
      <c r="E5" s="37" t="n"/>
      <c r="F5" s="37" t="n"/>
      <c r="G5" s="37" t="n"/>
      <c r="H5" s="37" t="n">
        <v>6000</v>
      </c>
      <c r="I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2026-10-02T21:56:52Z</dcterms:created>
  <dcterms:modified xmlns:dcterms="http://purl.org/dc/terms/" xmlns:xsi="http://www.w3.org/2001/XMLSchema-instance" xsi:type="dcterms:W3CDTF">2026-10-02T21:56:53Z</dcterms:modified>
</cp:coreProperties>
</file>