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121264" sheetId="1" state="visible" r:id="rId1"/>
    <sheet xmlns:r="http://schemas.openxmlformats.org/officeDocument/2006/relationships" name="res_raw_26121264" sheetId="2" state="visible" r:id="rId2"/>
    <sheet xmlns:r="http://schemas.openxmlformats.org/officeDocument/2006/relationships" name="balance_raw_26121264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Danish Crown A/S (CVR 26121264) — Regnskabsanalyse – Resultatopgørelse &amp; Balance (t.kr.) · Klasse C-stor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'res_raw_26121264'!$B$2</f>
        <v/>
      </c>
      <c r="C4" s="5">
        <f>'res_raw_26121264'!$C$2</f>
        <v/>
      </c>
      <c r="D4" s="5">
        <f>'res_raw_26121264'!$D$2</f>
        <v/>
      </c>
      <c r="E4" s="5">
        <f>'res_raw_26121264'!$E$2</f>
        <v/>
      </c>
      <c r="F4" s="5">
        <f>'res_raw_26121264'!$F$2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'res_raw_26121264'!$B$3</f>
        <v/>
      </c>
      <c r="C5" s="8">
        <f>'res_raw_26121264'!$C$3</f>
        <v/>
      </c>
      <c r="D5" s="8">
        <f>'res_raw_26121264'!$D$3</f>
        <v/>
      </c>
      <c r="E5" s="8">
        <f>'res_raw_26121264'!$E$3</f>
        <v/>
      </c>
      <c r="F5" s="8">
        <f>'res_raw_26121264'!$F$3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'res_raw_26121264'!$B$4</f>
        <v/>
      </c>
      <c r="C6" s="8">
        <f>'res_raw_26121264'!$C$4</f>
        <v/>
      </c>
      <c r="D6" s="8">
        <f>'res_raw_26121264'!$D$4</f>
        <v/>
      </c>
      <c r="E6" s="8">
        <f>'res_raw_26121264'!$E$4</f>
        <v/>
      </c>
      <c r="F6" s="8">
        <f>'res_raw_26121264'!$F$4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'res_raw_26121264'!$B$5</f>
        <v/>
      </c>
      <c r="C7" s="11">
        <f>'res_raw_26121264'!$C$5</f>
        <v/>
      </c>
      <c r="D7" s="11">
        <f>'res_raw_26121264'!$D$5</f>
        <v/>
      </c>
      <c r="E7" s="11">
        <f>'res_raw_26121264'!$E$5</f>
        <v/>
      </c>
      <c r="F7" s="11">
        <f>'res_raw_26121264'!$F$5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'res_raw_26121264'!$B$6</f>
        <v/>
      </c>
      <c r="C8" s="8">
        <f>'res_raw_26121264'!$C$6</f>
        <v/>
      </c>
      <c r="D8" s="8">
        <f>'res_raw_26121264'!$D$6</f>
        <v/>
      </c>
      <c r="E8" s="8">
        <f>'res_raw_26121264'!$E$6</f>
        <v/>
      </c>
      <c r="F8" s="8">
        <f>'res_raw_26121264'!$F$6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'res_raw_26121264'!$B$7</f>
        <v/>
      </c>
      <c r="C9" s="8">
        <f>'res_raw_26121264'!$C$7</f>
        <v/>
      </c>
      <c r="D9" s="8">
        <f>'res_raw_26121264'!$D$7</f>
        <v/>
      </c>
      <c r="E9" s="8">
        <f>'res_raw_26121264'!$E$7</f>
        <v/>
      </c>
      <c r="F9" s="8">
        <f>'res_raw_26121264'!$F$7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'res_raw_26121264'!$B$8</f>
        <v/>
      </c>
      <c r="C10" s="5">
        <f>'res_raw_26121264'!$C$8</f>
        <v/>
      </c>
      <c r="D10" s="5">
        <f>'res_raw_26121264'!$D$8</f>
        <v/>
      </c>
      <c r="E10" s="5">
        <f>'res_raw_26121264'!$E$8</f>
        <v/>
      </c>
      <c r="F10" s="5">
        <f>'res_raw_26121264'!$F$8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'res_raw_26121264'!$B$9</f>
        <v/>
      </c>
      <c r="C11" s="11">
        <f>'res_raw_26121264'!$C$9</f>
        <v/>
      </c>
      <c r="D11" s="11">
        <f>'res_raw_26121264'!$D$9</f>
        <v/>
      </c>
      <c r="E11" s="11">
        <f>'res_raw_26121264'!$E$9</f>
        <v/>
      </c>
      <c r="F11" s="11">
        <f>'res_raw_26121264'!$F$9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'res_raw_26121264'!$B$10</f>
        <v/>
      </c>
      <c r="C12" s="8">
        <f>'res_raw_26121264'!$C$10</f>
        <v/>
      </c>
      <c r="D12" s="8">
        <f>'res_raw_26121264'!$D$10</f>
        <v/>
      </c>
      <c r="E12" s="8">
        <f>'res_raw_26121264'!$E$10</f>
        <v/>
      </c>
      <c r="F12" s="8">
        <f>'res_raw_26121264'!$F$10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'res_raw_26121264'!$B$11</f>
        <v/>
      </c>
      <c r="C13" s="11">
        <f>'res_raw_26121264'!$C$11</f>
        <v/>
      </c>
      <c r="D13" s="11">
        <f>'res_raw_26121264'!$D$11</f>
        <v/>
      </c>
      <c r="E13" s="11">
        <f>'res_raw_26121264'!$E$11</f>
        <v/>
      </c>
      <c r="F13" s="11">
        <f>'res_raw_26121264'!$F$11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'res_raw_26121264'!$B$12</f>
        <v/>
      </c>
      <c r="C14" s="5">
        <f>'res_raw_26121264'!$C$12</f>
        <v/>
      </c>
      <c r="D14" s="5">
        <f>'res_raw_26121264'!$D$12</f>
        <v/>
      </c>
      <c r="E14" s="5">
        <f>'res_raw_26121264'!$E$12</f>
        <v/>
      </c>
      <c r="F14" s="5">
        <f>'res_raw_26121264'!$F$12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'res_raw_26121264'!$B$13</f>
        <v/>
      </c>
      <c r="C15" s="11">
        <f>'res_raw_26121264'!$C$13</f>
        <v/>
      </c>
      <c r="D15" s="11">
        <f>'res_raw_26121264'!$D$13</f>
        <v/>
      </c>
      <c r="E15" s="11">
        <f>'res_raw_26121264'!$E$13</f>
        <v/>
      </c>
      <c r="F15" s="11">
        <f>'res_raw_26121264'!$F$13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'res_raw_26121264'!$B$14</f>
        <v/>
      </c>
      <c r="C16" s="8">
        <f>'res_raw_26121264'!$C$14</f>
        <v/>
      </c>
      <c r="D16" s="8">
        <f>'res_raw_26121264'!$D$14</f>
        <v/>
      </c>
      <c r="E16" s="8">
        <f>'res_raw_26121264'!$E$14</f>
        <v/>
      </c>
      <c r="F16" s="8">
        <f>'res_raw_26121264'!$F$14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'res_raw_26121264'!$B$15</f>
        <v/>
      </c>
      <c r="C17" s="8">
        <f>'res_raw_26121264'!$C$15</f>
        <v/>
      </c>
      <c r="D17" s="8">
        <f>'res_raw_26121264'!$D$15</f>
        <v/>
      </c>
      <c r="E17" s="8">
        <f>'res_raw_26121264'!$E$15</f>
        <v/>
      </c>
      <c r="F17" s="8">
        <f>'res_raw_26121264'!$F$15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'res_raw_26121264'!$B$16</f>
        <v/>
      </c>
      <c r="C18" s="5">
        <f>'res_raw_26121264'!$C$16</f>
        <v/>
      </c>
      <c r="D18" s="5">
        <f>'res_raw_26121264'!$D$16</f>
        <v/>
      </c>
      <c r="E18" s="5">
        <f>'res_raw_26121264'!$E$16</f>
        <v/>
      </c>
      <c r="F18" s="5">
        <f>'res_raw_26121264'!$F$16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'res_raw_26121264'!$B$17</f>
        <v/>
      </c>
      <c r="C19" s="8">
        <f>'res_raw_26121264'!$C$17</f>
        <v/>
      </c>
      <c r="D19" s="8">
        <f>'res_raw_26121264'!$D$17</f>
        <v/>
      </c>
      <c r="E19" s="8">
        <f>'res_raw_26121264'!$E$17</f>
        <v/>
      </c>
      <c r="F19" s="8">
        <f>'res_raw_26121264'!$F$17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'balance_raw_26121264'!$B$2</f>
        <v/>
      </c>
      <c r="C22" s="5">
        <f>'balance_raw_26121264'!$C$2</f>
        <v/>
      </c>
      <c r="D22" s="5">
        <f>'balance_raw_26121264'!$D$2</f>
        <v/>
      </c>
      <c r="E22" s="5">
        <f>'balance_raw_26121264'!$E$2</f>
        <v/>
      </c>
      <c r="F22" s="5">
        <f>'balance_raw_26121264'!$F$2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'balance_raw_26121264'!$B$3</f>
        <v/>
      </c>
      <c r="C23" s="11">
        <f>'balance_raw_26121264'!$C$3</f>
        <v/>
      </c>
      <c r="D23" s="11">
        <f>'balance_raw_26121264'!$D$3</f>
        <v/>
      </c>
      <c r="E23" s="11">
        <f>'balance_raw_26121264'!$E$3</f>
        <v/>
      </c>
      <c r="F23" s="11">
        <f>'balance_raw_26121264'!$F$3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'balance_raw_26121264'!$B$4</f>
        <v/>
      </c>
      <c r="C24" s="5">
        <f>'balance_raw_26121264'!$C$4</f>
        <v/>
      </c>
      <c r="D24" s="5">
        <f>'balance_raw_26121264'!$D$4</f>
        <v/>
      </c>
      <c r="E24" s="5">
        <f>'balance_raw_26121264'!$E$4</f>
        <v/>
      </c>
      <c r="F24" s="5">
        <f>'balance_raw_26121264'!$F$4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'balance_raw_26121264'!$B$5</f>
        <v/>
      </c>
      <c r="C25" s="8">
        <f>'balance_raw_26121264'!$C$5</f>
        <v/>
      </c>
      <c r="D25" s="8">
        <f>'balance_raw_26121264'!$D$5</f>
        <v/>
      </c>
      <c r="E25" s="8">
        <f>'balance_raw_26121264'!$E$5</f>
        <v/>
      </c>
      <c r="F25" s="8">
        <f>'balance_raw_26121264'!$F$5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'balance_raw_26121264'!$B$6</f>
        <v/>
      </c>
      <c r="C26" s="5">
        <f>'balance_raw_26121264'!$C$6</f>
        <v/>
      </c>
      <c r="D26" s="5">
        <f>'balance_raw_26121264'!$D$6</f>
        <v/>
      </c>
      <c r="E26" s="5">
        <f>'balance_raw_26121264'!$E$6</f>
        <v/>
      </c>
      <c r="F26" s="5">
        <f>'balance_raw_26121264'!$F$6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'balance_raw_26121264'!$B$7</f>
        <v/>
      </c>
      <c r="C27" s="11">
        <f>'balance_raw_26121264'!$C$7</f>
        <v/>
      </c>
      <c r="D27" s="11">
        <f>'balance_raw_26121264'!$D$7</f>
        <v/>
      </c>
      <c r="E27" s="11">
        <f>'balance_raw_26121264'!$E$7</f>
        <v/>
      </c>
      <c r="F27" s="11">
        <f>'balance_raw_26121264'!$F$7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'balance_raw_26121264'!$B$8</f>
        <v/>
      </c>
      <c r="C28" s="5">
        <f>'balance_raw_26121264'!$C$8</f>
        <v/>
      </c>
      <c r="D28" s="5">
        <f>'balance_raw_26121264'!$D$8</f>
        <v/>
      </c>
      <c r="E28" s="5">
        <f>'balance_raw_26121264'!$E$8</f>
        <v/>
      </c>
      <c r="F28" s="5">
        <f>'balance_raw_26121264'!$F$8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'balance_raw_26121264'!$B$9</f>
        <v/>
      </c>
      <c r="C29" s="11">
        <f>'balance_raw_26121264'!$C$9</f>
        <v/>
      </c>
      <c r="D29" s="11">
        <f>'balance_raw_26121264'!$D$9</f>
        <v/>
      </c>
      <c r="E29" s="11">
        <f>'balance_raw_26121264'!$E$9</f>
        <v/>
      </c>
      <c r="F29" s="11">
        <f>'balance_raw_26121264'!$F$9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'balance_raw_26121264'!$B$10</f>
        <v/>
      </c>
      <c r="C30" s="5">
        <f>'balance_raw_26121264'!$C$10</f>
        <v/>
      </c>
      <c r="D30" s="5">
        <f>'balance_raw_26121264'!$D$10</f>
        <v/>
      </c>
      <c r="E30" s="5">
        <f>'balance_raw_26121264'!$E$10</f>
        <v/>
      </c>
      <c r="F30" s="5">
        <f>'balance_raw_26121264'!$F$10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'balance_raw_26121264'!$B$11</f>
        <v/>
      </c>
      <c r="C31" s="8">
        <f>'balance_raw_26121264'!$C$11</f>
        <v/>
      </c>
      <c r="D31" s="8">
        <f>'balance_raw_26121264'!$D$11</f>
        <v/>
      </c>
      <c r="E31" s="8">
        <f>'balance_raw_26121264'!$E$11</f>
        <v/>
      </c>
      <c r="F31" s="8">
        <f>'balance_raw_26121264'!$F$11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Kapitalandele, dattervirksomheder</t>
        </is>
      </c>
      <c r="B32" s="5">
        <f>'balance_raw_26121264'!$B$12</f>
        <v/>
      </c>
      <c r="C32" s="5">
        <f>'balance_raw_26121264'!$C$12</f>
        <v/>
      </c>
      <c r="D32" s="5">
        <f>'balance_raw_26121264'!$D$12</f>
        <v/>
      </c>
      <c r="E32" s="5">
        <f>'balance_raw_26121264'!$E$12</f>
        <v/>
      </c>
      <c r="F32" s="5">
        <f>'balance_raw_26121264'!$F$12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Deposita</t>
        </is>
      </c>
      <c r="B33" s="11">
        <f>'balance_raw_26121264'!$B$13</f>
        <v/>
      </c>
      <c r="C33" s="11">
        <f>'balance_raw_26121264'!$C$13</f>
        <v/>
      </c>
      <c r="D33" s="11">
        <f>'balance_raw_26121264'!$D$13</f>
        <v/>
      </c>
      <c r="E33" s="11">
        <f>'balance_raw_26121264'!$E$13</f>
        <v/>
      </c>
      <c r="F33" s="11">
        <f>'balance_raw_26121264'!$F$13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Finansielle anlægsaktiver</t>
        </is>
      </c>
      <c r="B34" s="8">
        <f>'balance_raw_26121264'!$B$14</f>
        <v/>
      </c>
      <c r="C34" s="8">
        <f>'balance_raw_26121264'!$C$14</f>
        <v/>
      </c>
      <c r="D34" s="8">
        <f>'balance_raw_26121264'!$D$14</f>
        <v/>
      </c>
      <c r="E34" s="8">
        <f>'balance_raw_26121264'!$E$14</f>
        <v/>
      </c>
      <c r="F34" s="8">
        <f>'balance_raw_26121264'!$F$14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Anlægsaktiver</t>
        </is>
      </c>
      <c r="B35" s="8">
        <f>'balance_raw_26121264'!$B$15</f>
        <v/>
      </c>
      <c r="C35" s="8">
        <f>'balance_raw_26121264'!$C$15</f>
        <v/>
      </c>
      <c r="D35" s="8">
        <f>'balance_raw_26121264'!$D$15</f>
        <v/>
      </c>
      <c r="E35" s="8">
        <f>'balance_raw_26121264'!$E$15</f>
        <v/>
      </c>
      <c r="F35" s="8">
        <f>'balance_raw_26121264'!$F$15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7" t="inlineStr">
        <is>
          <t>Varebeholdninger</t>
        </is>
      </c>
      <c r="B36" s="8">
        <f>'balance_raw_26121264'!$B$16</f>
        <v/>
      </c>
      <c r="C36" s="8">
        <f>'balance_raw_26121264'!$C$16</f>
        <v/>
      </c>
      <c r="D36" s="8">
        <f>'balance_raw_26121264'!$D$16</f>
        <v/>
      </c>
      <c r="E36" s="8">
        <f>'balance_raw_26121264'!$E$16</f>
        <v/>
      </c>
      <c r="F36" s="8">
        <f>'balance_raw_26121264'!$F$16</f>
        <v/>
      </c>
      <c r="G36" t="inlineStr"/>
      <c r="H36" s="9">
        <f>IFERROR(B36/$B$36*100,"")</f>
        <v/>
      </c>
      <c r="I36" s="9">
        <f>IFERROR(C36/$B$36*100,"")</f>
        <v/>
      </c>
      <c r="J36" s="9">
        <f>IFERROR(D36/$B$36*100,"")</f>
        <v/>
      </c>
      <c r="K36" s="9">
        <f>IFERROR(E36/$B$36*100,"")</f>
        <v/>
      </c>
      <c r="L36" s="9">
        <f>IFERROR(F36/$B$36*100,"")</f>
        <v/>
      </c>
    </row>
    <row r="37" ht="16" customHeight="1">
      <c r="A37" s="10" t="inlineStr">
        <is>
          <t>Tilgodehavender fra salg og tjenesteydelser</t>
        </is>
      </c>
      <c r="B37" s="11">
        <f>'balance_raw_26121264'!$B$17</f>
        <v/>
      </c>
      <c r="C37" s="11">
        <f>'balance_raw_26121264'!$C$17</f>
        <v/>
      </c>
      <c r="D37" s="11">
        <f>'balance_raw_26121264'!$D$17</f>
        <v/>
      </c>
      <c r="E37" s="11">
        <f>'balance_raw_26121264'!$E$17</f>
        <v/>
      </c>
      <c r="F37" s="11">
        <f>'balance_raw_26121264'!$F$17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'balance_raw_26121264'!$B$18</f>
        <v/>
      </c>
      <c r="C38" s="5">
        <f>'balance_raw_26121264'!$C$18</f>
        <v/>
      </c>
      <c r="D38" s="5">
        <f>'balance_raw_26121264'!$D$18</f>
        <v/>
      </c>
      <c r="E38" s="5">
        <f>'balance_raw_26121264'!$E$18</f>
        <v/>
      </c>
      <c r="F38" s="5">
        <f>'balance_raw_26121264'!$F$18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Andre tilgodehavender</t>
        </is>
      </c>
      <c r="B39" s="11">
        <f>'balance_raw_26121264'!$B$19</f>
        <v/>
      </c>
      <c r="C39" s="11">
        <f>'balance_raw_26121264'!$C$19</f>
        <v/>
      </c>
      <c r="D39" s="11">
        <f>'balance_raw_26121264'!$D$19</f>
        <v/>
      </c>
      <c r="E39" s="11">
        <f>'balance_raw_26121264'!$E$19</f>
        <v/>
      </c>
      <c r="F39" s="11">
        <f>'balance_raw_26121264'!$F$19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'balance_raw_26121264'!$B$20</f>
        <v/>
      </c>
      <c r="C40" s="5">
        <f>'balance_raw_26121264'!$C$20</f>
        <v/>
      </c>
      <c r="D40" s="5">
        <f>'balance_raw_26121264'!$D$20</f>
        <v/>
      </c>
      <c r="E40" s="5">
        <f>'balance_raw_26121264'!$E$20</f>
        <v/>
      </c>
      <c r="F40" s="5">
        <f>'balance_raw_26121264'!$F$20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Udskudt skatteaktiv</t>
        </is>
      </c>
      <c r="B41" s="11">
        <f>'balance_raw_26121264'!$B$21</f>
        <v/>
      </c>
      <c r="C41" s="11">
        <f>'balance_raw_26121264'!$C$21</f>
        <v/>
      </c>
      <c r="D41" s="11">
        <f>'balance_raw_26121264'!$D$21</f>
        <v/>
      </c>
      <c r="E41" s="11">
        <f>'balance_raw_26121264'!$E$21</f>
        <v/>
      </c>
      <c r="F41" s="11">
        <f>'balance_raw_26121264'!$F$21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'balance_raw_26121264'!$B$22</f>
        <v/>
      </c>
      <c r="C42" s="5">
        <f>'balance_raw_26121264'!$C$22</f>
        <v/>
      </c>
      <c r="D42" s="5">
        <f>'balance_raw_26121264'!$D$22</f>
        <v/>
      </c>
      <c r="E42" s="5">
        <f>'balance_raw_26121264'!$E$22</f>
        <v/>
      </c>
      <c r="F42" s="5">
        <f>'balance_raw_26121264'!$F$22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Kortfristede skattetilgodehavender</t>
        </is>
      </c>
      <c r="B43" s="11">
        <f>'balance_raw_26121264'!$B$23</f>
        <v/>
      </c>
      <c r="C43" s="11">
        <f>'balance_raw_26121264'!$C$23</f>
        <v/>
      </c>
      <c r="D43" s="11">
        <f>'balance_raw_26121264'!$D$23</f>
        <v/>
      </c>
      <c r="E43" s="11">
        <f>'balance_raw_26121264'!$E$23</f>
        <v/>
      </c>
      <c r="F43" s="11">
        <f>'balance_raw_26121264'!$F$23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7" t="inlineStr">
        <is>
          <t>Tilgodehavender</t>
        </is>
      </c>
      <c r="B44" s="8">
        <f>'balance_raw_26121264'!$B$24</f>
        <v/>
      </c>
      <c r="C44" s="8">
        <f>'balance_raw_26121264'!$C$24</f>
        <v/>
      </c>
      <c r="D44" s="8">
        <f>'balance_raw_26121264'!$D$24</f>
        <v/>
      </c>
      <c r="E44" s="8">
        <f>'balance_raw_26121264'!$E$24</f>
        <v/>
      </c>
      <c r="F44" s="8">
        <f>'balance_raw_26121264'!$F$24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5" ht="16" customHeight="1">
      <c r="A45" s="10" t="inlineStr">
        <is>
          <t>Værdipapirer</t>
        </is>
      </c>
      <c r="B45" s="11">
        <f>'balance_raw_26121264'!$B$25</f>
        <v/>
      </c>
      <c r="C45" s="11">
        <f>'balance_raw_26121264'!$C$25</f>
        <v/>
      </c>
      <c r="D45" s="11">
        <f>'balance_raw_26121264'!$D$25</f>
        <v/>
      </c>
      <c r="E45" s="11">
        <f>'balance_raw_26121264'!$E$25</f>
        <v/>
      </c>
      <c r="F45" s="11">
        <f>'balance_raw_26121264'!$F$25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'balance_raw_26121264'!$B$26</f>
        <v/>
      </c>
      <c r="C46" s="5">
        <f>'balance_raw_26121264'!$C$26</f>
        <v/>
      </c>
      <c r="D46" s="5">
        <f>'balance_raw_26121264'!$D$26</f>
        <v/>
      </c>
      <c r="E46" s="5">
        <f>'balance_raw_26121264'!$E$26</f>
        <v/>
      </c>
      <c r="F46" s="5">
        <f>'balance_raw_26121264'!$F$26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Omsætningsaktiver</t>
        </is>
      </c>
      <c r="B47" s="8">
        <f>'balance_raw_26121264'!$B$27</f>
        <v/>
      </c>
      <c r="C47" s="8">
        <f>'balance_raw_26121264'!$C$27</f>
        <v/>
      </c>
      <c r="D47" s="8">
        <f>'balance_raw_26121264'!$D$27</f>
        <v/>
      </c>
      <c r="E47" s="8">
        <f>'balance_raw_26121264'!$E$27</f>
        <v/>
      </c>
      <c r="F47" s="8">
        <f>'balance_raw_26121264'!$F$27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7" t="inlineStr">
        <is>
          <t>Aktiver</t>
        </is>
      </c>
      <c r="B48" s="8">
        <f>'balance_raw_26121264'!$B$28</f>
        <v/>
      </c>
      <c r="C48" s="8">
        <f>'balance_raw_26121264'!$C$28</f>
        <v/>
      </c>
      <c r="D48" s="8">
        <f>'balance_raw_26121264'!$D$28</f>
        <v/>
      </c>
      <c r="E48" s="8">
        <f>'balance_raw_26121264'!$E$28</f>
        <v/>
      </c>
      <c r="F48" s="8">
        <f>'balance_raw_26121264'!$F$28</f>
        <v/>
      </c>
      <c r="G48" t="inlineStr"/>
      <c r="H48" s="9">
        <f>IFERROR(B48/$B$48*100,"")</f>
        <v/>
      </c>
      <c r="I48" s="9">
        <f>IFERROR(C48/$B$48*100,"")</f>
        <v/>
      </c>
      <c r="J48" s="9">
        <f>IFERROR(D48/$B$48*100,"")</f>
        <v/>
      </c>
      <c r="K48" s="9">
        <f>IFERROR(E48/$B$48*100,"")</f>
        <v/>
      </c>
      <c r="L48" s="9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10" t="inlineStr">
        <is>
          <t>Selskabskapital</t>
        </is>
      </c>
      <c r="B51" s="11">
        <f>'balance_raw_26121264'!$B$29</f>
        <v/>
      </c>
      <c r="C51" s="11">
        <f>'balance_raw_26121264'!$C$29</f>
        <v/>
      </c>
      <c r="D51" s="11">
        <f>'balance_raw_26121264'!$D$29</f>
        <v/>
      </c>
      <c r="E51" s="11">
        <f>'balance_raw_26121264'!$E$29</f>
        <v/>
      </c>
      <c r="F51" s="11">
        <f>'balance_raw_26121264'!$F$29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'balance_raw_26121264'!$B$30</f>
        <v/>
      </c>
      <c r="C52" s="5">
        <f>'balance_raw_26121264'!$C$30</f>
        <v/>
      </c>
      <c r="D52" s="5">
        <f>'balance_raw_26121264'!$D$30</f>
        <v/>
      </c>
      <c r="E52" s="5">
        <f>'balance_raw_26121264'!$E$30</f>
        <v/>
      </c>
      <c r="F52" s="5">
        <f>'balance_raw_26121264'!$F$30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udviklingsomkostninger</t>
        </is>
      </c>
      <c r="B53" s="11">
        <f>'balance_raw_26121264'!$B$31</f>
        <v/>
      </c>
      <c r="C53" s="11">
        <f>'balance_raw_26121264'!$C$31</f>
        <v/>
      </c>
      <c r="D53" s="11">
        <f>'balance_raw_26121264'!$D$31</f>
        <v/>
      </c>
      <c r="E53" s="11">
        <f>'balance_raw_26121264'!$E$31</f>
        <v/>
      </c>
      <c r="F53" s="11">
        <f>'balance_raw_26121264'!$F$31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'balance_raw_26121264'!$B$32</f>
        <v/>
      </c>
      <c r="C54" s="5">
        <f>'balance_raw_26121264'!$C$32</f>
        <v/>
      </c>
      <c r="D54" s="5">
        <f>'balance_raw_26121264'!$D$32</f>
        <v/>
      </c>
      <c r="E54" s="5">
        <f>'balance_raw_26121264'!$E$32</f>
        <v/>
      </c>
      <c r="F54" s="5">
        <f>'balance_raw_26121264'!$F$32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Andre reserver</t>
        </is>
      </c>
      <c r="B55" s="11">
        <f>'balance_raw_26121264'!$B$33</f>
        <v/>
      </c>
      <c r="C55" s="11">
        <f>'balance_raw_26121264'!$C$33</f>
        <v/>
      </c>
      <c r="D55" s="11">
        <f>'balance_raw_26121264'!$D$33</f>
        <v/>
      </c>
      <c r="E55" s="11">
        <f>'balance_raw_26121264'!$E$33</f>
        <v/>
      </c>
      <c r="F55" s="11">
        <f>'balance_raw_26121264'!$F$33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'balance_raw_26121264'!$B$34</f>
        <v/>
      </c>
      <c r="C56" s="5">
        <f>'balance_raw_26121264'!$C$34</f>
        <v/>
      </c>
      <c r="D56" s="5">
        <f>'balance_raw_26121264'!$D$34</f>
        <v/>
      </c>
      <c r="E56" s="5">
        <f>'balance_raw_26121264'!$E$34</f>
        <v/>
      </c>
      <c r="F56" s="5">
        <f>'balance_raw_26121264'!$F$34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Egenkapital i alt</t>
        </is>
      </c>
      <c r="B57" s="8">
        <f>'balance_raw_26121264'!$B$35</f>
        <v/>
      </c>
      <c r="C57" s="8">
        <f>'balance_raw_26121264'!$C$35</f>
        <v/>
      </c>
      <c r="D57" s="8">
        <f>'balance_raw_26121264'!$D$35</f>
        <v/>
      </c>
      <c r="E57" s="8">
        <f>'balance_raw_26121264'!$E$35</f>
        <v/>
      </c>
      <c r="F57" s="8">
        <f>'balance_raw_26121264'!$F$35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'balance_raw_26121264'!$B$36</f>
        <v/>
      </c>
      <c r="C58" s="5">
        <f>'balance_raw_26121264'!$C$36</f>
        <v/>
      </c>
      <c r="D58" s="5">
        <f>'balance_raw_26121264'!$D$36</f>
        <v/>
      </c>
      <c r="E58" s="5">
        <f>'balance_raw_26121264'!$E$36</f>
        <v/>
      </c>
      <c r="F58" s="5">
        <f>'balance_raw_26121264'!$F$36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Hensatte forpligtelser</t>
        </is>
      </c>
      <c r="B59" s="8">
        <f>'balance_raw_26121264'!$B$37</f>
        <v/>
      </c>
      <c r="C59" s="8">
        <f>'balance_raw_26121264'!$C$37</f>
        <v/>
      </c>
      <c r="D59" s="8">
        <f>'balance_raw_26121264'!$D$37</f>
        <v/>
      </c>
      <c r="E59" s="8">
        <f>'balance_raw_26121264'!$E$37</f>
        <v/>
      </c>
      <c r="F59" s="8">
        <f>'balance_raw_26121264'!$F$37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'balance_raw_26121264'!$B$38</f>
        <v/>
      </c>
      <c r="C60" s="5">
        <f>'balance_raw_26121264'!$C$38</f>
        <v/>
      </c>
      <c r="D60" s="5">
        <f>'balance_raw_26121264'!$D$38</f>
        <v/>
      </c>
      <c r="E60" s="5">
        <f>'balance_raw_26121264'!$E$38</f>
        <v/>
      </c>
      <c r="F60" s="5">
        <f>'balance_raw_26121264'!$F$38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Langfristede lån</t>
        </is>
      </c>
      <c r="B61" s="11">
        <f>'balance_raw_26121264'!$B$39</f>
        <v/>
      </c>
      <c r="C61" s="11">
        <f>'balance_raw_26121264'!$C$39</f>
        <v/>
      </c>
      <c r="D61" s="11">
        <f>'balance_raw_26121264'!$D$39</f>
        <v/>
      </c>
      <c r="E61" s="11">
        <f>'balance_raw_26121264'!$E$39</f>
        <v/>
      </c>
      <c r="F61" s="11">
        <f>'balance_raw_26121264'!$F$39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'balance_raw_26121264'!$B$40</f>
        <v/>
      </c>
      <c r="C62" s="5">
        <f>'balance_raw_26121264'!$C$40</f>
        <v/>
      </c>
      <c r="D62" s="5">
        <f>'balance_raw_26121264'!$D$40</f>
        <v/>
      </c>
      <c r="E62" s="5">
        <f>'balance_raw_26121264'!$E$40</f>
        <v/>
      </c>
      <c r="F62" s="5">
        <f>'balance_raw_26121264'!$F$40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Anden gæld (langfristet)</t>
        </is>
      </c>
      <c r="B63" s="11">
        <f>'balance_raw_26121264'!$B$41</f>
        <v/>
      </c>
      <c r="C63" s="11">
        <f>'balance_raw_26121264'!$C$41</f>
        <v/>
      </c>
      <c r="D63" s="11">
        <f>'balance_raw_26121264'!$D$41</f>
        <v/>
      </c>
      <c r="E63" s="11">
        <f>'balance_raw_26121264'!$E$41</f>
        <v/>
      </c>
      <c r="F63" s="11">
        <f>'balance_raw_26121264'!$F$41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7" t="inlineStr">
        <is>
          <t>Langfristede gældsforpligtelser</t>
        </is>
      </c>
      <c r="B64" s="8">
        <f>'balance_raw_26121264'!$B$42</f>
        <v/>
      </c>
      <c r="C64" s="8">
        <f>'balance_raw_26121264'!$C$42</f>
        <v/>
      </c>
      <c r="D64" s="8">
        <f>'balance_raw_26121264'!$D$42</f>
        <v/>
      </c>
      <c r="E64" s="8">
        <f>'balance_raw_26121264'!$E$42</f>
        <v/>
      </c>
      <c r="F64" s="8">
        <f>'balance_raw_26121264'!$F$42</f>
        <v/>
      </c>
      <c r="G64" t="inlineStr"/>
      <c r="H64" s="9">
        <f>IFERROR(B64/$B$64*100,"")</f>
        <v/>
      </c>
      <c r="I64" s="9">
        <f>IFERROR(C64/$B$64*100,"")</f>
        <v/>
      </c>
      <c r="J64" s="9">
        <f>IFERROR(D64/$B$64*100,"")</f>
        <v/>
      </c>
      <c r="K64" s="9">
        <f>IFERROR(E64/$B$64*100,"")</f>
        <v/>
      </c>
      <c r="L64" s="9">
        <f>IFERROR(F64/$B$64*100,"")</f>
        <v/>
      </c>
    </row>
    <row r="65" ht="16" customHeight="1">
      <c r="A65" s="10" t="inlineStr">
        <is>
          <t>Ansvarlig lånekapital (kortfristet)</t>
        </is>
      </c>
      <c r="B65" s="11">
        <f>'balance_raw_26121264'!$B$43</f>
        <v/>
      </c>
      <c r="C65" s="11">
        <f>'balance_raw_26121264'!$C$43</f>
        <v/>
      </c>
      <c r="D65" s="11">
        <f>'balance_raw_26121264'!$D$43</f>
        <v/>
      </c>
      <c r="E65" s="11">
        <f>'balance_raw_26121264'!$E$43</f>
        <v/>
      </c>
      <c r="F65" s="11">
        <f>'balance_raw_26121264'!$F$43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'balance_raw_26121264'!$B$44</f>
        <v/>
      </c>
      <c r="C66" s="5">
        <f>'balance_raw_26121264'!$C$44</f>
        <v/>
      </c>
      <c r="D66" s="5">
        <f>'balance_raw_26121264'!$D$44</f>
        <v/>
      </c>
      <c r="E66" s="5">
        <f>'balance_raw_26121264'!$E$44</f>
        <v/>
      </c>
      <c r="F66" s="5">
        <f>'balance_raw_26121264'!$F$44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Kreditinstitutter</t>
        </is>
      </c>
      <c r="B67" s="11">
        <f>'balance_raw_26121264'!$B$45</f>
        <v/>
      </c>
      <c r="C67" s="11">
        <f>'balance_raw_26121264'!$C$45</f>
        <v/>
      </c>
      <c r="D67" s="11">
        <f>'balance_raw_26121264'!$D$45</f>
        <v/>
      </c>
      <c r="E67" s="11">
        <f>'balance_raw_26121264'!$E$45</f>
        <v/>
      </c>
      <c r="F67" s="11">
        <f>'balance_raw_26121264'!$F$45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'balance_raw_26121264'!$B$46</f>
        <v/>
      </c>
      <c r="C68" s="5">
        <f>'balance_raw_26121264'!$C$46</f>
        <v/>
      </c>
      <c r="D68" s="5">
        <f>'balance_raw_26121264'!$D$46</f>
        <v/>
      </c>
      <c r="E68" s="5">
        <f>'balance_raw_26121264'!$E$46</f>
        <v/>
      </c>
      <c r="F68" s="5">
        <f>'balance_raw_26121264'!$F$46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Leverandører af varer og tjenesteydelser</t>
        </is>
      </c>
      <c r="B69" s="11">
        <f>'balance_raw_26121264'!$B$47</f>
        <v/>
      </c>
      <c r="C69" s="11">
        <f>'balance_raw_26121264'!$C$47</f>
        <v/>
      </c>
      <c r="D69" s="11">
        <f>'balance_raw_26121264'!$D$47</f>
        <v/>
      </c>
      <c r="E69" s="11">
        <f>'balance_raw_26121264'!$E$47</f>
        <v/>
      </c>
      <c r="F69" s="11">
        <f>'balance_raw_26121264'!$F$47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'balance_raw_26121264'!$B$48</f>
        <v/>
      </c>
      <c r="C70" s="5">
        <f>'balance_raw_26121264'!$C$48</f>
        <v/>
      </c>
      <c r="D70" s="5">
        <f>'balance_raw_26121264'!$D$48</f>
        <v/>
      </c>
      <c r="E70" s="5">
        <f>'balance_raw_26121264'!$E$48</f>
        <v/>
      </c>
      <c r="F70" s="5">
        <f>'balance_raw_26121264'!$F$48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Gæld til selskabsdeltagere og ledelse</t>
        </is>
      </c>
      <c r="B71" s="11">
        <f>'balance_raw_26121264'!$B$49</f>
        <v/>
      </c>
      <c r="C71" s="11">
        <f>'balance_raw_26121264'!$C$49</f>
        <v/>
      </c>
      <c r="D71" s="11">
        <f>'balance_raw_26121264'!$D$49</f>
        <v/>
      </c>
      <c r="E71" s="11">
        <f>'balance_raw_26121264'!$E$49</f>
        <v/>
      </c>
      <c r="F71" s="11">
        <f>'balance_raw_26121264'!$F$49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Selskabsskat</t>
        </is>
      </c>
      <c r="B72" s="5">
        <f>'balance_raw_26121264'!$B$50</f>
        <v/>
      </c>
      <c r="C72" s="5">
        <f>'balance_raw_26121264'!$C$50</f>
        <v/>
      </c>
      <c r="D72" s="5">
        <f>'balance_raw_26121264'!$D$50</f>
        <v/>
      </c>
      <c r="E72" s="5">
        <f>'balance_raw_26121264'!$E$50</f>
        <v/>
      </c>
      <c r="F72" s="5">
        <f>'balance_raw_26121264'!$F$50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tilknyttede virksomheder vedr. selskabsskat</t>
        </is>
      </c>
      <c r="B73" s="11">
        <f>'balance_raw_26121264'!$B$51</f>
        <v/>
      </c>
      <c r="C73" s="11">
        <f>'balance_raw_26121264'!$C$51</f>
        <v/>
      </c>
      <c r="D73" s="11">
        <f>'balance_raw_26121264'!$D$51</f>
        <v/>
      </c>
      <c r="E73" s="11">
        <f>'balance_raw_26121264'!$E$51</f>
        <v/>
      </c>
      <c r="F73" s="11">
        <f>'balance_raw_26121264'!$F$51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'balance_raw_26121264'!$B$52</f>
        <v/>
      </c>
      <c r="C74" s="5">
        <f>'balance_raw_26121264'!$C$52</f>
        <v/>
      </c>
      <c r="D74" s="5">
        <f>'balance_raw_26121264'!$D$52</f>
        <v/>
      </c>
      <c r="E74" s="5">
        <f>'balance_raw_26121264'!$E$52</f>
        <v/>
      </c>
      <c r="F74" s="5">
        <f>'balance_raw_26121264'!$F$52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Periodeafgrænsningsposter (passiver)</t>
        </is>
      </c>
      <c r="B75" s="11">
        <f>'balance_raw_26121264'!$B$53</f>
        <v/>
      </c>
      <c r="C75" s="11">
        <f>'balance_raw_26121264'!$C$53</f>
        <v/>
      </c>
      <c r="D75" s="11">
        <f>'balance_raw_26121264'!$D$53</f>
        <v/>
      </c>
      <c r="E75" s="11">
        <f>'balance_raw_26121264'!$E$53</f>
        <v/>
      </c>
      <c r="F75" s="11">
        <f>'balance_raw_26121264'!$F$53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7" t="inlineStr">
        <is>
          <t>Kortfristede gældsforpligtelser</t>
        </is>
      </c>
      <c r="B76" s="8">
        <f>'balance_raw_26121264'!$B$54</f>
        <v/>
      </c>
      <c r="C76" s="8">
        <f>'balance_raw_26121264'!$C$54</f>
        <v/>
      </c>
      <c r="D76" s="8">
        <f>'balance_raw_26121264'!$D$54</f>
        <v/>
      </c>
      <c r="E76" s="8">
        <f>'balance_raw_26121264'!$E$54</f>
        <v/>
      </c>
      <c r="F76" s="8">
        <f>'balance_raw_26121264'!$F$54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Gældsforpligtelser</t>
        </is>
      </c>
      <c r="B77" s="8">
        <f>'balance_raw_26121264'!$B$55</f>
        <v/>
      </c>
      <c r="C77" s="8">
        <f>'balance_raw_26121264'!$C$55</f>
        <v/>
      </c>
      <c r="D77" s="8">
        <f>'balance_raw_26121264'!$D$55</f>
        <v/>
      </c>
      <c r="E77" s="8">
        <f>'balance_raw_26121264'!$E$55</f>
        <v/>
      </c>
      <c r="F77" s="8">
        <f>'balance_raw_26121264'!$F$55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7" t="inlineStr">
        <is>
          <t>Passiver</t>
        </is>
      </c>
      <c r="B78" s="8">
        <f>'balance_raw_26121264'!$B$56</f>
        <v/>
      </c>
      <c r="C78" s="8">
        <f>'balance_raw_26121264'!$C$56</f>
        <v/>
      </c>
      <c r="D78" s="8">
        <f>'balance_raw_26121264'!$D$56</f>
        <v/>
      </c>
      <c r="E78" s="8">
        <f>'balance_raw_26121264'!$E$56</f>
        <v/>
      </c>
      <c r="F78" s="8">
        <f>'balance_raw_26121264'!$F$56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10" t="inlineStr">
        <is>
          <t>Gns. antal medarbejdere</t>
        </is>
      </c>
      <c r="B81" s="11">
        <f>'res_raw_26121264'!$B$18</f>
        <v/>
      </c>
      <c r="C81" s="11">
        <f>'res_raw_26121264'!$C$18</f>
        <v/>
      </c>
      <c r="D81" s="11">
        <f>'res_raw_26121264'!$D$18</f>
        <v/>
      </c>
      <c r="E81" s="11">
        <f>'res_raw_26121264'!$E$18</f>
        <v/>
      </c>
      <c r="F81" s="11">
        <f>'res_raw_26121264'!$F$18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'res_raw_26121264'!$B$19</f>
        <v/>
      </c>
      <c r="C82" s="5">
        <f>'res_raw_26121264'!$C$19</f>
        <v/>
      </c>
      <c r="D82" s="5">
        <f>'res_raw_26121264'!$D$19</f>
        <v/>
      </c>
      <c r="E82" s="5">
        <f>'res_raw_26121264'!$E$19</f>
        <v/>
      </c>
      <c r="F82" s="5">
        <f>'res_raw_26121264'!$F$19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10" t="inlineStr">
        <is>
          <t>Afkastningsgrad, %</t>
        </is>
      </c>
      <c r="B85" s="13">
        <f>IFERROR(($B$12+$B$14+$B$13)/$B$48*100,"")</f>
        <v/>
      </c>
      <c r="C85" s="13">
        <f>IFERROR(($C$12+$C$14+$C$13)/$C$48*100,"")</f>
        <v/>
      </c>
      <c r="D85" s="13">
        <f>IFERROR(($D$12+$D$14+$D$13)/$D$48*100,"")</f>
        <v/>
      </c>
      <c r="E85" s="13">
        <f>IFERROR(($E$12+$E$14+$E$13)/$E$48*100,"")</f>
        <v/>
      </c>
      <c r="F85" s="13">
        <f>IFERROR(($F$12+$F$14+$F$13)/$F$48*100,"")</f>
        <v/>
      </c>
    </row>
    <row r="86" ht="16" customHeight="1">
      <c r="A86" s="4" t="inlineStr">
        <is>
          <t>Overskudsgrad, %</t>
        </is>
      </c>
      <c r="B86" s="14">
        <f>IFERROR(($B$12+$B$14+$B$13)/$B$4*100,"")</f>
        <v/>
      </c>
      <c r="C86" s="14">
        <f>IFERROR(($C$12+$C$14+$C$13)/$C$4*100,"")</f>
        <v/>
      </c>
      <c r="D86" s="14">
        <f>IFERROR(($D$12+$D$14+$D$13)/$D$4*100,"")</f>
        <v/>
      </c>
      <c r="E86" s="14">
        <f>IFERROR(($E$12+$E$14+$E$13)/$E$4*100,"")</f>
        <v/>
      </c>
      <c r="F86" s="14">
        <f>IFERROR(($F$12+$F$14+$F$13)/$F$4*100,"")</f>
        <v/>
      </c>
    </row>
    <row r="87" ht="16" customHeight="1">
      <c r="A87" s="10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IFERROR($B$17/$B$57*100,"")</f>
        <v/>
      </c>
      <c r="C88" s="14">
        <f>IFERROR($C$17/$C$57*100,"")</f>
        <v/>
      </c>
      <c r="D88" s="14">
        <f>IFERROR($D$17/$D$57*100,"")</f>
        <v/>
      </c>
      <c r="E88" s="14">
        <f>IFERROR($E$17/$E$57*100,"")</f>
        <v/>
      </c>
      <c r="F88" s="14">
        <f>IFERROR($F$17/$F$57*100,"")</f>
        <v/>
      </c>
    </row>
    <row r="89" ht="16" customHeight="1">
      <c r="A89" s="10" t="inlineStr">
        <is>
          <t>Gældsrente, %</t>
        </is>
      </c>
      <c r="B89" s="13">
        <f>IFERROR($B$15/($B$78-$B$57)*100,"")</f>
        <v/>
      </c>
      <c r="C89" s="13">
        <f>IFERROR($C$15/($C$78-$C$57)*100,"")</f>
        <v/>
      </c>
      <c r="D89" s="13">
        <f>IFERROR($D$15/($D$78-$D$57)*100,"")</f>
        <v/>
      </c>
      <c r="E89" s="13">
        <f>IFERROR($E$15/($E$78-$E$57)*100,"")</f>
        <v/>
      </c>
      <c r="F89" s="13">
        <f>IFERROR($F$15/($F$78-$F$57)*100,"")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10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10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10" t="inlineStr">
        <is>
          <t>Kapitalbindingsgrad, %</t>
        </is>
      </c>
      <c r="B95" s="13">
        <f>IFERROR($B$35/($B$57+$B$64)*100,"")</f>
        <v/>
      </c>
      <c r="C95" s="13">
        <f>IFERROR($C$35/($C$57+$C$64)*100,"")</f>
        <v/>
      </c>
      <c r="D95" s="13">
        <f>IFERROR($D$35/($D$57+$D$64)*100,"")</f>
        <v/>
      </c>
      <c r="E95" s="13">
        <f>IFERROR($E$35/($E$57+$E$64)*100,"")</f>
        <v/>
      </c>
      <c r="F95" s="13">
        <f>IFERROR($F$35/($F$57+$F$64)*100,"")</f>
        <v/>
      </c>
    </row>
    <row r="97">
      <c r="A9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Danish Crown A/S (CVR 26121264)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22887000</v>
      </c>
      <c r="C2" s="16" t="n">
        <v>23742000</v>
      </c>
      <c r="D2" s="16" t="n">
        <v>30212000</v>
      </c>
      <c r="E2" s="16" t="n">
        <v>29194000</v>
      </c>
      <c r="F2" s="16" t="n">
        <v>26149000</v>
      </c>
    </row>
    <row r="3">
      <c r="A3" s="15" t="inlineStr">
        <is>
          <t>Produktionsomkostninger</t>
        </is>
      </c>
      <c r="B3" s="16" t="n">
        <v>20806000</v>
      </c>
      <c r="C3" s="16" t="n">
        <v>21136000</v>
      </c>
      <c r="D3" s="16" t="n">
        <v>27240000</v>
      </c>
      <c r="E3" s="16" t="n">
        <v>25742000</v>
      </c>
      <c r="F3" s="16" t="n">
        <v>23421000</v>
      </c>
    </row>
    <row r="4">
      <c r="A4" s="17" t="inlineStr">
        <is>
          <t>Bruttoresultat</t>
        </is>
      </c>
      <c r="B4" s="16" t="n">
        <v>2081000</v>
      </c>
      <c r="C4" s="16" t="n">
        <v>2606000</v>
      </c>
      <c r="D4" s="16" t="n">
        <v>2972000</v>
      </c>
      <c r="E4" s="16" t="n">
        <v>3452000</v>
      </c>
      <c r="F4" s="16" t="n">
        <v>2728000</v>
      </c>
    </row>
    <row r="5">
      <c r="A5" s="15" t="inlineStr">
        <is>
          <t>Udviklingsomkostninger</t>
        </is>
      </c>
      <c r="B5" s="16" t="n"/>
      <c r="C5" s="16" t="n"/>
      <c r="D5" s="16" t="n"/>
      <c r="E5" s="16" t="n"/>
      <c r="F5" s="16" t="n"/>
    </row>
    <row r="6">
      <c r="A6" s="15" t="inlineStr">
        <is>
          <t>Salgs- og distributionsomkostninger</t>
        </is>
      </c>
      <c r="B6" s="16" t="n">
        <v>1790000</v>
      </c>
      <c r="C6" s="16" t="n">
        <v>1977000</v>
      </c>
      <c r="D6" s="16" t="n">
        <v>2144000</v>
      </c>
      <c r="E6" s="16" t="n">
        <v>1974000</v>
      </c>
      <c r="F6" s="16" t="n">
        <v>1762000</v>
      </c>
    </row>
    <row r="7">
      <c r="A7" s="15" t="inlineStr">
        <is>
          <t>Administrationsomkostninger</t>
        </is>
      </c>
      <c r="B7" s="16" t="n">
        <v>633000</v>
      </c>
      <c r="C7" s="16" t="n">
        <v>571000</v>
      </c>
      <c r="D7" s="16" t="n">
        <v>821000</v>
      </c>
      <c r="E7" s="16" t="n">
        <v>865000</v>
      </c>
      <c r="F7" s="16" t="n">
        <v>736000</v>
      </c>
    </row>
    <row r="8">
      <c r="A8" s="15" t="inlineStr">
        <is>
          <t>Andre driftsindtægter</t>
        </is>
      </c>
      <c r="B8" s="16" t="n">
        <v>5000</v>
      </c>
      <c r="C8" s="16" t="n">
        <v>1000</v>
      </c>
      <c r="D8" s="16" t="n">
        <v>40000</v>
      </c>
      <c r="E8" s="16" t="n">
        <v>0</v>
      </c>
      <c r="F8" s="16" t="n"/>
    </row>
    <row r="9">
      <c r="A9" s="15" t="inlineStr">
        <is>
          <t>Andre driftsomkostninger</t>
        </is>
      </c>
      <c r="B9" s="16" t="n">
        <v>6000</v>
      </c>
      <c r="C9" s="16" t="n">
        <v>0</v>
      </c>
      <c r="D9" s="16" t="n"/>
      <c r="E9" s="16" t="n"/>
      <c r="F9" s="16" t="n"/>
    </row>
    <row r="10">
      <c r="A10" s="17" t="inlineStr">
        <is>
          <t>Resultat af primær drift</t>
        </is>
      </c>
      <c r="B10" s="16" t="n">
        <v>-343000</v>
      </c>
      <c r="C10" s="16" t="n">
        <v>59000</v>
      </c>
      <c r="D10" s="16" t="n">
        <v>47000</v>
      </c>
      <c r="E10" s="16" t="n">
        <v>613000</v>
      </c>
      <c r="F10" s="16" t="n">
        <v>230000</v>
      </c>
    </row>
    <row r="11">
      <c r="A11" s="15" t="inlineStr">
        <is>
          <t>Indtægter af kapitalandele, dattervirksomheder</t>
        </is>
      </c>
      <c r="B11" s="16" t="n">
        <v>1056000</v>
      </c>
      <c r="C11" s="16" t="n">
        <v>783000</v>
      </c>
      <c r="D11" s="16" t="n">
        <v>341000</v>
      </c>
      <c r="E11" s="16" t="n">
        <v>-621000</v>
      </c>
      <c r="F11" s="16" t="n">
        <v>-232000</v>
      </c>
    </row>
    <row r="12">
      <c r="A12" s="15" t="inlineStr">
        <is>
          <t>Finansielle indtægter</t>
        </is>
      </c>
      <c r="B12" s="16" t="n">
        <v>229000</v>
      </c>
      <c r="C12" s="16" t="n">
        <v>229000</v>
      </c>
      <c r="D12" s="16" t="n">
        <v>381000</v>
      </c>
      <c r="E12" s="16" t="n">
        <v>446000</v>
      </c>
      <c r="F12" s="16" t="n">
        <v>514000</v>
      </c>
    </row>
    <row r="13">
      <c r="A13" s="15" t="inlineStr">
        <is>
          <t>Finansielle omkostninger</t>
        </is>
      </c>
      <c r="B13" s="16" t="n">
        <v>273000</v>
      </c>
      <c r="C13" s="16" t="n">
        <v>283000</v>
      </c>
      <c r="D13" s="16" t="n">
        <v>660000</v>
      </c>
      <c r="E13" s="16" t="n">
        <v>778000</v>
      </c>
      <c r="F13" s="16" t="n">
        <v>772000</v>
      </c>
    </row>
    <row r="14">
      <c r="A14" s="17" t="inlineStr">
        <is>
          <t>Finansielle poster, netto</t>
        </is>
      </c>
      <c r="B14" s="16" t="n">
        <v>1112000</v>
      </c>
      <c r="C14" s="16" t="n">
        <v>784000</v>
      </c>
      <c r="D14" s="16" t="n">
        <v>61000</v>
      </c>
      <c r="E14" s="16" t="n">
        <v>-644000</v>
      </c>
      <c r="F14" s="16" t="n">
        <v>-485000</v>
      </c>
    </row>
    <row r="15">
      <c r="A15" s="17" t="inlineStr">
        <is>
          <t>Resultat før skat</t>
        </is>
      </c>
      <c r="B15" s="16" t="n">
        <v>769000</v>
      </c>
      <c r="C15" s="16" t="n">
        <v>843000</v>
      </c>
      <c r="D15" s="16" t="n">
        <v>108000</v>
      </c>
      <c r="E15" s="16" t="n">
        <v>-31000</v>
      </c>
      <c r="F15" s="16" t="n">
        <v>-255000</v>
      </c>
    </row>
    <row r="16">
      <c r="A16" s="15" t="inlineStr">
        <is>
          <t>Skat af årets resultat</t>
        </is>
      </c>
      <c r="B16" s="16" t="n">
        <v>-53000</v>
      </c>
      <c r="C16" s="16" t="n">
        <v>42000</v>
      </c>
      <c r="D16" s="16" t="n">
        <v>-106000</v>
      </c>
      <c r="E16" s="16" t="n">
        <v>66000</v>
      </c>
      <c r="F16" s="16" t="n">
        <v>-16000</v>
      </c>
    </row>
    <row r="17">
      <c r="A17" s="17" t="inlineStr">
        <is>
          <t>Årets resultat</t>
        </is>
      </c>
      <c r="B17" s="16" t="n">
        <v>822000</v>
      </c>
      <c r="C17" s="16" t="n">
        <v>801000</v>
      </c>
      <c r="D17" s="16" t="n">
        <v>214000</v>
      </c>
      <c r="E17" s="16" t="n">
        <v>-97000</v>
      </c>
      <c r="F17" s="16" t="n">
        <v>-239000</v>
      </c>
    </row>
    <row r="18">
      <c r="A18" s="15" t="inlineStr">
        <is>
          <t>Gns. antal medarbejdere</t>
        </is>
      </c>
      <c r="B18" s="16" t="n">
        <v>6468</v>
      </c>
      <c r="C18" s="16" t="n">
        <v>6434</v>
      </c>
      <c r="D18" s="16" t="n">
        <v>7276</v>
      </c>
      <c r="E18" s="16" t="n">
        <v>6244</v>
      </c>
      <c r="F18" s="16" t="n">
        <v>6166</v>
      </c>
    </row>
    <row r="19">
      <c r="A19" s="15" t="inlineStr">
        <is>
          <t>Investering i materielle anlægsaktiver</t>
        </is>
      </c>
      <c r="B19" s="16" t="n">
        <v>406000</v>
      </c>
      <c r="C19" s="16" t="n">
        <v>502000</v>
      </c>
      <c r="D19" s="16" t="n">
        <v>690000</v>
      </c>
      <c r="E19" s="16" t="n">
        <v>344000</v>
      </c>
      <c r="F19" s="16" t="n">
        <v>437000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Danish Crown A/S (CVR 26121264)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>
        <v>52000</v>
      </c>
      <c r="F2" s="16" t="n">
        <v>30000</v>
      </c>
    </row>
    <row r="3">
      <c r="A3" s="15" t="inlineStr">
        <is>
          <t>Patenter, varemærker mv.</t>
        </is>
      </c>
      <c r="B3" s="16" t="n">
        <v>0</v>
      </c>
      <c r="C3" s="16" t="n"/>
      <c r="D3" s="16" t="n">
        <v>100000</v>
      </c>
      <c r="E3" s="16" t="n">
        <v>78000</v>
      </c>
      <c r="F3" s="16" t="n">
        <v>53000</v>
      </c>
    </row>
    <row r="4">
      <c r="A4" s="15" t="inlineStr">
        <is>
          <t>Goodwill</t>
        </is>
      </c>
      <c r="B4" s="16" t="n"/>
      <c r="C4" s="16" t="n"/>
      <c r="D4" s="16" t="n">
        <v>242000</v>
      </c>
      <c r="E4" s="16" t="n">
        <v>244000</v>
      </c>
      <c r="F4" s="16" t="n">
        <v>226000</v>
      </c>
    </row>
    <row r="5">
      <c r="A5" s="17" t="inlineStr">
        <is>
          <t>Immaterielle anlægsaktiver</t>
        </is>
      </c>
      <c r="B5" s="16" t="n">
        <v>53000</v>
      </c>
      <c r="C5" s="16" t="n">
        <v>34000</v>
      </c>
      <c r="D5" s="16" t="n">
        <v>394000</v>
      </c>
      <c r="E5" s="16" t="n">
        <v>374000</v>
      </c>
      <c r="F5" s="16" t="n">
        <v>309000</v>
      </c>
    </row>
    <row r="6">
      <c r="A6" s="15" t="inlineStr">
        <is>
          <t>Grunde og bygninger</t>
        </is>
      </c>
      <c r="B6" s="16" t="n">
        <v>1653000</v>
      </c>
      <c r="C6" s="16" t="n">
        <v>1530000</v>
      </c>
      <c r="D6" s="16" t="n">
        <v>2051000</v>
      </c>
      <c r="E6" s="16" t="n">
        <v>2010000</v>
      </c>
      <c r="F6" s="16" t="n">
        <v>1878000</v>
      </c>
    </row>
    <row r="7">
      <c r="A7" s="15" t="inlineStr">
        <is>
          <t>Produktionsanlæg og maskiner</t>
        </is>
      </c>
      <c r="B7" s="16" t="n">
        <v>701000</v>
      </c>
      <c r="C7" s="16" t="n">
        <v>673000</v>
      </c>
      <c r="D7" s="16" t="n">
        <v>1139000</v>
      </c>
      <c r="E7" s="16" t="n">
        <v>911000</v>
      </c>
      <c r="F7" s="16" t="n">
        <v>944000</v>
      </c>
    </row>
    <row r="8">
      <c r="A8" s="15" t="inlineStr">
        <is>
          <t>Driftsmateriel og inventar</t>
        </is>
      </c>
      <c r="B8" s="16" t="n">
        <v>45000</v>
      </c>
      <c r="C8" s="16" t="n">
        <v>42000</v>
      </c>
      <c r="D8" s="16" t="n">
        <v>91000</v>
      </c>
      <c r="E8" s="16" t="n">
        <v>69000</v>
      </c>
      <c r="F8" s="16" t="n">
        <v>55000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>
        <v>95000</v>
      </c>
      <c r="F9" s="16" t="n"/>
    </row>
    <row r="10">
      <c r="A10" s="15" t="inlineStr">
        <is>
          <t>Forudbetaling og anlægsaktiver under opførelse</t>
        </is>
      </c>
      <c r="B10" s="16" t="n">
        <v>378000</v>
      </c>
      <c r="C10" s="16" t="n">
        <v>596000</v>
      </c>
      <c r="D10" s="16" t="n">
        <v>494000</v>
      </c>
      <c r="E10" s="16" t="n">
        <v>424000</v>
      </c>
      <c r="F10" s="16" t="n">
        <v>463000</v>
      </c>
    </row>
    <row r="11">
      <c r="A11" s="17" t="inlineStr">
        <is>
          <t>Materielle anlægsaktiver</t>
        </is>
      </c>
      <c r="B11" s="16" t="n">
        <v>2824000</v>
      </c>
      <c r="C11" s="16" t="n">
        <v>2883000</v>
      </c>
      <c r="D11" s="16" t="n">
        <v>3842000</v>
      </c>
      <c r="E11" s="16" t="n">
        <v>3509000</v>
      </c>
      <c r="F11" s="16" t="n">
        <v>3426000</v>
      </c>
    </row>
    <row r="12">
      <c r="A12" s="15" t="inlineStr">
        <is>
          <t>Kapitalandele, dattervirksomheder</t>
        </is>
      </c>
      <c r="B12" s="16" t="n">
        <v>4920000</v>
      </c>
      <c r="C12" s="16" t="n">
        <v>4994000</v>
      </c>
      <c r="D12" s="16" t="n">
        <v>4466000</v>
      </c>
      <c r="E12" s="16" t="n">
        <v>4251000</v>
      </c>
      <c r="F12" s="16" t="n">
        <v>3960000</v>
      </c>
    </row>
    <row r="13">
      <c r="A13" s="15" t="inlineStr">
        <is>
          <t>Deposita</t>
        </is>
      </c>
      <c r="B13" s="16" t="n">
        <v>4268000</v>
      </c>
      <c r="C13" s="16" t="n">
        <v>4281000</v>
      </c>
      <c r="D13" s="16" t="n">
        <v>4867000</v>
      </c>
      <c r="E13" s="16" t="n">
        <v>5181000</v>
      </c>
      <c r="F13" s="16" t="n">
        <v>5077000</v>
      </c>
    </row>
    <row r="14">
      <c r="A14" s="17" t="inlineStr">
        <is>
          <t>Finansielle anlægsaktiver</t>
        </is>
      </c>
      <c r="B14" s="16" t="n">
        <v>9395000</v>
      </c>
      <c r="C14" s="16" t="n">
        <v>9525000</v>
      </c>
      <c r="D14" s="16" t="n">
        <v>9520000</v>
      </c>
      <c r="E14" s="16" t="n">
        <v>9573000</v>
      </c>
      <c r="F14" s="16" t="n">
        <v>9183000</v>
      </c>
    </row>
    <row r="15">
      <c r="A15" s="17" t="inlineStr">
        <is>
          <t>Anlægsaktiver</t>
        </is>
      </c>
      <c r="B15" s="16" t="n">
        <v>12272000</v>
      </c>
      <c r="C15" s="16" t="n">
        <v>12442000</v>
      </c>
      <c r="D15" s="16" t="n">
        <v>13756000</v>
      </c>
      <c r="E15" s="16" t="n">
        <v>13456000</v>
      </c>
      <c r="F15" s="16" t="n">
        <v>12918000</v>
      </c>
    </row>
    <row r="16">
      <c r="A16" s="17" t="inlineStr">
        <is>
          <t>Varebeholdninger</t>
        </is>
      </c>
      <c r="B16" s="16" t="n">
        <v>1105000</v>
      </c>
      <c r="C16" s="16" t="n">
        <v>1302000</v>
      </c>
      <c r="D16" s="16" t="n">
        <v>1650000</v>
      </c>
      <c r="E16" s="16" t="n">
        <v>1347000</v>
      </c>
      <c r="F16" s="16" t="n">
        <v>1414000</v>
      </c>
    </row>
    <row r="17">
      <c r="A17" s="15" t="inlineStr">
        <is>
          <t>Tilgodehavender fra salg og tjenesteydelser</t>
        </is>
      </c>
      <c r="B17" s="16" t="n">
        <v>1520000</v>
      </c>
      <c r="C17" s="16" t="n">
        <v>1915000</v>
      </c>
      <c r="D17" s="16" t="n">
        <v>2233000</v>
      </c>
      <c r="E17" s="16" t="n">
        <v>2094000</v>
      </c>
      <c r="F17" s="16" t="n">
        <v>2110000</v>
      </c>
    </row>
    <row r="18">
      <c r="A18" s="15" t="inlineStr">
        <is>
          <t>Tilgodehavender hos tilknyttede virksomheder</t>
        </is>
      </c>
      <c r="B18" s="16" t="n">
        <v>3604000</v>
      </c>
      <c r="C18" s="16" t="n">
        <v>5757000</v>
      </c>
      <c r="D18" s="16" t="n">
        <v>6150000</v>
      </c>
      <c r="E18" s="16" t="n">
        <v>5478000</v>
      </c>
      <c r="F18" s="16" t="n">
        <v>5715000</v>
      </c>
    </row>
    <row r="19">
      <c r="A19" s="15" t="inlineStr">
        <is>
          <t>Andre tilgodehavender</t>
        </is>
      </c>
      <c r="B19" s="16" t="n">
        <v>307000</v>
      </c>
      <c r="C19" s="16" t="n">
        <v>379000</v>
      </c>
      <c r="D19" s="16" t="n">
        <v>364000</v>
      </c>
      <c r="E19" s="16" t="n">
        <v>293000</v>
      </c>
      <c r="F19" s="16" t="n">
        <v>331000</v>
      </c>
    </row>
    <row r="20">
      <c r="A20" s="15" t="inlineStr">
        <is>
          <t>Periodeafgrænsningsposter (aktiver)</t>
        </is>
      </c>
      <c r="B20" s="16" t="n">
        <v>25000</v>
      </c>
      <c r="C20" s="16" t="n">
        <v>23000</v>
      </c>
      <c r="D20" s="16" t="n">
        <v>47000</v>
      </c>
      <c r="E20" s="16" t="n">
        <v>34000</v>
      </c>
      <c r="F20" s="16" t="n">
        <v>44000</v>
      </c>
    </row>
    <row r="21">
      <c r="A21" s="15" t="inlineStr">
        <is>
          <t>Udskudt skatteaktiv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/>
      <c r="C23" s="16" t="n">
        <v>27000</v>
      </c>
      <c r="D23" s="16" t="n">
        <v>146000</v>
      </c>
      <c r="E23" s="16" t="n">
        <v>0</v>
      </c>
      <c r="F23" s="16" t="n">
        <v>17000</v>
      </c>
    </row>
    <row r="24">
      <c r="A24" s="17" t="inlineStr">
        <is>
          <t>Tilgodehavender</t>
        </is>
      </c>
      <c r="B24" s="16" t="n">
        <v>5468000</v>
      </c>
      <c r="C24" s="16" t="n">
        <v>8122000</v>
      </c>
      <c r="D24" s="16" t="n">
        <v>8981000</v>
      </c>
      <c r="E24" s="16" t="n">
        <v>7941000</v>
      </c>
      <c r="F24" s="16" t="n">
        <v>8236000</v>
      </c>
    </row>
    <row r="25">
      <c r="A25" s="15" t="inlineStr">
        <is>
          <t>Værdipapirer</t>
        </is>
      </c>
      <c r="B25" s="16" t="n">
        <v>39000</v>
      </c>
      <c r="C25" s="16" t="n">
        <v>30000</v>
      </c>
      <c r="D25" s="16" t="n">
        <v>32000</v>
      </c>
      <c r="E25" s="16" t="n">
        <v>0</v>
      </c>
      <c r="F25" s="16" t="n"/>
    </row>
    <row r="26">
      <c r="A26" s="15" t="inlineStr">
        <is>
          <t>Likvide beholdninger</t>
        </is>
      </c>
      <c r="B26" s="16" t="n">
        <v>0</v>
      </c>
      <c r="C26" s="16" t="n"/>
      <c r="D26" s="16" t="n"/>
      <c r="E26" s="16" t="n"/>
      <c r="F26" s="16" t="n"/>
    </row>
    <row r="27">
      <c r="A27" s="17" t="inlineStr">
        <is>
          <t>Omsætningsaktiver</t>
        </is>
      </c>
      <c r="B27" s="16" t="n">
        <v>6612000</v>
      </c>
      <c r="C27" s="16" t="n">
        <v>9454000</v>
      </c>
      <c r="D27" s="16" t="n">
        <v>10663000</v>
      </c>
      <c r="E27" s="16" t="n">
        <v>9288000</v>
      </c>
      <c r="F27" s="16" t="n">
        <v>9650000</v>
      </c>
    </row>
    <row r="28">
      <c r="A28" s="17" t="inlineStr">
        <is>
          <t>Aktiver</t>
        </is>
      </c>
      <c r="B28" s="16" t="n">
        <v>18884000</v>
      </c>
      <c r="C28" s="16" t="n">
        <v>21896000</v>
      </c>
      <c r="D28" s="16" t="n">
        <v>24419000</v>
      </c>
      <c r="E28" s="16" t="n">
        <v>22744000</v>
      </c>
      <c r="F28" s="16" t="n">
        <v>22568000</v>
      </c>
    </row>
    <row r="29">
      <c r="A29" s="15" t="inlineStr">
        <is>
          <t>Selskabskapital</t>
        </is>
      </c>
      <c r="B29" s="16" t="n">
        <v>38000</v>
      </c>
      <c r="C29" s="16" t="n">
        <v>38000</v>
      </c>
      <c r="D29" s="16" t="n">
        <v>38000</v>
      </c>
      <c r="E29" s="16" t="n">
        <v>38000</v>
      </c>
      <c r="F29" s="16" t="n">
        <v>38000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/>
      <c r="C32" s="16" t="n">
        <v>0</v>
      </c>
      <c r="D32" s="16" t="n">
        <v>7000</v>
      </c>
      <c r="E32" s="16" t="n">
        <v>-52000</v>
      </c>
      <c r="F32" s="16" t="n">
        <v>-8000</v>
      </c>
    </row>
    <row r="33">
      <c r="A33" s="15" t="inlineStr">
        <is>
          <t>Andre reserver</t>
        </is>
      </c>
      <c r="B33" s="16" t="n">
        <v>15000</v>
      </c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3390000</v>
      </c>
      <c r="C34" s="16" t="n">
        <v>3962000</v>
      </c>
      <c r="D34" s="16" t="n">
        <v>4204000</v>
      </c>
      <c r="E34" s="16" t="n">
        <v>4222000</v>
      </c>
      <c r="F34" s="16" t="n">
        <v>3994000</v>
      </c>
    </row>
    <row r="35">
      <c r="A35" s="17" t="inlineStr">
        <is>
          <t>Egenkapital i alt</t>
        </is>
      </c>
      <c r="B35" s="16" t="n">
        <v>3443000</v>
      </c>
      <c r="C35" s="16" t="n">
        <v>4058000</v>
      </c>
      <c r="D35" s="16" t="n">
        <v>4265000</v>
      </c>
      <c r="E35" s="16" t="n">
        <v>4276000</v>
      </c>
      <c r="F35" s="16" t="n">
        <v>4041000</v>
      </c>
    </row>
    <row r="36">
      <c r="A36" s="15" t="inlineStr">
        <is>
          <t>Hensættelse til udskudt skat</t>
        </is>
      </c>
      <c r="B36" s="16" t="n">
        <v>84000</v>
      </c>
      <c r="C36" s="16" t="n">
        <v>274000</v>
      </c>
      <c r="D36" s="16" t="n">
        <v>372000</v>
      </c>
      <c r="E36" s="16" t="n">
        <v>248000</v>
      </c>
      <c r="F36" s="16" t="n">
        <v>268000</v>
      </c>
    </row>
    <row r="37">
      <c r="A37" s="17" t="inlineStr">
        <is>
          <t>Hensatte forpligtelser</t>
        </is>
      </c>
      <c r="B37" s="16" t="n">
        <v>136000</v>
      </c>
      <c r="C37" s="16" t="n">
        <v>383000</v>
      </c>
      <c r="D37" s="16" t="n">
        <v>530000</v>
      </c>
      <c r="E37" s="16" t="n">
        <v>466000</v>
      </c>
      <c r="F37" s="16" t="n">
        <v>441000</v>
      </c>
    </row>
    <row r="38">
      <c r="A38" s="15" t="inlineStr">
        <is>
          <t>Ansvarlig lånekapital (langfristet)</t>
        </is>
      </c>
      <c r="B38" s="16" t="n">
        <v>2500000</v>
      </c>
      <c r="C38" s="16" t="n">
        <v>2500000</v>
      </c>
      <c r="D38" s="16" t="n"/>
      <c r="E38" s="16" t="n">
        <v>2500000</v>
      </c>
      <c r="F38" s="16" t="n">
        <v>2500000</v>
      </c>
    </row>
    <row r="39">
      <c r="A39" s="15" t="inlineStr">
        <is>
          <t>Langfristede lån</t>
        </is>
      </c>
      <c r="B39" s="16" t="n">
        <v>2608000</v>
      </c>
      <c r="C39" s="16" t="n">
        <v>2024000</v>
      </c>
      <c r="D39" s="16" t="n">
        <v>2117000</v>
      </c>
      <c r="E39" s="16" t="n">
        <v>2738000</v>
      </c>
      <c r="F39" s="16" t="n">
        <v>2711000</v>
      </c>
    </row>
    <row r="40">
      <c r="A40" s="15" t="inlineStr">
        <is>
          <t>Leasingforpligtelser (langfristet)</t>
        </is>
      </c>
      <c r="B40" s="16" t="n">
        <v>26000</v>
      </c>
      <c r="C40" s="16" t="n">
        <v>18000</v>
      </c>
      <c r="D40" s="16" t="n">
        <v>31000</v>
      </c>
      <c r="E40" s="16" t="n">
        <v>53000</v>
      </c>
      <c r="F40" s="16" t="n">
        <v>53000</v>
      </c>
    </row>
    <row r="41">
      <c r="A41" s="15" t="inlineStr">
        <is>
          <t>Anden gæld (langfristet)</t>
        </is>
      </c>
      <c r="B41" s="16" t="n"/>
      <c r="C41" s="16" t="n"/>
      <c r="D41" s="16" t="n"/>
      <c r="E41" s="16" t="n"/>
      <c r="F41" s="16" t="n"/>
    </row>
    <row r="42">
      <c r="A42" s="17" t="inlineStr">
        <is>
          <t>Langfristede gældsforpligtelser</t>
        </is>
      </c>
      <c r="B42" s="16" t="n">
        <v>9702000</v>
      </c>
      <c r="C42" s="16" t="n">
        <v>11597000</v>
      </c>
      <c r="D42" s="16" t="n">
        <v>11361000</v>
      </c>
      <c r="E42" s="16" t="n">
        <v>13108000</v>
      </c>
      <c r="F42" s="16" t="n">
        <v>11734000</v>
      </c>
    </row>
    <row r="43">
      <c r="A43" s="15" t="inlineStr">
        <is>
          <t>Ansvarlig lånekapital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Kortfristet del af langfristede gældsforpligtelser</t>
        </is>
      </c>
      <c r="B44" s="16" t="n">
        <v>781000</v>
      </c>
      <c r="C44" s="16" t="n">
        <v>2764000</v>
      </c>
      <c r="D44" s="16" t="n">
        <v>2486000</v>
      </c>
      <c r="E44" s="16" t="n">
        <v>285000</v>
      </c>
      <c r="F44" s="16" t="n">
        <v>2130000</v>
      </c>
    </row>
    <row r="45">
      <c r="A45" s="15" t="inlineStr">
        <is>
          <t>Kreditinstitutter</t>
        </is>
      </c>
      <c r="B45" s="16" t="n">
        <v>1372000</v>
      </c>
      <c r="C45" s="16" t="n">
        <v>84000</v>
      </c>
      <c r="D45" s="16" t="n">
        <v>1227000</v>
      </c>
      <c r="E45" s="16" t="n">
        <v>379000</v>
      </c>
      <c r="F45" s="16" t="n">
        <v>101000</v>
      </c>
    </row>
    <row r="46">
      <c r="A46" s="15" t="inlineStr">
        <is>
          <t>Leasingforpligtelser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Leverandører af varer og tjenesteydelser</t>
        </is>
      </c>
      <c r="B47" s="16" t="n">
        <v>969000</v>
      </c>
      <c r="C47" s="16" t="n">
        <v>1124000</v>
      </c>
      <c r="D47" s="16" t="n">
        <v>1208000</v>
      </c>
      <c r="E47" s="16" t="n">
        <v>1206000</v>
      </c>
      <c r="F47" s="16" t="n">
        <v>1220000</v>
      </c>
    </row>
    <row r="48">
      <c r="A48" s="15" t="inlineStr">
        <is>
          <t>Gæld til tilknyttede virksomheder</t>
        </is>
      </c>
      <c r="B48" s="16" t="n">
        <v>1799000</v>
      </c>
      <c r="C48" s="16" t="n">
        <v>1199000</v>
      </c>
      <c r="D48" s="16" t="n">
        <v>1958000</v>
      </c>
      <c r="E48" s="16" t="n">
        <v>1616000</v>
      </c>
      <c r="F48" s="16" t="n">
        <v>1857000</v>
      </c>
    </row>
    <row r="49">
      <c r="A49" s="15" t="inlineStr">
        <is>
          <t>Gæld til selskabsdeltagere og ledelse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Selskabsskat</t>
        </is>
      </c>
      <c r="B50" s="16" t="n"/>
      <c r="C50" s="16" t="n">
        <v>0</v>
      </c>
      <c r="D50" s="16" t="n">
        <v>0</v>
      </c>
      <c r="E50" s="16" t="n">
        <v>205000</v>
      </c>
      <c r="F50" s="16" t="n">
        <v>0</v>
      </c>
    </row>
    <row r="51">
      <c r="A51" s="15" t="inlineStr">
        <is>
          <t>Gæld til tilknyttede virksomheder vedr. selskabsskat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Anden gæld (kortfristet)</t>
        </is>
      </c>
      <c r="B52" s="16" t="n">
        <v>587000</v>
      </c>
      <c r="C52" s="16" t="n">
        <v>615000</v>
      </c>
      <c r="D52" s="16" t="n">
        <v>1357000</v>
      </c>
      <c r="E52" s="16" t="n">
        <v>1203000</v>
      </c>
      <c r="F52" s="16" t="n">
        <v>1027000</v>
      </c>
    </row>
    <row r="53">
      <c r="A53" s="15" t="inlineStr">
        <is>
          <t>Periodeafgrænsningsposter (passiver)</t>
        </is>
      </c>
      <c r="B53" s="16" t="n">
        <v>3000</v>
      </c>
      <c r="C53" s="16" t="n"/>
      <c r="D53" s="16" t="n"/>
      <c r="E53" s="16" t="n"/>
      <c r="F53" s="16" t="n">
        <v>17000</v>
      </c>
    </row>
    <row r="54">
      <c r="A54" s="17" t="inlineStr">
        <is>
          <t>Kortfristede gældsforpligtelser</t>
        </is>
      </c>
      <c r="B54" s="16" t="n">
        <v>5603000</v>
      </c>
      <c r="C54" s="16" t="n">
        <v>5858000</v>
      </c>
      <c r="D54" s="16" t="n">
        <v>8263000</v>
      </c>
      <c r="E54" s="16" t="n">
        <v>4894000</v>
      </c>
      <c r="F54" s="16" t="n">
        <v>6352000</v>
      </c>
    </row>
    <row r="55">
      <c r="A55" s="17" t="inlineStr">
        <is>
          <t>Gældsforpligtelser</t>
        </is>
      </c>
      <c r="B55" s="16" t="n">
        <v>15305000</v>
      </c>
      <c r="C55" s="16" t="n">
        <v>17455000</v>
      </c>
      <c r="D55" s="16" t="n">
        <v>19624000</v>
      </c>
      <c r="E55" s="16" t="n">
        <v>18002000</v>
      </c>
      <c r="F55" s="16" t="n">
        <v>18086000</v>
      </c>
    </row>
    <row r="56">
      <c r="A56" s="17" t="inlineStr">
        <is>
          <t>Passiver</t>
        </is>
      </c>
      <c r="B56" s="16" t="n">
        <v>18884000</v>
      </c>
      <c r="C56" s="16" t="n">
        <v>21896000</v>
      </c>
      <c r="D56" s="16" t="n">
        <v>24419000</v>
      </c>
      <c r="E56" s="16" t="n">
        <v>22744000</v>
      </c>
      <c r="F56" s="16" t="n">
        <v>22568000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Danish Crown A/S (CVR 26121264) — Regnskabs- og nøgletal (CVR: 26121264)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'res_raw_26121264'!$F$2</f>
        <v/>
      </c>
      <c r="C5" s="24">
        <f>'res_raw_26121264'!$E$2</f>
        <v/>
      </c>
      <c r="D5" s="24">
        <f>'res_raw_26121264'!$D$2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-'res_raw_26121264'!$F$3</f>
        <v/>
      </c>
      <c r="C6" s="24">
        <f>-'res_raw_26121264'!$E$3</f>
        <v/>
      </c>
      <c r="D6" s="24">
        <f>-'res_raw_26121264'!$D$3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IF(ABS((SUM(B5:B6))-'res_raw_26121264'!$F$4)&lt;=2,SUM(B5:B6),'res_raw_26121264'!$F$4)</f>
        <v/>
      </c>
      <c r="C7" s="27">
        <f>IF(ABS((SUM(C5:C6))-'res_raw_26121264'!$E$4)&lt;=2,SUM(C5:C6),'res_raw_26121264'!$E$4)</f>
        <v/>
      </c>
      <c r="D7" s="27">
        <f>IF(ABS((SUM(D5:D6))-'res_raw_26121264'!$D$4)&lt;=2,SUM(D5:D6),'res_raw_26121264'!$D$4)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-'res_raw_26121264'!$F$5</f>
        <v/>
      </c>
      <c r="C8" s="24">
        <f>-'res_raw_26121264'!$E$5</f>
        <v/>
      </c>
      <c r="D8" s="24">
        <f>-'res_raw_26121264'!$D$5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-'res_raw_26121264'!$F$6</f>
        <v/>
      </c>
      <c r="C9" s="24">
        <f>-'res_raw_26121264'!$E$6</f>
        <v/>
      </c>
      <c r="D9" s="24">
        <f>-'res_raw_26121264'!$D$6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-'res_raw_26121264'!$F$7</f>
        <v/>
      </c>
      <c r="C10" s="24">
        <f>-'res_raw_26121264'!$E$7</f>
        <v/>
      </c>
      <c r="D10" s="24">
        <f>-'res_raw_26121264'!$D$7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'res_raw_26121264'!$F$8</f>
        <v/>
      </c>
      <c r="C11" s="24">
        <f>'res_raw_26121264'!$E$8</f>
        <v/>
      </c>
      <c r="D11" s="24">
        <f>'res_raw_26121264'!$D$8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-'res_raw_26121264'!$F$9</f>
        <v/>
      </c>
      <c r="C12" s="27">
        <f>-'res_raw_26121264'!$E$9</f>
        <v/>
      </c>
      <c r="D12" s="27">
        <f>-'res_raw_26121264'!$D$9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IF(ABS((SUM(B7:B12))-'res_raw_26121264'!$F$10)&lt;=2,SUM(B7:B12),'res_raw_26121264'!$F$10)</f>
        <v/>
      </c>
      <c r="C13" s="30">
        <f>IF(ABS((SUM(C7:C12))-'res_raw_26121264'!$E$10)&lt;=2,SUM(C7:C12),'res_raw_26121264'!$E$10)</f>
        <v/>
      </c>
      <c r="D13" s="30">
        <f>IF(ABS((SUM(D7:D12))-'res_raw_26121264'!$D$10)&lt;=2,SUM(D7:D12),'res_raw_26121264'!$D$10)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N('res_raw_26121264'!$F$11)+N('res_raw_26121264'!$F$12)</f>
        <v/>
      </c>
      <c r="C14" s="24">
        <f>N('res_raw_26121264'!$E$11)+N('res_raw_26121264'!$E$12)</f>
        <v/>
      </c>
      <c r="D14" s="24">
        <f>N('res_raw_26121264'!$D$11)+N('res_raw_26121264'!$D$12)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-'res_raw_26121264'!$F$13</f>
        <v/>
      </c>
      <c r="C15" s="27">
        <f>-'res_raw_26121264'!$E$13</f>
        <v/>
      </c>
      <c r="D15" s="27">
        <f>-'res_raw_26121264'!$D$13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IF(ABS((SUM(B13:B15))-'res_raw_26121264'!$F$15)&lt;=2,SUM(B13:B15),'res_raw_26121264'!$F$15)</f>
        <v/>
      </c>
      <c r="C16" s="30">
        <f>IF(ABS((SUM(C13:C15))-'res_raw_26121264'!$E$15)&lt;=2,SUM(C13:C15),'res_raw_26121264'!$E$15)</f>
        <v/>
      </c>
      <c r="D16" s="30">
        <f>IF(ABS((SUM(D13:D15))-'res_raw_26121264'!$D$15)&lt;=2,SUM(D13:D15),'res_raw_26121264'!$D$15)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'balance_raw_26121264'!$F$15</f>
        <v/>
      </c>
      <c r="C19" s="24">
        <f>'balance_raw_26121264'!$E$15</f>
        <v/>
      </c>
      <c r="D19" s="24">
        <f>'balance_raw_26121264'!$D$15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'balance_raw_26121264'!$F$27</f>
        <v/>
      </c>
      <c r="C20" s="24">
        <f>'balance_raw_26121264'!$E$27</f>
        <v/>
      </c>
      <c r="D20" s="24">
        <f>'balance_raw_26121264'!$D$27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'balance_raw_26121264'!$F$35</f>
        <v/>
      </c>
      <c r="C23" s="24">
        <f>'balance_raw_26121264'!$E$35</f>
        <v/>
      </c>
      <c r="D23" s="24">
        <f>'balance_raw_26121264'!$D$35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'balance_raw_26121264'!$F$56-'balance_raw_26121264'!$F$35</f>
        <v/>
      </c>
      <c r="C24" s="24">
        <f>'balance_raw_26121264'!$E$56-'balance_raw_26121264'!$E$35</f>
        <v/>
      </c>
      <c r="D24" s="24">
        <f>'balance_raw_26121264'!$D$56-'balance_raw_26121264'!$D$35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'balance_raw_26121264'!$F$16</f>
        <v/>
      </c>
      <c r="C28" s="24">
        <f>'balance_raw_26121264'!$E$16</f>
        <v/>
      </c>
      <c r="D28" s="24">
        <f>'balance_raw_26121264'!$D$16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'balance_raw_26121264'!$F$17</f>
        <v/>
      </c>
      <c r="C29" s="24">
        <f>'balance_raw_26121264'!$E$17</f>
        <v/>
      </c>
      <c r="D29" s="24">
        <f>'balance_raw_26121264'!$D$17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'balance_raw_26121264'!$F$54</f>
        <v/>
      </c>
      <c r="C30" s="24">
        <f>'balance_raw_26121264'!$E$54</f>
        <v/>
      </c>
      <c r="D30" s="24">
        <f>'balance_raw_26121264'!$D$54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IF('balance_raw_26121264'!$F$28="","—",IF(ABS(B21-'balance_raw_26121264'!$F$28)&lt;=1,"✓ OK","❌ "&amp;TEXT(B21-'balance_raw_26121264'!$F$28,"+#,##0;-#,##0")&amp;" t.kr."))</f>
        <v/>
      </c>
      <c r="C62" s="31">
        <f>IF('balance_raw_26121264'!$E$28="","—",IF(ABS(C21-'balance_raw_26121264'!$E$28)&lt;=1,"✓ OK","❌ "&amp;TEXT(C21-'balance_raw_26121264'!$E$28,"+#,##0;-#,##0")&amp;" t.kr."))</f>
        <v/>
      </c>
      <c r="D62" s="31">
        <f>IF('balance_raw_26121264'!$D$28="","—",IF(ABS(D21-'balance_raw_26121264'!$D$28)&lt;=1,"✓ OK","❌ "&amp;TEXT(D21-'balance_raw_26121264'!$D$28,"+#,##0;-#,##0")&amp;"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IF('balance_raw_26121264'!$F$56="","—",IF(ABS(B25-'balance_raw_26121264'!$F$56)&lt;=1,"✓ OK","❌ "&amp;TEXT(B25-'balance_raw_26121264'!$F$56,"+#,##0;-#,##0")&amp;" t.kr."))</f>
        <v/>
      </c>
      <c r="C63" s="31">
        <f>IF('balance_raw_26121264'!$E$56="","—",IF(ABS(C25-'balance_raw_26121264'!$E$56)&lt;=1,"✓ OK","❌ "&amp;TEXT(C25-'balance_raw_26121264'!$E$56,"+#,##0;-#,##0")&amp;" t.kr."))</f>
        <v/>
      </c>
      <c r="D63" s="31">
        <f>IF('balance_raw_26121264'!$D$56="","—",IF(ABS(D25-'balance_raw_26121264'!$D$56)&lt;=1,"✓ OK","❌ "&amp;TEXT(D25-'balance_raw_26121264'!$D$56,"+#,##0;-#,##0")&amp;"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IF('res_raw_26121264'!$F$4="","—",IF(ABS(B7-'res_raw_26121264'!$F$4)&lt;=1,"✓ OK","❌ "&amp;TEXT(B7-'res_raw_26121264'!$F$4,"+#,##0;-#,##0")&amp;" t.kr."))</f>
        <v/>
      </c>
      <c r="C65" s="31">
        <f>IF('res_raw_26121264'!$E$4="","—",IF(ABS(C7-'res_raw_26121264'!$E$4)&lt;=1,"✓ OK","❌ "&amp;TEXT(C7-'res_raw_26121264'!$E$4,"+#,##0;-#,##0")&amp;" t.kr."))</f>
        <v/>
      </c>
      <c r="D65" s="31">
        <f>IF('res_raw_26121264'!$D$4="","—",IF(ABS(D7-'res_raw_26121264'!$D$4)&lt;=1,"✓ OK","❌ "&amp;TEXT(D7-'res_raw_26121264'!$D$4,"+#,##0;-#,##0")&amp;"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IF('res_raw_26121264'!$F$10="","—",IF(ABS(B13-'res_raw_26121264'!$F$10)&lt;=1,"✓ OK","❌ "&amp;TEXT(B13-'res_raw_26121264'!$F$10,"+#,##0;-#,##0")&amp;" t.kr."))</f>
        <v/>
      </c>
      <c r="C66" s="31">
        <f>IF('res_raw_26121264'!$E$10="","—",IF(ABS(C13-'res_raw_26121264'!$E$10)&lt;=1,"✓ OK","❌ "&amp;TEXT(C13-'res_raw_26121264'!$E$10,"+#,##0;-#,##0")&amp;" t.kr."))</f>
        <v/>
      </c>
      <c r="D66" s="31">
        <f>IF('res_raw_26121264'!$D$10="","—",IF(ABS(D13-'res_raw_26121264'!$D$10)&lt;=1,"✓ OK","❌ "&amp;TEXT(D13-'res_raw_26121264'!$D$10,"+#,##0;-#,##0")&amp;"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IF('res_raw_26121264'!$F$15="","—",IF(ABS(B16-'res_raw_26121264'!$F$15)&lt;=1,"✓ OK","❌ "&amp;TEXT(B16-'res_raw_26121264'!$F$15,"+#,##0;-#,##0")&amp;" t.kr."))</f>
        <v/>
      </c>
      <c r="C67" s="31">
        <f>IF('res_raw_26121264'!$E$15="","—",IF(ABS(C16-'res_raw_26121264'!$E$15)&lt;=1,"✓ OK","❌ "&amp;TEXT(C16-'res_raw_26121264'!$E$15,"+#,##0;-#,##0")&amp;" t.kr."))</f>
        <v/>
      </c>
      <c r="D67" s="31">
        <f>IF('res_raw_26121264'!$D$15="","—",IF(ABS(D16-'res_raw_26121264'!$D$15)&lt;=1,"✓ OK","❌ "&amp;TEXT(D16-'res_raw_26121264'!$D$15,"+#,##0;-#,##0")&amp;"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Danish Crown A/S (CVR 26121264)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fsa:Dividend</t>
        </is>
      </c>
      <c r="C3" s="36" t="inlineStr">
        <is>
          <t>fsa:Dividend</t>
        </is>
      </c>
      <c r="D3" s="37" t="n"/>
      <c r="E3" s="37" t="n"/>
      <c r="F3" s="37" t="n">
        <v>0</v>
      </c>
      <c r="G3" s="37" t="n"/>
      <c r="H3" s="37" t="n"/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fsa:IncomeFromInvestmentsInParticipatingInterests</t>
        </is>
      </c>
      <c r="C4" s="39" t="inlineStr">
        <is>
          <t>fsa:IncomeFromInvestmentsInParticipatingInterests</t>
        </is>
      </c>
      <c r="D4" s="40" t="n"/>
      <c r="E4" s="40" t="n"/>
      <c r="F4" s="40" t="n"/>
      <c r="G4" s="40" t="n">
        <v>309000</v>
      </c>
      <c r="H4" s="40" t="n">
        <v>5000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fsa:LongtermParticipatingInterests</t>
        </is>
      </c>
      <c r="C5" s="36" t="inlineStr">
        <is>
          <t>fsa:LongtermParticipatingInterests</t>
        </is>
      </c>
      <c r="D5" s="37" t="n"/>
      <c r="E5" s="37" t="n"/>
      <c r="F5" s="37" t="n">
        <v>187000</v>
      </c>
      <c r="G5" s="37" t="n">
        <v>141000</v>
      </c>
      <c r="H5" s="37" t="n">
        <v>146000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fsa:OtherLongtermDebtRaisedByIssuanceOfBonds</t>
        </is>
      </c>
      <c r="C6" s="39" t="inlineStr">
        <is>
          <t>fsa:OtherLongtermDebtRaisedByIssuanceOfBonds</t>
        </is>
      </c>
      <c r="D6" s="40" t="n">
        <v>3492000</v>
      </c>
      <c r="E6" s="40" t="n">
        <v>2158000</v>
      </c>
      <c r="F6" s="40" t="n">
        <v>4875000</v>
      </c>
      <c r="G6" s="40" t="n">
        <v>4655000</v>
      </c>
      <c r="H6" s="40" t="n">
        <v>2539000</v>
      </c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fsa:ReserveForCurrentValueAdjustmentsOfCurrencyGains</t>
        </is>
      </c>
      <c r="C7" s="36" t="inlineStr">
        <is>
          <t>fsa:ReserveForCurrentValueAdjustmentsOfCurrencyGains</t>
        </is>
      </c>
      <c r="D7" s="37" t="n"/>
      <c r="E7" s="37" t="n">
        <v>58000</v>
      </c>
      <c r="F7" s="37" t="n">
        <v>16000</v>
      </c>
      <c r="G7" s="37" t="n">
        <v>68000</v>
      </c>
      <c r="H7" s="37" t="n">
        <v>17000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fsa:ShorttermPayablesToAssociates</t>
        </is>
      </c>
      <c r="C8" s="39" t="inlineStr">
        <is>
          <t>fsa:ShorttermPayablesToAssociates</t>
        </is>
      </c>
      <c r="D8" s="40" t="n">
        <v>29000</v>
      </c>
      <c r="E8" s="40" t="n"/>
      <c r="F8" s="40" t="n"/>
      <c r="G8" s="40" t="n"/>
      <c r="H8" s="40" t="n"/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fsa:ShorttermPayablesToParticipatingInterest</t>
        </is>
      </c>
      <c r="C9" s="36" t="inlineStr">
        <is>
          <t>fsa:ShorttermPayablesToParticipatingInterest</t>
        </is>
      </c>
      <c r="D9" s="37" t="n"/>
      <c r="E9" s="37" t="n">
        <v>72000</v>
      </c>
      <c r="F9" s="37" t="n">
        <v>27000</v>
      </c>
      <c r="G9" s="37" t="n">
        <v>0</v>
      </c>
      <c r="H9" s="37" t="n"/>
      <c r="I9" s="38" t="inlineStr">
        <is>
          <t>Ingen forklaring tilgængelig.</t>
        </is>
      </c>
    </row>
    <row r="10" ht="30" customHeight="1">
      <c r="A10" s="39" t="inlineStr">
        <is>
          <t>Øvrige (ukendt)</t>
        </is>
      </c>
      <c r="B10" s="39" t="inlineStr">
        <is>
          <t>fsa:ShorttermReceivablesFromParticipatingInterests</t>
        </is>
      </c>
      <c r="C10" s="39" t="inlineStr">
        <is>
          <t>fsa:ShorttermReceivablesFromParticipatingInterests</t>
        </is>
      </c>
      <c r="D10" s="40" t="n"/>
      <c r="E10" s="40" t="n">
        <v>21000</v>
      </c>
      <c r="F10" s="40" t="n">
        <v>41000</v>
      </c>
      <c r="G10" s="40" t="n">
        <v>42000</v>
      </c>
      <c r="H10" s="40" t="n">
        <v>19000</v>
      </c>
      <c r="I10" s="41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2026-10-02T21:12:00Z</dcterms:created>
  <dcterms:modified xmlns:dcterms="http://purl.org/dc/terms/" xmlns:xsi="http://www.w3.org/2001/XMLSchema-instance" xsi:type="dcterms:W3CDTF">2026-10-02T21:12:01Z</dcterms:modified>
</cp:coreProperties>
</file>