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'balance_raw'!$B$14</f>
        <v/>
      </c>
      <c r="C34" s="8">
        <f>'balance_raw'!$C$14</f>
        <v/>
      </c>
      <c r="D34" s="8">
        <f>'balance_raw'!$D$14</f>
        <v/>
      </c>
      <c r="E34" s="8">
        <f>'balance_raw'!$E$14</f>
        <v/>
      </c>
      <c r="F34" s="8">
        <f>'balance_raw'!$F$14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'balance_raw'!$B$15</f>
        <v/>
      </c>
      <c r="C35" s="8">
        <f>'balance_raw'!$C$15</f>
        <v/>
      </c>
      <c r="D35" s="8">
        <f>'balance_raw'!$D$15</f>
        <v/>
      </c>
      <c r="E35" s="8">
        <f>'balance_raw'!$E$15</f>
        <v/>
      </c>
      <c r="F35" s="8">
        <f>'balance_raw'!$F$15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'balance_raw'!$B$24</f>
        <v/>
      </c>
      <c r="C44" s="5">
        <f>'balance_raw'!$C$24</f>
        <v/>
      </c>
      <c r="D44" s="5">
        <f>'balance_raw'!$D$24</f>
        <v/>
      </c>
      <c r="E44" s="5">
        <f>'balance_raw'!$E$24</f>
        <v/>
      </c>
      <c r="F44" s="5">
        <f>'balance_raw'!$F$24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'balance_raw'!$B$25</f>
        <v/>
      </c>
      <c r="C45" s="11">
        <f>'balance_raw'!$C$25</f>
        <v/>
      </c>
      <c r="D45" s="11">
        <f>'balance_raw'!$D$25</f>
        <v/>
      </c>
      <c r="E45" s="11">
        <f>'balance_raw'!$E$25</f>
        <v/>
      </c>
      <c r="F45" s="11">
        <f>'balance_raw'!$F$25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'balance_raw'!$B$26</f>
        <v/>
      </c>
      <c r="C46" s="5">
        <f>'balance_raw'!$C$26</f>
        <v/>
      </c>
      <c r="D46" s="5">
        <f>'balance_raw'!$D$26</f>
        <v/>
      </c>
      <c r="E46" s="5">
        <f>'balance_raw'!$E$26</f>
        <v/>
      </c>
      <c r="F46" s="5">
        <f>'balance_raw'!$F$26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'balance_raw'!$B$27</f>
        <v/>
      </c>
      <c r="C47" s="8">
        <f>'balance_raw'!$C$27</f>
        <v/>
      </c>
      <c r="D47" s="8">
        <f>'balance_raw'!$D$27</f>
        <v/>
      </c>
      <c r="E47" s="8">
        <f>'balance_raw'!$E$27</f>
        <v/>
      </c>
      <c r="F47" s="8">
        <f>'balance_raw'!$F$27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'balance_raw'!$B$28</f>
        <v/>
      </c>
      <c r="C48" s="5">
        <f>'balance_raw'!$C$28</f>
        <v/>
      </c>
      <c r="D48" s="5">
        <f>'balance_raw'!$D$28</f>
        <v/>
      </c>
      <c r="E48" s="5">
        <f>'balance_raw'!$E$28</f>
        <v/>
      </c>
      <c r="F48" s="5">
        <f>'balance_raw'!$F$28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'balance_raw'!$B$29</f>
        <v/>
      </c>
      <c r="C49" s="11">
        <f>'balance_raw'!$C$29</f>
        <v/>
      </c>
      <c r="D49" s="11">
        <f>'balance_raw'!$D$29</f>
        <v/>
      </c>
      <c r="E49" s="11">
        <f>'balance_raw'!$E$29</f>
        <v/>
      </c>
      <c r="F49" s="11">
        <f>'balance_raw'!$F$29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'balance_raw'!$B$30</f>
        <v/>
      </c>
      <c r="C50" s="8">
        <f>'balance_raw'!$C$30</f>
        <v/>
      </c>
      <c r="D50" s="8">
        <f>'balance_raw'!$D$30</f>
        <v/>
      </c>
      <c r="E50" s="8">
        <f>'balance_raw'!$E$30</f>
        <v/>
      </c>
      <c r="F50" s="8">
        <f>'balance_raw'!$F$30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'balance_raw'!$B$31</f>
        <v/>
      </c>
      <c r="C51" s="8">
        <f>'balance_raw'!$C$31</f>
        <v/>
      </c>
      <c r="D51" s="8">
        <f>'balance_raw'!$D$31</f>
        <v/>
      </c>
      <c r="E51" s="8">
        <f>'balance_raw'!$E$31</f>
        <v/>
      </c>
      <c r="F51" s="8">
        <f>'balance_raw'!$F$31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'balance_raw'!$B$38</f>
        <v/>
      </c>
      <c r="C60" s="8">
        <f>'balance_raw'!$C$38</f>
        <v/>
      </c>
      <c r="D60" s="8">
        <f>'balance_raw'!$D$38</f>
        <v/>
      </c>
      <c r="E60" s="8">
        <f>'balance_raw'!$E$38</f>
        <v/>
      </c>
      <c r="F60" s="8">
        <f>'balance_raw'!$F$38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'balance_raw'!$B$40</f>
        <v/>
      </c>
      <c r="C62" s="8">
        <f>'balance_raw'!$C$40</f>
        <v/>
      </c>
      <c r="D62" s="8">
        <f>'balance_raw'!$D$40</f>
        <v/>
      </c>
      <c r="E62" s="8">
        <f>'balance_raw'!$E$40</f>
        <v/>
      </c>
      <c r="F62" s="8">
        <f>'balance_raw'!$F$40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'balance_raw'!$B$51</f>
        <v/>
      </c>
      <c r="C73" s="11">
        <f>'balance_raw'!$C$51</f>
        <v/>
      </c>
      <c r="D73" s="11">
        <f>'balance_raw'!$D$51</f>
        <v/>
      </c>
      <c r="E73" s="11">
        <f>'balance_raw'!$E$51</f>
        <v/>
      </c>
      <c r="F73" s="11">
        <f>'balance_raw'!$F$51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'balance_raw'!$B$52</f>
        <v/>
      </c>
      <c r="C74" s="5">
        <f>'balance_raw'!$C$52</f>
        <v/>
      </c>
      <c r="D74" s="5">
        <f>'balance_raw'!$D$52</f>
        <v/>
      </c>
      <c r="E74" s="5">
        <f>'balance_raw'!$E$52</f>
        <v/>
      </c>
      <c r="F74" s="5">
        <f>'balance_raw'!$F$52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'balance_raw'!$B$53</f>
        <v/>
      </c>
      <c r="C75" s="11">
        <f>'balance_raw'!$C$53</f>
        <v/>
      </c>
      <c r="D75" s="11">
        <f>'balance_raw'!$D$53</f>
        <v/>
      </c>
      <c r="E75" s="11">
        <f>'balance_raw'!$E$53</f>
        <v/>
      </c>
      <c r="F75" s="11">
        <f>'balance_raw'!$F$53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'balance_raw'!$B$54</f>
        <v/>
      </c>
      <c r="C76" s="5">
        <f>'balance_raw'!$C$54</f>
        <v/>
      </c>
      <c r="D76" s="5">
        <f>'balance_raw'!$D$54</f>
        <v/>
      </c>
      <c r="E76" s="5">
        <f>'balance_raw'!$E$54</f>
        <v/>
      </c>
      <c r="F76" s="5">
        <f>'balance_raw'!$F$54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'balance_raw'!$B$55</f>
        <v/>
      </c>
      <c r="C77" s="11">
        <f>'balance_raw'!$C$55</f>
        <v/>
      </c>
      <c r="D77" s="11">
        <f>'balance_raw'!$D$55</f>
        <v/>
      </c>
      <c r="E77" s="11">
        <f>'balance_raw'!$E$55</f>
        <v/>
      </c>
      <c r="F77" s="11">
        <f>'balance_raw'!$F$55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'balance_raw'!$B$56</f>
        <v/>
      </c>
      <c r="C78" s="5">
        <f>'balance_raw'!$C$56</f>
        <v/>
      </c>
      <c r="D78" s="5">
        <f>'balance_raw'!$D$56</f>
        <v/>
      </c>
      <c r="E78" s="5">
        <f>'balance_raw'!$E$56</f>
        <v/>
      </c>
      <c r="F78" s="5">
        <f>'balance_raw'!$F$56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'balance_raw'!$B$57</f>
        <v/>
      </c>
      <c r="C79" s="8">
        <f>'balance_raw'!$C$57</f>
        <v/>
      </c>
      <c r="D79" s="8">
        <f>'balance_raw'!$D$57</f>
        <v/>
      </c>
      <c r="E79" s="8">
        <f>'balance_raw'!$E$57</f>
        <v/>
      </c>
      <c r="F79" s="8">
        <f>'balance_raw'!$F$57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'balance_raw'!$B$58</f>
        <v/>
      </c>
      <c r="C80" s="8">
        <f>'balance_raw'!$C$58</f>
        <v/>
      </c>
      <c r="D80" s="8">
        <f>'balance_raw'!$D$58</f>
        <v/>
      </c>
      <c r="E80" s="8">
        <f>'balance_raw'!$E$58</f>
        <v/>
      </c>
      <c r="F80" s="8">
        <f>'balance_raw'!$F$58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'balance_raw'!$B$59</f>
        <v/>
      </c>
      <c r="C81" s="8">
        <f>'balance_raw'!$C$59</f>
        <v/>
      </c>
      <c r="D81" s="8">
        <f>'balance_raw'!$D$59</f>
        <v/>
      </c>
      <c r="E81" s="8">
        <f>'balance_raw'!$E$59</f>
        <v/>
      </c>
      <c r="F81" s="8">
        <f>'balance_raw'!$F$59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'pengestrom_raw'!$B$2</f>
        <v/>
      </c>
      <c r="C101" s="17">
        <f>'pengestrom_raw'!$C$2</f>
        <v/>
      </c>
      <c r="D101" s="17">
        <f>'pengestrom_raw'!$D$2</f>
        <v/>
      </c>
      <c r="E101" s="17">
        <f>'pengestrom_raw'!$E$2</f>
        <v/>
      </c>
      <c r="F101" s="17">
        <f>'pengestrom_raw'!$F$2</f>
        <v/>
      </c>
    </row>
    <row r="102">
      <c r="A102" s="16" t="inlineStr">
        <is>
          <t>Pengestrømme fra investeringsaktivitet</t>
        </is>
      </c>
      <c r="B102" s="17">
        <f>'pengestrom_raw'!$B$3</f>
        <v/>
      </c>
      <c r="C102" s="17">
        <f>'pengestrom_raw'!$C$3</f>
        <v/>
      </c>
      <c r="D102" s="17">
        <f>'pengestrom_raw'!$D$3</f>
        <v/>
      </c>
      <c r="E102" s="17">
        <f>'pengestrom_raw'!$E$3</f>
        <v/>
      </c>
      <c r="F102" s="17">
        <f>'pengestrom_raw'!$F$3</f>
        <v/>
      </c>
    </row>
    <row r="103">
      <c r="A103" s="16" t="inlineStr">
        <is>
          <t>Pengestrømme fra finansieringsaktivitet</t>
        </is>
      </c>
      <c r="B103" s="17">
        <f>'pengestrom_raw'!$B$4</f>
        <v/>
      </c>
      <c r="C103" s="17">
        <f>'pengestrom_raw'!$C$4</f>
        <v/>
      </c>
      <c r="D103" s="17">
        <f>'pengestrom_raw'!$D$4</f>
        <v/>
      </c>
      <c r="E103" s="17">
        <f>'pengestrom_raw'!$E$4</f>
        <v/>
      </c>
      <c r="F103" s="17">
        <f>'pengestrom_raw'!$F$4</f>
        <v/>
      </c>
    </row>
    <row r="104">
      <c r="A104" s="16" t="inlineStr">
        <is>
          <t>Årets pengestrøm (rapporteret)</t>
        </is>
      </c>
      <c r="B104" s="17">
        <f>'pengestrom_raw'!$B$5</f>
        <v/>
      </c>
      <c r="C104" s="17">
        <f>'pengestrom_raw'!$C$5</f>
        <v/>
      </c>
      <c r="D104" s="17">
        <f>'pengestrom_raw'!$D$5</f>
        <v/>
      </c>
      <c r="E104" s="17">
        <f>'pengestrom_raw'!$E$5</f>
        <v/>
      </c>
      <c r="F104" s="17">
        <f>'pengestrom_raw'!$F$5</f>
        <v/>
      </c>
    </row>
    <row r="105">
      <c r="A105" s="16" t="inlineStr">
        <is>
          <t>Krydstjek: drift + inv. + fin. = årets pengestrøm</t>
        </is>
      </c>
      <c r="B10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70097</v>
      </c>
      <c r="C6" s="17" t="n">
        <v>83379</v>
      </c>
      <c r="D6" s="17" t="n">
        <v>107183</v>
      </c>
      <c r="E6" s="17" t="n">
        <v>101429</v>
      </c>
      <c r="F6" s="17" t="n">
        <v>120059</v>
      </c>
    </row>
    <row r="7">
      <c r="A7" s="16" t="inlineStr">
        <is>
          <t>Administrationsomkostninger</t>
        </is>
      </c>
      <c r="B7" s="17" t="n">
        <v>46749</v>
      </c>
      <c r="C7" s="17" t="n">
        <v>47709</v>
      </c>
      <c r="D7" s="17" t="n">
        <v>61948</v>
      </c>
      <c r="E7" s="17" t="n">
        <v>83060</v>
      </c>
      <c r="F7" s="17" t="n">
        <v>86675</v>
      </c>
    </row>
    <row r="8">
      <c r="A8" s="16" t="inlineStr">
        <is>
          <t>Andre driftsindtægter</t>
        </is>
      </c>
      <c r="B8" s="17" t="n"/>
      <c r="C8" s="17" t="n">
        <v>3852</v>
      </c>
      <c r="D8" s="17" t="n">
        <v>6410</v>
      </c>
      <c r="E8" s="17" t="n">
        <v>9891</v>
      </c>
      <c r="F8" s="17" t="n">
        <v>10095</v>
      </c>
    </row>
    <row r="9">
      <c r="A9" s="16" t="inlineStr">
        <is>
          <t>Andre driftsomkostninger</t>
        </is>
      </c>
      <c r="B9" s="17" t="n"/>
      <c r="C9" s="17" t="n">
        <v>22</v>
      </c>
      <c r="D9" s="17" t="n">
        <v>0</v>
      </c>
      <c r="E9" s="17" t="n"/>
      <c r="F9" s="17" t="n"/>
    </row>
    <row r="10">
      <c r="A10" s="15" t="inlineStr">
        <is>
          <t>Resultat af primær drift</t>
        </is>
      </c>
      <c r="B10" s="17" t="n">
        <v>138447</v>
      </c>
      <c r="C10" s="17" t="n">
        <v>96913</v>
      </c>
      <c r="D10" s="17" t="n">
        <v>45795</v>
      </c>
      <c r="E10" s="17" t="n">
        <v>90308</v>
      </c>
      <c r="F10" s="17" t="n">
        <v>116285</v>
      </c>
    </row>
    <row r="11">
      <c r="A11" s="16" t="inlineStr">
        <is>
          <t>Indtægter af kapitalandele, dattervirksomheder</t>
        </is>
      </c>
      <c r="B11" s="17" t="n">
        <v>554</v>
      </c>
      <c r="C11" s="17" t="n">
        <v>1263</v>
      </c>
      <c r="D11" s="17" t="n">
        <v>2194</v>
      </c>
      <c r="E11" s="17" t="n">
        <v>5733</v>
      </c>
      <c r="F11" s="17" t="n">
        <v>-1345</v>
      </c>
    </row>
    <row r="12">
      <c r="A12" s="16" t="inlineStr">
        <is>
          <t>Finansielle indtægter</t>
        </is>
      </c>
      <c r="B12" s="17" t="n">
        <v>338</v>
      </c>
      <c r="C12" s="17" t="n">
        <v>441</v>
      </c>
      <c r="D12" s="17" t="n">
        <v>1538</v>
      </c>
      <c r="E12" s="17" t="n">
        <v>1190</v>
      </c>
      <c r="F12" s="17" t="n">
        <v>1142</v>
      </c>
    </row>
    <row r="13">
      <c r="A13" s="16" t="inlineStr">
        <is>
          <t>Finansielle omkostninger</t>
        </is>
      </c>
      <c r="B13" s="17" t="n">
        <v>3600</v>
      </c>
      <c r="C13" s="17" t="n">
        <v>9215</v>
      </c>
      <c r="D13" s="17" t="n">
        <v>22435</v>
      </c>
      <c r="E13" s="17" t="n">
        <v>27788</v>
      </c>
      <c r="F13" s="17" t="n">
        <v>22187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135738</v>
      </c>
      <c r="C15" s="17" t="n">
        <v>89401</v>
      </c>
      <c r="D15" s="17" t="n">
        <v>27092</v>
      </c>
      <c r="E15" s="17" t="n">
        <v>69443</v>
      </c>
      <c r="F15" s="17" t="n">
        <v>93895</v>
      </c>
    </row>
    <row r="16">
      <c r="A16" s="16" t="inlineStr">
        <is>
          <t>Skat af årets resultat</t>
        </is>
      </c>
      <c r="B16" s="17" t="n">
        <v>25029</v>
      </c>
      <c r="C16" s="17" t="n">
        <v>18909</v>
      </c>
      <c r="D16" s="17" t="n">
        <v>5570</v>
      </c>
      <c r="E16" s="17" t="n">
        <v>11768</v>
      </c>
      <c r="F16" s="17" t="n">
        <v>16125</v>
      </c>
    </row>
    <row r="17">
      <c r="A17" s="15" t="inlineStr">
        <is>
          <t>Årets resultat</t>
        </is>
      </c>
      <c r="B17" s="17" t="n">
        <v>110709</v>
      </c>
      <c r="C17" s="17" t="n">
        <v>70493</v>
      </c>
      <c r="D17" s="17" t="n">
        <v>21522</v>
      </c>
      <c r="E17" s="17" t="n">
        <v>57675</v>
      </c>
      <c r="F17" s="17" t="n">
        <v>77770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29168</v>
      </c>
      <c r="C19" s="17" t="n">
        <v>22593</v>
      </c>
      <c r="D19" s="17" t="n">
        <v>21621</v>
      </c>
      <c r="E19" s="17" t="n">
        <v>20983</v>
      </c>
      <c r="F19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2026-09-29T14:48:48Z</dcterms:created>
  <dcterms:modified xmlns:dcterms="http://purl.org/dc/terms/" xmlns:xsi="http://www.w3.org/2001/XMLSchema-instance" xsi:type="dcterms:W3CDTF">2026-09-29T14:48:49Z</dcterms:modified>
</cp:coreProperties>
</file>