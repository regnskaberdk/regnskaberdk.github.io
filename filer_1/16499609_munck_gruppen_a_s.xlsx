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Munck Gruppen A/S (CVR 16499609)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'pengestrom_raw_16499609'!$B$2</f>
        <v/>
      </c>
      <c r="C100" s="17">
        <f>'pengestrom_raw_16499609'!$C$2</f>
        <v/>
      </c>
      <c r="D100" s="17">
        <f>'pengestrom_raw_16499609'!$D$2</f>
        <v/>
      </c>
      <c r="E100" s="17">
        <f>'pengestrom_raw_16499609'!$E$2</f>
        <v/>
      </c>
      <c r="F100" s="17">
        <f>'pengestrom_raw_16499609'!$F$2</f>
        <v/>
      </c>
    </row>
    <row r="101">
      <c r="A101" s="16" t="inlineStr">
        <is>
          <t>Pengestrømme fra investeringsaktivitet</t>
        </is>
      </c>
      <c r="B101" s="17">
        <f>'pengestrom_raw_16499609'!$B$3</f>
        <v/>
      </c>
      <c r="C101" s="17">
        <f>'pengestrom_raw_16499609'!$C$3</f>
        <v/>
      </c>
      <c r="D101" s="17">
        <f>'pengestrom_raw_16499609'!$D$3</f>
        <v/>
      </c>
      <c r="E101" s="17">
        <f>'pengestrom_raw_16499609'!$E$3</f>
        <v/>
      </c>
      <c r="F101" s="17">
        <f>'pengestrom_raw_16499609'!$F$3</f>
        <v/>
      </c>
    </row>
    <row r="102">
      <c r="A102" s="16" t="inlineStr">
        <is>
          <t>Pengestrømme fra finansieringsaktivitet</t>
        </is>
      </c>
      <c r="B102" s="17">
        <f>'pengestrom_raw_16499609'!$B$4</f>
        <v/>
      </c>
      <c r="C102" s="17">
        <f>'pengestrom_raw_16499609'!$C$4</f>
        <v/>
      </c>
      <c r="D102" s="17">
        <f>'pengestrom_raw_16499609'!$D$4</f>
        <v/>
      </c>
      <c r="E102" s="17">
        <f>'pengestrom_raw_16499609'!$E$4</f>
        <v/>
      </c>
      <c r="F102" s="17">
        <f>'pengestrom_raw_16499609'!$F$4</f>
        <v/>
      </c>
    </row>
    <row r="103">
      <c r="A103" s="16" t="inlineStr">
        <is>
          <t>Årets pengestrøm (rapporteret)</t>
        </is>
      </c>
      <c r="B103" s="17">
        <f>'pengestrom_raw_16499609'!$B$5</f>
        <v/>
      </c>
      <c r="C103" s="17">
        <f>'pengestrom_raw_16499609'!$C$5</f>
        <v/>
      </c>
      <c r="D103" s="17">
        <f>'pengestrom_raw_16499609'!$D$5</f>
        <v/>
      </c>
      <c r="E103" s="17">
        <f>'pengestrom_raw_16499609'!$E$5</f>
        <v/>
      </c>
      <c r="F103" s="17">
        <f>'pengestrom_raw_16499609'!$F$5</f>
        <v/>
      </c>
    </row>
    <row r="104">
      <c r="A104" s="16" t="inlineStr">
        <is>
          <t>Krydstjek: drift + inv. + fin. = årets pengestrøm</t>
        </is>
      </c>
      <c r="B104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4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4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4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4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146664</v>
      </c>
      <c r="C6" s="17" t="n">
        <v>115458</v>
      </c>
      <c r="D6" s="17" t="n">
        <v>165289</v>
      </c>
      <c r="E6" s="17" t="n">
        <v>106968</v>
      </c>
      <c r="F6" s="17" t="n">
        <v>122221</v>
      </c>
    </row>
    <row r="7">
      <c r="A7" s="16" t="inlineStr">
        <is>
          <t>Andre driftsindtægter</t>
        </is>
      </c>
      <c r="B7" s="17" t="n">
        <v>36564</v>
      </c>
      <c r="C7" s="17" t="n">
        <v>16337</v>
      </c>
      <c r="D7" s="17" t="n">
        <v>4797</v>
      </c>
      <c r="E7" s="17" t="n">
        <v>12928</v>
      </c>
      <c r="F7" s="17" t="n">
        <v>43237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594</v>
      </c>
      <c r="F8" s="17" t="n">
        <v>750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/>
      <c r="F9" s="17" t="n"/>
    </row>
    <row r="10">
      <c r="A10" s="16" t="inlineStr">
        <is>
          <t>Indtægter af kapitalandele, dattervirksomheder</t>
        </is>
      </c>
      <c r="B10" s="17" t="n">
        <v>-767</v>
      </c>
      <c r="C10" s="17" t="n">
        <v>-1399</v>
      </c>
      <c r="D10" s="17" t="n">
        <v>4255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10966</v>
      </c>
      <c r="C11" s="17" t="n">
        <v>13017</v>
      </c>
      <c r="D11" s="17" t="n">
        <v>6804</v>
      </c>
      <c r="E11" s="17" t="n">
        <v>16032</v>
      </c>
      <c r="F11" s="17" t="n">
        <v>21906</v>
      </c>
    </row>
    <row r="12">
      <c r="A12" s="16" t="inlineStr">
        <is>
          <t>Finansielle omkostninger</t>
        </is>
      </c>
      <c r="B12" s="17" t="n">
        <v>18760</v>
      </c>
      <c r="C12" s="17" t="n">
        <v>13489</v>
      </c>
      <c r="D12" s="17" t="n">
        <v>6905</v>
      </c>
      <c r="E12" s="17" t="n">
        <v>7333</v>
      </c>
      <c r="F12" s="17" t="n">
        <v>11052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/>
      <c r="C14" s="17" t="n"/>
      <c r="D14" s="17" t="n"/>
      <c r="E14" s="17" t="n">
        <v>490922</v>
      </c>
      <c r="F14" s="17" t="n">
        <v>579416</v>
      </c>
    </row>
    <row r="15">
      <c r="A15" s="16" t="inlineStr">
        <is>
          <t>Skat af årets resultat</t>
        </is>
      </c>
      <c r="B15" s="17" t="n">
        <v>41942</v>
      </c>
      <c r="C15" s="17" t="n">
        <v>34570</v>
      </c>
      <c r="D15" s="17" t="n">
        <v>45446</v>
      </c>
      <c r="E15" s="17" t="n">
        <v>116995</v>
      </c>
      <c r="F15" s="17" t="n">
        <v>125695</v>
      </c>
    </row>
    <row r="16">
      <c r="A16" s="15" t="inlineStr">
        <is>
          <t>Årets resultat</t>
        </is>
      </c>
      <c r="B16" s="17" t="n">
        <v>89964</v>
      </c>
      <c r="C16" s="17" t="n">
        <v>81235</v>
      </c>
      <c r="D16" s="17" t="n">
        <v>146732</v>
      </c>
      <c r="E16" s="17" t="n">
        <v>317875</v>
      </c>
      <c r="F16" s="17" t="n">
        <v>397727</v>
      </c>
    </row>
    <row r="17">
      <c r="A17" s="16" t="inlineStr">
        <is>
          <t>Gns. antal medarbejdere</t>
        </is>
      </c>
      <c r="B17" s="17" t="n">
        <v>1313</v>
      </c>
      <c r="C17" s="17" t="n">
        <v>1435</v>
      </c>
      <c r="D17" s="17" t="n">
        <v>1561</v>
      </c>
      <c r="E17" s="17" t="n">
        <v>1611</v>
      </c>
      <c r="F17" s="17" t="n">
        <v>1608</v>
      </c>
    </row>
    <row r="18">
      <c r="A18" s="16" t="inlineStr">
        <is>
          <t>Investering i materielle anlægsaktiver</t>
        </is>
      </c>
      <c r="B18" s="17" t="n">
        <v>105000</v>
      </c>
      <c r="C18" s="17" t="n">
        <v>102000</v>
      </c>
      <c r="D18" s="17" t="n">
        <v>170000</v>
      </c>
      <c r="E18" s="17" t="n">
        <v>273000</v>
      </c>
      <c r="F18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Munck Gruppen A/S (CVR 16499609) — 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2026-09-14T19:57:48Z</dcterms:created>
  <dcterms:modified xmlns:dcterms="http://purl.org/dc/terms/" xmlns:xsi="http://www.w3.org/2001/XMLSchema-instance" xsi:type="dcterms:W3CDTF">2026-09-14T19:57:48Z</dcterms:modified>
</cp:coreProperties>
</file>