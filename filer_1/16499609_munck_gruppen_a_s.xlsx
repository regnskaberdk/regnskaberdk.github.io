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'res_raw_16499609'!$B$5</f>
        <v/>
      </c>
      <c r="C7" s="11">
        <f>'res_raw_16499609'!$C$5</f>
        <v/>
      </c>
      <c r="D7" s="11">
        <f>'res_raw_16499609'!$D$5</f>
        <v/>
      </c>
      <c r="E7" s="11">
        <f>'res_raw_16499609'!$E$5</f>
        <v/>
      </c>
      <c r="F7" s="11">
        <f>'res_raw_16499609'!$F$5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'res_raw_16499609'!$B$7</f>
        <v/>
      </c>
      <c r="C9" s="8">
        <f>'res_raw_16499609'!$C$7</f>
        <v/>
      </c>
      <c r="D9" s="8">
        <f>'res_raw_16499609'!$D$7</f>
        <v/>
      </c>
      <c r="E9" s="8">
        <f>'res_raw_16499609'!$E$7</f>
        <v/>
      </c>
      <c r="F9" s="8">
        <f>'res_raw_16499609'!$F$7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'res_raw_16499609'!$B$9</f>
        <v/>
      </c>
      <c r="C11" s="11">
        <f>'res_raw_16499609'!$C$9</f>
        <v/>
      </c>
      <c r="D11" s="11">
        <f>'res_raw_16499609'!$D$9</f>
        <v/>
      </c>
      <c r="E11" s="11">
        <f>'res_raw_16499609'!$E$9</f>
        <v/>
      </c>
      <c r="F11" s="11">
        <f>'res_raw_16499609'!$F$9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'res_raw_16499609'!$B$10</f>
        <v/>
      </c>
      <c r="C12" s="8">
        <f>'res_raw_16499609'!$C$10</f>
        <v/>
      </c>
      <c r="D12" s="8">
        <f>'res_raw_16499609'!$D$10</f>
        <v/>
      </c>
      <c r="E12" s="8">
        <f>'res_raw_16499609'!$E$10</f>
        <v/>
      </c>
      <c r="F12" s="8">
        <f>'res_raw_16499609'!$F$10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'res_raw_16499609'!$B$13</f>
        <v/>
      </c>
      <c r="C15" s="11">
        <f>'res_raw_16499609'!$C$13</f>
        <v/>
      </c>
      <c r="D15" s="11">
        <f>'res_raw_16499609'!$D$13</f>
        <v/>
      </c>
      <c r="E15" s="11">
        <f>'res_raw_16499609'!$E$13</f>
        <v/>
      </c>
      <c r="F15" s="11">
        <f>'res_raw_16499609'!$F$13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'res_raw_16499609'!$B$15</f>
        <v/>
      </c>
      <c r="C17" s="8">
        <f>'res_raw_16499609'!$C$15</f>
        <v/>
      </c>
      <c r="D17" s="8">
        <f>'res_raw_16499609'!$D$15</f>
        <v/>
      </c>
      <c r="E17" s="8">
        <f>'res_raw_16499609'!$E$15</f>
        <v/>
      </c>
      <c r="F17" s="8">
        <f>'res_raw_16499609'!$F$15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'res_raw_16499609'!$B$16</f>
        <v/>
      </c>
      <c r="C18" s="5">
        <f>'res_raw_16499609'!$C$16</f>
        <v/>
      </c>
      <c r="D18" s="5">
        <f>'res_raw_16499609'!$D$16</f>
        <v/>
      </c>
      <c r="E18" s="5">
        <f>'res_raw_16499609'!$E$16</f>
        <v/>
      </c>
      <c r="F18" s="5">
        <f>'res_raw_16499609'!$F$16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'res_raw_16499609'!$B$17</f>
        <v/>
      </c>
      <c r="C19" s="8">
        <f>'res_raw_16499609'!$C$17</f>
        <v/>
      </c>
      <c r="D19" s="8">
        <f>'res_raw_16499609'!$D$17</f>
        <v/>
      </c>
      <c r="E19" s="8">
        <f>'res_raw_16499609'!$E$17</f>
        <v/>
      </c>
      <c r="F19" s="8">
        <f>'res_raw_16499609'!$F$17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'balance_raw_16499609'!$B$2</f>
        <v/>
      </c>
      <c r="C22" s="5">
        <f>'balance_raw_16499609'!$C$2</f>
        <v/>
      </c>
      <c r="D22" s="5">
        <f>'balance_raw_16499609'!$D$2</f>
        <v/>
      </c>
      <c r="E22" s="5">
        <f>'balance_raw_16499609'!$E$2</f>
        <v/>
      </c>
      <c r="F22" s="5">
        <f>'balance_raw_16499609'!$F$2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'balance_raw_16499609'!$B$3</f>
        <v/>
      </c>
      <c r="C23" s="11">
        <f>'balance_raw_16499609'!$C$3</f>
        <v/>
      </c>
      <c r="D23" s="11">
        <f>'balance_raw_16499609'!$D$3</f>
        <v/>
      </c>
      <c r="E23" s="11">
        <f>'balance_raw_16499609'!$E$3</f>
        <v/>
      </c>
      <c r="F23" s="11">
        <f>'balance_raw_16499609'!$F$3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'balance_raw_16499609'!$B$4</f>
        <v/>
      </c>
      <c r="C24" s="5">
        <f>'balance_raw_16499609'!$C$4</f>
        <v/>
      </c>
      <c r="D24" s="5">
        <f>'balance_raw_16499609'!$D$4</f>
        <v/>
      </c>
      <c r="E24" s="5">
        <f>'balance_raw_16499609'!$E$4</f>
        <v/>
      </c>
      <c r="F24" s="5">
        <f>'balance_raw_16499609'!$F$4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'balance_raw_16499609'!$B$5</f>
        <v/>
      </c>
      <c r="C25" s="8">
        <f>'balance_raw_16499609'!$C$5</f>
        <v/>
      </c>
      <c r="D25" s="8">
        <f>'balance_raw_16499609'!$D$5</f>
        <v/>
      </c>
      <c r="E25" s="8">
        <f>'balance_raw_16499609'!$E$5</f>
        <v/>
      </c>
      <c r="F25" s="8">
        <f>'balance_raw_16499609'!$F$5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'balance_raw_16499609'!$B$6</f>
        <v/>
      </c>
      <c r="C26" s="5">
        <f>'balance_raw_16499609'!$C$6</f>
        <v/>
      </c>
      <c r="D26" s="5">
        <f>'balance_raw_16499609'!$D$6</f>
        <v/>
      </c>
      <c r="E26" s="5">
        <f>'balance_raw_16499609'!$E$6</f>
        <v/>
      </c>
      <c r="F26" s="5">
        <f>'balance_raw_16499609'!$F$6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'balance_raw_16499609'!$B$7</f>
        <v/>
      </c>
      <c r="C27" s="11">
        <f>'balance_raw_16499609'!$C$7</f>
        <v/>
      </c>
      <c r="D27" s="11">
        <f>'balance_raw_16499609'!$D$7</f>
        <v/>
      </c>
      <c r="E27" s="11">
        <f>'balance_raw_16499609'!$E$7</f>
        <v/>
      </c>
      <c r="F27" s="11">
        <f>'balance_raw_16499609'!$F$7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'balance_raw_16499609'!$B$8</f>
        <v/>
      </c>
      <c r="C28" s="5">
        <f>'balance_raw_16499609'!$C$8</f>
        <v/>
      </c>
      <c r="D28" s="5">
        <f>'balance_raw_16499609'!$D$8</f>
        <v/>
      </c>
      <c r="E28" s="5">
        <f>'balance_raw_16499609'!$E$8</f>
        <v/>
      </c>
      <c r="F28" s="5">
        <f>'balance_raw_16499609'!$F$8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'balance_raw_16499609'!$B$9</f>
        <v/>
      </c>
      <c r="C29" s="11">
        <f>'balance_raw_16499609'!$C$9</f>
        <v/>
      </c>
      <c r="D29" s="11">
        <f>'balance_raw_16499609'!$D$9</f>
        <v/>
      </c>
      <c r="E29" s="11">
        <f>'balance_raw_16499609'!$E$9</f>
        <v/>
      </c>
      <c r="F29" s="11">
        <f>'balance_raw_16499609'!$F$9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'balance_raw_16499609'!$B$10</f>
        <v/>
      </c>
      <c r="C30" s="5">
        <f>'balance_raw_16499609'!$C$10</f>
        <v/>
      </c>
      <c r="D30" s="5">
        <f>'balance_raw_16499609'!$D$10</f>
        <v/>
      </c>
      <c r="E30" s="5">
        <f>'balance_raw_16499609'!$E$10</f>
        <v/>
      </c>
      <c r="F30" s="5">
        <f>'balance_raw_16499609'!$F$10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'balance_raw_16499609'!$B$11</f>
        <v/>
      </c>
      <c r="C31" s="8">
        <f>'balance_raw_16499609'!$C$11</f>
        <v/>
      </c>
      <c r="D31" s="8">
        <f>'balance_raw_16499609'!$D$11</f>
        <v/>
      </c>
      <c r="E31" s="8">
        <f>'balance_raw_16499609'!$E$11</f>
        <v/>
      </c>
      <c r="F31" s="8">
        <f>'balance_raw_16499609'!$F$11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'balance_raw_16499609'!$B$12</f>
        <v/>
      </c>
      <c r="C32" s="5">
        <f>'balance_raw_16499609'!$C$12</f>
        <v/>
      </c>
      <c r="D32" s="5">
        <f>'balance_raw_16499609'!$D$12</f>
        <v/>
      </c>
      <c r="E32" s="5">
        <f>'balance_raw_16499609'!$E$12</f>
        <v/>
      </c>
      <c r="F32" s="5">
        <f>'balance_raw_16499609'!$F$12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'balance_raw_16499609'!$B$13</f>
        <v/>
      </c>
      <c r="C33" s="11">
        <f>'balance_raw_16499609'!$C$13</f>
        <v/>
      </c>
      <c r="D33" s="11">
        <f>'balance_raw_16499609'!$D$13</f>
        <v/>
      </c>
      <c r="E33" s="11">
        <f>'balance_raw_16499609'!$E$13</f>
        <v/>
      </c>
      <c r="F33" s="11">
        <f>'balance_raw_16499609'!$F$13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'balance_raw_16499609'!$B$14</f>
        <v/>
      </c>
      <c r="C34" s="8">
        <f>'balance_raw_16499609'!$C$14</f>
        <v/>
      </c>
      <c r="D34" s="8">
        <f>'balance_raw_16499609'!$D$14</f>
        <v/>
      </c>
      <c r="E34" s="8">
        <f>'balance_raw_16499609'!$E$14</f>
        <v/>
      </c>
      <c r="F34" s="8">
        <f>'balance_raw_16499609'!$F$14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'balance_raw_16499609'!$B$15</f>
        <v/>
      </c>
      <c r="C35" s="8">
        <f>'balance_raw_16499609'!$C$15</f>
        <v/>
      </c>
      <c r="D35" s="8">
        <f>'balance_raw_16499609'!$D$15</f>
        <v/>
      </c>
      <c r="E35" s="8">
        <f>'balance_raw_16499609'!$E$15</f>
        <v/>
      </c>
      <c r="F35" s="8">
        <f>'balance_raw_16499609'!$F$15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'balance_raw_16499609'!$B$16</f>
        <v/>
      </c>
      <c r="C36" s="5">
        <f>'balance_raw_16499609'!$C$16</f>
        <v/>
      </c>
      <c r="D36" s="5">
        <f>'balance_raw_16499609'!$D$16</f>
        <v/>
      </c>
      <c r="E36" s="5">
        <f>'balance_raw_16499609'!$E$16</f>
        <v/>
      </c>
      <c r="F36" s="5">
        <f>'balance_raw_16499609'!$F$16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'balance_raw_16499609'!$B$17</f>
        <v/>
      </c>
      <c r="C37" s="11">
        <f>'balance_raw_16499609'!$C$17</f>
        <v/>
      </c>
      <c r="D37" s="11">
        <f>'balance_raw_16499609'!$D$17</f>
        <v/>
      </c>
      <c r="E37" s="11">
        <f>'balance_raw_16499609'!$E$17</f>
        <v/>
      </c>
      <c r="F37" s="11">
        <f>'balance_raw_16499609'!$F$17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'balance_raw_16499609'!$B$18</f>
        <v/>
      </c>
      <c r="C38" s="5">
        <f>'balance_raw_16499609'!$C$18</f>
        <v/>
      </c>
      <c r="D38" s="5">
        <f>'balance_raw_16499609'!$D$18</f>
        <v/>
      </c>
      <c r="E38" s="5">
        <f>'balance_raw_16499609'!$E$18</f>
        <v/>
      </c>
      <c r="F38" s="5">
        <f>'balance_raw_16499609'!$F$18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'balance_raw_16499609'!$B$19</f>
        <v/>
      </c>
      <c r="C39" s="8">
        <f>'balance_raw_16499609'!$C$19</f>
        <v/>
      </c>
      <c r="D39" s="8">
        <f>'balance_raw_16499609'!$D$19</f>
        <v/>
      </c>
      <c r="E39" s="8">
        <f>'balance_raw_16499609'!$E$19</f>
        <v/>
      </c>
      <c r="F39" s="8">
        <f>'balance_raw_16499609'!$F$19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'balance_raw_16499609'!$B$20</f>
        <v/>
      </c>
      <c r="C40" s="5">
        <f>'balance_raw_16499609'!$C$20</f>
        <v/>
      </c>
      <c r="D40" s="5">
        <f>'balance_raw_16499609'!$D$20</f>
        <v/>
      </c>
      <c r="E40" s="5">
        <f>'balance_raw_16499609'!$E$20</f>
        <v/>
      </c>
      <c r="F40" s="5">
        <f>'balance_raw_16499609'!$F$20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'balance_raw_16499609'!$B$21</f>
        <v/>
      </c>
      <c r="C41" s="11">
        <f>'balance_raw_16499609'!$C$21</f>
        <v/>
      </c>
      <c r="D41" s="11">
        <f>'balance_raw_16499609'!$D$21</f>
        <v/>
      </c>
      <c r="E41" s="11">
        <f>'balance_raw_16499609'!$E$21</f>
        <v/>
      </c>
      <c r="F41" s="11">
        <f>'balance_raw_16499609'!$F$21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'balance_raw_16499609'!$B$22</f>
        <v/>
      </c>
      <c r="C42" s="5">
        <f>'balance_raw_16499609'!$C$22</f>
        <v/>
      </c>
      <c r="D42" s="5">
        <f>'balance_raw_16499609'!$D$22</f>
        <v/>
      </c>
      <c r="E42" s="5">
        <f>'balance_raw_16499609'!$E$22</f>
        <v/>
      </c>
      <c r="F42" s="5">
        <f>'balance_raw_16499609'!$F$22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'balance_raw_16499609'!$B$23</f>
        <v/>
      </c>
      <c r="C43" s="11">
        <f>'balance_raw_16499609'!$C$23</f>
        <v/>
      </c>
      <c r="D43" s="11">
        <f>'balance_raw_16499609'!$D$23</f>
        <v/>
      </c>
      <c r="E43" s="11">
        <f>'balance_raw_16499609'!$E$23</f>
        <v/>
      </c>
      <c r="F43" s="11">
        <f>'balance_raw_16499609'!$F$23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'balance_raw_16499609'!$B$24</f>
        <v/>
      </c>
      <c r="C44" s="5">
        <f>'balance_raw_16499609'!$C$24</f>
        <v/>
      </c>
      <c r="D44" s="5">
        <f>'balance_raw_16499609'!$D$24</f>
        <v/>
      </c>
      <c r="E44" s="5">
        <f>'balance_raw_16499609'!$E$24</f>
        <v/>
      </c>
      <c r="F44" s="5">
        <f>'balance_raw_16499609'!$F$24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'balance_raw_16499609'!$B$25</f>
        <v/>
      </c>
      <c r="C45" s="11">
        <f>'balance_raw_16499609'!$C$25</f>
        <v/>
      </c>
      <c r="D45" s="11">
        <f>'balance_raw_16499609'!$D$25</f>
        <v/>
      </c>
      <c r="E45" s="11">
        <f>'balance_raw_16499609'!$E$25</f>
        <v/>
      </c>
      <c r="F45" s="11">
        <f>'balance_raw_16499609'!$F$25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'balance_raw_16499609'!$B$26</f>
        <v/>
      </c>
      <c r="C46" s="5">
        <f>'balance_raw_16499609'!$C$26</f>
        <v/>
      </c>
      <c r="D46" s="5">
        <f>'balance_raw_16499609'!$D$26</f>
        <v/>
      </c>
      <c r="E46" s="5">
        <f>'balance_raw_16499609'!$E$26</f>
        <v/>
      </c>
      <c r="F46" s="5">
        <f>'balance_raw_16499609'!$F$26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'balance_raw_16499609'!$B$27</f>
        <v/>
      </c>
      <c r="C47" s="8">
        <f>'balance_raw_16499609'!$C$27</f>
        <v/>
      </c>
      <c r="D47" s="8">
        <f>'balance_raw_16499609'!$D$27</f>
        <v/>
      </c>
      <c r="E47" s="8">
        <f>'balance_raw_16499609'!$E$27</f>
        <v/>
      </c>
      <c r="F47" s="8">
        <f>'balance_raw_16499609'!$F$27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'balance_raw_16499609'!$B$28</f>
        <v/>
      </c>
      <c r="C48" s="5">
        <f>'balance_raw_16499609'!$C$28</f>
        <v/>
      </c>
      <c r="D48" s="5">
        <f>'balance_raw_16499609'!$D$28</f>
        <v/>
      </c>
      <c r="E48" s="5">
        <f>'balance_raw_16499609'!$E$28</f>
        <v/>
      </c>
      <c r="F48" s="5">
        <f>'balance_raw_16499609'!$F$28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'balance_raw_16499609'!$B$29</f>
        <v/>
      </c>
      <c r="C49" s="11">
        <f>'balance_raw_16499609'!$C$29</f>
        <v/>
      </c>
      <c r="D49" s="11">
        <f>'balance_raw_16499609'!$D$29</f>
        <v/>
      </c>
      <c r="E49" s="11">
        <f>'balance_raw_16499609'!$E$29</f>
        <v/>
      </c>
      <c r="F49" s="11">
        <f>'balance_raw_16499609'!$F$29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'balance_raw_16499609'!$B$30</f>
        <v/>
      </c>
      <c r="C50" s="8">
        <f>'balance_raw_16499609'!$C$30</f>
        <v/>
      </c>
      <c r="D50" s="8">
        <f>'balance_raw_16499609'!$D$30</f>
        <v/>
      </c>
      <c r="E50" s="8">
        <f>'balance_raw_16499609'!$E$30</f>
        <v/>
      </c>
      <c r="F50" s="8">
        <f>'balance_raw_16499609'!$F$30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'balance_raw_16499609'!$B$31</f>
        <v/>
      </c>
      <c r="C51" s="8">
        <f>'balance_raw_16499609'!$C$31</f>
        <v/>
      </c>
      <c r="D51" s="8">
        <f>'balance_raw_16499609'!$D$31</f>
        <v/>
      </c>
      <c r="E51" s="8">
        <f>'balance_raw_16499609'!$E$31</f>
        <v/>
      </c>
      <c r="F51" s="8">
        <f>'balance_raw_16499609'!$F$31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'balance_raw_16499609'!$B$32</f>
        <v/>
      </c>
      <c r="C54" s="5">
        <f>'balance_raw_16499609'!$C$32</f>
        <v/>
      </c>
      <c r="D54" s="5">
        <f>'balance_raw_16499609'!$D$32</f>
        <v/>
      </c>
      <c r="E54" s="5">
        <f>'balance_raw_16499609'!$E$32</f>
        <v/>
      </c>
      <c r="F54" s="5">
        <f>'balance_raw_16499609'!$F$32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'balance_raw_16499609'!$B$33</f>
        <v/>
      </c>
      <c r="C55" s="11">
        <f>'balance_raw_16499609'!$C$33</f>
        <v/>
      </c>
      <c r="D55" s="11">
        <f>'balance_raw_16499609'!$D$33</f>
        <v/>
      </c>
      <c r="E55" s="11">
        <f>'balance_raw_16499609'!$E$33</f>
        <v/>
      </c>
      <c r="F55" s="11">
        <f>'balance_raw_16499609'!$F$33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'balance_raw_16499609'!$B$34</f>
        <v/>
      </c>
      <c r="C56" s="5">
        <f>'balance_raw_16499609'!$C$34</f>
        <v/>
      </c>
      <c r="D56" s="5">
        <f>'balance_raw_16499609'!$D$34</f>
        <v/>
      </c>
      <c r="E56" s="5">
        <f>'balance_raw_16499609'!$E$34</f>
        <v/>
      </c>
      <c r="F56" s="5">
        <f>'balance_raw_16499609'!$F$34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'balance_raw_16499609'!$B$35</f>
        <v/>
      </c>
      <c r="C57" s="11">
        <f>'balance_raw_16499609'!$C$35</f>
        <v/>
      </c>
      <c r="D57" s="11">
        <f>'balance_raw_16499609'!$D$35</f>
        <v/>
      </c>
      <c r="E57" s="11">
        <f>'balance_raw_16499609'!$E$35</f>
        <v/>
      </c>
      <c r="F57" s="11">
        <f>'balance_raw_16499609'!$F$35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'balance_raw_16499609'!$B$36</f>
        <v/>
      </c>
      <c r="C58" s="5">
        <f>'balance_raw_16499609'!$C$36</f>
        <v/>
      </c>
      <c r="D58" s="5">
        <f>'balance_raw_16499609'!$D$36</f>
        <v/>
      </c>
      <c r="E58" s="5">
        <f>'balance_raw_16499609'!$E$36</f>
        <v/>
      </c>
      <c r="F58" s="5">
        <f>'balance_raw_16499609'!$F$36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'balance_raw_16499609'!$B$37</f>
        <v/>
      </c>
      <c r="C59" s="11">
        <f>'balance_raw_16499609'!$C$37</f>
        <v/>
      </c>
      <c r="D59" s="11">
        <f>'balance_raw_16499609'!$D$37</f>
        <v/>
      </c>
      <c r="E59" s="11">
        <f>'balance_raw_16499609'!$E$37</f>
        <v/>
      </c>
      <c r="F59" s="11">
        <f>'balance_raw_16499609'!$F$37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'balance_raw_16499609'!$B$38</f>
        <v/>
      </c>
      <c r="C60" s="8">
        <f>'balance_raw_16499609'!$C$38</f>
        <v/>
      </c>
      <c r="D60" s="8">
        <f>'balance_raw_16499609'!$D$38</f>
        <v/>
      </c>
      <c r="E60" s="8">
        <f>'balance_raw_16499609'!$E$38</f>
        <v/>
      </c>
      <c r="F60" s="8">
        <f>'balance_raw_16499609'!$F$38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'balance_raw_16499609'!$B$39</f>
        <v/>
      </c>
      <c r="C61" s="11">
        <f>'balance_raw_16499609'!$C$39</f>
        <v/>
      </c>
      <c r="D61" s="11">
        <f>'balance_raw_16499609'!$D$39</f>
        <v/>
      </c>
      <c r="E61" s="11">
        <f>'balance_raw_16499609'!$E$39</f>
        <v/>
      </c>
      <c r="F61" s="11">
        <f>'balance_raw_16499609'!$F$39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'balance_raw_16499609'!$B$40</f>
        <v/>
      </c>
      <c r="C62" s="8">
        <f>'balance_raw_16499609'!$C$40</f>
        <v/>
      </c>
      <c r="D62" s="8">
        <f>'balance_raw_16499609'!$D$40</f>
        <v/>
      </c>
      <c r="E62" s="8">
        <f>'balance_raw_16499609'!$E$40</f>
        <v/>
      </c>
      <c r="F62" s="8">
        <f>'balance_raw_16499609'!$F$40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'balance_raw_16499609'!$B$41</f>
        <v/>
      </c>
      <c r="C63" s="11">
        <f>'balance_raw_16499609'!$C$41</f>
        <v/>
      </c>
      <c r="D63" s="11">
        <f>'balance_raw_16499609'!$D$41</f>
        <v/>
      </c>
      <c r="E63" s="11">
        <f>'balance_raw_16499609'!$E$41</f>
        <v/>
      </c>
      <c r="F63" s="11">
        <f>'balance_raw_16499609'!$F$41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'balance_raw_16499609'!$B$42</f>
        <v/>
      </c>
      <c r="C64" s="5">
        <f>'balance_raw_16499609'!$C$42</f>
        <v/>
      </c>
      <c r="D64" s="5">
        <f>'balance_raw_16499609'!$D$42</f>
        <v/>
      </c>
      <c r="E64" s="5">
        <f>'balance_raw_16499609'!$E$42</f>
        <v/>
      </c>
      <c r="F64" s="5">
        <f>'balance_raw_16499609'!$F$42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'balance_raw_16499609'!$B$43</f>
        <v/>
      </c>
      <c r="C65" s="11">
        <f>'balance_raw_16499609'!$C$43</f>
        <v/>
      </c>
      <c r="D65" s="11">
        <f>'balance_raw_16499609'!$D$43</f>
        <v/>
      </c>
      <c r="E65" s="11">
        <f>'balance_raw_16499609'!$E$43</f>
        <v/>
      </c>
      <c r="F65" s="11">
        <f>'balance_raw_16499609'!$F$43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'balance_raw_16499609'!$B$44</f>
        <v/>
      </c>
      <c r="C66" s="5">
        <f>'balance_raw_16499609'!$C$44</f>
        <v/>
      </c>
      <c r="D66" s="5">
        <f>'balance_raw_16499609'!$D$44</f>
        <v/>
      </c>
      <c r="E66" s="5">
        <f>'balance_raw_16499609'!$E$44</f>
        <v/>
      </c>
      <c r="F66" s="5">
        <f>'balance_raw_16499609'!$F$44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'balance_raw_16499609'!$B$45</f>
        <v/>
      </c>
      <c r="C67" s="8">
        <f>'balance_raw_16499609'!$C$45</f>
        <v/>
      </c>
      <c r="D67" s="8">
        <f>'balance_raw_16499609'!$D$45</f>
        <v/>
      </c>
      <c r="E67" s="8">
        <f>'balance_raw_16499609'!$E$45</f>
        <v/>
      </c>
      <c r="F67" s="8">
        <f>'balance_raw_16499609'!$F$45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'balance_raw_16499609'!$B$46</f>
        <v/>
      </c>
      <c r="C68" s="5">
        <f>'balance_raw_16499609'!$C$46</f>
        <v/>
      </c>
      <c r="D68" s="5">
        <f>'balance_raw_16499609'!$D$46</f>
        <v/>
      </c>
      <c r="E68" s="5">
        <f>'balance_raw_16499609'!$E$46</f>
        <v/>
      </c>
      <c r="F68" s="5">
        <f>'balance_raw_16499609'!$F$46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'balance_raw_16499609'!$B$47</f>
        <v/>
      </c>
      <c r="C69" s="11">
        <f>'balance_raw_16499609'!$C$47</f>
        <v/>
      </c>
      <c r="D69" s="11">
        <f>'balance_raw_16499609'!$D$47</f>
        <v/>
      </c>
      <c r="E69" s="11">
        <f>'balance_raw_16499609'!$E$47</f>
        <v/>
      </c>
      <c r="F69" s="11">
        <f>'balance_raw_16499609'!$F$47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'balance_raw_16499609'!$B$48</f>
        <v/>
      </c>
      <c r="C70" s="5">
        <f>'balance_raw_16499609'!$C$48</f>
        <v/>
      </c>
      <c r="D70" s="5">
        <f>'balance_raw_16499609'!$D$48</f>
        <v/>
      </c>
      <c r="E70" s="5">
        <f>'balance_raw_16499609'!$E$48</f>
        <v/>
      </c>
      <c r="F70" s="5">
        <f>'balance_raw_16499609'!$F$48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'balance_raw_16499609'!$B$49</f>
        <v/>
      </c>
      <c r="C71" s="11">
        <f>'balance_raw_16499609'!$C$49</f>
        <v/>
      </c>
      <c r="D71" s="11">
        <f>'balance_raw_16499609'!$D$49</f>
        <v/>
      </c>
      <c r="E71" s="11">
        <f>'balance_raw_16499609'!$E$49</f>
        <v/>
      </c>
      <c r="F71" s="11">
        <f>'balance_raw_16499609'!$F$49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'balance_raw_16499609'!$B$50</f>
        <v/>
      </c>
      <c r="C72" s="5">
        <f>'balance_raw_16499609'!$C$50</f>
        <v/>
      </c>
      <c r="D72" s="5">
        <f>'balance_raw_16499609'!$D$50</f>
        <v/>
      </c>
      <c r="E72" s="5">
        <f>'balance_raw_16499609'!$E$50</f>
        <v/>
      </c>
      <c r="F72" s="5">
        <f>'balance_raw_16499609'!$F$50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'balance_raw_16499609'!$B$51</f>
        <v/>
      </c>
      <c r="C73" s="11">
        <f>'balance_raw_16499609'!$C$51</f>
        <v/>
      </c>
      <c r="D73" s="11">
        <f>'balance_raw_16499609'!$D$51</f>
        <v/>
      </c>
      <c r="E73" s="11">
        <f>'balance_raw_16499609'!$E$51</f>
        <v/>
      </c>
      <c r="F73" s="11">
        <f>'balance_raw_16499609'!$F$51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'balance_raw_16499609'!$B$52</f>
        <v/>
      </c>
      <c r="C74" s="5">
        <f>'balance_raw_16499609'!$C$52</f>
        <v/>
      </c>
      <c r="D74" s="5">
        <f>'balance_raw_16499609'!$D$52</f>
        <v/>
      </c>
      <c r="E74" s="5">
        <f>'balance_raw_16499609'!$E$52</f>
        <v/>
      </c>
      <c r="F74" s="5">
        <f>'balance_raw_16499609'!$F$52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'balance_raw_16499609'!$B$53</f>
        <v/>
      </c>
      <c r="C75" s="11">
        <f>'balance_raw_16499609'!$C$53</f>
        <v/>
      </c>
      <c r="D75" s="11">
        <f>'balance_raw_16499609'!$D$53</f>
        <v/>
      </c>
      <c r="E75" s="11">
        <f>'balance_raw_16499609'!$E$53</f>
        <v/>
      </c>
      <c r="F75" s="11">
        <f>'balance_raw_16499609'!$F$53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'balance_raw_16499609'!$B$54</f>
        <v/>
      </c>
      <c r="C76" s="5">
        <f>'balance_raw_16499609'!$C$54</f>
        <v/>
      </c>
      <c r="D76" s="5">
        <f>'balance_raw_16499609'!$D$54</f>
        <v/>
      </c>
      <c r="E76" s="5">
        <f>'balance_raw_16499609'!$E$54</f>
        <v/>
      </c>
      <c r="F76" s="5">
        <f>'balance_raw_16499609'!$F$54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'balance_raw_16499609'!$B$55</f>
        <v/>
      </c>
      <c r="C77" s="11">
        <f>'balance_raw_16499609'!$C$55</f>
        <v/>
      </c>
      <c r="D77" s="11">
        <f>'balance_raw_16499609'!$D$55</f>
        <v/>
      </c>
      <c r="E77" s="11">
        <f>'balance_raw_16499609'!$E$55</f>
        <v/>
      </c>
      <c r="F77" s="11">
        <f>'balance_raw_16499609'!$F$55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'balance_raw_16499609'!$B$56</f>
        <v/>
      </c>
      <c r="C78" s="5">
        <f>'balance_raw_16499609'!$C$56</f>
        <v/>
      </c>
      <c r="D78" s="5">
        <f>'balance_raw_16499609'!$D$56</f>
        <v/>
      </c>
      <c r="E78" s="5">
        <f>'balance_raw_16499609'!$E$56</f>
        <v/>
      </c>
      <c r="F78" s="5">
        <f>'balance_raw_16499609'!$F$56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'balance_raw_16499609'!$B$57</f>
        <v/>
      </c>
      <c r="C79" s="8">
        <f>'balance_raw_16499609'!$C$57</f>
        <v/>
      </c>
      <c r="D79" s="8">
        <f>'balance_raw_16499609'!$D$57</f>
        <v/>
      </c>
      <c r="E79" s="8">
        <f>'balance_raw_16499609'!$E$57</f>
        <v/>
      </c>
      <c r="F79" s="8">
        <f>'balance_raw_16499609'!$F$57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'balance_raw_16499609'!$B$58</f>
        <v/>
      </c>
      <c r="C80" s="8">
        <f>'balance_raw_16499609'!$C$58</f>
        <v/>
      </c>
      <c r="D80" s="8">
        <f>'balance_raw_16499609'!$D$58</f>
        <v/>
      </c>
      <c r="E80" s="8">
        <f>'balance_raw_16499609'!$E$58</f>
        <v/>
      </c>
      <c r="F80" s="8">
        <f>'balance_raw_16499609'!$F$58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'balance_raw_16499609'!$B$59</f>
        <v/>
      </c>
      <c r="C81" s="8">
        <f>'balance_raw_16499609'!$C$59</f>
        <v/>
      </c>
      <c r="D81" s="8">
        <f>'balance_raw_16499609'!$D$59</f>
        <v/>
      </c>
      <c r="E81" s="8">
        <f>'balance_raw_16499609'!$E$59</f>
        <v/>
      </c>
      <c r="F81" s="8">
        <f>'balance_raw_16499609'!$F$59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'res_raw_16499609'!$B$19</f>
        <v/>
      </c>
      <c r="C85" s="11">
        <f>'res_raw_16499609'!$C$19</f>
        <v/>
      </c>
      <c r="D85" s="11">
        <f>'res_raw_16499609'!$D$19</f>
        <v/>
      </c>
      <c r="E85" s="11">
        <f>'res_raw_16499609'!$E$19</f>
        <v/>
      </c>
      <c r="F85" s="11">
        <f>'res_raw_16499609'!$F$19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'pengestrom_raw_16499609'!$B$2</f>
        <v/>
      </c>
      <c r="C101" s="17">
        <f>'pengestrom_raw_16499609'!$C$2</f>
        <v/>
      </c>
      <c r="D101" s="17">
        <f>'pengestrom_raw_16499609'!$D$2</f>
        <v/>
      </c>
      <c r="E101" s="17">
        <f>'pengestrom_raw_16499609'!$E$2</f>
        <v/>
      </c>
      <c r="F101" s="17">
        <f>'pengestrom_raw_16499609'!$F$2</f>
        <v/>
      </c>
    </row>
    <row r="102">
      <c r="A102" s="16" t="inlineStr">
        <is>
          <t>Pengestrømme fra investeringsaktivitet</t>
        </is>
      </c>
      <c r="B102" s="17">
        <f>'pengestrom_raw_16499609'!$B$3</f>
        <v/>
      </c>
      <c r="C102" s="17">
        <f>'pengestrom_raw_16499609'!$C$3</f>
        <v/>
      </c>
      <c r="D102" s="17">
        <f>'pengestrom_raw_16499609'!$D$3</f>
        <v/>
      </c>
      <c r="E102" s="17">
        <f>'pengestrom_raw_16499609'!$E$3</f>
        <v/>
      </c>
      <c r="F102" s="17">
        <f>'pengestrom_raw_16499609'!$F$3</f>
        <v/>
      </c>
    </row>
    <row r="103">
      <c r="A103" s="16" t="inlineStr">
        <is>
          <t>Pengestrømme fra finansieringsaktivitet</t>
        </is>
      </c>
      <c r="B103" s="17">
        <f>'pengestrom_raw_16499609'!$B$4</f>
        <v/>
      </c>
      <c r="C103" s="17">
        <f>'pengestrom_raw_16499609'!$C$4</f>
        <v/>
      </c>
      <c r="D103" s="17">
        <f>'pengestrom_raw_16499609'!$D$4</f>
        <v/>
      </c>
      <c r="E103" s="17">
        <f>'pengestrom_raw_16499609'!$E$4</f>
        <v/>
      </c>
      <c r="F103" s="17">
        <f>'pengestrom_raw_16499609'!$F$4</f>
        <v/>
      </c>
    </row>
    <row r="104">
      <c r="A104" s="16" t="inlineStr">
        <is>
          <t>Årets pengestrøm (rapporteret)</t>
        </is>
      </c>
      <c r="B104" s="17">
        <f>'pengestrom_raw_16499609'!$B$5</f>
        <v/>
      </c>
      <c r="C104" s="17">
        <f>'pengestrom_raw_16499609'!$C$5</f>
        <v/>
      </c>
      <c r="D104" s="17">
        <f>'pengestrom_raw_16499609'!$D$5</f>
        <v/>
      </c>
      <c r="E104" s="17">
        <f>'pengestrom_raw_16499609'!$E$5</f>
        <v/>
      </c>
      <c r="F104" s="17">
        <f>'pengestrom_raw_16499609'!$F$5</f>
        <v/>
      </c>
    </row>
    <row r="105">
      <c r="A105" s="16" t="inlineStr">
        <is>
          <t>Krydstjek: drift + inv. + fin. = årets pengestrøm</t>
        </is>
      </c>
      <c r="B105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5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5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5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5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>
        <v>146664</v>
      </c>
      <c r="C7" s="17" t="n">
        <v>115458</v>
      </c>
      <c r="D7" s="17" t="n">
        <v>165289</v>
      </c>
      <c r="E7" s="17" t="n">
        <v>106968</v>
      </c>
      <c r="F7" s="17" t="n">
        <v>122221</v>
      </c>
    </row>
    <row r="8">
      <c r="A8" s="16" t="inlineStr">
        <is>
          <t>Andre driftsindtægter</t>
        </is>
      </c>
      <c r="B8" s="17" t="n">
        <v>36564</v>
      </c>
      <c r="C8" s="17" t="n">
        <v>16337</v>
      </c>
      <c r="D8" s="17" t="n">
        <v>4797</v>
      </c>
      <c r="E8" s="17" t="n">
        <v>12928</v>
      </c>
      <c r="F8" s="17" t="n">
        <v>43237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594</v>
      </c>
      <c r="F9" s="17" t="n">
        <v>750</v>
      </c>
    </row>
    <row r="10">
      <c r="A10" s="15" t="inlineStr">
        <is>
          <t>Resultat af primær drift</t>
        </is>
      </c>
      <c r="B10" s="17" t="n"/>
      <c r="C10" s="17" t="n"/>
      <c r="D10" s="17" t="n"/>
      <c r="E10" s="17" t="n">
        <v>482223</v>
      </c>
      <c r="F10" s="17" t="n">
        <v>568562</v>
      </c>
    </row>
    <row r="11">
      <c r="A11" s="16" t="inlineStr">
        <is>
          <t>Indtægter af kapitalandele, dattervirksomheder</t>
        </is>
      </c>
      <c r="B11" s="17" t="n">
        <v>-767</v>
      </c>
      <c r="C11" s="17" t="n">
        <v>-1399</v>
      </c>
      <c r="D11" s="17" t="n">
        <v>4255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10966</v>
      </c>
      <c r="C12" s="17" t="n">
        <v>13017</v>
      </c>
      <c r="D12" s="17" t="n">
        <v>6804</v>
      </c>
      <c r="E12" s="17" t="n">
        <v>16032</v>
      </c>
      <c r="F12" s="17" t="n">
        <v>21906</v>
      </c>
    </row>
    <row r="13">
      <c r="A13" s="16" t="inlineStr">
        <is>
          <t>Finansielle omkostninger</t>
        </is>
      </c>
      <c r="B13" s="17" t="n">
        <v>18760</v>
      </c>
      <c r="C13" s="17" t="n">
        <v>13489</v>
      </c>
      <c r="D13" s="17" t="n">
        <v>6905</v>
      </c>
      <c r="E13" s="17" t="n">
        <v>7333</v>
      </c>
      <c r="F13" s="17" t="n">
        <v>11052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/>
      <c r="C15" s="17" t="n"/>
      <c r="D15" s="17" t="n"/>
      <c r="E15" s="17" t="n">
        <v>490922</v>
      </c>
      <c r="F15" s="17" t="n">
        <v>579416</v>
      </c>
    </row>
    <row r="16">
      <c r="A16" s="16" t="inlineStr">
        <is>
          <t>Skat af årets resultat</t>
        </is>
      </c>
      <c r="B16" s="17" t="n">
        <v>41942</v>
      </c>
      <c r="C16" s="17" t="n">
        <v>34570</v>
      </c>
      <c r="D16" s="17" t="n">
        <v>45446</v>
      </c>
      <c r="E16" s="17" t="n">
        <v>116995</v>
      </c>
      <c r="F16" s="17" t="n">
        <v>125695</v>
      </c>
    </row>
    <row r="17">
      <c r="A17" s="15" t="inlineStr">
        <is>
          <t>Årets resultat</t>
        </is>
      </c>
      <c r="B17" s="17" t="n">
        <v>89964</v>
      </c>
      <c r="C17" s="17" t="n">
        <v>81235</v>
      </c>
      <c r="D17" s="17" t="n">
        <v>146732</v>
      </c>
      <c r="E17" s="17" t="n">
        <v>317875</v>
      </c>
      <c r="F17" s="17" t="n">
        <v>397727</v>
      </c>
    </row>
    <row r="18">
      <c r="A18" s="16" t="inlineStr">
        <is>
          <t>Gns. antal medarbejdere</t>
        </is>
      </c>
      <c r="B18" s="17" t="n">
        <v>1313</v>
      </c>
      <c r="C18" s="17" t="n">
        <v>1435</v>
      </c>
      <c r="D18" s="17" t="n">
        <v>1561</v>
      </c>
      <c r="E18" s="17" t="n">
        <v>1611</v>
      </c>
      <c r="F18" s="17" t="n">
        <v>1608</v>
      </c>
    </row>
    <row r="19">
      <c r="A19" s="16" t="inlineStr">
        <is>
          <t>Investering i materielle anlægsaktiver</t>
        </is>
      </c>
      <c r="B19" s="17" t="n">
        <v>105000</v>
      </c>
      <c r="C19" s="17" t="n">
        <v>102000</v>
      </c>
      <c r="D19" s="17" t="n">
        <v>170000</v>
      </c>
      <c r="E19" s="17" t="n">
        <v>273000</v>
      </c>
      <c r="F19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IF(ABS((SUM(B5:B6))-'res_raw_16499609'!$F$4)&lt;=2,SUM(B5:B6),'res_raw_16499609'!$F$4)</f>
        <v/>
      </c>
      <c r="C7" s="27">
        <f>IF(ABS((SUM(C5:C6))-'res_raw_16499609'!$E$4)&lt;=2,SUM(C5:C6),'res_raw_16499609'!$E$4)</f>
        <v/>
      </c>
      <c r="D7" s="27">
        <f>IF(ABS((SUM(D5:D6))-'res_raw_16499609'!$D$4)&lt;=2,SUM(D5:D6),'res_raw_16499609'!$D$4)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-'res_raw_16499609'!$F$7</f>
        <v/>
      </c>
      <c r="C10" s="24">
        <f>-'res_raw_16499609'!$E$7</f>
        <v/>
      </c>
      <c r="D10" s="24">
        <f>-'res_raw_16499609'!$D$7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'res_raw_16499609'!$F$8</f>
        <v/>
      </c>
      <c r="C11" s="24">
        <f>'res_raw_16499609'!$E$8</f>
        <v/>
      </c>
      <c r="D11" s="24">
        <f>'res_raw_16499609'!$D$8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-'res_raw_16499609'!$F$9</f>
        <v/>
      </c>
      <c r="C12" s="27">
        <f>-'res_raw_16499609'!$E$9</f>
        <v/>
      </c>
      <c r="D12" s="27">
        <f>-'res_raw_16499609'!$D$9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IF(ABS((SUM(B7:B12))-'res_raw_16499609'!$F$10)&lt;=2,SUM(B7:B12),'res_raw_16499609'!$F$10)</f>
        <v/>
      </c>
      <c r="C13" s="30">
        <f>IF(ABS((SUM(C7:C12))-'res_raw_16499609'!$E$10)&lt;=2,SUM(C7:C12),'res_raw_16499609'!$E$10)</f>
        <v/>
      </c>
      <c r="D13" s="30">
        <f>IF(ABS((SUM(D7:D12))-'res_raw_16499609'!$D$10)&lt;=2,SUM(D7:D12),'res_raw_16499609'!$D$10)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N('res_raw_16499609'!$F$11)+N('res_raw_16499609'!$F$12)</f>
        <v/>
      </c>
      <c r="C14" s="24">
        <f>N('res_raw_16499609'!$E$11)+N('res_raw_16499609'!$E$12)</f>
        <v/>
      </c>
      <c r="D14" s="24">
        <f>N('res_raw_16499609'!$D$11)+N('res_raw_16499609'!$D$12)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-'res_raw_16499609'!$F$13</f>
        <v/>
      </c>
      <c r="C15" s="27">
        <f>-'res_raw_16499609'!$E$13</f>
        <v/>
      </c>
      <c r="D15" s="27">
        <f>-'res_raw_16499609'!$D$13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IF(ABS((SUM(B13:B15))-'res_raw_16499609'!$F$15)&lt;=2,SUM(B13:B15),'res_raw_16499609'!$F$15)</f>
        <v/>
      </c>
      <c r="C16" s="30">
        <f>IF(ABS((SUM(C13:C15))-'res_raw_16499609'!$E$15)&lt;=2,SUM(C13:C15),'res_raw_16499609'!$E$15)</f>
        <v/>
      </c>
      <c r="D16" s="30">
        <f>IF(ABS((SUM(D13:D15))-'res_raw_16499609'!$D$15)&lt;=2,SUM(D13:D15),'res_raw_16499609'!$D$15)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'balance_raw_16499609'!$F$15</f>
        <v/>
      </c>
      <c r="C19" s="24">
        <f>'balance_raw_16499609'!$E$15</f>
        <v/>
      </c>
      <c r="D19" s="24">
        <f>'balance_raw_16499609'!$D$15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'balance_raw_16499609'!$F$30</f>
        <v/>
      </c>
      <c r="C20" s="24">
        <f>'balance_raw_16499609'!$E$30</f>
        <v/>
      </c>
      <c r="D20" s="24">
        <f>'balance_raw_16499609'!$D$30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'balance_raw_16499609'!$F$38</f>
        <v/>
      </c>
      <c r="C23" s="24">
        <f>'balance_raw_16499609'!$E$38</f>
        <v/>
      </c>
      <c r="D23" s="24">
        <f>'balance_raw_16499609'!$D$38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'balance_raw_16499609'!$F$59-'balance_raw_16499609'!$F$38</f>
        <v/>
      </c>
      <c r="C24" s="24">
        <f>'balance_raw_16499609'!$E$59-'balance_raw_16499609'!$E$38</f>
        <v/>
      </c>
      <c r="D24" s="24">
        <f>'balance_raw_16499609'!$D$59-'balance_raw_16499609'!$D$38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'balance_raw_16499609'!$F$19</f>
        <v/>
      </c>
      <c r="C28" s="24">
        <f>'balance_raw_16499609'!$E$19</f>
        <v/>
      </c>
      <c r="D28" s="24">
        <f>'balance_raw_16499609'!$D$19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'balance_raw_16499609'!$F$20</f>
        <v/>
      </c>
      <c r="C29" s="24">
        <f>'balance_raw_16499609'!$E$20</f>
        <v/>
      </c>
      <c r="D29" s="24">
        <f>'balance_raw_16499609'!$D$20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'balance_raw_16499609'!$F$57</f>
        <v/>
      </c>
      <c r="C30" s="24">
        <f>'balance_raw_16499609'!$E$57</f>
        <v/>
      </c>
      <c r="D30" s="24">
        <f>'balance_raw_16499609'!$D$57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IF('balance_raw_16499609'!$F$31="","—",IF(ABS(B21-'balance_raw_16499609'!$F$31)&lt;=1,"✓ OK","❌ "&amp;TEXT(B21-'balance_raw_16499609'!$F$31,"+#,##0;-#,##0")&amp;" t.kr."))</f>
        <v/>
      </c>
      <c r="C62" s="31">
        <f>IF('balance_raw_16499609'!$E$31="","—",IF(ABS(C21-'balance_raw_16499609'!$E$31)&lt;=1,"✓ OK","❌ "&amp;TEXT(C21-'balance_raw_16499609'!$E$31,"+#,##0;-#,##0")&amp;" t.kr."))</f>
        <v/>
      </c>
      <c r="D62" s="31">
        <f>IF('balance_raw_16499609'!$D$31="","—",IF(ABS(D21-'balance_raw_16499609'!$D$31)&lt;=1,"✓ OK","❌ "&amp;TEXT(D21-'balance_raw_16499609'!$D$31,"+#,##0;-#,##0")&amp;"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IF('balance_raw_16499609'!$F$59="","—",IF(ABS(B25-'balance_raw_16499609'!$F$59)&lt;=1,"✓ OK","❌ "&amp;TEXT(B25-'balance_raw_16499609'!$F$59,"+#,##0;-#,##0")&amp;" t.kr."))</f>
        <v/>
      </c>
      <c r="C63" s="31">
        <f>IF('balance_raw_16499609'!$E$59="","—",IF(ABS(C25-'balance_raw_16499609'!$E$59)&lt;=1,"✓ OK","❌ "&amp;TEXT(C25-'balance_raw_16499609'!$E$59,"+#,##0;-#,##0")&amp;" t.kr."))</f>
        <v/>
      </c>
      <c r="D63" s="31">
        <f>IF('balance_raw_16499609'!$D$59="","—",IF(ABS(D25-'balance_raw_16499609'!$D$59)&lt;=1,"✓ OK","❌ "&amp;TEXT(D25-'balance_raw_16499609'!$D$59,"+#,##0;-#,##0")&amp;"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IF('res_raw_16499609'!$F$4="","—",IF(ABS(B7-'res_raw_16499609'!$F$4)&lt;=1,"✓ OK","❌ "&amp;TEXT(B7-'res_raw_16499609'!$F$4,"+#,##0;-#,##0")&amp;" t.kr."))</f>
        <v/>
      </c>
      <c r="C65" s="31">
        <f>IF('res_raw_16499609'!$E$4="","—",IF(ABS(C7-'res_raw_16499609'!$E$4)&lt;=1,"✓ OK","❌ "&amp;TEXT(C7-'res_raw_16499609'!$E$4,"+#,##0;-#,##0")&amp;" t.kr."))</f>
        <v/>
      </c>
      <c r="D65" s="31">
        <f>IF('res_raw_16499609'!$D$4="","—",IF(ABS(D7-'res_raw_16499609'!$D$4)&lt;=1,"✓ OK","❌ "&amp;TEXT(D7-'res_raw_16499609'!$D$4,"+#,##0;-#,##0")&amp;"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IF('res_raw_16499609'!$F$10="","—",IF(ABS(B13-'res_raw_16499609'!$F$10)&lt;=1,"✓ OK","❌ "&amp;TEXT(B13-'res_raw_16499609'!$F$10,"+#,##0;-#,##0")&amp;" t.kr."))</f>
        <v/>
      </c>
      <c r="C66" s="31">
        <f>IF('res_raw_16499609'!$E$10="","—",IF(ABS(C13-'res_raw_16499609'!$E$10)&lt;=1,"✓ OK","❌ "&amp;TEXT(C13-'res_raw_16499609'!$E$10,"+#,##0;-#,##0")&amp;" t.kr."))</f>
        <v/>
      </c>
      <c r="D66" s="31">
        <f>IF('res_raw_16499609'!$D$10="","—",IF(ABS(D13-'res_raw_16499609'!$D$10)&lt;=1,"✓ OK","❌ "&amp;TEXT(D13-'res_raw_16499609'!$D$10,"+#,##0;-#,##0")&amp;"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IF('res_raw_16499609'!$F$15="","—",IF(ABS(B16-'res_raw_16499609'!$F$15)&lt;=1,"✓ OK","❌ "&amp;TEXT(B16-'res_raw_16499609'!$F$15,"+#,##0;-#,##0")&amp;" t.kr."))</f>
        <v/>
      </c>
      <c r="C67" s="31">
        <f>IF('res_raw_16499609'!$E$15="","—",IF(ABS(C16-'res_raw_16499609'!$E$15)&lt;=1,"✓ OK","❌ "&amp;TEXT(C16-'res_raw_16499609'!$E$15,"+#,##0;-#,##0")&amp;" t.kr."))</f>
        <v/>
      </c>
      <c r="D67" s="31">
        <f>IF('res_raw_16499609'!$D$15="","—",IF(ABS(D16-'res_raw_16499609'!$D$15)&lt;=1,"✓ OK","❌ "&amp;TEXT(D16-'res_raw_16499609'!$D$15,"+#,##0;-#,##0")&amp;"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2026-09-29T14:48:00Z</dcterms:created>
  <dcterms:modified xmlns:dcterms="http://purl.org/dc/terms/" xmlns:xsi="http://www.w3.org/2001/XMLSchema-instance" xsi:type="dcterms:W3CDTF">2026-09-29T14:48:01Z</dcterms:modified>
</cp:coreProperties>
</file>