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'pengestrom_raw_12425694'!$B$2</f>
        <v/>
      </c>
      <c r="C94" s="17">
        <f>'pengestrom_raw_12425694'!$C$2</f>
        <v/>
      </c>
      <c r="D94" s="17">
        <f>'pengestrom_raw_12425694'!$D$2</f>
        <v/>
      </c>
      <c r="E94" s="17">
        <f>'pengestrom_raw_12425694'!$E$2</f>
        <v/>
      </c>
      <c r="F94" s="17">
        <f>'pengestrom_raw_12425694'!$F$2</f>
        <v/>
      </c>
    </row>
    <row r="95">
      <c r="A95" s="16" t="inlineStr">
        <is>
          <t>Pengestrømme fra investeringsaktivitet</t>
        </is>
      </c>
      <c r="B95" s="17">
        <f>'pengestrom_raw_12425694'!$B$3</f>
        <v/>
      </c>
      <c r="C95" s="17">
        <f>'pengestrom_raw_12425694'!$C$3</f>
        <v/>
      </c>
      <c r="D95" s="17">
        <f>'pengestrom_raw_12425694'!$D$3</f>
        <v/>
      </c>
      <c r="E95" s="17">
        <f>'pengestrom_raw_12425694'!$E$3</f>
        <v/>
      </c>
      <c r="F95" s="17">
        <f>'pengestrom_raw_12425694'!$F$3</f>
        <v/>
      </c>
    </row>
    <row r="96">
      <c r="A96" s="16" t="inlineStr">
        <is>
          <t>Pengestrømme fra finansieringsaktivitet</t>
        </is>
      </c>
      <c r="B96" s="17">
        <f>'pengestrom_raw_12425694'!$B$4</f>
        <v/>
      </c>
      <c r="C96" s="17">
        <f>'pengestrom_raw_12425694'!$C$4</f>
        <v/>
      </c>
      <c r="D96" s="17">
        <f>'pengestrom_raw_12425694'!$D$4</f>
        <v/>
      </c>
      <c r="E96" s="17">
        <f>'pengestrom_raw_12425694'!$E$4</f>
        <v/>
      </c>
      <c r="F96" s="17">
        <f>'pengestrom_raw_12425694'!$F$4</f>
        <v/>
      </c>
    </row>
    <row r="97">
      <c r="A97" s="16" t="inlineStr">
        <is>
          <t>Årets pengestrøm (rapporteret)</t>
        </is>
      </c>
      <c r="B97" s="17">
        <f>'pengestrom_raw_12425694'!$B$5</f>
        <v/>
      </c>
      <c r="C97" s="17">
        <f>'pengestrom_raw_12425694'!$C$5</f>
        <v/>
      </c>
      <c r="D97" s="17">
        <f>'pengestrom_raw_12425694'!$D$5</f>
        <v/>
      </c>
      <c r="E97" s="17">
        <f>'pengestrom_raw_12425694'!$E$5</f>
        <v/>
      </c>
      <c r="F97" s="17">
        <f>'pengestrom_raw_12425694'!$F$5</f>
        <v/>
      </c>
    </row>
    <row r="98">
      <c r="A98" s="16" t="inlineStr">
        <is>
          <t>Krydstjek: drift + inv. + fin. = årets pengestrøm</t>
        </is>
      </c>
      <c r="B98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8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8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8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8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Salgs- og distributionsomkostninger</t>
        </is>
      </c>
      <c r="B5" s="17" t="n">
        <v>61177</v>
      </c>
      <c r="C5" s="17" t="n">
        <v>71235</v>
      </c>
      <c r="D5" s="17" t="n">
        <v>73892</v>
      </c>
      <c r="E5" s="17" t="n">
        <v>80457</v>
      </c>
      <c r="F5" s="17" t="n">
        <v>89718</v>
      </c>
    </row>
    <row r="6">
      <c r="A6" s="16" t="inlineStr">
        <is>
          <t>Administrationsomkostninger</t>
        </is>
      </c>
      <c r="B6" s="17" t="n">
        <v>27275</v>
      </c>
      <c r="C6" s="17" t="n">
        <v>29604</v>
      </c>
      <c r="D6" s="17" t="n">
        <v>47354</v>
      </c>
      <c r="E6" s="17" t="n">
        <v>41770</v>
      </c>
      <c r="F6" s="17" t="n">
        <v>46262</v>
      </c>
    </row>
    <row r="7">
      <c r="A7" s="16" t="inlineStr">
        <is>
          <t>Andre driftsindtægter</t>
        </is>
      </c>
      <c r="B7" s="17" t="n">
        <v>-124</v>
      </c>
      <c r="C7" s="17" t="n">
        <v>-497</v>
      </c>
      <c r="D7" s="17" t="n">
        <v>-80</v>
      </c>
      <c r="E7" s="17" t="n">
        <v>-25</v>
      </c>
      <c r="F7" s="17" t="n">
        <v>-1149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32289</v>
      </c>
      <c r="C9" s="17" t="n">
        <v>23790</v>
      </c>
      <c r="D9" s="17" t="n">
        <v>39832</v>
      </c>
      <c r="E9" s="17" t="n">
        <v>37940</v>
      </c>
      <c r="F9" s="17" t="n">
        <v>38046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-2</v>
      </c>
      <c r="C11" s="17" t="n">
        <v>3008</v>
      </c>
      <c r="D11" s="17" t="n">
        <v>164</v>
      </c>
      <c r="E11" s="17" t="n">
        <v>216</v>
      </c>
      <c r="F11" s="17" t="n">
        <v>568</v>
      </c>
    </row>
    <row r="12">
      <c r="A12" s="16" t="inlineStr">
        <is>
          <t>Finansielle omkostninger</t>
        </is>
      </c>
      <c r="B12" s="17" t="n">
        <v>5542</v>
      </c>
      <c r="C12" s="17" t="n">
        <v>6560</v>
      </c>
      <c r="D12" s="17" t="n">
        <v>8564</v>
      </c>
      <c r="E12" s="17" t="n">
        <v>7155</v>
      </c>
      <c r="F12" s="17" t="n">
        <v>5751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26788</v>
      </c>
      <c r="C14" s="17" t="n">
        <v>20268</v>
      </c>
      <c r="D14" s="17" t="n">
        <v>31484</v>
      </c>
      <c r="E14" s="17" t="n">
        <v>30554</v>
      </c>
      <c r="F14" s="17" t="n">
        <v>33012</v>
      </c>
    </row>
    <row r="15">
      <c r="A15" s="16" t="inlineStr">
        <is>
          <t>Skat af årets resultat</t>
        </is>
      </c>
      <c r="B15" s="17" t="n">
        <v>120</v>
      </c>
      <c r="C15" s="17" t="n">
        <v>158</v>
      </c>
      <c r="D15" s="17" t="n">
        <v>129</v>
      </c>
      <c r="E15" s="17" t="n">
        <v>3</v>
      </c>
      <c r="F15" s="17" t="n">
        <v>251</v>
      </c>
    </row>
    <row r="16">
      <c r="A16" s="15" t="inlineStr">
        <is>
          <t>Årets resultat</t>
        </is>
      </c>
      <c r="B16" s="17" t="n">
        <v>26668</v>
      </c>
      <c r="C16" s="17" t="n">
        <v>20110</v>
      </c>
      <c r="D16" s="17" t="n">
        <v>31355</v>
      </c>
      <c r="E16" s="17" t="n">
        <v>30551</v>
      </c>
      <c r="F16" s="17" t="n">
        <v>32761</v>
      </c>
    </row>
    <row r="17">
      <c r="A17" s="16" t="inlineStr">
        <is>
          <t>Gns. antal medarbejdere</t>
        </is>
      </c>
      <c r="B17" s="17" t="n">
        <v>256</v>
      </c>
      <c r="C17" s="17" t="n">
        <v>270</v>
      </c>
      <c r="D17" s="17" t="n">
        <v>273</v>
      </c>
      <c r="E17" s="17" t="n">
        <v>291</v>
      </c>
      <c r="F17" s="17" t="n">
        <v>302</v>
      </c>
    </row>
    <row r="18">
      <c r="A18" s="16" t="inlineStr">
        <is>
          <t>Investering i materielle anlægsaktiver</t>
        </is>
      </c>
      <c r="B18" s="17" t="n">
        <v>-56303</v>
      </c>
      <c r="C18" s="17" t="n">
        <v>-66659</v>
      </c>
      <c r="D18" s="17" t="n">
        <v>-23554</v>
      </c>
      <c r="E18" s="17" t="n">
        <v>-14325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2026-09-14T19:58:26Z</dcterms:created>
  <dcterms:modified xmlns:dcterms="http://purl.org/dc/terms/" xmlns:xsi="http://www.w3.org/2001/XMLSchema-instance" xsi:type="dcterms:W3CDTF">2026-09-14T19:58:27Z</dcterms:modified>
</cp:coreProperties>
</file>