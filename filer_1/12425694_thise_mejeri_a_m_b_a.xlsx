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425694" sheetId="1" state="visible" r:id="rId1"/>
    <sheet xmlns:r="http://schemas.openxmlformats.org/officeDocument/2006/relationships" name="res_raw_12425694" sheetId="2" state="visible" r:id="rId2"/>
    <sheet xmlns:r="http://schemas.openxmlformats.org/officeDocument/2006/relationships" name="balance_raw_12425694" sheetId="3" state="visible" r:id="rId3"/>
    <sheet xmlns:r="http://schemas.openxmlformats.org/officeDocument/2006/relationships" name="pengestrom_raw_1242569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Thise Mejeri A.M.B.A. (CVR 12425694)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'res_raw_12425694'!$B$2</f>
        <v/>
      </c>
      <c r="C4" s="5">
        <f>'res_raw_12425694'!$C$2</f>
        <v/>
      </c>
      <c r="D4" s="5">
        <f>'res_raw_12425694'!$D$2</f>
        <v/>
      </c>
      <c r="E4" s="5">
        <f>'res_raw_12425694'!$E$2</f>
        <v/>
      </c>
      <c r="F4" s="5">
        <f>'res_raw_12425694'!$F$2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'res_raw_12425694'!$B$3</f>
        <v/>
      </c>
      <c r="C5" s="8">
        <f>'res_raw_12425694'!$C$3</f>
        <v/>
      </c>
      <c r="D5" s="8">
        <f>'res_raw_12425694'!$D$3</f>
        <v/>
      </c>
      <c r="E5" s="8">
        <f>'res_raw_12425694'!$E$3</f>
        <v/>
      </c>
      <c r="F5" s="8">
        <f>'res_raw_12425694'!$F$3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'res_raw_12425694'!$B$4</f>
        <v/>
      </c>
      <c r="C6" s="8">
        <f>'res_raw_12425694'!$C$4</f>
        <v/>
      </c>
      <c r="D6" s="8">
        <f>'res_raw_12425694'!$D$4</f>
        <v/>
      </c>
      <c r="E6" s="8">
        <f>'res_raw_12425694'!$E$4</f>
        <v/>
      </c>
      <c r="F6" s="8">
        <f>'res_raw_12425694'!$F$4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'res_raw_12425694'!$B$5</f>
        <v/>
      </c>
      <c r="C7" s="11">
        <f>'res_raw_12425694'!$C$5</f>
        <v/>
      </c>
      <c r="D7" s="11">
        <f>'res_raw_12425694'!$D$5</f>
        <v/>
      </c>
      <c r="E7" s="11">
        <f>'res_raw_12425694'!$E$5</f>
        <v/>
      </c>
      <c r="F7" s="11">
        <f>'res_raw_12425694'!$F$5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'res_raw_12425694'!$B$6</f>
        <v/>
      </c>
      <c r="C8" s="8">
        <f>'res_raw_12425694'!$C$6</f>
        <v/>
      </c>
      <c r="D8" s="8">
        <f>'res_raw_12425694'!$D$6</f>
        <v/>
      </c>
      <c r="E8" s="8">
        <f>'res_raw_12425694'!$E$6</f>
        <v/>
      </c>
      <c r="F8" s="8">
        <f>'res_raw_12425694'!$F$6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'res_raw_12425694'!$B$7</f>
        <v/>
      </c>
      <c r="C9" s="8">
        <f>'res_raw_12425694'!$C$7</f>
        <v/>
      </c>
      <c r="D9" s="8">
        <f>'res_raw_12425694'!$D$7</f>
        <v/>
      </c>
      <c r="E9" s="8">
        <f>'res_raw_12425694'!$E$7</f>
        <v/>
      </c>
      <c r="F9" s="8">
        <f>'res_raw_12425694'!$F$7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'res_raw_12425694'!$B$8</f>
        <v/>
      </c>
      <c r="C10" s="5">
        <f>'res_raw_12425694'!$C$8</f>
        <v/>
      </c>
      <c r="D10" s="5">
        <f>'res_raw_12425694'!$D$8</f>
        <v/>
      </c>
      <c r="E10" s="5">
        <f>'res_raw_12425694'!$E$8</f>
        <v/>
      </c>
      <c r="F10" s="5">
        <f>'res_raw_12425694'!$F$8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'res_raw_12425694'!$B$9</f>
        <v/>
      </c>
      <c r="C11" s="11">
        <f>'res_raw_12425694'!$C$9</f>
        <v/>
      </c>
      <c r="D11" s="11">
        <f>'res_raw_12425694'!$D$9</f>
        <v/>
      </c>
      <c r="E11" s="11">
        <f>'res_raw_12425694'!$E$9</f>
        <v/>
      </c>
      <c r="F11" s="11">
        <f>'res_raw_12425694'!$F$9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'res_raw_12425694'!$B$10</f>
        <v/>
      </c>
      <c r="C12" s="8">
        <f>'res_raw_12425694'!$C$10</f>
        <v/>
      </c>
      <c r="D12" s="8">
        <f>'res_raw_12425694'!$D$10</f>
        <v/>
      </c>
      <c r="E12" s="8">
        <f>'res_raw_12425694'!$E$10</f>
        <v/>
      </c>
      <c r="F12" s="8">
        <f>'res_raw_12425694'!$F$10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'res_raw_12425694'!$B$11</f>
        <v/>
      </c>
      <c r="C13" s="11">
        <f>'res_raw_12425694'!$C$11</f>
        <v/>
      </c>
      <c r="D13" s="11">
        <f>'res_raw_12425694'!$D$11</f>
        <v/>
      </c>
      <c r="E13" s="11">
        <f>'res_raw_12425694'!$E$11</f>
        <v/>
      </c>
      <c r="F13" s="11">
        <f>'res_raw_12425694'!$F$11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'res_raw_12425694'!$B$12</f>
        <v/>
      </c>
      <c r="C14" s="5">
        <f>'res_raw_12425694'!$C$12</f>
        <v/>
      </c>
      <c r="D14" s="5">
        <f>'res_raw_12425694'!$D$12</f>
        <v/>
      </c>
      <c r="E14" s="5">
        <f>'res_raw_12425694'!$E$12</f>
        <v/>
      </c>
      <c r="F14" s="5">
        <f>'res_raw_12425694'!$F$12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'res_raw_12425694'!$B$13</f>
        <v/>
      </c>
      <c r="C15" s="11">
        <f>'res_raw_12425694'!$C$13</f>
        <v/>
      </c>
      <c r="D15" s="11">
        <f>'res_raw_12425694'!$D$13</f>
        <v/>
      </c>
      <c r="E15" s="11">
        <f>'res_raw_12425694'!$E$13</f>
        <v/>
      </c>
      <c r="F15" s="11">
        <f>'res_raw_12425694'!$F$13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'res_raw_12425694'!$B$14</f>
        <v/>
      </c>
      <c r="C16" s="8">
        <f>'res_raw_12425694'!$C$14</f>
        <v/>
      </c>
      <c r="D16" s="8">
        <f>'res_raw_12425694'!$D$14</f>
        <v/>
      </c>
      <c r="E16" s="8">
        <f>'res_raw_12425694'!$E$14</f>
        <v/>
      </c>
      <c r="F16" s="8">
        <f>'res_raw_12425694'!$F$14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'res_raw_12425694'!$B$15</f>
        <v/>
      </c>
      <c r="C17" s="8">
        <f>'res_raw_12425694'!$C$15</f>
        <v/>
      </c>
      <c r="D17" s="8">
        <f>'res_raw_12425694'!$D$15</f>
        <v/>
      </c>
      <c r="E17" s="8">
        <f>'res_raw_12425694'!$E$15</f>
        <v/>
      </c>
      <c r="F17" s="8">
        <f>'res_raw_12425694'!$F$15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'res_raw_12425694'!$B$16</f>
        <v/>
      </c>
      <c r="C18" s="5">
        <f>'res_raw_12425694'!$C$16</f>
        <v/>
      </c>
      <c r="D18" s="5">
        <f>'res_raw_12425694'!$D$16</f>
        <v/>
      </c>
      <c r="E18" s="5">
        <f>'res_raw_12425694'!$E$16</f>
        <v/>
      </c>
      <c r="F18" s="5">
        <f>'res_raw_12425694'!$F$16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'res_raw_12425694'!$B$17</f>
        <v/>
      </c>
      <c r="C19" s="8">
        <f>'res_raw_12425694'!$C$17</f>
        <v/>
      </c>
      <c r="D19" s="8">
        <f>'res_raw_12425694'!$D$17</f>
        <v/>
      </c>
      <c r="E19" s="8">
        <f>'res_raw_12425694'!$E$17</f>
        <v/>
      </c>
      <c r="F19" s="8">
        <f>'res_raw_12425694'!$F$17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Grunde og bygninger</t>
        </is>
      </c>
      <c r="B22" s="5">
        <f>'balance_raw_12425694'!$B$2</f>
        <v/>
      </c>
      <c r="C22" s="5">
        <f>'balance_raw_12425694'!$C$2</f>
        <v/>
      </c>
      <c r="D22" s="5">
        <f>'balance_raw_12425694'!$D$2</f>
        <v/>
      </c>
      <c r="E22" s="5">
        <f>'balance_raw_12425694'!$E$2</f>
        <v/>
      </c>
      <c r="F22" s="5">
        <f>'balance_raw_12425694'!$F$2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'balance_raw_12425694'!$B$3</f>
        <v/>
      </c>
      <c r="C23" s="11">
        <f>'balance_raw_12425694'!$C$3</f>
        <v/>
      </c>
      <c r="D23" s="11">
        <f>'balance_raw_12425694'!$D$3</f>
        <v/>
      </c>
      <c r="E23" s="11">
        <f>'balance_raw_12425694'!$E$3</f>
        <v/>
      </c>
      <c r="F23" s="11">
        <f>'balance_raw_12425694'!$F$3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'balance_raw_12425694'!$B$4</f>
        <v/>
      </c>
      <c r="C24" s="5">
        <f>'balance_raw_12425694'!$C$4</f>
        <v/>
      </c>
      <c r="D24" s="5">
        <f>'balance_raw_12425694'!$D$4</f>
        <v/>
      </c>
      <c r="E24" s="5">
        <f>'balance_raw_12425694'!$E$4</f>
        <v/>
      </c>
      <c r="F24" s="5">
        <f>'balance_raw_12425694'!$F$4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'balance_raw_12425694'!$B$5</f>
        <v/>
      </c>
      <c r="C25" s="11">
        <f>'balance_raw_12425694'!$C$5</f>
        <v/>
      </c>
      <c r="D25" s="11">
        <f>'balance_raw_12425694'!$D$5</f>
        <v/>
      </c>
      <c r="E25" s="11">
        <f>'balance_raw_12425694'!$E$5</f>
        <v/>
      </c>
      <c r="F25" s="11">
        <f>'balance_raw_12425694'!$F$5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'balance_raw_12425694'!$B$6</f>
        <v/>
      </c>
      <c r="C26" s="5">
        <f>'balance_raw_12425694'!$C$6</f>
        <v/>
      </c>
      <c r="D26" s="5">
        <f>'balance_raw_12425694'!$D$6</f>
        <v/>
      </c>
      <c r="E26" s="5">
        <f>'balance_raw_12425694'!$E$6</f>
        <v/>
      </c>
      <c r="F26" s="5">
        <f>'balance_raw_12425694'!$F$6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'balance_raw_12425694'!$B$7</f>
        <v/>
      </c>
      <c r="C27" s="8">
        <f>'balance_raw_12425694'!$C$7</f>
        <v/>
      </c>
      <c r="D27" s="8">
        <f>'balance_raw_12425694'!$D$7</f>
        <v/>
      </c>
      <c r="E27" s="8">
        <f>'balance_raw_12425694'!$E$7</f>
        <v/>
      </c>
      <c r="F27" s="8">
        <f>'balance_raw_12425694'!$F$7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'balance_raw_12425694'!$B$8</f>
        <v/>
      </c>
      <c r="C28" s="5">
        <f>'balance_raw_12425694'!$C$8</f>
        <v/>
      </c>
      <c r="D28" s="5">
        <f>'balance_raw_12425694'!$D$8</f>
        <v/>
      </c>
      <c r="E28" s="5">
        <f>'balance_raw_12425694'!$E$8</f>
        <v/>
      </c>
      <c r="F28" s="5">
        <f>'balance_raw_12425694'!$F$8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'balance_raw_12425694'!$B$9</f>
        <v/>
      </c>
      <c r="C29" s="11">
        <f>'balance_raw_12425694'!$C$9</f>
        <v/>
      </c>
      <c r="D29" s="11">
        <f>'balance_raw_12425694'!$D$9</f>
        <v/>
      </c>
      <c r="E29" s="11">
        <f>'balance_raw_12425694'!$E$9</f>
        <v/>
      </c>
      <c r="F29" s="11">
        <f>'balance_raw_12425694'!$F$9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'balance_raw_12425694'!$B$10</f>
        <v/>
      </c>
      <c r="C30" s="8">
        <f>'balance_raw_12425694'!$C$10</f>
        <v/>
      </c>
      <c r="D30" s="8">
        <f>'balance_raw_12425694'!$D$10</f>
        <v/>
      </c>
      <c r="E30" s="8">
        <f>'balance_raw_12425694'!$E$10</f>
        <v/>
      </c>
      <c r="F30" s="8">
        <f>'balance_raw_12425694'!$F$10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'balance_raw_12425694'!$B$11</f>
        <v/>
      </c>
      <c r="C31" s="8">
        <f>'balance_raw_12425694'!$C$11</f>
        <v/>
      </c>
      <c r="D31" s="8">
        <f>'balance_raw_12425694'!$D$11</f>
        <v/>
      </c>
      <c r="E31" s="8">
        <f>'balance_raw_12425694'!$E$11</f>
        <v/>
      </c>
      <c r="F31" s="8">
        <f>'balance_raw_12425694'!$F$11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Råvarer og hjælpematerialer</t>
        </is>
      </c>
      <c r="B32" s="5">
        <f>'balance_raw_12425694'!$B$12</f>
        <v/>
      </c>
      <c r="C32" s="5">
        <f>'balance_raw_12425694'!$C$12</f>
        <v/>
      </c>
      <c r="D32" s="5">
        <f>'balance_raw_12425694'!$D$12</f>
        <v/>
      </c>
      <c r="E32" s="5">
        <f>'balance_raw_12425694'!$E$12</f>
        <v/>
      </c>
      <c r="F32" s="5">
        <f>'balance_raw_12425694'!$F$12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Varer under fremstilling</t>
        </is>
      </c>
      <c r="B33" s="11">
        <f>'balance_raw_12425694'!$B$13</f>
        <v/>
      </c>
      <c r="C33" s="11">
        <f>'balance_raw_12425694'!$C$13</f>
        <v/>
      </c>
      <c r="D33" s="11">
        <f>'balance_raw_12425694'!$D$13</f>
        <v/>
      </c>
      <c r="E33" s="11">
        <f>'balance_raw_12425694'!$E$13</f>
        <v/>
      </c>
      <c r="F33" s="11">
        <f>'balance_raw_12425694'!$F$13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Færdigvarer og handelsvarer</t>
        </is>
      </c>
      <c r="B34" s="5">
        <f>'balance_raw_12425694'!$B$14</f>
        <v/>
      </c>
      <c r="C34" s="5">
        <f>'balance_raw_12425694'!$C$14</f>
        <v/>
      </c>
      <c r="D34" s="5">
        <f>'balance_raw_12425694'!$D$14</f>
        <v/>
      </c>
      <c r="E34" s="5">
        <f>'balance_raw_12425694'!$E$14</f>
        <v/>
      </c>
      <c r="F34" s="5">
        <f>'balance_raw_12425694'!$F$14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Varebeholdninger</t>
        </is>
      </c>
      <c r="B35" s="8">
        <f>'balance_raw_12425694'!$B$15</f>
        <v/>
      </c>
      <c r="C35" s="8">
        <f>'balance_raw_12425694'!$C$15</f>
        <v/>
      </c>
      <c r="D35" s="8">
        <f>'balance_raw_12425694'!$D$15</f>
        <v/>
      </c>
      <c r="E35" s="8">
        <f>'balance_raw_12425694'!$E$15</f>
        <v/>
      </c>
      <c r="F35" s="8">
        <f>'balance_raw_12425694'!$F$15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'balance_raw_12425694'!$B$16</f>
        <v/>
      </c>
      <c r="C36" s="5">
        <f>'balance_raw_12425694'!$C$16</f>
        <v/>
      </c>
      <c r="D36" s="5">
        <f>'balance_raw_12425694'!$D$16</f>
        <v/>
      </c>
      <c r="E36" s="5">
        <f>'balance_raw_12425694'!$E$16</f>
        <v/>
      </c>
      <c r="F36" s="5">
        <f>'balance_raw_12425694'!$F$16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'balance_raw_12425694'!$B$17</f>
        <v/>
      </c>
      <c r="C37" s="11">
        <f>'balance_raw_12425694'!$C$17</f>
        <v/>
      </c>
      <c r="D37" s="11">
        <f>'balance_raw_12425694'!$D$17</f>
        <v/>
      </c>
      <c r="E37" s="11">
        <f>'balance_raw_12425694'!$E$17</f>
        <v/>
      </c>
      <c r="F37" s="11">
        <f>'balance_raw_12425694'!$F$17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'balance_raw_12425694'!$B$18</f>
        <v/>
      </c>
      <c r="C38" s="5">
        <f>'balance_raw_12425694'!$C$18</f>
        <v/>
      </c>
      <c r="D38" s="5">
        <f>'balance_raw_12425694'!$D$18</f>
        <v/>
      </c>
      <c r="E38" s="5">
        <f>'balance_raw_12425694'!$E$18</f>
        <v/>
      </c>
      <c r="F38" s="5">
        <f>'balance_raw_12425694'!$F$18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'balance_raw_12425694'!$B$19</f>
        <v/>
      </c>
      <c r="C39" s="11">
        <f>'balance_raw_12425694'!$C$19</f>
        <v/>
      </c>
      <c r="D39" s="11">
        <f>'balance_raw_12425694'!$D$19</f>
        <v/>
      </c>
      <c r="E39" s="11">
        <f>'balance_raw_12425694'!$E$19</f>
        <v/>
      </c>
      <c r="F39" s="11">
        <f>'balance_raw_12425694'!$F$19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'balance_raw_12425694'!$B$20</f>
        <v/>
      </c>
      <c r="C40" s="5">
        <f>'balance_raw_12425694'!$C$20</f>
        <v/>
      </c>
      <c r="D40" s="5">
        <f>'balance_raw_12425694'!$D$20</f>
        <v/>
      </c>
      <c r="E40" s="5">
        <f>'balance_raw_12425694'!$E$20</f>
        <v/>
      </c>
      <c r="F40" s="5">
        <f>'balance_raw_12425694'!$F$20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'balance_raw_12425694'!$B$21</f>
        <v/>
      </c>
      <c r="C41" s="11">
        <f>'balance_raw_12425694'!$C$21</f>
        <v/>
      </c>
      <c r="D41" s="11">
        <f>'balance_raw_12425694'!$D$21</f>
        <v/>
      </c>
      <c r="E41" s="11">
        <f>'balance_raw_12425694'!$E$21</f>
        <v/>
      </c>
      <c r="F41" s="11">
        <f>'balance_raw_12425694'!$F$21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'balance_raw_12425694'!$B$22</f>
        <v/>
      </c>
      <c r="C42" s="5">
        <f>'balance_raw_12425694'!$C$22</f>
        <v/>
      </c>
      <c r="D42" s="5">
        <f>'balance_raw_12425694'!$D$22</f>
        <v/>
      </c>
      <c r="E42" s="5">
        <f>'balance_raw_12425694'!$E$22</f>
        <v/>
      </c>
      <c r="F42" s="5">
        <f>'balance_raw_12425694'!$F$22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'balance_raw_12425694'!$B$23</f>
        <v/>
      </c>
      <c r="C43" s="8">
        <f>'balance_raw_12425694'!$C$23</f>
        <v/>
      </c>
      <c r="D43" s="8">
        <f>'balance_raw_12425694'!$D$23</f>
        <v/>
      </c>
      <c r="E43" s="8">
        <f>'balance_raw_12425694'!$E$23</f>
        <v/>
      </c>
      <c r="F43" s="8">
        <f>'balance_raw_12425694'!$F$23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'balance_raw_12425694'!$B$24</f>
        <v/>
      </c>
      <c r="C44" s="5">
        <f>'balance_raw_12425694'!$C$24</f>
        <v/>
      </c>
      <c r="D44" s="5">
        <f>'balance_raw_12425694'!$D$24</f>
        <v/>
      </c>
      <c r="E44" s="5">
        <f>'balance_raw_12425694'!$E$24</f>
        <v/>
      </c>
      <c r="F44" s="5">
        <f>'balance_raw_12425694'!$F$24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'balance_raw_12425694'!$B$25</f>
        <v/>
      </c>
      <c r="C45" s="11">
        <f>'balance_raw_12425694'!$C$25</f>
        <v/>
      </c>
      <c r="D45" s="11">
        <f>'balance_raw_12425694'!$D$25</f>
        <v/>
      </c>
      <c r="E45" s="11">
        <f>'balance_raw_12425694'!$E$25</f>
        <v/>
      </c>
      <c r="F45" s="11">
        <f>'balance_raw_12425694'!$F$25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'balance_raw_12425694'!$B$26</f>
        <v/>
      </c>
      <c r="C46" s="8">
        <f>'balance_raw_12425694'!$C$26</f>
        <v/>
      </c>
      <c r="D46" s="8">
        <f>'balance_raw_12425694'!$D$26</f>
        <v/>
      </c>
      <c r="E46" s="8">
        <f>'balance_raw_12425694'!$E$26</f>
        <v/>
      </c>
      <c r="F46" s="8">
        <f>'balance_raw_12425694'!$F$26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'balance_raw_12425694'!$B$27</f>
        <v/>
      </c>
      <c r="C47" s="8">
        <f>'balance_raw_12425694'!$C$27</f>
        <v/>
      </c>
      <c r="D47" s="8">
        <f>'balance_raw_12425694'!$D$27</f>
        <v/>
      </c>
      <c r="E47" s="8">
        <f>'balance_raw_12425694'!$E$27</f>
        <v/>
      </c>
      <c r="F47" s="8">
        <f>'balance_raw_12425694'!$F$27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'balance_raw_12425694'!$B$28</f>
        <v/>
      </c>
      <c r="C50" s="5">
        <f>'balance_raw_12425694'!$C$28</f>
        <v/>
      </c>
      <c r="D50" s="5">
        <f>'balance_raw_12425694'!$D$28</f>
        <v/>
      </c>
      <c r="E50" s="5">
        <f>'balance_raw_12425694'!$E$28</f>
        <v/>
      </c>
      <c r="F50" s="5">
        <f>'balance_raw_12425694'!$F$28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'balance_raw_12425694'!$B$29</f>
        <v/>
      </c>
      <c r="C51" s="11">
        <f>'balance_raw_12425694'!$C$29</f>
        <v/>
      </c>
      <c r="D51" s="11">
        <f>'balance_raw_12425694'!$D$29</f>
        <v/>
      </c>
      <c r="E51" s="11">
        <f>'balance_raw_12425694'!$E$29</f>
        <v/>
      </c>
      <c r="F51" s="11">
        <f>'balance_raw_12425694'!$F$29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'balance_raw_12425694'!$B$30</f>
        <v/>
      </c>
      <c r="C52" s="5">
        <f>'balance_raw_12425694'!$C$30</f>
        <v/>
      </c>
      <c r="D52" s="5">
        <f>'balance_raw_12425694'!$D$30</f>
        <v/>
      </c>
      <c r="E52" s="5">
        <f>'balance_raw_12425694'!$E$30</f>
        <v/>
      </c>
      <c r="F52" s="5">
        <f>'balance_raw_12425694'!$F$30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'balance_raw_12425694'!$B$31</f>
        <v/>
      </c>
      <c r="C53" s="11">
        <f>'balance_raw_12425694'!$C$31</f>
        <v/>
      </c>
      <c r="D53" s="11">
        <f>'balance_raw_12425694'!$D$31</f>
        <v/>
      </c>
      <c r="E53" s="11">
        <f>'balance_raw_12425694'!$E$31</f>
        <v/>
      </c>
      <c r="F53" s="11">
        <f>'balance_raw_12425694'!$F$31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'balance_raw_12425694'!$B$32</f>
        <v/>
      </c>
      <c r="C54" s="5">
        <f>'balance_raw_12425694'!$C$32</f>
        <v/>
      </c>
      <c r="D54" s="5">
        <f>'balance_raw_12425694'!$D$32</f>
        <v/>
      </c>
      <c r="E54" s="5">
        <f>'balance_raw_12425694'!$E$32</f>
        <v/>
      </c>
      <c r="F54" s="5">
        <f>'balance_raw_12425694'!$F$32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'balance_raw_12425694'!$B$33</f>
        <v/>
      </c>
      <c r="C55" s="11">
        <f>'balance_raw_12425694'!$C$33</f>
        <v/>
      </c>
      <c r="D55" s="11">
        <f>'balance_raw_12425694'!$D$33</f>
        <v/>
      </c>
      <c r="E55" s="11">
        <f>'balance_raw_12425694'!$E$33</f>
        <v/>
      </c>
      <c r="F55" s="11">
        <f>'balance_raw_12425694'!$F$33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'balance_raw_12425694'!$B$34</f>
        <v/>
      </c>
      <c r="C56" s="8">
        <f>'balance_raw_12425694'!$C$34</f>
        <v/>
      </c>
      <c r="D56" s="8">
        <f>'balance_raw_12425694'!$D$34</f>
        <v/>
      </c>
      <c r="E56" s="8">
        <f>'balance_raw_12425694'!$E$34</f>
        <v/>
      </c>
      <c r="F56" s="8">
        <f>'balance_raw_12425694'!$F$34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'balance_raw_12425694'!$B$35</f>
        <v/>
      </c>
      <c r="C57" s="11">
        <f>'balance_raw_12425694'!$C$35</f>
        <v/>
      </c>
      <c r="D57" s="11">
        <f>'balance_raw_12425694'!$D$35</f>
        <v/>
      </c>
      <c r="E57" s="11">
        <f>'balance_raw_12425694'!$E$35</f>
        <v/>
      </c>
      <c r="F57" s="11">
        <f>'balance_raw_12425694'!$F$35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'balance_raw_12425694'!$B$36</f>
        <v/>
      </c>
      <c r="C58" s="5">
        <f>'balance_raw_12425694'!$C$36</f>
        <v/>
      </c>
      <c r="D58" s="5">
        <f>'balance_raw_12425694'!$D$36</f>
        <v/>
      </c>
      <c r="E58" s="5">
        <f>'balance_raw_12425694'!$E$36</f>
        <v/>
      </c>
      <c r="F58" s="5">
        <f>'balance_raw_12425694'!$F$36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'balance_raw_12425694'!$B$37</f>
        <v/>
      </c>
      <c r="C59" s="11">
        <f>'balance_raw_12425694'!$C$37</f>
        <v/>
      </c>
      <c r="D59" s="11">
        <f>'balance_raw_12425694'!$D$37</f>
        <v/>
      </c>
      <c r="E59" s="11">
        <f>'balance_raw_12425694'!$E$37</f>
        <v/>
      </c>
      <c r="F59" s="11">
        <f>'balance_raw_12425694'!$F$37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'balance_raw_12425694'!$B$38</f>
        <v/>
      </c>
      <c r="C60" s="5">
        <f>'balance_raw_12425694'!$C$38</f>
        <v/>
      </c>
      <c r="D60" s="5">
        <f>'balance_raw_12425694'!$D$38</f>
        <v/>
      </c>
      <c r="E60" s="5">
        <f>'balance_raw_12425694'!$E$38</f>
        <v/>
      </c>
      <c r="F60" s="5">
        <f>'balance_raw_12425694'!$F$38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'balance_raw_12425694'!$B$39</f>
        <v/>
      </c>
      <c r="C61" s="8">
        <f>'balance_raw_12425694'!$C$39</f>
        <v/>
      </c>
      <c r="D61" s="8">
        <f>'balance_raw_12425694'!$D$39</f>
        <v/>
      </c>
      <c r="E61" s="8">
        <f>'balance_raw_12425694'!$E$39</f>
        <v/>
      </c>
      <c r="F61" s="8">
        <f>'balance_raw_12425694'!$F$39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'balance_raw_12425694'!$B$40</f>
        <v/>
      </c>
      <c r="C62" s="5">
        <f>'balance_raw_12425694'!$C$40</f>
        <v/>
      </c>
      <c r="D62" s="5">
        <f>'balance_raw_12425694'!$D$40</f>
        <v/>
      </c>
      <c r="E62" s="5">
        <f>'balance_raw_12425694'!$E$40</f>
        <v/>
      </c>
      <c r="F62" s="5">
        <f>'balance_raw_12425694'!$F$40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'balance_raw_12425694'!$B$41</f>
        <v/>
      </c>
      <c r="C63" s="11">
        <f>'balance_raw_12425694'!$C$41</f>
        <v/>
      </c>
      <c r="D63" s="11">
        <f>'balance_raw_12425694'!$D$41</f>
        <v/>
      </c>
      <c r="E63" s="11">
        <f>'balance_raw_12425694'!$E$41</f>
        <v/>
      </c>
      <c r="F63" s="11">
        <f>'balance_raw_12425694'!$F$41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'balance_raw_12425694'!$B$42</f>
        <v/>
      </c>
      <c r="C64" s="5">
        <f>'balance_raw_12425694'!$C$42</f>
        <v/>
      </c>
      <c r="D64" s="5">
        <f>'balance_raw_12425694'!$D$42</f>
        <v/>
      </c>
      <c r="E64" s="5">
        <f>'balance_raw_12425694'!$E$42</f>
        <v/>
      </c>
      <c r="F64" s="5">
        <f>'balance_raw_12425694'!$F$42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'balance_raw_12425694'!$B$43</f>
        <v/>
      </c>
      <c r="C65" s="11">
        <f>'balance_raw_12425694'!$C$43</f>
        <v/>
      </c>
      <c r="D65" s="11">
        <f>'balance_raw_12425694'!$D$43</f>
        <v/>
      </c>
      <c r="E65" s="11">
        <f>'balance_raw_12425694'!$E$43</f>
        <v/>
      </c>
      <c r="F65" s="11">
        <f>'balance_raw_12425694'!$F$43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'balance_raw_12425694'!$B$44</f>
        <v/>
      </c>
      <c r="C66" s="5">
        <f>'balance_raw_12425694'!$C$44</f>
        <v/>
      </c>
      <c r="D66" s="5">
        <f>'balance_raw_12425694'!$D$44</f>
        <v/>
      </c>
      <c r="E66" s="5">
        <f>'balance_raw_12425694'!$E$44</f>
        <v/>
      </c>
      <c r="F66" s="5">
        <f>'balance_raw_12425694'!$F$44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'balance_raw_12425694'!$B$45</f>
        <v/>
      </c>
      <c r="C67" s="11">
        <f>'balance_raw_12425694'!$C$45</f>
        <v/>
      </c>
      <c r="D67" s="11">
        <f>'balance_raw_12425694'!$D$45</f>
        <v/>
      </c>
      <c r="E67" s="11">
        <f>'balance_raw_12425694'!$E$45</f>
        <v/>
      </c>
      <c r="F67" s="11">
        <f>'balance_raw_12425694'!$F$45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'balance_raw_12425694'!$B$46</f>
        <v/>
      </c>
      <c r="C68" s="5">
        <f>'balance_raw_12425694'!$C$46</f>
        <v/>
      </c>
      <c r="D68" s="5">
        <f>'balance_raw_12425694'!$D$46</f>
        <v/>
      </c>
      <c r="E68" s="5">
        <f>'balance_raw_12425694'!$E$46</f>
        <v/>
      </c>
      <c r="F68" s="5">
        <f>'balance_raw_12425694'!$F$46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'balance_raw_12425694'!$B$47</f>
        <v/>
      </c>
      <c r="C69" s="11">
        <f>'balance_raw_12425694'!$C$47</f>
        <v/>
      </c>
      <c r="D69" s="11">
        <f>'balance_raw_12425694'!$D$47</f>
        <v/>
      </c>
      <c r="E69" s="11">
        <f>'balance_raw_12425694'!$E$47</f>
        <v/>
      </c>
      <c r="F69" s="11">
        <f>'balance_raw_12425694'!$F$47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'balance_raw_12425694'!$B$48</f>
        <v/>
      </c>
      <c r="C70" s="5">
        <f>'balance_raw_12425694'!$C$48</f>
        <v/>
      </c>
      <c r="D70" s="5">
        <f>'balance_raw_12425694'!$D$48</f>
        <v/>
      </c>
      <c r="E70" s="5">
        <f>'balance_raw_12425694'!$E$48</f>
        <v/>
      </c>
      <c r="F70" s="5">
        <f>'balance_raw_12425694'!$F$48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'balance_raw_12425694'!$B$49</f>
        <v/>
      </c>
      <c r="C71" s="11">
        <f>'balance_raw_12425694'!$C$49</f>
        <v/>
      </c>
      <c r="D71" s="11">
        <f>'balance_raw_12425694'!$D$49</f>
        <v/>
      </c>
      <c r="E71" s="11">
        <f>'balance_raw_12425694'!$E$49</f>
        <v/>
      </c>
      <c r="F71" s="11">
        <f>'balance_raw_12425694'!$F$49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'balance_raw_12425694'!$B$50</f>
        <v/>
      </c>
      <c r="C72" s="5">
        <f>'balance_raw_12425694'!$C$50</f>
        <v/>
      </c>
      <c r="D72" s="5">
        <f>'balance_raw_12425694'!$D$50</f>
        <v/>
      </c>
      <c r="E72" s="5">
        <f>'balance_raw_12425694'!$E$50</f>
        <v/>
      </c>
      <c r="F72" s="5">
        <f>'balance_raw_12425694'!$F$50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'balance_raw_12425694'!$B$51</f>
        <v/>
      </c>
      <c r="C73" s="8">
        <f>'balance_raw_12425694'!$C$51</f>
        <v/>
      </c>
      <c r="D73" s="8">
        <f>'balance_raw_12425694'!$D$51</f>
        <v/>
      </c>
      <c r="E73" s="8">
        <f>'balance_raw_12425694'!$E$51</f>
        <v/>
      </c>
      <c r="F73" s="8">
        <f>'balance_raw_12425694'!$F$51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'balance_raw_12425694'!$B$52</f>
        <v/>
      </c>
      <c r="C74" s="8">
        <f>'balance_raw_12425694'!$C$52</f>
        <v/>
      </c>
      <c r="D74" s="8">
        <f>'balance_raw_12425694'!$D$52</f>
        <v/>
      </c>
      <c r="E74" s="8">
        <f>'balance_raw_12425694'!$E$52</f>
        <v/>
      </c>
      <c r="F74" s="8">
        <f>'balance_raw_12425694'!$F$52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'balance_raw_12425694'!$B$53</f>
        <v/>
      </c>
      <c r="C75" s="8">
        <f>'balance_raw_12425694'!$C$53</f>
        <v/>
      </c>
      <c r="D75" s="8">
        <f>'balance_raw_12425694'!$D$53</f>
        <v/>
      </c>
      <c r="E75" s="8">
        <f>'balance_raw_12425694'!$E$53</f>
        <v/>
      </c>
      <c r="F75" s="8">
        <f>'balance_raw_12425694'!$F$53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'res_raw_12425694'!$B$18</f>
        <v/>
      </c>
      <c r="C78" s="5">
        <f>'res_raw_12425694'!$C$18</f>
        <v/>
      </c>
      <c r="D78" s="5">
        <f>'res_raw_12425694'!$D$18</f>
        <v/>
      </c>
      <c r="E78" s="5">
        <f>'res_raw_12425694'!$E$18</f>
        <v/>
      </c>
      <c r="F78" s="5">
        <f>'res_raw_12425694'!$F$18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'res_raw_12425694'!$B$19</f>
        <v/>
      </c>
      <c r="C79" s="11">
        <f>'res_raw_12425694'!$C$19</f>
        <v/>
      </c>
      <c r="D79" s="11">
        <f>'res_raw_12425694'!$D$19</f>
        <v/>
      </c>
      <c r="E79" s="11">
        <f>'res_raw_12425694'!$E$19</f>
        <v/>
      </c>
      <c r="F79" s="11">
        <f>'res_raw_12425694'!$F$19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IFERROR(($B$12+$B$14+$B$13)/$B$47*100,"")</f>
        <v/>
      </c>
      <c r="C82" s="13">
        <f>IFERROR(($C$12+$C$14+$C$13)/$C$47*100,"")</f>
        <v/>
      </c>
      <c r="D82" s="13">
        <f>IFERROR(($D$12+$D$14+$D$13)/$D$47*100,"")</f>
        <v/>
      </c>
      <c r="E82" s="13">
        <f>IFERROR(($E$12+$E$14+$E$13)/$E$47*100,"")</f>
        <v/>
      </c>
      <c r="F82" s="13">
        <f>IFERROR(($F$12+$F$14+$F$13)/$F$47*100,"")</f>
        <v/>
      </c>
    </row>
    <row r="83" ht="16" customHeight="1">
      <c r="A83" s="10" t="inlineStr">
        <is>
          <t>Overskudsgrad, %</t>
        </is>
      </c>
      <c r="B83" s="14">
        <f>IFERROR(($B$12+$B$14+$B$13)/$B$4*100,"")</f>
        <v/>
      </c>
      <c r="C83" s="14">
        <f>IFERROR(($C$12+$C$14+$C$13)/$C$4*100,"")</f>
        <v/>
      </c>
      <c r="D83" s="14">
        <f>IFERROR(($D$12+$D$14+$D$13)/$D$4*100,"")</f>
        <v/>
      </c>
      <c r="E83" s="14">
        <f>IFERROR(($E$12+$E$14+$E$13)/$E$4*100,"")</f>
        <v/>
      </c>
      <c r="F83" s="14">
        <f>IFERROR(($F$12+$F$14+$F$13)/$F$4*100,"")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IFERROR($B$4/$B$47,"")</f>
        <v/>
      </c>
      <c r="C84" s="13">
        <f>IFERROR($C$4/$C$47,"")</f>
        <v/>
      </c>
      <c r="D84" s="13">
        <f>IFERROR($D$4/$D$47,"")</f>
        <v/>
      </c>
      <c r="E84" s="13">
        <f>IFERROR($E$4/$E$47,"")</f>
        <v/>
      </c>
      <c r="F84" s="13">
        <f>IFERROR($F$4/$F$47,"")</f>
        <v/>
      </c>
    </row>
    <row r="85" ht="16" customHeight="1">
      <c r="A85" s="10" t="inlineStr">
        <is>
          <t>Egenkapitalens forrentning, %</t>
        </is>
      </c>
      <c r="B85" s="14">
        <f>IFERROR($B$17/$B$56*100,"")</f>
        <v/>
      </c>
      <c r="C85" s="14">
        <f>IFERROR($C$17/$C$56*100,"")</f>
        <v/>
      </c>
      <c r="D85" s="14">
        <f>IFERROR($D$17/$D$56*100,"")</f>
        <v/>
      </c>
      <c r="E85" s="14">
        <f>IFERROR($E$17/$E$56*100,"")</f>
        <v/>
      </c>
      <c r="F85" s="14">
        <f>IFERROR($F$17/$F$56*100,"")</f>
        <v/>
      </c>
    </row>
    <row r="86" ht="16" customHeight="1">
      <c r="A86" s="4" t="inlineStr">
        <is>
          <t>Gældsrente, %</t>
        </is>
      </c>
      <c r="B86" s="13">
        <f>IFERROR($B$15/($B$75-$B$56)*100,"")</f>
        <v/>
      </c>
      <c r="C86" s="13">
        <f>IFERROR($C$15/($C$75-$C$56)*100,"")</f>
        <v/>
      </c>
      <c r="D86" s="13">
        <f>IFERROR($D$15/($D$75-$D$56)*100,"")</f>
        <v/>
      </c>
      <c r="E86" s="13">
        <f>IFERROR($E$15/($E$75-$E$56)*100,"")</f>
        <v/>
      </c>
      <c r="F86" s="13">
        <f>IFERROR($F$15/($F$75-$F$56)*100,"")</f>
        <v/>
      </c>
    </row>
    <row r="87" ht="16" customHeight="1">
      <c r="A87" s="10" t="inlineStr">
        <is>
          <t>Soliditetsgrad, %</t>
        </is>
      </c>
      <c r="B87" s="14">
        <f>IFERROR($B$56/$B$47*100,"")</f>
        <v/>
      </c>
      <c r="C87" s="14">
        <f>IFERROR($C$56/$C$47*100,"")</f>
        <v/>
      </c>
      <c r="D87" s="14">
        <f>IFERROR($D$56/$D$47*100,"")</f>
        <v/>
      </c>
      <c r="E87" s="14">
        <f>IFERROR($E$56/$E$47*100,"")</f>
        <v/>
      </c>
      <c r="F87" s="14">
        <f>IFERROR($F$56/$F$47*100,"")</f>
        <v/>
      </c>
    </row>
    <row r="88" ht="16" customHeight="1">
      <c r="A88" s="4" t="inlineStr">
        <is>
          <t>Gearing</t>
        </is>
      </c>
      <c r="B88" s="13">
        <f>IFERROR(($B$75-$B$56)/$B$56,"")</f>
        <v/>
      </c>
      <c r="C88" s="13">
        <f>IFERROR(($C$75-$C$56)/$C$56,"")</f>
        <v/>
      </c>
      <c r="D88" s="13">
        <f>IFERROR(($D$75-$D$56)/$D$56,"")</f>
        <v/>
      </c>
      <c r="E88" s="13">
        <f>IFERROR(($E$75-$E$56)/$E$56,"")</f>
        <v/>
      </c>
      <c r="F88" s="13">
        <f>IFERROR(($F$75-$F$56)/$F$56,"")</f>
        <v/>
      </c>
    </row>
    <row r="89" ht="16" customHeight="1">
      <c r="A89" s="10" t="inlineStr">
        <is>
          <t>Likviditetsgrad, %</t>
        </is>
      </c>
      <c r="B89" s="14">
        <f>IFERROR($B$46/$B$73*100,"")</f>
        <v/>
      </c>
      <c r="C89" s="14">
        <f>IFERROR($C$46/$C$73*100,"")</f>
        <v/>
      </c>
      <c r="D89" s="14">
        <f>IFERROR($D$46/$D$73*100,"")</f>
        <v/>
      </c>
      <c r="E89" s="14">
        <f>IFERROR($E$46/$E$73*100,"")</f>
        <v/>
      </c>
      <c r="F89" s="14">
        <f>IFERROR($F$46/$F$73*100,"")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IFERROR(($B$75-$B$56)/$B$47*100,"")</f>
        <v/>
      </c>
      <c r="C91" s="14">
        <f>IFERROR(($C$75-$C$56)/$C$47*100,"")</f>
        <v/>
      </c>
      <c r="D91" s="14">
        <f>IFERROR(($D$75-$D$56)/$D$47*100,"")</f>
        <v/>
      </c>
      <c r="E91" s="14">
        <f>IFERROR(($E$75-$E$56)/$E$47*100,"")</f>
        <v/>
      </c>
      <c r="F91" s="14">
        <f>IFERROR(($F$75-$F$56)/$F$47*100,"")</f>
        <v/>
      </c>
    </row>
    <row r="92" ht="16" customHeight="1">
      <c r="A92" s="4" t="inlineStr">
        <is>
          <t>Kapitalbindingsgrad, %</t>
        </is>
      </c>
      <c r="B92" s="13">
        <f>IFERROR($B$31/($B$56+$B$61)*100,"")</f>
        <v/>
      </c>
      <c r="C92" s="13">
        <f>IFERROR($C$31/($C$56+$C$61)*100,"")</f>
        <v/>
      </c>
      <c r="D92" s="13">
        <f>IFERROR($D$31/($D$56+$D$61)*100,"")</f>
        <v/>
      </c>
      <c r="E92" s="13">
        <f>IFERROR($E$31/($E$56+$E$61)*100,"")</f>
        <v/>
      </c>
      <c r="F92" s="13">
        <f>IFERROR($F$31/($F$56+$F$61)*100,"")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'pengestrom_raw_12425694'!$B$2</f>
        <v/>
      </c>
      <c r="C95" s="17">
        <f>'pengestrom_raw_12425694'!$C$2</f>
        <v/>
      </c>
      <c r="D95" s="17">
        <f>'pengestrom_raw_12425694'!$D$2</f>
        <v/>
      </c>
      <c r="E95" s="17">
        <f>'pengestrom_raw_12425694'!$E$2</f>
        <v/>
      </c>
      <c r="F95" s="17">
        <f>'pengestrom_raw_12425694'!$F$2</f>
        <v/>
      </c>
    </row>
    <row r="96">
      <c r="A96" s="16" t="inlineStr">
        <is>
          <t>Pengestrømme fra investeringsaktivitet</t>
        </is>
      </c>
      <c r="B96" s="17">
        <f>'pengestrom_raw_12425694'!$B$3</f>
        <v/>
      </c>
      <c r="C96" s="17">
        <f>'pengestrom_raw_12425694'!$C$3</f>
        <v/>
      </c>
      <c r="D96" s="17">
        <f>'pengestrom_raw_12425694'!$D$3</f>
        <v/>
      </c>
      <c r="E96" s="17">
        <f>'pengestrom_raw_12425694'!$E$3</f>
        <v/>
      </c>
      <c r="F96" s="17">
        <f>'pengestrom_raw_12425694'!$F$3</f>
        <v/>
      </c>
    </row>
    <row r="97">
      <c r="A97" s="16" t="inlineStr">
        <is>
          <t>Pengestrømme fra finansieringsaktivitet</t>
        </is>
      </c>
      <c r="B97" s="17">
        <f>'pengestrom_raw_12425694'!$B$4</f>
        <v/>
      </c>
      <c r="C97" s="17">
        <f>'pengestrom_raw_12425694'!$C$4</f>
        <v/>
      </c>
      <c r="D97" s="17">
        <f>'pengestrom_raw_12425694'!$D$4</f>
        <v/>
      </c>
      <c r="E97" s="17">
        <f>'pengestrom_raw_12425694'!$E$4</f>
        <v/>
      </c>
      <c r="F97" s="17">
        <f>'pengestrom_raw_12425694'!$F$4</f>
        <v/>
      </c>
    </row>
    <row r="98">
      <c r="A98" s="16" t="inlineStr">
        <is>
          <t>Årets pengestrøm (rapporteret)</t>
        </is>
      </c>
      <c r="B98" s="17">
        <f>'pengestrom_raw_12425694'!$B$5</f>
        <v/>
      </c>
      <c r="C98" s="17">
        <f>'pengestrom_raw_12425694'!$C$5</f>
        <v/>
      </c>
      <c r="D98" s="17">
        <f>'pengestrom_raw_12425694'!$D$5</f>
        <v/>
      </c>
      <c r="E98" s="17">
        <f>'pengestrom_raw_12425694'!$E$5</f>
        <v/>
      </c>
      <c r="F98" s="17">
        <f>'pengestrom_raw_12425694'!$F$5</f>
        <v/>
      </c>
    </row>
    <row r="99">
      <c r="A99" s="16" t="inlineStr">
        <is>
          <t>Krydstjek: drift + inv. + fin. = årets pengestrøm</t>
        </is>
      </c>
      <c r="B99">
        <f>IF(ABS(('pengestrom_raw_12425694'!$B$2+'pengestrom_raw_12425694'!$B$3+'pengestrom_raw_12425694'!$B$4)-'pengestrom_raw_12425694'!$B$5)&lt;=2,"✓","⚠ "&amp;TEXT(('pengestrom_raw_12425694'!$B$2+'pengestrom_raw_12425694'!$B$3+'pengestrom_raw_12425694'!$B$4)-'pengestrom_raw_12425694'!$B$5,"+#,##0;-#,##0"))</f>
        <v/>
      </c>
      <c r="C99">
        <f>IF(ABS(('pengestrom_raw_12425694'!$C$2+'pengestrom_raw_12425694'!$C$3+'pengestrom_raw_12425694'!$C$4)-'pengestrom_raw_12425694'!$C$5)&lt;=2,"✓","⚠ "&amp;TEXT(('pengestrom_raw_12425694'!$C$2+'pengestrom_raw_12425694'!$C$3+'pengestrom_raw_12425694'!$C$4)-'pengestrom_raw_12425694'!$C$5,"+#,##0;-#,##0"))</f>
        <v/>
      </c>
      <c r="D99">
        <f>IF(ABS(('pengestrom_raw_12425694'!$D$2+'pengestrom_raw_12425694'!$D$3+'pengestrom_raw_12425694'!$D$4)-'pengestrom_raw_12425694'!$D$5)&lt;=2,"✓","⚠ "&amp;TEXT(('pengestrom_raw_12425694'!$D$2+'pengestrom_raw_12425694'!$D$3+'pengestrom_raw_12425694'!$D$4)-'pengestrom_raw_12425694'!$D$5,"+#,##0;-#,##0"))</f>
        <v/>
      </c>
      <c r="E99">
        <f>IF(ABS(('pengestrom_raw_12425694'!$E$2+'pengestrom_raw_12425694'!$E$3+'pengestrom_raw_12425694'!$E$4)-'pengestrom_raw_12425694'!$E$5)&lt;=2,"✓","⚠ "&amp;TEXT(('pengestrom_raw_12425694'!$E$2+'pengestrom_raw_12425694'!$E$3+'pengestrom_raw_12425694'!$E$4)-'pengestrom_raw_12425694'!$E$5,"+#,##0;-#,##0"))</f>
        <v/>
      </c>
      <c r="F99">
        <f>IF(ABS(('pengestrom_raw_12425694'!$F$2+'pengestrom_raw_12425694'!$F$3+'pengestrom_raw_12425694'!$F$4)-'pengestrom_raw_12425694'!$F$5)&lt;=2,"✓","⚠ "&amp;TEXT(('pengestrom_raw_12425694'!$F$2+'pengestrom_raw_12425694'!$F$3+'pengestrom_raw_12425694'!$F$4)-'pengestrom_raw_12425694'!$F$5,"+#,##0;-#,##0"))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1203839</v>
      </c>
      <c r="C2" s="17" t="n">
        <v>1332973</v>
      </c>
      <c r="D2" s="17" t="n">
        <v>1424152</v>
      </c>
      <c r="E2" s="17" t="n">
        <v>1480905</v>
      </c>
      <c r="F2" s="17" t="n">
        <v>1762090</v>
      </c>
    </row>
    <row r="3">
      <c r="A3" s="16" t="inlineStr">
        <is>
          <t>Produktionsomkostninger</t>
        </is>
      </c>
      <c r="B3" s="17" t="n">
        <v>1083098</v>
      </c>
      <c r="C3" s="17" t="n">
        <v>1208344</v>
      </c>
      <c r="D3" s="17" t="n">
        <v>1263074</v>
      </c>
      <c r="E3" s="17" t="n">
        <v>1320738</v>
      </c>
      <c r="F3" s="17" t="n">
        <v>1588064</v>
      </c>
    </row>
    <row r="4">
      <c r="A4" s="15" t="inlineStr">
        <is>
          <t>Bruttoresultat</t>
        </is>
      </c>
      <c r="B4" s="17" t="n">
        <v>120741</v>
      </c>
      <c r="C4" s="17" t="n">
        <v>124629</v>
      </c>
      <c r="D4" s="17" t="n">
        <v>161078</v>
      </c>
      <c r="E4" s="17" t="n">
        <v>160167</v>
      </c>
      <c r="F4" s="17" t="n">
        <v>174026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61177</v>
      </c>
      <c r="C6" s="17" t="n">
        <v>71235</v>
      </c>
      <c r="D6" s="17" t="n">
        <v>73892</v>
      </c>
      <c r="E6" s="17" t="n">
        <v>80457</v>
      </c>
      <c r="F6" s="17" t="n">
        <v>89718</v>
      </c>
    </row>
    <row r="7">
      <c r="A7" s="16" t="inlineStr">
        <is>
          <t>Administrationsomkostninger</t>
        </is>
      </c>
      <c r="B7" s="17" t="n">
        <v>27275</v>
      </c>
      <c r="C7" s="17" t="n">
        <v>29604</v>
      </c>
      <c r="D7" s="17" t="n">
        <v>47354</v>
      </c>
      <c r="E7" s="17" t="n">
        <v>41770</v>
      </c>
      <c r="F7" s="17" t="n">
        <v>46262</v>
      </c>
    </row>
    <row r="8">
      <c r="A8" s="16" t="inlineStr">
        <is>
          <t>Andre driftsindtægter</t>
        </is>
      </c>
      <c r="B8" s="17" t="n">
        <v>-124</v>
      </c>
      <c r="C8" s="17" t="n">
        <v>-497</v>
      </c>
      <c r="D8" s="17" t="n">
        <v>-80</v>
      </c>
      <c r="E8" s="17" t="n">
        <v>-25</v>
      </c>
      <c r="F8" s="17" t="n">
        <v>-1149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32289</v>
      </c>
      <c r="C10" s="17" t="n">
        <v>23790</v>
      </c>
      <c r="D10" s="17" t="n">
        <v>39832</v>
      </c>
      <c r="E10" s="17" t="n">
        <v>37940</v>
      </c>
      <c r="F10" s="17" t="n">
        <v>38046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-2</v>
      </c>
      <c r="C12" s="17" t="n">
        <v>3008</v>
      </c>
      <c r="D12" s="17" t="n">
        <v>164</v>
      </c>
      <c r="E12" s="17" t="n">
        <v>216</v>
      </c>
      <c r="F12" s="17" t="n">
        <v>568</v>
      </c>
    </row>
    <row r="13">
      <c r="A13" s="16" t="inlineStr">
        <is>
          <t>Finansielle omkostninger</t>
        </is>
      </c>
      <c r="B13" s="17" t="n">
        <v>5542</v>
      </c>
      <c r="C13" s="17" t="n">
        <v>6560</v>
      </c>
      <c r="D13" s="17" t="n">
        <v>8564</v>
      </c>
      <c r="E13" s="17" t="n">
        <v>7155</v>
      </c>
      <c r="F13" s="17" t="n">
        <v>5751</v>
      </c>
    </row>
    <row r="14">
      <c r="A14" s="15" t="inlineStr">
        <is>
          <t>Finansielle poster, netto</t>
        </is>
      </c>
      <c r="B14" s="17" t="n">
        <v>-5544</v>
      </c>
      <c r="C14" s="17" t="n">
        <v>-3552</v>
      </c>
      <c r="D14" s="17" t="n">
        <v>-8400</v>
      </c>
      <c r="E14" s="17" t="n">
        <v>-6939</v>
      </c>
      <c r="F14" s="17" t="n">
        <v>-5183</v>
      </c>
    </row>
    <row r="15">
      <c r="A15" s="15" t="inlineStr">
        <is>
          <t>Resultat før skat</t>
        </is>
      </c>
      <c r="B15" s="17" t="n">
        <v>26788</v>
      </c>
      <c r="C15" s="17" t="n">
        <v>20268</v>
      </c>
      <c r="D15" s="17" t="n">
        <v>31484</v>
      </c>
      <c r="E15" s="17" t="n">
        <v>30554</v>
      </c>
      <c r="F15" s="17" t="n">
        <v>33012</v>
      </c>
    </row>
    <row r="16">
      <c r="A16" s="16" t="inlineStr">
        <is>
          <t>Skat af årets resultat</t>
        </is>
      </c>
      <c r="B16" s="17" t="n">
        <v>120</v>
      </c>
      <c r="C16" s="17" t="n">
        <v>158</v>
      </c>
      <c r="D16" s="17" t="n">
        <v>129</v>
      </c>
      <c r="E16" s="17" t="n">
        <v>3</v>
      </c>
      <c r="F16" s="17" t="n">
        <v>251</v>
      </c>
    </row>
    <row r="17">
      <c r="A17" s="15" t="inlineStr">
        <is>
          <t>Årets resultat</t>
        </is>
      </c>
      <c r="B17" s="17" t="n">
        <v>26668</v>
      </c>
      <c r="C17" s="17" t="n">
        <v>20110</v>
      </c>
      <c r="D17" s="17" t="n">
        <v>31355</v>
      </c>
      <c r="E17" s="17" t="n">
        <v>30551</v>
      </c>
      <c r="F17" s="17" t="n">
        <v>32761</v>
      </c>
    </row>
    <row r="18">
      <c r="A18" s="16" t="inlineStr">
        <is>
          <t>Gns. antal medarbejdere</t>
        </is>
      </c>
      <c r="B18" s="17" t="n">
        <v>256</v>
      </c>
      <c r="C18" s="17" t="n">
        <v>270</v>
      </c>
      <c r="D18" s="17" t="n">
        <v>273</v>
      </c>
      <c r="E18" s="17" t="n">
        <v>291</v>
      </c>
      <c r="F18" s="17" t="n">
        <v>302</v>
      </c>
    </row>
    <row r="19">
      <c r="A19" s="16" t="inlineStr">
        <is>
          <t>Investering i materielle anlægsaktiver</t>
        </is>
      </c>
      <c r="B19" s="17" t="n">
        <v>-56303</v>
      </c>
      <c r="C19" s="17" t="n">
        <v>-66659</v>
      </c>
      <c r="D19" s="17" t="n">
        <v>-23554</v>
      </c>
      <c r="E19" s="17" t="n">
        <v>-14325</v>
      </c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177115</v>
      </c>
      <c r="C2" s="17" t="n">
        <v>233612</v>
      </c>
      <c r="D2" s="17" t="n">
        <v>220687</v>
      </c>
      <c r="E2" s="17" t="n">
        <v>205107</v>
      </c>
      <c r="F2" s="17" t="n">
        <v>202238</v>
      </c>
    </row>
    <row r="3">
      <c r="A3" s="16" t="inlineStr">
        <is>
          <t>Produktionsanlæg og maskiner</t>
        </is>
      </c>
      <c r="B3" s="17" t="n">
        <v>53566</v>
      </c>
      <c r="C3" s="17" t="n">
        <v>68824</v>
      </c>
      <c r="D3" s="17" t="n">
        <v>64710</v>
      </c>
      <c r="E3" s="17" t="n">
        <v>53917</v>
      </c>
      <c r="F3" s="17" t="n">
        <v>50264</v>
      </c>
    </row>
    <row r="4">
      <c r="A4" s="16" t="inlineStr">
        <is>
          <t>Driftsmateriel og inventar</t>
        </is>
      </c>
      <c r="B4" s="17" t="n">
        <v>2200</v>
      </c>
      <c r="C4" s="17" t="n">
        <v>6360</v>
      </c>
      <c r="D4" s="17" t="n">
        <v>6560</v>
      </c>
      <c r="E4" s="17" t="n">
        <v>4928</v>
      </c>
      <c r="F4" s="17" t="n">
        <v>4891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39918</v>
      </c>
      <c r="C6" s="17" t="n">
        <v>0</v>
      </c>
      <c r="D6" s="17" t="n">
        <v>8210</v>
      </c>
      <c r="E6" s="17" t="n">
        <v>13816</v>
      </c>
      <c r="F6" s="17" t="n">
        <v>27332</v>
      </c>
    </row>
    <row r="7">
      <c r="A7" s="15" t="inlineStr">
        <is>
          <t>Materielle anlægsaktiver</t>
        </is>
      </c>
      <c r="B7" s="17" t="n">
        <v>272799</v>
      </c>
      <c r="C7" s="17" t="n">
        <v>308796</v>
      </c>
      <c r="D7" s="17" t="n">
        <v>300167</v>
      </c>
      <c r="E7" s="17" t="n">
        <v>277768</v>
      </c>
      <c r="F7" s="17" t="n">
        <v>284725</v>
      </c>
    </row>
    <row r="8">
      <c r="A8" s="16" t="inlineStr">
        <is>
          <t>Kapitalandele, dattervirksomheder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</row>
    <row r="9">
      <c r="A9" s="16" t="inlineStr">
        <is>
          <t>Deposita</t>
        </is>
      </c>
      <c r="B9" s="17" t="n">
        <v>30</v>
      </c>
      <c r="C9" s="17" t="n">
        <v>30</v>
      </c>
      <c r="D9" s="17" t="n">
        <v>30</v>
      </c>
      <c r="E9" s="17" t="n">
        <v>30</v>
      </c>
      <c r="F9" s="17" t="n">
        <v>30</v>
      </c>
    </row>
    <row r="10">
      <c r="A10" s="15" t="inlineStr">
        <is>
          <t>Finansielle anlægsaktiver</t>
        </is>
      </c>
      <c r="B10" s="17" t="n">
        <v>1551</v>
      </c>
      <c r="C10" s="17" t="n">
        <v>1580</v>
      </c>
      <c r="D10" s="17" t="n">
        <v>1630</v>
      </c>
      <c r="E10" s="17" t="n">
        <v>1182</v>
      </c>
      <c r="F10" s="17" t="n">
        <v>1330</v>
      </c>
    </row>
    <row r="11">
      <c r="A11" s="15" t="inlineStr">
        <is>
          <t>Anlægsaktiver</t>
        </is>
      </c>
      <c r="B11" s="17" t="n">
        <v>274350</v>
      </c>
      <c r="C11" s="17" t="n">
        <v>310376</v>
      </c>
      <c r="D11" s="17" t="n">
        <v>301797</v>
      </c>
      <c r="E11" s="17" t="n">
        <v>278950</v>
      </c>
      <c r="F11" s="17" t="n">
        <v>286055</v>
      </c>
    </row>
    <row r="12">
      <c r="A12" s="16" t="inlineStr">
        <is>
          <t>Råvarer og hjælpematerialer</t>
        </is>
      </c>
      <c r="B12" s="17" t="n">
        <v>22132</v>
      </c>
      <c r="C12" s="17" t="n">
        <v>22165</v>
      </c>
      <c r="D12" s="17" t="n">
        <v>24140</v>
      </c>
      <c r="E12" s="17" t="n">
        <v>23768</v>
      </c>
      <c r="F12" s="17" t="n">
        <v>22377</v>
      </c>
    </row>
    <row r="13">
      <c r="A13" s="16" t="inlineStr">
        <is>
          <t>Varer under fremstilling</t>
        </is>
      </c>
      <c r="B13" s="17" t="n">
        <v>43032</v>
      </c>
      <c r="C13" s="17" t="n">
        <v>37242</v>
      </c>
      <c r="D13" s="17" t="n">
        <v>36537</v>
      </c>
      <c r="E13" s="17" t="n">
        <v>51167</v>
      </c>
      <c r="F13" s="17" t="n">
        <v>44888</v>
      </c>
    </row>
    <row r="14">
      <c r="A14" s="16" t="inlineStr">
        <is>
          <t>Færdigvarer og handelsvarer</t>
        </is>
      </c>
      <c r="B14" s="17" t="n">
        <v>31956</v>
      </c>
      <c r="C14" s="17" t="n">
        <v>35538</v>
      </c>
      <c r="D14" s="17" t="n">
        <v>22808</v>
      </c>
      <c r="E14" s="17" t="n">
        <v>17603</v>
      </c>
      <c r="F14" s="17" t="n">
        <v>27271</v>
      </c>
    </row>
    <row r="15">
      <c r="A15" s="15" t="inlineStr">
        <is>
          <t>Varebeholdninger</t>
        </is>
      </c>
      <c r="B15" s="17" t="n">
        <v>97120</v>
      </c>
      <c r="C15" s="17" t="n">
        <v>94945</v>
      </c>
      <c r="D15" s="17" t="n">
        <v>83485</v>
      </c>
      <c r="E15" s="17" t="n">
        <v>92538</v>
      </c>
      <c r="F15" s="17" t="n">
        <v>94536</v>
      </c>
    </row>
    <row r="16">
      <c r="A16" s="16" t="inlineStr">
        <is>
          <t>Tilgodehavender fra salg og tjenesteydelser</t>
        </is>
      </c>
      <c r="B16" s="17" t="n">
        <v>110310</v>
      </c>
      <c r="C16" s="17" t="n">
        <v>145587</v>
      </c>
      <c r="D16" s="17" t="n">
        <v>146742</v>
      </c>
      <c r="E16" s="17" t="n">
        <v>173293</v>
      </c>
      <c r="F16" s="17" t="n">
        <v>200448</v>
      </c>
    </row>
    <row r="17">
      <c r="A17" s="16" t="inlineStr">
        <is>
          <t>Tilgodehavender hos tilknyttede virksomheder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</row>
    <row r="18">
      <c r="A18" s="16" t="inlineStr">
        <is>
          <t>Andre tilgodehavender</t>
        </is>
      </c>
      <c r="B18" s="17" t="n">
        <v>11331</v>
      </c>
      <c r="C18" s="17" t="n">
        <v>10332</v>
      </c>
      <c r="D18" s="17" t="n">
        <v>7021</v>
      </c>
      <c r="E18" s="17" t="n">
        <v>23455</v>
      </c>
      <c r="F18" s="17" t="n">
        <v>9826</v>
      </c>
    </row>
    <row r="19">
      <c r="A19" s="16" t="inlineStr">
        <is>
          <t>Periodeafgrænsningsposter (aktiver)</t>
        </is>
      </c>
      <c r="B19" s="17" t="n">
        <v>962</v>
      </c>
      <c r="C19" s="17" t="n">
        <v>1358</v>
      </c>
      <c r="D19" s="17" t="n">
        <v>1674</v>
      </c>
      <c r="E19" s="17" t="n">
        <v>2563</v>
      </c>
      <c r="F19" s="17" t="n">
        <v>1765</v>
      </c>
    </row>
    <row r="20">
      <c r="A20" s="16" t="inlineStr">
        <is>
          <t>Udskudt skatteaktiv</t>
        </is>
      </c>
      <c r="B20" s="17" t="n">
        <v>9</v>
      </c>
      <c r="C20" s="17" t="n">
        <v>9</v>
      </c>
      <c r="D20" s="17" t="n">
        <v>0</v>
      </c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122612</v>
      </c>
      <c r="C23" s="17" t="n">
        <v>157286</v>
      </c>
      <c r="D23" s="17" t="n">
        <v>155437</v>
      </c>
      <c r="E23" s="17" t="n">
        <v>199311</v>
      </c>
      <c r="F23" s="17" t="n">
        <v>212039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139</v>
      </c>
      <c r="C25" s="17" t="n">
        <v>69</v>
      </c>
      <c r="D25" s="17" t="n">
        <v>43</v>
      </c>
      <c r="E25" s="17" t="n">
        <v>89</v>
      </c>
      <c r="F25" s="17" t="n">
        <v>1661</v>
      </c>
    </row>
    <row r="26">
      <c r="A26" s="15" t="inlineStr">
        <is>
          <t>Omsætningsaktiver</t>
        </is>
      </c>
      <c r="B26" s="17" t="n">
        <v>219871</v>
      </c>
      <c r="C26" s="17" t="n">
        <v>252300</v>
      </c>
      <c r="D26" s="17" t="n">
        <v>238965</v>
      </c>
      <c r="E26" s="17" t="n">
        <v>291938</v>
      </c>
      <c r="F26" s="17" t="n">
        <v>308236</v>
      </c>
    </row>
    <row r="27">
      <c r="A27" s="15" t="inlineStr">
        <is>
          <t>Aktiver</t>
        </is>
      </c>
      <c r="B27" s="17" t="n">
        <v>494221</v>
      </c>
      <c r="C27" s="17" t="n">
        <v>562676</v>
      </c>
      <c r="D27" s="17" t="n">
        <v>540762</v>
      </c>
      <c r="E27" s="17" t="n">
        <v>570888</v>
      </c>
      <c r="F27" s="17" t="n">
        <v>594291</v>
      </c>
    </row>
    <row r="28">
      <c r="A28" s="16" t="inlineStr">
        <is>
          <t>Selskabskapital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nettoopskrivning (indre værdis metode)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>
        <v>20731</v>
      </c>
      <c r="C32" s="17" t="n">
        <v>23785</v>
      </c>
      <c r="D32" s="17" t="n">
        <v>25315</v>
      </c>
      <c r="E32" s="17" t="n">
        <v>26817</v>
      </c>
      <c r="F32" s="17" t="n"/>
    </row>
    <row r="33">
      <c r="A33" s="16" t="inlineStr">
        <is>
          <t>Overført resultat</t>
        </is>
      </c>
      <c r="B33" s="17" t="n">
        <v>152834</v>
      </c>
      <c r="C33" s="17" t="n">
        <v>158058</v>
      </c>
      <c r="D33" s="17" t="n">
        <v>168881</v>
      </c>
      <c r="E33" s="17" t="n">
        <v>177260</v>
      </c>
      <c r="F33" s="17" t="n">
        <v>184572</v>
      </c>
    </row>
    <row r="34">
      <c r="A34" s="15" t="inlineStr">
        <is>
          <t>Egenkapital i alt</t>
        </is>
      </c>
      <c r="B34" s="17" t="n">
        <v>186797</v>
      </c>
      <c r="C34" s="17" t="n">
        <v>195421</v>
      </c>
      <c r="D34" s="17" t="n">
        <v>209829</v>
      </c>
      <c r="E34" s="17" t="n">
        <v>221368</v>
      </c>
      <c r="F34" s="17" t="n">
        <v>233221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>
        <v>59677</v>
      </c>
      <c r="C36" s="17" t="n">
        <v>114454</v>
      </c>
      <c r="D36" s="17" t="n">
        <v>108007</v>
      </c>
      <c r="E36" s="17" t="n">
        <v>99447</v>
      </c>
      <c r="F36" s="17" t="n">
        <v>89959</v>
      </c>
    </row>
    <row r="37">
      <c r="A37" s="16" t="inlineStr">
        <is>
          <t>Leasingforpligtelser (langfristet)</t>
        </is>
      </c>
      <c r="B37" s="17" t="n">
        <v>15921</v>
      </c>
      <c r="C37" s="17" t="n">
        <v>19272</v>
      </c>
      <c r="D37" s="17" t="n">
        <v>17616</v>
      </c>
      <c r="E37" s="17" t="n">
        <v>26857</v>
      </c>
      <c r="F37" s="17" t="n">
        <v>41058</v>
      </c>
    </row>
    <row r="38">
      <c r="A38" s="16" t="inlineStr">
        <is>
          <t>Anden gæld (langfristet)</t>
        </is>
      </c>
      <c r="B38" s="17" t="n">
        <v>3280</v>
      </c>
      <c r="C38" s="17" t="n">
        <v>532</v>
      </c>
      <c r="D38" s="17" t="n">
        <v>490</v>
      </c>
      <c r="E38" s="17" t="n">
        <v>337</v>
      </c>
      <c r="F38" s="17" t="n">
        <v>177</v>
      </c>
    </row>
    <row r="39">
      <c r="A39" s="15" t="inlineStr">
        <is>
          <t>Langfristede gældsforpligtelser</t>
        </is>
      </c>
      <c r="B39" s="17" t="n">
        <v>79408</v>
      </c>
      <c r="C39" s="17" t="n">
        <v>134258</v>
      </c>
      <c r="D39" s="17" t="n">
        <v>126126</v>
      </c>
      <c r="E39" s="17" t="n">
        <v>126654</v>
      </c>
      <c r="F39" s="17" t="n">
        <v>131307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>
        <v>52692</v>
      </c>
      <c r="C42" s="17" t="n">
        <v>56370</v>
      </c>
      <c r="D42" s="17" t="n">
        <v>16681</v>
      </c>
      <c r="E42" s="17" t="n">
        <v>33823</v>
      </c>
      <c r="F42" s="17" t="n">
        <v>7900</v>
      </c>
    </row>
    <row r="43">
      <c r="A43" s="16" t="inlineStr">
        <is>
          <t>Leasingforpligtelser (kortfristet)</t>
        </is>
      </c>
      <c r="B43" s="17" t="n">
        <v>6477</v>
      </c>
      <c r="C43" s="17" t="n">
        <v>9383</v>
      </c>
      <c r="D43" s="17" t="n">
        <v>4038</v>
      </c>
      <c r="E43" s="17" t="n">
        <v>3996</v>
      </c>
      <c r="F43" s="17" t="n">
        <v>5292</v>
      </c>
    </row>
    <row r="44">
      <c r="A44" s="16" t="inlineStr">
        <is>
          <t>Leverandører af varer og tjenesteydelser</t>
        </is>
      </c>
      <c r="B44" s="17" t="n">
        <v>117336</v>
      </c>
      <c r="C44" s="17" t="n">
        <v>114138</v>
      </c>
      <c r="D44" s="17" t="n">
        <v>123932</v>
      </c>
      <c r="E44" s="17" t="n">
        <v>125528</v>
      </c>
      <c r="F44" s="17" t="n">
        <v>143048</v>
      </c>
    </row>
    <row r="45">
      <c r="A45" s="16" t="inlineStr">
        <is>
          <t>Gæld til tilknyttede virksomheder</t>
        </is>
      </c>
      <c r="B45" s="17" t="n">
        <v>0</v>
      </c>
      <c r="C45" s="17" t="n">
        <v>0</v>
      </c>
      <c r="D45" s="17" t="n">
        <v>0</v>
      </c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129</v>
      </c>
      <c r="C47" s="17" t="n">
        <v>231</v>
      </c>
      <c r="D47" s="17" t="n">
        <v>314</v>
      </c>
      <c r="E47" s="17" t="n">
        <v>244</v>
      </c>
      <c r="F47" s="17" t="n">
        <v>264</v>
      </c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44168</v>
      </c>
      <c r="C49" s="17" t="n"/>
      <c r="D49" s="17" t="n"/>
      <c r="E49" s="17" t="n"/>
      <c r="F49" s="17" t="n">
        <v>63906</v>
      </c>
    </row>
    <row r="50">
      <c r="A50" s="16" t="inlineStr">
        <is>
          <t>Periodeafgrænsningsposter (passiver)</t>
        </is>
      </c>
      <c r="B50" s="17" t="n">
        <v>130</v>
      </c>
      <c r="C50" s="17" t="n">
        <v>329</v>
      </c>
      <c r="D50" s="17" t="n">
        <v>0</v>
      </c>
      <c r="E50" s="17" t="n"/>
      <c r="F50" s="17" t="n"/>
    </row>
    <row r="51">
      <c r="A51" s="15" t="inlineStr">
        <is>
          <t>Kortfristede gældsforpligtelser</t>
        </is>
      </c>
      <c r="B51" s="17" t="n">
        <v>228016</v>
      </c>
      <c r="C51" s="17" t="n">
        <v>232997</v>
      </c>
      <c r="D51" s="17" t="n">
        <v>204807</v>
      </c>
      <c r="E51" s="17" t="n">
        <v>222866</v>
      </c>
      <c r="F51" s="17" t="n">
        <v>229763</v>
      </c>
    </row>
    <row r="52">
      <c r="A52" s="15" t="inlineStr">
        <is>
          <t>Gældsforpligtelser</t>
        </is>
      </c>
      <c r="B52" s="17" t="n">
        <v>307424</v>
      </c>
      <c r="C52" s="17" t="n">
        <v>367255</v>
      </c>
      <c r="D52" s="17" t="n">
        <v>330933</v>
      </c>
      <c r="E52" s="17" t="n">
        <v>349520</v>
      </c>
      <c r="F52" s="17" t="n">
        <v>361070</v>
      </c>
    </row>
    <row r="53">
      <c r="A53" s="15" t="inlineStr">
        <is>
          <t>Passiver</t>
        </is>
      </c>
      <c r="B53" s="17" t="n">
        <v>494221</v>
      </c>
      <c r="C53" s="17" t="n">
        <v>562676</v>
      </c>
      <c r="D53" s="17" t="n">
        <v>540762</v>
      </c>
      <c r="E53" s="17" t="n">
        <v>570888</v>
      </c>
      <c r="F53" s="17" t="n">
        <v>594291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Thise Mejeri A.M.B.A. (CVR 12425694)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41714</v>
      </c>
      <c r="C2" s="17" t="n">
        <v>5396</v>
      </c>
      <c r="D2" s="17" t="n">
        <v>84914</v>
      </c>
      <c r="E2" s="17" t="n">
        <v>10408</v>
      </c>
      <c r="F2" s="17" t="n">
        <v>81340</v>
      </c>
    </row>
    <row r="3">
      <c r="A3" s="16" t="inlineStr">
        <is>
          <t>Pengestrømme fra investeringsaktivitet</t>
        </is>
      </c>
      <c r="B3" s="17" t="n">
        <v>-55596</v>
      </c>
      <c r="C3" s="17" t="n">
        <v>-53101</v>
      </c>
      <c r="D3" s="17" t="n">
        <v>-21464</v>
      </c>
      <c r="E3" s="17" t="n">
        <v>-658</v>
      </c>
      <c r="F3" s="17" t="n">
        <v>-24216</v>
      </c>
    </row>
    <row r="4">
      <c r="A4" s="16" t="inlineStr">
        <is>
          <t>Pengestrømme fra finansieringsaktivitet</t>
        </is>
      </c>
      <c r="B4" s="17" t="n">
        <v>-38274</v>
      </c>
      <c r="C4" s="17" t="n">
        <v>47635</v>
      </c>
      <c r="D4" s="17" t="n">
        <v>-63476</v>
      </c>
      <c r="E4" s="17" t="n">
        <v>-9704</v>
      </c>
      <c r="F4" s="17" t="n">
        <v>-55552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Thise Mejeri A.M.B.A. (CVR 12425694) — Regnskabs- og nøgletal (CVR: 12425694)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'res_raw_12425694'!$F$2</f>
        <v/>
      </c>
      <c r="C5" s="24">
        <f>'res_raw_12425694'!$E$2</f>
        <v/>
      </c>
      <c r="D5" s="24">
        <f>'res_raw_12425694'!$D$2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-'res_raw_12425694'!$F$3</f>
        <v/>
      </c>
      <c r="C6" s="24">
        <f>-'res_raw_12425694'!$E$3</f>
        <v/>
      </c>
      <c r="D6" s="24">
        <f>-'res_raw_12425694'!$D$3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IF(ABS((SUM(B5:B6))-'res_raw_12425694'!$F$4)&lt;=2,SUM(B5:B6),'res_raw_12425694'!$F$4)</f>
        <v/>
      </c>
      <c r="C7" s="27">
        <f>IF(ABS((SUM(C5:C6))-'res_raw_12425694'!$E$4)&lt;=2,SUM(C5:C6),'res_raw_12425694'!$E$4)</f>
        <v/>
      </c>
      <c r="D7" s="27">
        <f>IF(ABS((SUM(D5:D6))-'res_raw_12425694'!$D$4)&lt;=2,SUM(D5:D6),'res_raw_12425694'!$D$4)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-'res_raw_12425694'!$F$5</f>
        <v/>
      </c>
      <c r="C8" s="24">
        <f>-'res_raw_12425694'!$E$5</f>
        <v/>
      </c>
      <c r="D8" s="24">
        <f>-'res_raw_12425694'!$D$5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-'res_raw_12425694'!$F$6</f>
        <v/>
      </c>
      <c r="C9" s="24">
        <f>-'res_raw_12425694'!$E$6</f>
        <v/>
      </c>
      <c r="D9" s="24">
        <f>-'res_raw_12425694'!$D$6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-'res_raw_12425694'!$F$7</f>
        <v/>
      </c>
      <c r="C10" s="24">
        <f>-'res_raw_12425694'!$E$7</f>
        <v/>
      </c>
      <c r="D10" s="24">
        <f>-'res_raw_12425694'!$D$7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'res_raw_12425694'!$F$8</f>
        <v/>
      </c>
      <c r="C11" s="24">
        <f>'res_raw_12425694'!$E$8</f>
        <v/>
      </c>
      <c r="D11" s="24">
        <f>'res_raw_12425694'!$D$8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-'res_raw_12425694'!$F$9</f>
        <v/>
      </c>
      <c r="C12" s="27">
        <f>-'res_raw_12425694'!$E$9</f>
        <v/>
      </c>
      <c r="D12" s="27">
        <f>-'res_raw_12425694'!$D$9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IF(ABS((SUM(B7:B12))-'res_raw_12425694'!$F$10)&lt;=2,SUM(B7:B12),'res_raw_12425694'!$F$10)</f>
        <v/>
      </c>
      <c r="C13" s="30">
        <f>IF(ABS((SUM(C7:C12))-'res_raw_12425694'!$E$10)&lt;=2,SUM(C7:C12),'res_raw_12425694'!$E$10)</f>
        <v/>
      </c>
      <c r="D13" s="30">
        <f>IF(ABS((SUM(D7:D12))-'res_raw_12425694'!$D$10)&lt;=2,SUM(D7:D12),'res_raw_12425694'!$D$10)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N('res_raw_12425694'!$F$11)+N('res_raw_12425694'!$F$12)</f>
        <v/>
      </c>
      <c r="C14" s="24">
        <f>N('res_raw_12425694'!$E$11)+N('res_raw_12425694'!$E$12)</f>
        <v/>
      </c>
      <c r="D14" s="24">
        <f>N('res_raw_12425694'!$D$11)+N('res_raw_12425694'!$D$12)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-'res_raw_12425694'!$F$13</f>
        <v/>
      </c>
      <c r="C15" s="27">
        <f>-'res_raw_12425694'!$E$13</f>
        <v/>
      </c>
      <c r="D15" s="27">
        <f>-'res_raw_12425694'!$D$13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IF(ABS((SUM(B13:B15))-'res_raw_12425694'!$F$15)&lt;=2,SUM(B13:B15),'res_raw_12425694'!$F$15)</f>
        <v/>
      </c>
      <c r="C16" s="30">
        <f>IF(ABS((SUM(C13:C15))-'res_raw_12425694'!$E$15)&lt;=2,SUM(C13:C15),'res_raw_12425694'!$E$15)</f>
        <v/>
      </c>
      <c r="D16" s="30">
        <f>IF(ABS((SUM(D13:D15))-'res_raw_12425694'!$D$15)&lt;=2,SUM(D13:D15),'res_raw_12425694'!$D$15)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'balance_raw_12425694'!$F$11</f>
        <v/>
      </c>
      <c r="C19" s="24">
        <f>'balance_raw_12425694'!$E$11</f>
        <v/>
      </c>
      <c r="D19" s="24">
        <f>'balance_raw_12425694'!$D$11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'balance_raw_12425694'!$F$26</f>
        <v/>
      </c>
      <c r="C20" s="24">
        <f>'balance_raw_12425694'!$E$26</f>
        <v/>
      </c>
      <c r="D20" s="24">
        <f>'balance_raw_12425694'!$D$26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'balance_raw_12425694'!$F$34</f>
        <v/>
      </c>
      <c r="C23" s="24">
        <f>'balance_raw_12425694'!$E$34</f>
        <v/>
      </c>
      <c r="D23" s="24">
        <f>'balance_raw_12425694'!$D$34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'balance_raw_12425694'!$F$53-'balance_raw_12425694'!$F$34</f>
        <v/>
      </c>
      <c r="C24" s="24">
        <f>'balance_raw_12425694'!$E$53-'balance_raw_12425694'!$E$34</f>
        <v/>
      </c>
      <c r="D24" s="24">
        <f>'balance_raw_12425694'!$D$53-'balance_raw_12425694'!$D$34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'balance_raw_12425694'!$F$15</f>
        <v/>
      </c>
      <c r="C28" s="24">
        <f>'balance_raw_12425694'!$E$15</f>
        <v/>
      </c>
      <c r="D28" s="24">
        <f>'balance_raw_12425694'!$D$15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'balance_raw_12425694'!$F$16</f>
        <v/>
      </c>
      <c r="C29" s="24">
        <f>'balance_raw_12425694'!$E$16</f>
        <v/>
      </c>
      <c r="D29" s="24">
        <f>'balance_raw_12425694'!$D$16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'balance_raw_12425694'!$F$51</f>
        <v/>
      </c>
      <c r="C30" s="24">
        <f>'balance_raw_12425694'!$E$51</f>
        <v/>
      </c>
      <c r="D30" s="24">
        <f>'balance_raw_12425694'!$D$51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IF('balance_raw_12425694'!$F$27="","—",IF(ABS(B21-'balance_raw_12425694'!$F$27)&lt;=1,"✓ OK","❌ "&amp;TEXT(B21-'balance_raw_12425694'!$F$27,"+#,##0;-#,##0")&amp;" t.kr."))</f>
        <v/>
      </c>
      <c r="C62" s="31">
        <f>IF('balance_raw_12425694'!$E$27="","—",IF(ABS(C21-'balance_raw_12425694'!$E$27)&lt;=1,"✓ OK","❌ "&amp;TEXT(C21-'balance_raw_12425694'!$E$27,"+#,##0;-#,##0")&amp;" t.kr."))</f>
        <v/>
      </c>
      <c r="D62" s="31">
        <f>IF('balance_raw_12425694'!$D$27="","—",IF(ABS(D21-'balance_raw_12425694'!$D$27)&lt;=1,"✓ OK","❌ "&amp;TEXT(D21-'balance_raw_12425694'!$D$27,"+#,##0;-#,##0")&amp;"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IF('balance_raw_12425694'!$F$53="","—",IF(ABS(B25-'balance_raw_12425694'!$F$53)&lt;=1,"✓ OK","❌ "&amp;TEXT(B25-'balance_raw_12425694'!$F$53,"+#,##0;-#,##0")&amp;" t.kr."))</f>
        <v/>
      </c>
      <c r="C63" s="31">
        <f>IF('balance_raw_12425694'!$E$53="","—",IF(ABS(C25-'balance_raw_12425694'!$E$53)&lt;=1,"✓ OK","❌ "&amp;TEXT(C25-'balance_raw_12425694'!$E$53,"+#,##0;-#,##0")&amp;" t.kr."))</f>
        <v/>
      </c>
      <c r="D63" s="31">
        <f>IF('balance_raw_12425694'!$D$53="","—",IF(ABS(D25-'balance_raw_12425694'!$D$53)&lt;=1,"✓ OK","❌ "&amp;TEXT(D25-'balance_raw_12425694'!$D$53,"+#,##0;-#,##0")&amp;"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IF('res_raw_12425694'!$F$4="","—",IF(ABS(B7-'res_raw_12425694'!$F$4)&lt;=1,"✓ OK","❌ "&amp;TEXT(B7-'res_raw_12425694'!$F$4,"+#,##0;-#,##0")&amp;" t.kr."))</f>
        <v/>
      </c>
      <c r="C65" s="31">
        <f>IF('res_raw_12425694'!$E$4="","—",IF(ABS(C7-'res_raw_12425694'!$E$4)&lt;=1,"✓ OK","❌ "&amp;TEXT(C7-'res_raw_12425694'!$E$4,"+#,##0;-#,##0")&amp;" t.kr."))</f>
        <v/>
      </c>
      <c r="D65" s="31">
        <f>IF('res_raw_12425694'!$D$4="","—",IF(ABS(D7-'res_raw_12425694'!$D$4)&lt;=1,"✓ OK","❌ "&amp;TEXT(D7-'res_raw_12425694'!$D$4,"+#,##0;-#,##0")&amp;"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IF('res_raw_12425694'!$F$10="","—",IF(ABS(B13-'res_raw_12425694'!$F$10)&lt;=1,"✓ OK","❌ "&amp;TEXT(B13-'res_raw_12425694'!$F$10,"+#,##0;-#,##0")&amp;" t.kr."))</f>
        <v/>
      </c>
      <c r="C66" s="31">
        <f>IF('res_raw_12425694'!$E$10="","—",IF(ABS(C13-'res_raw_12425694'!$E$10)&lt;=1,"✓ OK","❌ "&amp;TEXT(C13-'res_raw_12425694'!$E$10,"+#,##0;-#,##0")&amp;" t.kr."))</f>
        <v/>
      </c>
      <c r="D66" s="31">
        <f>IF('res_raw_12425694'!$D$10="","—",IF(ABS(D13-'res_raw_12425694'!$D$10)&lt;=1,"✓ OK","❌ "&amp;TEXT(D13-'res_raw_12425694'!$D$10,"+#,##0;-#,##0")&amp;"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IF('res_raw_12425694'!$F$15="","—",IF(ABS(B16-'res_raw_12425694'!$F$15)&lt;=1,"✓ OK","❌ "&amp;TEXT(B16-'res_raw_12425694'!$F$15,"+#,##0;-#,##0")&amp;" t.kr."))</f>
        <v/>
      </c>
      <c r="C67" s="31">
        <f>IF('res_raw_12425694'!$E$15="","—",IF(ABS(C16-'res_raw_12425694'!$E$15)&lt;=1,"✓ OK","❌ "&amp;TEXT(C16-'res_raw_12425694'!$E$15,"+#,##0;-#,##0")&amp;" t.kr."))</f>
        <v/>
      </c>
      <c r="D67" s="31">
        <f>IF('res_raw_12425694'!$D$15="","—",IF(ABS(D16-'res_raw_12425694'!$D$15)&lt;=1,"✓ OK","❌ "&amp;TEXT(D16-'res_raw_12425694'!$D$15,"+#,##0;-#,##0")&amp;"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Thise Mejeri A.M.B.A. (CVR 12425694)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fsa:IncomeFromOtherLongtermInvestmentsAndReceivables</t>
        </is>
      </c>
      <c r="C3" s="36" t="inlineStr">
        <is>
          <t>fsa:IncomeFromOtherLongtermInvestmentsAndReceivables</t>
        </is>
      </c>
      <c r="D3" s="37" t="n">
        <v>43</v>
      </c>
      <c r="E3" s="37" t="n">
        <v>30</v>
      </c>
      <c r="F3" s="37" t="n">
        <v>52</v>
      </c>
      <c r="G3" s="37" t="n">
        <v>-447</v>
      </c>
      <c r="H3" s="37" t="n">
        <v>149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fsa:LongtermDeferredIncome</t>
        </is>
      </c>
      <c r="C4" s="39" t="inlineStr">
        <is>
          <t>fsa:LongtermDeferredIncome</t>
        </is>
      </c>
      <c r="D4" s="40" t="n">
        <v>266</v>
      </c>
      <c r="E4" s="40" t="n">
        <v>0</v>
      </c>
      <c r="F4" s="40" t="n"/>
      <c r="G4" s="40" t="n"/>
      <c r="H4" s="40" t="n">
        <v>100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fsa:NotPaidContributedCapital</t>
        </is>
      </c>
      <c r="C5" s="36" t="inlineStr">
        <is>
          <t>fsa:NotPaidContributedCapital</t>
        </is>
      </c>
      <c r="D5" s="37" t="n"/>
      <c r="E5" s="37" t="n"/>
      <c r="F5" s="37" t="n"/>
      <c r="G5" s="37" t="n"/>
      <c r="H5" s="37" t="n">
        <v>19122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fsa:OtherShorttermDebtRaisedByIssuanceOfBonds</t>
        </is>
      </c>
      <c r="C6" s="39" t="inlineStr">
        <is>
          <t>fsa:OtherShorttermDebtRaisedByIssuanceOfBonds</t>
        </is>
      </c>
      <c r="D6" s="40" t="n">
        <v>0</v>
      </c>
      <c r="E6" s="40" t="n"/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fsa:ReserveFund</t>
        </is>
      </c>
      <c r="C7" s="36" t="inlineStr">
        <is>
          <t>fsa:ReserveFund</t>
        </is>
      </c>
      <c r="D7" s="37" t="n"/>
      <c r="E7" s="37" t="n"/>
      <c r="F7" s="37" t="n"/>
      <c r="G7" s="37" t="n"/>
      <c r="H7" s="37" t="n">
        <v>29527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fsa:TransferredFromToReserveFund</t>
        </is>
      </c>
      <c r="C8" s="39" t="inlineStr">
        <is>
          <t>fsa:TransferredFromToReserveFund</t>
        </is>
      </c>
      <c r="D8" s="40" t="n"/>
      <c r="E8" s="40" t="n"/>
      <c r="F8" s="40" t="n"/>
      <c r="G8" s="40" t="n"/>
      <c r="H8" s="40" t="n">
        <v>6527</v>
      </c>
      <c r="I8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2026-10-01T22:19:46Z</dcterms:created>
  <dcterms:modified xmlns:dcterms="http://purl.org/dc/terms/" xmlns:xsi="http://www.w3.org/2001/XMLSchema-instance" xsi:type="dcterms:W3CDTF">2026-10-01T22:19:47Z</dcterms:modified>
</cp:coreProperties>
</file>