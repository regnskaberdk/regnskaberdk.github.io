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6001519" sheetId="1" state="visible" r:id="rId1"/>
    <sheet xmlns:r="http://schemas.openxmlformats.org/officeDocument/2006/relationships" name="res_raw_86001519" sheetId="2" state="visible" r:id="rId2"/>
    <sheet xmlns:r="http://schemas.openxmlformats.org/officeDocument/2006/relationships" name="balance_raw_86001519" sheetId="3" state="visible" r:id="rId3"/>
    <sheet xmlns:r="http://schemas.openxmlformats.org/officeDocument/2006/relationships" name="pengestrom_raw_8600151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Lars Larsen Group (CVR 86001519) — Regnskabsanalyse – Resultatopgørelse &amp; Balance (t.kr.) · Klasse C-stor · Revision · Regnskabsår 1/9–31/8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'res_raw_86001519'!$B$2</f>
        <v/>
      </c>
      <c r="C4" s="5">
        <f>'res_raw_86001519'!$C$2</f>
        <v/>
      </c>
      <c r="D4" s="5">
        <f>'res_raw_86001519'!$D$2</f>
        <v/>
      </c>
      <c r="E4" s="5">
        <f>'res_raw_86001519'!$E$2</f>
        <v/>
      </c>
      <c r="F4" s="5">
        <f>'res_raw_86001519'!$F$2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'res_raw_86001519'!$B$3</f>
        <v/>
      </c>
      <c r="C5" s="8">
        <f>'res_raw_86001519'!$C$3</f>
        <v/>
      </c>
      <c r="D5" s="8">
        <f>'res_raw_86001519'!$D$3</f>
        <v/>
      </c>
      <c r="E5" s="8">
        <f>'res_raw_86001519'!$E$3</f>
        <v/>
      </c>
      <c r="F5" s="8">
        <f>'res_raw_86001519'!$F$3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'res_raw_86001519'!$B$4</f>
        <v/>
      </c>
      <c r="C6" s="5">
        <f>'res_raw_86001519'!$C$4</f>
        <v/>
      </c>
      <c r="D6" s="5">
        <f>'res_raw_86001519'!$D$4</f>
        <v/>
      </c>
      <c r="E6" s="5">
        <f>'res_raw_86001519'!$E$4</f>
        <v/>
      </c>
      <c r="F6" s="5">
        <f>'res_raw_86001519'!$F$4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'res_raw_86001519'!$B$5</f>
        <v/>
      </c>
      <c r="C7" s="8">
        <f>'res_raw_86001519'!$C$5</f>
        <v/>
      </c>
      <c r="D7" s="8">
        <f>'res_raw_86001519'!$D$5</f>
        <v/>
      </c>
      <c r="E7" s="8">
        <f>'res_raw_86001519'!$E$5</f>
        <v/>
      </c>
      <c r="F7" s="8">
        <f>'res_raw_86001519'!$F$5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'res_raw_86001519'!$B$6</f>
        <v/>
      </c>
      <c r="C8" s="11">
        <f>'res_raw_86001519'!$C$6</f>
        <v/>
      </c>
      <c r="D8" s="11">
        <f>'res_raw_86001519'!$D$6</f>
        <v/>
      </c>
      <c r="E8" s="11">
        <f>'res_raw_86001519'!$E$6</f>
        <v/>
      </c>
      <c r="F8" s="11">
        <f>'res_raw_86001519'!$F$6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'res_raw_86001519'!$B$7</f>
        <v/>
      </c>
      <c r="C9" s="8">
        <f>'res_raw_86001519'!$C$7</f>
        <v/>
      </c>
      <c r="D9" s="8">
        <f>'res_raw_86001519'!$D$7</f>
        <v/>
      </c>
      <c r="E9" s="8">
        <f>'res_raw_86001519'!$E$7</f>
        <v/>
      </c>
      <c r="F9" s="8">
        <f>'res_raw_86001519'!$F$7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'res_raw_86001519'!$B$9</f>
        <v/>
      </c>
      <c r="C11" s="8">
        <f>'res_raw_86001519'!$C$9</f>
        <v/>
      </c>
      <c r="D11" s="8">
        <f>'res_raw_86001519'!$D$9</f>
        <v/>
      </c>
      <c r="E11" s="8">
        <f>'res_raw_86001519'!$E$9</f>
        <v/>
      </c>
      <c r="F11" s="8">
        <f>'res_raw_86001519'!$F$9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'res_raw_86001519'!$B$10</f>
        <v/>
      </c>
      <c r="C12" s="5">
        <f>'res_raw_86001519'!$C$10</f>
        <v/>
      </c>
      <c r="D12" s="5">
        <f>'res_raw_86001519'!$D$10</f>
        <v/>
      </c>
      <c r="E12" s="5">
        <f>'res_raw_86001519'!$E$10</f>
        <v/>
      </c>
      <c r="F12" s="5">
        <f>'res_raw_86001519'!$F$10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'res_raw_86001519'!$B$11</f>
        <v/>
      </c>
      <c r="C13" s="11">
        <f>'res_raw_86001519'!$C$11</f>
        <v/>
      </c>
      <c r="D13" s="11">
        <f>'res_raw_86001519'!$D$11</f>
        <v/>
      </c>
      <c r="E13" s="11">
        <f>'res_raw_86001519'!$E$11</f>
        <v/>
      </c>
      <c r="F13" s="11">
        <f>'res_raw_86001519'!$F$11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'res_raw_86001519'!$B$12</f>
        <v/>
      </c>
      <c r="C14" s="5">
        <f>'res_raw_86001519'!$C$12</f>
        <v/>
      </c>
      <c r="D14" s="5">
        <f>'res_raw_86001519'!$D$12</f>
        <v/>
      </c>
      <c r="E14" s="5">
        <f>'res_raw_86001519'!$E$12</f>
        <v/>
      </c>
      <c r="F14" s="5">
        <f>'res_raw_86001519'!$F$12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'res_raw_86001519'!$B$13</f>
        <v/>
      </c>
      <c r="C15" s="8">
        <f>'res_raw_86001519'!$C$13</f>
        <v/>
      </c>
      <c r="D15" s="8">
        <f>'res_raw_86001519'!$D$13</f>
        <v/>
      </c>
      <c r="E15" s="8">
        <f>'res_raw_86001519'!$E$13</f>
        <v/>
      </c>
      <c r="F15" s="8">
        <f>'res_raw_86001519'!$F$13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'res_raw_86001519'!$B$14</f>
        <v/>
      </c>
      <c r="C16" s="5">
        <f>'res_raw_86001519'!$C$14</f>
        <v/>
      </c>
      <c r="D16" s="5">
        <f>'res_raw_86001519'!$D$14</f>
        <v/>
      </c>
      <c r="E16" s="5">
        <f>'res_raw_86001519'!$E$14</f>
        <v/>
      </c>
      <c r="F16" s="5">
        <f>'res_raw_86001519'!$F$14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'res_raw_86001519'!$B$15</f>
        <v/>
      </c>
      <c r="C17" s="11">
        <f>'res_raw_86001519'!$C$15</f>
        <v/>
      </c>
      <c r="D17" s="11">
        <f>'res_raw_86001519'!$D$15</f>
        <v/>
      </c>
      <c r="E17" s="11">
        <f>'res_raw_86001519'!$E$15</f>
        <v/>
      </c>
      <c r="F17" s="11">
        <f>'res_raw_86001519'!$F$15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'res_raw_86001519'!$B$16</f>
        <v/>
      </c>
      <c r="C18" s="11">
        <f>'res_raw_86001519'!$C$16</f>
        <v/>
      </c>
      <c r="D18" s="11">
        <f>'res_raw_86001519'!$D$16</f>
        <v/>
      </c>
      <c r="E18" s="11">
        <f>'res_raw_86001519'!$E$16</f>
        <v/>
      </c>
      <c r="F18" s="11">
        <f>'res_raw_86001519'!$F$16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'res_raw_86001519'!$B$17</f>
        <v/>
      </c>
      <c r="C19" s="8">
        <f>'res_raw_86001519'!$C$17</f>
        <v/>
      </c>
      <c r="D19" s="8">
        <f>'res_raw_86001519'!$D$17</f>
        <v/>
      </c>
      <c r="E19" s="8">
        <f>'res_raw_86001519'!$E$17</f>
        <v/>
      </c>
      <c r="F19" s="8">
        <f>'res_raw_86001519'!$F$17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'res_raw_86001519'!$B$18</f>
        <v/>
      </c>
      <c r="C20" s="11">
        <f>'res_raw_86001519'!$C$18</f>
        <v/>
      </c>
      <c r="D20" s="11">
        <f>'res_raw_86001519'!$D$18</f>
        <v/>
      </c>
      <c r="E20" s="11">
        <f>'res_raw_86001519'!$E$18</f>
        <v/>
      </c>
      <c r="F20" s="11">
        <f>'res_raw_86001519'!$F$18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'balance_raw_86001519'!$B$2</f>
        <v/>
      </c>
      <c r="C23" s="8">
        <f>'balance_raw_86001519'!$C$2</f>
        <v/>
      </c>
      <c r="D23" s="8">
        <f>'balance_raw_86001519'!$D$2</f>
        <v/>
      </c>
      <c r="E23" s="8">
        <f>'balance_raw_86001519'!$E$2</f>
        <v/>
      </c>
      <c r="F23" s="8">
        <f>'balance_raw_86001519'!$F$2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'balance_raw_86001519'!$B$3</f>
        <v/>
      </c>
      <c r="C24" s="5">
        <f>'balance_raw_86001519'!$C$3</f>
        <v/>
      </c>
      <c r="D24" s="5">
        <f>'balance_raw_86001519'!$D$3</f>
        <v/>
      </c>
      <c r="E24" s="5">
        <f>'balance_raw_86001519'!$E$3</f>
        <v/>
      </c>
      <c r="F24" s="5">
        <f>'balance_raw_86001519'!$F$3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'balance_raw_86001519'!$B$4</f>
        <v/>
      </c>
      <c r="C25" s="8">
        <f>'balance_raw_86001519'!$C$4</f>
        <v/>
      </c>
      <c r="D25" s="8">
        <f>'balance_raw_86001519'!$D$4</f>
        <v/>
      </c>
      <c r="E25" s="8">
        <f>'balance_raw_86001519'!$E$4</f>
        <v/>
      </c>
      <c r="F25" s="8">
        <f>'balance_raw_86001519'!$F$4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'balance_raw_86001519'!$B$5</f>
        <v/>
      </c>
      <c r="C26" s="11">
        <f>'balance_raw_86001519'!$C$5</f>
        <v/>
      </c>
      <c r="D26" s="11">
        <f>'balance_raw_86001519'!$D$5</f>
        <v/>
      </c>
      <c r="E26" s="11">
        <f>'balance_raw_86001519'!$E$5</f>
        <v/>
      </c>
      <c r="F26" s="11">
        <f>'balance_raw_86001519'!$F$5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'balance_raw_86001519'!$B$6</f>
        <v/>
      </c>
      <c r="C27" s="8">
        <f>'balance_raw_86001519'!$C$6</f>
        <v/>
      </c>
      <c r="D27" s="8">
        <f>'balance_raw_86001519'!$D$6</f>
        <v/>
      </c>
      <c r="E27" s="8">
        <f>'balance_raw_86001519'!$E$6</f>
        <v/>
      </c>
      <c r="F27" s="8">
        <f>'balance_raw_86001519'!$F$6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'balance_raw_86001519'!$B$7</f>
        <v/>
      </c>
      <c r="C28" s="5">
        <f>'balance_raw_86001519'!$C$7</f>
        <v/>
      </c>
      <c r="D28" s="5">
        <f>'balance_raw_86001519'!$D$7</f>
        <v/>
      </c>
      <c r="E28" s="5">
        <f>'balance_raw_86001519'!$E$7</f>
        <v/>
      </c>
      <c r="F28" s="5">
        <f>'balance_raw_86001519'!$F$7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'balance_raw_86001519'!$B$8</f>
        <v/>
      </c>
      <c r="C29" s="8">
        <f>'balance_raw_86001519'!$C$8</f>
        <v/>
      </c>
      <c r="D29" s="8">
        <f>'balance_raw_86001519'!$D$8</f>
        <v/>
      </c>
      <c r="E29" s="8">
        <f>'balance_raw_86001519'!$E$8</f>
        <v/>
      </c>
      <c r="F29" s="8">
        <f>'balance_raw_86001519'!$F$8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'balance_raw_86001519'!$B$9</f>
        <v/>
      </c>
      <c r="C30" s="5">
        <f>'balance_raw_86001519'!$C$9</f>
        <v/>
      </c>
      <c r="D30" s="5">
        <f>'balance_raw_86001519'!$D$9</f>
        <v/>
      </c>
      <c r="E30" s="5">
        <f>'balance_raw_86001519'!$E$9</f>
        <v/>
      </c>
      <c r="F30" s="5">
        <f>'balance_raw_86001519'!$F$9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'balance_raw_86001519'!$B$10</f>
        <v/>
      </c>
      <c r="C31" s="8">
        <f>'balance_raw_86001519'!$C$10</f>
        <v/>
      </c>
      <c r="D31" s="8">
        <f>'balance_raw_86001519'!$D$10</f>
        <v/>
      </c>
      <c r="E31" s="8">
        <f>'balance_raw_86001519'!$E$10</f>
        <v/>
      </c>
      <c r="F31" s="8">
        <f>'balance_raw_86001519'!$F$10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'balance_raw_86001519'!$B$11</f>
        <v/>
      </c>
      <c r="C32" s="11">
        <f>'balance_raw_86001519'!$C$11</f>
        <v/>
      </c>
      <c r="D32" s="11">
        <f>'balance_raw_86001519'!$D$11</f>
        <v/>
      </c>
      <c r="E32" s="11">
        <f>'balance_raw_86001519'!$E$11</f>
        <v/>
      </c>
      <c r="F32" s="11">
        <f>'balance_raw_86001519'!$F$11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'balance_raw_86001519'!$B$12</f>
        <v/>
      </c>
      <c r="C33" s="8">
        <f>'balance_raw_86001519'!$C$12</f>
        <v/>
      </c>
      <c r="D33" s="8">
        <f>'balance_raw_86001519'!$D$12</f>
        <v/>
      </c>
      <c r="E33" s="8">
        <f>'balance_raw_86001519'!$E$12</f>
        <v/>
      </c>
      <c r="F33" s="8">
        <f>'balance_raw_86001519'!$F$12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'balance_raw_86001519'!$B$13</f>
        <v/>
      </c>
      <c r="C34" s="5">
        <f>'balance_raw_86001519'!$C$13</f>
        <v/>
      </c>
      <c r="D34" s="5">
        <f>'balance_raw_86001519'!$D$13</f>
        <v/>
      </c>
      <c r="E34" s="5">
        <f>'balance_raw_86001519'!$E$13</f>
        <v/>
      </c>
      <c r="F34" s="5">
        <f>'balance_raw_86001519'!$F$13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'balance_raw_86001519'!$B$14</f>
        <v/>
      </c>
      <c r="C35" s="11">
        <f>'balance_raw_86001519'!$C$14</f>
        <v/>
      </c>
      <c r="D35" s="11">
        <f>'balance_raw_86001519'!$D$14</f>
        <v/>
      </c>
      <c r="E35" s="11">
        <f>'balance_raw_86001519'!$E$14</f>
        <v/>
      </c>
      <c r="F35" s="11">
        <f>'balance_raw_86001519'!$F$14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'balance_raw_86001519'!$B$15</f>
        <v/>
      </c>
      <c r="C36" s="11">
        <f>'balance_raw_86001519'!$C$15</f>
        <v/>
      </c>
      <c r="D36" s="11">
        <f>'balance_raw_86001519'!$D$15</f>
        <v/>
      </c>
      <c r="E36" s="11">
        <f>'balance_raw_86001519'!$E$15</f>
        <v/>
      </c>
      <c r="F36" s="11">
        <f>'balance_raw_86001519'!$F$15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'balance_raw_86001519'!$B$16</f>
        <v/>
      </c>
      <c r="C37" s="8">
        <f>'balance_raw_86001519'!$C$16</f>
        <v/>
      </c>
      <c r="D37" s="8">
        <f>'balance_raw_86001519'!$D$16</f>
        <v/>
      </c>
      <c r="E37" s="8">
        <f>'balance_raw_86001519'!$E$16</f>
        <v/>
      </c>
      <c r="F37" s="8">
        <f>'balance_raw_86001519'!$F$16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'balance_raw_86001519'!$B$17</f>
        <v/>
      </c>
      <c r="C38" s="5">
        <f>'balance_raw_86001519'!$C$17</f>
        <v/>
      </c>
      <c r="D38" s="5">
        <f>'balance_raw_86001519'!$D$17</f>
        <v/>
      </c>
      <c r="E38" s="5">
        <f>'balance_raw_86001519'!$E$17</f>
        <v/>
      </c>
      <c r="F38" s="5">
        <f>'balance_raw_86001519'!$F$17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'balance_raw_86001519'!$B$18</f>
        <v/>
      </c>
      <c r="C39" s="8">
        <f>'balance_raw_86001519'!$C$18</f>
        <v/>
      </c>
      <c r="D39" s="8">
        <f>'balance_raw_86001519'!$D$18</f>
        <v/>
      </c>
      <c r="E39" s="8">
        <f>'balance_raw_86001519'!$E$18</f>
        <v/>
      </c>
      <c r="F39" s="8">
        <f>'balance_raw_86001519'!$F$18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'balance_raw_86001519'!$B$19</f>
        <v/>
      </c>
      <c r="C40" s="11">
        <f>'balance_raw_86001519'!$C$19</f>
        <v/>
      </c>
      <c r="D40" s="11">
        <f>'balance_raw_86001519'!$D$19</f>
        <v/>
      </c>
      <c r="E40" s="11">
        <f>'balance_raw_86001519'!$E$19</f>
        <v/>
      </c>
      <c r="F40" s="11">
        <f>'balance_raw_86001519'!$F$19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'balance_raw_86001519'!$B$20</f>
        <v/>
      </c>
      <c r="C41" s="8">
        <f>'balance_raw_86001519'!$C$20</f>
        <v/>
      </c>
      <c r="D41" s="8">
        <f>'balance_raw_86001519'!$D$20</f>
        <v/>
      </c>
      <c r="E41" s="8">
        <f>'balance_raw_86001519'!$E$20</f>
        <v/>
      </c>
      <c r="F41" s="8">
        <f>'balance_raw_86001519'!$F$20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'balance_raw_86001519'!$B$21</f>
        <v/>
      </c>
      <c r="C42" s="5">
        <f>'balance_raw_86001519'!$C$21</f>
        <v/>
      </c>
      <c r="D42" s="5">
        <f>'balance_raw_86001519'!$D$21</f>
        <v/>
      </c>
      <c r="E42" s="5">
        <f>'balance_raw_86001519'!$E$21</f>
        <v/>
      </c>
      <c r="F42" s="5">
        <f>'balance_raw_86001519'!$F$21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'balance_raw_86001519'!$B$22</f>
        <v/>
      </c>
      <c r="C43" s="8">
        <f>'balance_raw_86001519'!$C$22</f>
        <v/>
      </c>
      <c r="D43" s="8">
        <f>'balance_raw_86001519'!$D$22</f>
        <v/>
      </c>
      <c r="E43" s="8">
        <f>'balance_raw_86001519'!$E$22</f>
        <v/>
      </c>
      <c r="F43" s="8">
        <f>'balance_raw_86001519'!$F$22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'balance_raw_86001519'!$B$23</f>
        <v/>
      </c>
      <c r="C44" s="5">
        <f>'balance_raw_86001519'!$C$23</f>
        <v/>
      </c>
      <c r="D44" s="5">
        <f>'balance_raw_86001519'!$D$23</f>
        <v/>
      </c>
      <c r="E44" s="5">
        <f>'balance_raw_86001519'!$E$23</f>
        <v/>
      </c>
      <c r="F44" s="5">
        <f>'balance_raw_86001519'!$F$23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'balance_raw_86001519'!$B$24</f>
        <v/>
      </c>
      <c r="C45" s="8">
        <f>'balance_raw_86001519'!$C$24</f>
        <v/>
      </c>
      <c r="D45" s="8">
        <f>'balance_raw_86001519'!$D$24</f>
        <v/>
      </c>
      <c r="E45" s="8">
        <f>'balance_raw_86001519'!$E$24</f>
        <v/>
      </c>
      <c r="F45" s="8">
        <f>'balance_raw_86001519'!$F$24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'balance_raw_86001519'!$B$25</f>
        <v/>
      </c>
      <c r="C46" s="5">
        <f>'balance_raw_86001519'!$C$25</f>
        <v/>
      </c>
      <c r="D46" s="5">
        <f>'balance_raw_86001519'!$D$25</f>
        <v/>
      </c>
      <c r="E46" s="5">
        <f>'balance_raw_86001519'!$E$25</f>
        <v/>
      </c>
      <c r="F46" s="5">
        <f>'balance_raw_86001519'!$F$25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'balance_raw_86001519'!$B$26</f>
        <v/>
      </c>
      <c r="C47" s="8">
        <f>'balance_raw_86001519'!$C$26</f>
        <v/>
      </c>
      <c r="D47" s="8">
        <f>'balance_raw_86001519'!$D$26</f>
        <v/>
      </c>
      <c r="E47" s="8">
        <f>'balance_raw_86001519'!$E$26</f>
        <v/>
      </c>
      <c r="F47" s="8">
        <f>'balance_raw_86001519'!$F$26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'balance_raw_86001519'!$B$27</f>
        <v/>
      </c>
      <c r="C48" s="11">
        <f>'balance_raw_86001519'!$C$27</f>
        <v/>
      </c>
      <c r="D48" s="11">
        <f>'balance_raw_86001519'!$D$27</f>
        <v/>
      </c>
      <c r="E48" s="11">
        <f>'balance_raw_86001519'!$E$27</f>
        <v/>
      </c>
      <c r="F48" s="11">
        <f>'balance_raw_86001519'!$F$27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'balance_raw_86001519'!$B$28</f>
        <v/>
      </c>
      <c r="C49" s="8">
        <f>'balance_raw_86001519'!$C$28</f>
        <v/>
      </c>
      <c r="D49" s="8">
        <f>'balance_raw_86001519'!$D$28</f>
        <v/>
      </c>
      <c r="E49" s="8">
        <f>'balance_raw_86001519'!$E$28</f>
        <v/>
      </c>
      <c r="F49" s="8">
        <f>'balance_raw_86001519'!$F$28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'balance_raw_86001519'!$B$29</f>
        <v/>
      </c>
      <c r="C50" s="5">
        <f>'balance_raw_86001519'!$C$29</f>
        <v/>
      </c>
      <c r="D50" s="5">
        <f>'balance_raw_86001519'!$D$29</f>
        <v/>
      </c>
      <c r="E50" s="5">
        <f>'balance_raw_86001519'!$E$29</f>
        <v/>
      </c>
      <c r="F50" s="5">
        <f>'balance_raw_86001519'!$F$29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'balance_raw_86001519'!$B$30</f>
        <v/>
      </c>
      <c r="C51" s="11">
        <f>'balance_raw_86001519'!$C$30</f>
        <v/>
      </c>
      <c r="D51" s="11">
        <f>'balance_raw_86001519'!$D$30</f>
        <v/>
      </c>
      <c r="E51" s="11">
        <f>'balance_raw_86001519'!$E$30</f>
        <v/>
      </c>
      <c r="F51" s="11">
        <f>'balance_raw_86001519'!$F$30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'balance_raw_86001519'!$B$31</f>
        <v/>
      </c>
      <c r="C52" s="11">
        <f>'balance_raw_86001519'!$C$31</f>
        <v/>
      </c>
      <c r="D52" s="11">
        <f>'balance_raw_86001519'!$D$31</f>
        <v/>
      </c>
      <c r="E52" s="11">
        <f>'balance_raw_86001519'!$E$31</f>
        <v/>
      </c>
      <c r="F52" s="11">
        <f>'balance_raw_86001519'!$F$31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'balance_raw_86001519'!$B$32</f>
        <v/>
      </c>
      <c r="C55" s="8">
        <f>'balance_raw_86001519'!$C$32</f>
        <v/>
      </c>
      <c r="D55" s="8">
        <f>'balance_raw_86001519'!$D$32</f>
        <v/>
      </c>
      <c r="E55" s="8">
        <f>'balance_raw_86001519'!$E$32</f>
        <v/>
      </c>
      <c r="F55" s="8">
        <f>'balance_raw_86001519'!$F$32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'balance_raw_86001519'!$B$33</f>
        <v/>
      </c>
      <c r="C56" s="5">
        <f>'balance_raw_86001519'!$C$33</f>
        <v/>
      </c>
      <c r="D56" s="5">
        <f>'balance_raw_86001519'!$D$33</f>
        <v/>
      </c>
      <c r="E56" s="5">
        <f>'balance_raw_86001519'!$E$33</f>
        <v/>
      </c>
      <c r="F56" s="5">
        <f>'balance_raw_86001519'!$F$33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'balance_raw_86001519'!$B$34</f>
        <v/>
      </c>
      <c r="C57" s="8">
        <f>'balance_raw_86001519'!$C$34</f>
        <v/>
      </c>
      <c r="D57" s="8">
        <f>'balance_raw_86001519'!$D$34</f>
        <v/>
      </c>
      <c r="E57" s="8">
        <f>'balance_raw_86001519'!$E$34</f>
        <v/>
      </c>
      <c r="F57" s="8">
        <f>'balance_raw_86001519'!$F$34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'balance_raw_86001519'!$B$35</f>
        <v/>
      </c>
      <c r="C58" s="5">
        <f>'balance_raw_86001519'!$C$35</f>
        <v/>
      </c>
      <c r="D58" s="5">
        <f>'balance_raw_86001519'!$D$35</f>
        <v/>
      </c>
      <c r="E58" s="5">
        <f>'balance_raw_86001519'!$E$35</f>
        <v/>
      </c>
      <c r="F58" s="5">
        <f>'balance_raw_86001519'!$F$35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'balance_raw_86001519'!$B$36</f>
        <v/>
      </c>
      <c r="C59" s="8">
        <f>'balance_raw_86001519'!$C$36</f>
        <v/>
      </c>
      <c r="D59" s="8">
        <f>'balance_raw_86001519'!$D$36</f>
        <v/>
      </c>
      <c r="E59" s="8">
        <f>'balance_raw_86001519'!$E$36</f>
        <v/>
      </c>
      <c r="F59" s="8">
        <f>'balance_raw_86001519'!$F$36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'balance_raw_86001519'!$B$37</f>
        <v/>
      </c>
      <c r="C60" s="5">
        <f>'balance_raw_86001519'!$C$37</f>
        <v/>
      </c>
      <c r="D60" s="5">
        <f>'balance_raw_86001519'!$D$37</f>
        <v/>
      </c>
      <c r="E60" s="5">
        <f>'balance_raw_86001519'!$E$37</f>
        <v/>
      </c>
      <c r="F60" s="5">
        <f>'balance_raw_86001519'!$F$37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'balance_raw_86001519'!$B$38</f>
        <v/>
      </c>
      <c r="C61" s="11">
        <f>'balance_raw_86001519'!$C$38</f>
        <v/>
      </c>
      <c r="D61" s="11">
        <f>'balance_raw_86001519'!$D$38</f>
        <v/>
      </c>
      <c r="E61" s="11">
        <f>'balance_raw_86001519'!$E$38</f>
        <v/>
      </c>
      <c r="F61" s="11">
        <f>'balance_raw_86001519'!$F$38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'balance_raw_86001519'!$B$39</f>
        <v/>
      </c>
      <c r="C62" s="5">
        <f>'balance_raw_86001519'!$C$39</f>
        <v/>
      </c>
      <c r="D62" s="5">
        <f>'balance_raw_86001519'!$D$39</f>
        <v/>
      </c>
      <c r="E62" s="5">
        <f>'balance_raw_86001519'!$E$39</f>
        <v/>
      </c>
      <c r="F62" s="5">
        <f>'balance_raw_86001519'!$F$39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'balance_raw_86001519'!$B$40</f>
        <v/>
      </c>
      <c r="C63" s="11">
        <f>'balance_raw_86001519'!$C$40</f>
        <v/>
      </c>
      <c r="D63" s="11">
        <f>'balance_raw_86001519'!$D$40</f>
        <v/>
      </c>
      <c r="E63" s="11">
        <f>'balance_raw_86001519'!$E$40</f>
        <v/>
      </c>
      <c r="F63" s="11">
        <f>'balance_raw_86001519'!$F$40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'balance_raw_86001519'!$B$41</f>
        <v/>
      </c>
      <c r="C64" s="5">
        <f>'balance_raw_86001519'!$C$41</f>
        <v/>
      </c>
      <c r="D64" s="5">
        <f>'balance_raw_86001519'!$D$41</f>
        <v/>
      </c>
      <c r="E64" s="5">
        <f>'balance_raw_86001519'!$E$41</f>
        <v/>
      </c>
      <c r="F64" s="5">
        <f>'balance_raw_86001519'!$F$41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'balance_raw_86001519'!$B$42</f>
        <v/>
      </c>
      <c r="C65" s="8">
        <f>'balance_raw_86001519'!$C$42</f>
        <v/>
      </c>
      <c r="D65" s="8">
        <f>'balance_raw_86001519'!$D$42</f>
        <v/>
      </c>
      <c r="E65" s="8">
        <f>'balance_raw_86001519'!$E$42</f>
        <v/>
      </c>
      <c r="F65" s="8">
        <f>'balance_raw_86001519'!$F$42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'balance_raw_86001519'!$B$43</f>
        <v/>
      </c>
      <c r="C66" s="5">
        <f>'balance_raw_86001519'!$C$43</f>
        <v/>
      </c>
      <c r="D66" s="5">
        <f>'balance_raw_86001519'!$D$43</f>
        <v/>
      </c>
      <c r="E66" s="5">
        <f>'balance_raw_86001519'!$E$43</f>
        <v/>
      </c>
      <c r="F66" s="5">
        <f>'balance_raw_86001519'!$F$43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'balance_raw_86001519'!$B$44</f>
        <v/>
      </c>
      <c r="C67" s="8">
        <f>'balance_raw_86001519'!$C$44</f>
        <v/>
      </c>
      <c r="D67" s="8">
        <f>'balance_raw_86001519'!$D$44</f>
        <v/>
      </c>
      <c r="E67" s="8">
        <f>'balance_raw_86001519'!$E$44</f>
        <v/>
      </c>
      <c r="F67" s="8">
        <f>'balance_raw_86001519'!$F$44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'balance_raw_86001519'!$B$45</f>
        <v/>
      </c>
      <c r="C68" s="11">
        <f>'balance_raw_86001519'!$C$45</f>
        <v/>
      </c>
      <c r="D68" s="11">
        <f>'balance_raw_86001519'!$D$45</f>
        <v/>
      </c>
      <c r="E68" s="11">
        <f>'balance_raw_86001519'!$E$45</f>
        <v/>
      </c>
      <c r="F68" s="11">
        <f>'balance_raw_86001519'!$F$45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'balance_raw_86001519'!$B$46</f>
        <v/>
      </c>
      <c r="C69" s="8">
        <f>'balance_raw_86001519'!$C$46</f>
        <v/>
      </c>
      <c r="D69" s="8">
        <f>'balance_raw_86001519'!$D$46</f>
        <v/>
      </c>
      <c r="E69" s="8">
        <f>'balance_raw_86001519'!$E$46</f>
        <v/>
      </c>
      <c r="F69" s="8">
        <f>'balance_raw_86001519'!$F$46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'balance_raw_86001519'!$B$47</f>
        <v/>
      </c>
      <c r="C70" s="5">
        <f>'balance_raw_86001519'!$C$47</f>
        <v/>
      </c>
      <c r="D70" s="5">
        <f>'balance_raw_86001519'!$D$47</f>
        <v/>
      </c>
      <c r="E70" s="5">
        <f>'balance_raw_86001519'!$E$47</f>
        <v/>
      </c>
      <c r="F70" s="5">
        <f>'balance_raw_86001519'!$F$47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'balance_raw_86001519'!$B$48</f>
        <v/>
      </c>
      <c r="C71" s="8">
        <f>'balance_raw_86001519'!$C$48</f>
        <v/>
      </c>
      <c r="D71" s="8">
        <f>'balance_raw_86001519'!$D$48</f>
        <v/>
      </c>
      <c r="E71" s="8">
        <f>'balance_raw_86001519'!$E$48</f>
        <v/>
      </c>
      <c r="F71" s="8">
        <f>'balance_raw_86001519'!$F$48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'balance_raw_86001519'!$B$49</f>
        <v/>
      </c>
      <c r="C72" s="5">
        <f>'balance_raw_86001519'!$C$49</f>
        <v/>
      </c>
      <c r="D72" s="5">
        <f>'balance_raw_86001519'!$D$49</f>
        <v/>
      </c>
      <c r="E72" s="5">
        <f>'balance_raw_86001519'!$E$49</f>
        <v/>
      </c>
      <c r="F72" s="5">
        <f>'balance_raw_86001519'!$F$49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'balance_raw_86001519'!$B$50</f>
        <v/>
      </c>
      <c r="C73" s="8">
        <f>'balance_raw_86001519'!$C$50</f>
        <v/>
      </c>
      <c r="D73" s="8">
        <f>'balance_raw_86001519'!$D$50</f>
        <v/>
      </c>
      <c r="E73" s="8">
        <f>'balance_raw_86001519'!$E$50</f>
        <v/>
      </c>
      <c r="F73" s="8">
        <f>'balance_raw_86001519'!$F$50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'balance_raw_86001519'!$B$51</f>
        <v/>
      </c>
      <c r="C74" s="5">
        <f>'balance_raw_86001519'!$C$51</f>
        <v/>
      </c>
      <c r="D74" s="5">
        <f>'balance_raw_86001519'!$D$51</f>
        <v/>
      </c>
      <c r="E74" s="5">
        <f>'balance_raw_86001519'!$E$51</f>
        <v/>
      </c>
      <c r="F74" s="5">
        <f>'balance_raw_86001519'!$F$51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'balance_raw_86001519'!$B$52</f>
        <v/>
      </c>
      <c r="C75" s="8">
        <f>'balance_raw_86001519'!$C$52</f>
        <v/>
      </c>
      <c r="D75" s="8">
        <f>'balance_raw_86001519'!$D$52</f>
        <v/>
      </c>
      <c r="E75" s="8">
        <f>'balance_raw_86001519'!$E$52</f>
        <v/>
      </c>
      <c r="F75" s="8">
        <f>'balance_raw_86001519'!$F$52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'balance_raw_86001519'!$B$53</f>
        <v/>
      </c>
      <c r="C76" s="5">
        <f>'balance_raw_86001519'!$C$53</f>
        <v/>
      </c>
      <c r="D76" s="5">
        <f>'balance_raw_86001519'!$D$53</f>
        <v/>
      </c>
      <c r="E76" s="5">
        <f>'balance_raw_86001519'!$E$53</f>
        <v/>
      </c>
      <c r="F76" s="5">
        <f>'balance_raw_86001519'!$F$53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'balance_raw_86001519'!$B$54</f>
        <v/>
      </c>
      <c r="C77" s="8">
        <f>'balance_raw_86001519'!$C$54</f>
        <v/>
      </c>
      <c r="D77" s="8">
        <f>'balance_raw_86001519'!$D$54</f>
        <v/>
      </c>
      <c r="E77" s="8">
        <f>'balance_raw_86001519'!$E$54</f>
        <v/>
      </c>
      <c r="F77" s="8">
        <f>'balance_raw_86001519'!$F$54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'balance_raw_86001519'!$B$55</f>
        <v/>
      </c>
      <c r="C78" s="5">
        <f>'balance_raw_86001519'!$C$55</f>
        <v/>
      </c>
      <c r="D78" s="5">
        <f>'balance_raw_86001519'!$D$55</f>
        <v/>
      </c>
      <c r="E78" s="5">
        <f>'balance_raw_86001519'!$E$55</f>
        <v/>
      </c>
      <c r="F78" s="5">
        <f>'balance_raw_86001519'!$F$55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'balance_raw_86001519'!$B$56</f>
        <v/>
      </c>
      <c r="C79" s="8">
        <f>'balance_raw_86001519'!$C$56</f>
        <v/>
      </c>
      <c r="D79" s="8">
        <f>'balance_raw_86001519'!$D$56</f>
        <v/>
      </c>
      <c r="E79" s="8">
        <f>'balance_raw_86001519'!$E$56</f>
        <v/>
      </c>
      <c r="F79" s="8">
        <f>'balance_raw_86001519'!$F$56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'balance_raw_86001519'!$B$57</f>
        <v/>
      </c>
      <c r="C80" s="11">
        <f>'balance_raw_86001519'!$C$57</f>
        <v/>
      </c>
      <c r="D80" s="11">
        <f>'balance_raw_86001519'!$D$57</f>
        <v/>
      </c>
      <c r="E80" s="11">
        <f>'balance_raw_86001519'!$E$57</f>
        <v/>
      </c>
      <c r="F80" s="11">
        <f>'balance_raw_86001519'!$F$57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'balance_raw_86001519'!$B$58</f>
        <v/>
      </c>
      <c r="C81" s="11">
        <f>'balance_raw_86001519'!$C$58</f>
        <v/>
      </c>
      <c r="D81" s="11">
        <f>'balance_raw_86001519'!$D$58</f>
        <v/>
      </c>
      <c r="E81" s="11">
        <f>'balance_raw_86001519'!$E$58</f>
        <v/>
      </c>
      <c r="F81" s="11">
        <f>'balance_raw_86001519'!$F$58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'balance_raw_86001519'!$B$59</f>
        <v/>
      </c>
      <c r="C82" s="11">
        <f>'balance_raw_86001519'!$C$59</f>
        <v/>
      </c>
      <c r="D82" s="11">
        <f>'balance_raw_86001519'!$D$59</f>
        <v/>
      </c>
      <c r="E82" s="11">
        <f>'balance_raw_86001519'!$E$59</f>
        <v/>
      </c>
      <c r="F82" s="11">
        <f>'balance_raw_86001519'!$F$59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'res_raw_86001519'!$B$19</f>
        <v/>
      </c>
      <c r="C85" s="8">
        <f>'res_raw_86001519'!$C$19</f>
        <v/>
      </c>
      <c r="D85" s="8">
        <f>'res_raw_86001519'!$D$19</f>
        <v/>
      </c>
      <c r="E85" s="8">
        <f>'res_raw_86001519'!$E$19</f>
        <v/>
      </c>
      <c r="F85" s="8">
        <f>'res_raw_86001519'!$F$19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'res_raw_86001519'!$B$20</f>
        <v/>
      </c>
      <c r="C86" s="5">
        <f>'res_raw_86001519'!$C$20</f>
        <v/>
      </c>
      <c r="D86" s="5">
        <f>'res_raw_86001519'!$D$20</f>
        <v/>
      </c>
      <c r="E86" s="5">
        <f>'res_raw_86001519'!$E$20</f>
        <v/>
      </c>
      <c r="F86" s="5">
        <f>'res_raw_86001519'!$F$20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'pengestrom_raw_86001519'!$B$2</f>
        <v/>
      </c>
      <c r="C102" s="17">
        <f>'pengestrom_raw_86001519'!$C$2</f>
        <v/>
      </c>
      <c r="D102" s="17">
        <f>'pengestrom_raw_86001519'!$D$2</f>
        <v/>
      </c>
      <c r="E102" s="17">
        <f>'pengestrom_raw_86001519'!$E$2</f>
        <v/>
      </c>
      <c r="F102" s="17">
        <f>'pengestrom_raw_86001519'!$F$2</f>
        <v/>
      </c>
    </row>
    <row r="103">
      <c r="A103" s="16" t="inlineStr">
        <is>
          <t>Pengestrømme fra investeringsaktivitet</t>
        </is>
      </c>
      <c r="B103" s="17">
        <f>'pengestrom_raw_86001519'!$B$3</f>
        <v/>
      </c>
      <c r="C103" s="17">
        <f>'pengestrom_raw_86001519'!$C$3</f>
        <v/>
      </c>
      <c r="D103" s="17">
        <f>'pengestrom_raw_86001519'!$D$3</f>
        <v/>
      </c>
      <c r="E103" s="17">
        <f>'pengestrom_raw_86001519'!$E$3</f>
        <v/>
      </c>
      <c r="F103" s="17">
        <f>'pengestrom_raw_86001519'!$F$3</f>
        <v/>
      </c>
    </row>
    <row r="104">
      <c r="A104" s="16" t="inlineStr">
        <is>
          <t>Pengestrømme fra finansieringsaktivitet</t>
        </is>
      </c>
      <c r="B104" s="17">
        <f>'pengestrom_raw_86001519'!$B$4</f>
        <v/>
      </c>
      <c r="C104" s="17">
        <f>'pengestrom_raw_86001519'!$C$4</f>
        <v/>
      </c>
      <c r="D104" s="17">
        <f>'pengestrom_raw_86001519'!$D$4</f>
        <v/>
      </c>
      <c r="E104" s="17">
        <f>'pengestrom_raw_86001519'!$E$4</f>
        <v/>
      </c>
      <c r="F104" s="17">
        <f>'pengestrom_raw_86001519'!$F$4</f>
        <v/>
      </c>
    </row>
    <row r="105">
      <c r="A105" s="16" t="inlineStr">
        <is>
          <t>Årets pengestrøm (rapporteret)</t>
        </is>
      </c>
      <c r="B105" s="17">
        <f>'pengestrom_raw_86001519'!$B$5</f>
        <v/>
      </c>
      <c r="C105" s="17">
        <f>'pengestrom_raw_86001519'!$C$5</f>
        <v/>
      </c>
      <c r="D105" s="17">
        <f>'pengestrom_raw_86001519'!$D$5</f>
        <v/>
      </c>
      <c r="E105" s="17">
        <f>'pengestrom_raw_86001519'!$E$5</f>
        <v/>
      </c>
      <c r="F105" s="17">
        <f>'pengestrom_raw_86001519'!$F$5</f>
        <v/>
      </c>
    </row>
    <row r="106">
      <c r="A106" s="16" t="inlineStr">
        <is>
          <t>Krydstjek: drift + inv. + fin. = årets pengestrøm</t>
        </is>
      </c>
      <c r="B106">
        <f>IF(ABS(('pengestrom_raw_86001519'!$B$2+'pengestrom_raw_86001519'!$B$3+'pengestrom_raw_86001519'!$B$4)-'pengestrom_raw_86001519'!$B$5)&lt;=2,"✓","⚠ "&amp;TEXT(('pengestrom_raw_86001519'!$B$2+'pengestrom_raw_86001519'!$B$3+'pengestrom_raw_86001519'!$B$4)-'pengestrom_raw_86001519'!$B$5,"+#,##0;-#,##0"))</f>
        <v/>
      </c>
      <c r="C106">
        <f>IF(ABS(('pengestrom_raw_86001519'!$C$2+'pengestrom_raw_86001519'!$C$3+'pengestrom_raw_86001519'!$C$4)-'pengestrom_raw_86001519'!$C$5)&lt;=2,"✓","⚠ "&amp;TEXT(('pengestrom_raw_86001519'!$C$2+'pengestrom_raw_86001519'!$C$3+'pengestrom_raw_86001519'!$C$4)-'pengestrom_raw_86001519'!$C$5,"+#,##0;-#,##0"))</f>
        <v/>
      </c>
      <c r="D106">
        <f>IF(ABS(('pengestrom_raw_86001519'!$D$2+'pengestrom_raw_86001519'!$D$3+'pengestrom_raw_86001519'!$D$4)-'pengestrom_raw_86001519'!$D$5)&lt;=2,"✓","⚠ "&amp;TEXT(('pengestrom_raw_86001519'!$D$2+'pengestrom_raw_86001519'!$D$3+'pengestrom_raw_86001519'!$D$4)-'pengestrom_raw_86001519'!$D$5,"+#,##0;-#,##0"))</f>
        <v/>
      </c>
      <c r="E106">
        <f>IF(ABS(('pengestrom_raw_86001519'!$E$2+'pengestrom_raw_86001519'!$E$3+'pengestrom_raw_86001519'!$E$4)-'pengestrom_raw_86001519'!$E$5)&lt;=2,"✓","⚠ "&amp;TEXT(('pengestrom_raw_86001519'!$E$2+'pengestrom_raw_86001519'!$E$3+'pengestrom_raw_86001519'!$E$4)-'pengestrom_raw_86001519'!$E$5,"+#,##0;-#,##0"))</f>
        <v/>
      </c>
      <c r="F106">
        <f>IF(ABS(('pengestrom_raw_86001519'!$F$2+'pengestrom_raw_86001519'!$F$3+'pengestrom_raw_86001519'!$F$4)-'pengestrom_raw_86001519'!$F$5)&lt;=2,"✓","⚠ "&amp;TEXT(('pengestrom_raw_86001519'!$F$2+'pengestrom_raw_86001519'!$F$3+'pengestrom_raw_86001519'!$F$4)-'pengestrom_raw_86001519'!$F$5,"+#,##0;-#,##0"))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32714000</v>
      </c>
      <c r="C2" s="17" t="n">
        <v>38360000</v>
      </c>
      <c r="D2" s="17" t="n">
        <v>42609000</v>
      </c>
      <c r="E2" s="17" t="n">
        <v>48077000</v>
      </c>
      <c r="F2" s="17" t="n">
        <v>53091000</v>
      </c>
    </row>
    <row r="3">
      <c r="A3" s="16" t="inlineStr">
        <is>
          <t>Andre driftsindtægter</t>
        </is>
      </c>
      <c r="B3" s="17" t="n">
        <v>262000</v>
      </c>
      <c r="C3" s="17" t="n">
        <v>768000</v>
      </c>
      <c r="D3" s="17" t="n">
        <v>30000</v>
      </c>
      <c r="E3" s="17" t="n">
        <v>45000</v>
      </c>
      <c r="F3" s="17" t="n">
        <v>55000</v>
      </c>
    </row>
    <row r="4">
      <c r="A4" s="16" t="inlineStr">
        <is>
          <t>Vareforbrug</t>
        </is>
      </c>
      <c r="B4" s="17" t="n">
        <v>16253000</v>
      </c>
      <c r="C4" s="17" t="n">
        <v>18557000</v>
      </c>
      <c r="D4" s="17" t="n">
        <v>20035000</v>
      </c>
      <c r="E4" s="17" t="n">
        <v>22005000</v>
      </c>
      <c r="F4" s="17" t="n">
        <v>23698000</v>
      </c>
    </row>
    <row r="5">
      <c r="A5" s="16" t="inlineStr">
        <is>
          <t>Andre eksterne omkostninger</t>
        </is>
      </c>
      <c r="B5" s="17" t="n">
        <v>6549000</v>
      </c>
      <c r="C5" s="17" t="n">
        <v>8912000</v>
      </c>
      <c r="D5" s="17" t="n">
        <v>10072000</v>
      </c>
      <c r="E5" s="17" t="n">
        <v>11356000</v>
      </c>
      <c r="F5" s="17" t="n">
        <v>12271000</v>
      </c>
    </row>
    <row r="6">
      <c r="A6" s="15" t="inlineStr">
        <is>
          <t>Bruttoresultat</t>
        </is>
      </c>
      <c r="B6" s="17" t="n">
        <v>10174000</v>
      </c>
      <c r="C6" s="17" t="n">
        <v>11659000</v>
      </c>
      <c r="D6" s="17" t="n">
        <v>12532000</v>
      </c>
      <c r="E6" s="17" t="n">
        <v>14761000</v>
      </c>
      <c r="F6" s="17" t="n">
        <v>17177000</v>
      </c>
    </row>
    <row r="7">
      <c r="A7" s="16" t="inlineStr">
        <is>
          <t>Personaleomkostninger</t>
        </is>
      </c>
      <c r="B7" s="17" t="n">
        <v>5270000</v>
      </c>
      <c r="C7" s="17" t="n">
        <v>6054000</v>
      </c>
      <c r="D7" s="17" t="n">
        <v>7369000</v>
      </c>
      <c r="E7" s="17" t="n">
        <v>9023000</v>
      </c>
      <c r="F7" s="17" t="n">
        <v>10308000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981000</v>
      </c>
      <c r="C9" s="17" t="n">
        <v>1236000</v>
      </c>
      <c r="D9" s="17" t="n">
        <v>1532000</v>
      </c>
      <c r="E9" s="17" t="n">
        <v>1836000</v>
      </c>
      <c r="F9" s="17" t="n">
        <v>2458000</v>
      </c>
    </row>
    <row r="10">
      <c r="A10" s="16" t="inlineStr">
        <is>
          <t>Andre driftsomkostninger</t>
        </is>
      </c>
      <c r="B10" s="17" t="n">
        <v>700000</v>
      </c>
      <c r="C10" s="17" t="n">
        <v>1034000</v>
      </c>
      <c r="D10" s="17" t="n">
        <v>591000</v>
      </c>
      <c r="E10" s="17" t="n">
        <v>161000</v>
      </c>
      <c r="F10" s="17" t="n">
        <v>93000</v>
      </c>
    </row>
    <row r="11">
      <c r="A11" s="15" t="inlineStr">
        <is>
          <t>Resultat af primær drift</t>
        </is>
      </c>
      <c r="B11" s="17" t="n">
        <v>3223000</v>
      </c>
      <c r="C11" s="17" t="n">
        <v>3335000</v>
      </c>
      <c r="D11" s="17" t="n">
        <v>3040000</v>
      </c>
      <c r="E11" s="17" t="n">
        <v>3741000</v>
      </c>
      <c r="F11" s="17" t="n">
        <v>4318000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-30000</v>
      </c>
      <c r="F12" s="17" t="n">
        <v>-258000</v>
      </c>
    </row>
    <row r="13">
      <c r="A13" s="16" t="inlineStr">
        <is>
          <t>Finansielle indtægter</t>
        </is>
      </c>
      <c r="B13" s="17" t="n">
        <v>1703000</v>
      </c>
      <c r="C13" s="17" t="n">
        <v>281000</v>
      </c>
      <c r="D13" s="17" t="n">
        <v>339000</v>
      </c>
      <c r="E13" s="17" t="n">
        <v>1396000</v>
      </c>
      <c r="F13" s="17" t="n">
        <v>297000</v>
      </c>
    </row>
    <row r="14">
      <c r="A14" s="16" t="inlineStr">
        <is>
          <t>Finansielle omkostninger</t>
        </is>
      </c>
      <c r="B14" s="17" t="n">
        <v>283000</v>
      </c>
      <c r="C14" s="17" t="n">
        <v>1438000</v>
      </c>
      <c r="D14" s="17" t="n">
        <v>592000</v>
      </c>
      <c r="E14" s="17" t="n">
        <v>613000</v>
      </c>
      <c r="F14" s="17" t="n">
        <v>440000</v>
      </c>
    </row>
    <row r="15">
      <c r="A15" s="15" t="inlineStr">
        <is>
          <t>Finansielle poster, netto</t>
        </is>
      </c>
      <c r="B15" s="17" t="n">
        <v>2651000</v>
      </c>
      <c r="C15" s="17" t="n">
        <v>503000</v>
      </c>
      <c r="D15" s="17" t="n">
        <v>245000</v>
      </c>
      <c r="E15" s="17" t="n">
        <v>794000</v>
      </c>
      <c r="F15" s="17" t="n">
        <v>-298000</v>
      </c>
    </row>
    <row r="16">
      <c r="A16" s="15" t="inlineStr">
        <is>
          <t>Resultat før skat</t>
        </is>
      </c>
      <c r="B16" s="17" t="n">
        <v>5874000</v>
      </c>
      <c r="C16" s="17" t="n">
        <v>3838000</v>
      </c>
      <c r="D16" s="17" t="n">
        <v>3285000</v>
      </c>
      <c r="E16" s="17" t="n">
        <v>4535000</v>
      </c>
      <c r="F16" s="17" t="n">
        <v>4020000</v>
      </c>
    </row>
    <row r="17">
      <c r="A17" s="16" t="inlineStr">
        <is>
          <t>Skat af årets resultat</t>
        </is>
      </c>
      <c r="B17" s="17" t="n">
        <v>947000</v>
      </c>
      <c r="C17" s="17" t="n">
        <v>435000</v>
      </c>
      <c r="D17" s="17" t="n">
        <v>573000</v>
      </c>
      <c r="E17" s="17" t="n">
        <v>979000</v>
      </c>
      <c r="F17" s="17" t="n">
        <v>1066000</v>
      </c>
    </row>
    <row r="18">
      <c r="A18" s="15" t="inlineStr">
        <is>
          <t>Årets resultat</t>
        </is>
      </c>
      <c r="B18" s="17" t="n">
        <v>4927000</v>
      </c>
      <c r="C18" s="17" t="n">
        <v>3403000</v>
      </c>
      <c r="D18" s="17" t="n">
        <v>2712000</v>
      </c>
      <c r="E18" s="17" t="n">
        <v>3556000</v>
      </c>
      <c r="F18" s="17" t="n">
        <v>2954000</v>
      </c>
    </row>
    <row r="19">
      <c r="A19" s="16" t="inlineStr">
        <is>
          <t>Gns. antal medarbejdere</t>
        </is>
      </c>
      <c r="B19" s="17" t="n">
        <v>27392</v>
      </c>
      <c r="C19" s="17" t="n">
        <v>29167</v>
      </c>
      <c r="D19" s="17" t="n">
        <v>31176</v>
      </c>
      <c r="E19" s="17" t="n">
        <v>34240</v>
      </c>
      <c r="F19" s="17" t="n">
        <v>35665</v>
      </c>
    </row>
    <row r="20">
      <c r="A20" s="16" t="inlineStr">
        <is>
          <t>Investering i materielle anlægsaktiver</t>
        </is>
      </c>
      <c r="B20" s="17" t="n">
        <v>2281000</v>
      </c>
      <c r="C20" s="17" t="n">
        <v>3161000</v>
      </c>
      <c r="D20" s="17" t="n">
        <v>2756000</v>
      </c>
      <c r="E20" s="17" t="n">
        <v>2063000</v>
      </c>
      <c r="F20" s="17" t="n">
        <v>2247000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143000</v>
      </c>
      <c r="D2" s="17" t="n">
        <v>148000</v>
      </c>
      <c r="E2" s="17" t="n">
        <v>138000</v>
      </c>
      <c r="F2" s="17" t="n">
        <v>125000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1472000</v>
      </c>
      <c r="C4" s="17" t="n">
        <v>1740000</v>
      </c>
      <c r="D4" s="17" t="n">
        <v>1517000</v>
      </c>
      <c r="E4" s="17" t="n">
        <v>1248000</v>
      </c>
      <c r="F4" s="17" t="n">
        <v>423000</v>
      </c>
    </row>
    <row r="5">
      <c r="A5" s="15" t="inlineStr">
        <is>
          <t>Immaterielle anlægsaktiver</t>
        </is>
      </c>
      <c r="B5" s="17" t="n">
        <v>1632000</v>
      </c>
      <c r="C5" s="17" t="n">
        <v>1883000</v>
      </c>
      <c r="D5" s="17" t="n">
        <v>1734000</v>
      </c>
      <c r="E5" s="17" t="n">
        <v>1455000</v>
      </c>
      <c r="F5" s="17" t="n">
        <v>611000</v>
      </c>
    </row>
    <row r="6">
      <c r="A6" s="16" t="inlineStr">
        <is>
          <t>Grunde og bygninger</t>
        </is>
      </c>
      <c r="B6" s="17" t="n">
        <v>3665000</v>
      </c>
      <c r="C6" s="17" t="n">
        <v>5837000</v>
      </c>
      <c r="D6" s="17" t="n">
        <v>7138000</v>
      </c>
      <c r="E6" s="17" t="n">
        <v>7394000</v>
      </c>
      <c r="F6" s="17" t="n">
        <v>7160000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1669000</v>
      </c>
      <c r="C8" s="17" t="n">
        <v>2011000</v>
      </c>
      <c r="D8" s="17" t="n">
        <v>2608000</v>
      </c>
      <c r="E8" s="17" t="n">
        <v>2997000</v>
      </c>
      <c r="F8" s="17" t="n">
        <v>2898000</v>
      </c>
    </row>
    <row r="9">
      <c r="A9" s="16" t="inlineStr">
        <is>
          <t>Indretning af lejede lokaler</t>
        </is>
      </c>
      <c r="B9" s="17" t="n">
        <v>1246000</v>
      </c>
      <c r="C9" s="17" t="n">
        <v>1569000</v>
      </c>
      <c r="D9" s="17" t="n">
        <v>2097000</v>
      </c>
      <c r="E9" s="17" t="n">
        <v>2291000</v>
      </c>
      <c r="F9" s="17" t="n">
        <v>2353000</v>
      </c>
    </row>
    <row r="10">
      <c r="A10" s="16" t="inlineStr">
        <is>
          <t>Forudbetaling og anlægsaktiver under opførelse</t>
        </is>
      </c>
      <c r="B10" s="17" t="n">
        <v>1366000</v>
      </c>
      <c r="C10" s="17" t="n">
        <v>1749000</v>
      </c>
      <c r="D10" s="17" t="n">
        <v>1519000</v>
      </c>
      <c r="E10" s="17" t="n">
        <v>1164000</v>
      </c>
      <c r="F10" s="17" t="n">
        <v>1823000</v>
      </c>
    </row>
    <row r="11">
      <c r="A11" s="15" t="inlineStr">
        <is>
          <t>Materielle anlægsaktiver</t>
        </is>
      </c>
      <c r="B11" s="17" t="n">
        <v>7946000</v>
      </c>
      <c r="C11" s="17" t="n">
        <v>11166000</v>
      </c>
      <c r="D11" s="17" t="n">
        <v>13362000</v>
      </c>
      <c r="E11" s="17" t="n">
        <v>13846000</v>
      </c>
      <c r="F11" s="17" t="n">
        <v>14234000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1364000</v>
      </c>
      <c r="F12" s="17" t="n">
        <v>650000</v>
      </c>
    </row>
    <row r="13">
      <c r="A13" s="16" t="inlineStr">
        <is>
          <t>Deposita</t>
        </is>
      </c>
      <c r="B13" s="17" t="n">
        <v>158000</v>
      </c>
      <c r="C13" s="17" t="n">
        <v>187000</v>
      </c>
      <c r="D13" s="17" t="n">
        <v>143000</v>
      </c>
      <c r="E13" s="17" t="n">
        <v>145000</v>
      </c>
      <c r="F13" s="17" t="n">
        <v>158000</v>
      </c>
    </row>
    <row r="14">
      <c r="A14" s="15" t="inlineStr">
        <is>
          <t>Finansielle anlægsaktiver</t>
        </is>
      </c>
      <c r="B14" s="17" t="n">
        <v>2981000</v>
      </c>
      <c r="C14" s="17" t="n">
        <v>5081000</v>
      </c>
      <c r="D14" s="17" t="n">
        <v>3667000</v>
      </c>
      <c r="E14" s="17" t="n">
        <v>4417000</v>
      </c>
      <c r="F14" s="17" t="n">
        <v>5056000</v>
      </c>
    </row>
    <row r="15">
      <c r="A15" s="15" t="inlineStr">
        <is>
          <t>Anlægsaktiver</t>
        </is>
      </c>
      <c r="B15" s="17" t="n">
        <v>12559000</v>
      </c>
      <c r="C15" s="17" t="n">
        <v>18130000</v>
      </c>
      <c r="D15" s="17" t="n">
        <v>18763000</v>
      </c>
      <c r="E15" s="17" t="n">
        <v>19718000</v>
      </c>
      <c r="F15" s="17" t="n">
        <v>19901000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7909000</v>
      </c>
      <c r="C18" s="17" t="n">
        <v>10778000</v>
      </c>
      <c r="D18" s="17" t="n">
        <v>12236000</v>
      </c>
      <c r="E18" s="17" t="n"/>
      <c r="F18" s="17" t="n"/>
    </row>
    <row r="19">
      <c r="A19" s="15" t="inlineStr">
        <is>
          <t>Varebeholdninger</t>
        </is>
      </c>
      <c r="B19" s="17" t="n">
        <v>8089000</v>
      </c>
      <c r="C19" s="17" t="n">
        <v>11013000</v>
      </c>
      <c r="D19" s="17" t="n">
        <v>12632000</v>
      </c>
      <c r="E19" s="17" t="n">
        <v>12890000</v>
      </c>
      <c r="F19" s="17" t="n">
        <v>13746000</v>
      </c>
    </row>
    <row r="20">
      <c r="A20" s="16" t="inlineStr">
        <is>
          <t>Tilgodehavender fra salg og tjenesteydelser</t>
        </is>
      </c>
      <c r="B20" s="17" t="n">
        <v>1033000</v>
      </c>
      <c r="C20" s="17" t="n">
        <v>916000</v>
      </c>
      <c r="D20" s="17" t="n">
        <v>877000</v>
      </c>
      <c r="E20" s="17" t="n">
        <v>926000</v>
      </c>
      <c r="F20" s="17" t="n">
        <v>788000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4762000</v>
      </c>
      <c r="F21" s="17" t="n">
        <v>3192000</v>
      </c>
    </row>
    <row r="22">
      <c r="A22" s="16" t="inlineStr">
        <is>
          <t>Andre tilgodehavender</t>
        </is>
      </c>
      <c r="B22" s="17" t="n">
        <v>1493000</v>
      </c>
      <c r="C22" s="17" t="n">
        <v>1584000</v>
      </c>
      <c r="D22" s="17" t="n">
        <v>1247000</v>
      </c>
      <c r="E22" s="17" t="n">
        <v>1285000</v>
      </c>
      <c r="F22" s="17" t="n">
        <v>1457000</v>
      </c>
    </row>
    <row r="23">
      <c r="A23" s="16" t="inlineStr">
        <is>
          <t>Periodeafgrænsningsposter (aktiver)</t>
        </is>
      </c>
      <c r="B23" s="17" t="n">
        <v>215000</v>
      </c>
      <c r="C23" s="17" t="n">
        <v>274000</v>
      </c>
      <c r="D23" s="17" t="n">
        <v>359000</v>
      </c>
      <c r="E23" s="17" t="n">
        <v>279000</v>
      </c>
      <c r="F23" s="17" t="n">
        <v>301000</v>
      </c>
    </row>
    <row r="24">
      <c r="A24" s="16" t="inlineStr">
        <is>
          <t>Udskudt skatteaktiv</t>
        </is>
      </c>
      <c r="B24" s="17" t="n">
        <v>831000</v>
      </c>
      <c r="C24" s="17" t="n">
        <v>909000</v>
      </c>
      <c r="D24" s="17" t="n">
        <v>797000</v>
      </c>
      <c r="E24" s="17" t="n">
        <v>774000</v>
      </c>
      <c r="F24" s="17" t="n">
        <v>706000</v>
      </c>
    </row>
    <row r="25">
      <c r="A25" s="16" t="inlineStr">
        <is>
          <t>Tilgodehavende skat hos tilknyttede virksomheder</t>
        </is>
      </c>
      <c r="B25" s="17" t="n"/>
      <c r="C25" s="17" t="n">
        <v>137000</v>
      </c>
      <c r="D25" s="17" t="n">
        <v>322000</v>
      </c>
      <c r="E25" s="17" t="n"/>
      <c r="F25" s="17" t="n"/>
    </row>
    <row r="26">
      <c r="A26" s="16" t="inlineStr">
        <is>
          <t>Kortfristede skattetilgodehavender</t>
        </is>
      </c>
      <c r="B26" s="17" t="n">
        <v>202000</v>
      </c>
      <c r="C26" s="17" t="n"/>
      <c r="D26" s="17" t="n"/>
      <c r="E26" s="17" t="n">
        <v>367000</v>
      </c>
      <c r="F26" s="17" t="n">
        <v>183000</v>
      </c>
    </row>
    <row r="27">
      <c r="A27" s="15" t="inlineStr">
        <is>
          <t>Tilgodehavender</t>
        </is>
      </c>
      <c r="B27" s="17" t="n">
        <v>4904000</v>
      </c>
      <c r="C27" s="17" t="n">
        <v>5163000</v>
      </c>
      <c r="D27" s="17" t="n">
        <v>3817000</v>
      </c>
      <c r="E27" s="17" t="n">
        <v>3769000</v>
      </c>
      <c r="F27" s="17" t="n">
        <v>3518000</v>
      </c>
    </row>
    <row r="28">
      <c r="A28" s="16" t="inlineStr">
        <is>
          <t>Værdipapirer</t>
        </is>
      </c>
      <c r="B28" s="17" t="n">
        <v>14386000</v>
      </c>
      <c r="C28" s="17" t="n">
        <v>11798000</v>
      </c>
      <c r="D28" s="17" t="n">
        <v>10579000</v>
      </c>
      <c r="E28" s="17" t="n">
        <v>11733000</v>
      </c>
      <c r="F28" s="17" t="n">
        <v>13045000</v>
      </c>
    </row>
    <row r="29">
      <c r="A29" s="16" t="inlineStr">
        <is>
          <t>Likvide beholdninger</t>
        </is>
      </c>
      <c r="B29" s="17" t="n">
        <v>2888000</v>
      </c>
      <c r="C29" s="17" t="n">
        <v>2079000</v>
      </c>
      <c r="D29" s="17" t="n">
        <v>2892000</v>
      </c>
      <c r="E29" s="17" t="n">
        <v>3006000</v>
      </c>
      <c r="F29" s="17" t="n">
        <v>4548000</v>
      </c>
    </row>
    <row r="30">
      <c r="A30" s="15" t="inlineStr">
        <is>
          <t>Omsætningsaktiver</t>
        </is>
      </c>
      <c r="B30" s="17" t="n">
        <v>30267000</v>
      </c>
      <c r="C30" s="17" t="n">
        <v>30053000</v>
      </c>
      <c r="D30" s="17" t="n">
        <v>29920000</v>
      </c>
      <c r="E30" s="17" t="n">
        <v>31398000</v>
      </c>
      <c r="F30" s="17" t="n">
        <v>34857000</v>
      </c>
    </row>
    <row r="31">
      <c r="A31" s="15" t="inlineStr">
        <is>
          <t>Aktiver</t>
        </is>
      </c>
      <c r="B31" s="17" t="n">
        <v>42826000</v>
      </c>
      <c r="C31" s="17" t="n">
        <v>48183000</v>
      </c>
      <c r="D31" s="17" t="n">
        <v>48683000</v>
      </c>
      <c r="E31" s="17" t="n">
        <v>51116000</v>
      </c>
      <c r="F31" s="17" t="n">
        <v>54758000</v>
      </c>
    </row>
    <row r="32">
      <c r="A32" s="16" t="inlineStr">
        <is>
          <t>Selskabskapital</t>
        </is>
      </c>
      <c r="B32" s="17" t="n">
        <v>69000</v>
      </c>
      <c r="C32" s="17" t="n">
        <v>69000</v>
      </c>
      <c r="D32" s="17" t="n">
        <v>69000</v>
      </c>
      <c r="E32" s="17" t="n">
        <v>75000</v>
      </c>
      <c r="F32" s="17" t="n">
        <v>75000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1597000</v>
      </c>
      <c r="F33" s="17" t="n">
        <v>1293000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-32000</v>
      </c>
      <c r="C36" s="17" t="n">
        <v>-9000</v>
      </c>
      <c r="D36" s="17" t="n">
        <v>0</v>
      </c>
      <c r="E36" s="17" t="n">
        <v>2000</v>
      </c>
      <c r="F36" s="17" t="n">
        <v>27000</v>
      </c>
    </row>
    <row r="37">
      <c r="A37" s="16" t="inlineStr">
        <is>
          <t>Overført resultat</t>
        </is>
      </c>
      <c r="B37" s="17" t="n">
        <v>29527000</v>
      </c>
      <c r="C37" s="17" t="n">
        <v>30589000</v>
      </c>
      <c r="D37" s="17" t="n">
        <v>30289000</v>
      </c>
      <c r="E37" s="17" t="n">
        <v>35863000</v>
      </c>
      <c r="F37" s="17" t="n">
        <v>37674000</v>
      </c>
    </row>
    <row r="38">
      <c r="A38" s="15" t="inlineStr">
        <is>
          <t>Egenkapital i alt</t>
        </is>
      </c>
      <c r="B38" s="17" t="n">
        <v>29794000</v>
      </c>
      <c r="C38" s="17" t="n">
        <v>31613000</v>
      </c>
      <c r="D38" s="17" t="n">
        <v>30362000</v>
      </c>
      <c r="E38" s="17" t="n">
        <v>37516000</v>
      </c>
      <c r="F38" s="17" t="n">
        <v>38960000</v>
      </c>
    </row>
    <row r="39">
      <c r="A39" s="16" t="inlineStr">
        <is>
          <t>Hensættelse til udskudt skat</t>
        </is>
      </c>
      <c r="B39" s="17" t="n">
        <v>149000</v>
      </c>
      <c r="C39" s="17" t="n">
        <v>2000</v>
      </c>
      <c r="D39" s="17" t="n">
        <v>6000</v>
      </c>
      <c r="E39" s="17" t="n">
        <v>131000</v>
      </c>
      <c r="F39" s="17" t="n">
        <v>114000</v>
      </c>
    </row>
    <row r="40">
      <c r="A40" s="15" t="inlineStr">
        <is>
          <t>Hensatte forpligtelser</t>
        </is>
      </c>
      <c r="B40" s="17" t="n">
        <v>149000</v>
      </c>
      <c r="C40" s="17" t="n">
        <v>2000</v>
      </c>
      <c r="D40" s="17" t="n">
        <v>6000</v>
      </c>
      <c r="E40" s="17" t="n">
        <v>131000</v>
      </c>
      <c r="F40" s="17" t="n">
        <v>114000</v>
      </c>
    </row>
    <row r="41">
      <c r="A41" s="16" t="inlineStr">
        <is>
          <t>Ansvarlig lånekapital (langfristet)</t>
        </is>
      </c>
      <c r="B41" s="17" t="n"/>
      <c r="C41" s="17" t="n">
        <v>1559000</v>
      </c>
      <c r="D41" s="17" t="n">
        <v>2278000</v>
      </c>
      <c r="E41" s="17" t="n"/>
      <c r="F41" s="17" t="n"/>
    </row>
    <row r="42">
      <c r="A42" s="16" t="inlineStr">
        <is>
          <t>Langfristede lån</t>
        </is>
      </c>
      <c r="B42" s="17" t="n">
        <v>434000</v>
      </c>
      <c r="C42" s="17" t="n">
        <v>1746000</v>
      </c>
      <c r="D42" s="17" t="n">
        <v>2010000</v>
      </c>
      <c r="E42" s="17" t="n">
        <v>2157000</v>
      </c>
      <c r="F42" s="17" t="n">
        <v>2380000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706000</v>
      </c>
      <c r="C44" s="17" t="n">
        <v>77000</v>
      </c>
      <c r="D44" s="17" t="n">
        <v>0</v>
      </c>
      <c r="E44" s="17" t="n"/>
      <c r="F44" s="17" t="n"/>
    </row>
    <row r="45">
      <c r="A45" s="15" t="inlineStr">
        <is>
          <t>Langfristede gældsforpligtelser</t>
        </is>
      </c>
      <c r="B45" s="17" t="n">
        <v>1217000</v>
      </c>
      <c r="C45" s="17" t="n">
        <v>3382000</v>
      </c>
      <c r="D45" s="17" t="n">
        <v>4288000</v>
      </c>
      <c r="E45" s="17" t="n">
        <v>4713000</v>
      </c>
      <c r="F45" s="17" t="n">
        <v>6061000</v>
      </c>
    </row>
    <row r="46">
      <c r="A46" s="16" t="inlineStr">
        <is>
          <t>Ansvarlig lånekapital (kortfristet)</t>
        </is>
      </c>
      <c r="B46" s="17" t="n"/>
      <c r="C46" s="17" t="n">
        <v>1888000</v>
      </c>
      <c r="D46" s="17" t="n">
        <v>2140000</v>
      </c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>
        <v>1921000</v>
      </c>
      <c r="F47" s="17" t="n">
        <v>2062000</v>
      </c>
    </row>
    <row r="48">
      <c r="A48" s="16" t="inlineStr">
        <is>
          <t>Kreditinstitutter</t>
        </is>
      </c>
      <c r="B48" s="17" t="n">
        <v>55000</v>
      </c>
      <c r="C48" s="17" t="n">
        <v>113000</v>
      </c>
      <c r="D48" s="17" t="n">
        <v>106000</v>
      </c>
      <c r="E48" s="17" t="n">
        <v>261000</v>
      </c>
      <c r="F48" s="17" t="n">
        <v>91000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1662000</v>
      </c>
      <c r="C50" s="17" t="n">
        <v>1580000</v>
      </c>
      <c r="D50" s="17" t="n">
        <v>1894000</v>
      </c>
      <c r="E50" s="17" t="n">
        <v>2345000</v>
      </c>
      <c r="F50" s="17" t="n">
        <v>2601000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4822000</v>
      </c>
      <c r="F51" s="17" t="n">
        <v>4416000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606000</v>
      </c>
      <c r="C53" s="17" t="n"/>
      <c r="D53" s="17" t="n"/>
      <c r="E53" s="17" t="n">
        <v>457000</v>
      </c>
      <c r="F53" s="17" t="n">
        <v>628000</v>
      </c>
    </row>
    <row r="54">
      <c r="A54" s="16" t="inlineStr">
        <is>
          <t>Gæld til tilknyttede virksomheder vedr. selskabsskat</t>
        </is>
      </c>
      <c r="B54" s="17" t="n"/>
      <c r="C54" s="17" t="n">
        <v>306000</v>
      </c>
      <c r="D54" s="17" t="n">
        <v>386000</v>
      </c>
      <c r="E54" s="17" t="n"/>
      <c r="F54" s="17" t="n"/>
    </row>
    <row r="55">
      <c r="A55" s="16" t="inlineStr">
        <is>
          <t>Anden gæld (kortfristet)</t>
        </is>
      </c>
      <c r="B55" s="17" t="n">
        <v>5103000</v>
      </c>
      <c r="C55" s="17" t="n">
        <v>3890000</v>
      </c>
      <c r="D55" s="17" t="n">
        <v>6366000</v>
      </c>
      <c r="E55" s="17" t="n">
        <v>2949000</v>
      </c>
      <c r="F55" s="17" t="n">
        <v>3210000</v>
      </c>
    </row>
    <row r="56">
      <c r="A56" s="16" t="inlineStr">
        <is>
          <t>Periodeafgrænsningsposter (passiver)</t>
        </is>
      </c>
      <c r="B56" s="17" t="n">
        <v>289000</v>
      </c>
      <c r="C56" s="17" t="n">
        <v>363000</v>
      </c>
      <c r="D56" s="17" t="n">
        <v>418000</v>
      </c>
      <c r="E56" s="17" t="n">
        <v>477000</v>
      </c>
      <c r="F56" s="17" t="n">
        <v>600000</v>
      </c>
    </row>
    <row r="57">
      <c r="A57" s="15" t="inlineStr">
        <is>
          <t>Kortfristede gældsforpligtelser</t>
        </is>
      </c>
      <c r="B57" s="17" t="n">
        <v>11666000</v>
      </c>
      <c r="C57" s="17" t="n">
        <v>13186000</v>
      </c>
      <c r="D57" s="17" t="n">
        <v>14027000</v>
      </c>
      <c r="E57" s="17" t="n">
        <v>8756000</v>
      </c>
      <c r="F57" s="17" t="n">
        <v>9623000</v>
      </c>
    </row>
    <row r="58">
      <c r="A58" s="15" t="inlineStr">
        <is>
          <t>Gældsforpligtelser</t>
        </is>
      </c>
      <c r="B58" s="17" t="n">
        <v>12883000</v>
      </c>
      <c r="C58" s="17" t="n">
        <v>16568000</v>
      </c>
      <c r="D58" s="17" t="n">
        <v>18315000</v>
      </c>
      <c r="E58" s="17" t="n">
        <v>13469000</v>
      </c>
      <c r="F58" s="17" t="n">
        <v>15684000</v>
      </c>
    </row>
    <row r="59">
      <c r="A59" s="15" t="inlineStr">
        <is>
          <t>Passiver</t>
        </is>
      </c>
      <c r="B59" s="17" t="n">
        <v>42826000</v>
      </c>
      <c r="C59" s="17" t="n">
        <v>48183000</v>
      </c>
      <c r="D59" s="17" t="n">
        <v>48683000</v>
      </c>
      <c r="E59" s="17" t="n">
        <v>51116000</v>
      </c>
      <c r="F59" s="17" t="n">
        <v>54758000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2377000</v>
      </c>
      <c r="C2" s="17" t="n">
        <v>1136000</v>
      </c>
      <c r="D2" s="17" t="n">
        <v>4980000</v>
      </c>
      <c r="E2" s="17" t="n">
        <v>5707000</v>
      </c>
      <c r="F2" s="17" t="n">
        <v>6696000</v>
      </c>
    </row>
    <row r="3">
      <c r="A3" s="16" t="inlineStr">
        <is>
          <t>Pengestrømme fra investeringsaktivitet</t>
        </is>
      </c>
      <c r="B3" s="17" t="n">
        <v>-6781000</v>
      </c>
      <c r="C3" s="17" t="n">
        <v>-4709000</v>
      </c>
      <c r="D3" s="17" t="n">
        <v>-5997000</v>
      </c>
      <c r="E3" s="17" t="n">
        <v>-3012000</v>
      </c>
      <c r="F3" s="17" t="n">
        <v>-4622000</v>
      </c>
    </row>
    <row r="4">
      <c r="A4" s="16" t="inlineStr">
        <is>
          <t>Pengestrømme fra finansieringsaktivitet</t>
        </is>
      </c>
      <c r="B4" s="17" t="n">
        <v>5455000</v>
      </c>
      <c r="C4" s="17" t="n">
        <v>3601000</v>
      </c>
      <c r="D4" s="17" t="n">
        <v>2907000</v>
      </c>
      <c r="E4" s="17" t="n">
        <v>-1778000</v>
      </c>
      <c r="F4" s="17" t="n">
        <v>119000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Lars Larsen Group (CVR 86001519) — Regnskabs- og nøgletal (CVR: 86001519)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'res_raw_86001519'!$F$2</f>
        <v/>
      </c>
      <c r="C5" s="24">
        <f>'res_raw_86001519'!$E$2</f>
        <v/>
      </c>
      <c r="D5" s="24">
        <f>'res_raw_86001519'!$D$2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'res_raw_86001519'!$F$3</f>
        <v/>
      </c>
      <c r="C6" s="24">
        <f>'res_raw_86001519'!$E$3</f>
        <v/>
      </c>
      <c r="D6" s="24">
        <f>'res_raw_86001519'!$D$3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-'res_raw_86001519'!$F$4</f>
        <v/>
      </c>
      <c r="C7" s="24">
        <f>-'res_raw_86001519'!$E$4</f>
        <v/>
      </c>
      <c r="D7" s="24">
        <f>-'res_raw_86001519'!$D$4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-'res_raw_86001519'!$F$5</f>
        <v/>
      </c>
      <c r="C8" s="24">
        <f>-'res_raw_86001519'!$E$5</f>
        <v/>
      </c>
      <c r="D8" s="24">
        <f>-'res_raw_86001519'!$D$5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IF(COUNT('res_raw_86001519'!$F$2,'res_raw_86001519'!$F$3,'res_raw_86001519'!$F$4,'res_raw_86001519'!$F$5)=0,'res_raw_86001519'!$F$6,SUM(B5:B8))</f>
        <v/>
      </c>
      <c r="C9" s="27">
        <f>IF(COUNT('res_raw_86001519'!$E$2,'res_raw_86001519'!$E$3,'res_raw_86001519'!$E$4,'res_raw_86001519'!$E$5)=0,'res_raw_86001519'!$E$6,SUM(C5:C8))</f>
        <v/>
      </c>
      <c r="D9" s="27">
        <f>IF(COUNT('res_raw_86001519'!$D$2,'res_raw_86001519'!$D$3,'res_raw_86001519'!$D$4,'res_raw_86001519'!$D$5)=0,'res_raw_86001519'!$D$6,SUM(D5:D8))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-'res_raw_86001519'!$F$7</f>
        <v/>
      </c>
      <c r="C10" s="24">
        <f>-'res_raw_86001519'!$E$7</f>
        <v/>
      </c>
      <c r="D10" s="24">
        <f>-'res_raw_86001519'!$D$7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-'res_raw_86001519'!$F$9</f>
        <v/>
      </c>
      <c r="C11" s="24">
        <f>-'res_raw_86001519'!$E$9</f>
        <v/>
      </c>
      <c r="D11" s="24">
        <f>-'res_raw_86001519'!$D$9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-'res_raw_86001519'!$F$10</f>
        <v/>
      </c>
      <c r="C12" s="24">
        <f>-'res_raw_86001519'!$E$10</f>
        <v/>
      </c>
      <c r="D12" s="24">
        <f>-'res_raw_86001519'!$D$10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N('res_raw_86001519'!$F$12)+N('res_raw_86001519'!$F$13)</f>
        <v/>
      </c>
      <c r="C14" s="24">
        <f>N('res_raw_86001519'!$E$12)+N('res_raw_86001519'!$E$13)</f>
        <v/>
      </c>
      <c r="D14" s="24">
        <f>N('res_raw_86001519'!$D$12)+N('res_raw_86001519'!$D$13)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-'res_raw_86001519'!$F$14</f>
        <v/>
      </c>
      <c r="C15" s="24">
        <f>-'res_raw_86001519'!$E$14</f>
        <v/>
      </c>
      <c r="D15" s="24">
        <f>-'res_raw_86001519'!$D$14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'balance_raw_86001519'!$F$15</f>
        <v/>
      </c>
      <c r="C19" s="24">
        <f>'balance_raw_86001519'!$E$15</f>
        <v/>
      </c>
      <c r="D19" s="24">
        <f>'balance_raw_86001519'!$D$15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'balance_raw_86001519'!$F$30</f>
        <v/>
      </c>
      <c r="C20" s="24">
        <f>'balance_raw_86001519'!$E$30</f>
        <v/>
      </c>
      <c r="D20" s="24">
        <f>'balance_raw_86001519'!$D$30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'balance_raw_86001519'!$F$38</f>
        <v/>
      </c>
      <c r="C23" s="24">
        <f>'balance_raw_86001519'!$E$38</f>
        <v/>
      </c>
      <c r="D23" s="24">
        <f>'balance_raw_86001519'!$D$38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'balance_raw_86001519'!$F$59-'balance_raw_86001519'!$F$38</f>
        <v/>
      </c>
      <c r="C24" s="24">
        <f>'balance_raw_86001519'!$E$59-'balance_raw_86001519'!$E$38</f>
        <v/>
      </c>
      <c r="D24" s="24">
        <f>'balance_raw_86001519'!$D$59-'balance_raw_86001519'!$D$38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'balance_raw_86001519'!$F$19</f>
        <v/>
      </c>
      <c r="C28" s="24">
        <f>'balance_raw_86001519'!$E$19</f>
        <v/>
      </c>
      <c r="D28" s="24">
        <f>'balance_raw_86001519'!$D$19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'balance_raw_86001519'!$F$20</f>
        <v/>
      </c>
      <c r="C29" s="24">
        <f>'balance_raw_86001519'!$E$20</f>
        <v/>
      </c>
      <c r="D29" s="24">
        <f>'balance_raw_86001519'!$D$20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'balance_raw_86001519'!$F$57</f>
        <v/>
      </c>
      <c r="C30" s="24">
        <f>'balance_raw_86001519'!$E$57</f>
        <v/>
      </c>
      <c r="D30" s="24">
        <f>'balance_raw_86001519'!$D$57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IF('balance_raw_86001519'!$F$31="","—",IF(ABS(B21-'balance_raw_86001519'!$F$31)&lt;=1,"✓ OK","❌ "&amp;TEXT(B21-'balance_raw_86001519'!$F$31,"+#,##0;-#,##0")&amp;" t.kr."))</f>
        <v/>
      </c>
      <c r="C61" s="29">
        <f>IF('balance_raw_86001519'!$E$31="","—",IF(ABS(C21-'balance_raw_86001519'!$E$31)&lt;=1,"✓ OK","❌ "&amp;TEXT(C21-'balance_raw_86001519'!$E$31,"+#,##0;-#,##0")&amp;" t.kr."))</f>
        <v/>
      </c>
      <c r="D61" s="29">
        <f>IF('balance_raw_86001519'!$D$31="","—",IF(ABS(D21-'balance_raw_86001519'!$D$31)&lt;=1,"✓ OK","❌ "&amp;TEXT(D21-'balance_raw_86001519'!$D$31,"+#,##0;-#,##0")&amp;"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IF('balance_raw_86001519'!$F$59="","—",IF(ABS(B25-'balance_raw_86001519'!$F$59)&lt;=1,"✓ OK","❌ "&amp;TEXT(B25-'balance_raw_86001519'!$F$59,"+#,##0;-#,##0")&amp;" t.kr."))</f>
        <v/>
      </c>
      <c r="C62" s="29">
        <f>IF('balance_raw_86001519'!$E$59="","—",IF(ABS(C25-'balance_raw_86001519'!$E$59)&lt;=1,"✓ OK","❌ "&amp;TEXT(C25-'balance_raw_86001519'!$E$59,"+#,##0;-#,##0")&amp;" t.kr."))</f>
        <v/>
      </c>
      <c r="D62" s="29">
        <f>IF('balance_raw_86001519'!$D$59="","—",IF(ABS(D25-'balance_raw_86001519'!$D$59)&lt;=1,"✓ OK","❌ "&amp;TEXT(D25-'balance_raw_86001519'!$D$59,"+#,##0;-#,##0")&amp;"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IF('res_raw_86001519'!$F$6="","—",IF(ABS(B9-'res_raw_86001519'!$F$6)&lt;=1,"✓ OK","❌ "&amp;TEXT(B9-'res_raw_86001519'!$F$6,"+#,##0;-#,##0")&amp;" t.kr."))</f>
        <v/>
      </c>
      <c r="C64" s="29">
        <f>IF('res_raw_86001519'!$E$6="","—",IF(ABS(C9-'res_raw_86001519'!$E$6)&lt;=1,"✓ OK","❌ "&amp;TEXT(C9-'res_raw_86001519'!$E$6,"+#,##0;-#,##0")&amp;" t.kr."))</f>
        <v/>
      </c>
      <c r="D64" s="29">
        <f>IF('res_raw_86001519'!$D$6="","—",IF(ABS(D9-'res_raw_86001519'!$D$6)&lt;=1,"✓ OK","❌ "&amp;TEXT(D9-'res_raw_86001519'!$D$6,"+#,##0;-#,##0")&amp;"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IF('res_raw_86001519'!$F$11="","—",IF(ABS(B13-'res_raw_86001519'!$F$11)&lt;=1,"✓ OK","❌ "&amp;TEXT(B13-'res_raw_86001519'!$F$11,"+#,##0;-#,##0")&amp;" t.kr."))</f>
        <v/>
      </c>
      <c r="C65" s="29">
        <f>IF('res_raw_86001519'!$E$11="","—",IF(ABS(C13-'res_raw_86001519'!$E$11)&lt;=1,"✓ OK","❌ "&amp;TEXT(C13-'res_raw_86001519'!$E$11,"+#,##0;-#,##0")&amp;" t.kr."))</f>
        <v/>
      </c>
      <c r="D65" s="29">
        <f>IF('res_raw_86001519'!$D$11="","—",IF(ABS(D13-'res_raw_86001519'!$D$11)&lt;=1,"✓ OK","❌ "&amp;TEXT(D13-'res_raw_86001519'!$D$11,"+#,##0;-#,##0")&amp;"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IF('res_raw_86001519'!$F$16="","—",IF(ABS(B16-'res_raw_86001519'!$F$16)&lt;=1,"✓ OK","❌ "&amp;TEXT(B16-'res_raw_86001519'!$F$16,"+#,##0;-#,##0")&amp;" t.kr."))</f>
        <v/>
      </c>
      <c r="C66" s="29">
        <f>IF('res_raw_86001519'!$E$16="","—",IF(ABS(C16-'res_raw_86001519'!$E$16)&lt;=1,"✓ OK","❌ "&amp;TEXT(C16-'res_raw_86001519'!$E$16,"+#,##0;-#,##0")&amp;" t.kr."))</f>
        <v/>
      </c>
      <c r="D66" s="29">
        <f>IF('res_raw_86001519'!$D$16="","—",IF(ABS(D16-'res_raw_86001519'!$D$16)&lt;=1,"✓ OK","❌ "&amp;TEXT(D16-'res_raw_86001519'!$D$16,"+#,##0;-#,##0")&amp;"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Lars Larsen Group (CVR 86001519)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2001000</v>
      </c>
      <c r="E3" s="35" t="n">
        <v>1826000</v>
      </c>
      <c r="F3" s="35" t="n">
        <v>3739000</v>
      </c>
      <c r="G3" s="35" t="n">
        <v>82000</v>
      </c>
      <c r="H3" s="35" t="n">
        <v>11000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/>
      <c r="E4" s="38" t="n"/>
      <c r="F4" s="38" t="n"/>
      <c r="G4" s="38" t="n">
        <v>3575000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fsa:DepositsShorttermLiabilitiesOtherThanProvisions</t>
        </is>
      </c>
      <c r="C5" s="34" t="inlineStr">
        <is>
          <t>fsa:DepositsShorttermLiabilitiesOtherThanProvisions</t>
        </is>
      </c>
      <c r="D5" s="35" t="n">
        <v>41000</v>
      </c>
      <c r="E5" s="35" t="n">
        <v>31000</v>
      </c>
      <c r="F5" s="35" t="n">
        <v>20000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fsa:Dividend</t>
        </is>
      </c>
      <c r="C6" s="37" t="inlineStr">
        <is>
          <t>fsa:Dividend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fsa:ExtraordinaryDistributionsStatementOfChangesInEquity</t>
        </is>
      </c>
      <c r="C7" s="34" t="inlineStr">
        <is>
          <t>fsa:ExtraordinaryDistributionsStatementOfChangesInEquity</t>
        </is>
      </c>
      <c r="D7" s="35" t="n"/>
      <c r="E7" s="35" t="n"/>
      <c r="F7" s="35" t="n"/>
      <c r="G7" s="35" t="n"/>
      <c r="H7" s="35" t="n">
        <v>-25000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fsa:IncomeFromOtherLongtermInvestmentsAndReceivables</t>
        </is>
      </c>
      <c r="C8" s="37" t="inlineStr">
        <is>
          <t>fsa:IncomeFromOtherLongtermInvestmentsAndReceivables</t>
        </is>
      </c>
      <c r="D8" s="38" t="n">
        <v>51000</v>
      </c>
      <c r="E8" s="38" t="n">
        <v>231000</v>
      </c>
      <c r="F8" s="38" t="n">
        <v>-23000</v>
      </c>
      <c r="G8" s="38" t="n">
        <v>41000</v>
      </c>
      <c r="H8" s="38" t="n">
        <v>103000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fsa:ProvisionsForInvestmentsInGroupEnterprises</t>
        </is>
      </c>
      <c r="C9" s="34" t="inlineStr">
        <is>
          <t>fsa:ProvisionsForInvestmentsInGroupEnterprises</t>
        </is>
      </c>
      <c r="D9" s="35" t="n">
        <v>0</v>
      </c>
      <c r="E9" s="35" t="n">
        <v>0</v>
      </c>
      <c r="F9" s="35" t="n">
        <v>0</v>
      </c>
      <c r="G9" s="35" t="n">
        <v>204000</v>
      </c>
      <c r="H9" s="35" t="n">
        <v>144000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>
        <v>-2668000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fsa:RaisingOfMortgageDebt</t>
        </is>
      </c>
      <c r="C11" s="34" t="inlineStr">
        <is>
          <t>fsa:RaisingOfMortgageDebt</t>
        </is>
      </c>
      <c r="D11" s="35" t="n"/>
      <c r="E11" s="35" t="n"/>
      <c r="F11" s="35" t="n"/>
      <c r="G11" s="35" t="n">
        <v>160000</v>
      </c>
      <c r="H11" s="35" t="n">
        <v>235000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fsa:RepaymentOfMortgageDebt</t>
        </is>
      </c>
      <c r="C12" s="37" t="inlineStr">
        <is>
          <t>fsa:RepaymentOfMortgageDebt</t>
        </is>
      </c>
      <c r="D12" s="38" t="n">
        <v>54000</v>
      </c>
      <c r="E12" s="38" t="n">
        <v>61000</v>
      </c>
      <c r="F12" s="38" t="n">
        <v>108000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fsa:ReserveForCurrentValueAdjustmentsOfCurrencyGains</t>
        </is>
      </c>
      <c r="C13" s="34" t="inlineStr">
        <is>
          <t>fsa:ReserveForCurrentValueAdjustmentsOfCurrencyGains</t>
        </is>
      </c>
      <c r="D13" s="35" t="n">
        <v>19000</v>
      </c>
      <c r="E13" s="35" t="n">
        <v>-338000</v>
      </c>
      <c r="F13" s="35" t="n">
        <v>1000</v>
      </c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fsa:SaleOfMinorityShares</t>
        </is>
      </c>
      <c r="C14" s="37" t="inlineStr">
        <is>
          <t>fsa:SaleOfMinorityShares</t>
        </is>
      </c>
      <c r="D14" s="38" t="n"/>
      <c r="E14" s="38" t="n"/>
      <c r="F14" s="38" t="n">
        <v>-511000</v>
      </c>
      <c r="G14" s="38" t="n"/>
      <c r="H14" s="38" t="n">
        <v>-8000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fsa:SaleOfOtherCompany</t>
        </is>
      </c>
      <c r="C15" s="34" t="inlineStr">
        <is>
          <t>fsa:SaleOfOtherCompany</t>
        </is>
      </c>
      <c r="D15" s="35" t="n">
        <v>0</v>
      </c>
      <c r="E15" s="35" t="n">
        <v>549000</v>
      </c>
      <c r="F15" s="35" t="n">
        <v>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fsa:ShorttermPayablesToAssociates</t>
        </is>
      </c>
      <c r="C16" s="37" t="inlineStr">
        <is>
          <t>fsa:ShorttermPayablesToAssociates</t>
        </is>
      </c>
      <c r="D16" s="38" t="n">
        <v>1230000</v>
      </c>
      <c r="E16" s="38" t="n">
        <v>628000</v>
      </c>
      <c r="F16" s="38" t="n">
        <v>0</v>
      </c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fsa:TransferredToFromMinorityInterests</t>
        </is>
      </c>
      <c r="C17" s="34" t="inlineStr">
        <is>
          <t>fsa:TransferredToFromMinorityInterests</t>
        </is>
      </c>
      <c r="D17" s="35" t="n"/>
      <c r="E17" s="35" t="n">
        <v>154000</v>
      </c>
      <c r="F17" s="35" t="n">
        <v>72000</v>
      </c>
      <c r="G17" s="35" t="n">
        <v>-2000</v>
      </c>
      <c r="H17" s="35" t="n">
        <v>-3000</v>
      </c>
      <c r="I1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2026-09-27T21:18:39Z</dcterms:created>
  <dcterms:modified xmlns:dcterms="http://purl.org/dc/terms/" xmlns:xsi="http://www.w3.org/2001/XMLSchema-instance" xsi:type="dcterms:W3CDTF">2026-09-27T21:18:39Z</dcterms:modified>
</cp:coreProperties>
</file>