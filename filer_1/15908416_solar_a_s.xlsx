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solar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4" t="inlineStr">
        <is>
          <t>Personaleomkostninger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7" t="inlineStr">
        <is>
          <t>Resultat af primær drift</t>
        </is>
      </c>
      <c r="B13" s="8">
        <f>'res_raw'!$B$11</f>
        <v/>
      </c>
      <c r="C13" s="8">
        <f>'res_raw'!$C$11</f>
        <v/>
      </c>
      <c r="D13" s="8">
        <f>'res_raw'!$D$11</f>
        <v/>
      </c>
      <c r="E13" s="8">
        <f>'res_raw'!$E$11</f>
        <v/>
      </c>
      <c r="F13" s="8">
        <f>'res_raw'!$F$11</f>
        <v/>
      </c>
      <c r="G13" t="inlineStr"/>
      <c r="H13" s="9">
        <f>IFERROR(B13/$B$13*100,"")</f>
        <v/>
      </c>
      <c r="I13" s="9">
        <f>IFERROR(C13/$B$13*100,"")</f>
        <v/>
      </c>
      <c r="J13" s="9">
        <f>IFERROR(D13/$B$13*100,"")</f>
        <v/>
      </c>
      <c r="K13" s="9">
        <f>IFERROR(E13/$B$13*100,"")</f>
        <v/>
      </c>
      <c r="L13" s="9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indtægter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7" t="inlineStr">
        <is>
          <t>Finansielle poster, netto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7" t="inlineStr">
        <is>
          <t>Resultat før skat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19" ht="16" customHeight="1">
      <c r="A19" s="10" t="inlineStr">
        <is>
          <t>Skat af årets resultat</t>
        </is>
      </c>
      <c r="B19" s="11">
        <f>'res_raw'!$B$17</f>
        <v/>
      </c>
      <c r="C19" s="11">
        <f>'res_raw'!$C$17</f>
        <v/>
      </c>
      <c r="D19" s="11">
        <f>'res_raw'!$D$17</f>
        <v/>
      </c>
      <c r="E19" s="11">
        <f>'res_raw'!$E$17</f>
        <v/>
      </c>
      <c r="F19" s="11">
        <f>'res_raw'!$F$17</f>
        <v/>
      </c>
      <c r="G19" t="inlineStr"/>
      <c r="H19" s="12">
        <f>IFERROR(B19/$B$19*100,"")</f>
        <v/>
      </c>
      <c r="I19" s="12">
        <f>IFERROR(C19/$B$19*100,"")</f>
        <v/>
      </c>
      <c r="J19" s="12">
        <f>IFERROR(D19/$B$19*100,"")</f>
        <v/>
      </c>
      <c r="K19" s="12">
        <f>IFERROR(E19/$B$19*100,"")</f>
        <v/>
      </c>
      <c r="L19" s="12">
        <f>IFERROR(F19/$B$19*100,"")</f>
        <v/>
      </c>
    </row>
    <row r="20" ht="16" customHeight="1">
      <c r="A20" s="7" t="inlineStr">
        <is>
          <t>Årets resultat</t>
        </is>
      </c>
      <c r="B20" s="8">
        <f>'res_raw'!$B$18</f>
        <v/>
      </c>
      <c r="C20" s="8">
        <f>'res_raw'!$C$18</f>
        <v/>
      </c>
      <c r="D20" s="8">
        <f>'res_raw'!$D$18</f>
        <v/>
      </c>
      <c r="E20" s="8">
        <f>'res_raw'!$E$18</f>
        <v/>
      </c>
      <c r="F20" s="8">
        <f>'res_raw'!$F$18</f>
        <v/>
      </c>
      <c r="G20" t="inlineStr"/>
      <c r="H20" s="9">
        <f>IFERROR(B20/$B$20*100,"")</f>
        <v/>
      </c>
      <c r="I20" s="9">
        <f>IFERROR(C20/$B$20*100,"")</f>
        <v/>
      </c>
      <c r="J20" s="9">
        <f>IFERROR(D20/$B$20*100,"")</f>
        <v/>
      </c>
      <c r="K20" s="9">
        <f>IFERROR(E20/$B$20*100,"")</f>
        <v/>
      </c>
      <c r="L20" s="9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Immaterielle anlægsaktiver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7" t="inlineStr">
        <is>
          <t>Materielle anlægsaktiver</t>
        </is>
      </c>
      <c r="B24" s="8">
        <f>'balance_raw'!$B$3</f>
        <v/>
      </c>
      <c r="C24" s="8">
        <f>'balance_raw'!$C$3</f>
        <v/>
      </c>
      <c r="D24" s="8">
        <f>'balance_raw'!$D$3</f>
        <v/>
      </c>
      <c r="E24" s="8">
        <f>'balance_raw'!$E$3</f>
        <v/>
      </c>
      <c r="F24" s="8">
        <f>'balance_raw'!$F$3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Kapitalandele, dattervirksomheder</t>
        </is>
      </c>
      <c r="B25" s="11">
        <f>'balance_raw'!$B$4</f>
        <v/>
      </c>
      <c r="C25" s="11">
        <f>'balance_raw'!$C$4</f>
        <v/>
      </c>
      <c r="D25" s="11">
        <f>'balance_raw'!$D$4</f>
        <v/>
      </c>
      <c r="E25" s="11">
        <f>'balance_raw'!$E$4</f>
        <v/>
      </c>
      <c r="F25" s="11">
        <f>'balance_raw'!$F$4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Finansielle anlægsaktiver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Anlægsaktiver</t>
        </is>
      </c>
      <c r="B28" s="8">
        <f>'balance_raw'!$B$7</f>
        <v/>
      </c>
      <c r="C28" s="8">
        <f>'balance_raw'!$C$7</f>
        <v/>
      </c>
      <c r="D28" s="8">
        <f>'balance_raw'!$D$7</f>
        <v/>
      </c>
      <c r="E28" s="8">
        <f>'balance_raw'!$E$7</f>
        <v/>
      </c>
      <c r="F28" s="8">
        <f>'balance_raw'!$F$7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Varebeholdninger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Tilgodehavender hos tilknyttede virksomheder</t>
        </is>
      </c>
      <c r="B31" s="11">
        <f>'balance_raw'!$B$10</f>
        <v/>
      </c>
      <c r="C31" s="11">
        <f>'balance_raw'!$C$10</f>
        <v/>
      </c>
      <c r="D31" s="11">
        <f>'balance_raw'!$D$10</f>
        <v/>
      </c>
      <c r="E31" s="11">
        <f>'balance_raw'!$E$10</f>
        <v/>
      </c>
      <c r="F31" s="11">
        <f>'balance_raw'!$F$10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Periodeafgrænsningsposter (aktiver)</t>
        </is>
      </c>
      <c r="B33" s="11">
        <f>'balance_raw'!$B$12</f>
        <v/>
      </c>
      <c r="C33" s="11">
        <f>'balance_raw'!$C$12</f>
        <v/>
      </c>
      <c r="D33" s="11">
        <f>'balance_raw'!$D$12</f>
        <v/>
      </c>
      <c r="E33" s="11">
        <f>'balance_raw'!$E$12</f>
        <v/>
      </c>
      <c r="F33" s="11">
        <f>'balance_raw'!$F$12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 skat hos tilknyttede virksomheder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Tilgodehavender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Værdipapirer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Likvide beholdninger</t>
        </is>
      </c>
      <c r="B39" s="11">
        <f>'balance_raw'!$B$18</f>
        <v/>
      </c>
      <c r="C39" s="11">
        <f>'balance_raw'!$C$18</f>
        <v/>
      </c>
      <c r="D39" s="11">
        <f>'balance_raw'!$D$18</f>
        <v/>
      </c>
      <c r="E39" s="11">
        <f>'balance_raw'!$E$18</f>
        <v/>
      </c>
      <c r="F39" s="11">
        <f>'balance_raw'!$F$18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Omsætningsaktiver</t>
        </is>
      </c>
      <c r="B40" s="8">
        <f>'balance_raw'!$B$19</f>
        <v/>
      </c>
      <c r="C40" s="8">
        <f>'balance_raw'!$C$19</f>
        <v/>
      </c>
      <c r="D40" s="8">
        <f>'balance_raw'!$D$19</f>
        <v/>
      </c>
      <c r="E40" s="8">
        <f>'balance_raw'!$E$19</f>
        <v/>
      </c>
      <c r="F40" s="8">
        <f>'balance_raw'!$F$19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7" t="inlineStr">
        <is>
          <t>Aktiver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nettoopskrivning (indre værdis metode)</t>
        </is>
      </c>
      <c r="B45" s="11">
        <f>'balance_raw'!$B$22</f>
        <v/>
      </c>
      <c r="C45" s="11">
        <f>'balance_raw'!$C$22</f>
        <v/>
      </c>
      <c r="D45" s="11">
        <f>'balance_raw'!$D$22</f>
        <v/>
      </c>
      <c r="E45" s="11">
        <f>'balance_raw'!$E$22</f>
        <v/>
      </c>
      <c r="F45" s="11">
        <f>'balance_raw'!$F$22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sikringstransaktioner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Andre reserver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Overført resultat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Egenkapital i alt</t>
        </is>
      </c>
      <c r="B50" s="8">
        <f>'balance_raw'!$B$27</f>
        <v/>
      </c>
      <c r="C50" s="8">
        <f>'balance_raw'!$C$27</f>
        <v/>
      </c>
      <c r="D50" s="8">
        <f>'balance_raw'!$D$27</f>
        <v/>
      </c>
      <c r="E50" s="8">
        <f>'balance_raw'!$E$27</f>
        <v/>
      </c>
      <c r="F50" s="8">
        <f>'balance_raw'!$F$27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Hensættelse til udskudt skat</t>
        </is>
      </c>
      <c r="B51" s="11">
        <f>'balance_raw'!$B$28</f>
        <v/>
      </c>
      <c r="C51" s="11">
        <f>'balance_raw'!$C$28</f>
        <v/>
      </c>
      <c r="D51" s="11">
        <f>'balance_raw'!$D$28</f>
        <v/>
      </c>
      <c r="E51" s="11">
        <f>'balance_raw'!$E$28</f>
        <v/>
      </c>
      <c r="F51" s="11">
        <f>'balance_raw'!$F$28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7" t="inlineStr">
        <is>
          <t>Hensatte forpligtelser</t>
        </is>
      </c>
      <c r="B52" s="8">
        <f>'balance_raw'!$B$29</f>
        <v/>
      </c>
      <c r="C52" s="8">
        <f>'balance_raw'!$C$29</f>
        <v/>
      </c>
      <c r="D52" s="8">
        <f>'balance_raw'!$D$29</f>
        <v/>
      </c>
      <c r="E52" s="8">
        <f>'balance_raw'!$E$29</f>
        <v/>
      </c>
      <c r="F52" s="8">
        <f>'balance_raw'!$F$29</f>
        <v/>
      </c>
      <c r="G52" t="inlineStr"/>
      <c r="H52" s="9">
        <f>IFERROR(B52/$B$52*100,"")</f>
        <v/>
      </c>
      <c r="I52" s="9">
        <f>IFERROR(C52/$B$52*100,"")</f>
        <v/>
      </c>
      <c r="J52" s="9">
        <f>IFERROR(D52/$B$52*100,"")</f>
        <v/>
      </c>
      <c r="K52" s="9">
        <f>IFERROR(E52/$B$52*100,"")</f>
        <v/>
      </c>
      <c r="L52" s="9">
        <f>IFERROR(F52/$B$52*100,"")</f>
        <v/>
      </c>
    </row>
    <row r="53" ht="16" customHeight="1">
      <c r="A53" s="10" t="inlineStr">
        <is>
          <t>Ansvarlig lånekapital (langfristet)</t>
        </is>
      </c>
      <c r="B53" s="11">
        <f>'balance_raw'!$B$30</f>
        <v/>
      </c>
      <c r="C53" s="11">
        <f>'balance_raw'!$C$30</f>
        <v/>
      </c>
      <c r="D53" s="11">
        <f>'balance_raw'!$D$30</f>
        <v/>
      </c>
      <c r="E53" s="11">
        <f>'balance_raw'!$E$30</f>
        <v/>
      </c>
      <c r="F53" s="11">
        <f>'balance_raw'!$F$30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Langfristede lån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Leasingforpligtelser (langfristet)</t>
        </is>
      </c>
      <c r="B55" s="11">
        <f>'balance_raw'!$B$32</f>
        <v/>
      </c>
      <c r="C55" s="11">
        <f>'balance_raw'!$C$32</f>
        <v/>
      </c>
      <c r="D55" s="11">
        <f>'balance_raw'!$D$32</f>
        <v/>
      </c>
      <c r="E55" s="11">
        <f>'balance_raw'!$E$32</f>
        <v/>
      </c>
      <c r="F55" s="11">
        <f>'balance_raw'!$F$32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Anden gæld (langfristet)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gældsforpligtelser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(kortfristet)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Kortfristet del af langfristede gældsforpligtelser</t>
        </is>
      </c>
      <c r="B59" s="11">
        <f>'balance_raw'!$B$36</f>
        <v/>
      </c>
      <c r="C59" s="11">
        <f>'balance_raw'!$C$36</f>
        <v/>
      </c>
      <c r="D59" s="11">
        <f>'balance_raw'!$D$36</f>
        <v/>
      </c>
      <c r="E59" s="11">
        <f>'balance_raw'!$E$36</f>
        <v/>
      </c>
      <c r="F59" s="11">
        <f>'balance_raw'!$F$36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Kreditinstitutter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(kortfristet)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Leverandører af varer og tjenesteydelser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tilknyttede virksomheder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selskabsdeltagere og ledelse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Selskabsskat</t>
        </is>
      </c>
      <c r="B65" s="11">
        <f>'balance_raw'!$B$42</f>
        <v/>
      </c>
      <c r="C65" s="11">
        <f>'balance_raw'!$C$42</f>
        <v/>
      </c>
      <c r="D65" s="11">
        <f>'balance_raw'!$D$42</f>
        <v/>
      </c>
      <c r="E65" s="11">
        <f>'balance_raw'!$E$42</f>
        <v/>
      </c>
      <c r="F65" s="11">
        <f>'balance_raw'!$F$42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 vedr. selskabsskat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Anden gæld (kortfristet)</t>
        </is>
      </c>
      <c r="B67" s="11">
        <f>'balance_raw'!$B$44</f>
        <v/>
      </c>
      <c r="C67" s="11">
        <f>'balance_raw'!$C$44</f>
        <v/>
      </c>
      <c r="D67" s="11">
        <f>'balance_raw'!$D$44</f>
        <v/>
      </c>
      <c r="E67" s="11">
        <f>'balance_raw'!$E$44</f>
        <v/>
      </c>
      <c r="F67" s="11">
        <f>'balance_raw'!$F$44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Periodeafgrænsningsposter (passiver)</t>
        </is>
      </c>
      <c r="B68" s="5">
        <f>'balance_raw'!$B$45</f>
        <v/>
      </c>
      <c r="C68" s="5">
        <f>'balance_raw'!$C$45</f>
        <v/>
      </c>
      <c r="D68" s="5">
        <f>'balance_raw'!$D$45</f>
        <v/>
      </c>
      <c r="E68" s="5">
        <f>'balance_raw'!$E$45</f>
        <v/>
      </c>
      <c r="F68" s="5">
        <f>'balance_raw'!$F$45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Kortfristede gældsforpligtelser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7" t="inlineStr">
        <is>
          <t>Gældsforpligtelser</t>
        </is>
      </c>
      <c r="B70" s="8">
        <f>'balance_raw'!$B$47</f>
        <v/>
      </c>
      <c r="C70" s="8">
        <f>'balance_raw'!$C$47</f>
        <v/>
      </c>
      <c r="D70" s="8">
        <f>'balance_raw'!$D$47</f>
        <v/>
      </c>
      <c r="E70" s="8">
        <f>'balance_raw'!$E$47</f>
        <v/>
      </c>
      <c r="F70" s="8">
        <f>'balance_raw'!$F$47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Passiver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3" ht="22" customHeight="1">
      <c r="A73" s="3" t="inlineStr">
        <is>
          <t>NØGLEOPLYSNINGER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Gns. antal medarbejdere</t>
        </is>
      </c>
      <c r="B74" s="5">
        <f>'res_raw'!$B$19</f>
        <v/>
      </c>
      <c r="C74" s="5">
        <f>'res_raw'!$C$19</f>
        <v/>
      </c>
      <c r="D74" s="5">
        <f>'res_raw'!$D$19</f>
        <v/>
      </c>
      <c r="E74" s="5">
        <f>'res_raw'!$E$19</f>
        <v/>
      </c>
      <c r="F74" s="5">
        <f>'res_raw'!$F$19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Investering i materielle anlægsaktiver</t>
        </is>
      </c>
      <c r="B75" s="11">
        <f>'res_raw'!$B$20</f>
        <v/>
      </c>
      <c r="C75" s="11">
        <f>'res_raw'!$C$20</f>
        <v/>
      </c>
      <c r="D75" s="11">
        <f>'res_raw'!$D$20</f>
        <v/>
      </c>
      <c r="E75" s="11">
        <f>'res_raw'!$E$20</f>
        <v/>
      </c>
      <c r="F75" s="11">
        <f>'res_raw'!$F$20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NØGLETAL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Afkastningsgrad, %</t>
        </is>
      </c>
      <c r="B78" s="13">
        <f>IFERROR(($B$13+$B$15+$B$14)/$B$41*100,"")</f>
        <v/>
      </c>
      <c r="C78" s="13">
        <f>IFERROR(($C$13+$C$15+$C$14)/$C$41*100,"")</f>
        <v/>
      </c>
      <c r="D78" s="13">
        <f>IFERROR(($D$13+$D$15+$D$14)/$D$41*100,"")</f>
        <v/>
      </c>
      <c r="E78" s="13">
        <f>IFERROR(($E$13+$E$15+$E$14)/$E$41*100,"")</f>
        <v/>
      </c>
      <c r="F78" s="13">
        <f>IFERROR(($F$13+$F$15+$F$14)/$F$41*100,"")</f>
        <v/>
      </c>
    </row>
    <row r="79" ht="16" customHeight="1">
      <c r="A79" s="10" t="inlineStr">
        <is>
          <t>Overskudsgrad, %</t>
        </is>
      </c>
      <c r="B79" s="14">
        <f>IFERROR(($B$13+$B$15+$B$14)/$B$4*100,"")</f>
        <v/>
      </c>
      <c r="C79" s="14">
        <f>IFERROR(($C$13+$C$15+$C$14)/$C$4*100,"")</f>
        <v/>
      </c>
      <c r="D79" s="14">
        <f>IFERROR(($D$13+$D$15+$D$14)/$D$4*100,"")</f>
        <v/>
      </c>
      <c r="E79" s="14">
        <f>IFERROR(($E$13+$E$15+$E$14)/$E$4*100,"")</f>
        <v/>
      </c>
      <c r="F79" s="14">
        <f>IFERROR(($F$13+$F$15+$F$14)/$F$4*100,"")</f>
        <v/>
      </c>
    </row>
    <row r="80" ht="16" customHeight="1">
      <c r="A80" s="4" t="inlineStr">
        <is>
          <t>Aktivernes omsætningshastighed, gange</t>
        </is>
      </c>
      <c r="B80" s="13">
        <f>IFERROR($B$4/$B$41,"")</f>
        <v/>
      </c>
      <c r="C80" s="13">
        <f>IFERROR($C$4/$C$41,"")</f>
        <v/>
      </c>
      <c r="D80" s="13">
        <f>IFERROR($D$4/$D$41,"")</f>
        <v/>
      </c>
      <c r="E80" s="13">
        <f>IFERROR($E$4/$E$41,"")</f>
        <v/>
      </c>
      <c r="F80" s="13">
        <f>IFERROR($F$4/$F$41,"")</f>
        <v/>
      </c>
    </row>
    <row r="81" ht="16" customHeight="1">
      <c r="A81" s="10" t="inlineStr">
        <is>
          <t>Egenkapitalens forrentning, %</t>
        </is>
      </c>
      <c r="B81" s="14">
        <f>IFERROR($B$18/$B$50*100,"")</f>
        <v/>
      </c>
      <c r="C81" s="14">
        <f>IFERROR($C$18/$C$50*100,"")</f>
        <v/>
      </c>
      <c r="D81" s="14">
        <f>IFERROR($D$18/$D$50*100,"")</f>
        <v/>
      </c>
      <c r="E81" s="14">
        <f>IFERROR($E$18/$E$50*100,"")</f>
        <v/>
      </c>
      <c r="F81" s="14">
        <f>IFERROR($F$18/$F$50*100,"")</f>
        <v/>
      </c>
    </row>
    <row r="82" ht="16" customHeight="1">
      <c r="A82" s="4" t="inlineStr">
        <is>
          <t>Gældsrente, %</t>
        </is>
      </c>
      <c r="B82" s="13">
        <f>IFERROR($B$16/($B$71-$B$50)*100,"")</f>
        <v/>
      </c>
      <c r="C82" s="13">
        <f>IFERROR($C$16/($C$71-$C$50)*100,"")</f>
        <v/>
      </c>
      <c r="D82" s="13">
        <f>IFERROR($D$16/($D$71-$D$50)*100,"")</f>
        <v/>
      </c>
      <c r="E82" s="13">
        <f>IFERROR($E$16/($E$71-$E$50)*100,"")</f>
        <v/>
      </c>
      <c r="F82" s="13">
        <f>IFERROR($F$16/($F$71-$F$50)*100,"")</f>
        <v/>
      </c>
    </row>
    <row r="83" ht="16" customHeight="1">
      <c r="A83" s="10" t="inlineStr">
        <is>
          <t>Soliditetsgrad, %</t>
        </is>
      </c>
      <c r="B83" s="14">
        <f>IFERROR($B$50/$B$41*100,"")</f>
        <v/>
      </c>
      <c r="C83" s="14">
        <f>IFERROR($C$50/$C$41*100,"")</f>
        <v/>
      </c>
      <c r="D83" s="14">
        <f>IFERROR($D$50/$D$41*100,"")</f>
        <v/>
      </c>
      <c r="E83" s="14">
        <f>IFERROR($E$50/$E$41*100,"")</f>
        <v/>
      </c>
      <c r="F83" s="14">
        <f>IFERROR($F$50/$F$41*100,"")</f>
        <v/>
      </c>
    </row>
    <row r="84" ht="16" customHeight="1">
      <c r="A84" s="4" t="inlineStr">
        <is>
          <t>Gearing</t>
        </is>
      </c>
      <c r="B84" s="13">
        <f>IFERROR(($B$71-$B$50)/$B$50,"")</f>
        <v/>
      </c>
      <c r="C84" s="13">
        <f>IFERROR(($C$71-$C$50)/$C$50,"")</f>
        <v/>
      </c>
      <c r="D84" s="13">
        <f>IFERROR(($D$71-$D$50)/$D$50,"")</f>
        <v/>
      </c>
      <c r="E84" s="13">
        <f>IFERROR(($E$71-$E$50)/$E$50,"")</f>
        <v/>
      </c>
      <c r="F84" s="13">
        <f>IFERROR(($F$71-$F$50)/$F$50,"")</f>
        <v/>
      </c>
    </row>
    <row r="85" ht="16" customHeight="1">
      <c r="A85" s="10" t="inlineStr">
        <is>
          <t>Likviditetsgrad, %</t>
        </is>
      </c>
      <c r="B85" s="14">
        <f>IFERROR($B$40/$B$69*100,"")</f>
        <v/>
      </c>
      <c r="C85" s="14">
        <f>IFERROR($C$40/$C$69*100,"")</f>
        <v/>
      </c>
      <c r="D85" s="14">
        <f>IFERROR($D$40/$D$69*100,"")</f>
        <v/>
      </c>
      <c r="E85" s="14">
        <f>IFERROR($E$40/$E$69*100,"")</f>
        <v/>
      </c>
      <c r="F85" s="14">
        <f>IFERROR($F$40/$F$69*100,"")</f>
        <v/>
      </c>
    </row>
    <row r="86" ht="16" customHeight="1">
      <c r="A86" s="4" t="inlineStr">
        <is>
          <t>Rentemarginal, %</t>
        </is>
      </c>
      <c r="B86" s="13">
        <f>IFERROR(B78-B82,"")</f>
        <v/>
      </c>
      <c r="C86" s="13">
        <f>IFERROR(C78-C82,"")</f>
        <v/>
      </c>
      <c r="D86" s="13">
        <f>IFERROR(D78-D82,"")</f>
        <v/>
      </c>
      <c r="E86" s="13">
        <f>IFERROR(E78-E82,"")</f>
        <v/>
      </c>
      <c r="F86" s="13">
        <f>IFERROR(F78-F82,"")</f>
        <v/>
      </c>
    </row>
    <row r="87" ht="16" customHeight="1">
      <c r="A87" s="10" t="inlineStr">
        <is>
          <t>Gældsandel, %</t>
        </is>
      </c>
      <c r="B87" s="14">
        <f>IFERROR(($B$71-$B$50)/$B$41*100,"")</f>
        <v/>
      </c>
      <c r="C87" s="14">
        <f>IFERROR(($C$71-$C$50)/$C$41*100,"")</f>
        <v/>
      </c>
      <c r="D87" s="14">
        <f>IFERROR(($D$71-$D$50)/$D$41*100,"")</f>
        <v/>
      </c>
      <c r="E87" s="14">
        <f>IFERROR(($E$71-$E$50)/$E$41*100,"")</f>
        <v/>
      </c>
      <c r="F87" s="14">
        <f>IFERROR(($F$71-$F$50)/$F$41*100,"")</f>
        <v/>
      </c>
    </row>
    <row r="88" ht="16" customHeight="1">
      <c r="A88" s="4" t="inlineStr">
        <is>
          <t>Kapitalbindingsgrad, %</t>
        </is>
      </c>
      <c r="B88" s="13">
        <f>IFERROR($B$28/($B$50+$B$57)*100,"")</f>
        <v/>
      </c>
      <c r="C88" s="13">
        <f>IFERROR($C$28/($C$50+$C$57)*100,"")</f>
        <v/>
      </c>
      <c r="D88" s="13">
        <f>IFERROR($D$28/($D$50+$D$57)*100,"")</f>
        <v/>
      </c>
      <c r="E88" s="13">
        <f>IFERROR($E$28/($E$50+$E$57)*100,"")</f>
        <v/>
      </c>
      <c r="F88" s="13">
        <f>IFERROR($F$28/($F$50+$F$57)*100,"")</f>
        <v/>
      </c>
    </row>
    <row r="90">
      <c r="A90" s="15" t="inlineStr">
        <is>
          <t>PENGESTRØMSOPGØRELSE t.kr.</t>
        </is>
      </c>
    </row>
    <row r="91">
      <c r="A91" s="16" t="inlineStr">
        <is>
          <t>Pengestrømme fra driftsaktivitet</t>
        </is>
      </c>
      <c r="B91" s="17">
        <f>'pengestrom_raw'!$B$2</f>
        <v/>
      </c>
      <c r="C91" s="17">
        <f>'pengestrom_raw'!$C$2</f>
        <v/>
      </c>
      <c r="D91" s="17">
        <f>'pengestrom_raw'!$D$2</f>
        <v/>
      </c>
      <c r="E91" s="17">
        <f>'pengestrom_raw'!$E$2</f>
        <v/>
      </c>
      <c r="F91" s="17">
        <f>'pengestrom_raw'!$F$2</f>
        <v/>
      </c>
    </row>
    <row r="92">
      <c r="A92" s="16" t="inlineStr">
        <is>
          <t>Pengestrømme fra investeringsaktivitet</t>
        </is>
      </c>
      <c r="B92" s="17">
        <f>'pengestrom_raw'!$B$3</f>
        <v/>
      </c>
      <c r="C92" s="17">
        <f>'pengestrom_raw'!$C$3</f>
        <v/>
      </c>
      <c r="D92" s="17">
        <f>'pengestrom_raw'!$D$3</f>
        <v/>
      </c>
      <c r="E92" s="17">
        <f>'pengestrom_raw'!$E$3</f>
        <v/>
      </c>
      <c r="F92" s="17">
        <f>'pengestrom_raw'!$F$3</f>
        <v/>
      </c>
    </row>
    <row r="93">
      <c r="A93" s="16" t="inlineStr">
        <is>
          <t>Pengestrømme fra finansieringsaktivitet</t>
        </is>
      </c>
      <c r="B93" s="17">
        <f>'pengestrom_raw'!$B$4</f>
        <v/>
      </c>
      <c r="C93" s="17">
        <f>'pengestrom_raw'!$C$4</f>
        <v/>
      </c>
      <c r="D93" s="17">
        <f>'pengestrom_raw'!$D$4</f>
        <v/>
      </c>
      <c r="E93" s="17">
        <f>'pengestrom_raw'!$E$4</f>
        <v/>
      </c>
      <c r="F93" s="17">
        <f>'pengestrom_raw'!$F$4</f>
        <v/>
      </c>
    </row>
    <row r="94">
      <c r="A94" s="16" t="inlineStr">
        <is>
          <t>Årets pengestrøm (rapporteret)</t>
        </is>
      </c>
      <c r="B94" s="17">
        <f>'pengestrom_raw'!$B$5</f>
        <v/>
      </c>
      <c r="C94" s="17">
        <f>'pengestrom_raw'!$C$5</f>
        <v/>
      </c>
      <c r="D94" s="17">
        <f>'pengestrom_raw'!$D$5</f>
        <v/>
      </c>
      <c r="E94" s="17">
        <f>'pengestrom_raw'!$E$5</f>
        <v/>
      </c>
      <c r="F94" s="17">
        <f>'pengestrom_raw'!$F$5</f>
        <v/>
      </c>
    </row>
    <row r="95">
      <c r="A95" s="16" t="inlineStr">
        <is>
          <t>Krydstjek: drift + inv. + fin. = årets pengestrøm</t>
        </is>
      </c>
      <c r="B95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5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5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5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5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solar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12354000</v>
      </c>
      <c r="C2" s="17" t="n">
        <v>13863000</v>
      </c>
      <c r="D2" s="17" t="n">
        <v>13031000</v>
      </c>
      <c r="E2" s="17" t="n">
        <v>12223000</v>
      </c>
      <c r="F2" s="17" t="n">
        <v>12171000</v>
      </c>
    </row>
    <row r="3">
      <c r="A3" s="16" t="inlineStr">
        <is>
          <t>Produktionsomkostninger</t>
        </is>
      </c>
      <c r="B3" s="17" t="n">
        <v>9581000</v>
      </c>
      <c r="C3" s="17" t="n">
        <v>10618000</v>
      </c>
      <c r="D3" s="17" t="n">
        <v>10101000</v>
      </c>
      <c r="E3" s="17" t="n">
        <v>9702000</v>
      </c>
      <c r="F3" s="17" t="n">
        <v>9692000</v>
      </c>
    </row>
    <row r="4">
      <c r="A4" s="15" t="inlineStr">
        <is>
          <t>Bruttoresultat</t>
        </is>
      </c>
      <c r="B4" s="17" t="n">
        <v>2773000</v>
      </c>
      <c r="C4" s="17" t="n">
        <v>3245000</v>
      </c>
      <c r="D4" s="17" t="n">
        <v>2930000</v>
      </c>
      <c r="E4" s="17" t="n">
        <v>2521000</v>
      </c>
      <c r="F4" s="17" t="n">
        <v>2479000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>
        <v>7000</v>
      </c>
      <c r="C8" s="17" t="n"/>
      <c r="D8" s="17" t="n">
        <v>0</v>
      </c>
      <c r="E8" s="17" t="n">
        <v>88000</v>
      </c>
      <c r="F8" s="17" t="n">
        <v>76000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Personaleomkostninger</t>
        </is>
      </c>
      <c r="B10" s="17" t="n">
        <v>1552000</v>
      </c>
      <c r="C10" s="17" t="n">
        <v>1656000</v>
      </c>
      <c r="D10" s="17" t="n">
        <v>1643000</v>
      </c>
      <c r="E10" s="17" t="n">
        <v>1580000</v>
      </c>
      <c r="F10" s="17" t="n">
        <v>1649000</v>
      </c>
    </row>
    <row r="11">
      <c r="A11" s="15" t="inlineStr">
        <is>
          <t>Resultat af primær drift</t>
        </is>
      </c>
      <c r="B11" s="17" t="n">
        <v>672000</v>
      </c>
      <c r="C11" s="17" t="n">
        <v>909000</v>
      </c>
      <c r="D11" s="17" t="n">
        <v>558000</v>
      </c>
      <c r="E11" s="17" t="n">
        <v>278000</v>
      </c>
      <c r="F11" s="17" t="n">
        <v>155000</v>
      </c>
    </row>
    <row r="12">
      <c r="A12" s="16" t="inlineStr">
        <is>
          <t>Indtægter af kapitalandele, dattervirksomheder</t>
        </is>
      </c>
      <c r="B12" s="17" t="n">
        <v>-2000</v>
      </c>
      <c r="C12" s="17" t="n">
        <v>-1000</v>
      </c>
      <c r="D12" s="17" t="n">
        <v>0</v>
      </c>
      <c r="E12" s="17" t="n">
        <v>-1000</v>
      </c>
      <c r="F12" s="17" t="n">
        <v>0</v>
      </c>
    </row>
    <row r="13">
      <c r="A13" s="16" t="inlineStr">
        <is>
          <t>Finansielle indtægter</t>
        </is>
      </c>
      <c r="B13" s="17" t="n">
        <v>41000</v>
      </c>
      <c r="C13" s="17" t="n">
        <v>53000</v>
      </c>
      <c r="D13" s="17" t="n">
        <v>65000</v>
      </c>
      <c r="E13" s="17" t="n">
        <v>63000</v>
      </c>
      <c r="F13" s="17" t="n">
        <v>51000</v>
      </c>
    </row>
    <row r="14">
      <c r="A14" s="16" t="inlineStr">
        <is>
          <t>Finansielle omkostninger</t>
        </is>
      </c>
      <c r="B14" s="17" t="n">
        <v>89000</v>
      </c>
      <c r="C14" s="17" t="n">
        <v>103000</v>
      </c>
      <c r="D14" s="17" t="n">
        <v>155000</v>
      </c>
      <c r="E14" s="17" t="n">
        <v>148000</v>
      </c>
      <c r="F14" s="17" t="n">
        <v>122000</v>
      </c>
    </row>
    <row r="15">
      <c r="A15" s="15" t="inlineStr">
        <is>
          <t>Finansielle poster, netto</t>
        </is>
      </c>
      <c r="B15" s="17" t="n">
        <v>-48000</v>
      </c>
      <c r="C15" s="17" t="n">
        <v>-50000</v>
      </c>
      <c r="D15" s="17" t="n">
        <v>-90000</v>
      </c>
      <c r="E15" s="17" t="n">
        <v>-85000</v>
      </c>
      <c r="F15" s="17" t="n">
        <v>-71000</v>
      </c>
    </row>
    <row r="16">
      <c r="A16" s="15" t="inlineStr">
        <is>
          <t>Resultat før skat</t>
        </is>
      </c>
      <c r="B16" s="17" t="n">
        <v>622000</v>
      </c>
      <c r="C16" s="17" t="n">
        <v>858000</v>
      </c>
      <c r="D16" s="17" t="n">
        <v>468000</v>
      </c>
      <c r="E16" s="17" t="n">
        <v>192000</v>
      </c>
      <c r="F16" s="17" t="n">
        <v>84000</v>
      </c>
    </row>
    <row r="17">
      <c r="A17" s="16" t="inlineStr">
        <is>
          <t>Skat af årets resultat</t>
        </is>
      </c>
      <c r="B17" s="17" t="n">
        <v>91000</v>
      </c>
      <c r="C17" s="17" t="n">
        <v>198000</v>
      </c>
      <c r="D17" s="17" t="n">
        <v>120000</v>
      </c>
      <c r="E17" s="17" t="n">
        <v>44000</v>
      </c>
      <c r="F17" s="17" t="n">
        <v>10000</v>
      </c>
    </row>
    <row r="18">
      <c r="A18" s="15" t="inlineStr">
        <is>
          <t>Årets resultat</t>
        </is>
      </c>
      <c r="B18" s="17" t="n">
        <v>531000</v>
      </c>
      <c r="C18" s="17" t="n">
        <v>660000</v>
      </c>
      <c r="D18" s="17" t="n">
        <v>348000</v>
      </c>
      <c r="E18" s="17" t="n">
        <v>148000</v>
      </c>
      <c r="F18" s="17" t="n">
        <v>74000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143000</v>
      </c>
      <c r="C20" s="17" t="n">
        <v>167000</v>
      </c>
      <c r="D20" s="17" t="n">
        <v>170000</v>
      </c>
      <c r="E20" s="17" t="n">
        <v>162000</v>
      </c>
      <c r="F20" s="17" t="n">
        <v>420000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solar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159000</v>
      </c>
      <c r="C2" s="17" t="n">
        <v>173000</v>
      </c>
      <c r="D2" s="17" t="n">
        <v>348000</v>
      </c>
      <c r="E2" s="17" t="n">
        <v>381000</v>
      </c>
      <c r="F2" s="17" t="n">
        <v>651000</v>
      </c>
    </row>
    <row r="3">
      <c r="A3" s="15" t="inlineStr">
        <is>
          <t>Materielle anlægsaktiver</t>
        </is>
      </c>
      <c r="B3" s="17" t="n">
        <v>885000</v>
      </c>
      <c r="C3" s="17" t="n">
        <v>963000</v>
      </c>
      <c r="D3" s="17" t="n">
        <v>1066000</v>
      </c>
      <c r="E3" s="17" t="n">
        <v>1070000</v>
      </c>
      <c r="F3" s="17" t="n">
        <v>1347000</v>
      </c>
    </row>
    <row r="4">
      <c r="A4" s="16" t="inlineStr">
        <is>
          <t>Kapitalandele, dattervirksomheder</t>
        </is>
      </c>
      <c r="B4" s="17" t="n">
        <v>5000</v>
      </c>
      <c r="C4" s="17" t="n">
        <v>4000</v>
      </c>
      <c r="D4" s="17" t="n">
        <v>4000</v>
      </c>
      <c r="E4" s="17" t="n">
        <v>3000</v>
      </c>
      <c r="F4" s="17" t="n">
        <v>3000</v>
      </c>
    </row>
    <row r="5">
      <c r="A5" s="16" t="inlineStr">
        <is>
          <t>Deposita</t>
        </is>
      </c>
      <c r="B5" s="17" t="n">
        <v>53000</v>
      </c>
      <c r="C5" s="17" t="n">
        <v>32000</v>
      </c>
      <c r="D5" s="17" t="n">
        <v>28000</v>
      </c>
      <c r="E5" s="17" t="n">
        <v>27000</v>
      </c>
      <c r="F5" s="17" t="n">
        <v>22000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1415000</v>
      </c>
      <c r="C7" s="17" t="n">
        <v>1564000</v>
      </c>
      <c r="D7" s="17" t="n">
        <v>1893000</v>
      </c>
      <c r="E7" s="17" t="n">
        <v>1900000</v>
      </c>
      <c r="F7" s="17" t="n">
        <v>2486000</v>
      </c>
    </row>
    <row r="8">
      <c r="A8" s="15" t="inlineStr">
        <is>
          <t>Varebeholdninger</t>
        </is>
      </c>
      <c r="B8" s="17" t="n">
        <v>1855000</v>
      </c>
      <c r="C8" s="17" t="n">
        <v>2248000</v>
      </c>
      <c r="D8" s="17" t="n">
        <v>2029000</v>
      </c>
      <c r="E8" s="17" t="n">
        <v>1888000</v>
      </c>
      <c r="F8" s="17" t="n">
        <v>1871000</v>
      </c>
    </row>
    <row r="9">
      <c r="A9" s="16" t="inlineStr">
        <is>
          <t>Tilgodehavender fra salg og tjenesteydelser</t>
        </is>
      </c>
      <c r="B9" s="17" t="n">
        <v>1502000</v>
      </c>
      <c r="C9" s="17" t="n">
        <v>1859000</v>
      </c>
      <c r="D9" s="17" t="n">
        <v>1648000</v>
      </c>
      <c r="E9" s="17" t="n">
        <v>1657000</v>
      </c>
      <c r="F9" s="17" t="n">
        <v>1714000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46000</v>
      </c>
      <c r="C12" s="17" t="n">
        <v>42000</v>
      </c>
      <c r="D12" s="17" t="n">
        <v>0</v>
      </c>
      <c r="E12" s="17" t="n">
        <v>4000</v>
      </c>
      <c r="F12" s="17" t="n">
        <v>5000</v>
      </c>
    </row>
    <row r="13">
      <c r="A13" s="16" t="inlineStr">
        <is>
          <t>Udskudt skatteaktiv</t>
        </is>
      </c>
      <c r="B13" s="17" t="n">
        <v>13000</v>
      </c>
      <c r="C13" s="17" t="n">
        <v>9000</v>
      </c>
      <c r="D13" s="17" t="n">
        <v>7000</v>
      </c>
      <c r="E13" s="17" t="n">
        <v>11000</v>
      </c>
      <c r="F13" s="17" t="n">
        <v>36000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0</v>
      </c>
      <c r="C15" s="17" t="n">
        <v>13000</v>
      </c>
      <c r="D15" s="17" t="n">
        <v>25000</v>
      </c>
      <c r="E15" s="17" t="n">
        <v>20000</v>
      </c>
      <c r="F15" s="17" t="n">
        <v>11000</v>
      </c>
    </row>
    <row r="16">
      <c r="A16" s="15" t="inlineStr">
        <is>
          <t>Tilgodehavender</t>
        </is>
      </c>
      <c r="B16" s="17" t="n">
        <v>6000</v>
      </c>
      <c r="C16" s="17" t="n">
        <v>9000</v>
      </c>
      <c r="D16" s="17" t="n">
        <v>17000</v>
      </c>
      <c r="E16" s="17" t="n">
        <v>107000</v>
      </c>
      <c r="F16" s="17" t="n">
        <v>13000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481000</v>
      </c>
      <c r="C18" s="17" t="n">
        <v>166000</v>
      </c>
      <c r="D18" s="17" t="n">
        <v>441000</v>
      </c>
      <c r="E18" s="17" t="n">
        <v>459000</v>
      </c>
      <c r="F18" s="17" t="n">
        <v>133000</v>
      </c>
    </row>
    <row r="19">
      <c r="A19" s="15" t="inlineStr">
        <is>
          <t>Omsætningsaktiver</t>
        </is>
      </c>
      <c r="B19" s="17" t="n">
        <v>3890000</v>
      </c>
      <c r="C19" s="17" t="n">
        <v>4337000</v>
      </c>
      <c r="D19" s="17" t="n">
        <v>4219000</v>
      </c>
      <c r="E19" s="17" t="n">
        <v>4208000</v>
      </c>
      <c r="F19" s="17" t="n">
        <v>3810000</v>
      </c>
    </row>
    <row r="20">
      <c r="A20" s="15" t="inlineStr">
        <is>
          <t>Aktiver</t>
        </is>
      </c>
      <c r="B20" s="17" t="n">
        <v>5305000</v>
      </c>
      <c r="C20" s="17" t="n">
        <v>5901000</v>
      </c>
      <c r="D20" s="17" t="n">
        <v>6112000</v>
      </c>
      <c r="E20" s="17" t="n">
        <v>6108000</v>
      </c>
      <c r="F20" s="17" t="n">
        <v>6296000</v>
      </c>
    </row>
    <row r="21">
      <c r="A21" s="16" t="inlineStr">
        <is>
          <t>Selskabskapital</t>
        </is>
      </c>
      <c r="B21" s="17" t="n">
        <v>736000</v>
      </c>
      <c r="C21" s="17" t="n">
        <v>736000</v>
      </c>
      <c r="D21" s="17" t="n">
        <v>736000</v>
      </c>
      <c r="E21" s="17" t="n">
        <v>736000</v>
      </c>
      <c r="F21" s="17" t="n">
        <v>801000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-158000</v>
      </c>
      <c r="C25" s="17" t="n">
        <v>-181000</v>
      </c>
      <c r="D25" s="17" t="n">
        <v>-198000</v>
      </c>
      <c r="E25" s="17" t="n">
        <v>-234000</v>
      </c>
      <c r="F25" s="17" t="n">
        <v>-196000</v>
      </c>
    </row>
    <row r="26">
      <c r="A26" s="16" t="inlineStr">
        <is>
          <t>Overført resultat</t>
        </is>
      </c>
      <c r="B26" s="17" t="n">
        <v>1045000</v>
      </c>
      <c r="C26" s="17" t="n">
        <v>1047000</v>
      </c>
      <c r="D26" s="17" t="n">
        <v>1175000</v>
      </c>
      <c r="E26" s="17" t="n">
        <v>1216000</v>
      </c>
      <c r="F26" s="17" t="n">
        <v>1345000</v>
      </c>
    </row>
    <row r="27">
      <c r="A27" s="15" t="inlineStr">
        <is>
          <t>Egenkapital i alt</t>
        </is>
      </c>
      <c r="B27" s="17" t="n">
        <v>1952000</v>
      </c>
      <c r="C27" s="17" t="n">
        <v>1931000</v>
      </c>
      <c r="D27" s="17" t="n">
        <v>1982000</v>
      </c>
      <c r="E27" s="17" t="n">
        <v>1874000</v>
      </c>
      <c r="F27" s="17" t="n">
        <v>1996000</v>
      </c>
    </row>
    <row r="28">
      <c r="A28" s="16" t="inlineStr">
        <is>
          <t>Hensættelse til udskudt skat</t>
        </is>
      </c>
      <c r="B28" s="17" t="n">
        <v>101000</v>
      </c>
      <c r="C28" s="17" t="n">
        <v>133000</v>
      </c>
      <c r="D28" s="17" t="n">
        <v>143000</v>
      </c>
      <c r="E28" s="17" t="n">
        <v>157000</v>
      </c>
      <c r="F28" s="17" t="n">
        <v>148000</v>
      </c>
    </row>
    <row r="29">
      <c r="A29" s="15" t="inlineStr">
        <is>
          <t>Hensatte forpligtelser</t>
        </is>
      </c>
      <c r="B29" s="17" t="n">
        <v>11000</v>
      </c>
      <c r="C29" s="17" t="n">
        <v>9000</v>
      </c>
      <c r="D29" s="17" t="n">
        <v>11000</v>
      </c>
      <c r="E29" s="17" t="n">
        <v>12000</v>
      </c>
      <c r="F29" s="17" t="n">
        <v>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203000</v>
      </c>
      <c r="C32" s="17" t="n">
        <v>274000</v>
      </c>
      <c r="D32" s="17" t="n">
        <v>320000</v>
      </c>
      <c r="E32" s="17" t="n">
        <v>284000</v>
      </c>
      <c r="F32" s="17" t="n">
        <v>290000</v>
      </c>
    </row>
    <row r="33">
      <c r="A33" s="16" t="inlineStr">
        <is>
          <t>Anden gæld (langfristet)</t>
        </is>
      </c>
      <c r="B33" s="17" t="n"/>
      <c r="C33" s="17" t="n"/>
      <c r="D33" s="17" t="n"/>
      <c r="E33" s="17" t="n"/>
      <c r="F33" s="17" t="n"/>
    </row>
    <row r="34">
      <c r="A34" s="15" t="inlineStr">
        <is>
          <t>Langfristede gældsforpligtelser</t>
        </is>
      </c>
      <c r="B34" s="17" t="n">
        <v>120000</v>
      </c>
      <c r="C34" s="17" t="n">
        <v>293000</v>
      </c>
      <c r="D34" s="17" t="n">
        <v>434000</v>
      </c>
      <c r="E34" s="17" t="n">
        <v>425000</v>
      </c>
      <c r="F34" s="17" t="n">
        <v>664000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19000</v>
      </c>
      <c r="C37" s="17" t="n">
        <v>556000</v>
      </c>
      <c r="D37" s="17" t="n">
        <v>714000</v>
      </c>
      <c r="E37" s="17" t="n">
        <v>841000</v>
      </c>
      <c r="F37" s="17" t="n">
        <v>650000</v>
      </c>
    </row>
    <row r="38">
      <c r="A38" s="16" t="inlineStr">
        <is>
          <t>Leasingforpligtelser (kortfristet)</t>
        </is>
      </c>
      <c r="B38" s="17" t="n">
        <v>102000</v>
      </c>
      <c r="C38" s="17" t="n">
        <v>117000</v>
      </c>
      <c r="D38" s="17" t="n">
        <v>130000</v>
      </c>
      <c r="E38" s="17" t="n">
        <v>141000</v>
      </c>
      <c r="F38" s="17" t="n">
        <v>154000</v>
      </c>
    </row>
    <row r="39">
      <c r="A39" s="16" t="inlineStr">
        <is>
          <t>Leverandører af varer og tjenesteydelser</t>
        </is>
      </c>
      <c r="B39" s="17" t="n">
        <v>2098000</v>
      </c>
      <c r="C39" s="17" t="n">
        <v>1902000</v>
      </c>
      <c r="D39" s="17" t="n">
        <v>1770000</v>
      </c>
      <c r="E39" s="17" t="n">
        <v>1852000</v>
      </c>
      <c r="F39" s="17" t="n">
        <v>1937000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644000</v>
      </c>
      <c r="C44" s="17" t="n">
        <v>604000</v>
      </c>
      <c r="D44" s="17" t="n">
        <v>520000</v>
      </c>
      <c r="E44" s="17" t="n">
        <v>462000</v>
      </c>
      <c r="F44" s="17" t="n">
        <v>387000</v>
      </c>
    </row>
    <row r="45">
      <c r="A45" s="16" t="inlineStr">
        <is>
          <t>Periodeafgrænsningsposter (passiver)</t>
        </is>
      </c>
      <c r="B45" s="17" t="n">
        <v>1000</v>
      </c>
      <c r="C45" s="17" t="n">
        <v>2000</v>
      </c>
      <c r="D45" s="17" t="n">
        <v>0</v>
      </c>
      <c r="E45" s="17" t="n">
        <v>35000</v>
      </c>
      <c r="F45" s="17" t="n">
        <v>17000</v>
      </c>
    </row>
    <row r="46">
      <c r="A46" s="15" t="inlineStr">
        <is>
          <t>Kortfristede gældsforpligtelser</t>
        </is>
      </c>
      <c r="B46" s="17" t="n">
        <v>2918000</v>
      </c>
      <c r="C46" s="17" t="n">
        <v>3261000</v>
      </c>
      <c r="D46" s="17" t="n">
        <v>3222000</v>
      </c>
      <c r="E46" s="17" t="n">
        <v>3356000</v>
      </c>
      <c r="F46" s="17" t="n">
        <v>3187000</v>
      </c>
    </row>
    <row r="47">
      <c r="A47" s="15" t="inlineStr">
        <is>
          <t>Gældsforpligtelser</t>
        </is>
      </c>
      <c r="B47" s="17" t="n">
        <v>3353000</v>
      </c>
      <c r="C47" s="17" t="n">
        <v>3970000</v>
      </c>
      <c r="D47" s="17" t="n">
        <v>4130000</v>
      </c>
      <c r="E47" s="17" t="n">
        <v>4234000</v>
      </c>
      <c r="F47" s="17" t="n">
        <v>4300000</v>
      </c>
    </row>
    <row r="48">
      <c r="A48" s="15" t="inlineStr">
        <is>
          <t>Passiver</t>
        </is>
      </c>
      <c r="B48" s="17" t="n">
        <v>5305000</v>
      </c>
      <c r="C48" s="17" t="n">
        <v>5901000</v>
      </c>
      <c r="D48" s="17" t="n">
        <v>6112000</v>
      </c>
      <c r="E48" s="17" t="n">
        <v>6108000</v>
      </c>
      <c r="F48" s="17" t="n">
        <v>6296000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solar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783000</v>
      </c>
      <c r="C2" s="17" t="n">
        <v>16000</v>
      </c>
      <c r="D2" s="17" t="n">
        <v>855000</v>
      </c>
      <c r="E2" s="17" t="n">
        <v>538000</v>
      </c>
      <c r="F2" s="17" t="n">
        <v>410000</v>
      </c>
    </row>
    <row r="3">
      <c r="A3" s="16" t="inlineStr">
        <is>
          <t>Pengestrømme fra investeringsaktivitet</t>
        </is>
      </c>
      <c r="B3" s="17" t="n">
        <v>-191000</v>
      </c>
      <c r="C3" s="17" t="n">
        <v>-249000</v>
      </c>
      <c r="D3" s="17" t="n">
        <v>-405000</v>
      </c>
      <c r="E3" s="17" t="n">
        <v>-265000</v>
      </c>
      <c r="F3" s="17" t="n">
        <v>-651000</v>
      </c>
    </row>
    <row r="4">
      <c r="A4" s="16" t="inlineStr">
        <is>
          <t>Pengestrømme fra finansieringsaktivitet</t>
        </is>
      </c>
      <c r="B4" s="17" t="n">
        <v>-515000</v>
      </c>
      <c r="C4" s="17" t="n">
        <v>-82000</v>
      </c>
      <c r="D4" s="17" t="n">
        <v>-175000</v>
      </c>
      <c r="E4" s="17" t="n">
        <v>-255000</v>
      </c>
      <c r="F4" s="17" t="n">
        <v>-85000</v>
      </c>
    </row>
    <row r="5">
      <c r="A5" s="16" t="inlineStr">
        <is>
          <t>Årets pengestrøm</t>
        </is>
      </c>
      <c r="B5" s="17" t="n"/>
      <c r="C5" s="17" t="n">
        <v>-315000</v>
      </c>
      <c r="D5" s="17" t="n">
        <v>275000</v>
      </c>
      <c r="E5" s="17" t="n">
        <v>18000</v>
      </c>
      <c r="F5" s="17" t="n">
        <v>-326000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solar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IF(ABS((SUM(B7:B12))-'res_raw'!$F$11)&lt;=2,SUM(B7:B12),'res_raw'!$F$11)</f>
        <v/>
      </c>
      <c r="C13" s="30">
        <f>IF(ABS((SUM(C7:C12))-'res_raw'!$E$11)&lt;=2,SUM(C7:C12),'res_raw'!$E$11)</f>
        <v/>
      </c>
      <c r="D13" s="30">
        <f>IF(ABS((SUM(D7:D12))-'res_raw'!$D$11)&lt;=2,SUM(D7:D12),'res_raw'!$D$11)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-'res_raw'!$F$14</f>
        <v/>
      </c>
      <c r="C15" s="27">
        <f>-'res_raw'!$E$14</f>
        <v/>
      </c>
      <c r="D15" s="27">
        <f>-'res_raw'!$D$14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IF(ABS((SUM(B13:B15))-'res_raw'!$F$16)&lt;=2,SUM(B13:B15),'res_raw'!$F$16)</f>
        <v/>
      </c>
      <c r="C16" s="30">
        <f>IF(ABS((SUM(C13:C15))-'res_raw'!$E$16)&lt;=2,SUM(C13:C15),'res_raw'!$E$16)</f>
        <v/>
      </c>
      <c r="D16" s="30">
        <f>IF(ABS((SUM(D13:D15))-'res_raw'!$D$16)&lt;=2,SUM(D13:D15),'res_raw'!$D$16)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'balance_raw'!$F$48-'balance_raw'!$F$27</f>
        <v/>
      </c>
      <c r="C24" s="24">
        <f>'balance_raw'!$E$48-'balance_raw'!$E$27</f>
        <v/>
      </c>
      <c r="D24" s="24">
        <f>'balance_raw'!$D$48-'balance_raw'!$D$27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'balance_raw'!$F$46</f>
        <v/>
      </c>
      <c r="C30" s="24">
        <f>'balance_raw'!$E$46</f>
        <v/>
      </c>
      <c r="D30" s="24">
        <f>'balance_raw'!$D$46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IF('balance_raw'!$F$20="","—",IF(ABS(B21-'balance_raw'!$F$20)&lt;=1,"✓ OK","❌ "&amp;TEXT(B21-'balance_raw'!$F$20,"+#,##0;-#,##0")&amp;" t.kr."))</f>
        <v/>
      </c>
      <c r="C62" s="31">
        <f>IF('balance_raw'!$E$20="","—",IF(ABS(C21-'balance_raw'!$E$20)&lt;=1,"✓ OK","❌ "&amp;TEXT(C21-'balance_raw'!$E$20,"+#,##0;-#,##0")&amp;" t.kr."))</f>
        <v/>
      </c>
      <c r="D62" s="31">
        <f>IF('balance_raw'!$D$20="","—",IF(ABS(D21-'balance_raw'!$D$20)&lt;=1,"✓ OK","❌ "&amp;TEXT(D21-'balance_raw'!$D$20,"+#,##0;-#,##0")&amp;"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IF('balance_raw'!$F$48="","—",IF(ABS(B25-'balance_raw'!$F$48)&lt;=1,"✓ OK","❌ "&amp;TEXT(B25-'balance_raw'!$F$48,"+#,##0;-#,##0")&amp;" t.kr."))</f>
        <v/>
      </c>
      <c r="C63" s="31">
        <f>IF('balance_raw'!$E$48="","—",IF(ABS(C25-'balance_raw'!$E$48)&lt;=1,"✓ OK","❌ "&amp;TEXT(C25-'balance_raw'!$E$48,"+#,##0;-#,##0")&amp;" t.kr."))</f>
        <v/>
      </c>
      <c r="D63" s="31">
        <f>IF('balance_raw'!$D$48="","—",IF(ABS(D25-'balance_raw'!$D$48)&lt;=1,"✓ OK","❌ "&amp;TEXT(D25-'balance_raw'!$D$48,"+#,##0;-#,##0")&amp;"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IF('res_raw'!$F$11="","—",IF(ABS(B13-'res_raw'!$F$11)&lt;=1,"✓ OK","❌ "&amp;TEXT(B13-'res_raw'!$F$11,"+#,##0;-#,##0")&amp;" t.kr."))</f>
        <v/>
      </c>
      <c r="C66" s="31">
        <f>IF('res_raw'!$E$11="","—",IF(ABS(C13-'res_raw'!$E$11)&lt;=1,"✓ OK","❌ "&amp;TEXT(C13-'res_raw'!$E$11,"+#,##0;-#,##0")&amp;" t.kr."))</f>
        <v/>
      </c>
      <c r="D66" s="31">
        <f>IF('res_raw'!$D$11="","—",IF(ABS(D13-'res_raw'!$D$11)&lt;=1,"✓ OK","❌ "&amp;TEXT(D13-'res_raw'!$D$11,"+#,##0;-#,##0")&amp;"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IF('res_raw'!$F$16="","—",IF(ABS(B16-'res_raw'!$F$16)&lt;=1,"✓ OK","❌ "&amp;TEXT(B16-'res_raw'!$F$16,"+#,##0;-#,##0")&amp;" t.kr."))</f>
        <v/>
      </c>
      <c r="C67" s="31">
        <f>IF('res_raw'!$E$16="","—",IF(ABS(C16-'res_raw'!$E$16)&lt;=1,"✓ OK","❌ "&amp;TEXT(C16-'res_raw'!$E$16,"+#,##0;-#,##0")&amp;" t.kr."))</f>
        <v/>
      </c>
      <c r="D67" s="31">
        <f>IF('res_raw'!$D$16="","—",IF(ABS(D16-'res_raw'!$D$16)&lt;=1,"✓ OK","❌ "&amp;TEXT(D16-'res_raw'!$D$16,"+#,##0;-#,##0")&amp;"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solar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ifrs-full:AccrualsAndDeferredIncomeClassifiedAsCurrent</t>
        </is>
      </c>
      <c r="C3" s="36" t="inlineStr">
        <is>
          <t>ifrs-full:AccrualsAndDeferredIncomeClassifiedAsCurrent</t>
        </is>
      </c>
      <c r="D3" s="37" t="n"/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ifrs-full:AdjustmentsForFinanceIncomeCost</t>
        </is>
      </c>
      <c r="C4" s="39" t="inlineStr">
        <is>
          <t>ifrs-full:AdjustmentsForFinanceIncomeCost</t>
        </is>
      </c>
      <c r="D4" s="40" t="n">
        <v>-48000</v>
      </c>
      <c r="E4" s="40" t="n">
        <v>-50000</v>
      </c>
      <c r="F4" s="40" t="n">
        <v>-90000</v>
      </c>
      <c r="G4" s="40" t="n">
        <v>-85000</v>
      </c>
      <c r="H4" s="40" t="n">
        <v>-71000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ifrs-full:AdjustmentsForIncomeTaxExpense</t>
        </is>
      </c>
      <c r="C5" s="36" t="inlineStr">
        <is>
          <t>ifrs-full:AdjustmentsForIncomeTaxExpense</t>
        </is>
      </c>
      <c r="D5" s="37" t="n">
        <v>91000</v>
      </c>
      <c r="E5" s="37" t="n">
        <v>198000</v>
      </c>
      <c r="F5" s="37" t="n">
        <v>120000</v>
      </c>
      <c r="G5" s="37" t="n">
        <v>44000</v>
      </c>
      <c r="H5" s="37" t="n">
        <v>11000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ifrs-full:AdjustmentsForUndistributedProfitsOfAssociates</t>
        </is>
      </c>
      <c r="C6" s="39" t="inlineStr">
        <is>
          <t>ifrs-full:AdjustmentsForUndistributedProfitsOfAssociates</t>
        </is>
      </c>
      <c r="D6" s="40" t="n">
        <v>-2000</v>
      </c>
      <c r="E6" s="40" t="n">
        <v>-1000</v>
      </c>
      <c r="F6" s="40" t="n">
        <v>0</v>
      </c>
      <c r="G6" s="40" t="n">
        <v>-1000</v>
      </c>
      <c r="H6" s="40" t="n">
        <v>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ifrs-full:CashAndCashEquivalentsInSubsidiaryOrBusinessesAcquiredOrDisposed2013</t>
        </is>
      </c>
      <c r="C7" s="36" t="inlineStr">
        <is>
          <t>ifrs-full:CashAndCashEquivalentsInSubsidiaryOrBusinessesAcquiredOrDisposed2013</t>
        </is>
      </c>
      <c r="D7" s="37" t="n">
        <v>0</v>
      </c>
      <c r="E7" s="37" t="n"/>
      <c r="F7" s="37" t="n"/>
      <c r="G7" s="37" t="n"/>
      <c r="H7" s="37" t="n"/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ifrs-full:DividendsRecognisedAsDistributionsToNoncontrollingInterests</t>
        </is>
      </c>
      <c r="C8" s="39" t="inlineStr">
        <is>
          <t>ifrs-full:DividendsRecognisedAsDistributionsToNoncontrollingInterests</t>
        </is>
      </c>
      <c r="D8" s="40" t="n"/>
      <c r="E8" s="40" t="n"/>
      <c r="F8" s="40" t="n"/>
      <c r="G8" s="40" t="n">
        <v>1000</v>
      </c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ifrs-full:DividendsRecognisedAsDistributionsToOwnersOfParentRelatingToPriorYears</t>
        </is>
      </c>
      <c r="C9" s="36" t="inlineStr">
        <is>
          <t>ifrs-full:DividendsRecognisedAsDistributionsToOwnersOfParentRelatingToPriorYears</t>
        </is>
      </c>
      <c r="D9" s="37" t="n">
        <v>204000</v>
      </c>
      <c r="E9" s="37" t="n">
        <v>329000</v>
      </c>
      <c r="F9" s="37" t="n">
        <v>329000</v>
      </c>
      <c r="G9" s="37" t="n">
        <v>219000</v>
      </c>
      <c r="H9" s="37" t="n">
        <v>110000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ifrs-full:DividendsRecognisedAsDistributionsToOwnersPerShare</t>
        </is>
      </c>
      <c r="C10" s="39" t="inlineStr">
        <is>
          <t>ifrs-full:DividendsRecognisedAsDistributionsToOwnersPerShare</t>
        </is>
      </c>
      <c r="D10" s="40" t="n"/>
      <c r="E10" s="40" t="n">
        <v>0</v>
      </c>
      <c r="F10" s="40" t="n">
        <v>0</v>
      </c>
      <c r="G10" s="40" t="n">
        <v>0</v>
      </c>
      <c r="H10" s="40" t="n">
        <v>0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ifrs-full:GainsLossesOnExchangeDifferencesOnTranslationNetOfTax</t>
        </is>
      </c>
      <c r="C11" s="36" t="inlineStr">
        <is>
          <t>ifrs-full:GainsLossesOnExchangeDifferencesOnTranslationNetOfTax</t>
        </is>
      </c>
      <c r="D11" s="37" t="n"/>
      <c r="E11" s="37" t="n"/>
      <c r="F11" s="37" t="n"/>
      <c r="G11" s="37" t="n"/>
      <c r="H11" s="37" t="n">
        <v>33000</v>
      </c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ifrs-full:ImpairmentLossRecognisedInProfitOrLossTradeReceivables</t>
        </is>
      </c>
      <c r="C12" s="39" t="inlineStr">
        <is>
          <t>ifrs-full:ImpairmentLossRecognisedInProfitOrLossTradeReceivables</t>
        </is>
      </c>
      <c r="D12" s="40" t="n">
        <v>20000</v>
      </c>
      <c r="E12" s="40" t="n">
        <v>28000</v>
      </c>
      <c r="F12" s="40" t="n">
        <v>17000</v>
      </c>
      <c r="G12" s="40" t="n">
        <v>14000</v>
      </c>
      <c r="H12" s="40" t="n">
        <v>11000</v>
      </c>
      <c r="I12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2026-10-02T21:14:46Z</dcterms:created>
  <dcterms:modified xmlns:dcterms="http://purl.org/dc/terms/" xmlns:xsi="http://www.w3.org/2001/XMLSchema-instance" xsi:type="dcterms:W3CDTF">2026-10-02T21:14:47Z</dcterms:modified>
</cp:coreProperties>
</file>