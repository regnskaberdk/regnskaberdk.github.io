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solar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'pengestrom_raw'!$B$2</f>
        <v/>
      </c>
      <c r="C89" s="17">
        <f>'pengestrom_raw'!$C$2</f>
        <v/>
      </c>
      <c r="D89" s="17">
        <f>'pengestrom_raw'!$D$2</f>
        <v/>
      </c>
      <c r="E89" s="17">
        <f>'pengestrom_raw'!$E$2</f>
        <v/>
      </c>
      <c r="F89" s="17">
        <f>'pengestrom_raw'!$F$2</f>
        <v/>
      </c>
    </row>
    <row r="90">
      <c r="A90" s="16" t="inlineStr">
        <is>
          <t>Pengestrømme fra investeringsaktivitet</t>
        </is>
      </c>
      <c r="B90" s="17">
        <f>'pengestrom_raw'!$B$3</f>
        <v/>
      </c>
      <c r="C90" s="17">
        <f>'pengestrom_raw'!$C$3</f>
        <v/>
      </c>
      <c r="D90" s="17">
        <f>'pengestrom_raw'!$D$3</f>
        <v/>
      </c>
      <c r="E90" s="17">
        <f>'pengestrom_raw'!$E$3</f>
        <v/>
      </c>
      <c r="F90" s="17">
        <f>'pengestrom_raw'!$F$3</f>
        <v/>
      </c>
    </row>
    <row r="91">
      <c r="A91" s="16" t="inlineStr">
        <is>
          <t>Pengestrømme fra finansieringsaktivitet</t>
        </is>
      </c>
      <c r="B91" s="17">
        <f>'pengestrom_raw'!$B$4</f>
        <v/>
      </c>
      <c r="C91" s="17">
        <f>'pengestrom_raw'!$C$4</f>
        <v/>
      </c>
      <c r="D91" s="17">
        <f>'pengestrom_raw'!$D$4</f>
        <v/>
      </c>
      <c r="E91" s="17">
        <f>'pengestrom_raw'!$E$4</f>
        <v/>
      </c>
      <c r="F91" s="17">
        <f>'pengestrom_raw'!$F$4</f>
        <v/>
      </c>
    </row>
    <row r="92">
      <c r="A92" s="16" t="inlineStr">
        <is>
          <t>Årets pengestrøm (rapporteret)</t>
        </is>
      </c>
      <c r="B92" s="17">
        <f>'pengestrom_raw'!$B$5</f>
        <v/>
      </c>
      <c r="C92" s="17">
        <f>'pengestrom_raw'!$C$5</f>
        <v/>
      </c>
      <c r="D92" s="17">
        <f>'pengestrom_raw'!$D$5</f>
        <v/>
      </c>
      <c r="E92" s="17">
        <f>'pengestrom_raw'!$E$5</f>
        <v/>
      </c>
      <c r="F92" s="17">
        <f>'pengestrom_raw'!$F$5</f>
        <v/>
      </c>
    </row>
    <row r="93">
      <c r="A93" s="16" t="inlineStr">
        <is>
          <t>Krydstjek: drift + inv. + fin. = årets pengestrøm</t>
        </is>
      </c>
      <c r="B9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solar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12354000</v>
      </c>
      <c r="C2" s="17" t="n">
        <v>13863000</v>
      </c>
      <c r="D2" s="17" t="n">
        <v>13031000</v>
      </c>
      <c r="E2" s="17" t="n">
        <v>12223000</v>
      </c>
      <c r="F2" s="17" t="n">
        <v>12171000</v>
      </c>
    </row>
    <row r="3">
      <c r="A3" s="16" t="inlineStr">
        <is>
          <t>Produktionsomkostninger</t>
        </is>
      </c>
      <c r="B3" s="17" t="n">
        <v>9581000</v>
      </c>
      <c r="C3" s="17" t="n">
        <v>10618000</v>
      </c>
      <c r="D3" s="17" t="n">
        <v>10101000</v>
      </c>
      <c r="E3" s="17" t="n">
        <v>9702000</v>
      </c>
      <c r="F3" s="17" t="n">
        <v>9692000</v>
      </c>
    </row>
    <row r="4">
      <c r="A4" s="15" t="inlineStr">
        <is>
          <t>Bruttoresultat</t>
        </is>
      </c>
      <c r="B4" s="17" t="n">
        <v>2773000</v>
      </c>
      <c r="C4" s="17" t="n">
        <v>3245000</v>
      </c>
      <c r="D4" s="17" t="n">
        <v>2930000</v>
      </c>
      <c r="E4" s="17" t="n">
        <v>2521000</v>
      </c>
      <c r="F4" s="17" t="n">
        <v>2479000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7000</v>
      </c>
      <c r="C7" s="17" t="n"/>
      <c r="D7" s="17" t="n">
        <v>0</v>
      </c>
      <c r="E7" s="17" t="n">
        <v>88000</v>
      </c>
      <c r="F7" s="17" t="n">
        <v>76000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672000</v>
      </c>
      <c r="C9" s="17" t="n">
        <v>909000</v>
      </c>
      <c r="D9" s="17" t="n">
        <v>558000</v>
      </c>
      <c r="E9" s="17" t="n">
        <v>278000</v>
      </c>
      <c r="F9" s="17" t="n">
        <v>155000</v>
      </c>
    </row>
    <row r="10">
      <c r="A10" s="16" t="inlineStr">
        <is>
          <t>Indtægter af kapitalandele, dattervirksomheder</t>
        </is>
      </c>
      <c r="B10" s="17" t="n">
        <v>-2000</v>
      </c>
      <c r="C10" s="17" t="n">
        <v>-1000</v>
      </c>
      <c r="D10" s="17" t="n">
        <v>0</v>
      </c>
      <c r="E10" s="17" t="n">
        <v>-1000</v>
      </c>
      <c r="F10" s="17" t="n">
        <v>0</v>
      </c>
    </row>
    <row r="11">
      <c r="A11" s="16" t="inlineStr">
        <is>
          <t>Finansielle indtægter</t>
        </is>
      </c>
      <c r="B11" s="17" t="n">
        <v>41000</v>
      </c>
      <c r="C11" s="17" t="n">
        <v>53000</v>
      </c>
      <c r="D11" s="17" t="n">
        <v>65000</v>
      </c>
      <c r="E11" s="17" t="n">
        <v>63000</v>
      </c>
      <c r="F11" s="17" t="n">
        <v>51000</v>
      </c>
    </row>
    <row r="12">
      <c r="A12" s="16" t="inlineStr">
        <is>
          <t>Finansielle omkostninger</t>
        </is>
      </c>
      <c r="B12" s="17" t="n">
        <v>89000</v>
      </c>
      <c r="C12" s="17" t="n">
        <v>103000</v>
      </c>
      <c r="D12" s="17" t="n">
        <v>155000</v>
      </c>
      <c r="E12" s="17" t="n">
        <v>148000</v>
      </c>
      <c r="F12" s="17" t="n">
        <v>122000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622000</v>
      </c>
      <c r="C14" s="17" t="n">
        <v>858000</v>
      </c>
      <c r="D14" s="17" t="n">
        <v>468000</v>
      </c>
      <c r="E14" s="17" t="n">
        <v>192000</v>
      </c>
      <c r="F14" s="17" t="n">
        <v>84000</v>
      </c>
    </row>
    <row r="15">
      <c r="A15" s="16" t="inlineStr">
        <is>
          <t>Skat af årets resultat</t>
        </is>
      </c>
      <c r="B15" s="17" t="n">
        <v>91000</v>
      </c>
      <c r="C15" s="17" t="n">
        <v>198000</v>
      </c>
      <c r="D15" s="17" t="n">
        <v>120000</v>
      </c>
      <c r="E15" s="17" t="n">
        <v>44000</v>
      </c>
      <c r="F15" s="17" t="n">
        <v>10000</v>
      </c>
    </row>
    <row r="16">
      <c r="A16" s="15" t="inlineStr">
        <is>
          <t>Årets resultat</t>
        </is>
      </c>
      <c r="B16" s="17" t="n">
        <v>531000</v>
      </c>
      <c r="C16" s="17" t="n">
        <v>660000</v>
      </c>
      <c r="D16" s="17" t="n">
        <v>348000</v>
      </c>
      <c r="E16" s="17" t="n">
        <v>148000</v>
      </c>
      <c r="F16" s="17" t="n">
        <v>74000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143000</v>
      </c>
      <c r="C18" s="17" t="n">
        <v>167000</v>
      </c>
      <c r="D18" s="17" t="n">
        <v>170000</v>
      </c>
      <c r="E18" s="17" t="n">
        <v>162000</v>
      </c>
      <c r="F18" s="17" t="n">
        <v>420000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solar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159000</v>
      </c>
      <c r="C2" s="17" t="n">
        <v>173000</v>
      </c>
      <c r="D2" s="17" t="n">
        <v>348000</v>
      </c>
      <c r="E2" s="17" t="n">
        <v>381000</v>
      </c>
      <c r="F2" s="17" t="n">
        <v>651000</v>
      </c>
    </row>
    <row r="3">
      <c r="A3" s="15" t="inlineStr">
        <is>
          <t>Materielle anlægsaktiver</t>
        </is>
      </c>
      <c r="B3" s="17" t="n">
        <v>885000</v>
      </c>
      <c r="C3" s="17" t="n">
        <v>963000</v>
      </c>
      <c r="D3" s="17" t="n">
        <v>1066000</v>
      </c>
      <c r="E3" s="17" t="n">
        <v>1070000</v>
      </c>
      <c r="F3" s="17" t="n">
        <v>1347000</v>
      </c>
    </row>
    <row r="4">
      <c r="A4" s="16" t="inlineStr">
        <is>
          <t>Kapitalandele, dattervirksomheder</t>
        </is>
      </c>
      <c r="B4" s="17" t="n">
        <v>5000</v>
      </c>
      <c r="C4" s="17" t="n">
        <v>4000</v>
      </c>
      <c r="D4" s="17" t="n">
        <v>4000</v>
      </c>
      <c r="E4" s="17" t="n">
        <v>3000</v>
      </c>
      <c r="F4" s="17" t="n">
        <v>3000</v>
      </c>
    </row>
    <row r="5">
      <c r="A5" s="16" t="inlineStr">
        <is>
          <t>Deposita</t>
        </is>
      </c>
      <c r="B5" s="17" t="n">
        <v>53000</v>
      </c>
      <c r="C5" s="17" t="n">
        <v>32000</v>
      </c>
      <c r="D5" s="17" t="n">
        <v>28000</v>
      </c>
      <c r="E5" s="17" t="n">
        <v>27000</v>
      </c>
      <c r="F5" s="17" t="n">
        <v>22000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1415000</v>
      </c>
      <c r="C7" s="17" t="n">
        <v>1564000</v>
      </c>
      <c r="D7" s="17" t="n">
        <v>1893000</v>
      </c>
      <c r="E7" s="17" t="n">
        <v>1900000</v>
      </c>
      <c r="F7" s="17" t="n">
        <v>2486000</v>
      </c>
    </row>
    <row r="8">
      <c r="A8" s="15" t="inlineStr">
        <is>
          <t>Varebeholdninger</t>
        </is>
      </c>
      <c r="B8" s="17" t="n">
        <v>1855000</v>
      </c>
      <c r="C8" s="17" t="n">
        <v>2248000</v>
      </c>
      <c r="D8" s="17" t="n">
        <v>2029000</v>
      </c>
      <c r="E8" s="17" t="n">
        <v>1888000</v>
      </c>
      <c r="F8" s="17" t="n">
        <v>1871000</v>
      </c>
    </row>
    <row r="9">
      <c r="A9" s="16" t="inlineStr">
        <is>
          <t>Tilgodehavender fra salg og tjenesteydelser</t>
        </is>
      </c>
      <c r="B9" s="17" t="n">
        <v>1502000</v>
      </c>
      <c r="C9" s="17" t="n">
        <v>1859000</v>
      </c>
      <c r="D9" s="17" t="n">
        <v>1648000</v>
      </c>
      <c r="E9" s="17" t="n">
        <v>1657000</v>
      </c>
      <c r="F9" s="17" t="n">
        <v>1714000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46000</v>
      </c>
      <c r="C12" s="17" t="n">
        <v>42000</v>
      </c>
      <c r="D12" s="17" t="n">
        <v>0</v>
      </c>
      <c r="E12" s="17" t="n">
        <v>4000</v>
      </c>
      <c r="F12" s="17" t="n">
        <v>5000</v>
      </c>
    </row>
    <row r="13">
      <c r="A13" s="16" t="inlineStr">
        <is>
          <t>Udskudt skatteaktiv</t>
        </is>
      </c>
      <c r="B13" s="17" t="n">
        <v>13000</v>
      </c>
      <c r="C13" s="17" t="n">
        <v>9000</v>
      </c>
      <c r="D13" s="17" t="n">
        <v>7000</v>
      </c>
      <c r="E13" s="17" t="n">
        <v>11000</v>
      </c>
      <c r="F13" s="17" t="n">
        <v>36000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0</v>
      </c>
      <c r="C15" s="17" t="n">
        <v>13000</v>
      </c>
      <c r="D15" s="17" t="n">
        <v>25000</v>
      </c>
      <c r="E15" s="17" t="n">
        <v>20000</v>
      </c>
      <c r="F15" s="17" t="n">
        <v>11000</v>
      </c>
    </row>
    <row r="16">
      <c r="A16" s="15" t="inlineStr">
        <is>
          <t>Tilgodehavender</t>
        </is>
      </c>
      <c r="B16" s="17" t="n">
        <v>6000</v>
      </c>
      <c r="C16" s="17" t="n">
        <v>9000</v>
      </c>
      <c r="D16" s="17" t="n">
        <v>17000</v>
      </c>
      <c r="E16" s="17" t="n">
        <v>107000</v>
      </c>
      <c r="F16" s="17" t="n">
        <v>13000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481000</v>
      </c>
      <c r="C18" s="17" t="n">
        <v>166000</v>
      </c>
      <c r="D18" s="17" t="n">
        <v>441000</v>
      </c>
      <c r="E18" s="17" t="n">
        <v>459000</v>
      </c>
      <c r="F18" s="17" t="n">
        <v>133000</v>
      </c>
    </row>
    <row r="19">
      <c r="A19" s="15" t="inlineStr">
        <is>
          <t>Omsætningsaktiver</t>
        </is>
      </c>
      <c r="B19" s="17" t="n">
        <v>3890000</v>
      </c>
      <c r="C19" s="17" t="n">
        <v>4337000</v>
      </c>
      <c r="D19" s="17" t="n">
        <v>4219000</v>
      </c>
      <c r="E19" s="17" t="n">
        <v>4208000</v>
      </c>
      <c r="F19" s="17" t="n">
        <v>3810000</v>
      </c>
    </row>
    <row r="20">
      <c r="A20" s="15" t="inlineStr">
        <is>
          <t>Aktiver</t>
        </is>
      </c>
      <c r="B20" s="17" t="n">
        <v>5305000</v>
      </c>
      <c r="C20" s="17" t="n">
        <v>5901000</v>
      </c>
      <c r="D20" s="17" t="n">
        <v>6112000</v>
      </c>
      <c r="E20" s="17" t="n">
        <v>6108000</v>
      </c>
      <c r="F20" s="17" t="n">
        <v>6296000</v>
      </c>
    </row>
    <row r="21">
      <c r="A21" s="16" t="inlineStr">
        <is>
          <t>Selskabskapital</t>
        </is>
      </c>
      <c r="B21" s="17" t="n">
        <v>736000</v>
      </c>
      <c r="C21" s="17" t="n">
        <v>736000</v>
      </c>
      <c r="D21" s="17" t="n">
        <v>736000</v>
      </c>
      <c r="E21" s="17" t="n">
        <v>736000</v>
      </c>
      <c r="F21" s="17" t="n">
        <v>801000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-158000</v>
      </c>
      <c r="C25" s="17" t="n">
        <v>-181000</v>
      </c>
      <c r="D25" s="17" t="n">
        <v>-198000</v>
      </c>
      <c r="E25" s="17" t="n">
        <v>-234000</v>
      </c>
      <c r="F25" s="17" t="n">
        <v>-196000</v>
      </c>
    </row>
    <row r="26">
      <c r="A26" s="16" t="inlineStr">
        <is>
          <t>Overført resultat</t>
        </is>
      </c>
      <c r="B26" s="17" t="n">
        <v>1045000</v>
      </c>
      <c r="C26" s="17" t="n">
        <v>1047000</v>
      </c>
      <c r="D26" s="17" t="n">
        <v>1175000</v>
      </c>
      <c r="E26" s="17" t="n">
        <v>1216000</v>
      </c>
      <c r="F26" s="17" t="n">
        <v>1345000</v>
      </c>
    </row>
    <row r="27">
      <c r="A27" s="15" t="inlineStr">
        <is>
          <t>Egenkapital i alt</t>
        </is>
      </c>
      <c r="B27" s="17" t="n">
        <v>1952000</v>
      </c>
      <c r="C27" s="17" t="n">
        <v>1931000</v>
      </c>
      <c r="D27" s="17" t="n">
        <v>1982000</v>
      </c>
      <c r="E27" s="17" t="n">
        <v>1874000</v>
      </c>
      <c r="F27" s="17" t="n">
        <v>1996000</v>
      </c>
    </row>
    <row r="28">
      <c r="A28" s="16" t="inlineStr">
        <is>
          <t>Hensættelse til udskudt skat</t>
        </is>
      </c>
      <c r="B28" s="17" t="n">
        <v>101000</v>
      </c>
      <c r="C28" s="17" t="n">
        <v>133000</v>
      </c>
      <c r="D28" s="17" t="n">
        <v>143000</v>
      </c>
      <c r="E28" s="17" t="n">
        <v>157000</v>
      </c>
      <c r="F28" s="17" t="n">
        <v>148000</v>
      </c>
    </row>
    <row r="29">
      <c r="A29" s="15" t="inlineStr">
        <is>
          <t>Hensatte forpligtelser</t>
        </is>
      </c>
      <c r="B29" s="17" t="n">
        <v>11000</v>
      </c>
      <c r="C29" s="17" t="n">
        <v>9000</v>
      </c>
      <c r="D29" s="17" t="n">
        <v>11000</v>
      </c>
      <c r="E29" s="17" t="n">
        <v>12000</v>
      </c>
      <c r="F29" s="17" t="n">
        <v>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203000</v>
      </c>
      <c r="C32" s="17" t="n">
        <v>274000</v>
      </c>
      <c r="D32" s="17" t="n">
        <v>320000</v>
      </c>
      <c r="E32" s="17" t="n">
        <v>284000</v>
      </c>
      <c r="F32" s="17" t="n">
        <v>290000</v>
      </c>
    </row>
    <row r="33">
      <c r="A33" s="16" t="inlineStr">
        <is>
          <t>Anden gæld (langfristet)</t>
        </is>
      </c>
      <c r="B33" s="17" t="n"/>
      <c r="C33" s="17" t="n"/>
      <c r="D33" s="17" t="n"/>
      <c r="E33" s="17" t="n"/>
      <c r="F33" s="17" t="n"/>
    </row>
    <row r="34">
      <c r="A34" s="15" t="inlineStr">
        <is>
          <t>Langfristede gældsforpligtelser</t>
        </is>
      </c>
      <c r="B34" s="17" t="n">
        <v>120000</v>
      </c>
      <c r="C34" s="17" t="n">
        <v>293000</v>
      </c>
      <c r="D34" s="17" t="n">
        <v>434000</v>
      </c>
      <c r="E34" s="17" t="n">
        <v>425000</v>
      </c>
      <c r="F34" s="17" t="n">
        <v>664000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19000</v>
      </c>
      <c r="C37" s="17" t="n">
        <v>556000</v>
      </c>
      <c r="D37" s="17" t="n">
        <v>714000</v>
      </c>
      <c r="E37" s="17" t="n">
        <v>841000</v>
      </c>
      <c r="F37" s="17" t="n">
        <v>650000</v>
      </c>
    </row>
    <row r="38">
      <c r="A38" s="16" t="inlineStr">
        <is>
          <t>Leasingforpligtelser (kortfristet)</t>
        </is>
      </c>
      <c r="B38" s="17" t="n">
        <v>102000</v>
      </c>
      <c r="C38" s="17" t="n">
        <v>117000</v>
      </c>
      <c r="D38" s="17" t="n">
        <v>130000</v>
      </c>
      <c r="E38" s="17" t="n">
        <v>141000</v>
      </c>
      <c r="F38" s="17" t="n">
        <v>154000</v>
      </c>
    </row>
    <row r="39">
      <c r="A39" s="16" t="inlineStr">
        <is>
          <t>Leverandører af varer og tjenesteydelser</t>
        </is>
      </c>
      <c r="B39" s="17" t="n">
        <v>2098000</v>
      </c>
      <c r="C39" s="17" t="n">
        <v>1902000</v>
      </c>
      <c r="D39" s="17" t="n">
        <v>1770000</v>
      </c>
      <c r="E39" s="17" t="n">
        <v>1852000</v>
      </c>
      <c r="F39" s="17" t="n">
        <v>1937000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644000</v>
      </c>
      <c r="C44" s="17" t="n">
        <v>604000</v>
      </c>
      <c r="D44" s="17" t="n">
        <v>520000</v>
      </c>
      <c r="E44" s="17" t="n">
        <v>462000</v>
      </c>
      <c r="F44" s="17" t="n">
        <v>387000</v>
      </c>
    </row>
    <row r="45">
      <c r="A45" s="16" t="inlineStr">
        <is>
          <t>Periodeafgrænsningsposter (passiver)</t>
        </is>
      </c>
      <c r="B45" s="17" t="n">
        <v>1000</v>
      </c>
      <c r="C45" s="17" t="n">
        <v>2000</v>
      </c>
      <c r="D45" s="17" t="n">
        <v>0</v>
      </c>
      <c r="E45" s="17" t="n">
        <v>35000</v>
      </c>
      <c r="F45" s="17" t="n">
        <v>17000</v>
      </c>
    </row>
    <row r="46">
      <c r="A46" s="15" t="inlineStr">
        <is>
          <t>Kortfristede gældsforpligtelser</t>
        </is>
      </c>
      <c r="B46" s="17" t="n">
        <v>2918000</v>
      </c>
      <c r="C46" s="17" t="n">
        <v>3261000</v>
      </c>
      <c r="D46" s="17" t="n">
        <v>3222000</v>
      </c>
      <c r="E46" s="17" t="n">
        <v>3356000</v>
      </c>
      <c r="F46" s="17" t="n">
        <v>3187000</v>
      </c>
    </row>
    <row r="47">
      <c r="A47" s="15" t="inlineStr">
        <is>
          <t>Gældsforpligtelser</t>
        </is>
      </c>
      <c r="B47" s="17" t="n">
        <v>3353000</v>
      </c>
      <c r="C47" s="17" t="n">
        <v>3970000</v>
      </c>
      <c r="D47" s="17" t="n">
        <v>4130000</v>
      </c>
      <c r="E47" s="17" t="n">
        <v>4234000</v>
      </c>
      <c r="F47" s="17" t="n">
        <v>4300000</v>
      </c>
    </row>
    <row r="48">
      <c r="A48" s="15" t="inlineStr">
        <is>
          <t>Passiver</t>
        </is>
      </c>
      <c r="B48" s="17" t="n">
        <v>5305000</v>
      </c>
      <c r="C48" s="17" t="n">
        <v>5901000</v>
      </c>
      <c r="D48" s="17" t="n">
        <v>6112000</v>
      </c>
      <c r="E48" s="17" t="n">
        <v>6108000</v>
      </c>
      <c r="F48" s="17" t="n">
        <v>6296000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solar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783000</v>
      </c>
      <c r="C2" s="17" t="n">
        <v>16000</v>
      </c>
      <c r="D2" s="17" t="n">
        <v>855000</v>
      </c>
      <c r="E2" s="17" t="n">
        <v>538000</v>
      </c>
      <c r="F2" s="17" t="n">
        <v>410000</v>
      </c>
    </row>
    <row r="3">
      <c r="A3" s="16" t="inlineStr">
        <is>
          <t>Pengestrømme fra investeringsaktivitet</t>
        </is>
      </c>
      <c r="B3" s="17" t="n">
        <v>-191000</v>
      </c>
      <c r="C3" s="17" t="n">
        <v>-249000</v>
      </c>
      <c r="D3" s="17" t="n">
        <v>-405000</v>
      </c>
      <c r="E3" s="17" t="n">
        <v>-265000</v>
      </c>
      <c r="F3" s="17" t="n">
        <v>-651000</v>
      </c>
    </row>
    <row r="4">
      <c r="A4" s="16" t="inlineStr">
        <is>
          <t>Pengestrømme fra finansieringsaktivitet</t>
        </is>
      </c>
      <c r="B4" s="17" t="n">
        <v>-515000</v>
      </c>
      <c r="C4" s="17" t="n">
        <v>-82000</v>
      </c>
      <c r="D4" s="17" t="n">
        <v>-175000</v>
      </c>
      <c r="E4" s="17" t="n">
        <v>-255000</v>
      </c>
      <c r="F4" s="17" t="n">
        <v>-85000</v>
      </c>
    </row>
    <row r="5">
      <c r="A5" s="16" t="inlineStr">
        <is>
          <t>Årets pengestrøm</t>
        </is>
      </c>
      <c r="B5" s="17" t="n"/>
      <c r="C5" s="17" t="n">
        <v>-315000</v>
      </c>
      <c r="D5" s="17" t="n">
        <v>275000</v>
      </c>
      <c r="E5" s="17" t="n">
        <v>18000</v>
      </c>
      <c r="F5" s="17" t="n">
        <v>-326000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solar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solar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ifrs-full:AdjustmentsForFinanceIncomeCost</t>
        </is>
      </c>
      <c r="C4" s="37" t="inlineStr">
        <is>
          <t>ifrs-full:AdjustmentsForFinanceIncomeCost</t>
        </is>
      </c>
      <c r="D4" s="38" t="n">
        <v>-48000</v>
      </c>
      <c r="E4" s="38" t="n">
        <v>-50000</v>
      </c>
      <c r="F4" s="38" t="n">
        <v>-90000</v>
      </c>
      <c r="G4" s="38" t="n">
        <v>-85000</v>
      </c>
      <c r="H4" s="38" t="n">
        <v>-71000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ifrs-full:AdjustmentsForIncomeTaxExpense</t>
        </is>
      </c>
      <c r="C5" s="34" t="inlineStr">
        <is>
          <t>ifrs-full:AdjustmentsForIncomeTaxExpense</t>
        </is>
      </c>
      <c r="D5" s="35" t="n">
        <v>91000</v>
      </c>
      <c r="E5" s="35" t="n">
        <v>198000</v>
      </c>
      <c r="F5" s="35" t="n">
        <v>120000</v>
      </c>
      <c r="G5" s="35" t="n">
        <v>44000</v>
      </c>
      <c r="H5" s="35" t="n">
        <v>11000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ifrs-full:AdjustmentsForUndistributedProfitsOfAssociates</t>
        </is>
      </c>
      <c r="C6" s="37" t="inlineStr">
        <is>
          <t>ifrs-full:AdjustmentsForUndistributedProfitsOfAssociates</t>
        </is>
      </c>
      <c r="D6" s="38" t="n">
        <v>-2000</v>
      </c>
      <c r="E6" s="38" t="n">
        <v>-1000</v>
      </c>
      <c r="F6" s="38" t="n">
        <v>0</v>
      </c>
      <c r="G6" s="38" t="n">
        <v>-1000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ifrs-full:CashAndCashEquivalentsInSubsidiaryOrBusinessesAcquiredOrDisposed2013</t>
        </is>
      </c>
      <c r="C7" s="34" t="inlineStr">
        <is>
          <t>ifrs-full:CashAndCashEquivalentsInSubsidiaryOrBusinessesAcquiredOrDisposed2013</t>
        </is>
      </c>
      <c r="D7" s="35" t="n">
        <v>0</v>
      </c>
      <c r="E7" s="35" t="n"/>
      <c r="F7" s="35" t="n"/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ifrs-full:DividendsRecognisedAsDistributionsToNoncontrollingInterests</t>
        </is>
      </c>
      <c r="C8" s="37" t="inlineStr">
        <is>
          <t>ifrs-full:DividendsRecognisedAsDistributionsToNoncontrollingInterests</t>
        </is>
      </c>
      <c r="D8" s="38" t="n"/>
      <c r="E8" s="38" t="n"/>
      <c r="F8" s="38" t="n"/>
      <c r="G8" s="38" t="n">
        <v>1000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ifrs-full:DividendsRecognisedAsDistributionsToOwnersOfParentRelatingToPriorYears</t>
        </is>
      </c>
      <c r="C9" s="34" t="inlineStr">
        <is>
          <t>ifrs-full:DividendsRecognisedAsDistributionsToOwnersOfParentRelatingToPriorYears</t>
        </is>
      </c>
      <c r="D9" s="35" t="n">
        <v>204000</v>
      </c>
      <c r="E9" s="35" t="n">
        <v>329000</v>
      </c>
      <c r="F9" s="35" t="n">
        <v>329000</v>
      </c>
      <c r="G9" s="35" t="n">
        <v>219000</v>
      </c>
      <c r="H9" s="35" t="n">
        <v>110000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ifrs-full:DividendsRecognisedAsDistributionsToOwnersPerShare</t>
        </is>
      </c>
      <c r="C10" s="37" t="inlineStr">
        <is>
          <t>ifrs-full:DividendsRecognisedAsDistributionsToOwnersPerShare</t>
        </is>
      </c>
      <c r="D10" s="38" t="n"/>
      <c r="E10" s="38" t="n">
        <v>0</v>
      </c>
      <c r="F10" s="38" t="n">
        <v>0</v>
      </c>
      <c r="G10" s="38" t="n">
        <v>0</v>
      </c>
      <c r="H10" s="38" t="n">
        <v>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ifrs-full:GainsLossesOnExchangeDifferencesOnTranslationNetOfTax</t>
        </is>
      </c>
      <c r="C11" s="34" t="inlineStr">
        <is>
          <t>ifrs-full:GainsLossesOnExchangeDifferencesOnTranslationNetOfTax</t>
        </is>
      </c>
      <c r="D11" s="35" t="n"/>
      <c r="E11" s="35" t="n"/>
      <c r="F11" s="35" t="n"/>
      <c r="G11" s="35" t="n"/>
      <c r="H11" s="35" t="n">
        <v>33000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ifrs-full:ImpairmentLossRecognisedInProfitOrLossTradeReceivables</t>
        </is>
      </c>
      <c r="C12" s="37" t="inlineStr">
        <is>
          <t>ifrs-full:ImpairmentLossRecognisedInProfitOrLossTradeReceivables</t>
        </is>
      </c>
      <c r="D12" s="38" t="n">
        <v>20000</v>
      </c>
      <c r="E12" s="38" t="n">
        <v>28000</v>
      </c>
      <c r="F12" s="38" t="n">
        <v>17000</v>
      </c>
      <c r="G12" s="38" t="n">
        <v>14000</v>
      </c>
      <c r="H12" s="38" t="n">
        <v>11000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2026-09-13T19:40:21Z</dcterms:created>
  <dcterms:modified xmlns:dcterms="http://purl.org/dc/terms/" xmlns:xsi="http://www.w3.org/2001/XMLSchema-instance" xsi:type="dcterms:W3CDTF">2026-09-13T19:40:22Z</dcterms:modified>
</cp:coreProperties>
</file>