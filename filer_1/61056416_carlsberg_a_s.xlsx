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61056416" sheetId="1" state="visible" r:id="rId1"/>
    <sheet xmlns:r="http://schemas.openxmlformats.org/officeDocument/2006/relationships" name="res_raw_61056416" sheetId="2" state="visible" r:id="rId2"/>
    <sheet xmlns:r="http://schemas.openxmlformats.org/officeDocument/2006/relationships" name="balance_raw_61056416" sheetId="3" state="visible" r:id="rId3"/>
    <sheet xmlns:r="http://schemas.openxmlformats.org/officeDocument/2006/relationships" name="pengestrom_raw_61056416" sheetId="4" state="visible" r:id="rId4"/>
    <sheet xmlns:r="http://schemas.openxmlformats.org/officeDocument/2006/relationships" name="Simpel_funk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Carlsberg A/S (CVR 61056416) — Regnskabsanalyse – Resultatopgørelse &amp; Balance (t.kr.) · Klasse D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'res_raw_61056416'!$B$2</f>
        <v/>
      </c>
      <c r="C4" s="5">
        <f>'res_raw_61056416'!$C$2</f>
        <v/>
      </c>
      <c r="D4" s="5">
        <f>'res_raw_61056416'!$D$2</f>
        <v/>
      </c>
      <c r="E4" s="5">
        <f>'res_raw_61056416'!$E$2</f>
        <v/>
      </c>
      <c r="F4" s="5">
        <f>'res_raw_61056416'!$F$2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'res_raw_61056416'!$B$3</f>
        <v/>
      </c>
      <c r="C5" s="8">
        <f>'res_raw_61056416'!$C$3</f>
        <v/>
      </c>
      <c r="D5" s="8">
        <f>'res_raw_61056416'!$D$3</f>
        <v/>
      </c>
      <c r="E5" s="8">
        <f>'res_raw_61056416'!$E$3</f>
        <v/>
      </c>
      <c r="F5" s="8">
        <f>'res_raw_61056416'!$F$3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'res_raw_61056416'!$B$4</f>
        <v/>
      </c>
      <c r="C6" s="8">
        <f>'res_raw_61056416'!$C$4</f>
        <v/>
      </c>
      <c r="D6" s="8">
        <f>'res_raw_61056416'!$D$4</f>
        <v/>
      </c>
      <c r="E6" s="8">
        <f>'res_raw_61056416'!$E$4</f>
        <v/>
      </c>
      <c r="F6" s="8">
        <f>'res_raw_61056416'!$F$4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'res_raw_61056416'!$B$5</f>
        <v/>
      </c>
      <c r="C7" s="11">
        <f>'res_raw_61056416'!$C$5</f>
        <v/>
      </c>
      <c r="D7" s="11">
        <f>'res_raw_61056416'!$D$5</f>
        <v/>
      </c>
      <c r="E7" s="11">
        <f>'res_raw_61056416'!$E$5</f>
        <v/>
      </c>
      <c r="F7" s="11">
        <f>'res_raw_61056416'!$F$5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'res_raw_61056416'!$B$6</f>
        <v/>
      </c>
      <c r="C8" s="8">
        <f>'res_raw_61056416'!$C$6</f>
        <v/>
      </c>
      <c r="D8" s="8">
        <f>'res_raw_61056416'!$D$6</f>
        <v/>
      </c>
      <c r="E8" s="8">
        <f>'res_raw_61056416'!$E$6</f>
        <v/>
      </c>
      <c r="F8" s="8">
        <f>'res_raw_61056416'!$F$6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'res_raw_61056416'!$B$7</f>
        <v/>
      </c>
      <c r="C9" s="8">
        <f>'res_raw_61056416'!$C$7</f>
        <v/>
      </c>
      <c r="D9" s="8">
        <f>'res_raw_61056416'!$D$7</f>
        <v/>
      </c>
      <c r="E9" s="8">
        <f>'res_raw_61056416'!$E$7</f>
        <v/>
      </c>
      <c r="F9" s="8">
        <f>'res_raw_61056416'!$F$7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'res_raw_61056416'!$B$8</f>
        <v/>
      </c>
      <c r="C10" s="5">
        <f>'res_raw_61056416'!$C$8</f>
        <v/>
      </c>
      <c r="D10" s="5">
        <f>'res_raw_61056416'!$D$8</f>
        <v/>
      </c>
      <c r="E10" s="5">
        <f>'res_raw_61056416'!$E$8</f>
        <v/>
      </c>
      <c r="F10" s="5">
        <f>'res_raw_61056416'!$F$8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'res_raw_61056416'!$B$9</f>
        <v/>
      </c>
      <c r="C11" s="11">
        <f>'res_raw_61056416'!$C$9</f>
        <v/>
      </c>
      <c r="D11" s="11">
        <f>'res_raw_61056416'!$D$9</f>
        <v/>
      </c>
      <c r="E11" s="11">
        <f>'res_raw_61056416'!$E$9</f>
        <v/>
      </c>
      <c r="F11" s="11">
        <f>'res_raw_61056416'!$F$9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'res_raw_61056416'!$B$10</f>
        <v/>
      </c>
      <c r="C12" s="8">
        <f>'res_raw_61056416'!$C$10</f>
        <v/>
      </c>
      <c r="D12" s="8">
        <f>'res_raw_61056416'!$D$10</f>
        <v/>
      </c>
      <c r="E12" s="8">
        <f>'res_raw_61056416'!$E$10</f>
        <v/>
      </c>
      <c r="F12" s="8">
        <f>'res_raw_61056416'!$F$10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'res_raw_61056416'!$B$11</f>
        <v/>
      </c>
      <c r="C13" s="11">
        <f>'res_raw_61056416'!$C$11</f>
        <v/>
      </c>
      <c r="D13" s="11">
        <f>'res_raw_61056416'!$D$11</f>
        <v/>
      </c>
      <c r="E13" s="11">
        <f>'res_raw_61056416'!$E$11</f>
        <v/>
      </c>
      <c r="F13" s="11">
        <f>'res_raw_61056416'!$F$11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'res_raw_61056416'!$B$12</f>
        <v/>
      </c>
      <c r="C14" s="5">
        <f>'res_raw_61056416'!$C$12</f>
        <v/>
      </c>
      <c r="D14" s="5">
        <f>'res_raw_61056416'!$D$12</f>
        <v/>
      </c>
      <c r="E14" s="5">
        <f>'res_raw_61056416'!$E$12</f>
        <v/>
      </c>
      <c r="F14" s="5">
        <f>'res_raw_61056416'!$F$12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'res_raw_61056416'!$B$13</f>
        <v/>
      </c>
      <c r="C15" s="11">
        <f>'res_raw_61056416'!$C$13</f>
        <v/>
      </c>
      <c r="D15" s="11">
        <f>'res_raw_61056416'!$D$13</f>
        <v/>
      </c>
      <c r="E15" s="11">
        <f>'res_raw_61056416'!$E$13</f>
        <v/>
      </c>
      <c r="F15" s="11">
        <f>'res_raw_61056416'!$F$13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'res_raw_61056416'!$B$14</f>
        <v/>
      </c>
      <c r="C16" s="8">
        <f>'res_raw_61056416'!$C$14</f>
        <v/>
      </c>
      <c r="D16" s="8">
        <f>'res_raw_61056416'!$D$14</f>
        <v/>
      </c>
      <c r="E16" s="8">
        <f>'res_raw_61056416'!$E$14</f>
        <v/>
      </c>
      <c r="F16" s="8">
        <f>'res_raw_61056416'!$F$14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'res_raw_61056416'!$B$15</f>
        <v/>
      </c>
      <c r="C17" s="8">
        <f>'res_raw_61056416'!$C$15</f>
        <v/>
      </c>
      <c r="D17" s="8">
        <f>'res_raw_61056416'!$D$15</f>
        <v/>
      </c>
      <c r="E17" s="8">
        <f>'res_raw_61056416'!$E$15</f>
        <v/>
      </c>
      <c r="F17" s="8">
        <f>'res_raw_61056416'!$F$15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'res_raw_61056416'!$B$16</f>
        <v/>
      </c>
      <c r="C18" s="5">
        <f>'res_raw_61056416'!$C$16</f>
        <v/>
      </c>
      <c r="D18" s="5">
        <f>'res_raw_61056416'!$D$16</f>
        <v/>
      </c>
      <c r="E18" s="5">
        <f>'res_raw_61056416'!$E$16</f>
        <v/>
      </c>
      <c r="F18" s="5">
        <f>'res_raw_61056416'!$F$16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'res_raw_61056416'!$B$17</f>
        <v/>
      </c>
      <c r="C19" s="8">
        <f>'res_raw_61056416'!$C$17</f>
        <v/>
      </c>
      <c r="D19" s="8">
        <f>'res_raw_61056416'!$D$17</f>
        <v/>
      </c>
      <c r="E19" s="8">
        <f>'res_raw_61056416'!$E$17</f>
        <v/>
      </c>
      <c r="F19" s="8">
        <f>'res_raw_61056416'!$F$17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7" t="inlineStr">
        <is>
          <t>Immaterielle anlægsaktiver</t>
        </is>
      </c>
      <c r="B22" s="8">
        <f>'balance_raw_61056416'!$B$2</f>
        <v/>
      </c>
      <c r="C22" s="8">
        <f>'balance_raw_61056416'!$C$2</f>
        <v/>
      </c>
      <c r="D22" s="8">
        <f>'balance_raw_61056416'!$D$2</f>
        <v/>
      </c>
      <c r="E22" s="8">
        <f>'balance_raw_61056416'!$E$2</f>
        <v/>
      </c>
      <c r="F22" s="8">
        <f>'balance_raw_61056416'!$F$2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7" t="inlineStr">
        <is>
          <t>Materielle anlægsaktiver</t>
        </is>
      </c>
      <c r="B23" s="8">
        <f>'balance_raw_61056416'!$B$3</f>
        <v/>
      </c>
      <c r="C23" s="8">
        <f>'balance_raw_61056416'!$C$3</f>
        <v/>
      </c>
      <c r="D23" s="8">
        <f>'balance_raw_61056416'!$D$3</f>
        <v/>
      </c>
      <c r="E23" s="8">
        <f>'balance_raw_61056416'!$E$3</f>
        <v/>
      </c>
      <c r="F23" s="8">
        <f>'balance_raw_61056416'!$F$3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Kapitalandele, dattervirksomheder</t>
        </is>
      </c>
      <c r="B24" s="5">
        <f>'balance_raw_61056416'!$B$4</f>
        <v/>
      </c>
      <c r="C24" s="5">
        <f>'balance_raw_61056416'!$C$4</f>
        <v/>
      </c>
      <c r="D24" s="5">
        <f>'balance_raw_61056416'!$D$4</f>
        <v/>
      </c>
      <c r="E24" s="5">
        <f>'balance_raw_61056416'!$E$4</f>
        <v/>
      </c>
      <c r="F24" s="5">
        <f>'balance_raw_61056416'!$F$4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Deposita</t>
        </is>
      </c>
      <c r="B25" s="11">
        <f>'balance_raw_61056416'!$B$5</f>
        <v/>
      </c>
      <c r="C25" s="11">
        <f>'balance_raw_61056416'!$C$5</f>
        <v/>
      </c>
      <c r="D25" s="11">
        <f>'balance_raw_61056416'!$D$5</f>
        <v/>
      </c>
      <c r="E25" s="11">
        <f>'balance_raw_61056416'!$E$5</f>
        <v/>
      </c>
      <c r="F25" s="11">
        <f>'balance_raw_61056416'!$F$5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7" t="inlineStr">
        <is>
          <t>Finansielle anlægsaktiver</t>
        </is>
      </c>
      <c r="B26" s="8">
        <f>'balance_raw_61056416'!$B$6</f>
        <v/>
      </c>
      <c r="C26" s="8">
        <f>'balance_raw_61056416'!$C$6</f>
        <v/>
      </c>
      <c r="D26" s="8">
        <f>'balance_raw_61056416'!$D$6</f>
        <v/>
      </c>
      <c r="E26" s="8">
        <f>'balance_raw_61056416'!$E$6</f>
        <v/>
      </c>
      <c r="F26" s="8">
        <f>'balance_raw_61056416'!$F$6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Anlægsaktiver</t>
        </is>
      </c>
      <c r="B27" s="8">
        <f>'balance_raw_61056416'!$B$7</f>
        <v/>
      </c>
      <c r="C27" s="8">
        <f>'balance_raw_61056416'!$C$7</f>
        <v/>
      </c>
      <c r="D27" s="8">
        <f>'balance_raw_61056416'!$D$7</f>
        <v/>
      </c>
      <c r="E27" s="8">
        <f>'balance_raw_61056416'!$E$7</f>
        <v/>
      </c>
      <c r="F27" s="8">
        <f>'balance_raw_61056416'!$F$7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7" t="inlineStr">
        <is>
          <t>Varebeholdninger</t>
        </is>
      </c>
      <c r="B28" s="8">
        <f>'balance_raw_61056416'!$B$8</f>
        <v/>
      </c>
      <c r="C28" s="8">
        <f>'balance_raw_61056416'!$C$8</f>
        <v/>
      </c>
      <c r="D28" s="8">
        <f>'balance_raw_61056416'!$D$8</f>
        <v/>
      </c>
      <c r="E28" s="8">
        <f>'balance_raw_61056416'!$E$8</f>
        <v/>
      </c>
      <c r="F28" s="8">
        <f>'balance_raw_61056416'!$F$8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10" t="inlineStr">
        <is>
          <t>Tilgodehavender fra salg og tjenesteydelser</t>
        </is>
      </c>
      <c r="B29" s="11">
        <f>'balance_raw_61056416'!$B$9</f>
        <v/>
      </c>
      <c r="C29" s="11">
        <f>'balance_raw_61056416'!$C$9</f>
        <v/>
      </c>
      <c r="D29" s="11">
        <f>'balance_raw_61056416'!$D$9</f>
        <v/>
      </c>
      <c r="E29" s="11">
        <f>'balance_raw_61056416'!$E$9</f>
        <v/>
      </c>
      <c r="F29" s="11">
        <f>'balance_raw_61056416'!$F$9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hos tilknyttede virksomheder</t>
        </is>
      </c>
      <c r="B30" s="5">
        <f>'balance_raw_61056416'!$B$10</f>
        <v/>
      </c>
      <c r="C30" s="5">
        <f>'balance_raw_61056416'!$C$10</f>
        <v/>
      </c>
      <c r="D30" s="5">
        <f>'balance_raw_61056416'!$D$10</f>
        <v/>
      </c>
      <c r="E30" s="5">
        <f>'balance_raw_61056416'!$E$10</f>
        <v/>
      </c>
      <c r="F30" s="5">
        <f>'balance_raw_61056416'!$F$10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Andre tilgodehavender</t>
        </is>
      </c>
      <c r="B31" s="11">
        <f>'balance_raw_61056416'!$B$11</f>
        <v/>
      </c>
      <c r="C31" s="11">
        <f>'balance_raw_61056416'!$C$11</f>
        <v/>
      </c>
      <c r="D31" s="11">
        <f>'balance_raw_61056416'!$D$11</f>
        <v/>
      </c>
      <c r="E31" s="11">
        <f>'balance_raw_61056416'!$E$11</f>
        <v/>
      </c>
      <c r="F31" s="11">
        <f>'balance_raw_61056416'!$F$11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Periodeafgrænsningsposter (aktiver)</t>
        </is>
      </c>
      <c r="B32" s="5">
        <f>'balance_raw_61056416'!$B$12</f>
        <v/>
      </c>
      <c r="C32" s="5">
        <f>'balance_raw_61056416'!$C$12</f>
        <v/>
      </c>
      <c r="D32" s="5">
        <f>'balance_raw_61056416'!$D$12</f>
        <v/>
      </c>
      <c r="E32" s="5">
        <f>'balance_raw_61056416'!$E$12</f>
        <v/>
      </c>
      <c r="F32" s="5">
        <f>'balance_raw_61056416'!$F$12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Udskudt skatteaktiv</t>
        </is>
      </c>
      <c r="B33" s="11">
        <f>'balance_raw_61056416'!$B$13</f>
        <v/>
      </c>
      <c r="C33" s="11">
        <f>'balance_raw_61056416'!$C$13</f>
        <v/>
      </c>
      <c r="D33" s="11">
        <f>'balance_raw_61056416'!$D$13</f>
        <v/>
      </c>
      <c r="E33" s="11">
        <f>'balance_raw_61056416'!$E$13</f>
        <v/>
      </c>
      <c r="F33" s="11">
        <f>'balance_raw_61056416'!$F$13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 skat hos tilknyttede virksomheder</t>
        </is>
      </c>
      <c r="B34" s="5">
        <f>'balance_raw_61056416'!$B$14</f>
        <v/>
      </c>
      <c r="C34" s="5">
        <f>'balance_raw_61056416'!$C$14</f>
        <v/>
      </c>
      <c r="D34" s="5">
        <f>'balance_raw_61056416'!$D$14</f>
        <v/>
      </c>
      <c r="E34" s="5">
        <f>'balance_raw_61056416'!$E$14</f>
        <v/>
      </c>
      <c r="F34" s="5">
        <f>'balance_raw_61056416'!$F$14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Kortfristede skattetilgodehavender</t>
        </is>
      </c>
      <c r="B35" s="11">
        <f>'balance_raw_61056416'!$B$15</f>
        <v/>
      </c>
      <c r="C35" s="11">
        <f>'balance_raw_61056416'!$C$15</f>
        <v/>
      </c>
      <c r="D35" s="11">
        <f>'balance_raw_61056416'!$D$15</f>
        <v/>
      </c>
      <c r="E35" s="11">
        <f>'balance_raw_61056416'!$E$15</f>
        <v/>
      </c>
      <c r="F35" s="11">
        <f>'balance_raw_61056416'!$F$15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7" t="inlineStr">
        <is>
          <t>Tilgodehavender</t>
        </is>
      </c>
      <c r="B36" s="8">
        <f>'balance_raw_61056416'!$B$16</f>
        <v/>
      </c>
      <c r="C36" s="8">
        <f>'balance_raw_61056416'!$C$16</f>
        <v/>
      </c>
      <c r="D36" s="8">
        <f>'balance_raw_61056416'!$D$16</f>
        <v/>
      </c>
      <c r="E36" s="8">
        <f>'balance_raw_61056416'!$E$16</f>
        <v/>
      </c>
      <c r="F36" s="8">
        <f>'balance_raw_61056416'!$F$16</f>
        <v/>
      </c>
      <c r="G36" t="inlineStr"/>
      <c r="H36" s="9">
        <f>IFERROR(B36/$B$36*100,"")</f>
        <v/>
      </c>
      <c r="I36" s="9">
        <f>IFERROR(C36/$B$36*100,"")</f>
        <v/>
      </c>
      <c r="J36" s="9">
        <f>IFERROR(D36/$B$36*100,"")</f>
        <v/>
      </c>
      <c r="K36" s="9">
        <f>IFERROR(E36/$B$36*100,"")</f>
        <v/>
      </c>
      <c r="L36" s="9">
        <f>IFERROR(F36/$B$36*100,"")</f>
        <v/>
      </c>
    </row>
    <row r="37" ht="16" customHeight="1">
      <c r="A37" s="10" t="inlineStr">
        <is>
          <t>Værdipapirer</t>
        </is>
      </c>
      <c r="B37" s="11">
        <f>'balance_raw_61056416'!$B$17</f>
        <v/>
      </c>
      <c r="C37" s="11">
        <f>'balance_raw_61056416'!$C$17</f>
        <v/>
      </c>
      <c r="D37" s="11">
        <f>'balance_raw_61056416'!$D$17</f>
        <v/>
      </c>
      <c r="E37" s="11">
        <f>'balance_raw_61056416'!$E$17</f>
        <v/>
      </c>
      <c r="F37" s="11">
        <f>'balance_raw_61056416'!$F$17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Likvide beholdninger</t>
        </is>
      </c>
      <c r="B38" s="5">
        <f>'balance_raw_61056416'!$B$18</f>
        <v/>
      </c>
      <c r="C38" s="5">
        <f>'balance_raw_61056416'!$C$18</f>
        <v/>
      </c>
      <c r="D38" s="5">
        <f>'balance_raw_61056416'!$D$18</f>
        <v/>
      </c>
      <c r="E38" s="5">
        <f>'balance_raw_61056416'!$E$18</f>
        <v/>
      </c>
      <c r="F38" s="5">
        <f>'balance_raw_61056416'!$F$18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Omsætningsaktiver</t>
        </is>
      </c>
      <c r="B39" s="8">
        <f>'balance_raw_61056416'!$B$19</f>
        <v/>
      </c>
      <c r="C39" s="8">
        <f>'balance_raw_61056416'!$C$19</f>
        <v/>
      </c>
      <c r="D39" s="8">
        <f>'balance_raw_61056416'!$D$19</f>
        <v/>
      </c>
      <c r="E39" s="8">
        <f>'balance_raw_61056416'!$E$19</f>
        <v/>
      </c>
      <c r="F39" s="8">
        <f>'balance_raw_61056416'!$F$19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7" t="inlineStr">
        <is>
          <t>Aktiver</t>
        </is>
      </c>
      <c r="B40" s="8">
        <f>'balance_raw_61056416'!$B$20</f>
        <v/>
      </c>
      <c r="C40" s="8">
        <f>'balance_raw_61056416'!$C$20</f>
        <v/>
      </c>
      <c r="D40" s="8">
        <f>'balance_raw_61056416'!$D$20</f>
        <v/>
      </c>
      <c r="E40" s="8">
        <f>'balance_raw_61056416'!$E$20</f>
        <v/>
      </c>
      <c r="F40" s="8">
        <f>'balance_raw_61056416'!$F$20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2" ht="22" customHeight="1">
      <c r="A42" s="3" t="inlineStr">
        <is>
          <t>PASSIVER t.kr.</t>
        </is>
      </c>
      <c r="B42" s="3" t="n">
        <v>2021</v>
      </c>
      <c r="C42" s="3" t="n">
        <v>2022</v>
      </c>
      <c r="D42" s="3" t="n">
        <v>2023</v>
      </c>
      <c r="E42" s="3" t="n">
        <v>2024</v>
      </c>
      <c r="F42" s="3" t="n">
        <v>2025</v>
      </c>
      <c r="G42" t="inlineStr"/>
      <c r="H42" s="3" t="n">
        <v>2021</v>
      </c>
      <c r="I42" s="3" t="n">
        <v>2022</v>
      </c>
      <c r="J42" s="3" t="n">
        <v>2023</v>
      </c>
      <c r="K42" s="3" t="n">
        <v>2024</v>
      </c>
      <c r="L42" s="3" t="n">
        <v>2025</v>
      </c>
    </row>
    <row r="43" ht="16" customHeight="1">
      <c r="A43" s="10" t="inlineStr">
        <is>
          <t>Selskabskapital</t>
        </is>
      </c>
      <c r="B43" s="11">
        <f>'balance_raw_61056416'!$B$21</f>
        <v/>
      </c>
      <c r="C43" s="11">
        <f>'balance_raw_61056416'!$C$21</f>
        <v/>
      </c>
      <c r="D43" s="11">
        <f>'balance_raw_61056416'!$D$21</f>
        <v/>
      </c>
      <c r="E43" s="11">
        <f>'balance_raw_61056416'!$E$21</f>
        <v/>
      </c>
      <c r="F43" s="11">
        <f>'balance_raw_61056416'!$F$21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nettoopskrivning (indre værdis metode)</t>
        </is>
      </c>
      <c r="B44" s="5">
        <f>'balance_raw_61056416'!$B$22</f>
        <v/>
      </c>
      <c r="C44" s="5">
        <f>'balance_raw_61056416'!$C$22</f>
        <v/>
      </c>
      <c r="D44" s="5">
        <f>'balance_raw_61056416'!$D$22</f>
        <v/>
      </c>
      <c r="E44" s="5">
        <f>'balance_raw_61056416'!$E$22</f>
        <v/>
      </c>
      <c r="F44" s="5">
        <f>'balance_raw_61056416'!$F$22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udviklingsomkostninger</t>
        </is>
      </c>
      <c r="B45" s="11">
        <f>'balance_raw_61056416'!$B$23</f>
        <v/>
      </c>
      <c r="C45" s="11">
        <f>'balance_raw_61056416'!$C$23</f>
        <v/>
      </c>
      <c r="D45" s="11">
        <f>'balance_raw_61056416'!$D$23</f>
        <v/>
      </c>
      <c r="E45" s="11">
        <f>'balance_raw_61056416'!$E$23</f>
        <v/>
      </c>
      <c r="F45" s="11">
        <f>'balance_raw_61056416'!$F$23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sikringstransaktioner</t>
        </is>
      </c>
      <c r="B46" s="5">
        <f>'balance_raw_61056416'!$B$24</f>
        <v/>
      </c>
      <c r="C46" s="5">
        <f>'balance_raw_61056416'!$C$24</f>
        <v/>
      </c>
      <c r="D46" s="5">
        <f>'balance_raw_61056416'!$D$24</f>
        <v/>
      </c>
      <c r="E46" s="5">
        <f>'balance_raw_61056416'!$E$24</f>
        <v/>
      </c>
      <c r="F46" s="5">
        <f>'balance_raw_61056416'!$F$24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Andre reserver</t>
        </is>
      </c>
      <c r="B47" s="11">
        <f>'balance_raw_61056416'!$B$25</f>
        <v/>
      </c>
      <c r="C47" s="11">
        <f>'balance_raw_61056416'!$C$25</f>
        <v/>
      </c>
      <c r="D47" s="11">
        <f>'balance_raw_61056416'!$D$25</f>
        <v/>
      </c>
      <c r="E47" s="11">
        <f>'balance_raw_61056416'!$E$25</f>
        <v/>
      </c>
      <c r="F47" s="11">
        <f>'balance_raw_61056416'!$F$25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Overført resultat</t>
        </is>
      </c>
      <c r="B48" s="5">
        <f>'balance_raw_61056416'!$B$26</f>
        <v/>
      </c>
      <c r="C48" s="5">
        <f>'balance_raw_61056416'!$C$26</f>
        <v/>
      </c>
      <c r="D48" s="5">
        <f>'balance_raw_61056416'!$D$26</f>
        <v/>
      </c>
      <c r="E48" s="5">
        <f>'balance_raw_61056416'!$E$26</f>
        <v/>
      </c>
      <c r="F48" s="5">
        <f>'balance_raw_61056416'!$F$26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Egenkapital i alt</t>
        </is>
      </c>
      <c r="B49" s="8">
        <f>'balance_raw_61056416'!$B$27</f>
        <v/>
      </c>
      <c r="C49" s="8">
        <f>'balance_raw_61056416'!$C$27</f>
        <v/>
      </c>
      <c r="D49" s="8">
        <f>'balance_raw_61056416'!$D$27</f>
        <v/>
      </c>
      <c r="E49" s="8">
        <f>'balance_raw_61056416'!$E$27</f>
        <v/>
      </c>
      <c r="F49" s="8">
        <f>'balance_raw_61056416'!$F$27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Hensættelse til udskudt skat</t>
        </is>
      </c>
      <c r="B50" s="5">
        <f>'balance_raw_61056416'!$B$28</f>
        <v/>
      </c>
      <c r="C50" s="5">
        <f>'balance_raw_61056416'!$C$28</f>
        <v/>
      </c>
      <c r="D50" s="5">
        <f>'balance_raw_61056416'!$D$28</f>
        <v/>
      </c>
      <c r="E50" s="5">
        <f>'balance_raw_61056416'!$E$28</f>
        <v/>
      </c>
      <c r="F50" s="5">
        <f>'balance_raw_61056416'!$F$28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Hensatte forpligtelser</t>
        </is>
      </c>
      <c r="B51" s="8">
        <f>'balance_raw_61056416'!$B$29</f>
        <v/>
      </c>
      <c r="C51" s="8">
        <f>'balance_raw_61056416'!$C$29</f>
        <v/>
      </c>
      <c r="D51" s="8">
        <f>'balance_raw_61056416'!$D$29</f>
        <v/>
      </c>
      <c r="E51" s="8">
        <f>'balance_raw_61056416'!$E$29</f>
        <v/>
      </c>
      <c r="F51" s="8">
        <f>'balance_raw_61056416'!$F$29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Ansvarlig lånekapital (langfristet)</t>
        </is>
      </c>
      <c r="B52" s="5">
        <f>'balance_raw_61056416'!$B$30</f>
        <v/>
      </c>
      <c r="C52" s="5">
        <f>'balance_raw_61056416'!$C$30</f>
        <v/>
      </c>
      <c r="D52" s="5">
        <f>'balance_raw_61056416'!$D$30</f>
        <v/>
      </c>
      <c r="E52" s="5">
        <f>'balance_raw_61056416'!$E$30</f>
        <v/>
      </c>
      <c r="F52" s="5">
        <f>'balance_raw_61056416'!$F$30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Langfristede lån</t>
        </is>
      </c>
      <c r="B53" s="11">
        <f>'balance_raw_61056416'!$B$31</f>
        <v/>
      </c>
      <c r="C53" s="11">
        <f>'balance_raw_61056416'!$C$31</f>
        <v/>
      </c>
      <c r="D53" s="11">
        <f>'balance_raw_61056416'!$D$31</f>
        <v/>
      </c>
      <c r="E53" s="11">
        <f>'balance_raw_61056416'!$E$31</f>
        <v/>
      </c>
      <c r="F53" s="11">
        <f>'balance_raw_61056416'!$F$31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Leasingforpligtelser (langfristet)</t>
        </is>
      </c>
      <c r="B54" s="5">
        <f>'balance_raw_61056416'!$B$32</f>
        <v/>
      </c>
      <c r="C54" s="5">
        <f>'balance_raw_61056416'!$C$32</f>
        <v/>
      </c>
      <c r="D54" s="5">
        <f>'balance_raw_61056416'!$D$32</f>
        <v/>
      </c>
      <c r="E54" s="5">
        <f>'balance_raw_61056416'!$E$32</f>
        <v/>
      </c>
      <c r="F54" s="5">
        <f>'balance_raw_61056416'!$F$32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Anden gæld (langfristet)</t>
        </is>
      </c>
      <c r="B55" s="11">
        <f>'balance_raw_61056416'!$B$33</f>
        <v/>
      </c>
      <c r="C55" s="11">
        <f>'balance_raw_61056416'!$C$33</f>
        <v/>
      </c>
      <c r="D55" s="11">
        <f>'balance_raw_61056416'!$D$33</f>
        <v/>
      </c>
      <c r="E55" s="11">
        <f>'balance_raw_61056416'!$E$33</f>
        <v/>
      </c>
      <c r="F55" s="11">
        <f>'balance_raw_61056416'!$F$33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Langfristede gældsforpligtelser</t>
        </is>
      </c>
      <c r="B56" s="8">
        <f>'balance_raw_61056416'!$B$34</f>
        <v/>
      </c>
      <c r="C56" s="8">
        <f>'balance_raw_61056416'!$C$34</f>
        <v/>
      </c>
      <c r="D56" s="8">
        <f>'balance_raw_61056416'!$D$34</f>
        <v/>
      </c>
      <c r="E56" s="8">
        <f>'balance_raw_61056416'!$E$34</f>
        <v/>
      </c>
      <c r="F56" s="8">
        <f>'balance_raw_61056416'!$F$34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Ansvarlig lånekapital (kortfristet)</t>
        </is>
      </c>
      <c r="B57" s="11">
        <f>'balance_raw_61056416'!$B$35</f>
        <v/>
      </c>
      <c r="C57" s="11">
        <f>'balance_raw_61056416'!$C$35</f>
        <v/>
      </c>
      <c r="D57" s="11">
        <f>'balance_raw_61056416'!$D$35</f>
        <v/>
      </c>
      <c r="E57" s="11">
        <f>'balance_raw_61056416'!$E$35</f>
        <v/>
      </c>
      <c r="F57" s="11">
        <f>'balance_raw_61056416'!$F$35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Kortfristet del af langfristede gældsforpligtelser</t>
        </is>
      </c>
      <c r="B58" s="5">
        <f>'balance_raw_61056416'!$B$36</f>
        <v/>
      </c>
      <c r="C58" s="5">
        <f>'balance_raw_61056416'!$C$36</f>
        <v/>
      </c>
      <c r="D58" s="5">
        <f>'balance_raw_61056416'!$D$36</f>
        <v/>
      </c>
      <c r="E58" s="5">
        <f>'balance_raw_61056416'!$E$36</f>
        <v/>
      </c>
      <c r="F58" s="5">
        <f>'balance_raw_61056416'!$F$36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Kreditinstitutter</t>
        </is>
      </c>
      <c r="B59" s="11">
        <f>'balance_raw_61056416'!$B$37</f>
        <v/>
      </c>
      <c r="C59" s="11">
        <f>'balance_raw_61056416'!$C$37</f>
        <v/>
      </c>
      <c r="D59" s="11">
        <f>'balance_raw_61056416'!$D$37</f>
        <v/>
      </c>
      <c r="E59" s="11">
        <f>'balance_raw_61056416'!$E$37</f>
        <v/>
      </c>
      <c r="F59" s="11">
        <f>'balance_raw_61056416'!$F$37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Leasingforpligtelser (kortfristet)</t>
        </is>
      </c>
      <c r="B60" s="5">
        <f>'balance_raw_61056416'!$B$38</f>
        <v/>
      </c>
      <c r="C60" s="5">
        <f>'balance_raw_61056416'!$C$38</f>
        <v/>
      </c>
      <c r="D60" s="5">
        <f>'balance_raw_61056416'!$D$38</f>
        <v/>
      </c>
      <c r="E60" s="5">
        <f>'balance_raw_61056416'!$E$38</f>
        <v/>
      </c>
      <c r="F60" s="5">
        <f>'balance_raw_61056416'!$F$38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Leverandører af varer og tjenesteydelser</t>
        </is>
      </c>
      <c r="B61" s="11">
        <f>'balance_raw_61056416'!$B$39</f>
        <v/>
      </c>
      <c r="C61" s="11">
        <f>'balance_raw_61056416'!$C$39</f>
        <v/>
      </c>
      <c r="D61" s="11">
        <f>'balance_raw_61056416'!$D$39</f>
        <v/>
      </c>
      <c r="E61" s="11">
        <f>'balance_raw_61056416'!$E$39</f>
        <v/>
      </c>
      <c r="F61" s="11">
        <f>'balance_raw_61056416'!$F$39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tilknyttede virksomheder</t>
        </is>
      </c>
      <c r="B62" s="5">
        <f>'balance_raw_61056416'!$B$40</f>
        <v/>
      </c>
      <c r="C62" s="5">
        <f>'balance_raw_61056416'!$C$40</f>
        <v/>
      </c>
      <c r="D62" s="5">
        <f>'balance_raw_61056416'!$D$40</f>
        <v/>
      </c>
      <c r="E62" s="5">
        <f>'balance_raw_61056416'!$E$40</f>
        <v/>
      </c>
      <c r="F62" s="5">
        <f>'balance_raw_61056416'!$F$40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Gæld til selskabsdeltagere og ledelse</t>
        </is>
      </c>
      <c r="B63" s="11">
        <f>'balance_raw_61056416'!$B$41</f>
        <v/>
      </c>
      <c r="C63" s="11">
        <f>'balance_raw_61056416'!$C$41</f>
        <v/>
      </c>
      <c r="D63" s="11">
        <f>'balance_raw_61056416'!$D$41</f>
        <v/>
      </c>
      <c r="E63" s="11">
        <f>'balance_raw_61056416'!$E$41</f>
        <v/>
      </c>
      <c r="F63" s="11">
        <f>'balance_raw_61056416'!$F$41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Selskabsskat</t>
        </is>
      </c>
      <c r="B64" s="5">
        <f>'balance_raw_61056416'!$B$42</f>
        <v/>
      </c>
      <c r="C64" s="5">
        <f>'balance_raw_61056416'!$C$42</f>
        <v/>
      </c>
      <c r="D64" s="5">
        <f>'balance_raw_61056416'!$D$42</f>
        <v/>
      </c>
      <c r="E64" s="5">
        <f>'balance_raw_61056416'!$E$42</f>
        <v/>
      </c>
      <c r="F64" s="5">
        <f>'balance_raw_61056416'!$F$42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tilknyttede virksomheder vedr. selskabsskat</t>
        </is>
      </c>
      <c r="B65" s="11">
        <f>'balance_raw_61056416'!$B$43</f>
        <v/>
      </c>
      <c r="C65" s="11">
        <f>'balance_raw_61056416'!$C$43</f>
        <v/>
      </c>
      <c r="D65" s="11">
        <f>'balance_raw_61056416'!$D$43</f>
        <v/>
      </c>
      <c r="E65" s="11">
        <f>'balance_raw_61056416'!$E$43</f>
        <v/>
      </c>
      <c r="F65" s="11">
        <f>'balance_raw_61056416'!$F$43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(kortfristet)</t>
        </is>
      </c>
      <c r="B66" s="5">
        <f>'balance_raw_61056416'!$B$44</f>
        <v/>
      </c>
      <c r="C66" s="5">
        <f>'balance_raw_61056416'!$C$44</f>
        <v/>
      </c>
      <c r="D66" s="5">
        <f>'balance_raw_61056416'!$D$44</f>
        <v/>
      </c>
      <c r="E66" s="5">
        <f>'balance_raw_61056416'!$E$44</f>
        <v/>
      </c>
      <c r="F66" s="5">
        <f>'balance_raw_61056416'!$F$44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Periodeafgrænsningsposter (passiver)</t>
        </is>
      </c>
      <c r="B67" s="11">
        <f>'balance_raw_61056416'!$B$45</f>
        <v/>
      </c>
      <c r="C67" s="11">
        <f>'balance_raw_61056416'!$C$45</f>
        <v/>
      </c>
      <c r="D67" s="11">
        <f>'balance_raw_61056416'!$D$45</f>
        <v/>
      </c>
      <c r="E67" s="11">
        <f>'balance_raw_61056416'!$E$45</f>
        <v/>
      </c>
      <c r="F67" s="11">
        <f>'balance_raw_61056416'!$F$45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7" t="inlineStr">
        <is>
          <t>Kortfristede gældsforpligtelser</t>
        </is>
      </c>
      <c r="B68" s="8">
        <f>'balance_raw_61056416'!$B$46</f>
        <v/>
      </c>
      <c r="C68" s="8">
        <f>'balance_raw_61056416'!$C$46</f>
        <v/>
      </c>
      <c r="D68" s="8">
        <f>'balance_raw_61056416'!$D$46</f>
        <v/>
      </c>
      <c r="E68" s="8">
        <f>'balance_raw_61056416'!$E$46</f>
        <v/>
      </c>
      <c r="F68" s="8">
        <f>'balance_raw_61056416'!$F$46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Gældsforpligtelser</t>
        </is>
      </c>
      <c r="B69" s="8">
        <f>'balance_raw_61056416'!$B$47</f>
        <v/>
      </c>
      <c r="C69" s="8">
        <f>'balance_raw_61056416'!$C$47</f>
        <v/>
      </c>
      <c r="D69" s="8">
        <f>'balance_raw_61056416'!$D$47</f>
        <v/>
      </c>
      <c r="E69" s="8">
        <f>'balance_raw_61056416'!$E$47</f>
        <v/>
      </c>
      <c r="F69" s="8">
        <f>'balance_raw_61056416'!$F$47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7" t="inlineStr">
        <is>
          <t>Passiver</t>
        </is>
      </c>
      <c r="B70" s="8">
        <f>'balance_raw_61056416'!$B$48</f>
        <v/>
      </c>
      <c r="C70" s="8">
        <f>'balance_raw_61056416'!$C$48</f>
        <v/>
      </c>
      <c r="D70" s="8">
        <f>'balance_raw_61056416'!$D$48</f>
        <v/>
      </c>
      <c r="E70" s="8">
        <f>'balance_raw_61056416'!$E$48</f>
        <v/>
      </c>
      <c r="F70" s="8">
        <f>'balance_raw_61056416'!$F$48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2" ht="22" customHeight="1">
      <c r="A72" s="3" t="inlineStr">
        <is>
          <t>NØGLEOPLYSNINGER</t>
        </is>
      </c>
      <c r="B72" s="3" t="n">
        <v>2021</v>
      </c>
      <c r="C72" s="3" t="n">
        <v>2022</v>
      </c>
      <c r="D72" s="3" t="n">
        <v>2023</v>
      </c>
      <c r="E72" s="3" t="n">
        <v>2024</v>
      </c>
      <c r="F72" s="3" t="n">
        <v>2025</v>
      </c>
    </row>
    <row r="73" ht="16" customHeight="1">
      <c r="A73" s="10" t="inlineStr">
        <is>
          <t>Gns. antal medarbejdere</t>
        </is>
      </c>
      <c r="B73" s="11">
        <f>'res_raw_61056416'!$B$18</f>
        <v/>
      </c>
      <c r="C73" s="11">
        <f>'res_raw_61056416'!$C$18</f>
        <v/>
      </c>
      <c r="D73" s="11">
        <f>'res_raw_61056416'!$D$18</f>
        <v/>
      </c>
      <c r="E73" s="11">
        <f>'res_raw_61056416'!$E$18</f>
        <v/>
      </c>
      <c r="F73" s="11">
        <f>'res_raw_61056416'!$F$18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Investering i materielle anlægsaktiver</t>
        </is>
      </c>
      <c r="B74" s="5">
        <f>'res_raw_61056416'!$B$19</f>
        <v/>
      </c>
      <c r="C74" s="5">
        <f>'res_raw_61056416'!$C$19</f>
        <v/>
      </c>
      <c r="D74" s="5">
        <f>'res_raw_61056416'!$D$19</f>
        <v/>
      </c>
      <c r="E74" s="5">
        <f>'res_raw_61056416'!$E$19</f>
        <v/>
      </c>
      <c r="F74" s="5">
        <f>'res_raw_61056416'!$F$19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6" ht="22" customHeight="1">
      <c r="A76" s="3" t="inlineStr">
        <is>
          <t>NØGLETAL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10" t="inlineStr">
        <is>
          <t>Afkastningsgrad, %</t>
        </is>
      </c>
      <c r="B77" s="13">
        <f>IFERROR(($B$12+$B$14+$B$13)/$B$40*100,"")</f>
        <v/>
      </c>
      <c r="C77" s="13">
        <f>IFERROR(($C$12+$C$14+$C$13)/$C$40*100,"")</f>
        <v/>
      </c>
      <c r="D77" s="13">
        <f>IFERROR(($D$12+$D$14+$D$13)/$D$40*100,"")</f>
        <v/>
      </c>
      <c r="E77" s="13">
        <f>IFERROR(($E$12+$E$14+$E$13)/$E$40*100,"")</f>
        <v/>
      </c>
      <c r="F77" s="13">
        <f>IFERROR(($F$12+$F$14+$F$13)/$F$40*100,"")</f>
        <v/>
      </c>
    </row>
    <row r="78" ht="16" customHeight="1">
      <c r="A78" s="4" t="inlineStr">
        <is>
          <t>Overskudsgrad, %</t>
        </is>
      </c>
      <c r="B78" s="14">
        <f>IFERROR(($B$12+$B$14+$B$13)/$B$4*100,"")</f>
        <v/>
      </c>
      <c r="C78" s="14">
        <f>IFERROR(($C$12+$C$14+$C$13)/$C$4*100,"")</f>
        <v/>
      </c>
      <c r="D78" s="14">
        <f>IFERROR(($D$12+$D$14+$D$13)/$D$4*100,"")</f>
        <v/>
      </c>
      <c r="E78" s="14">
        <f>IFERROR(($E$12+$E$14+$E$13)/$E$4*100,"")</f>
        <v/>
      </c>
      <c r="F78" s="14">
        <f>IFERROR(($F$12+$F$14+$F$13)/$F$4*100,"")</f>
        <v/>
      </c>
    </row>
    <row r="79" ht="16" customHeight="1">
      <c r="A79" s="10" t="inlineStr">
        <is>
          <t>Aktivernes omsætningshastighed, gange</t>
        </is>
      </c>
      <c r="B79" s="13">
        <f>IFERROR($B$4/$B$40,"")</f>
        <v/>
      </c>
      <c r="C79" s="13">
        <f>IFERROR($C$4/$C$40,"")</f>
        <v/>
      </c>
      <c r="D79" s="13">
        <f>IFERROR($D$4/$D$40,"")</f>
        <v/>
      </c>
      <c r="E79" s="13">
        <f>IFERROR($E$4/$E$40,"")</f>
        <v/>
      </c>
      <c r="F79" s="13">
        <f>IFERROR($F$4/$F$40,"")</f>
        <v/>
      </c>
    </row>
    <row r="80" ht="16" customHeight="1">
      <c r="A80" s="4" t="inlineStr">
        <is>
          <t>Egenkapitalens forrentning, %</t>
        </is>
      </c>
      <c r="B80" s="14">
        <f>IFERROR($B$17/$B$49*100,"")</f>
        <v/>
      </c>
      <c r="C80" s="14">
        <f>IFERROR($C$17/$C$49*100,"")</f>
        <v/>
      </c>
      <c r="D80" s="14">
        <f>IFERROR($D$17/$D$49*100,"")</f>
        <v/>
      </c>
      <c r="E80" s="14">
        <f>IFERROR($E$17/$E$49*100,"")</f>
        <v/>
      </c>
      <c r="F80" s="14">
        <f>IFERROR($F$17/$F$49*100,"")</f>
        <v/>
      </c>
    </row>
    <row r="81" ht="16" customHeight="1">
      <c r="A81" s="10" t="inlineStr">
        <is>
          <t>Gældsrente, %</t>
        </is>
      </c>
      <c r="B81" s="13">
        <f>IFERROR($B$15/($B$70-$B$49)*100,"")</f>
        <v/>
      </c>
      <c r="C81" s="13">
        <f>IFERROR($C$15/($C$70-$C$49)*100,"")</f>
        <v/>
      </c>
      <c r="D81" s="13">
        <f>IFERROR($D$15/($D$70-$D$49)*100,"")</f>
        <v/>
      </c>
      <c r="E81" s="13">
        <f>IFERROR($E$15/($E$70-$E$49)*100,"")</f>
        <v/>
      </c>
      <c r="F81" s="13">
        <f>IFERROR($F$15/($F$70-$F$49)*100,"")</f>
        <v/>
      </c>
    </row>
    <row r="82" ht="16" customHeight="1">
      <c r="A82" s="4" t="inlineStr">
        <is>
          <t>Soliditetsgrad, %</t>
        </is>
      </c>
      <c r="B82" s="14">
        <f>IFERROR($B$49/$B$40*100,"")</f>
        <v/>
      </c>
      <c r="C82" s="14">
        <f>IFERROR($C$49/$C$40*100,"")</f>
        <v/>
      </c>
      <c r="D82" s="14">
        <f>IFERROR($D$49/$D$40*100,"")</f>
        <v/>
      </c>
      <c r="E82" s="14">
        <f>IFERROR($E$49/$E$40*100,"")</f>
        <v/>
      </c>
      <c r="F82" s="14">
        <f>IFERROR($F$49/$F$40*100,"")</f>
        <v/>
      </c>
    </row>
    <row r="83" ht="16" customHeight="1">
      <c r="A83" s="10" t="inlineStr">
        <is>
          <t>Gearing</t>
        </is>
      </c>
      <c r="B83" s="13">
        <f>IFERROR(($B$70-$B$49)/$B$49,"")</f>
        <v/>
      </c>
      <c r="C83" s="13">
        <f>IFERROR(($C$70-$C$49)/$C$49,"")</f>
        <v/>
      </c>
      <c r="D83" s="13">
        <f>IFERROR(($D$70-$D$49)/$D$49,"")</f>
        <v/>
      </c>
      <c r="E83" s="13">
        <f>IFERROR(($E$70-$E$49)/$E$49,"")</f>
        <v/>
      </c>
      <c r="F83" s="13">
        <f>IFERROR(($F$70-$F$49)/$F$49,"")</f>
        <v/>
      </c>
    </row>
    <row r="84" ht="16" customHeight="1">
      <c r="A84" s="4" t="inlineStr">
        <is>
          <t>Likviditetsgrad, %</t>
        </is>
      </c>
      <c r="B84" s="14">
        <f>IFERROR($B$39/$B$68*100,"")</f>
        <v/>
      </c>
      <c r="C84" s="14">
        <f>IFERROR($C$39/$C$68*100,"")</f>
        <v/>
      </c>
      <c r="D84" s="14">
        <f>IFERROR($D$39/$D$68*100,"")</f>
        <v/>
      </c>
      <c r="E84" s="14">
        <f>IFERROR($E$39/$E$68*100,"")</f>
        <v/>
      </c>
      <c r="F84" s="14">
        <f>IFERROR($F$39/$F$68*100,"")</f>
        <v/>
      </c>
    </row>
    <row r="85" ht="16" customHeight="1">
      <c r="A85" s="10" t="inlineStr">
        <is>
          <t>Rentemarginal, %</t>
        </is>
      </c>
      <c r="B85" s="13">
        <f>IFERROR(B77-B81,"")</f>
        <v/>
      </c>
      <c r="C85" s="13">
        <f>IFERROR(C77-C81,"")</f>
        <v/>
      </c>
      <c r="D85" s="13">
        <f>IFERROR(D77-D81,"")</f>
        <v/>
      </c>
      <c r="E85" s="13">
        <f>IFERROR(E77-E81,"")</f>
        <v/>
      </c>
      <c r="F85" s="13">
        <f>IFERROR(F77-F81,"")</f>
        <v/>
      </c>
    </row>
    <row r="86" ht="16" customHeight="1">
      <c r="A86" s="4" t="inlineStr">
        <is>
          <t>Gældsandel, %</t>
        </is>
      </c>
      <c r="B86" s="14">
        <f>IFERROR(($B$70-$B$49)/$B$40*100,"")</f>
        <v/>
      </c>
      <c r="C86" s="14">
        <f>IFERROR(($C$70-$C$49)/$C$40*100,"")</f>
        <v/>
      </c>
      <c r="D86" s="14">
        <f>IFERROR(($D$70-$D$49)/$D$40*100,"")</f>
        <v/>
      </c>
      <c r="E86" s="14">
        <f>IFERROR(($E$70-$E$49)/$E$40*100,"")</f>
        <v/>
      </c>
      <c r="F86" s="14">
        <f>IFERROR(($F$70-$F$49)/$F$40*100,"")</f>
        <v/>
      </c>
    </row>
    <row r="87" ht="16" customHeight="1">
      <c r="A87" s="10" t="inlineStr">
        <is>
          <t>Kapitalbindingsgrad, %</t>
        </is>
      </c>
      <c r="B87" s="13">
        <f>IFERROR($B$27/($B$49+$B$56)*100,"")</f>
        <v/>
      </c>
      <c r="C87" s="13">
        <f>IFERROR($C$27/($C$49+$C$56)*100,"")</f>
        <v/>
      </c>
      <c r="D87" s="13">
        <f>IFERROR($D$27/($D$49+$D$56)*100,"")</f>
        <v/>
      </c>
      <c r="E87" s="13">
        <f>IFERROR($E$27/($E$49+$E$56)*100,"")</f>
        <v/>
      </c>
      <c r="F87" s="13">
        <f>IFERROR($F$27/($F$49+$F$56)*100,"")</f>
        <v/>
      </c>
    </row>
    <row r="89">
      <c r="A89" s="15" t="inlineStr">
        <is>
          <t>PENGESTRØMSOPGØRELSE t.kr.</t>
        </is>
      </c>
    </row>
    <row r="90">
      <c r="A90" s="16" t="inlineStr">
        <is>
          <t>Pengestrømme fra driftsaktivitet</t>
        </is>
      </c>
      <c r="B90" s="17">
        <f>'pengestrom_raw_61056416'!$B$2</f>
        <v/>
      </c>
      <c r="C90" s="17">
        <f>'pengestrom_raw_61056416'!$C$2</f>
        <v/>
      </c>
      <c r="D90" s="17">
        <f>'pengestrom_raw_61056416'!$D$2</f>
        <v/>
      </c>
      <c r="E90" s="17">
        <f>'pengestrom_raw_61056416'!$E$2</f>
        <v/>
      </c>
      <c r="F90" s="17">
        <f>'pengestrom_raw_61056416'!$F$2</f>
        <v/>
      </c>
    </row>
    <row r="91">
      <c r="A91" s="16" t="inlineStr">
        <is>
          <t>Pengestrømme fra investeringsaktivitet</t>
        </is>
      </c>
      <c r="B91" s="17">
        <f>'pengestrom_raw_61056416'!$B$3</f>
        <v/>
      </c>
      <c r="C91" s="17">
        <f>'pengestrom_raw_61056416'!$C$3</f>
        <v/>
      </c>
      <c r="D91" s="17">
        <f>'pengestrom_raw_61056416'!$D$3</f>
        <v/>
      </c>
      <c r="E91" s="17">
        <f>'pengestrom_raw_61056416'!$E$3</f>
        <v/>
      </c>
      <c r="F91" s="17">
        <f>'pengestrom_raw_61056416'!$F$3</f>
        <v/>
      </c>
    </row>
    <row r="92">
      <c r="A92" s="16" t="inlineStr">
        <is>
          <t>Pengestrømme fra finansieringsaktivitet</t>
        </is>
      </c>
      <c r="B92" s="17">
        <f>'pengestrom_raw_61056416'!$B$4</f>
        <v/>
      </c>
      <c r="C92" s="17">
        <f>'pengestrom_raw_61056416'!$C$4</f>
        <v/>
      </c>
      <c r="D92" s="17">
        <f>'pengestrom_raw_61056416'!$D$4</f>
        <v/>
      </c>
      <c r="E92" s="17">
        <f>'pengestrom_raw_61056416'!$E$4</f>
        <v/>
      </c>
      <c r="F92" s="17">
        <f>'pengestrom_raw_61056416'!$F$4</f>
        <v/>
      </c>
    </row>
    <row r="93">
      <c r="A93" s="16" t="inlineStr">
        <is>
          <t>Årets pengestrøm (rapporteret)</t>
        </is>
      </c>
      <c r="B93" s="17">
        <f>'pengestrom_raw_61056416'!$B$5</f>
        <v/>
      </c>
      <c r="C93" s="17">
        <f>'pengestrom_raw_61056416'!$C$5</f>
        <v/>
      </c>
      <c r="D93" s="17">
        <f>'pengestrom_raw_61056416'!$D$5</f>
        <v/>
      </c>
      <c r="E93" s="17">
        <f>'pengestrom_raw_61056416'!$E$5</f>
        <v/>
      </c>
      <c r="F93" s="17">
        <f>'pengestrom_raw_61056416'!$F$5</f>
        <v/>
      </c>
    </row>
    <row r="94">
      <c r="A94" s="16" t="inlineStr">
        <is>
          <t>Krydstjek: drift + inv. + fin. = årets pengestrøm</t>
        </is>
      </c>
      <c r="B94">
        <f>IF(ABS(('pengestrom_raw_61056416'!$B$2+'pengestrom_raw_61056416'!$B$3+'pengestrom_raw_61056416'!$B$4)-'pengestrom_raw_61056416'!$B$5)&lt;=2,"✓","⚠ "&amp;TEXT(('pengestrom_raw_61056416'!$B$2+'pengestrom_raw_61056416'!$B$3+'pengestrom_raw_61056416'!$B$4)-'pengestrom_raw_61056416'!$B$5,"+#,##0;-#,##0"))</f>
        <v/>
      </c>
      <c r="C94">
        <f>IF(ABS(('pengestrom_raw_61056416'!$C$2+'pengestrom_raw_61056416'!$C$3+'pengestrom_raw_61056416'!$C$4)-'pengestrom_raw_61056416'!$C$5)&lt;=2,"✓","⚠ "&amp;TEXT(('pengestrom_raw_61056416'!$C$2+'pengestrom_raw_61056416'!$C$3+'pengestrom_raw_61056416'!$C$4)-'pengestrom_raw_61056416'!$C$5,"+#,##0;-#,##0"))</f>
        <v/>
      </c>
      <c r="D94">
        <f>IF(ABS(('pengestrom_raw_61056416'!$D$2+'pengestrom_raw_61056416'!$D$3+'pengestrom_raw_61056416'!$D$4)-'pengestrom_raw_61056416'!$D$5)&lt;=2,"✓","⚠ "&amp;TEXT(('pengestrom_raw_61056416'!$D$2+'pengestrom_raw_61056416'!$D$3+'pengestrom_raw_61056416'!$D$4)-'pengestrom_raw_61056416'!$D$5,"+#,##0;-#,##0"))</f>
        <v/>
      </c>
      <c r="E94">
        <f>IF(ABS(('pengestrom_raw_61056416'!$E$2+'pengestrom_raw_61056416'!$E$3+'pengestrom_raw_61056416'!$E$4)-'pengestrom_raw_61056416'!$E$5)&lt;=2,"✓","⚠ "&amp;TEXT(('pengestrom_raw_61056416'!$E$2+'pengestrom_raw_61056416'!$E$3+'pengestrom_raw_61056416'!$E$4)-'pengestrom_raw_61056416'!$E$5,"+#,##0;-#,##0"))</f>
        <v/>
      </c>
      <c r="F94">
        <f>IF(ABS(('pengestrom_raw_61056416'!$F$2+'pengestrom_raw_61056416'!$F$3+'pengestrom_raw_61056416'!$F$4)-'pengestrom_raw_61056416'!$F$5)&lt;=2,"✓","⚠ "&amp;TEXT(('pengestrom_raw_61056416'!$F$2+'pengestrom_raw_61056416'!$F$3+'pengestrom_raw_61056416'!$F$4)-'pengestrom_raw_61056416'!$F$5,"+#,##0;-#,##0"))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Carlsberg A/S (CVR 61056416)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60097000</v>
      </c>
      <c r="C2" s="17" t="n">
        <v>70265000</v>
      </c>
      <c r="D2" s="17" t="n">
        <v>73585000</v>
      </c>
      <c r="E2" s="17" t="n">
        <v>75011000</v>
      </c>
      <c r="F2" s="17" t="n">
        <v>89095000</v>
      </c>
    </row>
    <row r="3">
      <c r="A3" s="16" t="inlineStr">
        <is>
          <t>Produktionsomkostninger</t>
        </is>
      </c>
      <c r="B3" s="17" t="n">
        <v>31528000</v>
      </c>
      <c r="C3" s="17" t="n">
        <v>38198000</v>
      </c>
      <c r="D3" s="17" t="n">
        <v>40753000</v>
      </c>
      <c r="E3" s="17" t="n">
        <v>40631000</v>
      </c>
      <c r="F3" s="17" t="n">
        <v>48859000</v>
      </c>
    </row>
    <row r="4">
      <c r="A4" s="15" t="inlineStr">
        <is>
          <t>Bruttoresultat</t>
        </is>
      </c>
      <c r="B4" s="17" t="n">
        <v>28569000</v>
      </c>
      <c r="C4" s="17" t="n">
        <v>32067000</v>
      </c>
      <c r="D4" s="17" t="n">
        <v>32832000</v>
      </c>
      <c r="E4" s="17" t="n">
        <v>34380000</v>
      </c>
      <c r="F4" s="17" t="n">
        <v>40236000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14872000</v>
      </c>
      <c r="C6" s="17" t="n">
        <v>17337000</v>
      </c>
      <c r="D6" s="17" t="n">
        <v>18355000</v>
      </c>
      <c r="E6" s="17" t="n">
        <v>19242000</v>
      </c>
      <c r="F6" s="17" t="n">
        <v>23128000</v>
      </c>
    </row>
    <row r="7">
      <c r="A7" s="16" t="inlineStr">
        <is>
          <t>Administrationsomkostninger</t>
        </is>
      </c>
      <c r="B7" s="17" t="n">
        <v>3979000</v>
      </c>
      <c r="C7" s="17" t="n">
        <v>4229000</v>
      </c>
      <c r="D7" s="17" t="n">
        <v>4077000</v>
      </c>
      <c r="E7" s="17" t="n">
        <v>4381000</v>
      </c>
      <c r="F7" s="17" t="n">
        <v>4961000</v>
      </c>
    </row>
    <row r="8">
      <c r="A8" s="16" t="inlineStr">
        <is>
          <t>Andre driftsindtægter</t>
        </is>
      </c>
      <c r="B8" s="17" t="n"/>
      <c r="C8" s="17" t="n"/>
      <c r="D8" s="17" t="n"/>
      <c r="E8" s="17" t="n"/>
      <c r="F8" s="17" t="n"/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Resultat af primær drift</t>
        </is>
      </c>
      <c r="B10" s="17" t="n">
        <v>10129000</v>
      </c>
      <c r="C10" s="17" t="n">
        <v>11470000</v>
      </c>
      <c r="D10" s="17" t="n">
        <v>11105000</v>
      </c>
      <c r="E10" s="17" t="n">
        <v>11411000</v>
      </c>
      <c r="F10" s="17" t="n">
        <v>13356000</v>
      </c>
    </row>
    <row r="11">
      <c r="A11" s="16" t="inlineStr">
        <is>
          <t>Indtægter af kapitalandele, dattervirksomheder</t>
        </is>
      </c>
      <c r="B11" s="17" t="n">
        <v>336000</v>
      </c>
      <c r="C11" s="17" t="n">
        <v>901000</v>
      </c>
      <c r="D11" s="17" t="n">
        <v>581000</v>
      </c>
      <c r="E11" s="17" t="n">
        <v>616000</v>
      </c>
      <c r="F11" s="17" t="n">
        <v>660000</v>
      </c>
    </row>
    <row r="12">
      <c r="A12" s="16" t="inlineStr">
        <is>
          <t>Finansielle indtægter</t>
        </is>
      </c>
      <c r="B12" s="17" t="n">
        <v>571000</v>
      </c>
      <c r="C12" s="17" t="n">
        <v>347000</v>
      </c>
      <c r="D12" s="17" t="n">
        <v>695000</v>
      </c>
      <c r="E12" s="17" t="n">
        <v>959000</v>
      </c>
      <c r="F12" s="17" t="n">
        <v>1136000</v>
      </c>
    </row>
    <row r="13">
      <c r="A13" s="16" t="inlineStr">
        <is>
          <t>Finansielle omkostninger</t>
        </is>
      </c>
      <c r="B13" s="17" t="n">
        <v>956000</v>
      </c>
      <c r="C13" s="17" t="n">
        <v>1072000</v>
      </c>
      <c r="D13" s="17" t="n">
        <v>1539000</v>
      </c>
      <c r="E13" s="17" t="n">
        <v>1864000</v>
      </c>
      <c r="F13" s="17" t="n">
        <v>3516000</v>
      </c>
    </row>
    <row r="14">
      <c r="A14" s="15" t="inlineStr">
        <is>
          <t>Finansielle poster, netto</t>
        </is>
      </c>
      <c r="B14" s="17" t="n">
        <v>-385000</v>
      </c>
      <c r="C14" s="17" t="n">
        <v>-725000</v>
      </c>
      <c r="D14" s="17" t="n">
        <v>-844000</v>
      </c>
      <c r="E14" s="17" t="n">
        <v>-905000</v>
      </c>
      <c r="F14" s="17" t="n">
        <v>-2380000</v>
      </c>
    </row>
    <row r="15">
      <c r="A15" s="15" t="inlineStr">
        <is>
          <t>Resultat før skat</t>
        </is>
      </c>
      <c r="B15" s="17" t="n">
        <v>10447000</v>
      </c>
      <c r="C15" s="17" t="n">
        <v>9961000</v>
      </c>
      <c r="D15" s="17" t="n">
        <v>9830000</v>
      </c>
      <c r="E15" s="17" t="n">
        <v>9987000</v>
      </c>
      <c r="F15" s="17" t="n">
        <v>9050000</v>
      </c>
    </row>
    <row r="16">
      <c r="A16" s="16" t="inlineStr">
        <is>
          <t>Skat af årets resultat</t>
        </is>
      </c>
      <c r="B16" s="17" t="n">
        <v>2154000</v>
      </c>
      <c r="C16" s="17" t="n">
        <v>1778000</v>
      </c>
      <c r="D16" s="17" t="n">
        <v>1859000</v>
      </c>
      <c r="E16" s="17" t="n">
        <v>1982000</v>
      </c>
      <c r="F16" s="17" t="n">
        <v>2072000</v>
      </c>
    </row>
    <row r="17">
      <c r="A17" s="15" t="inlineStr">
        <is>
          <t>Årets resultat</t>
        </is>
      </c>
      <c r="B17" s="17" t="n">
        <v>8293000</v>
      </c>
      <c r="C17" s="17" t="n">
        <v>8183000</v>
      </c>
      <c r="D17" s="17" t="n">
        <v>7971000</v>
      </c>
      <c r="E17" s="17" t="n">
        <v>8005000</v>
      </c>
      <c r="F17" s="17" t="n">
        <v>6978000</v>
      </c>
    </row>
    <row r="18">
      <c r="A18" s="16" t="inlineStr">
        <is>
          <t>Gns. antal medarbejdere</t>
        </is>
      </c>
      <c r="B18" s="17" t="n">
        <v>39375</v>
      </c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>
        <v>-4221000</v>
      </c>
      <c r="C19" s="17" t="n"/>
      <c r="D19" s="17" t="n">
        <v>3887000</v>
      </c>
      <c r="E19" s="17" t="n">
        <v>4668000</v>
      </c>
      <c r="F19" s="17" t="n">
        <v>4924000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Carlsberg A/S (CVR 61056416)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68475000</v>
      </c>
      <c r="C2" s="17" t="n">
        <v>49223000</v>
      </c>
      <c r="D2" s="17" t="n">
        <v>49100000</v>
      </c>
      <c r="E2" s="17" t="n">
        <v>53176000</v>
      </c>
      <c r="F2" s="17" t="n">
        <v>83231000</v>
      </c>
    </row>
    <row r="3">
      <c r="A3" s="15" t="inlineStr">
        <is>
          <t>Materielle anlægsaktiver</t>
        </is>
      </c>
      <c r="B3" s="17" t="n">
        <v>26648000</v>
      </c>
      <c r="C3" s="17" t="n">
        <v>23679000</v>
      </c>
      <c r="D3" s="17" t="n">
        <v>24405000</v>
      </c>
      <c r="E3" s="17" t="n">
        <v>27053000</v>
      </c>
      <c r="F3" s="17" t="n">
        <v>32780000</v>
      </c>
    </row>
    <row r="4">
      <c r="A4" s="16" t="inlineStr">
        <is>
          <t>Kapitalandele, dattervirksomheder</t>
        </is>
      </c>
      <c r="B4" s="17" t="n">
        <v>5172000</v>
      </c>
      <c r="C4" s="17" t="n">
        <v>5523000</v>
      </c>
      <c r="D4" s="17" t="n">
        <v>5437000</v>
      </c>
      <c r="E4" s="17" t="n">
        <v>4546000</v>
      </c>
      <c r="F4" s="17" t="n">
        <v>4325000</v>
      </c>
    </row>
    <row r="5">
      <c r="A5" s="16" t="inlineStr">
        <is>
          <t>Deposita</t>
        </is>
      </c>
      <c r="B5" s="17" t="n">
        <v>1075000</v>
      </c>
      <c r="C5" s="17" t="n">
        <v>936000</v>
      </c>
      <c r="D5" s="17" t="n">
        <v>881000</v>
      </c>
      <c r="E5" s="17" t="n">
        <v>814000</v>
      </c>
      <c r="F5" s="17" t="n">
        <v>860000</v>
      </c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>
        <v>103292000</v>
      </c>
      <c r="C7" s="17" t="n">
        <v>81092000</v>
      </c>
      <c r="D7" s="17" t="n">
        <v>81633000</v>
      </c>
      <c r="E7" s="17" t="n">
        <v>87645000</v>
      </c>
      <c r="F7" s="17" t="n">
        <v>124706000</v>
      </c>
    </row>
    <row r="8">
      <c r="A8" s="15" t="inlineStr">
        <is>
          <t>Varebeholdninger</t>
        </is>
      </c>
      <c r="B8" s="17" t="n">
        <v>5391000</v>
      </c>
      <c r="C8" s="17" t="n">
        <v>5718000</v>
      </c>
      <c r="D8" s="17" t="n">
        <v>5811000</v>
      </c>
      <c r="E8" s="17" t="n">
        <v>5953000</v>
      </c>
      <c r="F8" s="17" t="n">
        <v>7110000</v>
      </c>
    </row>
    <row r="9">
      <c r="A9" s="16" t="inlineStr">
        <is>
          <t>Tilgodehavender fra salg og tjenesteydelser</t>
        </is>
      </c>
      <c r="B9" s="17" t="n">
        <v>5710000</v>
      </c>
      <c r="C9" s="17" t="n">
        <v>5067000</v>
      </c>
      <c r="D9" s="17" t="n">
        <v>5102000</v>
      </c>
      <c r="E9" s="17" t="n">
        <v>4940000</v>
      </c>
      <c r="F9" s="17" t="n">
        <v>7709000</v>
      </c>
    </row>
    <row r="10">
      <c r="A10" s="16" t="inlineStr">
        <is>
          <t>Tilgodehavender hos tilknyttede 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Andre tilgodehavender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Periodeafgrænsningsposter (aktiver)</t>
        </is>
      </c>
      <c r="B12" s="17" t="n">
        <v>929000</v>
      </c>
      <c r="C12" s="17" t="n">
        <v>964000</v>
      </c>
      <c r="D12" s="17" t="n">
        <v>835000</v>
      </c>
      <c r="E12" s="17" t="n">
        <v>1185000</v>
      </c>
      <c r="F12" s="17" t="n">
        <v>1469000</v>
      </c>
    </row>
    <row r="13">
      <c r="A13" s="16" t="inlineStr">
        <is>
          <t>Udskudt skatteaktiv</t>
        </is>
      </c>
      <c r="B13" s="17" t="n"/>
      <c r="C13" s="17" t="n"/>
      <c r="D13" s="17" t="n"/>
      <c r="E13" s="17" t="n">
        <v>2056000</v>
      </c>
      <c r="F13" s="17" t="n">
        <v>2511000</v>
      </c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>
        <v>171000</v>
      </c>
      <c r="C15" s="17" t="n">
        <v>214000</v>
      </c>
      <c r="D15" s="17" t="n">
        <v>356000</v>
      </c>
      <c r="E15" s="17" t="n">
        <v>410000</v>
      </c>
      <c r="F15" s="17" t="n">
        <v>386000</v>
      </c>
    </row>
    <row r="16">
      <c r="A16" s="15" t="inlineStr">
        <is>
          <t>Tilgodehavender</t>
        </is>
      </c>
      <c r="B16" s="17" t="n">
        <v>2355000</v>
      </c>
      <c r="C16" s="17" t="n">
        <v>2505000</v>
      </c>
      <c r="D16" s="17" t="n">
        <v>2476000</v>
      </c>
      <c r="E16" s="17" t="n">
        <v>2258000</v>
      </c>
      <c r="F16" s="17" t="n">
        <v>2990000</v>
      </c>
    </row>
    <row r="17">
      <c r="A17" s="16" t="inlineStr">
        <is>
          <t>Værdipapirer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Likvide beholdninger</t>
        </is>
      </c>
      <c r="B18" s="17" t="n">
        <v>8344000</v>
      </c>
      <c r="C18" s="17" t="n">
        <v>8163000</v>
      </c>
      <c r="D18" s="17" t="n">
        <v>13382000</v>
      </c>
      <c r="E18" s="17" t="n">
        <v>11542000</v>
      </c>
      <c r="F18" s="17" t="n">
        <v>9585000</v>
      </c>
    </row>
    <row r="19">
      <c r="A19" s="15" t="inlineStr">
        <is>
          <t>Omsætningsaktiver</t>
        </is>
      </c>
      <c r="B19" s="17" t="n">
        <v>23091000</v>
      </c>
      <c r="C19" s="17" t="n">
        <v>34249000</v>
      </c>
      <c r="D19" s="17" t="n">
        <v>30198000</v>
      </c>
      <c r="E19" s="17" t="n">
        <v>26347000</v>
      </c>
      <c r="F19" s="17" t="n">
        <v>29249000</v>
      </c>
    </row>
    <row r="20">
      <c r="A20" s="15" t="inlineStr">
        <is>
          <t>Aktiver</t>
        </is>
      </c>
      <c r="B20" s="17" t="n">
        <v>126383000</v>
      </c>
      <c r="C20" s="17" t="n">
        <v>115341000</v>
      </c>
      <c r="D20" s="17" t="n">
        <v>111831000</v>
      </c>
      <c r="E20" s="17" t="n">
        <v>113992000</v>
      </c>
      <c r="F20" s="17" t="n">
        <v>153955000</v>
      </c>
    </row>
    <row r="21">
      <c r="A21" s="16" t="inlineStr">
        <is>
          <t>Selskabskapital</t>
        </is>
      </c>
      <c r="B21" s="17" t="n">
        <v>2905000</v>
      </c>
      <c r="C21" s="17" t="n">
        <v>2837000</v>
      </c>
      <c r="D21" s="17" t="n">
        <v>2747000</v>
      </c>
      <c r="E21" s="17" t="n">
        <v>2685000</v>
      </c>
      <c r="F21" s="17" t="n">
        <v>2653000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>
        <v>-37691000</v>
      </c>
      <c r="C25" s="17" t="n">
        <v>-41711000</v>
      </c>
      <c r="D25" s="17" t="n">
        <v>-2819000</v>
      </c>
      <c r="E25" s="17" t="n">
        <v>-496000</v>
      </c>
      <c r="F25" s="17" t="n">
        <v>-3194000</v>
      </c>
    </row>
    <row r="26">
      <c r="A26" s="16" t="inlineStr">
        <is>
          <t>Overført resultat</t>
        </is>
      </c>
      <c r="B26" s="17" t="n">
        <v>80283000</v>
      </c>
      <c r="C26" s="17" t="n">
        <v>70776000</v>
      </c>
      <c r="D26" s="17" t="n">
        <v>23306000</v>
      </c>
      <c r="E26" s="17" t="n">
        <v>25582000</v>
      </c>
      <c r="F26" s="17" t="n">
        <v>28345000</v>
      </c>
    </row>
    <row r="27">
      <c r="A27" s="15" t="inlineStr">
        <is>
          <t>Egenkapital i alt</t>
        </is>
      </c>
      <c r="B27" s="17" t="n">
        <v>45497000</v>
      </c>
      <c r="C27" s="17" t="n">
        <v>31902000</v>
      </c>
      <c r="D27" s="17" t="n">
        <v>23234000</v>
      </c>
      <c r="E27" s="17" t="n">
        <v>30612000</v>
      </c>
      <c r="F27" s="17" t="n">
        <v>30676000</v>
      </c>
    </row>
    <row r="28">
      <c r="A28" s="16" t="inlineStr">
        <is>
          <t>Hensættelse til udskudt skat</t>
        </is>
      </c>
      <c r="B28" s="17" t="n">
        <v>6350000</v>
      </c>
      <c r="C28" s="17" t="n">
        <v>4841000</v>
      </c>
      <c r="D28" s="17" t="n">
        <v>4823000</v>
      </c>
      <c r="E28" s="17" t="n">
        <v>5081000</v>
      </c>
      <c r="F28" s="17" t="n">
        <v>8675000</v>
      </c>
    </row>
    <row r="29">
      <c r="A29" s="15" t="inlineStr">
        <is>
          <t>Hensatte forpligtelser</t>
        </is>
      </c>
      <c r="B29" s="17" t="n">
        <v>2345000</v>
      </c>
      <c r="C29" s="17" t="n">
        <v>1557000</v>
      </c>
      <c r="D29" s="17" t="n">
        <v>1387000</v>
      </c>
      <c r="E29" s="17" t="n">
        <v>1304000</v>
      </c>
      <c r="F29" s="17" t="n">
        <v>1297000</v>
      </c>
    </row>
    <row r="30">
      <c r="A30" s="16" t="inlineStr">
        <is>
          <t>Ansvarlig lånekapital (langfristet)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Langfristede lån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Leasingforpligtelser (langfristet)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Anden gæld (langfristet)</t>
        </is>
      </c>
      <c r="B33" s="17" t="n">
        <v>449000</v>
      </c>
      <c r="C33" s="17" t="n">
        <v>305000</v>
      </c>
      <c r="D33" s="17" t="n">
        <v>314000</v>
      </c>
      <c r="E33" s="17" t="n">
        <v>1495000</v>
      </c>
      <c r="F33" s="17" t="n">
        <v>1446000</v>
      </c>
    </row>
    <row r="34">
      <c r="A34" s="15" t="inlineStr">
        <is>
          <t>Langfristede gældsforpligtelser</t>
        </is>
      </c>
      <c r="B34" s="17" t="n">
        <v>22755000</v>
      </c>
      <c r="C34" s="17" t="n">
        <v>22865000</v>
      </c>
      <c r="D34" s="17" t="n">
        <v>30763000</v>
      </c>
      <c r="E34" s="17" t="n">
        <v>27392000</v>
      </c>
      <c r="F34" s="17" t="n">
        <v>61452000</v>
      </c>
    </row>
    <row r="35">
      <c r="A35" s="16" t="inlineStr">
        <is>
          <t>Ansvarlig lånekapital (kortfristet)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Kortfristet del af langfristede gældsforpligtelser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Kreditinstitutter</t>
        </is>
      </c>
      <c r="B37" s="17" t="n">
        <v>6167000</v>
      </c>
      <c r="C37" s="17" t="n">
        <v>5781000</v>
      </c>
      <c r="D37" s="17" t="n">
        <v>8338000</v>
      </c>
      <c r="E37" s="17" t="n">
        <v>10748000</v>
      </c>
      <c r="F37" s="17" t="n">
        <v>9171000</v>
      </c>
    </row>
    <row r="38">
      <c r="A38" s="16" t="inlineStr">
        <is>
          <t>Leasingforpligtelser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Leverandører af varer og tjenesteydelser</t>
        </is>
      </c>
      <c r="B39" s="17" t="n">
        <v>20642000</v>
      </c>
      <c r="C39" s="17" t="n">
        <v>21917000</v>
      </c>
      <c r="D39" s="17" t="n">
        <v>22159000</v>
      </c>
      <c r="E39" s="17" t="n">
        <v>23295000</v>
      </c>
      <c r="F39" s="17" t="n">
        <v>26877000</v>
      </c>
    </row>
    <row r="40">
      <c r="A40" s="16" t="inlineStr">
        <is>
          <t>Gæld til tilknyttede virksomheder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Gæld til selskabsdeltagere og ledelse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Gæld til tilknyttede virksomheder vedr. selskabsskat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(kortfristet)</t>
        </is>
      </c>
      <c r="B44" s="17" t="n">
        <v>12677000</v>
      </c>
      <c r="C44" s="17" t="n">
        <v>13503000</v>
      </c>
      <c r="D44" s="17" t="n">
        <v>13020000</v>
      </c>
      <c r="E44" s="17" t="n">
        <v>8098000</v>
      </c>
      <c r="F44" s="17" t="n">
        <v>8178000</v>
      </c>
    </row>
    <row r="45">
      <c r="A45" s="16" t="inlineStr">
        <is>
          <t>Periodeafgrænsningsposter (passiver)</t>
        </is>
      </c>
      <c r="B45" s="17" t="n"/>
      <c r="C45" s="17" t="n"/>
      <c r="D45" s="17" t="n"/>
      <c r="E45" s="17" t="n"/>
      <c r="F45" s="17" t="n"/>
    </row>
    <row r="46">
      <c r="A46" s="15" t="inlineStr">
        <is>
          <t>Kortfristede gældsforpligtelser</t>
        </is>
      </c>
      <c r="B46" s="17" t="n">
        <v>43282000</v>
      </c>
      <c r="C46" s="17" t="n">
        <v>48747000</v>
      </c>
      <c r="D46" s="17" t="n">
        <v>47230000</v>
      </c>
      <c r="E46" s="17" t="n">
        <v>46023000</v>
      </c>
      <c r="F46" s="17" t="n">
        <v>48546000</v>
      </c>
    </row>
    <row r="47">
      <c r="A47" s="15" t="inlineStr">
        <is>
          <t>Gældsforpligtelser</t>
        </is>
      </c>
      <c r="B47" s="17" t="n">
        <v>77627000</v>
      </c>
      <c r="C47" s="17" t="n">
        <v>80619000</v>
      </c>
      <c r="D47" s="17" t="n">
        <v>86082000</v>
      </c>
      <c r="E47" s="17" t="n">
        <v>83380000</v>
      </c>
      <c r="F47" s="17" t="n">
        <v>123279000</v>
      </c>
    </row>
    <row r="48">
      <c r="A48" s="15" t="inlineStr">
        <is>
          <t>Passiver</t>
        </is>
      </c>
      <c r="B48" s="17" t="n">
        <v>126383000</v>
      </c>
      <c r="C48" s="17" t="n">
        <v>115341000</v>
      </c>
      <c r="D48" s="17" t="n">
        <v>111831000</v>
      </c>
      <c r="E48" s="17" t="n">
        <v>113992000</v>
      </c>
      <c r="F48" s="17" t="n">
        <v>153955000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Carlsberg A/S (CVR 61056416)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12278000</v>
      </c>
      <c r="C2" s="17" t="n">
        <v>12949000</v>
      </c>
      <c r="D2" s="17" t="n">
        <v>11607000</v>
      </c>
      <c r="E2" s="17" t="n">
        <v>11312000</v>
      </c>
      <c r="F2" s="17" t="n">
        <v>12431000</v>
      </c>
    </row>
    <row r="3">
      <c r="A3" s="16" t="inlineStr">
        <is>
          <t>Pengestrømme fra investeringsaktivitet</t>
        </is>
      </c>
      <c r="B3" s="17" t="n">
        <v>-4067000</v>
      </c>
      <c r="C3" s="17" t="n">
        <v>-3065000</v>
      </c>
      <c r="D3" s="17" t="n">
        <v>-6729000</v>
      </c>
      <c r="E3" s="17" t="n">
        <v>-1518000</v>
      </c>
      <c r="F3" s="17" t="n">
        <v>-34098000</v>
      </c>
    </row>
    <row r="4">
      <c r="A4" s="16" t="inlineStr">
        <is>
          <t>Pengestrømme fra finansieringsaktivitet</t>
        </is>
      </c>
      <c r="B4" s="17" t="n">
        <v>-8945000</v>
      </c>
      <c r="C4" s="17" t="n">
        <v>-9959000</v>
      </c>
      <c r="D4" s="17" t="n">
        <v>1370000</v>
      </c>
      <c r="E4" s="17" t="n">
        <v>-13935000</v>
      </c>
      <c r="F4" s="17" t="n">
        <v>20310000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Carlsberg A/S (CVR 61056416) — Regnskabs- og nøgletal (CVR: 61056416)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'res_raw_61056416'!$F$2</f>
        <v/>
      </c>
      <c r="C5" s="24">
        <f>'res_raw_61056416'!$E$2</f>
        <v/>
      </c>
      <c r="D5" s="24">
        <f>'res_raw_61056416'!$D$2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-'res_raw_61056416'!$F$3</f>
        <v/>
      </c>
      <c r="C6" s="24">
        <f>-'res_raw_61056416'!$E$3</f>
        <v/>
      </c>
      <c r="D6" s="24">
        <f>-'res_raw_61056416'!$D$3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IF(ABS((SUM(B5:B6))-'res_raw_61056416'!$F$4)&lt;=2,SUM(B5:B6),'res_raw_61056416'!$F$4)</f>
        <v/>
      </c>
      <c r="C7" s="27">
        <f>IF(ABS((SUM(C5:C6))-'res_raw_61056416'!$E$4)&lt;=2,SUM(C5:C6),'res_raw_61056416'!$E$4)</f>
        <v/>
      </c>
      <c r="D7" s="27">
        <f>IF(ABS((SUM(D5:D6))-'res_raw_61056416'!$D$4)&lt;=2,SUM(D5:D6),'res_raw_61056416'!$D$4)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-'res_raw_61056416'!$F$5</f>
        <v/>
      </c>
      <c r="C8" s="24">
        <f>-'res_raw_61056416'!$E$5</f>
        <v/>
      </c>
      <c r="D8" s="24">
        <f>-'res_raw_61056416'!$D$5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-'res_raw_61056416'!$F$6</f>
        <v/>
      </c>
      <c r="C9" s="24">
        <f>-'res_raw_61056416'!$E$6</f>
        <v/>
      </c>
      <c r="D9" s="24">
        <f>-'res_raw_61056416'!$D$6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-'res_raw_61056416'!$F$7</f>
        <v/>
      </c>
      <c r="C10" s="24">
        <f>-'res_raw_61056416'!$E$7</f>
        <v/>
      </c>
      <c r="D10" s="24">
        <f>-'res_raw_61056416'!$D$7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'res_raw_61056416'!$F$8</f>
        <v/>
      </c>
      <c r="C11" s="24">
        <f>'res_raw_61056416'!$E$8</f>
        <v/>
      </c>
      <c r="D11" s="24">
        <f>'res_raw_61056416'!$D$8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-'res_raw_61056416'!$F$9</f>
        <v/>
      </c>
      <c r="C12" s="27">
        <f>-'res_raw_61056416'!$E$9</f>
        <v/>
      </c>
      <c r="D12" s="27">
        <f>-'res_raw_61056416'!$D$9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IF(ABS((SUM(B7:B12))-'res_raw_61056416'!$F$10)&lt;=2,SUM(B7:B12),'res_raw_61056416'!$F$10)</f>
        <v/>
      </c>
      <c r="C13" s="30">
        <f>IF(ABS((SUM(C7:C12))-'res_raw_61056416'!$E$10)&lt;=2,SUM(C7:C12),'res_raw_61056416'!$E$10)</f>
        <v/>
      </c>
      <c r="D13" s="30">
        <f>IF(ABS((SUM(D7:D12))-'res_raw_61056416'!$D$10)&lt;=2,SUM(D7:D12),'res_raw_61056416'!$D$10)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N('res_raw_61056416'!$F$11)+N('res_raw_61056416'!$F$12)</f>
        <v/>
      </c>
      <c r="C14" s="24">
        <f>N('res_raw_61056416'!$E$11)+N('res_raw_61056416'!$E$12)</f>
        <v/>
      </c>
      <c r="D14" s="24">
        <f>N('res_raw_61056416'!$D$11)+N('res_raw_61056416'!$D$12)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-'res_raw_61056416'!$F$13</f>
        <v/>
      </c>
      <c r="C15" s="27">
        <f>-'res_raw_61056416'!$E$13</f>
        <v/>
      </c>
      <c r="D15" s="27">
        <f>-'res_raw_61056416'!$D$13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IF(ABS((SUM(B13:B15))-'res_raw_61056416'!$F$15)&lt;=2,SUM(B13:B15),'res_raw_61056416'!$F$15)</f>
        <v/>
      </c>
      <c r="C16" s="30">
        <f>IF(ABS((SUM(C13:C15))-'res_raw_61056416'!$E$15)&lt;=2,SUM(C13:C15),'res_raw_61056416'!$E$15)</f>
        <v/>
      </c>
      <c r="D16" s="30">
        <f>IF(ABS((SUM(D13:D15))-'res_raw_61056416'!$D$15)&lt;=2,SUM(D13:D15),'res_raw_61056416'!$D$15)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'balance_raw_61056416'!$F$7</f>
        <v/>
      </c>
      <c r="C19" s="24">
        <f>'balance_raw_61056416'!$E$7</f>
        <v/>
      </c>
      <c r="D19" s="24">
        <f>'balance_raw_61056416'!$D$7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'balance_raw_61056416'!$F$19</f>
        <v/>
      </c>
      <c r="C20" s="24">
        <f>'balance_raw_61056416'!$E$19</f>
        <v/>
      </c>
      <c r="D20" s="24">
        <f>'balance_raw_61056416'!$D$19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'balance_raw_61056416'!$F$27</f>
        <v/>
      </c>
      <c r="C23" s="24">
        <f>'balance_raw_61056416'!$E$27</f>
        <v/>
      </c>
      <c r="D23" s="24">
        <f>'balance_raw_61056416'!$D$27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'balance_raw_61056416'!$F$48-'balance_raw_61056416'!$F$27</f>
        <v/>
      </c>
      <c r="C24" s="24">
        <f>'balance_raw_61056416'!$E$48-'balance_raw_61056416'!$E$27</f>
        <v/>
      </c>
      <c r="D24" s="24">
        <f>'balance_raw_61056416'!$D$48-'balance_raw_61056416'!$D$27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'balance_raw_61056416'!$F$8</f>
        <v/>
      </c>
      <c r="C28" s="24">
        <f>'balance_raw_61056416'!$E$8</f>
        <v/>
      </c>
      <c r="D28" s="24">
        <f>'balance_raw_61056416'!$D$8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'balance_raw_61056416'!$F$9</f>
        <v/>
      </c>
      <c r="C29" s="24">
        <f>'balance_raw_61056416'!$E$9</f>
        <v/>
      </c>
      <c r="D29" s="24">
        <f>'balance_raw_61056416'!$D$9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'balance_raw_61056416'!$F$46</f>
        <v/>
      </c>
      <c r="C30" s="24">
        <f>'balance_raw_61056416'!$E$46</f>
        <v/>
      </c>
      <c r="D30" s="24">
        <f>'balance_raw_61056416'!$D$46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IF('balance_raw_61056416'!$F$20="","—",IF(ABS(B21-'balance_raw_61056416'!$F$20)&lt;=1,"✓ OK","❌ "&amp;TEXT(B21-'balance_raw_61056416'!$F$20,"+#,##0;-#,##0")&amp;" t.kr."))</f>
        <v/>
      </c>
      <c r="C62" s="31">
        <f>IF('balance_raw_61056416'!$E$20="","—",IF(ABS(C21-'balance_raw_61056416'!$E$20)&lt;=1,"✓ OK","❌ "&amp;TEXT(C21-'balance_raw_61056416'!$E$20,"+#,##0;-#,##0")&amp;" t.kr."))</f>
        <v/>
      </c>
      <c r="D62" s="31">
        <f>IF('balance_raw_61056416'!$D$20="","—",IF(ABS(D21-'balance_raw_61056416'!$D$20)&lt;=1,"✓ OK","❌ "&amp;TEXT(D21-'balance_raw_61056416'!$D$20,"+#,##0;-#,##0")&amp;"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IF('balance_raw_61056416'!$F$48="","—",IF(ABS(B25-'balance_raw_61056416'!$F$48)&lt;=1,"✓ OK","❌ "&amp;TEXT(B25-'balance_raw_61056416'!$F$48,"+#,##0;-#,##0")&amp;" t.kr."))</f>
        <v/>
      </c>
      <c r="C63" s="31">
        <f>IF('balance_raw_61056416'!$E$48="","—",IF(ABS(C25-'balance_raw_61056416'!$E$48)&lt;=1,"✓ OK","❌ "&amp;TEXT(C25-'balance_raw_61056416'!$E$48,"+#,##0;-#,##0")&amp;" t.kr."))</f>
        <v/>
      </c>
      <c r="D63" s="31">
        <f>IF('balance_raw_61056416'!$D$48="","—",IF(ABS(D25-'balance_raw_61056416'!$D$48)&lt;=1,"✓ OK","❌ "&amp;TEXT(D25-'balance_raw_61056416'!$D$48,"+#,##0;-#,##0")&amp;"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IF('res_raw_61056416'!$F$4="","—",IF(ABS(B7-'res_raw_61056416'!$F$4)&lt;=1,"✓ OK","❌ "&amp;TEXT(B7-'res_raw_61056416'!$F$4,"+#,##0;-#,##0")&amp;" t.kr."))</f>
        <v/>
      </c>
      <c r="C65" s="31">
        <f>IF('res_raw_61056416'!$E$4="","—",IF(ABS(C7-'res_raw_61056416'!$E$4)&lt;=1,"✓ OK","❌ "&amp;TEXT(C7-'res_raw_61056416'!$E$4,"+#,##0;-#,##0")&amp;" t.kr."))</f>
        <v/>
      </c>
      <c r="D65" s="31">
        <f>IF('res_raw_61056416'!$D$4="","—",IF(ABS(D7-'res_raw_61056416'!$D$4)&lt;=1,"✓ OK","❌ "&amp;TEXT(D7-'res_raw_61056416'!$D$4,"+#,##0;-#,##0")&amp;"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IF('res_raw_61056416'!$F$10="","—",IF(ABS(B13-'res_raw_61056416'!$F$10)&lt;=1,"✓ OK","❌ "&amp;TEXT(B13-'res_raw_61056416'!$F$10,"+#,##0;-#,##0")&amp;" t.kr."))</f>
        <v/>
      </c>
      <c r="C66" s="31">
        <f>IF('res_raw_61056416'!$E$10="","—",IF(ABS(C13-'res_raw_61056416'!$E$10)&lt;=1,"✓ OK","❌ "&amp;TEXT(C13-'res_raw_61056416'!$E$10,"+#,##0;-#,##0")&amp;" t.kr."))</f>
        <v/>
      </c>
      <c r="D66" s="31">
        <f>IF('res_raw_61056416'!$D$10="","—",IF(ABS(D13-'res_raw_61056416'!$D$10)&lt;=1,"✓ OK","❌ "&amp;TEXT(D13-'res_raw_61056416'!$D$10,"+#,##0;-#,##0")&amp;"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IF('res_raw_61056416'!$F$15="","—",IF(ABS(B16-'res_raw_61056416'!$F$15)&lt;=1,"✓ OK","❌ "&amp;TEXT(B16-'res_raw_61056416'!$F$15,"+#,##0;-#,##0")&amp;" t.kr."))</f>
        <v/>
      </c>
      <c r="C67" s="31">
        <f>IF('res_raw_61056416'!$E$15="","—",IF(ABS(C16-'res_raw_61056416'!$E$15)&lt;=1,"✓ OK","❌ "&amp;TEXT(C16-'res_raw_61056416'!$E$15,"+#,##0;-#,##0")&amp;" t.kr."))</f>
        <v/>
      </c>
      <c r="D67" s="31">
        <f>IF('res_raw_61056416'!$D$15="","—",IF(ABS(D16-'res_raw_61056416'!$D$15)&lt;=1,"✓ OK","❌ "&amp;TEXT(D16-'res_raw_61056416'!$D$15,"+#,##0;-#,##0")&amp;"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2026-10-02T21:11:43Z</dcterms:created>
  <dcterms:modified xmlns:dcterms="http://purl.org/dc/terms/" xmlns:xsi="http://www.w3.org/2001/XMLSchema-instance" xsi:type="dcterms:W3CDTF">2026-10-02T21:11:45Z</dcterms:modified>
</cp:coreProperties>
</file>