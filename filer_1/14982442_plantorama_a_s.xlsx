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4982442" sheetId="1" state="visible" r:id="rId1"/>
    <sheet xmlns:r="http://schemas.openxmlformats.org/officeDocument/2006/relationships" name="res_raw_14982442" sheetId="2" state="visible" r:id="rId2"/>
    <sheet xmlns:r="http://schemas.openxmlformats.org/officeDocument/2006/relationships" name="balance_raw_14982442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PLANTORAMA A/S (CVR 14982442)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'res_raw_14982442'!$B$2</f>
        <v/>
      </c>
      <c r="C4" s="5">
        <f>'res_raw_14982442'!$C$2</f>
        <v/>
      </c>
      <c r="D4" s="5">
        <f>'res_raw_14982442'!$D$2</f>
        <v/>
      </c>
      <c r="E4" s="5">
        <f>'res_raw_14982442'!$E$2</f>
        <v/>
      </c>
      <c r="F4" s="5">
        <f>'res_raw_14982442'!$F$2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'res_raw_14982442'!$B$3</f>
        <v/>
      </c>
      <c r="C5" s="8">
        <f>'res_raw_14982442'!$C$3</f>
        <v/>
      </c>
      <c r="D5" s="8">
        <f>'res_raw_14982442'!$D$3</f>
        <v/>
      </c>
      <c r="E5" s="8">
        <f>'res_raw_14982442'!$E$3</f>
        <v/>
      </c>
      <c r="F5" s="8">
        <f>'res_raw_14982442'!$F$3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'res_raw_14982442'!$B$4</f>
        <v/>
      </c>
      <c r="C6" s="5">
        <f>'res_raw_14982442'!$C$4</f>
        <v/>
      </c>
      <c r="D6" s="5">
        <f>'res_raw_14982442'!$D$4</f>
        <v/>
      </c>
      <c r="E6" s="5">
        <f>'res_raw_14982442'!$E$4</f>
        <v/>
      </c>
      <c r="F6" s="5">
        <f>'res_raw_14982442'!$F$4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'res_raw_14982442'!$B$5</f>
        <v/>
      </c>
      <c r="C7" s="8">
        <f>'res_raw_14982442'!$C$5</f>
        <v/>
      </c>
      <c r="D7" s="8">
        <f>'res_raw_14982442'!$D$5</f>
        <v/>
      </c>
      <c r="E7" s="8">
        <f>'res_raw_14982442'!$E$5</f>
        <v/>
      </c>
      <c r="F7" s="8">
        <f>'res_raw_14982442'!$F$5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'res_raw_14982442'!$B$6</f>
        <v/>
      </c>
      <c r="C8" s="11">
        <f>'res_raw_14982442'!$C$6</f>
        <v/>
      </c>
      <c r="D8" s="11">
        <f>'res_raw_14982442'!$D$6</f>
        <v/>
      </c>
      <c r="E8" s="11">
        <f>'res_raw_14982442'!$E$6</f>
        <v/>
      </c>
      <c r="F8" s="11">
        <f>'res_raw_14982442'!$F$6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'res_raw_14982442'!$B$7</f>
        <v/>
      </c>
      <c r="C9" s="8">
        <f>'res_raw_14982442'!$C$7</f>
        <v/>
      </c>
      <c r="D9" s="8">
        <f>'res_raw_14982442'!$D$7</f>
        <v/>
      </c>
      <c r="E9" s="8">
        <f>'res_raw_14982442'!$E$7</f>
        <v/>
      </c>
      <c r="F9" s="8">
        <f>'res_raw_14982442'!$F$7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'res_raw_14982442'!$B$9</f>
        <v/>
      </c>
      <c r="C11" s="8">
        <f>'res_raw_14982442'!$C$9</f>
        <v/>
      </c>
      <c r="D11" s="8">
        <f>'res_raw_14982442'!$D$9</f>
        <v/>
      </c>
      <c r="E11" s="8">
        <f>'res_raw_14982442'!$E$9</f>
        <v/>
      </c>
      <c r="F11" s="8">
        <f>'res_raw_14982442'!$F$9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'res_raw_14982442'!$B$10</f>
        <v/>
      </c>
      <c r="C12" s="5">
        <f>'res_raw_14982442'!$C$10</f>
        <v/>
      </c>
      <c r="D12" s="5">
        <f>'res_raw_14982442'!$D$10</f>
        <v/>
      </c>
      <c r="E12" s="5">
        <f>'res_raw_14982442'!$E$10</f>
        <v/>
      </c>
      <c r="F12" s="5">
        <f>'res_raw_14982442'!$F$10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'res_raw_14982442'!$B$11</f>
        <v/>
      </c>
      <c r="C13" s="11">
        <f>'res_raw_14982442'!$C$11</f>
        <v/>
      </c>
      <c r="D13" s="11">
        <f>'res_raw_14982442'!$D$11</f>
        <v/>
      </c>
      <c r="E13" s="11">
        <f>'res_raw_14982442'!$E$11</f>
        <v/>
      </c>
      <c r="F13" s="11">
        <f>'res_raw_14982442'!$F$11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'res_raw_14982442'!$B$12</f>
        <v/>
      </c>
      <c r="C14" s="5">
        <f>'res_raw_14982442'!$C$12</f>
        <v/>
      </c>
      <c r="D14" s="5">
        <f>'res_raw_14982442'!$D$12</f>
        <v/>
      </c>
      <c r="E14" s="5">
        <f>'res_raw_14982442'!$E$12</f>
        <v/>
      </c>
      <c r="F14" s="5">
        <f>'res_raw_14982442'!$F$12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'res_raw_14982442'!$B$13</f>
        <v/>
      </c>
      <c r="C15" s="8">
        <f>'res_raw_14982442'!$C$13</f>
        <v/>
      </c>
      <c r="D15" s="8">
        <f>'res_raw_14982442'!$D$13</f>
        <v/>
      </c>
      <c r="E15" s="8">
        <f>'res_raw_14982442'!$E$13</f>
        <v/>
      </c>
      <c r="F15" s="8">
        <f>'res_raw_14982442'!$F$13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'res_raw_14982442'!$B$14</f>
        <v/>
      </c>
      <c r="C16" s="5">
        <f>'res_raw_14982442'!$C$14</f>
        <v/>
      </c>
      <c r="D16" s="5">
        <f>'res_raw_14982442'!$D$14</f>
        <v/>
      </c>
      <c r="E16" s="5">
        <f>'res_raw_14982442'!$E$14</f>
        <v/>
      </c>
      <c r="F16" s="5">
        <f>'res_raw_14982442'!$F$14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'res_raw_14982442'!$B$15</f>
        <v/>
      </c>
      <c r="C17" s="11">
        <f>'res_raw_14982442'!$C$15</f>
        <v/>
      </c>
      <c r="D17" s="11">
        <f>'res_raw_14982442'!$D$15</f>
        <v/>
      </c>
      <c r="E17" s="11">
        <f>'res_raw_14982442'!$E$15</f>
        <v/>
      </c>
      <c r="F17" s="11">
        <f>'res_raw_14982442'!$F$15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'res_raw_14982442'!$B$16</f>
        <v/>
      </c>
      <c r="C18" s="11">
        <f>'res_raw_14982442'!$C$16</f>
        <v/>
      </c>
      <c r="D18" s="11">
        <f>'res_raw_14982442'!$D$16</f>
        <v/>
      </c>
      <c r="E18" s="11">
        <f>'res_raw_14982442'!$E$16</f>
        <v/>
      </c>
      <c r="F18" s="11">
        <f>'res_raw_14982442'!$F$16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'res_raw_14982442'!$B$17</f>
        <v/>
      </c>
      <c r="C19" s="8">
        <f>'res_raw_14982442'!$C$17</f>
        <v/>
      </c>
      <c r="D19" s="8">
        <f>'res_raw_14982442'!$D$17</f>
        <v/>
      </c>
      <c r="E19" s="8">
        <f>'res_raw_14982442'!$E$17</f>
        <v/>
      </c>
      <c r="F19" s="8">
        <f>'res_raw_14982442'!$F$17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'res_raw_14982442'!$B$18</f>
        <v/>
      </c>
      <c r="C20" s="11">
        <f>'res_raw_14982442'!$C$18</f>
        <v/>
      </c>
      <c r="D20" s="11">
        <f>'res_raw_14982442'!$D$18</f>
        <v/>
      </c>
      <c r="E20" s="11">
        <f>'res_raw_14982442'!$E$18</f>
        <v/>
      </c>
      <c r="F20" s="11">
        <f>'res_raw_14982442'!$F$18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'balance_raw_14982442'!$B$2</f>
        <v/>
      </c>
      <c r="C23" s="8">
        <f>'balance_raw_14982442'!$C$2</f>
        <v/>
      </c>
      <c r="D23" s="8">
        <f>'balance_raw_14982442'!$D$2</f>
        <v/>
      </c>
      <c r="E23" s="8">
        <f>'balance_raw_14982442'!$E$2</f>
        <v/>
      </c>
      <c r="F23" s="8">
        <f>'balance_raw_14982442'!$F$2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'balance_raw_14982442'!$B$3</f>
        <v/>
      </c>
      <c r="C24" s="5">
        <f>'balance_raw_14982442'!$C$3</f>
        <v/>
      </c>
      <c r="D24" s="5">
        <f>'balance_raw_14982442'!$D$3</f>
        <v/>
      </c>
      <c r="E24" s="5">
        <f>'balance_raw_14982442'!$E$3</f>
        <v/>
      </c>
      <c r="F24" s="5">
        <f>'balance_raw_14982442'!$F$3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'balance_raw_14982442'!$B$4</f>
        <v/>
      </c>
      <c r="C25" s="8">
        <f>'balance_raw_14982442'!$C$4</f>
        <v/>
      </c>
      <c r="D25" s="8">
        <f>'balance_raw_14982442'!$D$4</f>
        <v/>
      </c>
      <c r="E25" s="8">
        <f>'balance_raw_14982442'!$E$4</f>
        <v/>
      </c>
      <c r="F25" s="8">
        <f>'balance_raw_14982442'!$F$4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'balance_raw_14982442'!$B$5</f>
        <v/>
      </c>
      <c r="C26" s="11">
        <f>'balance_raw_14982442'!$C$5</f>
        <v/>
      </c>
      <c r="D26" s="11">
        <f>'balance_raw_14982442'!$D$5</f>
        <v/>
      </c>
      <c r="E26" s="11">
        <f>'balance_raw_14982442'!$E$5</f>
        <v/>
      </c>
      <c r="F26" s="11">
        <f>'balance_raw_14982442'!$F$5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'balance_raw_14982442'!$B$6</f>
        <v/>
      </c>
      <c r="C27" s="8">
        <f>'balance_raw_14982442'!$C$6</f>
        <v/>
      </c>
      <c r="D27" s="8">
        <f>'balance_raw_14982442'!$D$6</f>
        <v/>
      </c>
      <c r="E27" s="8">
        <f>'balance_raw_14982442'!$E$6</f>
        <v/>
      </c>
      <c r="F27" s="8">
        <f>'balance_raw_14982442'!$F$6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'balance_raw_14982442'!$B$7</f>
        <v/>
      </c>
      <c r="C28" s="5">
        <f>'balance_raw_14982442'!$C$7</f>
        <v/>
      </c>
      <c r="D28" s="5">
        <f>'balance_raw_14982442'!$D$7</f>
        <v/>
      </c>
      <c r="E28" s="5">
        <f>'balance_raw_14982442'!$E$7</f>
        <v/>
      </c>
      <c r="F28" s="5">
        <f>'balance_raw_14982442'!$F$7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'balance_raw_14982442'!$B$8</f>
        <v/>
      </c>
      <c r="C29" s="8">
        <f>'balance_raw_14982442'!$C$8</f>
        <v/>
      </c>
      <c r="D29" s="8">
        <f>'balance_raw_14982442'!$D$8</f>
        <v/>
      </c>
      <c r="E29" s="8">
        <f>'balance_raw_14982442'!$E$8</f>
        <v/>
      </c>
      <c r="F29" s="8">
        <f>'balance_raw_14982442'!$F$8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'balance_raw_14982442'!$B$9</f>
        <v/>
      </c>
      <c r="C30" s="5">
        <f>'balance_raw_14982442'!$C$9</f>
        <v/>
      </c>
      <c r="D30" s="5">
        <f>'balance_raw_14982442'!$D$9</f>
        <v/>
      </c>
      <c r="E30" s="5">
        <f>'balance_raw_14982442'!$E$9</f>
        <v/>
      </c>
      <c r="F30" s="5">
        <f>'balance_raw_14982442'!$F$9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'balance_raw_14982442'!$B$10</f>
        <v/>
      </c>
      <c r="C31" s="8">
        <f>'balance_raw_14982442'!$C$10</f>
        <v/>
      </c>
      <c r="D31" s="8">
        <f>'balance_raw_14982442'!$D$10</f>
        <v/>
      </c>
      <c r="E31" s="8">
        <f>'balance_raw_14982442'!$E$10</f>
        <v/>
      </c>
      <c r="F31" s="8">
        <f>'balance_raw_14982442'!$F$10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'balance_raw_14982442'!$B$11</f>
        <v/>
      </c>
      <c r="C32" s="11">
        <f>'balance_raw_14982442'!$C$11</f>
        <v/>
      </c>
      <c r="D32" s="11">
        <f>'balance_raw_14982442'!$D$11</f>
        <v/>
      </c>
      <c r="E32" s="11">
        <f>'balance_raw_14982442'!$E$11</f>
        <v/>
      </c>
      <c r="F32" s="11">
        <f>'balance_raw_14982442'!$F$11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'balance_raw_14982442'!$B$12</f>
        <v/>
      </c>
      <c r="C33" s="8">
        <f>'balance_raw_14982442'!$C$12</f>
        <v/>
      </c>
      <c r="D33" s="8">
        <f>'balance_raw_14982442'!$D$12</f>
        <v/>
      </c>
      <c r="E33" s="8">
        <f>'balance_raw_14982442'!$E$12</f>
        <v/>
      </c>
      <c r="F33" s="8">
        <f>'balance_raw_14982442'!$F$12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'balance_raw_14982442'!$B$13</f>
        <v/>
      </c>
      <c r="C34" s="5">
        <f>'balance_raw_14982442'!$C$13</f>
        <v/>
      </c>
      <c r="D34" s="5">
        <f>'balance_raw_14982442'!$D$13</f>
        <v/>
      </c>
      <c r="E34" s="5">
        <f>'balance_raw_14982442'!$E$13</f>
        <v/>
      </c>
      <c r="F34" s="5">
        <f>'balance_raw_14982442'!$F$13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'balance_raw_14982442'!$B$14</f>
        <v/>
      </c>
      <c r="C35" s="11">
        <f>'balance_raw_14982442'!$C$14</f>
        <v/>
      </c>
      <c r="D35" s="11">
        <f>'balance_raw_14982442'!$D$14</f>
        <v/>
      </c>
      <c r="E35" s="11">
        <f>'balance_raw_14982442'!$E$14</f>
        <v/>
      </c>
      <c r="F35" s="11">
        <f>'balance_raw_14982442'!$F$14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'balance_raw_14982442'!$B$15</f>
        <v/>
      </c>
      <c r="C36" s="11">
        <f>'balance_raw_14982442'!$C$15</f>
        <v/>
      </c>
      <c r="D36" s="11">
        <f>'balance_raw_14982442'!$D$15</f>
        <v/>
      </c>
      <c r="E36" s="11">
        <f>'balance_raw_14982442'!$E$15</f>
        <v/>
      </c>
      <c r="F36" s="11">
        <f>'balance_raw_14982442'!$F$15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'balance_raw_14982442'!$B$16</f>
        <v/>
      </c>
      <c r="C37" s="8">
        <f>'balance_raw_14982442'!$C$16</f>
        <v/>
      </c>
      <c r="D37" s="8">
        <f>'balance_raw_14982442'!$D$16</f>
        <v/>
      </c>
      <c r="E37" s="8">
        <f>'balance_raw_14982442'!$E$16</f>
        <v/>
      </c>
      <c r="F37" s="8">
        <f>'balance_raw_14982442'!$F$16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'balance_raw_14982442'!$B$17</f>
        <v/>
      </c>
      <c r="C38" s="5">
        <f>'balance_raw_14982442'!$C$17</f>
        <v/>
      </c>
      <c r="D38" s="5">
        <f>'balance_raw_14982442'!$D$17</f>
        <v/>
      </c>
      <c r="E38" s="5">
        <f>'balance_raw_14982442'!$E$17</f>
        <v/>
      </c>
      <c r="F38" s="5">
        <f>'balance_raw_14982442'!$F$17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'balance_raw_14982442'!$B$18</f>
        <v/>
      </c>
      <c r="C39" s="8">
        <f>'balance_raw_14982442'!$C$18</f>
        <v/>
      </c>
      <c r="D39" s="8">
        <f>'balance_raw_14982442'!$D$18</f>
        <v/>
      </c>
      <c r="E39" s="8">
        <f>'balance_raw_14982442'!$E$18</f>
        <v/>
      </c>
      <c r="F39" s="8">
        <f>'balance_raw_14982442'!$F$18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'balance_raw_14982442'!$B$19</f>
        <v/>
      </c>
      <c r="C40" s="11">
        <f>'balance_raw_14982442'!$C$19</f>
        <v/>
      </c>
      <c r="D40" s="11">
        <f>'balance_raw_14982442'!$D$19</f>
        <v/>
      </c>
      <c r="E40" s="11">
        <f>'balance_raw_14982442'!$E$19</f>
        <v/>
      </c>
      <c r="F40" s="11">
        <f>'balance_raw_14982442'!$F$19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'balance_raw_14982442'!$B$20</f>
        <v/>
      </c>
      <c r="C41" s="8">
        <f>'balance_raw_14982442'!$C$20</f>
        <v/>
      </c>
      <c r="D41" s="8">
        <f>'balance_raw_14982442'!$D$20</f>
        <v/>
      </c>
      <c r="E41" s="8">
        <f>'balance_raw_14982442'!$E$20</f>
        <v/>
      </c>
      <c r="F41" s="8">
        <f>'balance_raw_14982442'!$F$20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'balance_raw_14982442'!$B$21</f>
        <v/>
      </c>
      <c r="C42" s="5">
        <f>'balance_raw_14982442'!$C$21</f>
        <v/>
      </c>
      <c r="D42" s="5">
        <f>'balance_raw_14982442'!$D$21</f>
        <v/>
      </c>
      <c r="E42" s="5">
        <f>'balance_raw_14982442'!$E$21</f>
        <v/>
      </c>
      <c r="F42" s="5">
        <f>'balance_raw_14982442'!$F$21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'balance_raw_14982442'!$B$22</f>
        <v/>
      </c>
      <c r="C43" s="8">
        <f>'balance_raw_14982442'!$C$22</f>
        <v/>
      </c>
      <c r="D43" s="8">
        <f>'balance_raw_14982442'!$D$22</f>
        <v/>
      </c>
      <c r="E43" s="8">
        <f>'balance_raw_14982442'!$E$22</f>
        <v/>
      </c>
      <c r="F43" s="8">
        <f>'balance_raw_14982442'!$F$22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'balance_raw_14982442'!$B$23</f>
        <v/>
      </c>
      <c r="C44" s="5">
        <f>'balance_raw_14982442'!$C$23</f>
        <v/>
      </c>
      <c r="D44" s="5">
        <f>'balance_raw_14982442'!$D$23</f>
        <v/>
      </c>
      <c r="E44" s="5">
        <f>'balance_raw_14982442'!$E$23</f>
        <v/>
      </c>
      <c r="F44" s="5">
        <f>'balance_raw_14982442'!$F$23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'balance_raw_14982442'!$B$24</f>
        <v/>
      </c>
      <c r="C45" s="8">
        <f>'balance_raw_14982442'!$C$24</f>
        <v/>
      </c>
      <c r="D45" s="8">
        <f>'balance_raw_14982442'!$D$24</f>
        <v/>
      </c>
      <c r="E45" s="8">
        <f>'balance_raw_14982442'!$E$24</f>
        <v/>
      </c>
      <c r="F45" s="8">
        <f>'balance_raw_14982442'!$F$24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'balance_raw_14982442'!$B$25</f>
        <v/>
      </c>
      <c r="C46" s="5">
        <f>'balance_raw_14982442'!$C$25</f>
        <v/>
      </c>
      <c r="D46" s="5">
        <f>'balance_raw_14982442'!$D$25</f>
        <v/>
      </c>
      <c r="E46" s="5">
        <f>'balance_raw_14982442'!$E$25</f>
        <v/>
      </c>
      <c r="F46" s="5">
        <f>'balance_raw_14982442'!$F$25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'balance_raw_14982442'!$B$26</f>
        <v/>
      </c>
      <c r="C47" s="8">
        <f>'balance_raw_14982442'!$C$26</f>
        <v/>
      </c>
      <c r="D47" s="8">
        <f>'balance_raw_14982442'!$D$26</f>
        <v/>
      </c>
      <c r="E47" s="8">
        <f>'balance_raw_14982442'!$E$26</f>
        <v/>
      </c>
      <c r="F47" s="8">
        <f>'balance_raw_14982442'!$F$26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'balance_raw_14982442'!$B$27</f>
        <v/>
      </c>
      <c r="C48" s="11">
        <f>'balance_raw_14982442'!$C$27</f>
        <v/>
      </c>
      <c r="D48" s="11">
        <f>'balance_raw_14982442'!$D$27</f>
        <v/>
      </c>
      <c r="E48" s="11">
        <f>'balance_raw_14982442'!$E$27</f>
        <v/>
      </c>
      <c r="F48" s="11">
        <f>'balance_raw_14982442'!$F$27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'balance_raw_14982442'!$B$28</f>
        <v/>
      </c>
      <c r="C49" s="8">
        <f>'balance_raw_14982442'!$C$28</f>
        <v/>
      </c>
      <c r="D49" s="8">
        <f>'balance_raw_14982442'!$D$28</f>
        <v/>
      </c>
      <c r="E49" s="8">
        <f>'balance_raw_14982442'!$E$28</f>
        <v/>
      </c>
      <c r="F49" s="8">
        <f>'balance_raw_14982442'!$F$28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'balance_raw_14982442'!$B$29</f>
        <v/>
      </c>
      <c r="C50" s="5">
        <f>'balance_raw_14982442'!$C$29</f>
        <v/>
      </c>
      <c r="D50" s="5">
        <f>'balance_raw_14982442'!$D$29</f>
        <v/>
      </c>
      <c r="E50" s="5">
        <f>'balance_raw_14982442'!$E$29</f>
        <v/>
      </c>
      <c r="F50" s="5">
        <f>'balance_raw_14982442'!$F$29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'balance_raw_14982442'!$B$30</f>
        <v/>
      </c>
      <c r="C51" s="11">
        <f>'balance_raw_14982442'!$C$30</f>
        <v/>
      </c>
      <c r="D51" s="11">
        <f>'balance_raw_14982442'!$D$30</f>
        <v/>
      </c>
      <c r="E51" s="11">
        <f>'balance_raw_14982442'!$E$30</f>
        <v/>
      </c>
      <c r="F51" s="11">
        <f>'balance_raw_14982442'!$F$30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'balance_raw_14982442'!$B$31</f>
        <v/>
      </c>
      <c r="C52" s="11">
        <f>'balance_raw_14982442'!$C$31</f>
        <v/>
      </c>
      <c r="D52" s="11">
        <f>'balance_raw_14982442'!$D$31</f>
        <v/>
      </c>
      <c r="E52" s="11">
        <f>'balance_raw_14982442'!$E$31</f>
        <v/>
      </c>
      <c r="F52" s="11">
        <f>'balance_raw_14982442'!$F$31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'balance_raw_14982442'!$B$32</f>
        <v/>
      </c>
      <c r="C55" s="8">
        <f>'balance_raw_14982442'!$C$32</f>
        <v/>
      </c>
      <c r="D55" s="8">
        <f>'balance_raw_14982442'!$D$32</f>
        <v/>
      </c>
      <c r="E55" s="8">
        <f>'balance_raw_14982442'!$E$32</f>
        <v/>
      </c>
      <c r="F55" s="8">
        <f>'balance_raw_14982442'!$F$32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'balance_raw_14982442'!$B$33</f>
        <v/>
      </c>
      <c r="C56" s="5">
        <f>'balance_raw_14982442'!$C$33</f>
        <v/>
      </c>
      <c r="D56" s="5">
        <f>'balance_raw_14982442'!$D$33</f>
        <v/>
      </c>
      <c r="E56" s="5">
        <f>'balance_raw_14982442'!$E$33</f>
        <v/>
      </c>
      <c r="F56" s="5">
        <f>'balance_raw_14982442'!$F$33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'balance_raw_14982442'!$B$34</f>
        <v/>
      </c>
      <c r="C57" s="8">
        <f>'balance_raw_14982442'!$C$34</f>
        <v/>
      </c>
      <c r="D57" s="8">
        <f>'balance_raw_14982442'!$D$34</f>
        <v/>
      </c>
      <c r="E57" s="8">
        <f>'balance_raw_14982442'!$E$34</f>
        <v/>
      </c>
      <c r="F57" s="8">
        <f>'balance_raw_14982442'!$F$34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'balance_raw_14982442'!$B$35</f>
        <v/>
      </c>
      <c r="C58" s="5">
        <f>'balance_raw_14982442'!$C$35</f>
        <v/>
      </c>
      <c r="D58" s="5">
        <f>'balance_raw_14982442'!$D$35</f>
        <v/>
      </c>
      <c r="E58" s="5">
        <f>'balance_raw_14982442'!$E$35</f>
        <v/>
      </c>
      <c r="F58" s="5">
        <f>'balance_raw_14982442'!$F$35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'balance_raw_14982442'!$B$36</f>
        <v/>
      </c>
      <c r="C59" s="8">
        <f>'balance_raw_14982442'!$C$36</f>
        <v/>
      </c>
      <c r="D59" s="8">
        <f>'balance_raw_14982442'!$D$36</f>
        <v/>
      </c>
      <c r="E59" s="8">
        <f>'balance_raw_14982442'!$E$36</f>
        <v/>
      </c>
      <c r="F59" s="8">
        <f>'balance_raw_14982442'!$F$36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'balance_raw_14982442'!$B$37</f>
        <v/>
      </c>
      <c r="C60" s="5">
        <f>'balance_raw_14982442'!$C$37</f>
        <v/>
      </c>
      <c r="D60" s="5">
        <f>'balance_raw_14982442'!$D$37</f>
        <v/>
      </c>
      <c r="E60" s="5">
        <f>'balance_raw_14982442'!$E$37</f>
        <v/>
      </c>
      <c r="F60" s="5">
        <f>'balance_raw_14982442'!$F$37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'balance_raw_14982442'!$B$38</f>
        <v/>
      </c>
      <c r="C61" s="11">
        <f>'balance_raw_14982442'!$C$38</f>
        <v/>
      </c>
      <c r="D61" s="11">
        <f>'balance_raw_14982442'!$D$38</f>
        <v/>
      </c>
      <c r="E61" s="11">
        <f>'balance_raw_14982442'!$E$38</f>
        <v/>
      </c>
      <c r="F61" s="11">
        <f>'balance_raw_14982442'!$F$38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'balance_raw_14982442'!$B$39</f>
        <v/>
      </c>
      <c r="C62" s="5">
        <f>'balance_raw_14982442'!$C$39</f>
        <v/>
      </c>
      <c r="D62" s="5">
        <f>'balance_raw_14982442'!$D$39</f>
        <v/>
      </c>
      <c r="E62" s="5">
        <f>'balance_raw_14982442'!$E$39</f>
        <v/>
      </c>
      <c r="F62" s="5">
        <f>'balance_raw_14982442'!$F$39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'balance_raw_14982442'!$B$40</f>
        <v/>
      </c>
      <c r="C63" s="11">
        <f>'balance_raw_14982442'!$C$40</f>
        <v/>
      </c>
      <c r="D63" s="11">
        <f>'balance_raw_14982442'!$D$40</f>
        <v/>
      </c>
      <c r="E63" s="11">
        <f>'balance_raw_14982442'!$E$40</f>
        <v/>
      </c>
      <c r="F63" s="11">
        <f>'balance_raw_14982442'!$F$40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'balance_raw_14982442'!$B$41</f>
        <v/>
      </c>
      <c r="C64" s="5">
        <f>'balance_raw_14982442'!$C$41</f>
        <v/>
      </c>
      <c r="D64" s="5">
        <f>'balance_raw_14982442'!$D$41</f>
        <v/>
      </c>
      <c r="E64" s="5">
        <f>'balance_raw_14982442'!$E$41</f>
        <v/>
      </c>
      <c r="F64" s="5">
        <f>'balance_raw_14982442'!$F$41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'balance_raw_14982442'!$B$42</f>
        <v/>
      </c>
      <c r="C65" s="8">
        <f>'balance_raw_14982442'!$C$42</f>
        <v/>
      </c>
      <c r="D65" s="8">
        <f>'balance_raw_14982442'!$D$42</f>
        <v/>
      </c>
      <c r="E65" s="8">
        <f>'balance_raw_14982442'!$E$42</f>
        <v/>
      </c>
      <c r="F65" s="8">
        <f>'balance_raw_14982442'!$F$42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'balance_raw_14982442'!$B$43</f>
        <v/>
      </c>
      <c r="C66" s="5">
        <f>'balance_raw_14982442'!$C$43</f>
        <v/>
      </c>
      <c r="D66" s="5">
        <f>'balance_raw_14982442'!$D$43</f>
        <v/>
      </c>
      <c r="E66" s="5">
        <f>'balance_raw_14982442'!$E$43</f>
        <v/>
      </c>
      <c r="F66" s="5">
        <f>'balance_raw_14982442'!$F$43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'balance_raw_14982442'!$B$44</f>
        <v/>
      </c>
      <c r="C67" s="8">
        <f>'balance_raw_14982442'!$C$44</f>
        <v/>
      </c>
      <c r="D67" s="8">
        <f>'balance_raw_14982442'!$D$44</f>
        <v/>
      </c>
      <c r="E67" s="8">
        <f>'balance_raw_14982442'!$E$44</f>
        <v/>
      </c>
      <c r="F67" s="8">
        <f>'balance_raw_14982442'!$F$44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'balance_raw_14982442'!$B$45</f>
        <v/>
      </c>
      <c r="C68" s="11">
        <f>'balance_raw_14982442'!$C$45</f>
        <v/>
      </c>
      <c r="D68" s="11">
        <f>'balance_raw_14982442'!$D$45</f>
        <v/>
      </c>
      <c r="E68" s="11">
        <f>'balance_raw_14982442'!$E$45</f>
        <v/>
      </c>
      <c r="F68" s="11">
        <f>'balance_raw_14982442'!$F$45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'balance_raw_14982442'!$B$46</f>
        <v/>
      </c>
      <c r="C69" s="8">
        <f>'balance_raw_14982442'!$C$46</f>
        <v/>
      </c>
      <c r="D69" s="8">
        <f>'balance_raw_14982442'!$D$46</f>
        <v/>
      </c>
      <c r="E69" s="8">
        <f>'balance_raw_14982442'!$E$46</f>
        <v/>
      </c>
      <c r="F69" s="8">
        <f>'balance_raw_14982442'!$F$46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'balance_raw_14982442'!$B$47</f>
        <v/>
      </c>
      <c r="C70" s="5">
        <f>'balance_raw_14982442'!$C$47</f>
        <v/>
      </c>
      <c r="D70" s="5">
        <f>'balance_raw_14982442'!$D$47</f>
        <v/>
      </c>
      <c r="E70" s="5">
        <f>'balance_raw_14982442'!$E$47</f>
        <v/>
      </c>
      <c r="F70" s="5">
        <f>'balance_raw_14982442'!$F$47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'balance_raw_14982442'!$B$48</f>
        <v/>
      </c>
      <c r="C71" s="8">
        <f>'balance_raw_14982442'!$C$48</f>
        <v/>
      </c>
      <c r="D71" s="8">
        <f>'balance_raw_14982442'!$D$48</f>
        <v/>
      </c>
      <c r="E71" s="8">
        <f>'balance_raw_14982442'!$E$48</f>
        <v/>
      </c>
      <c r="F71" s="8">
        <f>'balance_raw_14982442'!$F$48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'balance_raw_14982442'!$B$49</f>
        <v/>
      </c>
      <c r="C72" s="5">
        <f>'balance_raw_14982442'!$C$49</f>
        <v/>
      </c>
      <c r="D72" s="5">
        <f>'balance_raw_14982442'!$D$49</f>
        <v/>
      </c>
      <c r="E72" s="5">
        <f>'balance_raw_14982442'!$E$49</f>
        <v/>
      </c>
      <c r="F72" s="5">
        <f>'balance_raw_14982442'!$F$49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'balance_raw_14982442'!$B$50</f>
        <v/>
      </c>
      <c r="C73" s="8">
        <f>'balance_raw_14982442'!$C$50</f>
        <v/>
      </c>
      <c r="D73" s="8">
        <f>'balance_raw_14982442'!$D$50</f>
        <v/>
      </c>
      <c r="E73" s="8">
        <f>'balance_raw_14982442'!$E$50</f>
        <v/>
      </c>
      <c r="F73" s="8">
        <f>'balance_raw_14982442'!$F$50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'balance_raw_14982442'!$B$51</f>
        <v/>
      </c>
      <c r="C74" s="5">
        <f>'balance_raw_14982442'!$C$51</f>
        <v/>
      </c>
      <c r="D74" s="5">
        <f>'balance_raw_14982442'!$D$51</f>
        <v/>
      </c>
      <c r="E74" s="5">
        <f>'balance_raw_14982442'!$E$51</f>
        <v/>
      </c>
      <c r="F74" s="5">
        <f>'balance_raw_14982442'!$F$51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'balance_raw_14982442'!$B$52</f>
        <v/>
      </c>
      <c r="C75" s="8">
        <f>'balance_raw_14982442'!$C$52</f>
        <v/>
      </c>
      <c r="D75" s="8">
        <f>'balance_raw_14982442'!$D$52</f>
        <v/>
      </c>
      <c r="E75" s="8">
        <f>'balance_raw_14982442'!$E$52</f>
        <v/>
      </c>
      <c r="F75" s="8">
        <f>'balance_raw_14982442'!$F$52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'balance_raw_14982442'!$B$53</f>
        <v/>
      </c>
      <c r="C76" s="5">
        <f>'balance_raw_14982442'!$C$53</f>
        <v/>
      </c>
      <c r="D76" s="5">
        <f>'balance_raw_14982442'!$D$53</f>
        <v/>
      </c>
      <c r="E76" s="5">
        <f>'balance_raw_14982442'!$E$53</f>
        <v/>
      </c>
      <c r="F76" s="5">
        <f>'balance_raw_14982442'!$F$53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'balance_raw_14982442'!$B$54</f>
        <v/>
      </c>
      <c r="C77" s="8">
        <f>'balance_raw_14982442'!$C$54</f>
        <v/>
      </c>
      <c r="D77" s="8">
        <f>'balance_raw_14982442'!$D$54</f>
        <v/>
      </c>
      <c r="E77" s="8">
        <f>'balance_raw_14982442'!$E$54</f>
        <v/>
      </c>
      <c r="F77" s="8">
        <f>'balance_raw_14982442'!$F$54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'balance_raw_14982442'!$B$55</f>
        <v/>
      </c>
      <c r="C78" s="5">
        <f>'balance_raw_14982442'!$C$55</f>
        <v/>
      </c>
      <c r="D78" s="5">
        <f>'balance_raw_14982442'!$D$55</f>
        <v/>
      </c>
      <c r="E78" s="5">
        <f>'balance_raw_14982442'!$E$55</f>
        <v/>
      </c>
      <c r="F78" s="5">
        <f>'balance_raw_14982442'!$F$55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'balance_raw_14982442'!$B$56</f>
        <v/>
      </c>
      <c r="C79" s="8">
        <f>'balance_raw_14982442'!$C$56</f>
        <v/>
      </c>
      <c r="D79" s="8">
        <f>'balance_raw_14982442'!$D$56</f>
        <v/>
      </c>
      <c r="E79" s="8">
        <f>'balance_raw_14982442'!$E$56</f>
        <v/>
      </c>
      <c r="F79" s="8">
        <f>'balance_raw_14982442'!$F$56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'balance_raw_14982442'!$B$57</f>
        <v/>
      </c>
      <c r="C80" s="11">
        <f>'balance_raw_14982442'!$C$57</f>
        <v/>
      </c>
      <c r="D80" s="11">
        <f>'balance_raw_14982442'!$D$57</f>
        <v/>
      </c>
      <c r="E80" s="11">
        <f>'balance_raw_14982442'!$E$57</f>
        <v/>
      </c>
      <c r="F80" s="11">
        <f>'balance_raw_14982442'!$F$57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'balance_raw_14982442'!$B$58</f>
        <v/>
      </c>
      <c r="C81" s="11">
        <f>'balance_raw_14982442'!$C$58</f>
        <v/>
      </c>
      <c r="D81" s="11">
        <f>'balance_raw_14982442'!$D$58</f>
        <v/>
      </c>
      <c r="E81" s="11">
        <f>'balance_raw_14982442'!$E$58</f>
        <v/>
      </c>
      <c r="F81" s="11">
        <f>'balance_raw_14982442'!$F$58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'balance_raw_14982442'!$B$59</f>
        <v/>
      </c>
      <c r="C82" s="11">
        <f>'balance_raw_14982442'!$C$59</f>
        <v/>
      </c>
      <c r="D82" s="11">
        <f>'balance_raw_14982442'!$D$59</f>
        <v/>
      </c>
      <c r="E82" s="11">
        <f>'balance_raw_14982442'!$E$59</f>
        <v/>
      </c>
      <c r="F82" s="11">
        <f>'balance_raw_14982442'!$F$59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'res_raw_14982442'!$B$19</f>
        <v/>
      </c>
      <c r="C85" s="8">
        <f>'res_raw_14982442'!$C$19</f>
        <v/>
      </c>
      <c r="D85" s="8">
        <f>'res_raw_14982442'!$D$19</f>
        <v/>
      </c>
      <c r="E85" s="8">
        <f>'res_raw_14982442'!$E$19</f>
        <v/>
      </c>
      <c r="F85" s="8">
        <f>'res_raw_14982442'!$F$19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'res_raw_14982442'!$B$20</f>
        <v/>
      </c>
      <c r="C86" s="5">
        <f>'res_raw_14982442'!$C$20</f>
        <v/>
      </c>
      <c r="D86" s="5">
        <f>'res_raw_14982442'!$D$20</f>
        <v/>
      </c>
      <c r="E86" s="5">
        <f>'res_raw_14982442'!$E$20</f>
        <v/>
      </c>
      <c r="F86" s="5">
        <f>'res_raw_14982442'!$F$20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PLANTORAMA A/S (CVR 14982442)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592423</v>
      </c>
      <c r="C2" s="16" t="n">
        <v>592564</v>
      </c>
      <c r="D2" s="16" t="n">
        <v>618449</v>
      </c>
      <c r="E2" s="16" t="n">
        <v>663747</v>
      </c>
      <c r="F2" s="16" t="n">
        <v>684088</v>
      </c>
    </row>
    <row r="3">
      <c r="A3" s="15" t="inlineStr">
        <is>
          <t>Andre driftsindtægter</t>
        </is>
      </c>
      <c r="B3" s="16" t="n">
        <v>26502</v>
      </c>
      <c r="C3" s="16" t="n">
        <v>1277</v>
      </c>
      <c r="D3" s="16" t="n">
        <v>3783</v>
      </c>
      <c r="E3" s="16" t="n">
        <v>5509</v>
      </c>
      <c r="F3" s="16" t="n">
        <v>7426</v>
      </c>
    </row>
    <row r="4">
      <c r="A4" s="15" t="inlineStr">
        <is>
          <t>Vareforbrug</t>
        </is>
      </c>
      <c r="B4" s="16" t="n">
        <v>281370</v>
      </c>
      <c r="C4" s="16" t="n">
        <v>291916</v>
      </c>
      <c r="D4" s="16" t="n">
        <v>308600</v>
      </c>
      <c r="E4" s="16" t="n">
        <v>335962</v>
      </c>
      <c r="F4" s="16" t="n">
        <v>351896</v>
      </c>
    </row>
    <row r="5">
      <c r="A5" s="15" t="inlineStr">
        <is>
          <t>Andre eksterne omkostninger</t>
        </is>
      </c>
      <c r="B5" s="16" t="n">
        <v>120606</v>
      </c>
      <c r="C5" s="16" t="n">
        <v>134468</v>
      </c>
      <c r="D5" s="16" t="n">
        <v>140350</v>
      </c>
      <c r="E5" s="16" t="n">
        <v>172452</v>
      </c>
      <c r="F5" s="16" t="n">
        <v>158874</v>
      </c>
    </row>
    <row r="6">
      <c r="A6" s="17" t="inlineStr">
        <is>
          <t>Bruttoresultat</t>
        </is>
      </c>
      <c r="B6" s="16" t="n">
        <v>216948</v>
      </c>
      <c r="C6" s="16" t="n">
        <v>167457</v>
      </c>
      <c r="D6" s="16" t="n">
        <v>173283</v>
      </c>
      <c r="E6" s="16" t="n">
        <v>160843</v>
      </c>
      <c r="F6" s="16" t="n">
        <v>180743</v>
      </c>
    </row>
    <row r="7">
      <c r="A7" s="15" t="inlineStr">
        <is>
          <t>Personaleomkostninger</t>
        </is>
      </c>
      <c r="B7" s="16" t="n">
        <v>129590</v>
      </c>
      <c r="C7" s="16" t="n">
        <v>138467</v>
      </c>
      <c r="D7" s="16" t="n">
        <v>140652</v>
      </c>
      <c r="E7" s="16" t="n">
        <v>157382</v>
      </c>
      <c r="F7" s="16" t="n">
        <v>142384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19573</v>
      </c>
      <c r="C9" s="16" t="n">
        <v>21158</v>
      </c>
      <c r="D9" s="16" t="n">
        <v>17340</v>
      </c>
      <c r="E9" s="16" t="n">
        <v>18448</v>
      </c>
      <c r="F9" s="16" t="n">
        <v>18697</v>
      </c>
    </row>
    <row r="10">
      <c r="A10" s="15" t="inlineStr">
        <is>
          <t>Andre driftsomkostninger</t>
        </is>
      </c>
      <c r="B10" s="16" t="n"/>
      <c r="C10" s="16" t="n">
        <v>106</v>
      </c>
      <c r="D10" s="16" t="n">
        <v>96</v>
      </c>
      <c r="E10" s="16" t="n">
        <v>97</v>
      </c>
      <c r="F10" s="16" t="n">
        <v>460</v>
      </c>
    </row>
    <row r="11">
      <c r="A11" s="17" t="inlineStr">
        <is>
          <t>Resultat af primær drift</t>
        </is>
      </c>
      <c r="B11" s="16" t="n">
        <v>67785</v>
      </c>
      <c r="C11" s="16" t="n">
        <v>7725</v>
      </c>
      <c r="D11" s="16" t="n">
        <v>15195</v>
      </c>
      <c r="E11" s="16" t="n">
        <v>-15083</v>
      </c>
      <c r="F11" s="16" t="n">
        <v>19203</v>
      </c>
    </row>
    <row r="12">
      <c r="A12" s="15" t="inlineStr">
        <is>
          <t>Indtægter af kapitalandele, dattervirksomheder</t>
        </is>
      </c>
      <c r="B12" s="16" t="n">
        <v>976</v>
      </c>
      <c r="C12" s="16" t="n">
        <v>918</v>
      </c>
      <c r="D12" s="16" t="n">
        <v>764</v>
      </c>
      <c r="E12" s="16" t="n">
        <v>555</v>
      </c>
      <c r="F12" s="16" t="n">
        <v>-89</v>
      </c>
    </row>
    <row r="13">
      <c r="A13" s="15" t="inlineStr">
        <is>
          <t>Finansielle indtægter</t>
        </is>
      </c>
      <c r="B13" s="16" t="n">
        <v>4255</v>
      </c>
      <c r="C13" s="16" t="n">
        <v>3233</v>
      </c>
      <c r="D13" s="16" t="n">
        <v>3055</v>
      </c>
      <c r="E13" s="16" t="n">
        <v>8946</v>
      </c>
      <c r="F13" s="16" t="n">
        <v>5737</v>
      </c>
    </row>
    <row r="14">
      <c r="A14" s="15" t="inlineStr">
        <is>
          <t>Finansielle omkostninger</t>
        </is>
      </c>
      <c r="B14" s="16" t="n">
        <v>4101</v>
      </c>
      <c r="C14" s="16" t="n">
        <v>6821</v>
      </c>
      <c r="D14" s="16" t="n">
        <v>11337</v>
      </c>
      <c r="E14" s="16" t="n">
        <v>17559</v>
      </c>
      <c r="F14" s="16" t="n">
        <v>16443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68915</v>
      </c>
      <c r="C16" s="16" t="n">
        <v>5055</v>
      </c>
      <c r="D16" s="16" t="n">
        <v>7677</v>
      </c>
      <c r="E16" s="16" t="n">
        <v>-27614</v>
      </c>
      <c r="F16" s="16" t="n">
        <v>8408</v>
      </c>
    </row>
    <row r="17">
      <c r="A17" s="15" t="inlineStr">
        <is>
          <t>Skat af årets resultat</t>
        </is>
      </c>
      <c r="B17" s="16" t="n">
        <v>14920</v>
      </c>
      <c r="C17" s="16" t="n">
        <v>901</v>
      </c>
      <c r="D17" s="16" t="n">
        <v>1554</v>
      </c>
      <c r="E17" s="16" t="n">
        <v>-6216</v>
      </c>
      <c r="F17" s="16" t="n">
        <v>1896</v>
      </c>
    </row>
    <row r="18">
      <c r="A18" s="17" t="inlineStr">
        <is>
          <t>Årets resultat</t>
        </is>
      </c>
      <c r="B18" s="16" t="n">
        <v>53995</v>
      </c>
      <c r="C18" s="16" t="n">
        <v>4155</v>
      </c>
      <c r="D18" s="16" t="n">
        <v>6122</v>
      </c>
      <c r="E18" s="16" t="n">
        <v>-21397</v>
      </c>
      <c r="F18" s="16" t="n">
        <v>6512</v>
      </c>
    </row>
    <row r="19">
      <c r="A19" s="15" t="inlineStr">
        <is>
          <t>Gns. antal medarbejdere</t>
        </is>
      </c>
      <c r="B19" s="16" t="n">
        <v>293</v>
      </c>
      <c r="C19" s="16" t="n">
        <v>329</v>
      </c>
      <c r="D19" s="16" t="n">
        <v>327</v>
      </c>
      <c r="E19" s="16" t="n">
        <v>332</v>
      </c>
      <c r="F19" s="16" t="n">
        <v>302</v>
      </c>
    </row>
    <row r="20">
      <c r="A20" s="15" t="inlineStr">
        <is>
          <t>Investering i materielle anlægsaktiver</t>
        </is>
      </c>
      <c r="B20" s="16" t="n">
        <v>-70147</v>
      </c>
      <c r="C20" s="16" t="n">
        <v>-21812</v>
      </c>
      <c r="D20" s="16" t="n">
        <v>-34814</v>
      </c>
      <c r="E20" s="16" t="n">
        <v>-20662</v>
      </c>
      <c r="F20" s="16" t="n">
        <v>-587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PLANTORAMA A/S (CVR 14982442)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>
        <v>322</v>
      </c>
      <c r="C2" s="16" t="n">
        <v>0</v>
      </c>
      <c r="D2" s="16" t="n">
        <v>0</v>
      </c>
      <c r="E2" s="16" t="n">
        <v>0</v>
      </c>
      <c r="F2" s="16" t="n">
        <v>0</v>
      </c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>
        <v>6896</v>
      </c>
      <c r="C4" s="16" t="n">
        <v>5412</v>
      </c>
      <c r="D4" s="16" t="n">
        <v>3927</v>
      </c>
      <c r="E4" s="16" t="n">
        <v>2443</v>
      </c>
      <c r="F4" s="16" t="n">
        <v>1315</v>
      </c>
    </row>
    <row r="5">
      <c r="A5" s="17" t="inlineStr">
        <is>
          <t>Immaterielle anlægsaktiver</t>
        </is>
      </c>
      <c r="B5" s="16" t="n">
        <v>7923</v>
      </c>
      <c r="C5" s="16" t="n">
        <v>8013</v>
      </c>
      <c r="D5" s="16" t="n">
        <v>6255</v>
      </c>
      <c r="E5" s="16" t="n">
        <v>4660</v>
      </c>
      <c r="F5" s="16" t="n">
        <v>3566</v>
      </c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>
        <v>97864</v>
      </c>
      <c r="C8" s="16" t="n">
        <v>103598</v>
      </c>
      <c r="D8" s="16" t="n">
        <v>117997</v>
      </c>
      <c r="E8" s="16" t="n">
        <v>127125</v>
      </c>
      <c r="F8" s="16" t="n">
        <v>116134</v>
      </c>
    </row>
    <row r="9">
      <c r="A9" s="15" t="inlineStr">
        <is>
          <t>Indretning af lejede lokaler</t>
        </is>
      </c>
      <c r="B9" s="16" t="n">
        <v>24757</v>
      </c>
      <c r="C9" s="16" t="n">
        <v>21946</v>
      </c>
      <c r="D9" s="16" t="n">
        <v>22463</v>
      </c>
      <c r="E9" s="16" t="n">
        <v>22753</v>
      </c>
      <c r="F9" s="16" t="n">
        <v>20684</v>
      </c>
    </row>
    <row r="10">
      <c r="A10" s="15" t="inlineStr">
        <is>
          <t>Forudbetaling og anlægsaktiver under opførelse</t>
        </is>
      </c>
      <c r="B10" s="16" t="n">
        <v>3311</v>
      </c>
      <c r="C10" s="16" t="n">
        <v>2283</v>
      </c>
      <c r="D10" s="16" t="n">
        <v>6533</v>
      </c>
      <c r="E10" s="16" t="n">
        <v>402</v>
      </c>
      <c r="F10" s="16" t="n">
        <v>319</v>
      </c>
    </row>
    <row r="11">
      <c r="A11" s="17" t="inlineStr">
        <is>
          <t>Materielle anlægsaktiver</t>
        </is>
      </c>
      <c r="B11" s="16" t="n">
        <v>125932</v>
      </c>
      <c r="C11" s="16" t="n">
        <v>127827</v>
      </c>
      <c r="D11" s="16" t="n">
        <v>146994</v>
      </c>
      <c r="E11" s="16" t="n">
        <v>150280</v>
      </c>
      <c r="F11" s="16" t="n">
        <v>137137</v>
      </c>
    </row>
    <row r="12">
      <c r="A12" s="15" t="inlineStr">
        <is>
          <t>Kapitalandele, dattervirksomheder</t>
        </is>
      </c>
      <c r="B12" s="16" t="n">
        <v>1402</v>
      </c>
      <c r="C12" s="16" t="n">
        <v>2320</v>
      </c>
      <c r="D12" s="16" t="n">
        <v>3084</v>
      </c>
      <c r="E12" s="16" t="n">
        <v>3642</v>
      </c>
      <c r="F12" s="16" t="n">
        <v>0</v>
      </c>
    </row>
    <row r="13">
      <c r="A13" s="15" t="inlineStr">
        <is>
          <t>Deposita</t>
        </is>
      </c>
      <c r="B13" s="16" t="n">
        <v>18527</v>
      </c>
      <c r="C13" s="16" t="n">
        <v>18705</v>
      </c>
      <c r="D13" s="16" t="n">
        <v>18632</v>
      </c>
      <c r="E13" s="16" t="n">
        <v>18764</v>
      </c>
      <c r="F13" s="16" t="n">
        <v>18859</v>
      </c>
    </row>
    <row r="14">
      <c r="A14" s="17" t="inlineStr">
        <is>
          <t>Finansielle anlægsaktiver</t>
        </is>
      </c>
      <c r="B14" s="16" t="n">
        <v>19935</v>
      </c>
      <c r="C14" s="16" t="n">
        <v>21030</v>
      </c>
      <c r="D14" s="16" t="n">
        <v>21721</v>
      </c>
      <c r="E14" s="16" t="n">
        <v>22431</v>
      </c>
      <c r="F14" s="16" t="n">
        <v>18884</v>
      </c>
    </row>
    <row r="15">
      <c r="A15" s="17" t="inlineStr">
        <is>
          <t>Anlægsaktiver</t>
        </is>
      </c>
      <c r="B15" s="16" t="n">
        <v>153790</v>
      </c>
      <c r="C15" s="16" t="n">
        <v>156870</v>
      </c>
      <c r="D15" s="16" t="n">
        <v>174970</v>
      </c>
      <c r="E15" s="16" t="n">
        <v>177370</v>
      </c>
      <c r="F15" s="16" t="n">
        <v>159588</v>
      </c>
    </row>
    <row r="16">
      <c r="A16" s="15" t="inlineStr">
        <is>
          <t>Råvarer og hjælpematerialer</t>
        </is>
      </c>
      <c r="B16" s="16" t="n">
        <v>88909</v>
      </c>
      <c r="C16" s="16" t="n">
        <v>101378</v>
      </c>
      <c r="D16" s="16" t="n"/>
      <c r="E16" s="16" t="n"/>
      <c r="F16" s="16" t="n"/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/>
      <c r="C18" s="16" t="n"/>
      <c r="D18" s="16" t="n">
        <v>83839</v>
      </c>
      <c r="E18" s="16" t="n">
        <v>101698</v>
      </c>
      <c r="F18" s="16" t="n">
        <v>106410</v>
      </c>
    </row>
    <row r="19">
      <c r="A19" s="17" t="inlineStr">
        <is>
          <t>Varebeholdninger</t>
        </is>
      </c>
      <c r="B19" s="16" t="n">
        <v>89598</v>
      </c>
      <c r="C19" s="16" t="n">
        <v>101378</v>
      </c>
      <c r="D19" s="16" t="n">
        <v>83839</v>
      </c>
      <c r="E19" s="16" t="n">
        <v>101698</v>
      </c>
      <c r="F19" s="16" t="n">
        <v>106410</v>
      </c>
    </row>
    <row r="20">
      <c r="A20" s="15" t="inlineStr">
        <is>
          <t>Tilgodehavender fra salg og tjenesteydelser</t>
        </is>
      </c>
      <c r="B20" s="16" t="n">
        <v>903</v>
      </c>
      <c r="C20" s="16" t="n">
        <v>365</v>
      </c>
      <c r="D20" s="16" t="n">
        <v>610</v>
      </c>
      <c r="E20" s="16" t="n">
        <v>921</v>
      </c>
      <c r="F20" s="16" t="n">
        <v>1556</v>
      </c>
    </row>
    <row r="21">
      <c r="A21" s="15" t="inlineStr">
        <is>
          <t>Tilgodehavender hos tilknyttede virksomheder</t>
        </is>
      </c>
      <c r="B21" s="16" t="n">
        <v>69930</v>
      </c>
      <c r="C21" s="16" t="n">
        <v>15858</v>
      </c>
      <c r="D21" s="16" t="n">
        <v>60768</v>
      </c>
      <c r="E21" s="16" t="n">
        <v>82470</v>
      </c>
      <c r="F21" s="16" t="n">
        <v>113124</v>
      </c>
    </row>
    <row r="22">
      <c r="A22" s="15" t="inlineStr">
        <is>
          <t>Andre tilgodehavender</t>
        </is>
      </c>
      <c r="B22" s="16" t="n">
        <v>2628</v>
      </c>
      <c r="C22" s="16" t="n">
        <v>2990</v>
      </c>
      <c r="D22" s="16" t="n">
        <v>2837</v>
      </c>
      <c r="E22" s="16" t="n">
        <v>3187</v>
      </c>
      <c r="F22" s="16" t="n">
        <v>3744</v>
      </c>
    </row>
    <row r="23">
      <c r="A23" s="15" t="inlineStr">
        <is>
          <t>Periodeafgrænsningsposter (aktiver)</t>
        </is>
      </c>
      <c r="B23" s="16" t="n">
        <v>1342</v>
      </c>
      <c r="C23" s="16" t="n">
        <v>4829</v>
      </c>
      <c r="D23" s="16" t="n">
        <v>7715</v>
      </c>
      <c r="E23" s="16" t="n">
        <v>7737</v>
      </c>
      <c r="F23" s="16" t="n">
        <v>7687</v>
      </c>
    </row>
    <row r="24">
      <c r="A24" s="15" t="inlineStr">
        <is>
          <t>Udskudt skatteaktiv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/>
      <c r="C26" s="16" t="n"/>
      <c r="D26" s="16" t="n"/>
      <c r="E26" s="16" t="n"/>
      <c r="F26" s="16" t="n"/>
    </row>
    <row r="27">
      <c r="A27" s="17" t="inlineStr">
        <is>
          <t>Tilgodehavender</t>
        </is>
      </c>
      <c r="B27" s="16" t="n">
        <v>74803</v>
      </c>
      <c r="C27" s="16" t="n">
        <v>24043</v>
      </c>
      <c r="D27" s="16" t="n">
        <v>71931</v>
      </c>
      <c r="E27" s="16" t="n">
        <v>94315</v>
      </c>
      <c r="F27" s="16" t="n">
        <v>126111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4611</v>
      </c>
      <c r="C29" s="16" t="n">
        <v>2115</v>
      </c>
      <c r="D29" s="16" t="n">
        <v>2201</v>
      </c>
      <c r="E29" s="16" t="n">
        <v>3231</v>
      </c>
      <c r="F29" s="16" t="n">
        <v>3186</v>
      </c>
    </row>
    <row r="30">
      <c r="A30" s="17" t="inlineStr">
        <is>
          <t>Omsætningsaktiver</t>
        </is>
      </c>
      <c r="B30" s="16" t="n">
        <v>169011</v>
      </c>
      <c r="C30" s="16" t="n">
        <v>127536</v>
      </c>
      <c r="D30" s="16" t="n">
        <v>157971</v>
      </c>
      <c r="E30" s="16" t="n">
        <v>199244</v>
      </c>
      <c r="F30" s="16" t="n">
        <v>235708</v>
      </c>
    </row>
    <row r="31">
      <c r="A31" s="17" t="inlineStr">
        <is>
          <t>Aktiver</t>
        </is>
      </c>
      <c r="B31" s="16" t="n">
        <v>322801</v>
      </c>
      <c r="C31" s="16" t="n">
        <v>284406</v>
      </c>
      <c r="D31" s="16" t="n">
        <v>332941</v>
      </c>
      <c r="E31" s="16" t="n">
        <v>376614</v>
      </c>
      <c r="F31" s="16" t="n">
        <v>395295</v>
      </c>
    </row>
    <row r="32">
      <c r="A32" s="15" t="inlineStr">
        <is>
          <t>Selskabskapital</t>
        </is>
      </c>
      <c r="B32" s="16" t="n">
        <v>3333</v>
      </c>
      <c r="C32" s="16" t="n">
        <v>3333</v>
      </c>
      <c r="D32" s="16" t="n">
        <v>3333</v>
      </c>
      <c r="E32" s="16" t="n">
        <v>3388</v>
      </c>
      <c r="F32" s="16" t="n">
        <v>3388</v>
      </c>
    </row>
    <row r="33">
      <c r="A33" s="15" t="inlineStr">
        <is>
          <t>Reserve for nettoopskrivning (indre værdis metode)</t>
        </is>
      </c>
      <c r="B33" s="16" t="n">
        <v>1268</v>
      </c>
      <c r="C33" s="16" t="n">
        <v>2186</v>
      </c>
      <c r="D33" s="16" t="n">
        <v>2949</v>
      </c>
      <c r="E33" s="16" t="n">
        <v>3507</v>
      </c>
      <c r="F33" s="16" t="n">
        <v>0</v>
      </c>
    </row>
    <row r="34">
      <c r="A34" s="15" t="inlineStr">
        <is>
          <t>Reserve for udviklingsomkostninger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>
        <v>0</v>
      </c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104045</v>
      </c>
      <c r="C37" s="16" t="n">
        <v>71783</v>
      </c>
      <c r="D37" s="16" t="n">
        <v>77141</v>
      </c>
      <c r="E37" s="16" t="n">
        <v>49260</v>
      </c>
      <c r="F37" s="16" t="n">
        <v>59278</v>
      </c>
    </row>
    <row r="38">
      <c r="A38" s="17" t="inlineStr">
        <is>
          <t>Egenkapital i alt</t>
        </is>
      </c>
      <c r="B38" s="16" t="n">
        <v>138647</v>
      </c>
      <c r="C38" s="16" t="n">
        <v>82802</v>
      </c>
      <c r="D38" s="16" t="n">
        <v>83424</v>
      </c>
      <c r="E38" s="16" t="n">
        <v>56154</v>
      </c>
      <c r="F38" s="16" t="n">
        <v>62666</v>
      </c>
    </row>
    <row r="39">
      <c r="A39" s="15" t="inlineStr">
        <is>
          <t>Hensættelse til udskudt skat</t>
        </is>
      </c>
      <c r="B39" s="16" t="n">
        <v>5535</v>
      </c>
      <c r="C39" s="16" t="n">
        <v>11717</v>
      </c>
      <c r="D39" s="16" t="n">
        <v>12993</v>
      </c>
      <c r="E39" s="16" t="n">
        <v>6899</v>
      </c>
      <c r="F39" s="16" t="n">
        <v>7831</v>
      </c>
    </row>
    <row r="40">
      <c r="A40" s="17" t="inlineStr">
        <is>
          <t>Hensatte forpligtelser</t>
        </is>
      </c>
      <c r="B40" s="16" t="n">
        <v>5535</v>
      </c>
      <c r="C40" s="16" t="n">
        <v>11717</v>
      </c>
      <c r="D40" s="16" t="n">
        <v>12993</v>
      </c>
      <c r="E40" s="16" t="n">
        <v>6899</v>
      </c>
      <c r="F40" s="16" t="n">
        <v>7831</v>
      </c>
    </row>
    <row r="41">
      <c r="A41" s="15" t="inlineStr">
        <is>
          <t>Ansvarlig lånekapital (langfristet)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Langfristede lån</t>
        </is>
      </c>
      <c r="B42" s="16" t="n">
        <v>1281</v>
      </c>
      <c r="C42" s="16" t="n">
        <v>1244</v>
      </c>
      <c r="D42" s="16" t="n">
        <v>1360</v>
      </c>
      <c r="E42" s="16" t="n">
        <v>1065</v>
      </c>
      <c r="F42" s="16" t="n">
        <v>355</v>
      </c>
    </row>
    <row r="43">
      <c r="A43" s="15" t="inlineStr">
        <is>
          <t>Leasingforpligtelser (langfristet)</t>
        </is>
      </c>
      <c r="B43" s="16" t="n">
        <v>60544</v>
      </c>
      <c r="C43" s="16" t="n">
        <v>56191</v>
      </c>
      <c r="D43" s="16" t="n">
        <v>75242</v>
      </c>
      <c r="E43" s="16" t="n">
        <v>75308</v>
      </c>
      <c r="F43" s="16" t="n">
        <v>63467</v>
      </c>
    </row>
    <row r="44">
      <c r="A44" s="15" t="inlineStr">
        <is>
          <t>Anden gæld (langfristet)</t>
        </is>
      </c>
      <c r="B44" s="16" t="n">
        <v>9746</v>
      </c>
      <c r="C44" s="16" t="n"/>
      <c r="D44" s="16" t="n"/>
      <c r="E44" s="16" t="n"/>
      <c r="F44" s="16" t="n"/>
    </row>
    <row r="45">
      <c r="A45" s="17" t="inlineStr">
        <is>
          <t>Langfristede gældsforpligtelser</t>
        </is>
      </c>
      <c r="B45" s="16" t="n">
        <v>71571</v>
      </c>
      <c r="C45" s="16" t="n">
        <v>67247</v>
      </c>
      <c r="D45" s="16" t="n">
        <v>86925</v>
      </c>
      <c r="E45" s="16" t="n">
        <v>87526</v>
      </c>
      <c r="F45" s="16" t="n">
        <v>75374</v>
      </c>
    </row>
    <row r="46">
      <c r="A46" s="15" t="inlineStr">
        <is>
          <t>Ansvarlig lånekapital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Kortfristet del af langfristede gældsforpligtelser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Kreditinstitutter</t>
        </is>
      </c>
      <c r="B48" s="16" t="n">
        <v>6041</v>
      </c>
      <c r="C48" s="16" t="n">
        <v>32586</v>
      </c>
      <c r="D48" s="16" t="n">
        <v>60491</v>
      </c>
      <c r="E48" s="16" t="n">
        <v>135181</v>
      </c>
      <c r="F48" s="16" t="n">
        <v>164829</v>
      </c>
    </row>
    <row r="49">
      <c r="A49" s="15" t="inlineStr">
        <is>
          <t>Leasingforpligtelser (kortfristet)</t>
        </is>
      </c>
      <c r="B49" s="16" t="n">
        <v>11975</v>
      </c>
      <c r="C49" s="16" t="n">
        <v>17476</v>
      </c>
      <c r="D49" s="16" t="n">
        <v>13417</v>
      </c>
      <c r="E49" s="16" t="n">
        <v>15048</v>
      </c>
      <c r="F49" s="16" t="n">
        <v>15127</v>
      </c>
    </row>
    <row r="50">
      <c r="A50" s="15" t="inlineStr">
        <is>
          <t>Leverandører af varer og tjenesteydelser</t>
        </is>
      </c>
      <c r="B50" s="16" t="n">
        <v>30561</v>
      </c>
      <c r="C50" s="16" t="n">
        <v>34866</v>
      </c>
      <c r="D50" s="16" t="n">
        <v>30882</v>
      </c>
      <c r="E50" s="16" t="n">
        <v>33511</v>
      </c>
      <c r="F50" s="16" t="n">
        <v>31414</v>
      </c>
    </row>
    <row r="51">
      <c r="A51" s="15" t="inlineStr">
        <is>
          <t>Gæld til tilknyttede virksomheder</t>
        </is>
      </c>
      <c r="B51" s="16" t="n">
        <v>2692</v>
      </c>
      <c r="C51" s="16" t="n">
        <v>3236</v>
      </c>
      <c r="D51" s="16" t="n">
        <v>3275</v>
      </c>
      <c r="E51" s="16" t="n">
        <v>1716</v>
      </c>
      <c r="F51" s="16" t="n">
        <v>0</v>
      </c>
    </row>
    <row r="52">
      <c r="A52" s="15" t="inlineStr">
        <is>
          <t>Gæld til selskabsdeltagere og ledelse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Selskabsskat</t>
        </is>
      </c>
      <c r="B53" s="16" t="n">
        <v>14920</v>
      </c>
      <c r="C53" s="16" t="n">
        <v>549</v>
      </c>
      <c r="D53" s="16" t="n">
        <v>278</v>
      </c>
      <c r="E53" s="16" t="n">
        <v>0</v>
      </c>
      <c r="F53" s="16" t="n">
        <v>964</v>
      </c>
    </row>
    <row r="54">
      <c r="A54" s="15" t="inlineStr">
        <is>
          <t>Gæld til tilknyttede virksomheder vedr. selskabsskat</t>
        </is>
      </c>
      <c r="B54" s="16" t="n"/>
      <c r="C54" s="16" t="n"/>
      <c r="D54" s="16" t="n"/>
      <c r="E54" s="16" t="n"/>
      <c r="F54" s="16" t="n"/>
    </row>
    <row r="55">
      <c r="A55" s="15" t="inlineStr">
        <is>
          <t>Anden gæld (kortfristet)</t>
        </is>
      </c>
      <c r="B55" s="16" t="n">
        <v>34803</v>
      </c>
      <c r="C55" s="16" t="n"/>
      <c r="D55" s="16" t="n"/>
      <c r="E55" s="16" t="n"/>
      <c r="F55" s="16" t="n"/>
    </row>
    <row r="56">
      <c r="A56" s="15" t="inlineStr">
        <is>
          <t>Periodeafgrænsningsposter (passiver)</t>
        </is>
      </c>
      <c r="B56" s="16" t="n"/>
      <c r="C56" s="16" t="n">
        <v>12020</v>
      </c>
      <c r="D56" s="16" t="n">
        <v>15557</v>
      </c>
      <c r="E56" s="16" t="n">
        <v>18143</v>
      </c>
      <c r="F56" s="16" t="n">
        <v>17592</v>
      </c>
    </row>
    <row r="57">
      <c r="A57" s="17" t="inlineStr">
        <is>
          <t>Kortfristede gældsforpligtelser</t>
        </is>
      </c>
      <c r="B57" s="16" t="n">
        <v>107048</v>
      </c>
      <c r="C57" s="16" t="n">
        <v>122641</v>
      </c>
      <c r="D57" s="16" t="n">
        <v>149599</v>
      </c>
      <c r="E57" s="16" t="n">
        <v>226035</v>
      </c>
      <c r="F57" s="16" t="n">
        <v>249424</v>
      </c>
    </row>
    <row r="58">
      <c r="A58" s="17" t="inlineStr">
        <is>
          <t>Gældsforpligtelser</t>
        </is>
      </c>
      <c r="B58" s="16" t="n">
        <v>178619</v>
      </c>
      <c r="C58" s="16" t="n">
        <v>189888</v>
      </c>
      <c r="D58" s="16" t="n">
        <v>236524</v>
      </c>
      <c r="E58" s="16" t="n">
        <v>313561</v>
      </c>
      <c r="F58" s="16" t="n">
        <v>324798</v>
      </c>
    </row>
    <row r="59">
      <c r="A59" s="17" t="inlineStr">
        <is>
          <t>Passiver</t>
        </is>
      </c>
      <c r="B59" s="16" t="n">
        <v>322801</v>
      </c>
      <c r="C59" s="16" t="n">
        <v>284406</v>
      </c>
      <c r="D59" s="16" t="n">
        <v>332941</v>
      </c>
      <c r="E59" s="16" t="n">
        <v>376614</v>
      </c>
      <c r="F59" s="16" t="n">
        <v>395295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PLANTORAMA A/S (CVR 14982442) — Regnskabs- og nøgletal (CVR: 14982442)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'res_raw_14982442'!$F$2</f>
        <v/>
      </c>
      <c r="C5" s="24">
        <f>'res_raw_14982442'!$E$2</f>
        <v/>
      </c>
      <c r="D5" s="24">
        <f>'res_raw_14982442'!$D$2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'res_raw_14982442'!$F$3</f>
        <v/>
      </c>
      <c r="C6" s="24">
        <f>'res_raw_14982442'!$E$3</f>
        <v/>
      </c>
      <c r="D6" s="24">
        <f>'res_raw_14982442'!$D$3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-'res_raw_14982442'!$F$4</f>
        <v/>
      </c>
      <c r="C7" s="24">
        <f>-'res_raw_14982442'!$E$4</f>
        <v/>
      </c>
      <c r="D7" s="24">
        <f>-'res_raw_14982442'!$D$4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-'res_raw_14982442'!$F$5</f>
        <v/>
      </c>
      <c r="C8" s="24">
        <f>-'res_raw_14982442'!$E$5</f>
        <v/>
      </c>
      <c r="D8" s="24">
        <f>-'res_raw_14982442'!$D$5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IF(COUNT('res_raw_14982442'!$F$2,'res_raw_14982442'!$F$3,'res_raw_14982442'!$F$4,'res_raw_14982442'!$F$5)=0,'res_raw_14982442'!$F$6,SUM(B5:B8))</f>
        <v/>
      </c>
      <c r="C9" s="27">
        <f>IF(COUNT('res_raw_14982442'!$E$2,'res_raw_14982442'!$E$3,'res_raw_14982442'!$E$4,'res_raw_14982442'!$E$5)=0,'res_raw_14982442'!$E$6,SUM(C5:C8))</f>
        <v/>
      </c>
      <c r="D9" s="27">
        <f>IF(COUNT('res_raw_14982442'!$D$2,'res_raw_14982442'!$D$3,'res_raw_14982442'!$D$4,'res_raw_14982442'!$D$5)=0,'res_raw_14982442'!$D$6,SUM(D5:D8))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-'res_raw_14982442'!$F$7</f>
        <v/>
      </c>
      <c r="C10" s="24">
        <f>-'res_raw_14982442'!$E$7</f>
        <v/>
      </c>
      <c r="D10" s="24">
        <f>-'res_raw_14982442'!$D$7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-'res_raw_14982442'!$F$9</f>
        <v/>
      </c>
      <c r="C11" s="24">
        <f>-'res_raw_14982442'!$E$9</f>
        <v/>
      </c>
      <c r="D11" s="24">
        <f>-'res_raw_14982442'!$D$9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-'res_raw_14982442'!$F$10</f>
        <v/>
      </c>
      <c r="C12" s="24">
        <f>-'res_raw_14982442'!$E$10</f>
        <v/>
      </c>
      <c r="D12" s="24">
        <f>-'res_raw_14982442'!$D$10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N('res_raw_14982442'!$F$12)+N('res_raw_14982442'!$F$13)</f>
        <v/>
      </c>
      <c r="C14" s="24">
        <f>N('res_raw_14982442'!$E$12)+N('res_raw_14982442'!$E$13)</f>
        <v/>
      </c>
      <c r="D14" s="24">
        <f>N('res_raw_14982442'!$D$12)+N('res_raw_14982442'!$D$13)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-'res_raw_14982442'!$F$14</f>
        <v/>
      </c>
      <c r="C15" s="24">
        <f>-'res_raw_14982442'!$E$14</f>
        <v/>
      </c>
      <c r="D15" s="24">
        <f>-'res_raw_14982442'!$D$14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'balance_raw_14982442'!$F$15</f>
        <v/>
      </c>
      <c r="C19" s="24">
        <f>'balance_raw_14982442'!$E$15</f>
        <v/>
      </c>
      <c r="D19" s="24">
        <f>'balance_raw_14982442'!$D$15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'balance_raw_14982442'!$F$30</f>
        <v/>
      </c>
      <c r="C20" s="24">
        <f>'balance_raw_14982442'!$E$30</f>
        <v/>
      </c>
      <c r="D20" s="24">
        <f>'balance_raw_14982442'!$D$30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'balance_raw_14982442'!$F$38</f>
        <v/>
      </c>
      <c r="C23" s="24">
        <f>'balance_raw_14982442'!$E$38</f>
        <v/>
      </c>
      <c r="D23" s="24">
        <f>'balance_raw_14982442'!$D$38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'balance_raw_14982442'!$F$59-'balance_raw_14982442'!$F$38</f>
        <v/>
      </c>
      <c r="C24" s="24">
        <f>'balance_raw_14982442'!$E$59-'balance_raw_14982442'!$E$38</f>
        <v/>
      </c>
      <c r="D24" s="24">
        <f>'balance_raw_14982442'!$D$59-'balance_raw_14982442'!$D$38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'balance_raw_14982442'!$F$19</f>
        <v/>
      </c>
      <c r="C28" s="24">
        <f>'balance_raw_14982442'!$E$19</f>
        <v/>
      </c>
      <c r="D28" s="24">
        <f>'balance_raw_14982442'!$D$19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'balance_raw_14982442'!$F$20</f>
        <v/>
      </c>
      <c r="C29" s="24">
        <f>'balance_raw_14982442'!$E$20</f>
        <v/>
      </c>
      <c r="D29" s="24">
        <f>'balance_raw_14982442'!$D$20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'balance_raw_14982442'!$F$57</f>
        <v/>
      </c>
      <c r="C30" s="24">
        <f>'balance_raw_14982442'!$E$57</f>
        <v/>
      </c>
      <c r="D30" s="24">
        <f>'balance_raw_14982442'!$D$57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IF('balance_raw_14982442'!$F$31="","—",IF(ABS(B21-'balance_raw_14982442'!$F$31)&lt;=1,"✓ OK","❌ "&amp;TEXT(B21-'balance_raw_14982442'!$F$31,"+#,##0;-#,##0")&amp;" t.kr."))</f>
        <v/>
      </c>
      <c r="C61" s="29">
        <f>IF('balance_raw_14982442'!$E$31="","—",IF(ABS(C21-'balance_raw_14982442'!$E$31)&lt;=1,"✓ OK","❌ "&amp;TEXT(C21-'balance_raw_14982442'!$E$31,"+#,##0;-#,##0")&amp;" t.kr."))</f>
        <v/>
      </c>
      <c r="D61" s="29">
        <f>IF('balance_raw_14982442'!$D$31="","—",IF(ABS(D21-'balance_raw_14982442'!$D$31)&lt;=1,"✓ OK","❌ "&amp;TEXT(D21-'balance_raw_14982442'!$D$31,"+#,##0;-#,##0")&amp;"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IF('balance_raw_14982442'!$F$59="","—",IF(ABS(B25-'balance_raw_14982442'!$F$59)&lt;=1,"✓ OK","❌ "&amp;TEXT(B25-'balance_raw_14982442'!$F$59,"+#,##0;-#,##0")&amp;" t.kr."))</f>
        <v/>
      </c>
      <c r="C62" s="29">
        <f>IF('balance_raw_14982442'!$E$59="","—",IF(ABS(C25-'balance_raw_14982442'!$E$59)&lt;=1,"✓ OK","❌ "&amp;TEXT(C25-'balance_raw_14982442'!$E$59,"+#,##0;-#,##0")&amp;" t.kr."))</f>
        <v/>
      </c>
      <c r="D62" s="29">
        <f>IF('balance_raw_14982442'!$D$59="","—",IF(ABS(D25-'balance_raw_14982442'!$D$59)&lt;=1,"✓ OK","❌ "&amp;TEXT(D25-'balance_raw_14982442'!$D$59,"+#,##0;-#,##0")&amp;"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IF('res_raw_14982442'!$F$6="","—",IF(ABS(B9-'res_raw_14982442'!$F$6)&lt;=1,"✓ OK","❌ "&amp;TEXT(B9-'res_raw_14982442'!$F$6,"+#,##0;-#,##0")&amp;" t.kr."))</f>
        <v/>
      </c>
      <c r="C64" s="29">
        <f>IF('res_raw_14982442'!$E$6="","—",IF(ABS(C9-'res_raw_14982442'!$E$6)&lt;=1,"✓ OK","❌ "&amp;TEXT(C9-'res_raw_14982442'!$E$6,"+#,##0;-#,##0")&amp;" t.kr."))</f>
        <v/>
      </c>
      <c r="D64" s="29">
        <f>IF('res_raw_14982442'!$D$6="","—",IF(ABS(D9-'res_raw_14982442'!$D$6)&lt;=1,"✓ OK","❌ "&amp;TEXT(D9-'res_raw_14982442'!$D$6,"+#,##0;-#,##0")&amp;"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IF('res_raw_14982442'!$F$11="","—",IF(ABS(B13-'res_raw_14982442'!$F$11)&lt;=1,"✓ OK","❌ "&amp;TEXT(B13-'res_raw_14982442'!$F$11,"+#,##0;-#,##0")&amp;" t.kr."))</f>
        <v/>
      </c>
      <c r="C65" s="29">
        <f>IF('res_raw_14982442'!$E$11="","—",IF(ABS(C13-'res_raw_14982442'!$E$11)&lt;=1,"✓ OK","❌ "&amp;TEXT(C13-'res_raw_14982442'!$E$11,"+#,##0;-#,##0")&amp;" t.kr."))</f>
        <v/>
      </c>
      <c r="D65" s="29">
        <f>IF('res_raw_14982442'!$D$11="","—",IF(ABS(D13-'res_raw_14982442'!$D$11)&lt;=1,"✓ OK","❌ "&amp;TEXT(D13-'res_raw_14982442'!$D$11,"+#,##0;-#,##0")&amp;"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IF('res_raw_14982442'!$F$16="","—",IF(ABS(B16-'res_raw_14982442'!$F$16)&lt;=1,"✓ OK","❌ "&amp;TEXT(B16-'res_raw_14982442'!$F$16,"+#,##0;-#,##0")&amp;" t.kr."))</f>
        <v/>
      </c>
      <c r="C66" s="29">
        <f>IF('res_raw_14982442'!$E$16="","—",IF(ABS(C16-'res_raw_14982442'!$E$16)&lt;=1,"✓ OK","❌ "&amp;TEXT(C16-'res_raw_14982442'!$E$16,"+#,##0;-#,##0")&amp;" t.kr."))</f>
        <v/>
      </c>
      <c r="D66" s="29">
        <f>IF('res_raw_14982442'!$D$16="","—",IF(ABS(D16-'res_raw_14982442'!$D$16)&lt;=1,"✓ OK","❌ "&amp;TEXT(D16-'res_raw_14982442'!$D$16,"+#,##0;-#,##0")&amp;"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PLANTORAMA A/S (CVR 14982442)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fsa:ShorttermPayablesToParticipatingInterest</t>
        </is>
      </c>
      <c r="C3" s="34" t="inlineStr">
        <is>
          <t>fsa:ShorttermPayablesToParticipatingInterest</t>
        </is>
      </c>
      <c r="D3" s="35" t="n">
        <v>6055</v>
      </c>
      <c r="E3" s="35" t="n">
        <v>0</v>
      </c>
      <c r="F3" s="35" t="n"/>
      <c r="G3" s="35" t="n"/>
      <c r="H3" s="35" t="n"/>
      <c r="I3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2026-09-27T21:19:16Z</dcterms:created>
  <dcterms:modified xmlns:dcterms="http://purl.org/dc/terms/" xmlns:xsi="http://www.w3.org/2001/XMLSchema-instance" xsi:type="dcterms:W3CDTF">2026-09-27T21:19:17Z</dcterms:modified>
</cp:coreProperties>
</file>