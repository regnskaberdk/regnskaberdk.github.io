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2073409" sheetId="1" state="visible" r:id="rId1"/>
    <sheet xmlns:r="http://schemas.openxmlformats.org/officeDocument/2006/relationships" name="res_raw_32073409" sheetId="2" state="visible" r:id="rId2"/>
    <sheet xmlns:r="http://schemas.openxmlformats.org/officeDocument/2006/relationships" name="balance_raw_32073409" sheetId="3" state="visible" r:id="rId3"/>
    <sheet xmlns:r="http://schemas.openxmlformats.org/officeDocument/2006/relationships" name="pengestrom_raw_32073409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HOTEL SKOVPAVILLONENHotel Skovpavillonen &amp; Kerteminde VandrerhjemKerteminde Vand (CVR 32073409)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'res_raw_32073409'!$B$2</f>
        <v/>
      </c>
      <c r="C4" s="5">
        <f>'res_raw_32073409'!$C$2</f>
        <v/>
      </c>
      <c r="D4" s="5">
        <f>'res_raw_32073409'!$D$2</f>
        <v/>
      </c>
      <c r="E4" s="5">
        <f>'res_raw_32073409'!$E$2</f>
        <v/>
      </c>
      <c r="F4" s="5">
        <f>'res_raw_32073409'!$F$2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'res_raw_32073409'!$B$3</f>
        <v/>
      </c>
      <c r="C5" s="8">
        <f>'res_raw_32073409'!$C$3</f>
        <v/>
      </c>
      <c r="D5" s="8">
        <f>'res_raw_32073409'!$D$3</f>
        <v/>
      </c>
      <c r="E5" s="8">
        <f>'res_raw_32073409'!$E$3</f>
        <v/>
      </c>
      <c r="F5" s="8">
        <f>'res_raw_32073409'!$F$3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'res_raw_32073409'!$B$4</f>
        <v/>
      </c>
      <c r="C6" s="5">
        <f>'res_raw_32073409'!$C$4</f>
        <v/>
      </c>
      <c r="D6" s="5">
        <f>'res_raw_32073409'!$D$4</f>
        <v/>
      </c>
      <c r="E6" s="5">
        <f>'res_raw_32073409'!$E$4</f>
        <v/>
      </c>
      <c r="F6" s="5">
        <f>'res_raw_32073409'!$F$4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'res_raw_32073409'!$B$5</f>
        <v/>
      </c>
      <c r="C7" s="8">
        <f>'res_raw_32073409'!$C$5</f>
        <v/>
      </c>
      <c r="D7" s="8">
        <f>'res_raw_32073409'!$D$5</f>
        <v/>
      </c>
      <c r="E7" s="8">
        <f>'res_raw_32073409'!$E$5</f>
        <v/>
      </c>
      <c r="F7" s="8">
        <f>'res_raw_32073409'!$F$5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'res_raw_32073409'!$B$6</f>
        <v/>
      </c>
      <c r="C8" s="11">
        <f>'res_raw_32073409'!$C$6</f>
        <v/>
      </c>
      <c r="D8" s="11">
        <f>'res_raw_32073409'!$D$6</f>
        <v/>
      </c>
      <c r="E8" s="11">
        <f>'res_raw_32073409'!$E$6</f>
        <v/>
      </c>
      <c r="F8" s="11">
        <f>'res_raw_32073409'!$F$6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'res_raw_32073409'!$B$7</f>
        <v/>
      </c>
      <c r="C9" s="8">
        <f>'res_raw_32073409'!$C$7</f>
        <v/>
      </c>
      <c r="D9" s="8">
        <f>'res_raw_32073409'!$D$7</f>
        <v/>
      </c>
      <c r="E9" s="8">
        <f>'res_raw_32073409'!$E$7</f>
        <v/>
      </c>
      <c r="F9" s="8">
        <f>'res_raw_32073409'!$F$7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'res_raw_32073409'!$B$9</f>
        <v/>
      </c>
      <c r="C11" s="8">
        <f>'res_raw_32073409'!$C$9</f>
        <v/>
      </c>
      <c r="D11" s="8">
        <f>'res_raw_32073409'!$D$9</f>
        <v/>
      </c>
      <c r="E11" s="8">
        <f>'res_raw_32073409'!$E$9</f>
        <v/>
      </c>
      <c r="F11" s="8">
        <f>'res_raw_32073409'!$F$9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'res_raw_32073409'!$B$10</f>
        <v/>
      </c>
      <c r="C12" s="5">
        <f>'res_raw_32073409'!$C$10</f>
        <v/>
      </c>
      <c r="D12" s="5">
        <f>'res_raw_32073409'!$D$10</f>
        <v/>
      </c>
      <c r="E12" s="5">
        <f>'res_raw_32073409'!$E$10</f>
        <v/>
      </c>
      <c r="F12" s="5">
        <f>'res_raw_32073409'!$F$10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'res_raw_32073409'!$B$11</f>
        <v/>
      </c>
      <c r="C13" s="11">
        <f>'res_raw_32073409'!$C$11</f>
        <v/>
      </c>
      <c r="D13" s="11">
        <f>'res_raw_32073409'!$D$11</f>
        <v/>
      </c>
      <c r="E13" s="11">
        <f>'res_raw_32073409'!$E$11</f>
        <v/>
      </c>
      <c r="F13" s="11">
        <f>'res_raw_32073409'!$F$11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'res_raw_32073409'!$B$12</f>
        <v/>
      </c>
      <c r="C14" s="5">
        <f>'res_raw_32073409'!$C$12</f>
        <v/>
      </c>
      <c r="D14" s="5">
        <f>'res_raw_32073409'!$D$12</f>
        <v/>
      </c>
      <c r="E14" s="5">
        <f>'res_raw_32073409'!$E$12</f>
        <v/>
      </c>
      <c r="F14" s="5">
        <f>'res_raw_32073409'!$F$12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'res_raw_32073409'!$B$13</f>
        <v/>
      </c>
      <c r="C15" s="8">
        <f>'res_raw_32073409'!$C$13</f>
        <v/>
      </c>
      <c r="D15" s="8">
        <f>'res_raw_32073409'!$D$13</f>
        <v/>
      </c>
      <c r="E15" s="8">
        <f>'res_raw_32073409'!$E$13</f>
        <v/>
      </c>
      <c r="F15" s="8">
        <f>'res_raw_32073409'!$F$13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'res_raw_32073409'!$B$14</f>
        <v/>
      </c>
      <c r="C16" s="5">
        <f>'res_raw_32073409'!$C$14</f>
        <v/>
      </c>
      <c r="D16" s="5">
        <f>'res_raw_32073409'!$D$14</f>
        <v/>
      </c>
      <c r="E16" s="5">
        <f>'res_raw_32073409'!$E$14</f>
        <v/>
      </c>
      <c r="F16" s="5">
        <f>'res_raw_32073409'!$F$14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'res_raw_32073409'!$B$15</f>
        <v/>
      </c>
      <c r="C17" s="11">
        <f>'res_raw_32073409'!$C$15</f>
        <v/>
      </c>
      <c r="D17" s="11">
        <f>'res_raw_32073409'!$D$15</f>
        <v/>
      </c>
      <c r="E17" s="11">
        <f>'res_raw_32073409'!$E$15</f>
        <v/>
      </c>
      <c r="F17" s="11">
        <f>'res_raw_32073409'!$F$15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'res_raw_32073409'!$B$16</f>
        <v/>
      </c>
      <c r="C18" s="11">
        <f>'res_raw_32073409'!$C$16</f>
        <v/>
      </c>
      <c r="D18" s="11">
        <f>'res_raw_32073409'!$D$16</f>
        <v/>
      </c>
      <c r="E18" s="11">
        <f>'res_raw_32073409'!$E$16</f>
        <v/>
      </c>
      <c r="F18" s="11">
        <f>'res_raw_32073409'!$F$16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'res_raw_32073409'!$B$17</f>
        <v/>
      </c>
      <c r="C19" s="8">
        <f>'res_raw_32073409'!$C$17</f>
        <v/>
      </c>
      <c r="D19" s="8">
        <f>'res_raw_32073409'!$D$17</f>
        <v/>
      </c>
      <c r="E19" s="8">
        <f>'res_raw_32073409'!$E$17</f>
        <v/>
      </c>
      <c r="F19" s="8">
        <f>'res_raw_32073409'!$F$17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'res_raw_32073409'!$B$18</f>
        <v/>
      </c>
      <c r="C20" s="11">
        <f>'res_raw_32073409'!$C$18</f>
        <v/>
      </c>
      <c r="D20" s="11">
        <f>'res_raw_32073409'!$D$18</f>
        <v/>
      </c>
      <c r="E20" s="11">
        <f>'res_raw_32073409'!$E$18</f>
        <v/>
      </c>
      <c r="F20" s="11">
        <f>'res_raw_32073409'!$F$18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'balance_raw_32073409'!$B$2</f>
        <v/>
      </c>
      <c r="C23" s="8">
        <f>'balance_raw_32073409'!$C$2</f>
        <v/>
      </c>
      <c r="D23" s="8">
        <f>'balance_raw_32073409'!$D$2</f>
        <v/>
      </c>
      <c r="E23" s="8">
        <f>'balance_raw_32073409'!$E$2</f>
        <v/>
      </c>
      <c r="F23" s="8">
        <f>'balance_raw_32073409'!$F$2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'balance_raw_32073409'!$B$3</f>
        <v/>
      </c>
      <c r="C24" s="5">
        <f>'balance_raw_32073409'!$C$3</f>
        <v/>
      </c>
      <c r="D24" s="5">
        <f>'balance_raw_32073409'!$D$3</f>
        <v/>
      </c>
      <c r="E24" s="5">
        <f>'balance_raw_32073409'!$E$3</f>
        <v/>
      </c>
      <c r="F24" s="5">
        <f>'balance_raw_32073409'!$F$3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'balance_raw_32073409'!$B$4</f>
        <v/>
      </c>
      <c r="C25" s="8">
        <f>'balance_raw_32073409'!$C$4</f>
        <v/>
      </c>
      <c r="D25" s="8">
        <f>'balance_raw_32073409'!$D$4</f>
        <v/>
      </c>
      <c r="E25" s="8">
        <f>'balance_raw_32073409'!$E$4</f>
        <v/>
      </c>
      <c r="F25" s="8">
        <f>'balance_raw_32073409'!$F$4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'balance_raw_32073409'!$B$5</f>
        <v/>
      </c>
      <c r="C26" s="5">
        <f>'balance_raw_32073409'!$C$5</f>
        <v/>
      </c>
      <c r="D26" s="5">
        <f>'balance_raw_32073409'!$D$5</f>
        <v/>
      </c>
      <c r="E26" s="5">
        <f>'balance_raw_32073409'!$E$5</f>
        <v/>
      </c>
      <c r="F26" s="5">
        <f>'balance_raw_32073409'!$F$5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'balance_raw_32073409'!$B$6</f>
        <v/>
      </c>
      <c r="C27" s="8">
        <f>'balance_raw_32073409'!$C$6</f>
        <v/>
      </c>
      <c r="D27" s="8">
        <f>'balance_raw_32073409'!$D$6</f>
        <v/>
      </c>
      <c r="E27" s="8">
        <f>'balance_raw_32073409'!$E$6</f>
        <v/>
      </c>
      <c r="F27" s="8">
        <f>'balance_raw_32073409'!$F$6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'balance_raw_32073409'!$B$7</f>
        <v/>
      </c>
      <c r="C28" s="11">
        <f>'balance_raw_32073409'!$C$7</f>
        <v/>
      </c>
      <c r="D28" s="11">
        <f>'balance_raw_32073409'!$D$7</f>
        <v/>
      </c>
      <c r="E28" s="11">
        <f>'balance_raw_32073409'!$E$7</f>
        <v/>
      </c>
      <c r="F28" s="11">
        <f>'balance_raw_32073409'!$F$7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'balance_raw_32073409'!$B$8</f>
        <v/>
      </c>
      <c r="C29" s="8">
        <f>'balance_raw_32073409'!$C$8</f>
        <v/>
      </c>
      <c r="D29" s="8">
        <f>'balance_raw_32073409'!$D$8</f>
        <v/>
      </c>
      <c r="E29" s="8">
        <f>'balance_raw_32073409'!$E$8</f>
        <v/>
      </c>
      <c r="F29" s="8">
        <f>'balance_raw_32073409'!$F$8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'balance_raw_32073409'!$B$9</f>
        <v/>
      </c>
      <c r="C30" s="5">
        <f>'balance_raw_32073409'!$C$9</f>
        <v/>
      </c>
      <c r="D30" s="5">
        <f>'balance_raw_32073409'!$D$9</f>
        <v/>
      </c>
      <c r="E30" s="5">
        <f>'balance_raw_32073409'!$E$9</f>
        <v/>
      </c>
      <c r="F30" s="5">
        <f>'balance_raw_32073409'!$F$9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'balance_raw_32073409'!$B$10</f>
        <v/>
      </c>
      <c r="C31" s="11">
        <f>'balance_raw_32073409'!$C$10</f>
        <v/>
      </c>
      <c r="D31" s="11">
        <f>'balance_raw_32073409'!$D$10</f>
        <v/>
      </c>
      <c r="E31" s="11">
        <f>'balance_raw_32073409'!$E$10</f>
        <v/>
      </c>
      <c r="F31" s="11">
        <f>'balance_raw_32073409'!$F$10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'balance_raw_32073409'!$B$11</f>
        <v/>
      </c>
      <c r="C32" s="11">
        <f>'balance_raw_32073409'!$C$11</f>
        <v/>
      </c>
      <c r="D32" s="11">
        <f>'balance_raw_32073409'!$D$11</f>
        <v/>
      </c>
      <c r="E32" s="11">
        <f>'balance_raw_32073409'!$E$11</f>
        <v/>
      </c>
      <c r="F32" s="11">
        <f>'balance_raw_32073409'!$F$11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'balance_raw_32073409'!$B$12</f>
        <v/>
      </c>
      <c r="C33" s="8">
        <f>'balance_raw_32073409'!$C$12</f>
        <v/>
      </c>
      <c r="D33" s="8">
        <f>'balance_raw_32073409'!$D$12</f>
        <v/>
      </c>
      <c r="E33" s="8">
        <f>'balance_raw_32073409'!$E$12</f>
        <v/>
      </c>
      <c r="F33" s="8">
        <f>'balance_raw_32073409'!$F$12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'balance_raw_32073409'!$B$13</f>
        <v/>
      </c>
      <c r="C34" s="5">
        <f>'balance_raw_32073409'!$C$13</f>
        <v/>
      </c>
      <c r="D34" s="5">
        <f>'balance_raw_32073409'!$D$13</f>
        <v/>
      </c>
      <c r="E34" s="5">
        <f>'balance_raw_32073409'!$E$13</f>
        <v/>
      </c>
      <c r="F34" s="5">
        <f>'balance_raw_32073409'!$F$13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'balance_raw_32073409'!$B$14</f>
        <v/>
      </c>
      <c r="C35" s="8">
        <f>'balance_raw_32073409'!$C$14</f>
        <v/>
      </c>
      <c r="D35" s="8">
        <f>'balance_raw_32073409'!$D$14</f>
        <v/>
      </c>
      <c r="E35" s="8">
        <f>'balance_raw_32073409'!$E$14</f>
        <v/>
      </c>
      <c r="F35" s="8">
        <f>'balance_raw_32073409'!$F$14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'balance_raw_32073409'!$B$15</f>
        <v/>
      </c>
      <c r="C36" s="11">
        <f>'balance_raw_32073409'!$C$15</f>
        <v/>
      </c>
      <c r="D36" s="11">
        <f>'balance_raw_32073409'!$D$15</f>
        <v/>
      </c>
      <c r="E36" s="11">
        <f>'balance_raw_32073409'!$E$15</f>
        <v/>
      </c>
      <c r="F36" s="11">
        <f>'balance_raw_32073409'!$F$15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'balance_raw_32073409'!$B$16</f>
        <v/>
      </c>
      <c r="C37" s="8">
        <f>'balance_raw_32073409'!$C$16</f>
        <v/>
      </c>
      <c r="D37" s="8">
        <f>'balance_raw_32073409'!$D$16</f>
        <v/>
      </c>
      <c r="E37" s="8">
        <f>'balance_raw_32073409'!$E$16</f>
        <v/>
      </c>
      <c r="F37" s="8">
        <f>'balance_raw_32073409'!$F$16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'balance_raw_32073409'!$B$17</f>
        <v/>
      </c>
      <c r="C38" s="5">
        <f>'balance_raw_32073409'!$C$17</f>
        <v/>
      </c>
      <c r="D38" s="5">
        <f>'balance_raw_32073409'!$D$17</f>
        <v/>
      </c>
      <c r="E38" s="5">
        <f>'balance_raw_32073409'!$E$17</f>
        <v/>
      </c>
      <c r="F38" s="5">
        <f>'balance_raw_32073409'!$F$17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'balance_raw_32073409'!$B$18</f>
        <v/>
      </c>
      <c r="C39" s="8">
        <f>'balance_raw_32073409'!$C$18</f>
        <v/>
      </c>
      <c r="D39" s="8">
        <f>'balance_raw_32073409'!$D$18</f>
        <v/>
      </c>
      <c r="E39" s="8">
        <f>'balance_raw_32073409'!$E$18</f>
        <v/>
      </c>
      <c r="F39" s="8">
        <f>'balance_raw_32073409'!$F$18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'balance_raw_32073409'!$B$19</f>
        <v/>
      </c>
      <c r="C40" s="5">
        <f>'balance_raw_32073409'!$C$19</f>
        <v/>
      </c>
      <c r="D40" s="5">
        <f>'balance_raw_32073409'!$D$19</f>
        <v/>
      </c>
      <c r="E40" s="5">
        <f>'balance_raw_32073409'!$E$19</f>
        <v/>
      </c>
      <c r="F40" s="5">
        <f>'balance_raw_32073409'!$F$19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'balance_raw_32073409'!$B$20</f>
        <v/>
      </c>
      <c r="C41" s="8">
        <f>'balance_raw_32073409'!$C$20</f>
        <v/>
      </c>
      <c r="D41" s="8">
        <f>'balance_raw_32073409'!$D$20</f>
        <v/>
      </c>
      <c r="E41" s="8">
        <f>'balance_raw_32073409'!$E$20</f>
        <v/>
      </c>
      <c r="F41" s="8">
        <f>'balance_raw_32073409'!$F$20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'balance_raw_32073409'!$B$21</f>
        <v/>
      </c>
      <c r="C42" s="5">
        <f>'balance_raw_32073409'!$C$21</f>
        <v/>
      </c>
      <c r="D42" s="5">
        <f>'balance_raw_32073409'!$D$21</f>
        <v/>
      </c>
      <c r="E42" s="5">
        <f>'balance_raw_32073409'!$E$21</f>
        <v/>
      </c>
      <c r="F42" s="5">
        <f>'balance_raw_32073409'!$F$21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'balance_raw_32073409'!$B$22</f>
        <v/>
      </c>
      <c r="C43" s="8">
        <f>'balance_raw_32073409'!$C$22</f>
        <v/>
      </c>
      <c r="D43" s="8">
        <f>'balance_raw_32073409'!$D$22</f>
        <v/>
      </c>
      <c r="E43" s="8">
        <f>'balance_raw_32073409'!$E$22</f>
        <v/>
      </c>
      <c r="F43" s="8">
        <f>'balance_raw_32073409'!$F$22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'balance_raw_32073409'!$B$23</f>
        <v/>
      </c>
      <c r="C44" s="11">
        <f>'balance_raw_32073409'!$C$23</f>
        <v/>
      </c>
      <c r="D44" s="11">
        <f>'balance_raw_32073409'!$D$23</f>
        <v/>
      </c>
      <c r="E44" s="11">
        <f>'balance_raw_32073409'!$E$23</f>
        <v/>
      </c>
      <c r="F44" s="11">
        <f>'balance_raw_32073409'!$F$23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'balance_raw_32073409'!$B$24</f>
        <v/>
      </c>
      <c r="C45" s="8">
        <f>'balance_raw_32073409'!$C$24</f>
        <v/>
      </c>
      <c r="D45" s="8">
        <f>'balance_raw_32073409'!$D$24</f>
        <v/>
      </c>
      <c r="E45" s="8">
        <f>'balance_raw_32073409'!$E$24</f>
        <v/>
      </c>
      <c r="F45" s="8">
        <f>'balance_raw_32073409'!$F$24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'balance_raw_32073409'!$B$25</f>
        <v/>
      </c>
      <c r="C46" s="5">
        <f>'balance_raw_32073409'!$C$25</f>
        <v/>
      </c>
      <c r="D46" s="5">
        <f>'balance_raw_32073409'!$D$25</f>
        <v/>
      </c>
      <c r="E46" s="5">
        <f>'balance_raw_32073409'!$E$25</f>
        <v/>
      </c>
      <c r="F46" s="5">
        <f>'balance_raw_32073409'!$F$25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'balance_raw_32073409'!$B$26</f>
        <v/>
      </c>
      <c r="C47" s="11">
        <f>'balance_raw_32073409'!$C$26</f>
        <v/>
      </c>
      <c r="D47" s="11">
        <f>'balance_raw_32073409'!$D$26</f>
        <v/>
      </c>
      <c r="E47" s="11">
        <f>'balance_raw_32073409'!$E$26</f>
        <v/>
      </c>
      <c r="F47" s="11">
        <f>'balance_raw_32073409'!$F$26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'balance_raw_32073409'!$B$27</f>
        <v/>
      </c>
      <c r="C48" s="11">
        <f>'balance_raw_32073409'!$C$27</f>
        <v/>
      </c>
      <c r="D48" s="11">
        <f>'balance_raw_32073409'!$D$27</f>
        <v/>
      </c>
      <c r="E48" s="11">
        <f>'balance_raw_32073409'!$E$27</f>
        <v/>
      </c>
      <c r="F48" s="11">
        <f>'balance_raw_32073409'!$F$27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'balance_raw_32073409'!$B$28</f>
        <v/>
      </c>
      <c r="C51" s="8">
        <f>'balance_raw_32073409'!$C$28</f>
        <v/>
      </c>
      <c r="D51" s="8">
        <f>'balance_raw_32073409'!$D$28</f>
        <v/>
      </c>
      <c r="E51" s="8">
        <f>'balance_raw_32073409'!$E$28</f>
        <v/>
      </c>
      <c r="F51" s="8">
        <f>'balance_raw_32073409'!$F$28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'balance_raw_32073409'!$B$29</f>
        <v/>
      </c>
      <c r="C52" s="5">
        <f>'balance_raw_32073409'!$C$29</f>
        <v/>
      </c>
      <c r="D52" s="5">
        <f>'balance_raw_32073409'!$D$29</f>
        <v/>
      </c>
      <c r="E52" s="5">
        <f>'balance_raw_32073409'!$E$29</f>
        <v/>
      </c>
      <c r="F52" s="5">
        <f>'balance_raw_32073409'!$F$29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'balance_raw_32073409'!$B$30</f>
        <v/>
      </c>
      <c r="C53" s="8">
        <f>'balance_raw_32073409'!$C$30</f>
        <v/>
      </c>
      <c r="D53" s="8">
        <f>'balance_raw_32073409'!$D$30</f>
        <v/>
      </c>
      <c r="E53" s="8">
        <f>'balance_raw_32073409'!$E$30</f>
        <v/>
      </c>
      <c r="F53" s="8">
        <f>'balance_raw_32073409'!$F$30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'balance_raw_32073409'!$B$31</f>
        <v/>
      </c>
      <c r="C54" s="5">
        <f>'balance_raw_32073409'!$C$31</f>
        <v/>
      </c>
      <c r="D54" s="5">
        <f>'balance_raw_32073409'!$D$31</f>
        <v/>
      </c>
      <c r="E54" s="5">
        <f>'balance_raw_32073409'!$E$31</f>
        <v/>
      </c>
      <c r="F54" s="5">
        <f>'balance_raw_32073409'!$F$31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'balance_raw_32073409'!$B$32</f>
        <v/>
      </c>
      <c r="C55" s="8">
        <f>'balance_raw_32073409'!$C$32</f>
        <v/>
      </c>
      <c r="D55" s="8">
        <f>'balance_raw_32073409'!$D$32</f>
        <v/>
      </c>
      <c r="E55" s="8">
        <f>'balance_raw_32073409'!$E$32</f>
        <v/>
      </c>
      <c r="F55" s="8">
        <f>'balance_raw_32073409'!$F$32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'balance_raw_32073409'!$B$33</f>
        <v/>
      </c>
      <c r="C56" s="5">
        <f>'balance_raw_32073409'!$C$33</f>
        <v/>
      </c>
      <c r="D56" s="5">
        <f>'balance_raw_32073409'!$D$33</f>
        <v/>
      </c>
      <c r="E56" s="5">
        <f>'balance_raw_32073409'!$E$33</f>
        <v/>
      </c>
      <c r="F56" s="5">
        <f>'balance_raw_32073409'!$F$33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'balance_raw_32073409'!$B$34</f>
        <v/>
      </c>
      <c r="C57" s="11">
        <f>'balance_raw_32073409'!$C$34</f>
        <v/>
      </c>
      <c r="D57" s="11">
        <f>'balance_raw_32073409'!$D$34</f>
        <v/>
      </c>
      <c r="E57" s="11">
        <f>'balance_raw_32073409'!$E$34</f>
        <v/>
      </c>
      <c r="F57" s="11">
        <f>'balance_raw_32073409'!$F$34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'balance_raw_32073409'!$B$35</f>
        <v/>
      </c>
      <c r="C58" s="5">
        <f>'balance_raw_32073409'!$C$35</f>
        <v/>
      </c>
      <c r="D58" s="5">
        <f>'balance_raw_32073409'!$D$35</f>
        <v/>
      </c>
      <c r="E58" s="5">
        <f>'balance_raw_32073409'!$E$35</f>
        <v/>
      </c>
      <c r="F58" s="5">
        <f>'balance_raw_32073409'!$F$35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'balance_raw_32073409'!$B$36</f>
        <v/>
      </c>
      <c r="C59" s="11">
        <f>'balance_raw_32073409'!$C$36</f>
        <v/>
      </c>
      <c r="D59" s="11">
        <f>'balance_raw_32073409'!$D$36</f>
        <v/>
      </c>
      <c r="E59" s="11">
        <f>'balance_raw_32073409'!$E$36</f>
        <v/>
      </c>
      <c r="F59" s="11">
        <f>'balance_raw_32073409'!$F$36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'balance_raw_32073409'!$B$37</f>
        <v/>
      </c>
      <c r="C60" s="5">
        <f>'balance_raw_32073409'!$C$37</f>
        <v/>
      </c>
      <c r="D60" s="5">
        <f>'balance_raw_32073409'!$D$37</f>
        <v/>
      </c>
      <c r="E60" s="5">
        <f>'balance_raw_32073409'!$E$37</f>
        <v/>
      </c>
      <c r="F60" s="5">
        <f>'balance_raw_32073409'!$F$37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'balance_raw_32073409'!$B$38</f>
        <v/>
      </c>
      <c r="C61" s="8">
        <f>'balance_raw_32073409'!$C$38</f>
        <v/>
      </c>
      <c r="D61" s="8">
        <f>'balance_raw_32073409'!$D$38</f>
        <v/>
      </c>
      <c r="E61" s="8">
        <f>'balance_raw_32073409'!$E$38</f>
        <v/>
      </c>
      <c r="F61" s="8">
        <f>'balance_raw_32073409'!$F$38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'balance_raw_32073409'!$B$39</f>
        <v/>
      </c>
      <c r="C62" s="5">
        <f>'balance_raw_32073409'!$C$39</f>
        <v/>
      </c>
      <c r="D62" s="5">
        <f>'balance_raw_32073409'!$D$39</f>
        <v/>
      </c>
      <c r="E62" s="5">
        <f>'balance_raw_32073409'!$E$39</f>
        <v/>
      </c>
      <c r="F62" s="5">
        <f>'balance_raw_32073409'!$F$39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'balance_raw_32073409'!$B$40</f>
        <v/>
      </c>
      <c r="C63" s="8">
        <f>'balance_raw_32073409'!$C$40</f>
        <v/>
      </c>
      <c r="D63" s="8">
        <f>'balance_raw_32073409'!$D$40</f>
        <v/>
      </c>
      <c r="E63" s="8">
        <f>'balance_raw_32073409'!$E$40</f>
        <v/>
      </c>
      <c r="F63" s="8">
        <f>'balance_raw_32073409'!$F$40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'balance_raw_32073409'!$B$41</f>
        <v/>
      </c>
      <c r="C64" s="11">
        <f>'balance_raw_32073409'!$C$41</f>
        <v/>
      </c>
      <c r="D64" s="11">
        <f>'balance_raw_32073409'!$D$41</f>
        <v/>
      </c>
      <c r="E64" s="11">
        <f>'balance_raw_32073409'!$E$41</f>
        <v/>
      </c>
      <c r="F64" s="11">
        <f>'balance_raw_32073409'!$F$41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'balance_raw_32073409'!$B$42</f>
        <v/>
      </c>
      <c r="C65" s="8">
        <f>'balance_raw_32073409'!$C$42</f>
        <v/>
      </c>
      <c r="D65" s="8">
        <f>'balance_raw_32073409'!$D$42</f>
        <v/>
      </c>
      <c r="E65" s="8">
        <f>'balance_raw_32073409'!$E$42</f>
        <v/>
      </c>
      <c r="F65" s="8">
        <f>'balance_raw_32073409'!$F$42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'balance_raw_32073409'!$B$43</f>
        <v/>
      </c>
      <c r="C66" s="5">
        <f>'balance_raw_32073409'!$C$43</f>
        <v/>
      </c>
      <c r="D66" s="5">
        <f>'balance_raw_32073409'!$D$43</f>
        <v/>
      </c>
      <c r="E66" s="5">
        <f>'balance_raw_32073409'!$E$43</f>
        <v/>
      </c>
      <c r="F66" s="5">
        <f>'balance_raw_32073409'!$F$43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'balance_raw_32073409'!$B$44</f>
        <v/>
      </c>
      <c r="C67" s="8">
        <f>'balance_raw_32073409'!$C$44</f>
        <v/>
      </c>
      <c r="D67" s="8">
        <f>'balance_raw_32073409'!$D$44</f>
        <v/>
      </c>
      <c r="E67" s="8">
        <f>'balance_raw_32073409'!$E$44</f>
        <v/>
      </c>
      <c r="F67" s="8">
        <f>'balance_raw_32073409'!$F$44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'balance_raw_32073409'!$B$45</f>
        <v/>
      </c>
      <c r="C68" s="5">
        <f>'balance_raw_32073409'!$C$45</f>
        <v/>
      </c>
      <c r="D68" s="5">
        <f>'balance_raw_32073409'!$D$45</f>
        <v/>
      </c>
      <c r="E68" s="5">
        <f>'balance_raw_32073409'!$E$45</f>
        <v/>
      </c>
      <c r="F68" s="5">
        <f>'balance_raw_32073409'!$F$45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'balance_raw_32073409'!$B$46</f>
        <v/>
      </c>
      <c r="C69" s="8">
        <f>'balance_raw_32073409'!$C$46</f>
        <v/>
      </c>
      <c r="D69" s="8">
        <f>'balance_raw_32073409'!$D$46</f>
        <v/>
      </c>
      <c r="E69" s="8">
        <f>'balance_raw_32073409'!$E$46</f>
        <v/>
      </c>
      <c r="F69" s="8">
        <f>'balance_raw_32073409'!$F$46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'balance_raw_32073409'!$B$47</f>
        <v/>
      </c>
      <c r="C70" s="5">
        <f>'balance_raw_32073409'!$C$47</f>
        <v/>
      </c>
      <c r="D70" s="5">
        <f>'balance_raw_32073409'!$D$47</f>
        <v/>
      </c>
      <c r="E70" s="5">
        <f>'balance_raw_32073409'!$E$47</f>
        <v/>
      </c>
      <c r="F70" s="5">
        <f>'balance_raw_32073409'!$F$47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'balance_raw_32073409'!$B$48</f>
        <v/>
      </c>
      <c r="C71" s="8">
        <f>'balance_raw_32073409'!$C$48</f>
        <v/>
      </c>
      <c r="D71" s="8">
        <f>'balance_raw_32073409'!$D$48</f>
        <v/>
      </c>
      <c r="E71" s="8">
        <f>'balance_raw_32073409'!$E$48</f>
        <v/>
      </c>
      <c r="F71" s="8">
        <f>'balance_raw_32073409'!$F$48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'balance_raw_32073409'!$B$49</f>
        <v/>
      </c>
      <c r="C72" s="5">
        <f>'balance_raw_32073409'!$C$49</f>
        <v/>
      </c>
      <c r="D72" s="5">
        <f>'balance_raw_32073409'!$D$49</f>
        <v/>
      </c>
      <c r="E72" s="5">
        <f>'balance_raw_32073409'!$E$49</f>
        <v/>
      </c>
      <c r="F72" s="5">
        <f>'balance_raw_32073409'!$F$49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'balance_raw_32073409'!$B$50</f>
        <v/>
      </c>
      <c r="C73" s="8">
        <f>'balance_raw_32073409'!$C$50</f>
        <v/>
      </c>
      <c r="D73" s="8">
        <f>'balance_raw_32073409'!$D$50</f>
        <v/>
      </c>
      <c r="E73" s="8">
        <f>'balance_raw_32073409'!$E$50</f>
        <v/>
      </c>
      <c r="F73" s="8">
        <f>'balance_raw_32073409'!$F$50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'balance_raw_32073409'!$B$51</f>
        <v/>
      </c>
      <c r="C74" s="5">
        <f>'balance_raw_32073409'!$C$51</f>
        <v/>
      </c>
      <c r="D74" s="5">
        <f>'balance_raw_32073409'!$D$51</f>
        <v/>
      </c>
      <c r="E74" s="5">
        <f>'balance_raw_32073409'!$E$51</f>
        <v/>
      </c>
      <c r="F74" s="5">
        <f>'balance_raw_32073409'!$F$51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'balance_raw_32073409'!$B$52</f>
        <v/>
      </c>
      <c r="C75" s="8">
        <f>'balance_raw_32073409'!$C$52</f>
        <v/>
      </c>
      <c r="D75" s="8">
        <f>'balance_raw_32073409'!$D$52</f>
        <v/>
      </c>
      <c r="E75" s="8">
        <f>'balance_raw_32073409'!$E$52</f>
        <v/>
      </c>
      <c r="F75" s="8">
        <f>'balance_raw_32073409'!$F$52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'balance_raw_32073409'!$B$53</f>
        <v/>
      </c>
      <c r="C76" s="11">
        <f>'balance_raw_32073409'!$C$53</f>
        <v/>
      </c>
      <c r="D76" s="11">
        <f>'balance_raw_32073409'!$D$53</f>
        <v/>
      </c>
      <c r="E76" s="11">
        <f>'balance_raw_32073409'!$E$53</f>
        <v/>
      </c>
      <c r="F76" s="11">
        <f>'balance_raw_32073409'!$F$53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'balance_raw_32073409'!$B$54</f>
        <v/>
      </c>
      <c r="C77" s="11">
        <f>'balance_raw_32073409'!$C$54</f>
        <v/>
      </c>
      <c r="D77" s="11">
        <f>'balance_raw_32073409'!$D$54</f>
        <v/>
      </c>
      <c r="E77" s="11">
        <f>'balance_raw_32073409'!$E$54</f>
        <v/>
      </c>
      <c r="F77" s="11">
        <f>'balance_raw_32073409'!$F$54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'balance_raw_32073409'!$B$55</f>
        <v/>
      </c>
      <c r="C78" s="11">
        <f>'balance_raw_32073409'!$C$55</f>
        <v/>
      </c>
      <c r="D78" s="11">
        <f>'balance_raw_32073409'!$D$55</f>
        <v/>
      </c>
      <c r="E78" s="11">
        <f>'balance_raw_32073409'!$E$55</f>
        <v/>
      </c>
      <c r="F78" s="11">
        <f>'balance_raw_32073409'!$F$55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'res_raw_32073409'!$B$19</f>
        <v/>
      </c>
      <c r="C81" s="8">
        <f>'res_raw_32073409'!$C$19</f>
        <v/>
      </c>
      <c r="D81" s="8">
        <f>'res_raw_32073409'!$D$19</f>
        <v/>
      </c>
      <c r="E81" s="8">
        <f>'res_raw_32073409'!$E$19</f>
        <v/>
      </c>
      <c r="F81" s="8">
        <f>'res_raw_32073409'!$F$19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'res_raw_32073409'!$B$20</f>
        <v/>
      </c>
      <c r="C82" s="5">
        <f>'res_raw_32073409'!$C$20</f>
        <v/>
      </c>
      <c r="D82" s="5">
        <f>'res_raw_32073409'!$D$20</f>
        <v/>
      </c>
      <c r="E82" s="5">
        <f>'res_raw_32073409'!$E$20</f>
        <v/>
      </c>
      <c r="F82" s="5">
        <f>'res_raw_32073409'!$F$20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 (af bruttofortjeneste), %</t>
        </is>
      </c>
      <c r="B86" s="14">
        <f>IFERROR(($B$13+$B$15+$B$14)/$B$8*100,"")</f>
        <v/>
      </c>
      <c r="C86" s="14">
        <f>IFERROR(($C$13+$C$15+$C$14)/$C$8*100,"")</f>
        <v/>
      </c>
      <c r="D86" s="14">
        <f>IFERROR(($D$13+$D$15+$D$14)/$D$8*100,"")</f>
        <v/>
      </c>
      <c r="E86" s="14">
        <f>IFERROR(($E$13+$E$15+$E$14)/$E$8*100,"")</f>
        <v/>
      </c>
      <c r="F86" s="14">
        <f>IFERROR(($F$13+$F$15+$F$14)/$F$8*100,"")</f>
        <v/>
      </c>
    </row>
    <row r="87" ht="16" customHeight="1">
      <c r="A87" s="7" t="inlineStr">
        <is>
          <t>Aktivernes omsætningshastighed (af bruttofortjeneste), gange</t>
        </is>
      </c>
      <c r="B87" s="13">
        <f>IFERROR($B$8/$B$48,"")</f>
        <v/>
      </c>
      <c r="C87" s="13">
        <f>IFERROR($C$8/$C$48,"")</f>
        <v/>
      </c>
      <c r="D87" s="13">
        <f>IFERROR($D$8/$D$48,"")</f>
        <v/>
      </c>
      <c r="E87" s="13">
        <f>IFERROR($E$8/$E$48,"")</f>
        <v/>
      </c>
      <c r="F87" s="13">
        <f>IFERROR($F$8/$F$48,"")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  <row r="97">
      <c r="A97" s="15" t="inlineStr">
        <is>
          <t>PENGESTRØMSOPGØRELSE t.kr.</t>
        </is>
      </c>
    </row>
    <row r="98">
      <c r="A98" s="16" t="inlineStr">
        <is>
          <t>Pengestrømme fra driftsaktivitet</t>
        </is>
      </c>
      <c r="B98" s="17">
        <f>'pengestrom_raw_32073409'!$B$2</f>
        <v/>
      </c>
      <c r="C98" s="17">
        <f>'pengestrom_raw_32073409'!$C$2</f>
        <v/>
      </c>
      <c r="D98" s="17">
        <f>'pengestrom_raw_32073409'!$D$2</f>
        <v/>
      </c>
      <c r="E98" s="17">
        <f>'pengestrom_raw_32073409'!$E$2</f>
        <v/>
      </c>
      <c r="F98" s="17">
        <f>'pengestrom_raw_32073409'!$F$2</f>
        <v/>
      </c>
    </row>
    <row r="99">
      <c r="A99" s="16" t="inlineStr">
        <is>
          <t>Pengestrømme fra investeringsaktivitet</t>
        </is>
      </c>
      <c r="B99" s="17">
        <f>'pengestrom_raw_32073409'!$B$3</f>
        <v/>
      </c>
      <c r="C99" s="17">
        <f>'pengestrom_raw_32073409'!$C$3</f>
        <v/>
      </c>
      <c r="D99" s="17">
        <f>'pengestrom_raw_32073409'!$D$3</f>
        <v/>
      </c>
      <c r="E99" s="17">
        <f>'pengestrom_raw_32073409'!$E$3</f>
        <v/>
      </c>
      <c r="F99" s="17">
        <f>'pengestrom_raw_32073409'!$F$3</f>
        <v/>
      </c>
    </row>
    <row r="100">
      <c r="A100" s="16" t="inlineStr">
        <is>
          <t>Pengestrømme fra finansieringsaktivitet</t>
        </is>
      </c>
      <c r="B100" s="17">
        <f>'pengestrom_raw_32073409'!$B$4</f>
        <v/>
      </c>
      <c r="C100" s="17">
        <f>'pengestrom_raw_32073409'!$C$4</f>
        <v/>
      </c>
      <c r="D100" s="17">
        <f>'pengestrom_raw_32073409'!$D$4</f>
        <v/>
      </c>
      <c r="E100" s="17">
        <f>'pengestrom_raw_32073409'!$E$4</f>
        <v/>
      </c>
      <c r="F100" s="17">
        <f>'pengestrom_raw_32073409'!$F$4</f>
        <v/>
      </c>
    </row>
    <row r="101">
      <c r="A101" s="16" t="inlineStr">
        <is>
          <t>Årets pengestrøm (rapporteret)</t>
        </is>
      </c>
      <c r="B101" s="17">
        <f>'pengestrom_raw_32073409'!$B$5</f>
        <v/>
      </c>
      <c r="C101" s="17">
        <f>'pengestrom_raw_32073409'!$C$5</f>
        <v/>
      </c>
      <c r="D101" s="17">
        <f>'pengestrom_raw_32073409'!$D$5</f>
        <v/>
      </c>
      <c r="E101" s="17">
        <f>'pengestrom_raw_32073409'!$E$5</f>
        <v/>
      </c>
      <c r="F101" s="17">
        <f>'pengestrom_raw_32073409'!$F$5</f>
        <v/>
      </c>
    </row>
    <row r="102">
      <c r="A102" s="16" t="inlineStr">
        <is>
          <t>Krydstjek: drift + inv. + fin. = årets pengestrøm</t>
        </is>
      </c>
      <c r="B102">
        <f>IF(ABS(('pengestrom_raw_32073409'!$B$2+'pengestrom_raw_32073409'!$B$3+'pengestrom_raw_32073409'!$B$4)-'pengestrom_raw_32073409'!$B$5)&lt;=2,"✓","⚠ "&amp;TEXT(('pengestrom_raw_32073409'!$B$2+'pengestrom_raw_32073409'!$B$3+'pengestrom_raw_32073409'!$B$4)-'pengestrom_raw_32073409'!$B$5,"+#,##0;-#,##0"))</f>
        <v/>
      </c>
      <c r="C102">
        <f>IF(ABS(('pengestrom_raw_32073409'!$C$2+'pengestrom_raw_32073409'!$C$3+'pengestrom_raw_32073409'!$C$4)-'pengestrom_raw_32073409'!$C$5)&lt;=2,"✓","⚠ "&amp;TEXT(('pengestrom_raw_32073409'!$C$2+'pengestrom_raw_32073409'!$C$3+'pengestrom_raw_32073409'!$C$4)-'pengestrom_raw_32073409'!$C$5,"+#,##0;-#,##0"))</f>
        <v/>
      </c>
      <c r="D102">
        <f>IF(ABS(('pengestrom_raw_32073409'!$D$2+'pengestrom_raw_32073409'!$D$3+'pengestrom_raw_32073409'!$D$4)-'pengestrom_raw_32073409'!$D$5)&lt;=2,"✓","⚠ "&amp;TEXT(('pengestrom_raw_32073409'!$D$2+'pengestrom_raw_32073409'!$D$3+'pengestrom_raw_32073409'!$D$4)-'pengestrom_raw_32073409'!$D$5,"+#,##0;-#,##0"))</f>
        <v/>
      </c>
      <c r="E102">
        <f>IF(ABS(('pengestrom_raw_32073409'!$E$2+'pengestrom_raw_32073409'!$E$3+'pengestrom_raw_32073409'!$E$4)-'pengestrom_raw_32073409'!$E$5)&lt;=2,"✓","⚠ "&amp;TEXT(('pengestrom_raw_32073409'!$E$2+'pengestrom_raw_32073409'!$E$3+'pengestrom_raw_32073409'!$E$4)-'pengestrom_raw_32073409'!$E$5,"+#,##0;-#,##0"))</f>
        <v/>
      </c>
      <c r="F102">
        <f>IF(ABS(('pengestrom_raw_32073409'!$F$2+'pengestrom_raw_32073409'!$F$3+'pengestrom_raw_32073409'!$F$4)-'pengestrom_raw_32073409'!$F$5)&lt;=2,"✓","⚠ "&amp;TEXT(('pengestrom_raw_32073409'!$F$2+'pengestrom_raw_32073409'!$F$3+'pengestrom_raw_32073409'!$F$4)-'pengestrom_raw_32073409'!$F$5,"+#,##0;-#,##0"))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HOTEL SKOVPAVILLONENHotel Skovpavillonen &amp; Kerteminde VandrerhjemKerteminde Vand (CVR 32073409)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/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6368</v>
      </c>
      <c r="C6" s="17" t="n">
        <v>7186</v>
      </c>
      <c r="D6" s="17" t="n">
        <v>6854</v>
      </c>
      <c r="E6" s="17" t="n">
        <v>7504</v>
      </c>
      <c r="F6" s="17" t="n">
        <v>7483</v>
      </c>
    </row>
    <row r="7">
      <c r="A7" s="16" t="inlineStr">
        <is>
          <t>Personaleomkostninger</t>
        </is>
      </c>
      <c r="B7" s="17" t="n">
        <v>3944</v>
      </c>
      <c r="C7" s="17" t="n">
        <v>5376</v>
      </c>
      <c r="D7" s="17" t="n">
        <v>5321</v>
      </c>
      <c r="E7" s="17" t="n">
        <v>5880</v>
      </c>
      <c r="F7" s="17" t="n">
        <v>6137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519</v>
      </c>
      <c r="C9" s="17" t="n">
        <v>524</v>
      </c>
      <c r="D9" s="17" t="n">
        <v>491</v>
      </c>
      <c r="E9" s="17" t="n">
        <v>420</v>
      </c>
      <c r="F9" s="17" t="n">
        <v>398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1905</v>
      </c>
      <c r="C11" s="17" t="n">
        <v>1286</v>
      </c>
      <c r="D11" s="17" t="n">
        <v>1042</v>
      </c>
      <c r="E11" s="17" t="n">
        <v>1204</v>
      </c>
      <c r="F11" s="17" t="n">
        <v>947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Finansielle omkostninger</t>
        </is>
      </c>
      <c r="B14" s="17" t="n">
        <v>614</v>
      </c>
      <c r="C14" s="17" t="n">
        <v>649</v>
      </c>
      <c r="D14" s="17" t="n">
        <v>381</v>
      </c>
      <c r="E14" s="17" t="n">
        <v>392</v>
      </c>
      <c r="F14" s="17" t="n">
        <v>354</v>
      </c>
    </row>
    <row r="15">
      <c r="A15" s="15" t="inlineStr">
        <is>
          <t>Finansielle poster, netto</t>
        </is>
      </c>
      <c r="B15" s="17" t="n">
        <v>-614</v>
      </c>
      <c r="C15" s="17" t="n">
        <v>-649</v>
      </c>
      <c r="D15" s="17" t="n">
        <v>-381</v>
      </c>
      <c r="E15" s="17" t="n">
        <v>-392</v>
      </c>
      <c r="F15" s="17" t="n">
        <v>-354</v>
      </c>
    </row>
    <row r="16">
      <c r="A16" s="15" t="inlineStr">
        <is>
          <t>Resultat før skat</t>
        </is>
      </c>
      <c r="B16" s="17" t="n">
        <v>1291</v>
      </c>
      <c r="C16" s="17" t="n">
        <v>637</v>
      </c>
      <c r="D16" s="17" t="n">
        <v>661</v>
      </c>
      <c r="E16" s="17" t="n">
        <v>813</v>
      </c>
      <c r="F16" s="17" t="n">
        <v>593</v>
      </c>
    </row>
    <row r="17">
      <c r="A17" s="16" t="inlineStr">
        <is>
          <t>Skat af årets resultat</t>
        </is>
      </c>
      <c r="B17" s="17" t="n">
        <v>286</v>
      </c>
      <c r="C17" s="17" t="n">
        <v>141</v>
      </c>
      <c r="D17" s="17" t="n">
        <v>149</v>
      </c>
      <c r="E17" s="17" t="n">
        <v>182</v>
      </c>
      <c r="F17" s="17" t="n">
        <v>131</v>
      </c>
    </row>
    <row r="18">
      <c r="A18" s="15" t="inlineStr">
        <is>
          <t>Årets resultat</t>
        </is>
      </c>
      <c r="B18" s="17" t="n">
        <v>1005</v>
      </c>
      <c r="C18" s="17" t="n">
        <v>496</v>
      </c>
      <c r="D18" s="17" t="n">
        <v>512</v>
      </c>
      <c r="E18" s="17" t="n">
        <v>631</v>
      </c>
      <c r="F18" s="17" t="n">
        <v>463</v>
      </c>
    </row>
    <row r="19">
      <c r="A19" s="16" t="inlineStr">
        <is>
          <t>Gns. antal medarbejdere</t>
        </is>
      </c>
      <c r="B19" s="17" t="n">
        <v>12</v>
      </c>
      <c r="C19" s="17" t="n">
        <v>15</v>
      </c>
      <c r="D19" s="17" t="n">
        <v>14</v>
      </c>
      <c r="E19" s="17" t="n">
        <v>14</v>
      </c>
      <c r="F19" s="17" t="n">
        <v>15</v>
      </c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HOTEL SKOVPAVILLONENHotel Skovpavillonen &amp; Kerteminde VandrerhjemKerteminde Vand (CVR 32073409)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18323</v>
      </c>
      <c r="C2" s="17" t="n">
        <v>18105</v>
      </c>
      <c r="D2" s="17" t="n">
        <v>17834</v>
      </c>
      <c r="E2" s="17" t="n">
        <v>17527</v>
      </c>
      <c r="F2" s="17" t="n">
        <v>17194</v>
      </c>
    </row>
    <row r="3">
      <c r="A3" s="16" t="inlineStr">
        <is>
          <t>Produktionsanlæg og maskiner</t>
        </is>
      </c>
      <c r="B3" s="17" t="n"/>
      <c r="C3" s="17" t="n"/>
      <c r="D3" s="17" t="n"/>
      <c r="E3" s="17" t="n"/>
      <c r="F3" s="17" t="n"/>
    </row>
    <row r="4">
      <c r="A4" s="16" t="inlineStr">
        <is>
          <t>Driftsmateriel og inventar</t>
        </is>
      </c>
      <c r="B4" s="17" t="n">
        <v>425</v>
      </c>
      <c r="C4" s="17" t="n">
        <v>288</v>
      </c>
      <c r="D4" s="17" t="n">
        <v>129</v>
      </c>
      <c r="E4" s="17" t="n">
        <v>178</v>
      </c>
      <c r="F4" s="17" t="n">
        <v>143</v>
      </c>
    </row>
    <row r="5">
      <c r="A5" s="16" t="inlineStr">
        <is>
          <t>Indretning af lejede lokaler</t>
        </is>
      </c>
      <c r="B5" s="17" t="n"/>
      <c r="C5" s="17" t="n"/>
      <c r="D5" s="17" t="n"/>
      <c r="E5" s="17" t="n"/>
      <c r="F5" s="17" t="n"/>
    </row>
    <row r="6">
      <c r="A6" s="16" t="inlineStr">
        <is>
          <t>Forudbetaling og anlægsaktiver under opførelse</t>
        </is>
      </c>
      <c r="B6" s="17" t="n"/>
      <c r="C6" s="17" t="n"/>
      <c r="D6" s="17" t="n"/>
      <c r="E6" s="17" t="n"/>
      <c r="F6" s="17" t="n"/>
    </row>
    <row r="7">
      <c r="A7" s="15" t="inlineStr">
        <is>
          <t>Materielle anlægsaktiver</t>
        </is>
      </c>
      <c r="B7" s="17" t="n"/>
      <c r="C7" s="17" t="n"/>
      <c r="D7" s="17" t="n"/>
      <c r="E7" s="17" t="n">
        <v>17705</v>
      </c>
      <c r="F7" s="17" t="n">
        <v>17337</v>
      </c>
    </row>
    <row r="8">
      <c r="A8" s="16" t="inlineStr">
        <is>
          <t>Kapitalandele, dattervirksomheder</t>
        </is>
      </c>
      <c r="B8" s="17" t="n"/>
      <c r="C8" s="17" t="n"/>
      <c r="D8" s="17" t="n"/>
      <c r="E8" s="17" t="n"/>
      <c r="F8" s="17" t="n"/>
    </row>
    <row r="9">
      <c r="A9" s="16" t="inlineStr">
        <is>
          <t>Deposita</t>
        </is>
      </c>
      <c r="B9" s="17" t="n">
        <v>32</v>
      </c>
      <c r="C9" s="17" t="n">
        <v>32</v>
      </c>
      <c r="D9" s="17" t="n">
        <v>33</v>
      </c>
      <c r="E9" s="17" t="n">
        <v>33</v>
      </c>
      <c r="F9" s="17" t="n">
        <v>33</v>
      </c>
    </row>
    <row r="10">
      <c r="A10" s="15" t="inlineStr">
        <is>
          <t>Finansielle anlægsaktiver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Anlægsaktiver</t>
        </is>
      </c>
      <c r="B11" s="17" t="n">
        <v>18780</v>
      </c>
      <c r="C11" s="17" t="n">
        <v>18424</v>
      </c>
      <c r="D11" s="17" t="n">
        <v>17996</v>
      </c>
      <c r="E11" s="17" t="n">
        <v>17738</v>
      </c>
      <c r="F11" s="17" t="n">
        <v>17371</v>
      </c>
    </row>
    <row r="12">
      <c r="A12" s="16" t="inlineStr">
        <is>
          <t>Råvarer og hjælpematerialer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Varer under fremstilling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Færdigvarer og handelsvarer</t>
        </is>
      </c>
      <c r="B14" s="17" t="n"/>
      <c r="C14" s="17" t="n"/>
      <c r="D14" s="17" t="n"/>
      <c r="E14" s="17" t="n">
        <v>282</v>
      </c>
      <c r="F14" s="17" t="n">
        <v>268</v>
      </c>
    </row>
    <row r="15">
      <c r="A15" s="15" t="inlineStr">
        <is>
          <t>Varebeholdninger</t>
        </is>
      </c>
      <c r="B15" s="17" t="n">
        <v>220</v>
      </c>
      <c r="C15" s="17" t="n">
        <v>243</v>
      </c>
      <c r="D15" s="17" t="n">
        <v>247</v>
      </c>
      <c r="E15" s="17" t="n">
        <v>282</v>
      </c>
      <c r="F15" s="17" t="n">
        <v>268</v>
      </c>
    </row>
    <row r="16">
      <c r="A16" s="16" t="inlineStr">
        <is>
          <t>Tilgodehavender fra salg og tjenesteydelser</t>
        </is>
      </c>
      <c r="B16" s="17" t="n">
        <v>290</v>
      </c>
      <c r="C16" s="17" t="n">
        <v>148</v>
      </c>
      <c r="D16" s="17" t="n">
        <v>167</v>
      </c>
      <c r="E16" s="17" t="n">
        <v>68</v>
      </c>
      <c r="F16" s="17" t="n">
        <v>191</v>
      </c>
    </row>
    <row r="17">
      <c r="A17" s="16" t="inlineStr">
        <is>
          <t>Tilgodehavender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Andre tilgodehavender</t>
        </is>
      </c>
      <c r="B18" s="17" t="n">
        <v>2620</v>
      </c>
      <c r="C18" s="17" t="n">
        <v>1787</v>
      </c>
      <c r="D18" s="17" t="n">
        <v>388</v>
      </c>
      <c r="E18" s="17" t="n">
        <v>485</v>
      </c>
      <c r="F18" s="17" t="n">
        <v>705</v>
      </c>
    </row>
    <row r="19">
      <c r="A19" s="16" t="inlineStr">
        <is>
          <t>Periodeafgrænsningsposter (aktiver)</t>
        </is>
      </c>
      <c r="B19" s="17" t="n">
        <v>33</v>
      </c>
      <c r="C19" s="17" t="n">
        <v>37</v>
      </c>
      <c r="D19" s="17" t="n">
        <v>30</v>
      </c>
      <c r="E19" s="17" t="n">
        <v>29</v>
      </c>
      <c r="F19" s="17" t="n">
        <v>167</v>
      </c>
    </row>
    <row r="20">
      <c r="A20" s="16" t="inlineStr">
        <is>
          <t>Udskudt skatteaktiv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 skat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Kortfristede skattetilgodehavender</t>
        </is>
      </c>
      <c r="B22" s="17" t="n"/>
      <c r="C22" s="17" t="n"/>
      <c r="D22" s="17" t="n"/>
      <c r="E22" s="17" t="n"/>
      <c r="F22" s="17" t="n"/>
    </row>
    <row r="23">
      <c r="A23" s="15" t="inlineStr">
        <is>
          <t>Tilgodehavender</t>
        </is>
      </c>
      <c r="B23" s="17" t="n"/>
      <c r="C23" s="17" t="n"/>
      <c r="D23" s="17" t="n"/>
      <c r="E23" s="17" t="n">
        <v>582</v>
      </c>
      <c r="F23" s="17" t="n">
        <v>1063</v>
      </c>
    </row>
    <row r="24">
      <c r="A24" s="16" t="inlineStr">
        <is>
          <t>Værdipapirer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Likvide beholdninger</t>
        </is>
      </c>
      <c r="B25" s="17" t="n">
        <v>9</v>
      </c>
      <c r="C25" s="17" t="n">
        <v>9</v>
      </c>
      <c r="D25" s="17" t="n">
        <v>35</v>
      </c>
      <c r="E25" s="17" t="n">
        <v>27</v>
      </c>
      <c r="F25" s="17" t="n">
        <v>157</v>
      </c>
    </row>
    <row r="26">
      <c r="A26" s="15" t="inlineStr">
        <is>
          <t>Omsætningsaktiver</t>
        </is>
      </c>
      <c r="B26" s="17" t="n">
        <v>3173</v>
      </c>
      <c r="C26" s="17" t="n">
        <v>2225</v>
      </c>
      <c r="D26" s="17" t="n">
        <v>867</v>
      </c>
      <c r="E26" s="17" t="n">
        <v>890</v>
      </c>
      <c r="F26" s="17" t="n">
        <v>1488</v>
      </c>
    </row>
    <row r="27">
      <c r="A27" s="15" t="inlineStr">
        <is>
          <t>Aktiver</t>
        </is>
      </c>
      <c r="B27" s="17" t="n">
        <v>21953</v>
      </c>
      <c r="C27" s="17" t="n">
        <v>20649</v>
      </c>
      <c r="D27" s="17" t="n">
        <v>18863</v>
      </c>
      <c r="E27" s="17" t="n">
        <v>18628</v>
      </c>
      <c r="F27" s="17" t="n">
        <v>18859</v>
      </c>
    </row>
    <row r="28">
      <c r="A28" s="16" t="inlineStr">
        <is>
          <t>Selskabskapital</t>
        </is>
      </c>
      <c r="B28" s="17" t="n">
        <v>125</v>
      </c>
      <c r="C28" s="17" t="n">
        <v>125</v>
      </c>
      <c r="D28" s="17" t="n">
        <v>125</v>
      </c>
      <c r="E28" s="17" t="n">
        <v>125</v>
      </c>
      <c r="F28" s="17" t="n">
        <v>125</v>
      </c>
    </row>
    <row r="29">
      <c r="A29" s="16" t="inlineStr">
        <is>
          <t>Reserve for nettoopskrivning (indre værdis metode)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Reserve for udviklingsomkostninger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sikringstransaktioner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Andre reserver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Overført resultat</t>
        </is>
      </c>
      <c r="B33" s="17" t="n">
        <v>2483</v>
      </c>
      <c r="C33" s="17" t="n">
        <v>2979</v>
      </c>
      <c r="D33" s="17" t="n">
        <v>9241</v>
      </c>
      <c r="E33" s="17" t="n">
        <v>9872</v>
      </c>
      <c r="F33" s="17" t="n">
        <v>10335</v>
      </c>
    </row>
    <row r="34">
      <c r="A34" s="15" t="inlineStr">
        <is>
          <t>Egenkapital i alt</t>
        </is>
      </c>
      <c r="B34" s="17" t="n">
        <v>2608</v>
      </c>
      <c r="C34" s="17" t="n">
        <v>3104</v>
      </c>
      <c r="D34" s="17" t="n">
        <v>9366</v>
      </c>
      <c r="E34" s="17" t="n">
        <v>9997</v>
      </c>
      <c r="F34" s="17" t="n">
        <v>10460</v>
      </c>
    </row>
    <row r="35">
      <c r="A35" s="16" t="inlineStr">
        <is>
          <t>Hensættelse til udskudt skat</t>
        </is>
      </c>
      <c r="B35" s="17" t="n">
        <v>713</v>
      </c>
      <c r="C35" s="17" t="n">
        <v>855</v>
      </c>
      <c r="D35" s="17" t="n">
        <v>906</v>
      </c>
      <c r="E35" s="17" t="n">
        <v>994</v>
      </c>
      <c r="F35" s="17" t="n">
        <v>1086</v>
      </c>
    </row>
    <row r="36">
      <c r="A36" s="15" t="inlineStr">
        <is>
          <t>Hensatte forpligtelser</t>
        </is>
      </c>
      <c r="B36" s="17" t="n">
        <v>713</v>
      </c>
      <c r="C36" s="17" t="n">
        <v>855</v>
      </c>
      <c r="D36" s="17" t="n">
        <v>906</v>
      </c>
      <c r="E36" s="17" t="n">
        <v>994</v>
      </c>
      <c r="F36" s="17" t="n">
        <v>1086</v>
      </c>
    </row>
    <row r="37">
      <c r="A37" s="16" t="inlineStr">
        <is>
          <t>Ansvarlig lånekapital (langfristet)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Langfristede lån</t>
        </is>
      </c>
      <c r="B38" s="17" t="n">
        <v>4861</v>
      </c>
      <c r="C38" s="17" t="n">
        <v>4549</v>
      </c>
      <c r="D38" s="17" t="n">
        <v>4264</v>
      </c>
      <c r="E38" s="17" t="n">
        <v>3966</v>
      </c>
      <c r="F38" s="17" t="n">
        <v>3653</v>
      </c>
    </row>
    <row r="39">
      <c r="A39" s="16" t="inlineStr">
        <is>
          <t>Leasingforpligtelser (langfristet)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Anden gæld (langfristet)</t>
        </is>
      </c>
      <c r="B40" s="17" t="n">
        <v>134</v>
      </c>
      <c r="C40" s="17" t="n">
        <v>140</v>
      </c>
      <c r="D40" s="17" t="n">
        <v>146</v>
      </c>
      <c r="E40" s="17" t="n"/>
      <c r="F40" s="17" t="n"/>
    </row>
    <row r="41">
      <c r="A41" s="15" t="inlineStr">
        <is>
          <t>Langfristede gældsforpligtelser</t>
        </is>
      </c>
      <c r="B41" s="17" t="n"/>
      <c r="C41" s="17" t="n"/>
      <c r="D41" s="17" t="n"/>
      <c r="E41" s="17" t="n">
        <v>5010</v>
      </c>
      <c r="F41" s="17" t="n">
        <v>4536</v>
      </c>
    </row>
    <row r="42">
      <c r="A42" s="16" t="inlineStr">
        <is>
          <t>Ansvarlig lånekapital (kortfristet)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Kortfristet del af langfristede gældsforpligtelser</t>
        </is>
      </c>
      <c r="B43" s="17" t="n">
        <v>684</v>
      </c>
      <c r="C43" s="17" t="n">
        <v>1280</v>
      </c>
      <c r="D43" s="17" t="n">
        <v>510</v>
      </c>
      <c r="E43" s="17" t="n">
        <v>528</v>
      </c>
      <c r="F43" s="17" t="n">
        <v>510</v>
      </c>
    </row>
    <row r="44">
      <c r="A44" s="16" t="inlineStr">
        <is>
          <t>Kreditinstitutter</t>
        </is>
      </c>
      <c r="B44" s="17" t="n">
        <v>0</v>
      </c>
      <c r="C44" s="17" t="n">
        <v>390</v>
      </c>
      <c r="D44" s="17" t="n">
        <v>765</v>
      </c>
      <c r="E44" s="17" t="n">
        <v>353</v>
      </c>
      <c r="F44" s="17" t="n">
        <v>14</v>
      </c>
    </row>
    <row r="45">
      <c r="A45" s="16" t="inlineStr">
        <is>
          <t>Leasingforpligtelser (kortfristet)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Leverandører af varer og tjenesteydelser</t>
        </is>
      </c>
      <c r="B46" s="17" t="n">
        <v>241</v>
      </c>
      <c r="C46" s="17" t="n">
        <v>215</v>
      </c>
      <c r="D46" s="17" t="n">
        <v>201</v>
      </c>
      <c r="E46" s="17" t="n">
        <v>291</v>
      </c>
      <c r="F46" s="17" t="n">
        <v>360</v>
      </c>
    </row>
    <row r="47">
      <c r="A47" s="16" t="inlineStr">
        <is>
          <t>Gæld til tilknyttede virksomheder</t>
        </is>
      </c>
      <c r="B47" s="17" t="n">
        <v>6797</v>
      </c>
      <c r="C47" s="17" t="n">
        <v>7442</v>
      </c>
      <c r="D47" s="17" t="n">
        <v>375</v>
      </c>
      <c r="E47" s="17" t="n">
        <v>253</v>
      </c>
      <c r="F47" s="17" t="n">
        <v>338</v>
      </c>
    </row>
    <row r="48">
      <c r="A48" s="16" t="inlineStr">
        <is>
          <t>Gæld til selskabsdeltagere og ledelse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Selskabsskat</t>
        </is>
      </c>
      <c r="B49" s="17" t="n"/>
      <c r="C49" s="17" t="n"/>
      <c r="D49" s="17" t="n">
        <v>97</v>
      </c>
      <c r="E49" s="17" t="n">
        <v>95</v>
      </c>
      <c r="F49" s="17" t="n">
        <v>38</v>
      </c>
    </row>
    <row r="50">
      <c r="A50" s="16" t="inlineStr">
        <is>
          <t>Gæld til tilknyttede virksomheder vedr. 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Anden gæld (kortfristet)</t>
        </is>
      </c>
      <c r="B51" s="17" t="n">
        <v>1925</v>
      </c>
      <c r="C51" s="17" t="n">
        <v>603</v>
      </c>
      <c r="D51" s="17" t="n">
        <v>440</v>
      </c>
      <c r="E51" s="17" t="n">
        <v>515</v>
      </c>
      <c r="F51" s="17" t="n">
        <v>682</v>
      </c>
    </row>
    <row r="52">
      <c r="A52" s="16" t="inlineStr">
        <is>
          <t>Periodeafgrænsningsposter (passiver)</t>
        </is>
      </c>
      <c r="B52" s="17" t="n">
        <v>866</v>
      </c>
      <c r="C52" s="17" t="n">
        <v>847</v>
      </c>
      <c r="D52" s="17" t="n">
        <v>706</v>
      </c>
      <c r="E52" s="17" t="n">
        <v>593</v>
      </c>
      <c r="F52" s="17" t="n">
        <v>836</v>
      </c>
    </row>
    <row r="53">
      <c r="A53" s="15" t="inlineStr">
        <is>
          <t>Kortfristede gældsforpligtelser</t>
        </is>
      </c>
      <c r="B53" s="17" t="n"/>
      <c r="C53" s="17" t="n"/>
      <c r="D53" s="17" t="n"/>
      <c r="E53" s="17" t="n">
        <v>2628</v>
      </c>
      <c r="F53" s="17" t="n">
        <v>2778</v>
      </c>
    </row>
    <row r="54">
      <c r="A54" s="15" t="inlineStr">
        <is>
          <t>Gældsforpligtelser</t>
        </is>
      </c>
      <c r="B54" s="17" t="n">
        <v>18631</v>
      </c>
      <c r="C54" s="17" t="n">
        <v>16690</v>
      </c>
      <c r="D54" s="17" t="n">
        <v>8591</v>
      </c>
      <c r="E54" s="17" t="n">
        <v>7638</v>
      </c>
      <c r="F54" s="17" t="n">
        <v>7313</v>
      </c>
    </row>
    <row r="55">
      <c r="A55" s="15" t="inlineStr">
        <is>
          <t>Passiver</t>
        </is>
      </c>
      <c r="B55" s="17" t="n">
        <v>21953</v>
      </c>
      <c r="C55" s="17" t="n">
        <v>20649</v>
      </c>
      <c r="D55" s="17" t="n">
        <v>18863</v>
      </c>
      <c r="E55" s="17" t="n">
        <v>18628</v>
      </c>
      <c r="F55" s="17" t="n">
        <v>18859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HOTEL SKOVPAVILLONENHotel Skovpavillonen &amp; Kerteminde VandrerhjemKerteminde Vand (CVR 32073409)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900</v>
      </c>
      <c r="C2" s="17" t="n">
        <v>744</v>
      </c>
      <c r="D2" s="17" t="n">
        <v>2217</v>
      </c>
      <c r="E2" s="17" t="n"/>
      <c r="F2" s="17" t="n"/>
    </row>
    <row r="3">
      <c r="A3" s="16" t="inlineStr">
        <is>
          <t>Pengestrømme fra investeringsaktivitet</t>
        </is>
      </c>
      <c r="B3" s="17" t="n">
        <v>-170</v>
      </c>
      <c r="C3" s="17" t="n">
        <v>-169</v>
      </c>
      <c r="D3" s="17" t="n">
        <v>-62</v>
      </c>
      <c r="E3" s="17" t="n"/>
      <c r="F3" s="17" t="n"/>
    </row>
    <row r="4">
      <c r="A4" s="16" t="inlineStr">
        <is>
          <t>Pengestrømme fra finansieringsaktivitet</t>
        </is>
      </c>
      <c r="B4" s="17" t="n">
        <v>-933</v>
      </c>
      <c r="C4" s="17" t="n">
        <v>-966</v>
      </c>
      <c r="D4" s="17" t="n">
        <v>-2503</v>
      </c>
      <c r="E4" s="17" t="n"/>
      <c r="F4" s="17" t="n"/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HOTEL SKOVPAVILLONENHotel Skovpavillonen &amp; Kerteminde VandrerhjemKerteminde Vand (CVR 32073409) — Regnskabs- og nøgletal (CVR: 32073409)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'res_raw_32073409'!$F$2</f>
        <v/>
      </c>
      <c r="C5" s="24">
        <f>'res_raw_32073409'!$E$2</f>
        <v/>
      </c>
      <c r="D5" s="24">
        <f>'res_raw_32073409'!$D$2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'res_raw_32073409'!$F$3</f>
        <v/>
      </c>
      <c r="C6" s="24">
        <f>'res_raw_32073409'!$E$3</f>
        <v/>
      </c>
      <c r="D6" s="24">
        <f>'res_raw_32073409'!$D$3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-'res_raw_32073409'!$F$4</f>
        <v/>
      </c>
      <c r="C7" s="24">
        <f>-'res_raw_32073409'!$E$4</f>
        <v/>
      </c>
      <c r="D7" s="24">
        <f>-'res_raw_32073409'!$D$4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-'res_raw_32073409'!$F$5</f>
        <v/>
      </c>
      <c r="C8" s="24">
        <f>-'res_raw_32073409'!$E$5</f>
        <v/>
      </c>
      <c r="D8" s="24">
        <f>-'res_raw_32073409'!$D$5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IF(ABS((SUM(B5:B8))-'res_raw_32073409'!$F$6)&lt;=2,SUM(B5:B8),'res_raw_32073409'!$F$6)</f>
        <v/>
      </c>
      <c r="C9" s="27">
        <f>IF(ABS((SUM(C5:C8))-'res_raw_32073409'!$E$6)&lt;=2,SUM(C5:C8),'res_raw_32073409'!$E$6)</f>
        <v/>
      </c>
      <c r="D9" s="27">
        <f>IF(ABS((SUM(D5:D8))-'res_raw_32073409'!$D$6)&lt;=2,SUM(D5:D8),'res_raw_32073409'!$D$6)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-'res_raw_32073409'!$F$7</f>
        <v/>
      </c>
      <c r="C10" s="24">
        <f>-'res_raw_32073409'!$E$7</f>
        <v/>
      </c>
      <c r="D10" s="24">
        <f>-'res_raw_32073409'!$D$7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-'res_raw_32073409'!$F$9</f>
        <v/>
      </c>
      <c r="C11" s="24">
        <f>-'res_raw_32073409'!$E$9</f>
        <v/>
      </c>
      <c r="D11" s="24">
        <f>-'res_raw_32073409'!$D$9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-'res_raw_32073409'!$F$10</f>
        <v/>
      </c>
      <c r="C12" s="24">
        <f>-'res_raw_32073409'!$E$10</f>
        <v/>
      </c>
      <c r="D12" s="24">
        <f>-'res_raw_32073409'!$D$10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IF(ABS((SUM(B9:B12))-'res_raw_32073409'!$F$11)&lt;=2,SUM(B9:B12),'res_raw_32073409'!$F$11)</f>
        <v/>
      </c>
      <c r="C13" s="27">
        <f>IF(ABS((SUM(C9:C12))-'res_raw_32073409'!$E$11)&lt;=2,SUM(C9:C12),'res_raw_32073409'!$E$11)</f>
        <v/>
      </c>
      <c r="D13" s="27">
        <f>IF(ABS((SUM(D9:D12))-'res_raw_32073409'!$D$11)&lt;=2,SUM(D9:D12),'res_raw_32073409'!$D$11)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N('res_raw_32073409'!$F$12)+N('res_raw_32073409'!$F$13)</f>
        <v/>
      </c>
      <c r="C14" s="24">
        <f>N('res_raw_32073409'!$E$12)+N('res_raw_32073409'!$E$13)</f>
        <v/>
      </c>
      <c r="D14" s="24">
        <f>N('res_raw_32073409'!$D$12)+N('res_raw_32073409'!$D$13)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-'res_raw_32073409'!$F$14</f>
        <v/>
      </c>
      <c r="C15" s="24">
        <f>-'res_raw_32073409'!$E$14</f>
        <v/>
      </c>
      <c r="D15" s="24">
        <f>-'res_raw_32073409'!$D$14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IF(ABS((SUM(B13:B15))-'res_raw_32073409'!$F$16)&lt;=2,SUM(B13:B15),'res_raw_32073409'!$F$16)</f>
        <v/>
      </c>
      <c r="C16" s="27">
        <f>IF(ABS((SUM(C13:C15))-'res_raw_32073409'!$E$16)&lt;=2,SUM(C13:C15),'res_raw_32073409'!$E$16)</f>
        <v/>
      </c>
      <c r="D16" s="27">
        <f>IF(ABS((SUM(D13:D15))-'res_raw_32073409'!$D$16)&lt;=2,SUM(D13:D15),'res_raw_32073409'!$D$16)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'balance_raw_32073409'!$F$11</f>
        <v/>
      </c>
      <c r="C19" s="24">
        <f>'balance_raw_32073409'!$E$11</f>
        <v/>
      </c>
      <c r="D19" s="24">
        <f>'balance_raw_32073409'!$D$11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'balance_raw_32073409'!$F$26</f>
        <v/>
      </c>
      <c r="C20" s="24">
        <f>'balance_raw_32073409'!$E$26</f>
        <v/>
      </c>
      <c r="D20" s="24">
        <f>'balance_raw_32073409'!$D$26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'balance_raw_32073409'!$F$34</f>
        <v/>
      </c>
      <c r="C23" s="24">
        <f>'balance_raw_32073409'!$E$34</f>
        <v/>
      </c>
      <c r="D23" s="24">
        <f>'balance_raw_32073409'!$D$34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'balance_raw_32073409'!$F$55-'balance_raw_32073409'!$F$34</f>
        <v/>
      </c>
      <c r="C24" s="24">
        <f>'balance_raw_32073409'!$E$55-'balance_raw_32073409'!$E$34</f>
        <v/>
      </c>
      <c r="D24" s="24">
        <f>'balance_raw_32073409'!$D$55-'balance_raw_32073409'!$D$34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'balance_raw_32073409'!$F$15</f>
        <v/>
      </c>
      <c r="C28" s="24">
        <f>'balance_raw_32073409'!$E$15</f>
        <v/>
      </c>
      <c r="D28" s="24">
        <f>'balance_raw_32073409'!$D$15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'balance_raw_32073409'!$F$16</f>
        <v/>
      </c>
      <c r="C29" s="24">
        <f>'balance_raw_32073409'!$E$16</f>
        <v/>
      </c>
      <c r="D29" s="24">
        <f>'balance_raw_32073409'!$D$16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'balance_raw_32073409'!$F$53</f>
        <v/>
      </c>
      <c r="C30" s="24">
        <f>'balance_raw_32073409'!$E$53</f>
        <v/>
      </c>
      <c r="D30" s="24">
        <f>'balance_raw_32073409'!$D$53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IF('balance_raw_32073409'!$F$27="","—",IF(ABS(B21-'balance_raw_32073409'!$F$27)&lt;=1,"✓ OK","❌ "&amp;TEXT(B21-'balance_raw_32073409'!$F$27,"+#,##0;-#,##0")&amp;" t.kr."))</f>
        <v/>
      </c>
      <c r="C61" s="29">
        <f>IF('balance_raw_32073409'!$E$27="","—",IF(ABS(C21-'balance_raw_32073409'!$E$27)&lt;=1,"✓ OK","❌ "&amp;TEXT(C21-'balance_raw_32073409'!$E$27,"+#,##0;-#,##0")&amp;" t.kr."))</f>
        <v/>
      </c>
      <c r="D61" s="29">
        <f>IF('balance_raw_32073409'!$D$27="","—",IF(ABS(D21-'balance_raw_32073409'!$D$27)&lt;=1,"✓ OK","❌ "&amp;TEXT(D21-'balance_raw_32073409'!$D$27,"+#,##0;-#,##0")&amp;"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IF('balance_raw_32073409'!$F$55="","—",IF(ABS(B25-'balance_raw_32073409'!$F$55)&lt;=1,"✓ OK","❌ "&amp;TEXT(B25-'balance_raw_32073409'!$F$55,"+#,##0;-#,##0")&amp;" t.kr."))</f>
        <v/>
      </c>
      <c r="C62" s="29">
        <f>IF('balance_raw_32073409'!$E$55="","—",IF(ABS(C25-'balance_raw_32073409'!$E$55)&lt;=1,"✓ OK","❌ "&amp;TEXT(C25-'balance_raw_32073409'!$E$55,"+#,##0;-#,##0")&amp;" t.kr."))</f>
        <v/>
      </c>
      <c r="D62" s="29">
        <f>IF('balance_raw_32073409'!$D$55="","—",IF(ABS(D25-'balance_raw_32073409'!$D$55)&lt;=1,"✓ OK","❌ "&amp;TEXT(D25-'balance_raw_32073409'!$D$55,"+#,##0;-#,##0")&amp;"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IF('res_raw_32073409'!$F$6="","—",IF(ABS(B9-'res_raw_32073409'!$F$6)&lt;=1,"✓ OK","❌ "&amp;TEXT(B9-'res_raw_32073409'!$F$6,"+#,##0;-#,##0")&amp;" t.kr."))</f>
        <v/>
      </c>
      <c r="C64" s="29">
        <f>IF('res_raw_32073409'!$E$6="","—",IF(ABS(C9-'res_raw_32073409'!$E$6)&lt;=1,"✓ OK","❌ "&amp;TEXT(C9-'res_raw_32073409'!$E$6,"+#,##0;-#,##0")&amp;" t.kr."))</f>
        <v/>
      </c>
      <c r="D64" s="29">
        <f>IF('res_raw_32073409'!$D$6="","—",IF(ABS(D9-'res_raw_32073409'!$D$6)&lt;=1,"✓ OK","❌ "&amp;TEXT(D9-'res_raw_32073409'!$D$6,"+#,##0;-#,##0")&amp;"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IF('res_raw_32073409'!$F$11="","—",IF(ABS(B13-'res_raw_32073409'!$F$11)&lt;=1,"✓ OK","❌ "&amp;TEXT(B13-'res_raw_32073409'!$F$11,"+#,##0;-#,##0")&amp;" t.kr."))</f>
        <v/>
      </c>
      <c r="C65" s="29">
        <f>IF('res_raw_32073409'!$E$11="","—",IF(ABS(C13-'res_raw_32073409'!$E$11)&lt;=1,"✓ OK","❌ "&amp;TEXT(C13-'res_raw_32073409'!$E$11,"+#,##0;-#,##0")&amp;" t.kr."))</f>
        <v/>
      </c>
      <c r="D65" s="29">
        <f>IF('res_raw_32073409'!$D$11="","—",IF(ABS(D13-'res_raw_32073409'!$D$11)&lt;=1,"✓ OK","❌ "&amp;TEXT(D13-'res_raw_32073409'!$D$11,"+#,##0;-#,##0")&amp;"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IF('res_raw_32073409'!$F$16="","—",IF(ABS(B16-'res_raw_32073409'!$F$16)&lt;=1,"✓ OK","❌ "&amp;TEXT(B16-'res_raw_32073409'!$F$16,"+#,##0;-#,##0")&amp;" t.kr."))</f>
        <v/>
      </c>
      <c r="C66" s="29">
        <f>IF('res_raw_32073409'!$E$16="","—",IF(ABS(C16-'res_raw_32073409'!$E$16)&lt;=1,"✓ OK","❌ "&amp;TEXT(C16-'res_raw_32073409'!$E$16,"+#,##0;-#,##0")&amp;" t.kr."))</f>
        <v/>
      </c>
      <c r="D66" s="29">
        <f>IF('res_raw_32073409'!$D$16="","—",IF(ABS(D16-'res_raw_32073409'!$D$16)&lt;=1,"✓ OK","❌ "&amp;TEXT(D16-'res_raw_32073409'!$D$16,"+#,##0;-#,##0")&amp;"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HOTEL SKOVPAVILLONENHotel Skovpavillonen &amp; Kerteminde VandrerhjemKerteminde Vand (CVR 32073409)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fsa:CashCapitalIncrease</t>
        </is>
      </c>
      <c r="C3" s="34" t="inlineStr">
        <is>
          <t>fsa:CashCapitalIncrease</t>
        </is>
      </c>
      <c r="D3" s="35" t="n"/>
      <c r="E3" s="35" t="n"/>
      <c r="F3" s="35" t="n">
        <v>5750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fsa:ConvertibleProfitYieldingOrDividendYieldingLongtermDebtInstruments</t>
        </is>
      </c>
      <c r="C4" s="37" t="inlineStr">
        <is>
          <t>fsa:ConvertibleProfitYieldingOrDividendYieldingLongtermDebtInstruments</t>
        </is>
      </c>
      <c r="D4" s="38" t="n">
        <v>1634</v>
      </c>
      <c r="E4" s="38" t="n">
        <v>58</v>
      </c>
      <c r="F4" s="38" t="n">
        <v>0</v>
      </c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fsa:RaisingOfLongtermDebt</t>
        </is>
      </c>
      <c r="C5" s="34" t="inlineStr">
        <is>
          <t>fsa:RaisingOfLongtermDebt</t>
        </is>
      </c>
      <c r="D5" s="35" t="n">
        <v>0</v>
      </c>
      <c r="E5" s="35" t="n">
        <v>6</v>
      </c>
      <c r="F5" s="35" t="n">
        <v>6</v>
      </c>
      <c r="G5" s="35" t="n"/>
      <c r="H5" s="35" t="n"/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2026-10-01T22:18:13Z</dcterms:created>
  <dcterms:modified xmlns:dcterms="http://purl.org/dc/terms/" xmlns:xsi="http://www.w3.org/2001/XMLSchema-instance" xsi:type="dcterms:W3CDTF">2026-10-01T22:18:14Z</dcterms:modified>
</cp:coreProperties>
</file>