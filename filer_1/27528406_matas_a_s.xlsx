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528406" sheetId="1" state="visible" r:id="rId1"/>
    <sheet xmlns:r="http://schemas.openxmlformats.org/officeDocument/2006/relationships" name="res_raw_27528406" sheetId="2" state="visible" r:id="rId2"/>
    <sheet xmlns:r="http://schemas.openxmlformats.org/officeDocument/2006/relationships" name="balance_raw_27528406" sheetId="3" state="visible" r:id="rId3"/>
    <sheet xmlns:r="http://schemas.openxmlformats.org/officeDocument/2006/relationships" name="pengestrom_raw_27528406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Matas A/S (CVR 27528406) — Regnskabsanalyse – Resultatopgørelse &amp; Balance (t.kr.) · Revision · Regnskabsår 1/4–31/3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'res_raw_27528406'!$B$2</f>
        <v/>
      </c>
      <c r="C4" s="5">
        <f>'res_raw_27528406'!$C$2</f>
        <v/>
      </c>
      <c r="D4" s="5">
        <f>'res_raw_27528406'!$D$2</f>
        <v/>
      </c>
      <c r="E4" s="5">
        <f>'res_raw_27528406'!$E$2</f>
        <v/>
      </c>
      <c r="F4" s="5">
        <f>'res_raw_27528406'!$F$2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'res_raw_27528406'!$B$3</f>
        <v/>
      </c>
      <c r="C5" s="8">
        <f>'res_raw_27528406'!$C$3</f>
        <v/>
      </c>
      <c r="D5" s="8">
        <f>'res_raw_27528406'!$D$3</f>
        <v/>
      </c>
      <c r="E5" s="8">
        <f>'res_raw_27528406'!$E$3</f>
        <v/>
      </c>
      <c r="F5" s="8">
        <f>'res_raw_27528406'!$F$3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'res_raw_27528406'!$B$4</f>
        <v/>
      </c>
      <c r="C6" s="8">
        <f>'res_raw_27528406'!$C$4</f>
        <v/>
      </c>
      <c r="D6" s="8">
        <f>'res_raw_27528406'!$D$4</f>
        <v/>
      </c>
      <c r="E6" s="8">
        <f>'res_raw_27528406'!$E$4</f>
        <v/>
      </c>
      <c r="F6" s="8">
        <f>'res_raw_27528406'!$F$4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'res_raw_27528406'!$B$5</f>
        <v/>
      </c>
      <c r="C7" s="11">
        <f>'res_raw_27528406'!$C$5</f>
        <v/>
      </c>
      <c r="D7" s="11">
        <f>'res_raw_27528406'!$D$5</f>
        <v/>
      </c>
      <c r="E7" s="11">
        <f>'res_raw_27528406'!$E$5</f>
        <v/>
      </c>
      <c r="F7" s="11">
        <f>'res_raw_27528406'!$F$5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'res_raw_27528406'!$B$6</f>
        <v/>
      </c>
      <c r="C8" s="8">
        <f>'res_raw_27528406'!$C$6</f>
        <v/>
      </c>
      <c r="D8" s="8">
        <f>'res_raw_27528406'!$D$6</f>
        <v/>
      </c>
      <c r="E8" s="8">
        <f>'res_raw_27528406'!$E$6</f>
        <v/>
      </c>
      <c r="F8" s="8">
        <f>'res_raw_27528406'!$F$6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'res_raw_27528406'!$B$7</f>
        <v/>
      </c>
      <c r="C9" s="8">
        <f>'res_raw_27528406'!$C$7</f>
        <v/>
      </c>
      <c r="D9" s="8">
        <f>'res_raw_27528406'!$D$7</f>
        <v/>
      </c>
      <c r="E9" s="8">
        <f>'res_raw_27528406'!$E$7</f>
        <v/>
      </c>
      <c r="F9" s="8">
        <f>'res_raw_27528406'!$F$7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'res_raw_27528406'!$B$8</f>
        <v/>
      </c>
      <c r="C10" s="5">
        <f>'res_raw_27528406'!$C$8</f>
        <v/>
      </c>
      <c r="D10" s="5">
        <f>'res_raw_27528406'!$D$8</f>
        <v/>
      </c>
      <c r="E10" s="5">
        <f>'res_raw_27528406'!$E$8</f>
        <v/>
      </c>
      <c r="F10" s="5">
        <f>'res_raw_27528406'!$F$8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'res_raw_27528406'!$B$9</f>
        <v/>
      </c>
      <c r="C11" s="11">
        <f>'res_raw_27528406'!$C$9</f>
        <v/>
      </c>
      <c r="D11" s="11">
        <f>'res_raw_27528406'!$D$9</f>
        <v/>
      </c>
      <c r="E11" s="11">
        <f>'res_raw_27528406'!$E$9</f>
        <v/>
      </c>
      <c r="F11" s="11">
        <f>'res_raw_27528406'!$F$9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4" t="inlineStr">
        <is>
          <t>Andre eksterne omkostninger</t>
        </is>
      </c>
      <c r="B12" s="5">
        <f>'res_raw_27528406'!$B$10</f>
        <v/>
      </c>
      <c r="C12" s="5">
        <f>'res_raw_27528406'!$C$10</f>
        <v/>
      </c>
      <c r="D12" s="5">
        <f>'res_raw_27528406'!$D$10</f>
        <v/>
      </c>
      <c r="E12" s="5">
        <f>'res_raw_27528406'!$E$10</f>
        <v/>
      </c>
      <c r="F12" s="5">
        <f>'res_raw_27528406'!$F$10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Personaleomkostninger</t>
        </is>
      </c>
      <c r="B13" s="11">
        <f>'res_raw_27528406'!$B$11</f>
        <v/>
      </c>
      <c r="C13" s="11">
        <f>'res_raw_27528406'!$C$11</f>
        <v/>
      </c>
      <c r="D13" s="11">
        <f>'res_raw_27528406'!$D$11</f>
        <v/>
      </c>
      <c r="E13" s="11">
        <f>'res_raw_27528406'!$E$11</f>
        <v/>
      </c>
      <c r="F13" s="11">
        <f>'res_raw_27528406'!$F$11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Af- og nedskrivninger</t>
        </is>
      </c>
      <c r="B14" s="5">
        <f>'res_raw_27528406'!$B$12</f>
        <v/>
      </c>
      <c r="C14" s="5">
        <f>'res_raw_27528406'!$C$12</f>
        <v/>
      </c>
      <c r="D14" s="5">
        <f>'res_raw_27528406'!$D$12</f>
        <v/>
      </c>
      <c r="E14" s="5">
        <f>'res_raw_27528406'!$E$12</f>
        <v/>
      </c>
      <c r="F14" s="5">
        <f>'res_raw_27528406'!$F$12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Resultat af primær drift</t>
        </is>
      </c>
      <c r="B15" s="8">
        <f>'res_raw_27528406'!$B$13</f>
        <v/>
      </c>
      <c r="C15" s="8">
        <f>'res_raw_27528406'!$C$13</f>
        <v/>
      </c>
      <c r="D15" s="8">
        <f>'res_raw_27528406'!$D$13</f>
        <v/>
      </c>
      <c r="E15" s="8">
        <f>'res_raw_27528406'!$E$13</f>
        <v/>
      </c>
      <c r="F15" s="8">
        <f>'res_raw_27528406'!$F$13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Indtægter af kapitalandele, dattervirksomheder</t>
        </is>
      </c>
      <c r="B16" s="5">
        <f>'res_raw_27528406'!$B$14</f>
        <v/>
      </c>
      <c r="C16" s="5">
        <f>'res_raw_27528406'!$C$14</f>
        <v/>
      </c>
      <c r="D16" s="5">
        <f>'res_raw_27528406'!$D$14</f>
        <v/>
      </c>
      <c r="E16" s="5">
        <f>'res_raw_27528406'!$E$14</f>
        <v/>
      </c>
      <c r="F16" s="5">
        <f>'res_raw_27528406'!$F$14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indtægter</t>
        </is>
      </c>
      <c r="B17" s="11">
        <f>'res_raw_27528406'!$B$15</f>
        <v/>
      </c>
      <c r="C17" s="11">
        <f>'res_raw_27528406'!$C$15</f>
        <v/>
      </c>
      <c r="D17" s="11">
        <f>'res_raw_27528406'!$D$15</f>
        <v/>
      </c>
      <c r="E17" s="11">
        <f>'res_raw_27528406'!$E$15</f>
        <v/>
      </c>
      <c r="F17" s="11">
        <f>'res_raw_27528406'!$F$15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4" t="inlineStr">
        <is>
          <t>Finansielle omkostninger</t>
        </is>
      </c>
      <c r="B18" s="5">
        <f>'res_raw_27528406'!$B$16</f>
        <v/>
      </c>
      <c r="C18" s="5">
        <f>'res_raw_27528406'!$C$16</f>
        <v/>
      </c>
      <c r="D18" s="5">
        <f>'res_raw_27528406'!$D$16</f>
        <v/>
      </c>
      <c r="E18" s="5">
        <f>'res_raw_27528406'!$E$16</f>
        <v/>
      </c>
      <c r="F18" s="5">
        <f>'res_raw_27528406'!$F$16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Finansielle poster, netto</t>
        </is>
      </c>
      <c r="B19" s="8">
        <f>'res_raw_27528406'!$B$17</f>
        <v/>
      </c>
      <c r="C19" s="8">
        <f>'res_raw_27528406'!$C$17</f>
        <v/>
      </c>
      <c r="D19" s="8">
        <f>'res_raw_27528406'!$D$17</f>
        <v/>
      </c>
      <c r="E19" s="8">
        <f>'res_raw_27528406'!$E$17</f>
        <v/>
      </c>
      <c r="F19" s="8">
        <f>'res_raw_27528406'!$F$17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7" t="inlineStr">
        <is>
          <t>Resultat før skat</t>
        </is>
      </c>
      <c r="B20" s="8">
        <f>'res_raw_27528406'!$B$18</f>
        <v/>
      </c>
      <c r="C20" s="8">
        <f>'res_raw_27528406'!$C$18</f>
        <v/>
      </c>
      <c r="D20" s="8">
        <f>'res_raw_27528406'!$D$18</f>
        <v/>
      </c>
      <c r="E20" s="8">
        <f>'res_raw_27528406'!$E$18</f>
        <v/>
      </c>
      <c r="F20" s="8">
        <f>'res_raw_27528406'!$F$18</f>
        <v/>
      </c>
      <c r="G20" t="inlineStr"/>
      <c r="H20" s="9">
        <f>IFERROR(B20/$B$20*100,"")</f>
        <v/>
      </c>
      <c r="I20" s="9">
        <f>IFERROR(C20/$B$20*100,"")</f>
        <v/>
      </c>
      <c r="J20" s="9">
        <f>IFERROR(D20/$B$20*100,"")</f>
        <v/>
      </c>
      <c r="K20" s="9">
        <f>IFERROR(E20/$B$20*100,"")</f>
        <v/>
      </c>
      <c r="L20" s="9">
        <f>IFERROR(F20/$B$20*100,"")</f>
        <v/>
      </c>
    </row>
    <row r="21" ht="16" customHeight="1">
      <c r="A21" s="10" t="inlineStr">
        <is>
          <t>Skat af årets resultat</t>
        </is>
      </c>
      <c r="B21" s="11">
        <f>'res_raw_27528406'!$B$19</f>
        <v/>
      </c>
      <c r="C21" s="11">
        <f>'res_raw_27528406'!$C$19</f>
        <v/>
      </c>
      <c r="D21" s="11">
        <f>'res_raw_27528406'!$D$19</f>
        <v/>
      </c>
      <c r="E21" s="11">
        <f>'res_raw_27528406'!$E$19</f>
        <v/>
      </c>
      <c r="F21" s="11">
        <f>'res_raw_27528406'!$F$19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7" t="inlineStr">
        <is>
          <t>Årets resultat</t>
        </is>
      </c>
      <c r="B22" s="8">
        <f>'res_raw_27528406'!$B$20</f>
        <v/>
      </c>
      <c r="C22" s="8">
        <f>'res_raw_27528406'!$C$20</f>
        <v/>
      </c>
      <c r="D22" s="8">
        <f>'res_raw_27528406'!$D$20</f>
        <v/>
      </c>
      <c r="E22" s="8">
        <f>'res_raw_27528406'!$E$20</f>
        <v/>
      </c>
      <c r="F22" s="8">
        <f>'res_raw_27528406'!$F$20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4" ht="22" customHeight="1">
      <c r="A24" s="3" t="inlineStr">
        <is>
          <t>AKTIVER t.kr.</t>
        </is>
      </c>
      <c r="B24" s="3" t="n">
        <v>2021</v>
      </c>
      <c r="C24" s="3" t="n">
        <v>2022</v>
      </c>
      <c r="D24" s="3" t="n">
        <v>2023</v>
      </c>
      <c r="E24" s="3" t="n">
        <v>2024</v>
      </c>
      <c r="F24" s="3" t="n">
        <v>2025</v>
      </c>
      <c r="G24" t="inlineStr"/>
      <c r="H24" s="3" t="n">
        <v>2021</v>
      </c>
      <c r="I24" s="3" t="n">
        <v>2022</v>
      </c>
      <c r="J24" s="3" t="n">
        <v>2023</v>
      </c>
      <c r="K24" s="3" t="n">
        <v>2024</v>
      </c>
      <c r="L24" s="3" t="n">
        <v>2025</v>
      </c>
    </row>
    <row r="25" ht="16" customHeight="1">
      <c r="A25" s="10" t="inlineStr">
        <is>
          <t>Udviklingsprojekter</t>
        </is>
      </c>
      <c r="B25" s="11">
        <f>'balance_raw_27528406'!$B$2</f>
        <v/>
      </c>
      <c r="C25" s="11">
        <f>'balance_raw_27528406'!$C$2</f>
        <v/>
      </c>
      <c r="D25" s="11">
        <f>'balance_raw_27528406'!$D$2</f>
        <v/>
      </c>
      <c r="E25" s="11">
        <f>'balance_raw_27528406'!$E$2</f>
        <v/>
      </c>
      <c r="F25" s="11">
        <f>'balance_raw_27528406'!$F$2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Patenter, varemærker mv.</t>
        </is>
      </c>
      <c r="B26" s="5">
        <f>'balance_raw_27528406'!$B$3</f>
        <v/>
      </c>
      <c r="C26" s="5">
        <f>'balance_raw_27528406'!$C$3</f>
        <v/>
      </c>
      <c r="D26" s="5">
        <f>'balance_raw_27528406'!$D$3</f>
        <v/>
      </c>
      <c r="E26" s="5">
        <f>'balance_raw_27528406'!$E$3</f>
        <v/>
      </c>
      <c r="F26" s="5">
        <f>'balance_raw_27528406'!$F$3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Goodwill</t>
        </is>
      </c>
      <c r="B27" s="11">
        <f>'balance_raw_27528406'!$B$4</f>
        <v/>
      </c>
      <c r="C27" s="11">
        <f>'balance_raw_27528406'!$C$4</f>
        <v/>
      </c>
      <c r="D27" s="11">
        <f>'balance_raw_27528406'!$D$4</f>
        <v/>
      </c>
      <c r="E27" s="11">
        <f>'balance_raw_27528406'!$E$4</f>
        <v/>
      </c>
      <c r="F27" s="11">
        <f>'balance_raw_27528406'!$F$4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Immaterielle anlægsaktiver</t>
        </is>
      </c>
      <c r="B28" s="8">
        <f>'balance_raw_27528406'!$B$5</f>
        <v/>
      </c>
      <c r="C28" s="8">
        <f>'balance_raw_27528406'!$C$5</f>
        <v/>
      </c>
      <c r="D28" s="8">
        <f>'balance_raw_27528406'!$D$5</f>
        <v/>
      </c>
      <c r="E28" s="8">
        <f>'balance_raw_27528406'!$E$5</f>
        <v/>
      </c>
      <c r="F28" s="8">
        <f>'balance_raw_27528406'!$F$5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Grunde og bygninger</t>
        </is>
      </c>
      <c r="B29" s="11">
        <f>'balance_raw_27528406'!$B$6</f>
        <v/>
      </c>
      <c r="C29" s="11">
        <f>'balance_raw_27528406'!$C$6</f>
        <v/>
      </c>
      <c r="D29" s="11">
        <f>'balance_raw_27528406'!$D$6</f>
        <v/>
      </c>
      <c r="E29" s="11">
        <f>'balance_raw_27528406'!$E$6</f>
        <v/>
      </c>
      <c r="F29" s="11">
        <f>'balance_raw_27528406'!$F$6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Produktionsanlæg og maskiner</t>
        </is>
      </c>
      <c r="B30" s="5">
        <f>'balance_raw_27528406'!$B$7</f>
        <v/>
      </c>
      <c r="C30" s="5">
        <f>'balance_raw_27528406'!$C$7</f>
        <v/>
      </c>
      <c r="D30" s="5">
        <f>'balance_raw_27528406'!$D$7</f>
        <v/>
      </c>
      <c r="E30" s="5">
        <f>'balance_raw_27528406'!$E$7</f>
        <v/>
      </c>
      <c r="F30" s="5">
        <f>'balance_raw_27528406'!$F$7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Driftsmateriel og inventar</t>
        </is>
      </c>
      <c r="B31" s="11">
        <f>'balance_raw_27528406'!$B$8</f>
        <v/>
      </c>
      <c r="C31" s="11">
        <f>'balance_raw_27528406'!$C$8</f>
        <v/>
      </c>
      <c r="D31" s="11">
        <f>'balance_raw_27528406'!$D$8</f>
        <v/>
      </c>
      <c r="E31" s="11">
        <f>'balance_raw_27528406'!$E$8</f>
        <v/>
      </c>
      <c r="F31" s="11">
        <f>'balance_raw_27528406'!$F$8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Indretning af lejede lokaler</t>
        </is>
      </c>
      <c r="B32" s="5">
        <f>'balance_raw_27528406'!$B$9</f>
        <v/>
      </c>
      <c r="C32" s="5">
        <f>'balance_raw_27528406'!$C$9</f>
        <v/>
      </c>
      <c r="D32" s="5">
        <f>'balance_raw_27528406'!$D$9</f>
        <v/>
      </c>
      <c r="E32" s="5">
        <f>'balance_raw_27528406'!$E$9</f>
        <v/>
      </c>
      <c r="F32" s="5">
        <f>'balance_raw_27528406'!$F$9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Forudbetaling og anlægsaktiver under opførelse</t>
        </is>
      </c>
      <c r="B33" s="11">
        <f>'balance_raw_27528406'!$B$10</f>
        <v/>
      </c>
      <c r="C33" s="11">
        <f>'balance_raw_27528406'!$C$10</f>
        <v/>
      </c>
      <c r="D33" s="11">
        <f>'balance_raw_27528406'!$D$10</f>
        <v/>
      </c>
      <c r="E33" s="11">
        <f>'balance_raw_27528406'!$E$10</f>
        <v/>
      </c>
      <c r="F33" s="11">
        <f>'balance_raw_27528406'!$F$10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Materielle anlægsaktiver</t>
        </is>
      </c>
      <c r="B34" s="8">
        <f>'balance_raw_27528406'!$B$11</f>
        <v/>
      </c>
      <c r="C34" s="8">
        <f>'balance_raw_27528406'!$C$11</f>
        <v/>
      </c>
      <c r="D34" s="8">
        <f>'balance_raw_27528406'!$D$11</f>
        <v/>
      </c>
      <c r="E34" s="8">
        <f>'balance_raw_27528406'!$E$11</f>
        <v/>
      </c>
      <c r="F34" s="8">
        <f>'balance_raw_27528406'!$F$11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Kapitalandele, dattervirksomheder</t>
        </is>
      </c>
      <c r="B35" s="11">
        <f>'balance_raw_27528406'!$B$12</f>
        <v/>
      </c>
      <c r="C35" s="11">
        <f>'balance_raw_27528406'!$C$12</f>
        <v/>
      </c>
      <c r="D35" s="11">
        <f>'balance_raw_27528406'!$D$12</f>
        <v/>
      </c>
      <c r="E35" s="11">
        <f>'balance_raw_27528406'!$E$12</f>
        <v/>
      </c>
      <c r="F35" s="11">
        <f>'balance_raw_27528406'!$F$12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Deposita</t>
        </is>
      </c>
      <c r="B36" s="5">
        <f>'balance_raw_27528406'!$B$13</f>
        <v/>
      </c>
      <c r="C36" s="5">
        <f>'balance_raw_27528406'!$C$13</f>
        <v/>
      </c>
      <c r="D36" s="5">
        <f>'balance_raw_27528406'!$D$13</f>
        <v/>
      </c>
      <c r="E36" s="5">
        <f>'balance_raw_27528406'!$E$13</f>
        <v/>
      </c>
      <c r="F36" s="5">
        <f>'balance_raw_27528406'!$F$13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Finansielle anlægsaktiver</t>
        </is>
      </c>
      <c r="B37" s="8">
        <f>'balance_raw_27528406'!$B$14</f>
        <v/>
      </c>
      <c r="C37" s="8">
        <f>'balance_raw_27528406'!$C$14</f>
        <v/>
      </c>
      <c r="D37" s="8">
        <f>'balance_raw_27528406'!$D$14</f>
        <v/>
      </c>
      <c r="E37" s="8">
        <f>'balance_raw_27528406'!$E$14</f>
        <v/>
      </c>
      <c r="F37" s="8">
        <f>'balance_raw_27528406'!$F$14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7" t="inlineStr">
        <is>
          <t>Anlægsaktiver</t>
        </is>
      </c>
      <c r="B38" s="8">
        <f>'balance_raw_27528406'!$B$15</f>
        <v/>
      </c>
      <c r="C38" s="8">
        <f>'balance_raw_27528406'!$C$15</f>
        <v/>
      </c>
      <c r="D38" s="8">
        <f>'balance_raw_27528406'!$D$15</f>
        <v/>
      </c>
      <c r="E38" s="8">
        <f>'balance_raw_27528406'!$E$15</f>
        <v/>
      </c>
      <c r="F38" s="8">
        <f>'balance_raw_27528406'!$F$15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Råvarer og hjælpematerialer</t>
        </is>
      </c>
      <c r="B39" s="11">
        <f>'balance_raw_27528406'!$B$16</f>
        <v/>
      </c>
      <c r="C39" s="11">
        <f>'balance_raw_27528406'!$C$16</f>
        <v/>
      </c>
      <c r="D39" s="11">
        <f>'balance_raw_27528406'!$D$16</f>
        <v/>
      </c>
      <c r="E39" s="11">
        <f>'balance_raw_27528406'!$E$16</f>
        <v/>
      </c>
      <c r="F39" s="11">
        <f>'balance_raw_27528406'!$F$16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Varer under fremstilling</t>
        </is>
      </c>
      <c r="B40" s="5">
        <f>'balance_raw_27528406'!$B$17</f>
        <v/>
      </c>
      <c r="C40" s="5">
        <f>'balance_raw_27528406'!$C$17</f>
        <v/>
      </c>
      <c r="D40" s="5">
        <f>'balance_raw_27528406'!$D$17</f>
        <v/>
      </c>
      <c r="E40" s="5">
        <f>'balance_raw_27528406'!$E$17</f>
        <v/>
      </c>
      <c r="F40" s="5">
        <f>'balance_raw_27528406'!$F$17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Færdigvarer og handelsvarer</t>
        </is>
      </c>
      <c r="B41" s="11">
        <f>'balance_raw_27528406'!$B$18</f>
        <v/>
      </c>
      <c r="C41" s="11">
        <f>'balance_raw_27528406'!$C$18</f>
        <v/>
      </c>
      <c r="D41" s="11">
        <f>'balance_raw_27528406'!$D$18</f>
        <v/>
      </c>
      <c r="E41" s="11">
        <f>'balance_raw_27528406'!$E$18</f>
        <v/>
      </c>
      <c r="F41" s="11">
        <f>'balance_raw_27528406'!$F$18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Varebeholdninger</t>
        </is>
      </c>
      <c r="B42" s="8">
        <f>'balance_raw_27528406'!$B$19</f>
        <v/>
      </c>
      <c r="C42" s="8">
        <f>'balance_raw_27528406'!$C$19</f>
        <v/>
      </c>
      <c r="D42" s="8">
        <f>'balance_raw_27528406'!$D$19</f>
        <v/>
      </c>
      <c r="E42" s="8">
        <f>'balance_raw_27528406'!$E$19</f>
        <v/>
      </c>
      <c r="F42" s="8">
        <f>'balance_raw_27528406'!$F$19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Tilgodehavender fra salg og tjenesteydelser</t>
        </is>
      </c>
      <c r="B43" s="11">
        <f>'balance_raw_27528406'!$B$20</f>
        <v/>
      </c>
      <c r="C43" s="11">
        <f>'balance_raw_27528406'!$C$20</f>
        <v/>
      </c>
      <c r="D43" s="11">
        <f>'balance_raw_27528406'!$D$20</f>
        <v/>
      </c>
      <c r="E43" s="11">
        <f>'balance_raw_27528406'!$E$20</f>
        <v/>
      </c>
      <c r="F43" s="11">
        <f>'balance_raw_27528406'!$F$20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Tilgodehavender hos tilknyttede virksomheder</t>
        </is>
      </c>
      <c r="B44" s="5">
        <f>'balance_raw_27528406'!$B$21</f>
        <v/>
      </c>
      <c r="C44" s="5">
        <f>'balance_raw_27528406'!$C$21</f>
        <v/>
      </c>
      <c r="D44" s="5">
        <f>'balance_raw_27528406'!$D$21</f>
        <v/>
      </c>
      <c r="E44" s="5">
        <f>'balance_raw_27528406'!$E$21</f>
        <v/>
      </c>
      <c r="F44" s="5">
        <f>'balance_raw_27528406'!$F$21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Andre tilgodehavender</t>
        </is>
      </c>
      <c r="B45" s="11">
        <f>'balance_raw_27528406'!$B$22</f>
        <v/>
      </c>
      <c r="C45" s="11">
        <f>'balance_raw_27528406'!$C$22</f>
        <v/>
      </c>
      <c r="D45" s="11">
        <f>'balance_raw_27528406'!$D$22</f>
        <v/>
      </c>
      <c r="E45" s="11">
        <f>'balance_raw_27528406'!$E$22</f>
        <v/>
      </c>
      <c r="F45" s="11">
        <f>'balance_raw_27528406'!$F$22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Periodeafgrænsningsposter (aktiver)</t>
        </is>
      </c>
      <c r="B46" s="5">
        <f>'balance_raw_27528406'!$B$23</f>
        <v/>
      </c>
      <c r="C46" s="5">
        <f>'balance_raw_27528406'!$C$23</f>
        <v/>
      </c>
      <c r="D46" s="5">
        <f>'balance_raw_27528406'!$D$23</f>
        <v/>
      </c>
      <c r="E46" s="5">
        <f>'balance_raw_27528406'!$E$23</f>
        <v/>
      </c>
      <c r="F46" s="5">
        <f>'balance_raw_27528406'!$F$23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Udskudt skatteaktiv</t>
        </is>
      </c>
      <c r="B47" s="11">
        <f>'balance_raw_27528406'!$B$24</f>
        <v/>
      </c>
      <c r="C47" s="11">
        <f>'balance_raw_27528406'!$C$24</f>
        <v/>
      </c>
      <c r="D47" s="11">
        <f>'balance_raw_27528406'!$D$24</f>
        <v/>
      </c>
      <c r="E47" s="11">
        <f>'balance_raw_27528406'!$E$24</f>
        <v/>
      </c>
      <c r="F47" s="11">
        <f>'balance_raw_27528406'!$F$24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Tilgodehavende skat hos tilknyttede virksomheder</t>
        </is>
      </c>
      <c r="B48" s="5">
        <f>'balance_raw_27528406'!$B$25</f>
        <v/>
      </c>
      <c r="C48" s="5">
        <f>'balance_raw_27528406'!$C$25</f>
        <v/>
      </c>
      <c r="D48" s="5">
        <f>'balance_raw_27528406'!$D$25</f>
        <v/>
      </c>
      <c r="E48" s="5">
        <f>'balance_raw_27528406'!$E$25</f>
        <v/>
      </c>
      <c r="F48" s="5">
        <f>'balance_raw_27528406'!$F$25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Kortfristede skattetilgodehavender</t>
        </is>
      </c>
      <c r="B49" s="11">
        <f>'balance_raw_27528406'!$B$26</f>
        <v/>
      </c>
      <c r="C49" s="11">
        <f>'balance_raw_27528406'!$C$26</f>
        <v/>
      </c>
      <c r="D49" s="11">
        <f>'balance_raw_27528406'!$D$26</f>
        <v/>
      </c>
      <c r="E49" s="11">
        <f>'balance_raw_27528406'!$E$26</f>
        <v/>
      </c>
      <c r="F49" s="11">
        <f>'balance_raw_27528406'!$F$26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Tilgodehavender</t>
        </is>
      </c>
      <c r="B50" s="8">
        <f>'balance_raw_27528406'!$B$27</f>
        <v/>
      </c>
      <c r="C50" s="8">
        <f>'balance_raw_27528406'!$C$27</f>
        <v/>
      </c>
      <c r="D50" s="8">
        <f>'balance_raw_27528406'!$D$27</f>
        <v/>
      </c>
      <c r="E50" s="8">
        <f>'balance_raw_27528406'!$E$27</f>
        <v/>
      </c>
      <c r="F50" s="8">
        <f>'balance_raw_27528406'!$F$27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Værdipapirer</t>
        </is>
      </c>
      <c r="B51" s="11">
        <f>'balance_raw_27528406'!$B$28</f>
        <v/>
      </c>
      <c r="C51" s="11">
        <f>'balance_raw_27528406'!$C$28</f>
        <v/>
      </c>
      <c r="D51" s="11">
        <f>'balance_raw_27528406'!$D$28</f>
        <v/>
      </c>
      <c r="E51" s="11">
        <f>'balance_raw_27528406'!$E$28</f>
        <v/>
      </c>
      <c r="F51" s="11">
        <f>'balance_raw_27528406'!$F$28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Likvide beholdninger</t>
        </is>
      </c>
      <c r="B52" s="5">
        <f>'balance_raw_27528406'!$B$29</f>
        <v/>
      </c>
      <c r="C52" s="5">
        <f>'balance_raw_27528406'!$C$29</f>
        <v/>
      </c>
      <c r="D52" s="5">
        <f>'balance_raw_27528406'!$D$29</f>
        <v/>
      </c>
      <c r="E52" s="5">
        <f>'balance_raw_27528406'!$E$29</f>
        <v/>
      </c>
      <c r="F52" s="5">
        <f>'balance_raw_27528406'!$F$29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Omsætningsaktiver</t>
        </is>
      </c>
      <c r="B53" s="8">
        <f>'balance_raw_27528406'!$B$30</f>
        <v/>
      </c>
      <c r="C53" s="8">
        <f>'balance_raw_27528406'!$C$30</f>
        <v/>
      </c>
      <c r="D53" s="8">
        <f>'balance_raw_27528406'!$D$30</f>
        <v/>
      </c>
      <c r="E53" s="8">
        <f>'balance_raw_27528406'!$E$30</f>
        <v/>
      </c>
      <c r="F53" s="8">
        <f>'balance_raw_27528406'!$F$30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7" t="inlineStr">
        <is>
          <t>Aktiver</t>
        </is>
      </c>
      <c r="B54" s="8">
        <f>'balance_raw_27528406'!$B$31</f>
        <v/>
      </c>
      <c r="C54" s="8">
        <f>'balance_raw_27528406'!$C$31</f>
        <v/>
      </c>
      <c r="D54" s="8">
        <f>'balance_raw_27528406'!$D$31</f>
        <v/>
      </c>
      <c r="E54" s="8">
        <f>'balance_raw_27528406'!$E$31</f>
        <v/>
      </c>
      <c r="F54" s="8">
        <f>'balance_raw_27528406'!$F$31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6" ht="22" customHeight="1">
      <c r="A56" s="3" t="inlineStr">
        <is>
          <t>PASSIVER t.kr.</t>
        </is>
      </c>
      <c r="B56" s="3" t="n">
        <v>2021</v>
      </c>
      <c r="C56" s="3" t="n">
        <v>2022</v>
      </c>
      <c r="D56" s="3" t="n">
        <v>2023</v>
      </c>
      <c r="E56" s="3" t="n">
        <v>2024</v>
      </c>
      <c r="F56" s="3" t="n">
        <v>2025</v>
      </c>
      <c r="G56" t="inlineStr"/>
      <c r="H56" s="3" t="n">
        <v>2021</v>
      </c>
      <c r="I56" s="3" t="n">
        <v>2022</v>
      </c>
      <c r="J56" s="3" t="n">
        <v>2023</v>
      </c>
      <c r="K56" s="3" t="n">
        <v>2024</v>
      </c>
      <c r="L56" s="3" t="n">
        <v>2025</v>
      </c>
    </row>
    <row r="57" ht="16" customHeight="1">
      <c r="A57" s="10" t="inlineStr">
        <is>
          <t>Selskabskapital</t>
        </is>
      </c>
      <c r="B57" s="11">
        <f>'balance_raw_27528406'!$B$32</f>
        <v/>
      </c>
      <c r="C57" s="11">
        <f>'balance_raw_27528406'!$C$32</f>
        <v/>
      </c>
      <c r="D57" s="11">
        <f>'balance_raw_27528406'!$D$32</f>
        <v/>
      </c>
      <c r="E57" s="11">
        <f>'balance_raw_27528406'!$E$32</f>
        <v/>
      </c>
      <c r="F57" s="11">
        <f>'balance_raw_27528406'!$F$32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Reserve for nettoopskrivning (indre værdis metode)</t>
        </is>
      </c>
      <c r="B58" s="5">
        <f>'balance_raw_27528406'!$B$33</f>
        <v/>
      </c>
      <c r="C58" s="5">
        <f>'balance_raw_27528406'!$C$33</f>
        <v/>
      </c>
      <c r="D58" s="5">
        <f>'balance_raw_27528406'!$D$33</f>
        <v/>
      </c>
      <c r="E58" s="5">
        <f>'balance_raw_27528406'!$E$33</f>
        <v/>
      </c>
      <c r="F58" s="5">
        <f>'balance_raw_27528406'!$F$33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Reserve for udviklingsomkostninger</t>
        </is>
      </c>
      <c r="B59" s="11">
        <f>'balance_raw_27528406'!$B$34</f>
        <v/>
      </c>
      <c r="C59" s="11">
        <f>'balance_raw_27528406'!$C$34</f>
        <v/>
      </c>
      <c r="D59" s="11">
        <f>'balance_raw_27528406'!$D$34</f>
        <v/>
      </c>
      <c r="E59" s="11">
        <f>'balance_raw_27528406'!$E$34</f>
        <v/>
      </c>
      <c r="F59" s="11">
        <f>'balance_raw_27528406'!$F$34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Reserve for sikringstransaktioner</t>
        </is>
      </c>
      <c r="B60" s="5">
        <f>'balance_raw_27528406'!$B$35</f>
        <v/>
      </c>
      <c r="C60" s="5">
        <f>'balance_raw_27528406'!$C$35</f>
        <v/>
      </c>
      <c r="D60" s="5">
        <f>'balance_raw_27528406'!$D$35</f>
        <v/>
      </c>
      <c r="E60" s="5">
        <f>'balance_raw_27528406'!$E$35</f>
        <v/>
      </c>
      <c r="F60" s="5">
        <f>'balance_raw_27528406'!$F$35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Andre reserver</t>
        </is>
      </c>
      <c r="B61" s="11">
        <f>'balance_raw_27528406'!$B$36</f>
        <v/>
      </c>
      <c r="C61" s="11">
        <f>'balance_raw_27528406'!$C$36</f>
        <v/>
      </c>
      <c r="D61" s="11">
        <f>'balance_raw_27528406'!$D$36</f>
        <v/>
      </c>
      <c r="E61" s="11">
        <f>'balance_raw_27528406'!$E$36</f>
        <v/>
      </c>
      <c r="F61" s="11">
        <f>'balance_raw_27528406'!$F$36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Overført resultat</t>
        </is>
      </c>
      <c r="B62" s="5">
        <f>'balance_raw_27528406'!$B$37</f>
        <v/>
      </c>
      <c r="C62" s="5">
        <f>'balance_raw_27528406'!$C$37</f>
        <v/>
      </c>
      <c r="D62" s="5">
        <f>'balance_raw_27528406'!$D$37</f>
        <v/>
      </c>
      <c r="E62" s="5">
        <f>'balance_raw_27528406'!$E$37</f>
        <v/>
      </c>
      <c r="F62" s="5">
        <f>'balance_raw_27528406'!$F$37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Egenkapital i alt</t>
        </is>
      </c>
      <c r="B63" s="8">
        <f>'balance_raw_27528406'!$B$38</f>
        <v/>
      </c>
      <c r="C63" s="8">
        <f>'balance_raw_27528406'!$C$38</f>
        <v/>
      </c>
      <c r="D63" s="8">
        <f>'balance_raw_27528406'!$D$38</f>
        <v/>
      </c>
      <c r="E63" s="8">
        <f>'balance_raw_27528406'!$E$38</f>
        <v/>
      </c>
      <c r="F63" s="8">
        <f>'balance_raw_27528406'!$F$38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Hensættelse til udskudt skat</t>
        </is>
      </c>
      <c r="B64" s="5">
        <f>'balance_raw_27528406'!$B$39</f>
        <v/>
      </c>
      <c r="C64" s="5">
        <f>'balance_raw_27528406'!$C$39</f>
        <v/>
      </c>
      <c r="D64" s="5">
        <f>'balance_raw_27528406'!$D$39</f>
        <v/>
      </c>
      <c r="E64" s="5">
        <f>'balance_raw_27528406'!$E$39</f>
        <v/>
      </c>
      <c r="F64" s="5">
        <f>'balance_raw_27528406'!$F$39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Hensatte forpligtelser</t>
        </is>
      </c>
      <c r="B65" s="8">
        <f>'balance_raw_27528406'!$B$40</f>
        <v/>
      </c>
      <c r="C65" s="8">
        <f>'balance_raw_27528406'!$C$40</f>
        <v/>
      </c>
      <c r="D65" s="8">
        <f>'balance_raw_27528406'!$D$40</f>
        <v/>
      </c>
      <c r="E65" s="8">
        <f>'balance_raw_27528406'!$E$40</f>
        <v/>
      </c>
      <c r="F65" s="8">
        <f>'balance_raw_27528406'!$F$40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Ansvarlig lånekapital (langfristet)</t>
        </is>
      </c>
      <c r="B66" s="5">
        <f>'balance_raw_27528406'!$B$41</f>
        <v/>
      </c>
      <c r="C66" s="5">
        <f>'balance_raw_27528406'!$C$41</f>
        <v/>
      </c>
      <c r="D66" s="5">
        <f>'balance_raw_27528406'!$D$41</f>
        <v/>
      </c>
      <c r="E66" s="5">
        <f>'balance_raw_27528406'!$E$41</f>
        <v/>
      </c>
      <c r="F66" s="5">
        <f>'balance_raw_27528406'!$F$41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Langfristede lån</t>
        </is>
      </c>
      <c r="B67" s="11">
        <f>'balance_raw_27528406'!$B$42</f>
        <v/>
      </c>
      <c r="C67" s="11">
        <f>'balance_raw_27528406'!$C$42</f>
        <v/>
      </c>
      <c r="D67" s="11">
        <f>'balance_raw_27528406'!$D$42</f>
        <v/>
      </c>
      <c r="E67" s="11">
        <f>'balance_raw_27528406'!$E$42</f>
        <v/>
      </c>
      <c r="F67" s="11">
        <f>'balance_raw_27528406'!$F$42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Leasingforpligtelser (langfristet)</t>
        </is>
      </c>
      <c r="B68" s="5">
        <f>'balance_raw_27528406'!$B$43</f>
        <v/>
      </c>
      <c r="C68" s="5">
        <f>'balance_raw_27528406'!$C$43</f>
        <v/>
      </c>
      <c r="D68" s="5">
        <f>'balance_raw_27528406'!$D$43</f>
        <v/>
      </c>
      <c r="E68" s="5">
        <f>'balance_raw_27528406'!$E$43</f>
        <v/>
      </c>
      <c r="F68" s="5">
        <f>'balance_raw_27528406'!$F$43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Anden gæld (langfristet)</t>
        </is>
      </c>
      <c r="B69" s="11">
        <f>'balance_raw_27528406'!$B$44</f>
        <v/>
      </c>
      <c r="C69" s="11">
        <f>'balance_raw_27528406'!$C$44</f>
        <v/>
      </c>
      <c r="D69" s="11">
        <f>'balance_raw_27528406'!$D$44</f>
        <v/>
      </c>
      <c r="E69" s="11">
        <f>'balance_raw_27528406'!$E$44</f>
        <v/>
      </c>
      <c r="F69" s="11">
        <f>'balance_raw_27528406'!$F$44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7" t="inlineStr">
        <is>
          <t>Langfristede gældsforpligtelser</t>
        </is>
      </c>
      <c r="B70" s="8">
        <f>'balance_raw_27528406'!$B$45</f>
        <v/>
      </c>
      <c r="C70" s="8">
        <f>'balance_raw_27528406'!$C$45</f>
        <v/>
      </c>
      <c r="D70" s="8">
        <f>'balance_raw_27528406'!$D$45</f>
        <v/>
      </c>
      <c r="E70" s="8">
        <f>'balance_raw_27528406'!$E$45</f>
        <v/>
      </c>
      <c r="F70" s="8">
        <f>'balance_raw_27528406'!$F$45</f>
        <v/>
      </c>
      <c r="G70" t="inlineStr"/>
      <c r="H70" s="9">
        <f>IFERROR(B70/$B$70*100,"")</f>
        <v/>
      </c>
      <c r="I70" s="9">
        <f>IFERROR(C70/$B$70*100,"")</f>
        <v/>
      </c>
      <c r="J70" s="9">
        <f>IFERROR(D70/$B$70*100,"")</f>
        <v/>
      </c>
      <c r="K70" s="9">
        <f>IFERROR(E70/$B$70*100,"")</f>
        <v/>
      </c>
      <c r="L70" s="9">
        <f>IFERROR(F70/$B$70*100,"")</f>
        <v/>
      </c>
    </row>
    <row r="71" ht="16" customHeight="1">
      <c r="A71" s="10" t="inlineStr">
        <is>
          <t>Ansvarlig lånekapital (kortfristet)</t>
        </is>
      </c>
      <c r="B71" s="11">
        <f>'balance_raw_27528406'!$B$46</f>
        <v/>
      </c>
      <c r="C71" s="11">
        <f>'balance_raw_27528406'!$C$46</f>
        <v/>
      </c>
      <c r="D71" s="11">
        <f>'balance_raw_27528406'!$D$46</f>
        <v/>
      </c>
      <c r="E71" s="11">
        <f>'balance_raw_27528406'!$E$46</f>
        <v/>
      </c>
      <c r="F71" s="11">
        <f>'balance_raw_27528406'!$F$46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Kortfristet del af langfristede gældsforpligtelser</t>
        </is>
      </c>
      <c r="B72" s="5">
        <f>'balance_raw_27528406'!$B$47</f>
        <v/>
      </c>
      <c r="C72" s="5">
        <f>'balance_raw_27528406'!$C$47</f>
        <v/>
      </c>
      <c r="D72" s="5">
        <f>'balance_raw_27528406'!$D$47</f>
        <v/>
      </c>
      <c r="E72" s="5">
        <f>'balance_raw_27528406'!$E$47</f>
        <v/>
      </c>
      <c r="F72" s="5">
        <f>'balance_raw_27528406'!$F$47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Kreditinstitutter</t>
        </is>
      </c>
      <c r="B73" s="11">
        <f>'balance_raw_27528406'!$B$48</f>
        <v/>
      </c>
      <c r="C73" s="11">
        <f>'balance_raw_27528406'!$C$48</f>
        <v/>
      </c>
      <c r="D73" s="11">
        <f>'balance_raw_27528406'!$D$48</f>
        <v/>
      </c>
      <c r="E73" s="11">
        <f>'balance_raw_27528406'!$E$48</f>
        <v/>
      </c>
      <c r="F73" s="11">
        <f>'balance_raw_27528406'!$F$48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Leasingforpligtelser (kortfristet)</t>
        </is>
      </c>
      <c r="B74" s="5">
        <f>'balance_raw_27528406'!$B$49</f>
        <v/>
      </c>
      <c r="C74" s="5">
        <f>'balance_raw_27528406'!$C$49</f>
        <v/>
      </c>
      <c r="D74" s="5">
        <f>'balance_raw_27528406'!$D$49</f>
        <v/>
      </c>
      <c r="E74" s="5">
        <f>'balance_raw_27528406'!$E$49</f>
        <v/>
      </c>
      <c r="F74" s="5">
        <f>'balance_raw_27528406'!$F$49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Leverandører af varer og tjenesteydelser</t>
        </is>
      </c>
      <c r="B75" s="11">
        <f>'balance_raw_27528406'!$B$50</f>
        <v/>
      </c>
      <c r="C75" s="11">
        <f>'balance_raw_27528406'!$C$50</f>
        <v/>
      </c>
      <c r="D75" s="11">
        <f>'balance_raw_27528406'!$D$50</f>
        <v/>
      </c>
      <c r="E75" s="11">
        <f>'balance_raw_27528406'!$E$50</f>
        <v/>
      </c>
      <c r="F75" s="11">
        <f>'balance_raw_27528406'!$F$50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</t>
        </is>
      </c>
      <c r="B76" s="5">
        <f>'balance_raw_27528406'!$B$51</f>
        <v/>
      </c>
      <c r="C76" s="5">
        <f>'balance_raw_27528406'!$C$51</f>
        <v/>
      </c>
      <c r="D76" s="5">
        <f>'balance_raw_27528406'!$D$51</f>
        <v/>
      </c>
      <c r="E76" s="5">
        <f>'balance_raw_27528406'!$E$51</f>
        <v/>
      </c>
      <c r="F76" s="5">
        <f>'balance_raw_27528406'!$F$51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Gæld til selskabsdeltagere og ledelse</t>
        </is>
      </c>
      <c r="B77" s="11">
        <f>'balance_raw_27528406'!$B$52</f>
        <v/>
      </c>
      <c r="C77" s="11">
        <f>'balance_raw_27528406'!$C$52</f>
        <v/>
      </c>
      <c r="D77" s="11">
        <f>'balance_raw_27528406'!$D$52</f>
        <v/>
      </c>
      <c r="E77" s="11">
        <f>'balance_raw_27528406'!$E$52</f>
        <v/>
      </c>
      <c r="F77" s="11">
        <f>'balance_raw_27528406'!$F$52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Selskabsskat</t>
        </is>
      </c>
      <c r="B78" s="5">
        <f>'balance_raw_27528406'!$B$53</f>
        <v/>
      </c>
      <c r="C78" s="5">
        <f>'balance_raw_27528406'!$C$53</f>
        <v/>
      </c>
      <c r="D78" s="5">
        <f>'balance_raw_27528406'!$D$53</f>
        <v/>
      </c>
      <c r="E78" s="5">
        <f>'balance_raw_27528406'!$E$53</f>
        <v/>
      </c>
      <c r="F78" s="5">
        <f>'balance_raw_27528406'!$F$53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Gæld til tilknyttede virksomheder vedr. selskabsskat</t>
        </is>
      </c>
      <c r="B79" s="11">
        <f>'balance_raw_27528406'!$B$54</f>
        <v/>
      </c>
      <c r="C79" s="11">
        <f>'balance_raw_27528406'!$C$54</f>
        <v/>
      </c>
      <c r="D79" s="11">
        <f>'balance_raw_27528406'!$D$54</f>
        <v/>
      </c>
      <c r="E79" s="11">
        <f>'balance_raw_27528406'!$E$54</f>
        <v/>
      </c>
      <c r="F79" s="11">
        <f>'balance_raw_27528406'!$F$54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Anden gæld (kortfristet)</t>
        </is>
      </c>
      <c r="B80" s="5">
        <f>'balance_raw_27528406'!$B$55</f>
        <v/>
      </c>
      <c r="C80" s="5">
        <f>'balance_raw_27528406'!$C$55</f>
        <v/>
      </c>
      <c r="D80" s="5">
        <f>'balance_raw_27528406'!$D$55</f>
        <v/>
      </c>
      <c r="E80" s="5">
        <f>'balance_raw_27528406'!$E$55</f>
        <v/>
      </c>
      <c r="F80" s="5">
        <f>'balance_raw_27528406'!$F$55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1" ht="16" customHeight="1">
      <c r="A81" s="10" t="inlineStr">
        <is>
          <t>Periodeafgrænsningsposter (passiver)</t>
        </is>
      </c>
      <c r="B81" s="11">
        <f>'balance_raw_27528406'!$B$56</f>
        <v/>
      </c>
      <c r="C81" s="11">
        <f>'balance_raw_27528406'!$C$56</f>
        <v/>
      </c>
      <c r="D81" s="11">
        <f>'balance_raw_27528406'!$D$56</f>
        <v/>
      </c>
      <c r="E81" s="11">
        <f>'balance_raw_27528406'!$E$56</f>
        <v/>
      </c>
      <c r="F81" s="11">
        <f>'balance_raw_27528406'!$F$56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7" t="inlineStr">
        <is>
          <t>Kortfristede gældsforpligtelser</t>
        </is>
      </c>
      <c r="B82" s="8">
        <f>'balance_raw_27528406'!$B$57</f>
        <v/>
      </c>
      <c r="C82" s="8">
        <f>'balance_raw_27528406'!$C$57</f>
        <v/>
      </c>
      <c r="D82" s="8">
        <f>'balance_raw_27528406'!$D$57</f>
        <v/>
      </c>
      <c r="E82" s="8">
        <f>'balance_raw_27528406'!$E$57</f>
        <v/>
      </c>
      <c r="F82" s="8">
        <f>'balance_raw_27528406'!$F$57</f>
        <v/>
      </c>
      <c r="G82" t="inlineStr"/>
      <c r="H82" s="9">
        <f>IFERROR(B82/$B$82*100,"")</f>
        <v/>
      </c>
      <c r="I82" s="9">
        <f>IFERROR(C82/$B$82*100,"")</f>
        <v/>
      </c>
      <c r="J82" s="9">
        <f>IFERROR(D82/$B$82*100,"")</f>
        <v/>
      </c>
      <c r="K82" s="9">
        <f>IFERROR(E82/$B$82*100,"")</f>
        <v/>
      </c>
      <c r="L82" s="9">
        <f>IFERROR(F82/$B$82*100,"")</f>
        <v/>
      </c>
    </row>
    <row r="83" ht="16" customHeight="1">
      <c r="A83" s="7" t="inlineStr">
        <is>
          <t>Gældsforpligtelser</t>
        </is>
      </c>
      <c r="B83" s="8">
        <f>'balance_raw_27528406'!$B$58</f>
        <v/>
      </c>
      <c r="C83" s="8">
        <f>'balance_raw_27528406'!$C$58</f>
        <v/>
      </c>
      <c r="D83" s="8">
        <f>'balance_raw_27528406'!$D$58</f>
        <v/>
      </c>
      <c r="E83" s="8">
        <f>'balance_raw_27528406'!$E$58</f>
        <v/>
      </c>
      <c r="F83" s="8">
        <f>'balance_raw_27528406'!$F$58</f>
        <v/>
      </c>
      <c r="G83" t="inlineStr"/>
      <c r="H83" s="9">
        <f>IFERROR(B83/$B$83*100,"")</f>
        <v/>
      </c>
      <c r="I83" s="9">
        <f>IFERROR(C83/$B$83*100,"")</f>
        <v/>
      </c>
      <c r="J83" s="9">
        <f>IFERROR(D83/$B$83*100,"")</f>
        <v/>
      </c>
      <c r="K83" s="9">
        <f>IFERROR(E83/$B$83*100,"")</f>
        <v/>
      </c>
      <c r="L83" s="9">
        <f>IFERROR(F83/$B$83*100,"")</f>
        <v/>
      </c>
    </row>
    <row r="84" ht="16" customHeight="1">
      <c r="A84" s="7" t="inlineStr">
        <is>
          <t>Passiver</t>
        </is>
      </c>
      <c r="B84" s="8">
        <f>'balance_raw_27528406'!$B$59</f>
        <v/>
      </c>
      <c r="C84" s="8">
        <f>'balance_raw_27528406'!$C$59</f>
        <v/>
      </c>
      <c r="D84" s="8">
        <f>'balance_raw_27528406'!$D$59</f>
        <v/>
      </c>
      <c r="E84" s="8">
        <f>'balance_raw_27528406'!$E$59</f>
        <v/>
      </c>
      <c r="F84" s="8">
        <f>'balance_raw_27528406'!$F$59</f>
        <v/>
      </c>
      <c r="G84" t="inlineStr"/>
      <c r="H84" s="9">
        <f>IFERROR(B84/$B$84*100,"")</f>
        <v/>
      </c>
      <c r="I84" s="9">
        <f>IFERROR(C84/$B$84*100,"")</f>
        <v/>
      </c>
      <c r="J84" s="9">
        <f>IFERROR(D84/$B$84*100,"")</f>
        <v/>
      </c>
      <c r="K84" s="9">
        <f>IFERROR(E84/$B$84*100,"")</f>
        <v/>
      </c>
      <c r="L84" s="9">
        <f>IFERROR(F84/$B$84*100,"")</f>
        <v/>
      </c>
    </row>
    <row r="86" ht="22" customHeight="1">
      <c r="A86" s="3" t="inlineStr">
        <is>
          <t>NØGLEOPLYSNINGER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Gns. antal medarbejdere</t>
        </is>
      </c>
      <c r="B87" s="11">
        <f>'res_raw_27528406'!$B$21</f>
        <v/>
      </c>
      <c r="C87" s="11">
        <f>'res_raw_27528406'!$C$21</f>
        <v/>
      </c>
      <c r="D87" s="11">
        <f>'res_raw_27528406'!$D$21</f>
        <v/>
      </c>
      <c r="E87" s="11">
        <f>'res_raw_27528406'!$E$21</f>
        <v/>
      </c>
      <c r="F87" s="11">
        <f>'res_raw_27528406'!$F$21</f>
        <v/>
      </c>
      <c r="G87" t="inlineStr"/>
      <c r="H87" s="12">
        <f>IFERROR(B87/$B$87*100,"")</f>
        <v/>
      </c>
      <c r="I87" s="12">
        <f>IFERROR(C87/$B$87*100,"")</f>
        <v/>
      </c>
      <c r="J87" s="12">
        <f>IFERROR(D87/$B$87*100,"")</f>
        <v/>
      </c>
      <c r="K87" s="12">
        <f>IFERROR(E87/$B$87*100,"")</f>
        <v/>
      </c>
      <c r="L87" s="12">
        <f>IFERROR(F87/$B$87*100,"")</f>
        <v/>
      </c>
    </row>
    <row r="88" ht="16" customHeight="1">
      <c r="A88" s="4" t="inlineStr">
        <is>
          <t>Investering i materielle anlægsaktiver</t>
        </is>
      </c>
      <c r="B88" s="5">
        <f>'res_raw_27528406'!$B$22</f>
        <v/>
      </c>
      <c r="C88" s="5">
        <f>'res_raw_27528406'!$C$22</f>
        <v/>
      </c>
      <c r="D88" s="5">
        <f>'res_raw_27528406'!$D$22</f>
        <v/>
      </c>
      <c r="E88" s="5">
        <f>'res_raw_27528406'!$E$22</f>
        <v/>
      </c>
      <c r="F88" s="5">
        <f>'res_raw_27528406'!$F$22</f>
        <v/>
      </c>
      <c r="G88" t="inlineStr"/>
      <c r="H88" s="6">
        <f>IFERROR(B88/$B$88*100,"")</f>
        <v/>
      </c>
      <c r="I88" s="6">
        <f>IFERROR(C88/$B$88*100,"")</f>
        <v/>
      </c>
      <c r="J88" s="6">
        <f>IFERROR(D88/$B$88*100,"")</f>
        <v/>
      </c>
      <c r="K88" s="6">
        <f>IFERROR(E88/$B$88*100,"")</f>
        <v/>
      </c>
      <c r="L88" s="6">
        <f>IFERROR(F88/$B$88*100,"")</f>
        <v/>
      </c>
    </row>
    <row r="90" ht="22" customHeight="1">
      <c r="A90" s="3" t="inlineStr">
        <is>
          <t>NØGLETAL</t>
        </is>
      </c>
      <c r="B90" s="3" t="n">
        <v>2021</v>
      </c>
      <c r="C90" s="3" t="n">
        <v>2022</v>
      </c>
      <c r="D90" s="3" t="n">
        <v>2023</v>
      </c>
      <c r="E90" s="3" t="n">
        <v>2024</v>
      </c>
      <c r="F90" s="3" t="n">
        <v>2025</v>
      </c>
    </row>
    <row r="91" ht="16" customHeight="1">
      <c r="A91" s="10" t="inlineStr">
        <is>
          <t>Afkastningsgrad, %</t>
        </is>
      </c>
      <c r="B91" s="13">
        <f>IFERROR(($B$15+$B$17+$B$16)/$B$54*100,"")</f>
        <v/>
      </c>
      <c r="C91" s="13">
        <f>IFERROR(($C$15+$C$17+$C$16)/$C$54*100,"")</f>
        <v/>
      </c>
      <c r="D91" s="13">
        <f>IFERROR(($D$15+$D$17+$D$16)/$D$54*100,"")</f>
        <v/>
      </c>
      <c r="E91" s="13">
        <f>IFERROR(($E$15+$E$17+$E$16)/$E$54*100,"")</f>
        <v/>
      </c>
      <c r="F91" s="13">
        <f>IFERROR(($F$15+$F$17+$F$16)/$F$54*100,"")</f>
        <v/>
      </c>
    </row>
    <row r="92" ht="16" customHeight="1">
      <c r="A92" s="4" t="inlineStr">
        <is>
          <t>Overskudsgrad, %</t>
        </is>
      </c>
      <c r="B92" s="14">
        <f>IFERROR(($B$15+$B$17+$B$16)/$B$4*100,"")</f>
        <v/>
      </c>
      <c r="C92" s="14">
        <f>IFERROR(($C$15+$C$17+$C$16)/$C$4*100,"")</f>
        <v/>
      </c>
      <c r="D92" s="14">
        <f>IFERROR(($D$15+$D$17+$D$16)/$D$4*100,"")</f>
        <v/>
      </c>
      <c r="E92" s="14">
        <f>IFERROR(($E$15+$E$17+$E$16)/$E$4*100,"")</f>
        <v/>
      </c>
      <c r="F92" s="14">
        <f>IFERROR(($F$15+$F$17+$F$16)/$F$4*100,"")</f>
        <v/>
      </c>
    </row>
    <row r="93" ht="16" customHeight="1">
      <c r="A93" s="10" t="inlineStr">
        <is>
          <t>Aktivernes omsætningshastighed, gange</t>
        </is>
      </c>
      <c r="B93" s="13">
        <f>IFERROR($B$4/$B$54,"")</f>
        <v/>
      </c>
      <c r="C93" s="13">
        <f>IFERROR($C$4/$C$54,"")</f>
        <v/>
      </c>
      <c r="D93" s="13">
        <f>IFERROR($D$4/$D$54,"")</f>
        <v/>
      </c>
      <c r="E93" s="13">
        <f>IFERROR($E$4/$E$54,"")</f>
        <v/>
      </c>
      <c r="F93" s="13">
        <f>IFERROR($F$4/$F$54,"")</f>
        <v/>
      </c>
    </row>
    <row r="94" ht="16" customHeight="1">
      <c r="A94" s="4" t="inlineStr">
        <is>
          <t>Egenkapitalens forrentning, %</t>
        </is>
      </c>
      <c r="B94" s="14">
        <f>IFERROR($B$20/$B$63*100,"")</f>
        <v/>
      </c>
      <c r="C94" s="14">
        <f>IFERROR($C$20/$C$63*100,"")</f>
        <v/>
      </c>
      <c r="D94" s="14">
        <f>IFERROR($D$20/$D$63*100,"")</f>
        <v/>
      </c>
      <c r="E94" s="14">
        <f>IFERROR($E$20/$E$63*100,"")</f>
        <v/>
      </c>
      <c r="F94" s="14">
        <f>IFERROR($F$20/$F$63*100,"")</f>
        <v/>
      </c>
    </row>
    <row r="95" ht="16" customHeight="1">
      <c r="A95" s="10" t="inlineStr">
        <is>
          <t>Gældsrente, %</t>
        </is>
      </c>
      <c r="B95" s="13">
        <f>IFERROR($B$18/($B$84-$B$63)*100,"")</f>
        <v/>
      </c>
      <c r="C95" s="13">
        <f>IFERROR($C$18/($C$84-$C$63)*100,"")</f>
        <v/>
      </c>
      <c r="D95" s="13">
        <f>IFERROR($D$18/($D$84-$D$63)*100,"")</f>
        <v/>
      </c>
      <c r="E95" s="13">
        <f>IFERROR($E$18/($E$84-$E$63)*100,"")</f>
        <v/>
      </c>
      <c r="F95" s="13">
        <f>IFERROR($F$18/($F$84-$F$63)*100,"")</f>
        <v/>
      </c>
    </row>
    <row r="96" ht="16" customHeight="1">
      <c r="A96" s="4" t="inlineStr">
        <is>
          <t>Soliditetsgrad, %</t>
        </is>
      </c>
      <c r="B96" s="14">
        <f>IFERROR($B$63/$B$54*100,"")</f>
        <v/>
      </c>
      <c r="C96" s="14">
        <f>IFERROR($C$63/$C$54*100,"")</f>
        <v/>
      </c>
      <c r="D96" s="14">
        <f>IFERROR($D$63/$D$54*100,"")</f>
        <v/>
      </c>
      <c r="E96" s="14">
        <f>IFERROR($E$63/$E$54*100,"")</f>
        <v/>
      </c>
      <c r="F96" s="14">
        <f>IFERROR($F$63/$F$54*100,"")</f>
        <v/>
      </c>
    </row>
    <row r="97" ht="16" customHeight="1">
      <c r="A97" s="10" t="inlineStr">
        <is>
          <t>Gearing</t>
        </is>
      </c>
      <c r="B97" s="13">
        <f>IFERROR(($B$84-$B$63)/$B$63,"")</f>
        <v/>
      </c>
      <c r="C97" s="13">
        <f>IFERROR(($C$84-$C$63)/$C$63,"")</f>
        <v/>
      </c>
      <c r="D97" s="13">
        <f>IFERROR(($D$84-$D$63)/$D$63,"")</f>
        <v/>
      </c>
      <c r="E97" s="13">
        <f>IFERROR(($E$84-$E$63)/$E$63,"")</f>
        <v/>
      </c>
      <c r="F97" s="13">
        <f>IFERROR(($F$84-$F$63)/$F$63,"")</f>
        <v/>
      </c>
    </row>
    <row r="98" ht="16" customHeight="1">
      <c r="A98" s="4" t="inlineStr">
        <is>
          <t>Likviditetsgrad, %</t>
        </is>
      </c>
      <c r="B98" s="14">
        <f>IFERROR($B$53/$B$82*100,"")</f>
        <v/>
      </c>
      <c r="C98" s="14">
        <f>IFERROR($C$53/$C$82*100,"")</f>
        <v/>
      </c>
      <c r="D98" s="14">
        <f>IFERROR($D$53/$D$82*100,"")</f>
        <v/>
      </c>
      <c r="E98" s="14">
        <f>IFERROR($E$53/$E$82*100,"")</f>
        <v/>
      </c>
      <c r="F98" s="14">
        <f>IFERROR($F$53/$F$82*100,"")</f>
        <v/>
      </c>
    </row>
    <row r="99" ht="16" customHeight="1">
      <c r="A99" s="10" t="inlineStr">
        <is>
          <t>Rentemarginal, %</t>
        </is>
      </c>
      <c r="B99" s="13">
        <f>IFERROR(B91-B95,"")</f>
        <v/>
      </c>
      <c r="C99" s="13">
        <f>IFERROR(C91-C95,"")</f>
        <v/>
      </c>
      <c r="D99" s="13">
        <f>IFERROR(D91-D95,"")</f>
        <v/>
      </c>
      <c r="E99" s="13">
        <f>IFERROR(E91-E95,"")</f>
        <v/>
      </c>
      <c r="F99" s="13">
        <f>IFERROR(F91-F95,"")</f>
        <v/>
      </c>
    </row>
    <row r="100" ht="16" customHeight="1">
      <c r="A100" s="4" t="inlineStr">
        <is>
          <t>Gældsandel, %</t>
        </is>
      </c>
      <c r="B100" s="14">
        <f>IFERROR(($B$84-$B$63)/$B$54*100,"")</f>
        <v/>
      </c>
      <c r="C100" s="14">
        <f>IFERROR(($C$84-$C$63)/$C$54*100,"")</f>
        <v/>
      </c>
      <c r="D100" s="14">
        <f>IFERROR(($D$84-$D$63)/$D$54*100,"")</f>
        <v/>
      </c>
      <c r="E100" s="14">
        <f>IFERROR(($E$84-$E$63)/$E$54*100,"")</f>
        <v/>
      </c>
      <c r="F100" s="14">
        <f>IFERROR(($F$84-$F$63)/$F$54*100,"")</f>
        <v/>
      </c>
    </row>
    <row r="101" ht="16" customHeight="1">
      <c r="A101" s="10" t="inlineStr">
        <is>
          <t>Kapitalbindingsgrad, %</t>
        </is>
      </c>
      <c r="B101" s="13">
        <f>IFERROR($B$38/($B$63+$B$70)*100,"")</f>
        <v/>
      </c>
      <c r="C101" s="13">
        <f>IFERROR($C$38/($C$63+$C$70)*100,"")</f>
        <v/>
      </c>
      <c r="D101" s="13">
        <f>IFERROR($D$38/($D$63+$D$70)*100,"")</f>
        <v/>
      </c>
      <c r="E101" s="13">
        <f>IFERROR($E$38/($E$63+$E$70)*100,"")</f>
        <v/>
      </c>
      <c r="F101" s="13">
        <f>IFERROR($F$38/($F$63+$F$70)*100,"")</f>
        <v/>
      </c>
    </row>
    <row r="103">
      <c r="A103" s="15" t="inlineStr">
        <is>
          <t>PENGESTRØMSOPGØRELSE t.kr.</t>
        </is>
      </c>
    </row>
    <row r="104">
      <c r="A104" s="16" t="inlineStr">
        <is>
          <t>Pengestrømme fra driftsaktivitet</t>
        </is>
      </c>
      <c r="B104" s="17">
        <f>'pengestrom_raw_27528406'!$B$2</f>
        <v/>
      </c>
      <c r="C104" s="17">
        <f>'pengestrom_raw_27528406'!$C$2</f>
        <v/>
      </c>
      <c r="D104" s="17">
        <f>'pengestrom_raw_27528406'!$D$2</f>
        <v/>
      </c>
      <c r="E104" s="17">
        <f>'pengestrom_raw_27528406'!$E$2</f>
        <v/>
      </c>
      <c r="F104" s="17">
        <f>'pengestrom_raw_27528406'!$F$2</f>
        <v/>
      </c>
    </row>
    <row r="105">
      <c r="A105" s="16" t="inlineStr">
        <is>
          <t>Pengestrømme fra investeringsaktivitet</t>
        </is>
      </c>
      <c r="B105" s="17">
        <f>'pengestrom_raw_27528406'!$B$3</f>
        <v/>
      </c>
      <c r="C105" s="17">
        <f>'pengestrom_raw_27528406'!$C$3</f>
        <v/>
      </c>
      <c r="D105" s="17">
        <f>'pengestrom_raw_27528406'!$D$3</f>
        <v/>
      </c>
      <c r="E105" s="17">
        <f>'pengestrom_raw_27528406'!$E$3</f>
        <v/>
      </c>
      <c r="F105" s="17">
        <f>'pengestrom_raw_27528406'!$F$3</f>
        <v/>
      </c>
    </row>
    <row r="106">
      <c r="A106" s="16" t="inlineStr">
        <is>
          <t>Pengestrømme fra finansieringsaktivitet</t>
        </is>
      </c>
      <c r="B106" s="17">
        <f>'pengestrom_raw_27528406'!$B$4</f>
        <v/>
      </c>
      <c r="C106" s="17">
        <f>'pengestrom_raw_27528406'!$C$4</f>
        <v/>
      </c>
      <c r="D106" s="17">
        <f>'pengestrom_raw_27528406'!$D$4</f>
        <v/>
      </c>
      <c r="E106" s="17">
        <f>'pengestrom_raw_27528406'!$E$4</f>
        <v/>
      </c>
      <c r="F106" s="17">
        <f>'pengestrom_raw_27528406'!$F$4</f>
        <v/>
      </c>
    </row>
    <row r="107">
      <c r="A107" s="16" t="inlineStr">
        <is>
          <t>Årets pengestrøm (rapporteret)</t>
        </is>
      </c>
      <c r="B107" s="17">
        <f>'pengestrom_raw_27528406'!$B$5</f>
        <v/>
      </c>
      <c r="C107" s="17">
        <f>'pengestrom_raw_27528406'!$C$5</f>
        <v/>
      </c>
      <c r="D107" s="17">
        <f>'pengestrom_raw_27528406'!$D$5</f>
        <v/>
      </c>
      <c r="E107" s="17">
        <f>'pengestrom_raw_27528406'!$E$5</f>
        <v/>
      </c>
      <c r="F107" s="17">
        <f>'pengestrom_raw_27528406'!$F$5</f>
        <v/>
      </c>
    </row>
    <row r="108">
      <c r="A108" s="16" t="inlineStr">
        <is>
          <t>Krydstjek: drift + inv. + fin. = årets pengestrøm</t>
        </is>
      </c>
      <c r="B108">
        <f>IF(ABS(('pengestrom_raw_27528406'!$B$2+'pengestrom_raw_27528406'!$B$3+'pengestrom_raw_27528406'!$B$4)-'pengestrom_raw_27528406'!$B$5)&lt;=2,"✓","⚠ "&amp;TEXT(('pengestrom_raw_27528406'!$B$2+'pengestrom_raw_27528406'!$B$3+'pengestrom_raw_27528406'!$B$4)-'pengestrom_raw_27528406'!$B$5,"+#,##0;-#,##0"))</f>
        <v/>
      </c>
      <c r="C108">
        <f>IF(ABS(('pengestrom_raw_27528406'!$C$2+'pengestrom_raw_27528406'!$C$3+'pengestrom_raw_27528406'!$C$4)-'pengestrom_raw_27528406'!$C$5)&lt;=2,"✓","⚠ "&amp;TEXT(('pengestrom_raw_27528406'!$C$2+'pengestrom_raw_27528406'!$C$3+'pengestrom_raw_27528406'!$C$4)-'pengestrom_raw_27528406'!$C$5,"+#,##0;-#,##0"))</f>
        <v/>
      </c>
      <c r="D108">
        <f>IF(ABS(('pengestrom_raw_27528406'!$D$2+'pengestrom_raw_27528406'!$D$3+'pengestrom_raw_27528406'!$D$4)-'pengestrom_raw_27528406'!$D$5)&lt;=2,"✓","⚠ "&amp;TEXT(('pengestrom_raw_27528406'!$D$2+'pengestrom_raw_27528406'!$D$3+'pengestrom_raw_27528406'!$D$4)-'pengestrom_raw_27528406'!$D$5,"+#,##0;-#,##0"))</f>
        <v/>
      </c>
      <c r="E108">
        <f>IF(ABS(('pengestrom_raw_27528406'!$E$2+'pengestrom_raw_27528406'!$E$3+'pengestrom_raw_27528406'!$E$4)-'pengestrom_raw_27528406'!$E$5)&lt;=2,"✓","⚠ "&amp;TEXT(('pengestrom_raw_27528406'!$E$2+'pengestrom_raw_27528406'!$E$3+'pengestrom_raw_27528406'!$E$4)-'pengestrom_raw_27528406'!$E$5,"+#,##0;-#,##0"))</f>
        <v/>
      </c>
      <c r="F108">
        <f>IF(ABS(('pengestrom_raw_27528406'!$F$2+'pengestrom_raw_27528406'!$F$3+'pengestrom_raw_27528406'!$F$4)-'pengestrom_raw_27528406'!$F$5)&lt;=2,"✓","⚠ "&amp;TEXT(('pengestrom_raw_27528406'!$F$2+'pengestrom_raw_27528406'!$F$3+'pengestrom_raw_27528406'!$F$4)-'pengestrom_raw_27528406'!$F$5,"+#,##0;-#,##0"))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Matas A/S (CVR 27528406)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4163600</v>
      </c>
      <c r="C2" s="17" t="n">
        <v>4344200</v>
      </c>
      <c r="D2" s="17" t="n">
        <v>4489600</v>
      </c>
      <c r="E2" s="17" t="n">
        <v>6701000</v>
      </c>
      <c r="F2" s="17" t="n">
        <v>8379000</v>
      </c>
    </row>
    <row r="3">
      <c r="A3" s="16" t="inlineStr">
        <is>
          <t>Produktionsomkostninger</t>
        </is>
      </c>
      <c r="B3" s="17" t="n">
        <v>2322400</v>
      </c>
      <c r="C3" s="17" t="n">
        <v>2378200</v>
      </c>
      <c r="D3" s="17" t="n">
        <v>2475200</v>
      </c>
      <c r="E3" s="17" t="n">
        <v>3623000</v>
      </c>
      <c r="F3" s="17" t="n">
        <v>4509000</v>
      </c>
    </row>
    <row r="4">
      <c r="A4" s="15" t="inlineStr">
        <is>
          <t>Bruttoresultat</t>
        </is>
      </c>
      <c r="B4" s="17" t="n">
        <v>1841200</v>
      </c>
      <c r="C4" s="17" t="n">
        <v>1966000</v>
      </c>
      <c r="D4" s="17" t="n">
        <v>2014400</v>
      </c>
      <c r="E4" s="17" t="n">
        <v>3078000</v>
      </c>
      <c r="F4" s="17" t="n">
        <v>3870000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>
        <v>10400</v>
      </c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eksterne omkostninger</t>
        </is>
      </c>
      <c r="B10" s="17" t="n">
        <v>301300</v>
      </c>
      <c r="C10" s="17" t="n">
        <v>332300</v>
      </c>
      <c r="D10" s="17" t="n">
        <v>384900</v>
      </c>
      <c r="E10" s="17" t="n">
        <v>792000</v>
      </c>
      <c r="F10" s="17" t="n">
        <v>1021000</v>
      </c>
    </row>
    <row r="11">
      <c r="A11" s="16" t="inlineStr">
        <is>
          <t>Personaleomkostninger</t>
        </is>
      </c>
      <c r="B11" s="17" t="n">
        <v>751900</v>
      </c>
      <c r="C11" s="17" t="n">
        <v>824100</v>
      </c>
      <c r="D11" s="17" t="n">
        <v>825300</v>
      </c>
      <c r="E11" s="17" t="n">
        <v>1299000</v>
      </c>
      <c r="F11" s="17" t="n">
        <v>1654000</v>
      </c>
    </row>
    <row r="12">
      <c r="A12" s="16" t="inlineStr">
        <is>
          <t>Af- og nedskrivninger</t>
        </is>
      </c>
      <c r="B12" s="17" t="n">
        <v>407600</v>
      </c>
      <c r="C12" s="17" t="n">
        <v>421300</v>
      </c>
      <c r="D12" s="17" t="n">
        <v>381100</v>
      </c>
      <c r="E12" s="17" t="n">
        <v>525000</v>
      </c>
      <c r="F12" s="17" t="n">
        <v>624000</v>
      </c>
    </row>
    <row r="13">
      <c r="A13" s="15" t="inlineStr">
        <is>
          <t>Resultat af primær drift</t>
        </is>
      </c>
      <c r="B13" s="17" t="n">
        <v>380400</v>
      </c>
      <c r="C13" s="17" t="n">
        <v>388300</v>
      </c>
      <c r="D13" s="17" t="n">
        <v>423100</v>
      </c>
      <c r="E13" s="17" t="n">
        <v>379000</v>
      </c>
      <c r="F13" s="17" t="n">
        <v>565000</v>
      </c>
    </row>
    <row r="14">
      <c r="A14" s="16" t="inlineStr">
        <is>
          <t>Indtægter af kapitalandele, dattervirksomheder</t>
        </is>
      </c>
      <c r="B14" s="17" t="n">
        <v>700</v>
      </c>
      <c r="C14" s="17" t="n">
        <v>-4600</v>
      </c>
      <c r="D14" s="17" t="n">
        <v>-4900</v>
      </c>
      <c r="E14" s="17" t="n">
        <v>1000</v>
      </c>
      <c r="F14" s="17" t="n">
        <v>1000</v>
      </c>
    </row>
    <row r="15">
      <c r="A15" s="16" t="inlineStr">
        <is>
          <t>Finansielle indtægter</t>
        </is>
      </c>
      <c r="B15" s="17" t="n">
        <v>17500</v>
      </c>
      <c r="C15" s="17" t="n">
        <v>5300</v>
      </c>
      <c r="D15" s="17" t="n">
        <v>500</v>
      </c>
      <c r="E15" s="17" t="n">
        <v>12000</v>
      </c>
      <c r="F15" s="17" t="n">
        <v>1000</v>
      </c>
    </row>
    <row r="16">
      <c r="A16" s="16" t="inlineStr">
        <is>
          <t>Finansielle omkostninger</t>
        </is>
      </c>
      <c r="B16" s="17" t="n">
        <v>45200</v>
      </c>
      <c r="C16" s="17" t="n">
        <v>37900</v>
      </c>
      <c r="D16" s="17" t="n">
        <v>45900</v>
      </c>
      <c r="E16" s="17" t="n">
        <v>144000</v>
      </c>
      <c r="F16" s="17" t="n">
        <v>183000</v>
      </c>
    </row>
    <row r="17">
      <c r="A17" s="15" t="inlineStr">
        <is>
          <t>Finansielle poster, netto</t>
        </is>
      </c>
      <c r="B17" s="17" t="n">
        <v>-27700</v>
      </c>
      <c r="C17" s="17" t="n">
        <v>-32600</v>
      </c>
      <c r="D17" s="17" t="n">
        <v>-45400</v>
      </c>
      <c r="E17" s="17" t="n">
        <v>-132000</v>
      </c>
      <c r="F17" s="17" t="n">
        <v>-182000</v>
      </c>
    </row>
    <row r="18">
      <c r="A18" s="15" t="inlineStr">
        <is>
          <t>Resultat før skat</t>
        </is>
      </c>
      <c r="B18" s="17" t="n">
        <v>353400</v>
      </c>
      <c r="C18" s="17" t="n">
        <v>351100</v>
      </c>
      <c r="D18" s="17" t="n">
        <v>372800</v>
      </c>
      <c r="E18" s="17" t="n">
        <v>248000</v>
      </c>
      <c r="F18" s="17" t="n">
        <v>384000</v>
      </c>
    </row>
    <row r="19">
      <c r="A19" s="16" t="inlineStr">
        <is>
          <t>Skat af årets resultat</t>
        </is>
      </c>
      <c r="B19" s="17" t="n">
        <v>84400</v>
      </c>
      <c r="C19" s="17" t="n">
        <v>74600</v>
      </c>
      <c r="D19" s="17" t="n">
        <v>92100</v>
      </c>
      <c r="E19" s="17" t="n">
        <v>79000</v>
      </c>
      <c r="F19" s="17" t="n">
        <v>102000</v>
      </c>
    </row>
    <row r="20">
      <c r="A20" s="15" t="inlineStr">
        <is>
          <t>Årets resultat</t>
        </is>
      </c>
      <c r="B20" s="17" t="n">
        <v>269000</v>
      </c>
      <c r="C20" s="17" t="n">
        <v>276500</v>
      </c>
      <c r="D20" s="17" t="n">
        <v>280700</v>
      </c>
      <c r="E20" s="17" t="n">
        <v>169000</v>
      </c>
      <c r="F20" s="17" t="n">
        <v>282000</v>
      </c>
    </row>
    <row r="21">
      <c r="A21" s="16" t="inlineStr">
        <is>
          <t>Gns. antal medarbejdere</t>
        </is>
      </c>
      <c r="B21" s="17" t="n">
        <v>2152</v>
      </c>
      <c r="C21" s="17" t="n"/>
      <c r="D21" s="17" t="n"/>
      <c r="E21" s="17" t="n"/>
      <c r="F21" s="17" t="n"/>
    </row>
    <row r="22">
      <c r="A22" s="16" t="inlineStr">
        <is>
          <t>Investering i materielle anlægsaktiver</t>
        </is>
      </c>
      <c r="B22" s="17" t="n">
        <v>50500</v>
      </c>
      <c r="C22" s="17" t="n">
        <v>50500</v>
      </c>
      <c r="D22" s="17" t="n">
        <v>92200</v>
      </c>
      <c r="E22" s="17" t="n">
        <v>250000</v>
      </c>
      <c r="F22" s="17" t="n">
        <v>477000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Matas A/S (CVR 27528406)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130300</v>
      </c>
      <c r="C2" s="17" t="n">
        <v>186800</v>
      </c>
      <c r="D2" s="17" t="n">
        <v>235800</v>
      </c>
      <c r="E2" s="17" t="n">
        <v>132000</v>
      </c>
      <c r="F2" s="17" t="n">
        <v>86000</v>
      </c>
    </row>
    <row r="3">
      <c r="A3" s="16" t="inlineStr">
        <is>
          <t>Patenter, varemærker mv.</t>
        </is>
      </c>
      <c r="B3" s="17" t="n">
        <v>143600</v>
      </c>
      <c r="C3" s="17" t="n">
        <v>67800</v>
      </c>
      <c r="D3" s="17" t="n">
        <v>58100</v>
      </c>
      <c r="E3" s="17" t="n">
        <v>184000</v>
      </c>
      <c r="F3" s="17" t="n">
        <v>183000</v>
      </c>
    </row>
    <row r="4">
      <c r="A4" s="16" t="inlineStr">
        <is>
          <t>Goodwill</t>
        </is>
      </c>
      <c r="B4" s="17" t="n">
        <v>3930600</v>
      </c>
      <c r="C4" s="17" t="n">
        <v>3993600</v>
      </c>
      <c r="D4" s="17" t="n">
        <v>3999400</v>
      </c>
      <c r="E4" s="17" t="n">
        <v>4096000</v>
      </c>
      <c r="F4" s="17" t="n">
        <v>4102000</v>
      </c>
    </row>
    <row r="5">
      <c r="A5" s="15" t="inlineStr">
        <is>
          <t>Immaterielle anlægsaktiver</t>
        </is>
      </c>
      <c r="B5" s="17" t="n">
        <v>4204500</v>
      </c>
      <c r="C5" s="17" t="n">
        <v>4248200</v>
      </c>
      <c r="D5" s="17" t="n">
        <v>4293300</v>
      </c>
      <c r="E5" s="17" t="n">
        <v>4671000</v>
      </c>
      <c r="F5" s="17" t="n">
        <v>4741000</v>
      </c>
    </row>
    <row r="6">
      <c r="A6" s="16" t="inlineStr">
        <is>
          <t>Grunde og bygninger</t>
        </is>
      </c>
      <c r="B6" s="17" t="n">
        <v>90800</v>
      </c>
      <c r="C6" s="17" t="n">
        <v>86600</v>
      </c>
      <c r="D6" s="17" t="n">
        <v>87500</v>
      </c>
      <c r="E6" s="17" t="n">
        <v>108000</v>
      </c>
      <c r="F6" s="17" t="n">
        <v>107000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>
        <v>51500</v>
      </c>
      <c r="C9" s="17" t="n">
        <v>40300</v>
      </c>
      <c r="D9" s="17" t="n">
        <v>27300</v>
      </c>
      <c r="E9" s="17" t="n">
        <v>208000</v>
      </c>
      <c r="F9" s="17" t="n">
        <v>243000</v>
      </c>
    </row>
    <row r="10">
      <c r="A10" s="16" t="inlineStr">
        <is>
          <t>Forudbetaling og anlægsaktiver under opførelse</t>
        </is>
      </c>
      <c r="B10" s="17" t="n">
        <v>0</v>
      </c>
      <c r="C10" s="17" t="n">
        <v>9600</v>
      </c>
      <c r="D10" s="17" t="n">
        <v>59700</v>
      </c>
      <c r="E10" s="17" t="n">
        <v>169000</v>
      </c>
      <c r="F10" s="17" t="n">
        <v>510000</v>
      </c>
    </row>
    <row r="11">
      <c r="A11" s="15" t="inlineStr">
        <is>
          <t>Materielle anlægsaktiver</t>
        </is>
      </c>
      <c r="B11" s="17" t="n">
        <v>651800</v>
      </c>
      <c r="C11" s="17" t="n">
        <v>500200</v>
      </c>
      <c r="D11" s="17" t="n">
        <v>622300</v>
      </c>
      <c r="E11" s="17" t="n">
        <v>1157000</v>
      </c>
      <c r="F11" s="17" t="n">
        <v>1178000</v>
      </c>
    </row>
    <row r="12">
      <c r="A12" s="16" t="inlineStr">
        <is>
          <t>Kapitalandele, dattervirksomheder</t>
        </is>
      </c>
      <c r="B12" s="17" t="n">
        <v>12400</v>
      </c>
      <c r="C12" s="17" t="n">
        <v>7300</v>
      </c>
      <c r="D12" s="17" t="n">
        <v>1400</v>
      </c>
      <c r="E12" s="17" t="n">
        <v>1000</v>
      </c>
      <c r="F12" s="17" t="n">
        <v>1000</v>
      </c>
    </row>
    <row r="13">
      <c r="A13" s="16" t="inlineStr">
        <is>
          <t>Deposita</t>
        </is>
      </c>
      <c r="B13" s="17" t="n">
        <v>600</v>
      </c>
      <c r="C13" s="17" t="n">
        <v>600</v>
      </c>
      <c r="D13" s="17" t="n">
        <v>700</v>
      </c>
      <c r="E13" s="17" t="n">
        <v>1000</v>
      </c>
      <c r="F13" s="17" t="n">
        <v>1000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5158900</v>
      </c>
      <c r="C15" s="17" t="n">
        <v>5026300</v>
      </c>
      <c r="D15" s="17" t="n">
        <v>5201700</v>
      </c>
      <c r="E15" s="17" t="n">
        <v>6468000</v>
      </c>
      <c r="F15" s="17" t="n">
        <v>6965000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>
        <v>3623000</v>
      </c>
      <c r="F16" s="17" t="n">
        <v>4509000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/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866700</v>
      </c>
      <c r="C19" s="17" t="n">
        <v>890100</v>
      </c>
      <c r="D19" s="17" t="n">
        <v>911800</v>
      </c>
      <c r="E19" s="17" t="n">
        <v>1864000</v>
      </c>
      <c r="F19" s="17" t="n">
        <v>2269000</v>
      </c>
    </row>
    <row r="20">
      <c r="A20" s="16" t="inlineStr">
        <is>
          <t>Tilgodehavender fra salg og tjenesteydelser</t>
        </is>
      </c>
      <c r="B20" s="17" t="n">
        <v>15200</v>
      </c>
      <c r="C20" s="17" t="n">
        <v>26600</v>
      </c>
      <c r="D20" s="17" t="n">
        <v>43700</v>
      </c>
      <c r="E20" s="17" t="n">
        <v>76000</v>
      </c>
      <c r="F20" s="17" t="n">
        <v>93000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158600</v>
      </c>
      <c r="C22" s="17" t="n">
        <v>154500</v>
      </c>
      <c r="D22" s="17" t="n">
        <v>161400</v>
      </c>
      <c r="E22" s="17" t="n">
        <v>221000</v>
      </c>
      <c r="F22" s="17" t="n">
        <v>235000</v>
      </c>
    </row>
    <row r="23">
      <c r="A23" s="16" t="inlineStr">
        <is>
          <t>Periodeafgrænsningsposter (aktiver)</t>
        </is>
      </c>
      <c r="B23" s="17" t="n"/>
      <c r="C23" s="17" t="n"/>
      <c r="D23" s="17" t="n">
        <v>40800</v>
      </c>
      <c r="E23" s="17" t="n">
        <v>74000</v>
      </c>
      <c r="F23" s="17" t="n">
        <v>130000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>
        <v>17000</v>
      </c>
      <c r="F24" s="17" t="n">
        <v>33000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19400</v>
      </c>
      <c r="C26" s="17" t="n">
        <v>45500</v>
      </c>
      <c r="D26" s="17" t="n">
        <v>20600</v>
      </c>
      <c r="E26" s="17" t="n">
        <v>17000</v>
      </c>
      <c r="F26" s="17" t="n">
        <v>19000</v>
      </c>
    </row>
    <row r="27">
      <c r="A27" s="15" t="inlineStr">
        <is>
          <t>Tilgodehavender</t>
        </is>
      </c>
      <c r="B27" s="17" t="n">
        <v>4600</v>
      </c>
      <c r="C27" s="17" t="n">
        <v>7100</v>
      </c>
      <c r="D27" s="17" t="n">
        <v>24900</v>
      </c>
      <c r="E27" s="17" t="n">
        <v>38000</v>
      </c>
      <c r="F27" s="17" t="n">
        <v>22000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40700</v>
      </c>
      <c r="C29" s="17" t="n">
        <v>28200</v>
      </c>
      <c r="D29" s="17" t="n">
        <v>36700</v>
      </c>
      <c r="E29" s="17" t="n">
        <v>131000</v>
      </c>
      <c r="F29" s="17" t="n">
        <v>76000</v>
      </c>
    </row>
    <row r="30">
      <c r="A30" s="15" t="inlineStr">
        <is>
          <t>Omsætningsaktiver</t>
        </is>
      </c>
      <c r="B30" s="17" t="n">
        <v>984200</v>
      </c>
      <c r="C30" s="17" t="n">
        <v>1029000</v>
      </c>
      <c r="D30" s="17" t="n">
        <v>1078500</v>
      </c>
      <c r="E30" s="17" t="n">
        <v>2200000</v>
      </c>
      <c r="F30" s="17" t="n">
        <v>2609000</v>
      </c>
    </row>
    <row r="31">
      <c r="A31" s="15" t="inlineStr">
        <is>
          <t>Aktiver</t>
        </is>
      </c>
      <c r="B31" s="17" t="n">
        <v>6143100</v>
      </c>
      <c r="C31" s="17" t="n">
        <v>6055300</v>
      </c>
      <c r="D31" s="17" t="n">
        <v>6280200</v>
      </c>
      <c r="E31" s="17" t="n">
        <v>8668000</v>
      </c>
      <c r="F31" s="17" t="n">
        <v>9574000</v>
      </c>
    </row>
    <row r="32">
      <c r="A32" s="16" t="inlineStr">
        <is>
          <t>Selskabskapital</t>
        </is>
      </c>
      <c r="B32" s="17" t="n">
        <v>95700</v>
      </c>
      <c r="C32" s="17" t="n">
        <v>95700</v>
      </c>
      <c r="D32" s="17" t="n">
        <v>95700</v>
      </c>
      <c r="E32" s="17" t="n">
        <v>96000</v>
      </c>
      <c r="F32" s="17" t="n">
        <v>96000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-1300</v>
      </c>
      <c r="C36" s="17" t="n">
        <v>0</v>
      </c>
      <c r="D36" s="17" t="n"/>
      <c r="E36" s="17" t="n">
        <v>0</v>
      </c>
      <c r="F36" s="17" t="n">
        <v>3000</v>
      </c>
    </row>
    <row r="37">
      <c r="A37" s="16" t="inlineStr">
        <is>
          <t>Overført resultat</t>
        </is>
      </c>
      <c r="B37" s="17" t="n">
        <v>2600</v>
      </c>
      <c r="C37" s="17" t="n">
        <v>76000</v>
      </c>
      <c r="D37" s="17" t="n">
        <v>43500</v>
      </c>
      <c r="E37" s="17" t="n">
        <v>43000</v>
      </c>
      <c r="F37" s="17" t="n">
        <v>39000</v>
      </c>
    </row>
    <row r="38">
      <c r="A38" s="15" t="inlineStr">
        <is>
          <t>Egenkapital i alt</t>
        </is>
      </c>
      <c r="B38" s="17" t="n">
        <v>3038900</v>
      </c>
      <c r="C38" s="17" t="n">
        <v>3151800</v>
      </c>
      <c r="D38" s="17" t="n">
        <v>3362600</v>
      </c>
      <c r="E38" s="17" t="n">
        <v>3461000</v>
      </c>
      <c r="F38" s="17" t="n">
        <v>3715000</v>
      </c>
    </row>
    <row r="39">
      <c r="A39" s="16" t="inlineStr">
        <is>
          <t>Hensættelse til udskudt skat</t>
        </is>
      </c>
      <c r="B39" s="17" t="n">
        <v>199200</v>
      </c>
      <c r="C39" s="17" t="n">
        <v>192800</v>
      </c>
      <c r="D39" s="17" t="n">
        <v>198800</v>
      </c>
      <c r="E39" s="17" t="n">
        <v>227000</v>
      </c>
      <c r="F39" s="17" t="n">
        <v>212000</v>
      </c>
    </row>
    <row r="40">
      <c r="A40" s="15" t="inlineStr">
        <is>
          <t>Hensatte forpligtelser</t>
        </is>
      </c>
      <c r="B40" s="17" t="n">
        <v>27700</v>
      </c>
      <c r="C40" s="17" t="n">
        <v>28000</v>
      </c>
      <c r="D40" s="17" t="n">
        <v>28000</v>
      </c>
      <c r="E40" s="17" t="n">
        <v>28000</v>
      </c>
      <c r="F40" s="17" t="n">
        <v>28000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495500</v>
      </c>
      <c r="C43" s="17" t="n">
        <v>343500</v>
      </c>
      <c r="D43" s="17" t="n">
        <v>462600</v>
      </c>
      <c r="E43" s="17" t="n">
        <v>850000</v>
      </c>
      <c r="F43" s="17" t="n">
        <v>870000</v>
      </c>
    </row>
    <row r="44">
      <c r="A44" s="16" t="inlineStr">
        <is>
          <t>Anden gæld (langfristet)</t>
        </is>
      </c>
      <c r="B44" s="17" t="n">
        <v>59200</v>
      </c>
      <c r="C44" s="17" t="n">
        <v>37700</v>
      </c>
      <c r="D44" s="17" t="n">
        <v>13000</v>
      </c>
      <c r="E44" s="17" t="n">
        <v>5000</v>
      </c>
      <c r="F44" s="17" t="n">
        <v>5000</v>
      </c>
    </row>
    <row r="45">
      <c r="A45" s="15" t="inlineStr">
        <is>
          <t>Langfristede gældsforpligtelser</t>
        </is>
      </c>
      <c r="B45" s="17" t="n">
        <v>0</v>
      </c>
      <c r="C45" s="17" t="n">
        <v>996100</v>
      </c>
      <c r="D45" s="17" t="n">
        <v>917700</v>
      </c>
      <c r="E45" s="17" t="n">
        <v>2007000</v>
      </c>
      <c r="F45" s="17" t="n">
        <v>1958000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1098300</v>
      </c>
      <c r="C48" s="17" t="n">
        <v>157900</v>
      </c>
      <c r="D48" s="17" t="n">
        <v>110400</v>
      </c>
      <c r="E48" s="17" t="n">
        <v>55000</v>
      </c>
      <c r="F48" s="17" t="n">
        <v>670000</v>
      </c>
    </row>
    <row r="49">
      <c r="A49" s="16" t="inlineStr">
        <is>
          <t>Leasingforpligtelser (kortfristet)</t>
        </is>
      </c>
      <c r="B49" s="17" t="n">
        <v>174100</v>
      </c>
      <c r="C49" s="17" t="n">
        <v>179500</v>
      </c>
      <c r="D49" s="17" t="n">
        <v>188400</v>
      </c>
      <c r="E49" s="17" t="n">
        <v>360000</v>
      </c>
      <c r="F49" s="17" t="n">
        <v>404000</v>
      </c>
    </row>
    <row r="50">
      <c r="A50" s="16" t="inlineStr">
        <is>
          <t>Leverandører af varer og tjenesteydelser</t>
        </is>
      </c>
      <c r="B50" s="17" t="n">
        <v>692400</v>
      </c>
      <c r="C50" s="17" t="n">
        <v>662900</v>
      </c>
      <c r="D50" s="17" t="n">
        <v>634100</v>
      </c>
      <c r="E50" s="17" t="n">
        <v>1070000</v>
      </c>
      <c r="F50" s="17" t="n">
        <v>1090000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199200</v>
      </c>
      <c r="C55" s="17" t="n">
        <v>150100</v>
      </c>
      <c r="D55" s="17" t="n">
        <v>202700</v>
      </c>
      <c r="E55" s="17" t="n">
        <v>364000</v>
      </c>
      <c r="F55" s="17" t="n">
        <v>384000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2322600</v>
      </c>
      <c r="C57" s="17" t="n">
        <v>1304900</v>
      </c>
      <c r="D57" s="17" t="n">
        <v>1297000</v>
      </c>
      <c r="E57" s="17" t="n">
        <v>2089000</v>
      </c>
      <c r="F57" s="17" t="n">
        <v>2785000</v>
      </c>
    </row>
    <row r="58">
      <c r="A58" s="15" t="inlineStr">
        <is>
          <t>Gældsforpligtelser</t>
        </is>
      </c>
      <c r="B58" s="17" t="n">
        <v>3104200</v>
      </c>
      <c r="C58" s="17" t="n">
        <v>2903000</v>
      </c>
      <c r="D58" s="17" t="n">
        <v>2917100</v>
      </c>
      <c r="E58" s="17" t="n">
        <v>5206000</v>
      </c>
      <c r="F58" s="17" t="n">
        <v>5858000</v>
      </c>
    </row>
    <row r="59">
      <c r="A59" s="15" t="inlineStr">
        <is>
          <t>Passiver</t>
        </is>
      </c>
      <c r="B59" s="17" t="n">
        <v>6143100</v>
      </c>
      <c r="C59" s="17" t="n">
        <v>6055300</v>
      </c>
      <c r="D59" s="17" t="n">
        <v>6280200</v>
      </c>
      <c r="E59" s="17" t="n">
        <v>8668000</v>
      </c>
      <c r="F59" s="17" t="n">
        <v>9574000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Matas A/S (CVR 27528406)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952000</v>
      </c>
      <c r="C2" s="17" t="n">
        <v>510500</v>
      </c>
      <c r="D2" s="17" t="n">
        <v>679000</v>
      </c>
      <c r="E2" s="17" t="n">
        <v>645000</v>
      </c>
      <c r="F2" s="17" t="n">
        <v>715000</v>
      </c>
    </row>
    <row r="3">
      <c r="A3" s="16" t="inlineStr">
        <is>
          <t>Pengestrømme fra investeringsaktivitet</t>
        </is>
      </c>
      <c r="B3" s="17" t="n">
        <v>-177900</v>
      </c>
      <c r="C3" s="17" t="n">
        <v>-231600</v>
      </c>
      <c r="D3" s="17" t="n">
        <v>-255800</v>
      </c>
      <c r="E3" s="17" t="n">
        <v>-1021000</v>
      </c>
      <c r="F3" s="17" t="n">
        <v>-717000</v>
      </c>
    </row>
    <row r="4">
      <c r="A4" s="16" t="inlineStr">
        <is>
          <t>Pengestrømme fra finansieringsaktivitet</t>
        </is>
      </c>
      <c r="B4" s="17" t="n">
        <v>-840000</v>
      </c>
      <c r="C4" s="17" t="n">
        <v>-291400</v>
      </c>
      <c r="D4" s="17" t="n">
        <v>-414700</v>
      </c>
      <c r="E4" s="17" t="n">
        <v>466000</v>
      </c>
      <c r="F4" s="17" t="n">
        <v>-56000</v>
      </c>
    </row>
    <row r="5">
      <c r="A5" s="16" t="inlineStr">
        <is>
          <t>Årets pengestrøm</t>
        </is>
      </c>
      <c r="B5" s="17" t="n">
        <v>-65900</v>
      </c>
      <c r="C5" s="17" t="n">
        <v>-12500</v>
      </c>
      <c r="D5" s="17" t="n">
        <v>8500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Matas A/S (CVR 27528406) — Regnskabs- og nøgletal (CVR: 27528406)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'res_raw_27528406'!$F$2</f>
        <v/>
      </c>
      <c r="C5" s="24">
        <f>'res_raw_27528406'!$E$2</f>
        <v/>
      </c>
      <c r="D5" s="24">
        <f>'res_raw_27528406'!$D$2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-'res_raw_27528406'!$F$3</f>
        <v/>
      </c>
      <c r="C6" s="24">
        <f>-'res_raw_27528406'!$E$3</f>
        <v/>
      </c>
      <c r="D6" s="24">
        <f>-'res_raw_27528406'!$D$3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IF(ABS((SUM(B5:B6))-'res_raw_27528406'!$F$4)&lt;=2,SUM(B5:B6),'res_raw_27528406'!$F$4)</f>
        <v/>
      </c>
      <c r="C7" s="27">
        <f>IF(ABS((SUM(C5:C6))-'res_raw_27528406'!$E$4)&lt;=2,SUM(C5:C6),'res_raw_27528406'!$E$4)</f>
        <v/>
      </c>
      <c r="D7" s="27">
        <f>IF(ABS((SUM(D5:D6))-'res_raw_27528406'!$D$4)&lt;=2,SUM(D5:D6),'res_raw_27528406'!$D$4)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-'res_raw_27528406'!$F$5</f>
        <v/>
      </c>
      <c r="C8" s="24">
        <f>-'res_raw_27528406'!$E$5</f>
        <v/>
      </c>
      <c r="D8" s="24">
        <f>-'res_raw_27528406'!$D$5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-'res_raw_27528406'!$F$6</f>
        <v/>
      </c>
      <c r="C9" s="24">
        <f>-'res_raw_27528406'!$E$6</f>
        <v/>
      </c>
      <c r="D9" s="24">
        <f>-'res_raw_27528406'!$D$6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-'res_raw_27528406'!$F$7</f>
        <v/>
      </c>
      <c r="C10" s="24">
        <f>-'res_raw_27528406'!$E$7</f>
        <v/>
      </c>
      <c r="D10" s="24">
        <f>-'res_raw_27528406'!$D$7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'res_raw_27528406'!$F$8</f>
        <v/>
      </c>
      <c r="C11" s="24">
        <f>'res_raw_27528406'!$E$8</f>
        <v/>
      </c>
      <c r="D11" s="24">
        <f>'res_raw_27528406'!$D$8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-'res_raw_27528406'!$F$9</f>
        <v/>
      </c>
      <c r="C12" s="27">
        <f>-'res_raw_27528406'!$E$9</f>
        <v/>
      </c>
      <c r="D12" s="27">
        <f>-'res_raw_27528406'!$D$9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IF(ABS((SUM(B7:B12))-'res_raw_27528406'!$F$13)&lt;=2,SUM(B7:B12),'res_raw_27528406'!$F$13)</f>
        <v/>
      </c>
      <c r="C13" s="30">
        <f>IF(ABS((SUM(C7:C12))-'res_raw_27528406'!$E$13)&lt;=2,SUM(C7:C12),'res_raw_27528406'!$E$13)</f>
        <v/>
      </c>
      <c r="D13" s="30">
        <f>IF(ABS((SUM(D7:D12))-'res_raw_27528406'!$D$13)&lt;=2,SUM(D7:D12),'res_raw_27528406'!$D$13)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N('res_raw_27528406'!$F$14)+N('res_raw_27528406'!$F$15)</f>
        <v/>
      </c>
      <c r="C14" s="24">
        <f>N('res_raw_27528406'!$E$14)+N('res_raw_27528406'!$E$15)</f>
        <v/>
      </c>
      <c r="D14" s="24">
        <f>N('res_raw_27528406'!$D$14)+N('res_raw_27528406'!$D$15)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-'res_raw_27528406'!$F$16</f>
        <v/>
      </c>
      <c r="C15" s="27">
        <f>-'res_raw_27528406'!$E$16</f>
        <v/>
      </c>
      <c r="D15" s="27">
        <f>-'res_raw_27528406'!$D$16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IF(ABS((SUM(B13:B15))-'res_raw_27528406'!$F$18)&lt;=2,SUM(B13:B15),'res_raw_27528406'!$F$18)</f>
        <v/>
      </c>
      <c r="C16" s="30">
        <f>IF(ABS((SUM(C13:C15))-'res_raw_27528406'!$E$18)&lt;=2,SUM(C13:C15),'res_raw_27528406'!$E$18)</f>
        <v/>
      </c>
      <c r="D16" s="30">
        <f>IF(ABS((SUM(D13:D15))-'res_raw_27528406'!$D$18)&lt;=2,SUM(D13:D15),'res_raw_27528406'!$D$18)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'balance_raw_27528406'!$F$15</f>
        <v/>
      </c>
      <c r="C19" s="24">
        <f>'balance_raw_27528406'!$E$15</f>
        <v/>
      </c>
      <c r="D19" s="24">
        <f>'balance_raw_27528406'!$D$15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'balance_raw_27528406'!$F$30</f>
        <v/>
      </c>
      <c r="C20" s="24">
        <f>'balance_raw_27528406'!$E$30</f>
        <v/>
      </c>
      <c r="D20" s="24">
        <f>'balance_raw_27528406'!$D$30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'balance_raw_27528406'!$F$38</f>
        <v/>
      </c>
      <c r="C23" s="24">
        <f>'balance_raw_27528406'!$E$38</f>
        <v/>
      </c>
      <c r="D23" s="24">
        <f>'balance_raw_27528406'!$D$38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'balance_raw_27528406'!$F$59-'balance_raw_27528406'!$F$38</f>
        <v/>
      </c>
      <c r="C24" s="24">
        <f>'balance_raw_27528406'!$E$59-'balance_raw_27528406'!$E$38</f>
        <v/>
      </c>
      <c r="D24" s="24">
        <f>'balance_raw_27528406'!$D$59-'balance_raw_27528406'!$D$38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'balance_raw_27528406'!$F$19</f>
        <v/>
      </c>
      <c r="C28" s="24">
        <f>'balance_raw_27528406'!$E$19</f>
        <v/>
      </c>
      <c r="D28" s="24">
        <f>'balance_raw_27528406'!$D$19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'balance_raw_27528406'!$F$20</f>
        <v/>
      </c>
      <c r="C29" s="24">
        <f>'balance_raw_27528406'!$E$20</f>
        <v/>
      </c>
      <c r="D29" s="24">
        <f>'balance_raw_27528406'!$D$20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'balance_raw_27528406'!$F$57</f>
        <v/>
      </c>
      <c r="C30" s="24">
        <f>'balance_raw_27528406'!$E$57</f>
        <v/>
      </c>
      <c r="D30" s="24">
        <f>'balance_raw_27528406'!$D$57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IF('balance_raw_27528406'!$F$31="","—",IF(ABS(B21-'balance_raw_27528406'!$F$31)&lt;=1,"✓ OK","❌ "&amp;TEXT(B21-'balance_raw_27528406'!$F$31,"+#,##0;-#,##0")&amp;" t.kr."))</f>
        <v/>
      </c>
      <c r="C62" s="31">
        <f>IF('balance_raw_27528406'!$E$31="","—",IF(ABS(C21-'balance_raw_27528406'!$E$31)&lt;=1,"✓ OK","❌ "&amp;TEXT(C21-'balance_raw_27528406'!$E$31,"+#,##0;-#,##0")&amp;" t.kr."))</f>
        <v/>
      </c>
      <c r="D62" s="31">
        <f>IF('balance_raw_27528406'!$D$31="","—",IF(ABS(D21-'balance_raw_27528406'!$D$31)&lt;=1,"✓ OK","❌ "&amp;TEXT(D21-'balance_raw_27528406'!$D$31,"+#,##0;-#,##0")&amp;"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IF('balance_raw_27528406'!$F$59="","—",IF(ABS(B25-'balance_raw_27528406'!$F$59)&lt;=1,"✓ OK","❌ "&amp;TEXT(B25-'balance_raw_27528406'!$F$59,"+#,##0;-#,##0")&amp;" t.kr."))</f>
        <v/>
      </c>
      <c r="C63" s="31">
        <f>IF('balance_raw_27528406'!$E$59="","—",IF(ABS(C25-'balance_raw_27528406'!$E$59)&lt;=1,"✓ OK","❌ "&amp;TEXT(C25-'balance_raw_27528406'!$E$59,"+#,##0;-#,##0")&amp;" t.kr."))</f>
        <v/>
      </c>
      <c r="D63" s="31">
        <f>IF('balance_raw_27528406'!$D$59="","—",IF(ABS(D25-'balance_raw_27528406'!$D$59)&lt;=1,"✓ OK","❌ "&amp;TEXT(D25-'balance_raw_27528406'!$D$59,"+#,##0;-#,##0")&amp;"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IF('res_raw_27528406'!$F$4="","—",IF(ABS(B7-'res_raw_27528406'!$F$4)&lt;=1,"✓ OK","❌ "&amp;TEXT(B7-'res_raw_27528406'!$F$4,"+#,##0;-#,##0")&amp;" t.kr."))</f>
        <v/>
      </c>
      <c r="C65" s="31">
        <f>IF('res_raw_27528406'!$E$4="","—",IF(ABS(C7-'res_raw_27528406'!$E$4)&lt;=1,"✓ OK","❌ "&amp;TEXT(C7-'res_raw_27528406'!$E$4,"+#,##0;-#,##0")&amp;" t.kr."))</f>
        <v/>
      </c>
      <c r="D65" s="31">
        <f>IF('res_raw_27528406'!$D$4="","—",IF(ABS(D7-'res_raw_27528406'!$D$4)&lt;=1,"✓ OK","❌ "&amp;TEXT(D7-'res_raw_27528406'!$D$4,"+#,##0;-#,##0")&amp;"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IF('res_raw_27528406'!$F$13="","—",IF(ABS(B13-'res_raw_27528406'!$F$13)&lt;=1,"✓ OK","❌ "&amp;TEXT(B13-'res_raw_27528406'!$F$13,"+#,##0;-#,##0")&amp;" t.kr."))</f>
        <v/>
      </c>
      <c r="C66" s="31">
        <f>IF('res_raw_27528406'!$E$13="","—",IF(ABS(C13-'res_raw_27528406'!$E$13)&lt;=1,"✓ OK","❌ "&amp;TEXT(C13-'res_raw_27528406'!$E$13,"+#,##0;-#,##0")&amp;" t.kr."))</f>
        <v/>
      </c>
      <c r="D66" s="31">
        <f>IF('res_raw_27528406'!$D$13="","—",IF(ABS(D13-'res_raw_27528406'!$D$13)&lt;=1,"✓ OK","❌ "&amp;TEXT(D13-'res_raw_27528406'!$D$13,"+#,##0;-#,##0")&amp;"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IF('res_raw_27528406'!$F$18="","—",IF(ABS(B16-'res_raw_27528406'!$F$18)&lt;=1,"✓ OK","❌ "&amp;TEXT(B16-'res_raw_27528406'!$F$18,"+#,##0;-#,##0")&amp;" t.kr."))</f>
        <v/>
      </c>
      <c r="C67" s="31">
        <f>IF('res_raw_27528406'!$E$18="","—",IF(ABS(C16-'res_raw_27528406'!$E$18)&lt;=1,"✓ OK","❌ "&amp;TEXT(C16-'res_raw_27528406'!$E$18,"+#,##0;-#,##0")&amp;" t.kr."))</f>
        <v/>
      </c>
      <c r="D67" s="31">
        <f>IF('res_raw_27528406'!$D$18="","—",IF(ABS(D16-'res_raw_27528406'!$D$18)&lt;=1,"✓ OK","❌ "&amp;TEXT(D16-'res_raw_27528406'!$D$18,"+#,##0;-#,##0")&amp;"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Matas A/S (CVR 27528406)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ifrs-full:AdjustmentsForFinanceCosts</t>
        </is>
      </c>
      <c r="C3" s="36" t="inlineStr">
        <is>
          <t>ifrs-full:AdjustmentsForFinanceCosts</t>
        </is>
      </c>
      <c r="D3" s="37" t="n">
        <v>45200</v>
      </c>
      <c r="E3" s="37" t="n">
        <v>37900</v>
      </c>
      <c r="F3" s="37" t="n">
        <v>45900</v>
      </c>
      <c r="G3" s="37" t="n">
        <v>144000</v>
      </c>
      <c r="H3" s="37" t="n">
        <v>183000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ifrs-full:AdjustmentsForFinanceIncome</t>
        </is>
      </c>
      <c r="C4" s="39" t="inlineStr">
        <is>
          <t>ifrs-full:AdjustmentsForFinanceIncome</t>
        </is>
      </c>
      <c r="D4" s="40" t="n">
        <v>17500</v>
      </c>
      <c r="E4" s="40" t="n">
        <v>5300</v>
      </c>
      <c r="F4" s="40" t="n">
        <v>500</v>
      </c>
      <c r="G4" s="40" t="n">
        <v>12000</v>
      </c>
      <c r="H4" s="40" t="n">
        <v>1000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ifrs-full:AdjustmentsForUndistributedProfitsOfAssociates</t>
        </is>
      </c>
      <c r="C5" s="36" t="inlineStr">
        <is>
          <t>ifrs-full:AdjustmentsForUndistributedProfitsOfAssociates</t>
        </is>
      </c>
      <c r="D5" s="37" t="n">
        <v>700</v>
      </c>
      <c r="E5" s="37" t="n">
        <v>-4600</v>
      </c>
      <c r="F5" s="37" t="n">
        <v>-4900</v>
      </c>
      <c r="G5" s="37" t="n">
        <v>1000</v>
      </c>
      <c r="H5" s="37" t="n">
        <v>1000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ifrs-full:ComputerSoftware</t>
        </is>
      </c>
      <c r="C6" s="39" t="inlineStr">
        <is>
          <t>ifrs-full:ComputerSoftware</t>
        </is>
      </c>
      <c r="D6" s="40" t="n"/>
      <c r="E6" s="40" t="n"/>
      <c r="F6" s="40" t="n"/>
      <c r="G6" s="40" t="n">
        <v>258000</v>
      </c>
      <c r="H6" s="40" t="n">
        <v>253000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ifrs-full:DividendsRecognisedAsDistributionsToOwnersPerShare</t>
        </is>
      </c>
      <c r="C7" s="36" t="inlineStr">
        <is>
          <t>ifrs-full:DividendsRecognisedAsDistributionsToOwnersPerShare</t>
        </is>
      </c>
      <c r="D7" s="37" t="n"/>
      <c r="E7" s="37" t="n"/>
      <c r="F7" s="37" t="n">
        <v>0</v>
      </c>
      <c r="G7" s="37" t="n">
        <v>0</v>
      </c>
      <c r="H7" s="37" t="n"/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ifrs-full:ProceedsFromExerciseOfOptions</t>
        </is>
      </c>
      <c r="C8" s="39" t="inlineStr">
        <is>
          <t>ifrs-full:ProceedsFromExerciseOfOptions</t>
        </is>
      </c>
      <c r="D8" s="40" t="n"/>
      <c r="E8" s="40" t="n"/>
      <c r="F8" s="40" t="n"/>
      <c r="G8" s="40" t="n">
        <v>0</v>
      </c>
      <c r="H8" s="40" t="n">
        <v>10000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ifrs-full:ReserveOfExchangeDifferencesOnTranslation</t>
        </is>
      </c>
      <c r="C9" s="36" t="inlineStr">
        <is>
          <t>ifrs-full:ReserveOfExchangeDifferencesOnTranslation</t>
        </is>
      </c>
      <c r="D9" s="37" t="n">
        <v>300</v>
      </c>
      <c r="E9" s="37" t="n">
        <v>300</v>
      </c>
      <c r="F9" s="37" t="n">
        <v>300</v>
      </c>
      <c r="G9" s="37" t="n">
        <v>17000</v>
      </c>
      <c r="H9" s="37" t="n">
        <v>45000</v>
      </c>
      <c r="I9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2026-10-02T21:57:27Z</dcterms:created>
  <dcterms:modified xmlns:dcterms="http://purl.org/dc/terms/" xmlns:xsi="http://www.w3.org/2001/XMLSchema-instance" xsi:type="dcterms:W3CDTF">2026-10-02T21:57:27Z</dcterms:modified>
</cp:coreProperties>
</file>