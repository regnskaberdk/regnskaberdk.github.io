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792019" sheetId="1" state="visible" r:id="rId1"/>
    <sheet xmlns:r="http://schemas.openxmlformats.org/officeDocument/2006/relationships" name="res_raw_41792019" sheetId="2" state="visible" r:id="rId2"/>
    <sheet xmlns:r="http://schemas.openxmlformats.org/officeDocument/2006/relationships" name="balance_raw_4179201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Bravo Tours 1998 A/S (CVR 41792019)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'res_raw_41792019'!$B$2</f>
        <v/>
      </c>
      <c r="C4" s="5">
        <f>'res_raw_41792019'!$C$2</f>
        <v/>
      </c>
      <c r="D4" s="5">
        <f>'res_raw_41792019'!$D$2</f>
        <v/>
      </c>
      <c r="E4" s="5">
        <f>'res_raw_41792019'!$E$2</f>
        <v/>
      </c>
      <c r="F4" s="5">
        <f>'res_raw_41792019'!$F$2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'res_raw_41792019'!$B$3</f>
        <v/>
      </c>
      <c r="C5" s="8">
        <f>'res_raw_41792019'!$C$3</f>
        <v/>
      </c>
      <c r="D5" s="8">
        <f>'res_raw_41792019'!$D$3</f>
        <v/>
      </c>
      <c r="E5" s="8">
        <f>'res_raw_41792019'!$E$3</f>
        <v/>
      </c>
      <c r="F5" s="8">
        <f>'res_raw_41792019'!$F$3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'res_raw_41792019'!$B$4</f>
        <v/>
      </c>
      <c r="C6" s="5">
        <f>'res_raw_41792019'!$C$4</f>
        <v/>
      </c>
      <c r="D6" s="5">
        <f>'res_raw_41792019'!$D$4</f>
        <v/>
      </c>
      <c r="E6" s="5">
        <f>'res_raw_41792019'!$E$4</f>
        <v/>
      </c>
      <c r="F6" s="5">
        <f>'res_raw_41792019'!$F$4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'res_raw_41792019'!$B$5</f>
        <v/>
      </c>
      <c r="C7" s="8">
        <f>'res_raw_41792019'!$C$5</f>
        <v/>
      </c>
      <c r="D7" s="8">
        <f>'res_raw_41792019'!$D$5</f>
        <v/>
      </c>
      <c r="E7" s="8">
        <f>'res_raw_41792019'!$E$5</f>
        <v/>
      </c>
      <c r="F7" s="8">
        <f>'res_raw_41792019'!$F$5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'res_raw_41792019'!$B$6</f>
        <v/>
      </c>
      <c r="C8" s="11">
        <f>'res_raw_41792019'!$C$6</f>
        <v/>
      </c>
      <c r="D8" s="11">
        <f>'res_raw_41792019'!$D$6</f>
        <v/>
      </c>
      <c r="E8" s="11">
        <f>'res_raw_41792019'!$E$6</f>
        <v/>
      </c>
      <c r="F8" s="11">
        <f>'res_raw_41792019'!$F$6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'res_raw_41792019'!$B$7</f>
        <v/>
      </c>
      <c r="C9" s="8">
        <f>'res_raw_41792019'!$C$7</f>
        <v/>
      </c>
      <c r="D9" s="8">
        <f>'res_raw_41792019'!$D$7</f>
        <v/>
      </c>
      <c r="E9" s="8">
        <f>'res_raw_41792019'!$E$7</f>
        <v/>
      </c>
      <c r="F9" s="8">
        <f>'res_raw_41792019'!$F$7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'res_raw_41792019'!$B$9</f>
        <v/>
      </c>
      <c r="C11" s="8">
        <f>'res_raw_41792019'!$C$9</f>
        <v/>
      </c>
      <c r="D11" s="8">
        <f>'res_raw_41792019'!$D$9</f>
        <v/>
      </c>
      <c r="E11" s="8">
        <f>'res_raw_41792019'!$E$9</f>
        <v/>
      </c>
      <c r="F11" s="8">
        <f>'res_raw_41792019'!$F$9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'res_raw_41792019'!$B$10</f>
        <v/>
      </c>
      <c r="C12" s="5">
        <f>'res_raw_41792019'!$C$10</f>
        <v/>
      </c>
      <c r="D12" s="5">
        <f>'res_raw_41792019'!$D$10</f>
        <v/>
      </c>
      <c r="E12" s="5">
        <f>'res_raw_41792019'!$E$10</f>
        <v/>
      </c>
      <c r="F12" s="5">
        <f>'res_raw_41792019'!$F$10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'res_raw_41792019'!$B$11</f>
        <v/>
      </c>
      <c r="C13" s="11">
        <f>'res_raw_41792019'!$C$11</f>
        <v/>
      </c>
      <c r="D13" s="11">
        <f>'res_raw_41792019'!$D$11</f>
        <v/>
      </c>
      <c r="E13" s="11">
        <f>'res_raw_41792019'!$E$11</f>
        <v/>
      </c>
      <c r="F13" s="11">
        <f>'res_raw_41792019'!$F$11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'res_raw_41792019'!$B$12</f>
        <v/>
      </c>
      <c r="C14" s="5">
        <f>'res_raw_41792019'!$C$12</f>
        <v/>
      </c>
      <c r="D14" s="5">
        <f>'res_raw_41792019'!$D$12</f>
        <v/>
      </c>
      <c r="E14" s="5">
        <f>'res_raw_41792019'!$E$12</f>
        <v/>
      </c>
      <c r="F14" s="5">
        <f>'res_raw_41792019'!$F$12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'res_raw_41792019'!$B$13</f>
        <v/>
      </c>
      <c r="C15" s="8">
        <f>'res_raw_41792019'!$C$13</f>
        <v/>
      </c>
      <c r="D15" s="8">
        <f>'res_raw_41792019'!$D$13</f>
        <v/>
      </c>
      <c r="E15" s="8">
        <f>'res_raw_41792019'!$E$13</f>
        <v/>
      </c>
      <c r="F15" s="8">
        <f>'res_raw_41792019'!$F$13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'res_raw_41792019'!$B$14</f>
        <v/>
      </c>
      <c r="C16" s="5">
        <f>'res_raw_41792019'!$C$14</f>
        <v/>
      </c>
      <c r="D16" s="5">
        <f>'res_raw_41792019'!$D$14</f>
        <v/>
      </c>
      <c r="E16" s="5">
        <f>'res_raw_41792019'!$E$14</f>
        <v/>
      </c>
      <c r="F16" s="5">
        <f>'res_raw_41792019'!$F$14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'res_raw_41792019'!$B$15</f>
        <v/>
      </c>
      <c r="C17" s="11">
        <f>'res_raw_41792019'!$C$15</f>
        <v/>
      </c>
      <c r="D17" s="11">
        <f>'res_raw_41792019'!$D$15</f>
        <v/>
      </c>
      <c r="E17" s="11">
        <f>'res_raw_41792019'!$E$15</f>
        <v/>
      </c>
      <c r="F17" s="11">
        <f>'res_raw_41792019'!$F$15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'res_raw_41792019'!$B$16</f>
        <v/>
      </c>
      <c r="C18" s="11">
        <f>'res_raw_41792019'!$C$16</f>
        <v/>
      </c>
      <c r="D18" s="11">
        <f>'res_raw_41792019'!$D$16</f>
        <v/>
      </c>
      <c r="E18" s="11">
        <f>'res_raw_41792019'!$E$16</f>
        <v/>
      </c>
      <c r="F18" s="11">
        <f>'res_raw_41792019'!$F$16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'res_raw_41792019'!$B$17</f>
        <v/>
      </c>
      <c r="C19" s="8">
        <f>'res_raw_41792019'!$C$17</f>
        <v/>
      </c>
      <c r="D19" s="8">
        <f>'res_raw_41792019'!$D$17</f>
        <v/>
      </c>
      <c r="E19" s="8">
        <f>'res_raw_41792019'!$E$17</f>
        <v/>
      </c>
      <c r="F19" s="8">
        <f>'res_raw_41792019'!$F$17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'res_raw_41792019'!$B$18</f>
        <v/>
      </c>
      <c r="C20" s="11">
        <f>'res_raw_41792019'!$C$18</f>
        <v/>
      </c>
      <c r="D20" s="11">
        <f>'res_raw_41792019'!$D$18</f>
        <v/>
      </c>
      <c r="E20" s="11">
        <f>'res_raw_41792019'!$E$18</f>
        <v/>
      </c>
      <c r="F20" s="11">
        <f>'res_raw_41792019'!$F$18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'balance_raw_41792019'!$B$2</f>
        <v/>
      </c>
      <c r="C23" s="8">
        <f>'balance_raw_41792019'!$C$2</f>
        <v/>
      </c>
      <c r="D23" s="8">
        <f>'balance_raw_41792019'!$D$2</f>
        <v/>
      </c>
      <c r="E23" s="8">
        <f>'balance_raw_41792019'!$E$2</f>
        <v/>
      </c>
      <c r="F23" s="8">
        <f>'balance_raw_41792019'!$F$2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'balance_raw_41792019'!$B$3</f>
        <v/>
      </c>
      <c r="C24" s="5">
        <f>'balance_raw_41792019'!$C$3</f>
        <v/>
      </c>
      <c r="D24" s="5">
        <f>'balance_raw_41792019'!$D$3</f>
        <v/>
      </c>
      <c r="E24" s="5">
        <f>'balance_raw_41792019'!$E$3</f>
        <v/>
      </c>
      <c r="F24" s="5">
        <f>'balance_raw_41792019'!$F$3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'balance_raw_41792019'!$B$4</f>
        <v/>
      </c>
      <c r="C25" s="8">
        <f>'balance_raw_41792019'!$C$4</f>
        <v/>
      </c>
      <c r="D25" s="8">
        <f>'balance_raw_41792019'!$D$4</f>
        <v/>
      </c>
      <c r="E25" s="8">
        <f>'balance_raw_41792019'!$E$4</f>
        <v/>
      </c>
      <c r="F25" s="8">
        <f>'balance_raw_41792019'!$F$4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'balance_raw_41792019'!$B$5</f>
        <v/>
      </c>
      <c r="C26" s="11">
        <f>'balance_raw_41792019'!$C$5</f>
        <v/>
      </c>
      <c r="D26" s="11">
        <f>'balance_raw_41792019'!$D$5</f>
        <v/>
      </c>
      <c r="E26" s="11">
        <f>'balance_raw_41792019'!$E$5</f>
        <v/>
      </c>
      <c r="F26" s="11">
        <f>'balance_raw_41792019'!$F$5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'balance_raw_41792019'!$B$6</f>
        <v/>
      </c>
      <c r="C27" s="8">
        <f>'balance_raw_41792019'!$C$6</f>
        <v/>
      </c>
      <c r="D27" s="8">
        <f>'balance_raw_41792019'!$D$6</f>
        <v/>
      </c>
      <c r="E27" s="8">
        <f>'balance_raw_41792019'!$E$6</f>
        <v/>
      </c>
      <c r="F27" s="8">
        <f>'balance_raw_41792019'!$F$6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'balance_raw_41792019'!$B$7</f>
        <v/>
      </c>
      <c r="C28" s="5">
        <f>'balance_raw_41792019'!$C$7</f>
        <v/>
      </c>
      <c r="D28" s="5">
        <f>'balance_raw_41792019'!$D$7</f>
        <v/>
      </c>
      <c r="E28" s="5">
        <f>'balance_raw_41792019'!$E$7</f>
        <v/>
      </c>
      <c r="F28" s="5">
        <f>'balance_raw_41792019'!$F$7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'balance_raw_41792019'!$B$8</f>
        <v/>
      </c>
      <c r="C29" s="8">
        <f>'balance_raw_41792019'!$C$8</f>
        <v/>
      </c>
      <c r="D29" s="8">
        <f>'balance_raw_41792019'!$D$8</f>
        <v/>
      </c>
      <c r="E29" s="8">
        <f>'balance_raw_41792019'!$E$8</f>
        <v/>
      </c>
      <c r="F29" s="8">
        <f>'balance_raw_41792019'!$F$8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'balance_raw_41792019'!$B$9</f>
        <v/>
      </c>
      <c r="C30" s="5">
        <f>'balance_raw_41792019'!$C$9</f>
        <v/>
      </c>
      <c r="D30" s="5">
        <f>'balance_raw_41792019'!$D$9</f>
        <v/>
      </c>
      <c r="E30" s="5">
        <f>'balance_raw_41792019'!$E$9</f>
        <v/>
      </c>
      <c r="F30" s="5">
        <f>'balance_raw_41792019'!$F$9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'balance_raw_41792019'!$B$10</f>
        <v/>
      </c>
      <c r="C31" s="8">
        <f>'balance_raw_41792019'!$C$10</f>
        <v/>
      </c>
      <c r="D31" s="8">
        <f>'balance_raw_41792019'!$D$10</f>
        <v/>
      </c>
      <c r="E31" s="8">
        <f>'balance_raw_41792019'!$E$10</f>
        <v/>
      </c>
      <c r="F31" s="8">
        <f>'balance_raw_41792019'!$F$10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'balance_raw_41792019'!$B$11</f>
        <v/>
      </c>
      <c r="C32" s="11">
        <f>'balance_raw_41792019'!$C$11</f>
        <v/>
      </c>
      <c r="D32" s="11">
        <f>'balance_raw_41792019'!$D$11</f>
        <v/>
      </c>
      <c r="E32" s="11">
        <f>'balance_raw_41792019'!$E$11</f>
        <v/>
      </c>
      <c r="F32" s="11">
        <f>'balance_raw_41792019'!$F$11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'balance_raw_41792019'!$B$12</f>
        <v/>
      </c>
      <c r="C33" s="8">
        <f>'balance_raw_41792019'!$C$12</f>
        <v/>
      </c>
      <c r="D33" s="8">
        <f>'balance_raw_41792019'!$D$12</f>
        <v/>
      </c>
      <c r="E33" s="8">
        <f>'balance_raw_41792019'!$E$12</f>
        <v/>
      </c>
      <c r="F33" s="8">
        <f>'balance_raw_41792019'!$F$12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'balance_raw_41792019'!$B$13</f>
        <v/>
      </c>
      <c r="C34" s="5">
        <f>'balance_raw_41792019'!$C$13</f>
        <v/>
      </c>
      <c r="D34" s="5">
        <f>'balance_raw_41792019'!$D$13</f>
        <v/>
      </c>
      <c r="E34" s="5">
        <f>'balance_raw_41792019'!$E$13</f>
        <v/>
      </c>
      <c r="F34" s="5">
        <f>'balance_raw_41792019'!$F$13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'balance_raw_41792019'!$B$14</f>
        <v/>
      </c>
      <c r="C35" s="11">
        <f>'balance_raw_41792019'!$C$14</f>
        <v/>
      </c>
      <c r="D35" s="11">
        <f>'balance_raw_41792019'!$D$14</f>
        <v/>
      </c>
      <c r="E35" s="11">
        <f>'balance_raw_41792019'!$E$14</f>
        <v/>
      </c>
      <c r="F35" s="11">
        <f>'balance_raw_41792019'!$F$14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'balance_raw_41792019'!$B$15</f>
        <v/>
      </c>
      <c r="C36" s="11">
        <f>'balance_raw_41792019'!$C$15</f>
        <v/>
      </c>
      <c r="D36" s="11">
        <f>'balance_raw_41792019'!$D$15</f>
        <v/>
      </c>
      <c r="E36" s="11">
        <f>'balance_raw_41792019'!$E$15</f>
        <v/>
      </c>
      <c r="F36" s="11">
        <f>'balance_raw_41792019'!$F$15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'balance_raw_41792019'!$B$16</f>
        <v/>
      </c>
      <c r="C37" s="8">
        <f>'balance_raw_41792019'!$C$16</f>
        <v/>
      </c>
      <c r="D37" s="8">
        <f>'balance_raw_41792019'!$D$16</f>
        <v/>
      </c>
      <c r="E37" s="8">
        <f>'balance_raw_41792019'!$E$16</f>
        <v/>
      </c>
      <c r="F37" s="8">
        <f>'balance_raw_41792019'!$F$16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'balance_raw_41792019'!$B$17</f>
        <v/>
      </c>
      <c r="C38" s="5">
        <f>'balance_raw_41792019'!$C$17</f>
        <v/>
      </c>
      <c r="D38" s="5">
        <f>'balance_raw_41792019'!$D$17</f>
        <v/>
      </c>
      <c r="E38" s="5">
        <f>'balance_raw_41792019'!$E$17</f>
        <v/>
      </c>
      <c r="F38" s="5">
        <f>'balance_raw_41792019'!$F$17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'balance_raw_41792019'!$B$18</f>
        <v/>
      </c>
      <c r="C39" s="8">
        <f>'balance_raw_41792019'!$C$18</f>
        <v/>
      </c>
      <c r="D39" s="8">
        <f>'balance_raw_41792019'!$D$18</f>
        <v/>
      </c>
      <c r="E39" s="8">
        <f>'balance_raw_41792019'!$E$18</f>
        <v/>
      </c>
      <c r="F39" s="8">
        <f>'balance_raw_41792019'!$F$18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'balance_raw_41792019'!$B$19</f>
        <v/>
      </c>
      <c r="C40" s="5">
        <f>'balance_raw_41792019'!$C$19</f>
        <v/>
      </c>
      <c r="D40" s="5">
        <f>'balance_raw_41792019'!$D$19</f>
        <v/>
      </c>
      <c r="E40" s="5">
        <f>'balance_raw_41792019'!$E$19</f>
        <v/>
      </c>
      <c r="F40" s="5">
        <f>'balance_raw_41792019'!$F$19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'balance_raw_41792019'!$B$20</f>
        <v/>
      </c>
      <c r="C41" s="8">
        <f>'balance_raw_41792019'!$C$20</f>
        <v/>
      </c>
      <c r="D41" s="8">
        <f>'balance_raw_41792019'!$D$20</f>
        <v/>
      </c>
      <c r="E41" s="8">
        <f>'balance_raw_41792019'!$E$20</f>
        <v/>
      </c>
      <c r="F41" s="8">
        <f>'balance_raw_41792019'!$F$20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'balance_raw_41792019'!$B$21</f>
        <v/>
      </c>
      <c r="C42" s="5">
        <f>'balance_raw_41792019'!$C$21</f>
        <v/>
      </c>
      <c r="D42" s="5">
        <f>'balance_raw_41792019'!$D$21</f>
        <v/>
      </c>
      <c r="E42" s="5">
        <f>'balance_raw_41792019'!$E$21</f>
        <v/>
      </c>
      <c r="F42" s="5">
        <f>'balance_raw_41792019'!$F$21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'balance_raw_41792019'!$B$22</f>
        <v/>
      </c>
      <c r="C43" s="8">
        <f>'balance_raw_41792019'!$C$22</f>
        <v/>
      </c>
      <c r="D43" s="8">
        <f>'balance_raw_41792019'!$D$22</f>
        <v/>
      </c>
      <c r="E43" s="8">
        <f>'balance_raw_41792019'!$E$22</f>
        <v/>
      </c>
      <c r="F43" s="8">
        <f>'balance_raw_41792019'!$F$22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'balance_raw_41792019'!$B$23</f>
        <v/>
      </c>
      <c r="C44" s="11">
        <f>'balance_raw_41792019'!$C$23</f>
        <v/>
      </c>
      <c r="D44" s="11">
        <f>'balance_raw_41792019'!$D$23</f>
        <v/>
      </c>
      <c r="E44" s="11">
        <f>'balance_raw_41792019'!$E$23</f>
        <v/>
      </c>
      <c r="F44" s="11">
        <f>'balance_raw_41792019'!$F$23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'balance_raw_41792019'!$B$24</f>
        <v/>
      </c>
      <c r="C45" s="8">
        <f>'balance_raw_41792019'!$C$24</f>
        <v/>
      </c>
      <c r="D45" s="8">
        <f>'balance_raw_41792019'!$D$24</f>
        <v/>
      </c>
      <c r="E45" s="8">
        <f>'balance_raw_41792019'!$E$24</f>
        <v/>
      </c>
      <c r="F45" s="8">
        <f>'balance_raw_41792019'!$F$24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'balance_raw_41792019'!$B$25</f>
        <v/>
      </c>
      <c r="C46" s="5">
        <f>'balance_raw_41792019'!$C$25</f>
        <v/>
      </c>
      <c r="D46" s="5">
        <f>'balance_raw_41792019'!$D$25</f>
        <v/>
      </c>
      <c r="E46" s="5">
        <f>'balance_raw_41792019'!$E$25</f>
        <v/>
      </c>
      <c r="F46" s="5">
        <f>'balance_raw_41792019'!$F$25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'balance_raw_41792019'!$B$26</f>
        <v/>
      </c>
      <c r="C47" s="11">
        <f>'balance_raw_41792019'!$C$26</f>
        <v/>
      </c>
      <c r="D47" s="11">
        <f>'balance_raw_41792019'!$D$26</f>
        <v/>
      </c>
      <c r="E47" s="11">
        <f>'balance_raw_41792019'!$E$26</f>
        <v/>
      </c>
      <c r="F47" s="11">
        <f>'balance_raw_41792019'!$F$26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'balance_raw_41792019'!$B$27</f>
        <v/>
      </c>
      <c r="C48" s="11">
        <f>'balance_raw_41792019'!$C$27</f>
        <v/>
      </c>
      <c r="D48" s="11">
        <f>'balance_raw_41792019'!$D$27</f>
        <v/>
      </c>
      <c r="E48" s="11">
        <f>'balance_raw_41792019'!$E$27</f>
        <v/>
      </c>
      <c r="F48" s="11">
        <f>'balance_raw_41792019'!$F$27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'balance_raw_41792019'!$B$28</f>
        <v/>
      </c>
      <c r="C51" s="8">
        <f>'balance_raw_41792019'!$C$28</f>
        <v/>
      </c>
      <c r="D51" s="8">
        <f>'balance_raw_41792019'!$D$28</f>
        <v/>
      </c>
      <c r="E51" s="8">
        <f>'balance_raw_41792019'!$E$28</f>
        <v/>
      </c>
      <c r="F51" s="8">
        <f>'balance_raw_41792019'!$F$28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'balance_raw_41792019'!$B$29</f>
        <v/>
      </c>
      <c r="C52" s="5">
        <f>'balance_raw_41792019'!$C$29</f>
        <v/>
      </c>
      <c r="D52" s="5">
        <f>'balance_raw_41792019'!$D$29</f>
        <v/>
      </c>
      <c r="E52" s="5">
        <f>'balance_raw_41792019'!$E$29</f>
        <v/>
      </c>
      <c r="F52" s="5">
        <f>'balance_raw_41792019'!$F$29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'balance_raw_41792019'!$B$30</f>
        <v/>
      </c>
      <c r="C53" s="8">
        <f>'balance_raw_41792019'!$C$30</f>
        <v/>
      </c>
      <c r="D53" s="8">
        <f>'balance_raw_41792019'!$D$30</f>
        <v/>
      </c>
      <c r="E53" s="8">
        <f>'balance_raw_41792019'!$E$30</f>
        <v/>
      </c>
      <c r="F53" s="8">
        <f>'balance_raw_41792019'!$F$30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'balance_raw_41792019'!$B$31</f>
        <v/>
      </c>
      <c r="C54" s="5">
        <f>'balance_raw_41792019'!$C$31</f>
        <v/>
      </c>
      <c r="D54" s="5">
        <f>'balance_raw_41792019'!$D$31</f>
        <v/>
      </c>
      <c r="E54" s="5">
        <f>'balance_raw_41792019'!$E$31</f>
        <v/>
      </c>
      <c r="F54" s="5">
        <f>'balance_raw_41792019'!$F$31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'balance_raw_41792019'!$B$32</f>
        <v/>
      </c>
      <c r="C55" s="8">
        <f>'balance_raw_41792019'!$C$32</f>
        <v/>
      </c>
      <c r="D55" s="8">
        <f>'balance_raw_41792019'!$D$32</f>
        <v/>
      </c>
      <c r="E55" s="8">
        <f>'balance_raw_41792019'!$E$32</f>
        <v/>
      </c>
      <c r="F55" s="8">
        <f>'balance_raw_41792019'!$F$32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'balance_raw_41792019'!$B$33</f>
        <v/>
      </c>
      <c r="C56" s="5">
        <f>'balance_raw_41792019'!$C$33</f>
        <v/>
      </c>
      <c r="D56" s="5">
        <f>'balance_raw_41792019'!$D$33</f>
        <v/>
      </c>
      <c r="E56" s="5">
        <f>'balance_raw_41792019'!$E$33</f>
        <v/>
      </c>
      <c r="F56" s="5">
        <f>'balance_raw_41792019'!$F$33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'balance_raw_41792019'!$B$34</f>
        <v/>
      </c>
      <c r="C57" s="11">
        <f>'balance_raw_41792019'!$C$34</f>
        <v/>
      </c>
      <c r="D57" s="11">
        <f>'balance_raw_41792019'!$D$34</f>
        <v/>
      </c>
      <c r="E57" s="11">
        <f>'balance_raw_41792019'!$E$34</f>
        <v/>
      </c>
      <c r="F57" s="11">
        <f>'balance_raw_41792019'!$F$34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'balance_raw_41792019'!$B$35</f>
        <v/>
      </c>
      <c r="C58" s="5">
        <f>'balance_raw_41792019'!$C$35</f>
        <v/>
      </c>
      <c r="D58" s="5">
        <f>'balance_raw_41792019'!$D$35</f>
        <v/>
      </c>
      <c r="E58" s="5">
        <f>'balance_raw_41792019'!$E$35</f>
        <v/>
      </c>
      <c r="F58" s="5">
        <f>'balance_raw_41792019'!$F$35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'balance_raw_41792019'!$B$36</f>
        <v/>
      </c>
      <c r="C59" s="11">
        <f>'balance_raw_41792019'!$C$36</f>
        <v/>
      </c>
      <c r="D59" s="11">
        <f>'balance_raw_41792019'!$D$36</f>
        <v/>
      </c>
      <c r="E59" s="11">
        <f>'balance_raw_41792019'!$E$36</f>
        <v/>
      </c>
      <c r="F59" s="11">
        <f>'balance_raw_41792019'!$F$36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'balance_raw_41792019'!$B$37</f>
        <v/>
      </c>
      <c r="C60" s="5">
        <f>'balance_raw_41792019'!$C$37</f>
        <v/>
      </c>
      <c r="D60" s="5">
        <f>'balance_raw_41792019'!$D$37</f>
        <v/>
      </c>
      <c r="E60" s="5">
        <f>'balance_raw_41792019'!$E$37</f>
        <v/>
      </c>
      <c r="F60" s="5">
        <f>'balance_raw_41792019'!$F$37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'balance_raw_41792019'!$B$38</f>
        <v/>
      </c>
      <c r="C61" s="8">
        <f>'balance_raw_41792019'!$C$38</f>
        <v/>
      </c>
      <c r="D61" s="8">
        <f>'balance_raw_41792019'!$D$38</f>
        <v/>
      </c>
      <c r="E61" s="8">
        <f>'balance_raw_41792019'!$E$38</f>
        <v/>
      </c>
      <c r="F61" s="8">
        <f>'balance_raw_41792019'!$F$38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'balance_raw_41792019'!$B$39</f>
        <v/>
      </c>
      <c r="C62" s="5">
        <f>'balance_raw_41792019'!$C$39</f>
        <v/>
      </c>
      <c r="D62" s="5">
        <f>'balance_raw_41792019'!$D$39</f>
        <v/>
      </c>
      <c r="E62" s="5">
        <f>'balance_raw_41792019'!$E$39</f>
        <v/>
      </c>
      <c r="F62" s="5">
        <f>'balance_raw_41792019'!$F$39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'balance_raw_41792019'!$B$40</f>
        <v/>
      </c>
      <c r="C63" s="8">
        <f>'balance_raw_41792019'!$C$40</f>
        <v/>
      </c>
      <c r="D63" s="8">
        <f>'balance_raw_41792019'!$D$40</f>
        <v/>
      </c>
      <c r="E63" s="8">
        <f>'balance_raw_41792019'!$E$40</f>
        <v/>
      </c>
      <c r="F63" s="8">
        <f>'balance_raw_41792019'!$F$40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'balance_raw_41792019'!$B$41</f>
        <v/>
      </c>
      <c r="C64" s="11">
        <f>'balance_raw_41792019'!$C$41</f>
        <v/>
      </c>
      <c r="D64" s="11">
        <f>'balance_raw_41792019'!$D$41</f>
        <v/>
      </c>
      <c r="E64" s="11">
        <f>'balance_raw_41792019'!$E$41</f>
        <v/>
      </c>
      <c r="F64" s="11">
        <f>'balance_raw_41792019'!$F$41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'balance_raw_41792019'!$B$42</f>
        <v/>
      </c>
      <c r="C65" s="8">
        <f>'balance_raw_41792019'!$C$42</f>
        <v/>
      </c>
      <c r="D65" s="8">
        <f>'balance_raw_41792019'!$D$42</f>
        <v/>
      </c>
      <c r="E65" s="8">
        <f>'balance_raw_41792019'!$E$42</f>
        <v/>
      </c>
      <c r="F65" s="8">
        <f>'balance_raw_41792019'!$F$42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'balance_raw_41792019'!$B$43</f>
        <v/>
      </c>
      <c r="C66" s="5">
        <f>'balance_raw_41792019'!$C$43</f>
        <v/>
      </c>
      <c r="D66" s="5">
        <f>'balance_raw_41792019'!$D$43</f>
        <v/>
      </c>
      <c r="E66" s="5">
        <f>'balance_raw_41792019'!$E$43</f>
        <v/>
      </c>
      <c r="F66" s="5">
        <f>'balance_raw_41792019'!$F$43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'balance_raw_41792019'!$B$44</f>
        <v/>
      </c>
      <c r="C67" s="8">
        <f>'balance_raw_41792019'!$C$44</f>
        <v/>
      </c>
      <c r="D67" s="8">
        <f>'balance_raw_41792019'!$D$44</f>
        <v/>
      </c>
      <c r="E67" s="8">
        <f>'balance_raw_41792019'!$E$44</f>
        <v/>
      </c>
      <c r="F67" s="8">
        <f>'balance_raw_41792019'!$F$44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'balance_raw_41792019'!$B$45</f>
        <v/>
      </c>
      <c r="C68" s="5">
        <f>'balance_raw_41792019'!$C$45</f>
        <v/>
      </c>
      <c r="D68" s="5">
        <f>'balance_raw_41792019'!$D$45</f>
        <v/>
      </c>
      <c r="E68" s="5">
        <f>'balance_raw_41792019'!$E$45</f>
        <v/>
      </c>
      <c r="F68" s="5">
        <f>'balance_raw_41792019'!$F$45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'balance_raw_41792019'!$B$46</f>
        <v/>
      </c>
      <c r="C69" s="8">
        <f>'balance_raw_41792019'!$C$46</f>
        <v/>
      </c>
      <c r="D69" s="8">
        <f>'balance_raw_41792019'!$D$46</f>
        <v/>
      </c>
      <c r="E69" s="8">
        <f>'balance_raw_41792019'!$E$46</f>
        <v/>
      </c>
      <c r="F69" s="8">
        <f>'balance_raw_41792019'!$F$46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'balance_raw_41792019'!$B$47</f>
        <v/>
      </c>
      <c r="C70" s="5">
        <f>'balance_raw_41792019'!$C$47</f>
        <v/>
      </c>
      <c r="D70" s="5">
        <f>'balance_raw_41792019'!$D$47</f>
        <v/>
      </c>
      <c r="E70" s="5">
        <f>'balance_raw_41792019'!$E$47</f>
        <v/>
      </c>
      <c r="F70" s="5">
        <f>'balance_raw_41792019'!$F$47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'balance_raw_41792019'!$B$48</f>
        <v/>
      </c>
      <c r="C71" s="8">
        <f>'balance_raw_41792019'!$C$48</f>
        <v/>
      </c>
      <c r="D71" s="8">
        <f>'balance_raw_41792019'!$D$48</f>
        <v/>
      </c>
      <c r="E71" s="8">
        <f>'balance_raw_41792019'!$E$48</f>
        <v/>
      </c>
      <c r="F71" s="8">
        <f>'balance_raw_41792019'!$F$48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'balance_raw_41792019'!$B$49</f>
        <v/>
      </c>
      <c r="C72" s="5">
        <f>'balance_raw_41792019'!$C$49</f>
        <v/>
      </c>
      <c r="D72" s="5">
        <f>'balance_raw_41792019'!$D$49</f>
        <v/>
      </c>
      <c r="E72" s="5">
        <f>'balance_raw_41792019'!$E$49</f>
        <v/>
      </c>
      <c r="F72" s="5">
        <f>'balance_raw_41792019'!$F$49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'balance_raw_41792019'!$B$50</f>
        <v/>
      </c>
      <c r="C73" s="8">
        <f>'balance_raw_41792019'!$C$50</f>
        <v/>
      </c>
      <c r="D73" s="8">
        <f>'balance_raw_41792019'!$D$50</f>
        <v/>
      </c>
      <c r="E73" s="8">
        <f>'balance_raw_41792019'!$E$50</f>
        <v/>
      </c>
      <c r="F73" s="8">
        <f>'balance_raw_41792019'!$F$50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'balance_raw_41792019'!$B$51</f>
        <v/>
      </c>
      <c r="C74" s="5">
        <f>'balance_raw_41792019'!$C$51</f>
        <v/>
      </c>
      <c r="D74" s="5">
        <f>'balance_raw_41792019'!$D$51</f>
        <v/>
      </c>
      <c r="E74" s="5">
        <f>'balance_raw_41792019'!$E$51</f>
        <v/>
      </c>
      <c r="F74" s="5">
        <f>'balance_raw_41792019'!$F$51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'balance_raw_41792019'!$B$52</f>
        <v/>
      </c>
      <c r="C75" s="8">
        <f>'balance_raw_41792019'!$C$52</f>
        <v/>
      </c>
      <c r="D75" s="8">
        <f>'balance_raw_41792019'!$D$52</f>
        <v/>
      </c>
      <c r="E75" s="8">
        <f>'balance_raw_41792019'!$E$52</f>
        <v/>
      </c>
      <c r="F75" s="8">
        <f>'balance_raw_41792019'!$F$52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'balance_raw_41792019'!$B$53</f>
        <v/>
      </c>
      <c r="C76" s="11">
        <f>'balance_raw_41792019'!$C$53</f>
        <v/>
      </c>
      <c r="D76" s="11">
        <f>'balance_raw_41792019'!$D$53</f>
        <v/>
      </c>
      <c r="E76" s="11">
        <f>'balance_raw_41792019'!$E$53</f>
        <v/>
      </c>
      <c r="F76" s="11">
        <f>'balance_raw_41792019'!$F$53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'balance_raw_41792019'!$B$54</f>
        <v/>
      </c>
      <c r="C77" s="11">
        <f>'balance_raw_41792019'!$C$54</f>
        <v/>
      </c>
      <c r="D77" s="11">
        <f>'balance_raw_41792019'!$D$54</f>
        <v/>
      </c>
      <c r="E77" s="11">
        <f>'balance_raw_41792019'!$E$54</f>
        <v/>
      </c>
      <c r="F77" s="11">
        <f>'balance_raw_41792019'!$F$54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'balance_raw_41792019'!$B$55</f>
        <v/>
      </c>
      <c r="C78" s="11">
        <f>'balance_raw_41792019'!$C$55</f>
        <v/>
      </c>
      <c r="D78" s="11">
        <f>'balance_raw_41792019'!$D$55</f>
        <v/>
      </c>
      <c r="E78" s="11">
        <f>'balance_raw_41792019'!$E$55</f>
        <v/>
      </c>
      <c r="F78" s="11">
        <f>'balance_raw_41792019'!$F$55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'res_raw_41792019'!$B$19</f>
        <v/>
      </c>
      <c r="C81" s="8">
        <f>'res_raw_41792019'!$C$19</f>
        <v/>
      </c>
      <c r="D81" s="8">
        <f>'res_raw_41792019'!$D$19</f>
        <v/>
      </c>
      <c r="E81" s="8">
        <f>'res_raw_41792019'!$E$19</f>
        <v/>
      </c>
      <c r="F81" s="8">
        <f>'res_raw_41792019'!$F$19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'res_raw_41792019'!$B$20</f>
        <v/>
      </c>
      <c r="C82" s="5">
        <f>'res_raw_41792019'!$C$20</f>
        <v/>
      </c>
      <c r="D82" s="5">
        <f>'res_raw_41792019'!$D$20</f>
        <v/>
      </c>
      <c r="E82" s="5">
        <f>'res_raw_41792019'!$E$20</f>
        <v/>
      </c>
      <c r="F82" s="5">
        <f>'res_raw_41792019'!$F$20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IFERROR($B$36/($B$57+$B$64)*100,"")</f>
        <v/>
      </c>
      <c r="C95" s="13">
        <f>IFERROR($C$36/($C$57+$C$64)*100,"")</f>
        <v/>
      </c>
      <c r="D95" s="13">
        <f>IFERROR($D$36/($D$57+$D$64)*100,"")</f>
        <v/>
      </c>
      <c r="E95" s="13">
        <f>IFERROR($E$36/($E$57+$E$64)*100,"")</f>
        <v/>
      </c>
      <c r="F95" s="13">
        <f>IFERROR($F$36/($F$57+$F$64)*100,"")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Bravo Tours 1998 A/S (CVR 41792019)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380990</v>
      </c>
      <c r="C2" s="16" t="n">
        <v>819240</v>
      </c>
      <c r="D2" s="16" t="n">
        <v>996352</v>
      </c>
      <c r="E2" s="16" t="n">
        <v>1180450</v>
      </c>
      <c r="F2" s="16" t="n">
        <v>1254967</v>
      </c>
    </row>
    <row r="3">
      <c r="A3" s="15" t="inlineStr">
        <is>
          <t>Andre driftsindtægter</t>
        </is>
      </c>
      <c r="B3" s="16" t="n">
        <v>1240</v>
      </c>
      <c r="C3" s="16" t="n">
        <v>1128</v>
      </c>
      <c r="D3" s="16" t="n">
        <v>52</v>
      </c>
      <c r="E3" s="16" t="n">
        <v>0</v>
      </c>
      <c r="F3" s="16" t="n"/>
    </row>
    <row r="4">
      <c r="A4" s="15" t="inlineStr">
        <is>
          <t>Vareforbrug</t>
        </is>
      </c>
      <c r="B4" s="16" t="n">
        <v>370954</v>
      </c>
      <c r="C4" s="16" t="n">
        <v>762828</v>
      </c>
      <c r="D4" s="16" t="n">
        <v>923058</v>
      </c>
      <c r="E4" s="16" t="n">
        <v>1101834</v>
      </c>
      <c r="F4" s="16" t="n">
        <v>1190226</v>
      </c>
    </row>
    <row r="5">
      <c r="A5" s="15" t="inlineStr">
        <is>
          <t>Andre eksterne omkostninger</t>
        </is>
      </c>
      <c r="B5" s="16" t="n">
        <v>13616</v>
      </c>
      <c r="C5" s="16" t="n">
        <v>19894</v>
      </c>
      <c r="D5" s="16" t="n">
        <v>33617</v>
      </c>
      <c r="E5" s="16" t="n">
        <v>32054</v>
      </c>
      <c r="F5" s="16" t="n">
        <v>43465</v>
      </c>
    </row>
    <row r="6">
      <c r="A6" s="17" t="inlineStr">
        <is>
          <t>Bruttoresultat</t>
        </is>
      </c>
      <c r="B6" s="16" t="n">
        <v>-2340</v>
      </c>
      <c r="C6" s="16" t="n">
        <v>37646</v>
      </c>
      <c r="D6" s="16" t="n">
        <v>39729</v>
      </c>
      <c r="E6" s="16" t="n">
        <v>46562</v>
      </c>
      <c r="F6" s="16" t="n">
        <v>21276</v>
      </c>
    </row>
    <row r="7">
      <c r="A7" s="15" t="inlineStr">
        <is>
          <t>Personaleomkostninger</t>
        </is>
      </c>
      <c r="B7" s="16" t="n">
        <v>20207</v>
      </c>
      <c r="C7" s="16" t="n">
        <v>25127</v>
      </c>
      <c r="D7" s="16" t="n">
        <v>29123</v>
      </c>
      <c r="E7" s="16" t="n">
        <v>37443</v>
      </c>
      <c r="F7" s="16" t="n">
        <v>32577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2829</v>
      </c>
      <c r="C9" s="16" t="n">
        <v>2502</v>
      </c>
      <c r="D9" s="16" t="n">
        <v>2534</v>
      </c>
      <c r="E9" s="16" t="n">
        <v>3677</v>
      </c>
      <c r="F9" s="16" t="n">
        <v>4333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-25375</v>
      </c>
      <c r="C11" s="16" t="n">
        <v>10017</v>
      </c>
      <c r="D11" s="16" t="n">
        <v>8072</v>
      </c>
      <c r="E11" s="16" t="n">
        <v>5442</v>
      </c>
      <c r="F11" s="16" t="n">
        <v>-15634</v>
      </c>
    </row>
    <row r="12">
      <c r="A12" s="15" t="inlineStr">
        <is>
          <t>Indtægter af kapitalandele, dattervirksomheder</t>
        </is>
      </c>
      <c r="B12" s="16" t="n">
        <v>22422</v>
      </c>
      <c r="C12" s="16" t="n">
        <v>17686</v>
      </c>
      <c r="D12" s="16" t="n">
        <v>26152</v>
      </c>
      <c r="E12" s="16" t="n">
        <v>25090</v>
      </c>
      <c r="F12" s="16" t="n">
        <v>26055</v>
      </c>
    </row>
    <row r="13">
      <c r="A13" s="15" t="inlineStr">
        <is>
          <t>Finansielle indtægter</t>
        </is>
      </c>
      <c r="B13" s="16" t="n">
        <v>3183</v>
      </c>
      <c r="C13" s="16" t="n">
        <v>3818</v>
      </c>
      <c r="D13" s="16" t="n">
        <v>4717</v>
      </c>
      <c r="E13" s="16" t="n">
        <v>6827</v>
      </c>
      <c r="F13" s="16" t="n">
        <v>3538</v>
      </c>
    </row>
    <row r="14">
      <c r="A14" s="15" t="inlineStr">
        <is>
          <t>Finansielle omkostninger</t>
        </is>
      </c>
      <c r="B14" s="16" t="n">
        <v>2338</v>
      </c>
      <c r="C14" s="16" t="n">
        <v>7887</v>
      </c>
      <c r="D14" s="16" t="n">
        <v>4122</v>
      </c>
      <c r="E14" s="16" t="n">
        <v>3102</v>
      </c>
      <c r="F14" s="16" t="n">
        <v>4285</v>
      </c>
    </row>
    <row r="15">
      <c r="A15" s="17" t="inlineStr">
        <is>
          <t>Finansielle poster, netto</t>
        </is>
      </c>
      <c r="B15" s="16" t="n">
        <v>846</v>
      </c>
      <c r="C15" s="16" t="n">
        <v>-4068</v>
      </c>
      <c r="D15" s="16" t="n">
        <v>595</v>
      </c>
      <c r="E15" s="16" t="n">
        <v>-29476</v>
      </c>
      <c r="F15" s="16" t="n">
        <v>26012</v>
      </c>
    </row>
    <row r="16">
      <c r="A16" s="17" t="inlineStr">
        <is>
          <t>Resultat før skat</t>
        </is>
      </c>
      <c r="B16" s="16" t="n">
        <v>-2107</v>
      </c>
      <c r="C16" s="16" t="n">
        <v>23635</v>
      </c>
      <c r="D16" s="16" t="n">
        <v>34819</v>
      </c>
      <c r="E16" s="16" t="n">
        <v>34918</v>
      </c>
      <c r="F16" s="16" t="n">
        <v>10378</v>
      </c>
    </row>
    <row r="17">
      <c r="A17" s="15" t="inlineStr">
        <is>
          <t>Skat af årets resultat</t>
        </is>
      </c>
      <c r="B17" s="16" t="n">
        <v>-5370</v>
      </c>
      <c r="C17" s="16" t="n">
        <v>1454</v>
      </c>
      <c r="D17" s="16" t="n">
        <v>1993</v>
      </c>
      <c r="E17" s="16" t="n">
        <v>2202</v>
      </c>
      <c r="F17" s="16" t="n">
        <v>-3405</v>
      </c>
    </row>
    <row r="18">
      <c r="A18" s="17" t="inlineStr">
        <is>
          <t>Årets resultat</t>
        </is>
      </c>
      <c r="B18" s="16" t="n">
        <v>3263</v>
      </c>
      <c r="C18" s="16" t="n">
        <v>22182</v>
      </c>
      <c r="D18" s="16" t="n">
        <v>32826</v>
      </c>
      <c r="E18" s="16" t="n">
        <v>32716</v>
      </c>
      <c r="F18" s="16" t="n">
        <v>13783</v>
      </c>
    </row>
    <row r="19">
      <c r="A19" s="15" t="inlineStr">
        <is>
          <t>Gns. antal medarbejdere</t>
        </is>
      </c>
      <c r="B19" s="16" t="n">
        <v>40</v>
      </c>
      <c r="C19" s="16" t="n">
        <v>79</v>
      </c>
      <c r="D19" s="16" t="n">
        <v>90</v>
      </c>
      <c r="E19" s="16" t="n">
        <v>107</v>
      </c>
      <c r="F19" s="16" t="n">
        <v>106</v>
      </c>
    </row>
    <row r="20">
      <c r="A20" s="15" t="inlineStr">
        <is>
          <t>Investering i materielle anlægsaktiver</t>
        </is>
      </c>
      <c r="B20" s="16" t="n">
        <v>500</v>
      </c>
      <c r="C20" s="16" t="n">
        <v>215</v>
      </c>
      <c r="D20" s="16" t="n">
        <v>249</v>
      </c>
      <c r="E20" s="16" t="n">
        <v>310</v>
      </c>
      <c r="F20" s="16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Bravo Tours 1998 A/S (CVR 41792019)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18430</v>
      </c>
      <c r="C4" s="16" t="n">
        <v>16351</v>
      </c>
      <c r="D4" s="16" t="n">
        <v>14271</v>
      </c>
      <c r="E4" s="16" t="n">
        <v>12191</v>
      </c>
      <c r="F4" s="16" t="n">
        <v>10111</v>
      </c>
    </row>
    <row r="5">
      <c r="A5" s="17" t="inlineStr">
        <is>
          <t>Immaterielle anlægsaktiver</t>
        </is>
      </c>
      <c r="B5" s="16" t="n">
        <v>20462</v>
      </c>
      <c r="C5" s="16" t="n">
        <v>18153</v>
      </c>
      <c r="D5" s="16" t="n">
        <v>19271</v>
      </c>
      <c r="E5" s="16" t="n">
        <v>18171</v>
      </c>
      <c r="F5" s="16" t="n">
        <v>20878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305</v>
      </c>
      <c r="C8" s="16" t="n">
        <v>328</v>
      </c>
      <c r="D8" s="16" t="n">
        <v>342</v>
      </c>
      <c r="E8" s="16" t="n">
        <v>476</v>
      </c>
      <c r="F8" s="16" t="n">
        <v>468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305</v>
      </c>
      <c r="C11" s="16" t="n">
        <v>328</v>
      </c>
      <c r="D11" s="16" t="n">
        <v>342</v>
      </c>
      <c r="E11" s="16" t="n">
        <v>476</v>
      </c>
      <c r="F11" s="16" t="n">
        <v>468</v>
      </c>
    </row>
    <row r="12">
      <c r="A12" s="15" t="inlineStr">
        <is>
          <t>Kapitalandele, dattervirksomheder</t>
        </is>
      </c>
      <c r="B12" s="16" t="n">
        <v>22462</v>
      </c>
      <c r="C12" s="16" t="n">
        <v>34367</v>
      </c>
      <c r="D12" s="16" t="n">
        <v>43520</v>
      </c>
      <c r="E12" s="16" t="n">
        <v>58609</v>
      </c>
      <c r="F12" s="16" t="n">
        <v>70652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22462</v>
      </c>
      <c r="C14" s="16" t="n">
        <v>34367</v>
      </c>
      <c r="D14" s="16" t="n">
        <v>43520</v>
      </c>
      <c r="E14" s="16" t="n">
        <v>58609</v>
      </c>
      <c r="F14" s="16" t="n">
        <v>70652</v>
      </c>
    </row>
    <row r="15">
      <c r="A15" s="17" t="inlineStr">
        <is>
          <t>Anlægsaktiver</t>
        </is>
      </c>
      <c r="B15" s="16" t="n">
        <v>43230</v>
      </c>
      <c r="C15" s="16" t="n">
        <v>52848</v>
      </c>
      <c r="D15" s="16" t="n">
        <v>63133</v>
      </c>
      <c r="E15" s="16" t="n">
        <v>77256</v>
      </c>
      <c r="F15" s="16" t="n">
        <v>91998</v>
      </c>
    </row>
    <row r="16">
      <c r="A16" s="15" t="inlineStr">
        <is>
          <t>Tilgodehavender fra salg og tjenesteydelser</t>
        </is>
      </c>
      <c r="B16" s="16" t="n">
        <v>2155</v>
      </c>
      <c r="C16" s="16" t="n">
        <v>499</v>
      </c>
      <c r="D16" s="16" t="n">
        <v>156</v>
      </c>
      <c r="E16" s="16" t="n">
        <v>0</v>
      </c>
      <c r="F16" s="16" t="n">
        <v>156</v>
      </c>
    </row>
    <row r="17">
      <c r="A17" s="15" t="inlineStr">
        <is>
          <t>Tilgodehavender hos tilknyttede virksomheder</t>
        </is>
      </c>
      <c r="B17" s="16" t="n">
        <v>158</v>
      </c>
      <c r="C17" s="16" t="n">
        <v>4761</v>
      </c>
      <c r="D17" s="16" t="n">
        <v>1586</v>
      </c>
      <c r="E17" s="16" t="n">
        <v>29081</v>
      </c>
      <c r="F17" s="16" t="n">
        <v>2445</v>
      </c>
    </row>
    <row r="18">
      <c r="A18" s="15" t="inlineStr">
        <is>
          <t>Andre tilgodehavender</t>
        </is>
      </c>
      <c r="B18" s="16" t="n">
        <v>3512</v>
      </c>
      <c r="C18" s="16" t="n">
        <v>6367</v>
      </c>
      <c r="D18" s="16" t="n">
        <v>29826</v>
      </c>
      <c r="E18" s="16" t="n">
        <v>12054</v>
      </c>
      <c r="F18" s="16" t="n">
        <v>11869</v>
      </c>
    </row>
    <row r="19">
      <c r="A19" s="15" t="inlineStr">
        <is>
          <t>Periodeafgrænsningsposter (aktiver)</t>
        </is>
      </c>
      <c r="B19" s="16" t="n">
        <v>11974</v>
      </c>
      <c r="C19" s="16" t="n">
        <v>40017</v>
      </c>
      <c r="D19" s="16" t="n">
        <v>50104</v>
      </c>
      <c r="E19" s="16" t="n">
        <v>56986</v>
      </c>
      <c r="F19" s="16" t="n">
        <v>67950</v>
      </c>
    </row>
    <row r="20">
      <c r="A20" s="15" t="inlineStr">
        <is>
          <t>Udskudt skatteaktiv</t>
        </is>
      </c>
      <c r="B20" s="16" t="n">
        <v>732</v>
      </c>
      <c r="C20" s="16" t="n">
        <v>0</v>
      </c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>
        <v>3028</v>
      </c>
    </row>
    <row r="22">
      <c r="A22" s="15" t="inlineStr">
        <is>
          <t>Kortfristede skattetilgodehavender</t>
        </is>
      </c>
      <c r="B22" s="16" t="n">
        <v>4639</v>
      </c>
      <c r="C22" s="16" t="n">
        <v>0</v>
      </c>
      <c r="D22" s="16" t="n"/>
      <c r="E22" s="16" t="n"/>
      <c r="F22" s="16" t="n"/>
    </row>
    <row r="23">
      <c r="A23" s="17" t="inlineStr">
        <is>
          <t>Tilgodehavender</t>
        </is>
      </c>
      <c r="B23" s="16" t="n">
        <v>23170</v>
      </c>
      <c r="C23" s="16" t="n">
        <v>51643</v>
      </c>
      <c r="D23" s="16" t="n">
        <v>81672</v>
      </c>
      <c r="E23" s="16" t="n">
        <v>98121</v>
      </c>
      <c r="F23" s="16" t="n">
        <v>85448</v>
      </c>
    </row>
    <row r="24">
      <c r="A24" s="15" t="inlineStr">
        <is>
          <t>Værdipapirer</t>
        </is>
      </c>
      <c r="B24" s="16" t="n">
        <v>53245</v>
      </c>
      <c r="C24" s="16" t="n">
        <v>71369</v>
      </c>
      <c r="D24" s="16" t="n">
        <v>0</v>
      </c>
      <c r="E24" s="16" t="n"/>
      <c r="F24" s="16" t="n"/>
    </row>
    <row r="25">
      <c r="A25" s="15" t="inlineStr">
        <is>
          <t>Likvide beholdninger</t>
        </is>
      </c>
      <c r="B25" s="16" t="n">
        <v>77119</v>
      </c>
      <c r="C25" s="16" t="n">
        <v>70763</v>
      </c>
      <c r="D25" s="16" t="n">
        <v>194738</v>
      </c>
      <c r="E25" s="16" t="n">
        <v>173721</v>
      </c>
      <c r="F25" s="16" t="n">
        <v>178777</v>
      </c>
    </row>
    <row r="26">
      <c r="A26" s="17" t="inlineStr">
        <is>
          <t>Omsætningsaktiver</t>
        </is>
      </c>
      <c r="B26" s="16" t="n">
        <v>153534</v>
      </c>
      <c r="C26" s="16" t="n">
        <v>193775</v>
      </c>
      <c r="D26" s="16" t="n">
        <v>276410</v>
      </c>
      <c r="E26" s="16" t="n">
        <v>271842</v>
      </c>
      <c r="F26" s="16" t="n">
        <v>264225</v>
      </c>
    </row>
    <row r="27">
      <c r="A27" s="17" t="inlineStr">
        <is>
          <t>Aktiver</t>
        </is>
      </c>
      <c r="B27" s="16" t="n">
        <v>196764</v>
      </c>
      <c r="C27" s="16" t="n">
        <v>246622</v>
      </c>
      <c r="D27" s="16" t="n">
        <v>339543</v>
      </c>
      <c r="E27" s="16" t="n">
        <v>349098</v>
      </c>
      <c r="F27" s="16" t="n">
        <v>356223</v>
      </c>
    </row>
    <row r="28">
      <c r="A28" s="15" t="inlineStr">
        <is>
          <t>Selskabskapital</t>
        </is>
      </c>
      <c r="B28" s="16" t="n">
        <v>11939</v>
      </c>
      <c r="C28" s="16" t="n">
        <v>11939</v>
      </c>
      <c r="D28" s="16" t="n">
        <v>11939</v>
      </c>
      <c r="E28" s="16" t="n">
        <v>11939</v>
      </c>
      <c r="F28" s="16" t="n">
        <v>11939</v>
      </c>
    </row>
    <row r="29">
      <c r="A29" s="15" t="inlineStr">
        <is>
          <t>Reserve for nettoopskrivning (indre værdis metode)</t>
        </is>
      </c>
      <c r="B29" s="16" t="n">
        <v>22422</v>
      </c>
      <c r="C29" s="16" t="n">
        <v>3109</v>
      </c>
      <c r="D29" s="16" t="n">
        <v>19261</v>
      </c>
      <c r="E29" s="16" t="n">
        <v>29717</v>
      </c>
      <c r="F29" s="16" t="n">
        <v>56760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>
        <v>139</v>
      </c>
      <c r="E31" s="16" t="n">
        <v>321</v>
      </c>
      <c r="F31" s="16" t="n">
        <v>50</v>
      </c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19905</v>
      </c>
      <c r="C33" s="16" t="n">
        <v>50642</v>
      </c>
      <c r="D33" s="16" t="n">
        <v>42315</v>
      </c>
      <c r="E33" s="16" t="n">
        <v>34575</v>
      </c>
      <c r="F33" s="16" t="n">
        <v>22303</v>
      </c>
    </row>
    <row r="34">
      <c r="A34" s="17" t="inlineStr">
        <is>
          <t>Egenkapital i alt</t>
        </is>
      </c>
      <c r="B34" s="16" t="n">
        <v>54267</v>
      </c>
      <c r="C34" s="16" t="n">
        <v>77690</v>
      </c>
      <c r="D34" s="16" t="n">
        <v>98654</v>
      </c>
      <c r="E34" s="16" t="n">
        <v>106552</v>
      </c>
      <c r="F34" s="16" t="n">
        <v>91052</v>
      </c>
    </row>
    <row r="35">
      <c r="A35" s="15" t="inlineStr">
        <is>
          <t>Hensættelse til udskudt skat</t>
        </is>
      </c>
      <c r="B35" s="16" t="n">
        <v>0</v>
      </c>
      <c r="C35" s="16" t="n">
        <v>1291</v>
      </c>
      <c r="D35" s="16" t="n">
        <v>2130</v>
      </c>
      <c r="E35" s="16" t="n">
        <v>2104</v>
      </c>
      <c r="F35" s="16" t="n">
        <v>1604</v>
      </c>
    </row>
    <row r="36">
      <c r="A36" s="17" t="inlineStr">
        <is>
          <t>Hensatte forpligtelser</t>
        </is>
      </c>
      <c r="B36" s="16" t="n">
        <v>0</v>
      </c>
      <c r="C36" s="16" t="n">
        <v>1291</v>
      </c>
      <c r="D36" s="16" t="n">
        <v>2130</v>
      </c>
      <c r="E36" s="16" t="n">
        <v>2104</v>
      </c>
      <c r="F36" s="16" t="n">
        <v>1604</v>
      </c>
    </row>
    <row r="37">
      <c r="A37" s="15" t="inlineStr">
        <is>
          <t>Ansvarlig lånekapital (langfristet)</t>
        </is>
      </c>
      <c r="B37" s="16" t="n">
        <v>13600</v>
      </c>
      <c r="C37" s="16" t="n">
        <v>0</v>
      </c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13600</v>
      </c>
      <c r="C41" s="16" t="n">
        <v>0</v>
      </c>
      <c r="D41" s="16" t="n"/>
      <c r="E41" s="16" t="n"/>
      <c r="F41" s="16" t="n"/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501</v>
      </c>
      <c r="C44" s="16" t="n">
        <v>474</v>
      </c>
      <c r="D44" s="16" t="n">
        <v>437</v>
      </c>
      <c r="E44" s="16" t="n">
        <v>356</v>
      </c>
      <c r="F44" s="16" t="n">
        <v>834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7296</v>
      </c>
      <c r="C46" s="16" t="n">
        <v>27018</v>
      </c>
      <c r="D46" s="16" t="n">
        <v>42988</v>
      </c>
      <c r="E46" s="16" t="n">
        <v>33503</v>
      </c>
      <c r="F46" s="16" t="n">
        <v>42021</v>
      </c>
    </row>
    <row r="47">
      <c r="A47" s="15" t="inlineStr">
        <is>
          <t>Gæld til tilknyttede virksomheder</t>
        </is>
      </c>
      <c r="B47" s="16" t="n">
        <v>23789</v>
      </c>
      <c r="C47" s="16" t="n">
        <v>13100</v>
      </c>
      <c r="D47" s="16" t="n">
        <v>2721</v>
      </c>
      <c r="E47" s="16" t="n">
        <v>0</v>
      </c>
      <c r="F47" s="16" t="n">
        <v>10831</v>
      </c>
    </row>
    <row r="48">
      <c r="A48" s="15" t="inlineStr">
        <is>
          <t>Gæld til selskabsdeltagere og ledelse</t>
        </is>
      </c>
      <c r="B48" s="16" t="n">
        <v>0</v>
      </c>
      <c r="C48" s="16" t="n">
        <v>3218</v>
      </c>
      <c r="D48" s="16" t="n">
        <v>0</v>
      </c>
      <c r="E48" s="16" t="n"/>
      <c r="F48" s="16" t="n"/>
    </row>
    <row r="49">
      <c r="A49" s="15" t="inlineStr">
        <is>
          <t>Selskabsskat</t>
        </is>
      </c>
      <c r="B49" s="16" t="n">
        <v>0</v>
      </c>
      <c r="C49" s="16" t="n">
        <v>109</v>
      </c>
      <c r="D49" s="16" t="n">
        <v>1193</v>
      </c>
      <c r="E49" s="16" t="n">
        <v>2319</v>
      </c>
      <c r="F49" s="16" t="n">
        <v>0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4072</v>
      </c>
      <c r="C51" s="16" t="n">
        <v>2195</v>
      </c>
      <c r="D51" s="16" t="n">
        <v>6981</v>
      </c>
      <c r="E51" s="16" t="n">
        <v>8222</v>
      </c>
      <c r="F51" s="16" t="n">
        <v>7567</v>
      </c>
    </row>
    <row r="52">
      <c r="A52" s="15" t="inlineStr">
        <is>
          <t>Periodeafgrænsningsposter (passiver)</t>
        </is>
      </c>
      <c r="B52" s="16" t="n">
        <v>93240</v>
      </c>
      <c r="C52" s="16" t="n">
        <v>121528</v>
      </c>
      <c r="D52" s="16" t="n">
        <v>184439</v>
      </c>
      <c r="E52" s="16" t="n">
        <v>196042</v>
      </c>
      <c r="F52" s="16" t="n">
        <v>202314</v>
      </c>
    </row>
    <row r="53">
      <c r="A53" s="17" t="inlineStr">
        <is>
          <t>Kortfristede gældsforpligtelser</t>
        </is>
      </c>
      <c r="B53" s="16" t="n">
        <v>128897</v>
      </c>
      <c r="C53" s="16" t="n">
        <v>167642</v>
      </c>
      <c r="D53" s="16" t="n">
        <v>238759</v>
      </c>
      <c r="E53" s="16" t="n">
        <v>240442</v>
      </c>
      <c r="F53" s="16" t="n">
        <v>263567</v>
      </c>
    </row>
    <row r="54">
      <c r="A54" s="17" t="inlineStr">
        <is>
          <t>Gældsforpligtelser</t>
        </is>
      </c>
      <c r="B54" s="16" t="n">
        <v>142497</v>
      </c>
      <c r="C54" s="16" t="n">
        <v>167642</v>
      </c>
      <c r="D54" s="16" t="n">
        <v>238759</v>
      </c>
      <c r="E54" s="16" t="n">
        <v>240442</v>
      </c>
      <c r="F54" s="16" t="n">
        <v>263567</v>
      </c>
    </row>
    <row r="55">
      <c r="A55" s="17" t="inlineStr">
        <is>
          <t>Passiver</t>
        </is>
      </c>
      <c r="B55" s="16" t="n">
        <v>196764</v>
      </c>
      <c r="C55" s="16" t="n">
        <v>246622</v>
      </c>
      <c r="D55" s="16" t="n">
        <v>339543</v>
      </c>
      <c r="E55" s="16" t="n">
        <v>349098</v>
      </c>
      <c r="F55" s="16" t="n">
        <v>356223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Bravo Tours 1998 A/S (CVR 41792019) — Regnskabs- og nøgletal (CVR: 41792019)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'res_raw_41792019'!$F$2</f>
        <v/>
      </c>
      <c r="C5" s="24">
        <f>'res_raw_41792019'!$E$2</f>
        <v/>
      </c>
      <c r="D5" s="24">
        <f>'res_raw_41792019'!$D$2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'res_raw_41792019'!$F$3</f>
        <v/>
      </c>
      <c r="C6" s="24">
        <f>'res_raw_41792019'!$E$3</f>
        <v/>
      </c>
      <c r="D6" s="24">
        <f>'res_raw_41792019'!$D$3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-'res_raw_41792019'!$F$4</f>
        <v/>
      </c>
      <c r="C7" s="24">
        <f>-'res_raw_41792019'!$E$4</f>
        <v/>
      </c>
      <c r="D7" s="24">
        <f>-'res_raw_41792019'!$D$4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-'res_raw_41792019'!$F$5</f>
        <v/>
      </c>
      <c r="C8" s="24">
        <f>-'res_raw_41792019'!$E$5</f>
        <v/>
      </c>
      <c r="D8" s="24">
        <f>-'res_raw_41792019'!$D$5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IF(ABS((SUM(B5:B8))-'res_raw_41792019'!$F$6)&lt;=2,SUM(B5:B8),'res_raw_41792019'!$F$6)</f>
        <v/>
      </c>
      <c r="C9" s="27">
        <f>IF(ABS((SUM(C5:C8))-'res_raw_41792019'!$E$6)&lt;=2,SUM(C5:C8),'res_raw_41792019'!$E$6)</f>
        <v/>
      </c>
      <c r="D9" s="27">
        <f>IF(ABS((SUM(D5:D8))-'res_raw_41792019'!$D$6)&lt;=2,SUM(D5:D8),'res_raw_41792019'!$D$6)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-'res_raw_41792019'!$F$7</f>
        <v/>
      </c>
      <c r="C10" s="24">
        <f>-'res_raw_41792019'!$E$7</f>
        <v/>
      </c>
      <c r="D10" s="24">
        <f>-'res_raw_41792019'!$D$7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-'res_raw_41792019'!$F$9</f>
        <v/>
      </c>
      <c r="C11" s="24">
        <f>-'res_raw_41792019'!$E$9</f>
        <v/>
      </c>
      <c r="D11" s="24">
        <f>-'res_raw_41792019'!$D$9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-'res_raw_41792019'!$F$10</f>
        <v/>
      </c>
      <c r="C12" s="24">
        <f>-'res_raw_41792019'!$E$10</f>
        <v/>
      </c>
      <c r="D12" s="24">
        <f>-'res_raw_41792019'!$D$10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IF(ABS((SUM(B9:B12))-'res_raw_41792019'!$F$11)&lt;=2,SUM(B9:B12),'res_raw_41792019'!$F$11)</f>
        <v/>
      </c>
      <c r="C13" s="27">
        <f>IF(ABS((SUM(C9:C12))-'res_raw_41792019'!$E$11)&lt;=2,SUM(C9:C12),'res_raw_41792019'!$E$11)</f>
        <v/>
      </c>
      <c r="D13" s="27">
        <f>IF(ABS((SUM(D9:D12))-'res_raw_41792019'!$D$11)&lt;=2,SUM(D9:D12),'res_raw_41792019'!$D$11)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N('res_raw_41792019'!$F$12)+N('res_raw_41792019'!$F$13)</f>
        <v/>
      </c>
      <c r="C14" s="24">
        <f>N('res_raw_41792019'!$E$12)+N('res_raw_41792019'!$E$13)</f>
        <v/>
      </c>
      <c r="D14" s="24">
        <f>N('res_raw_41792019'!$D$12)+N('res_raw_41792019'!$D$13)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-'res_raw_41792019'!$F$14</f>
        <v/>
      </c>
      <c r="C15" s="24">
        <f>-'res_raw_41792019'!$E$14</f>
        <v/>
      </c>
      <c r="D15" s="24">
        <f>-'res_raw_41792019'!$D$14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IF(ABS((SUM(B13:B15))-'res_raw_41792019'!$F$16)&lt;=2,SUM(B13:B15),'res_raw_41792019'!$F$16)</f>
        <v/>
      </c>
      <c r="C16" s="27">
        <f>IF(ABS((SUM(C13:C15))-'res_raw_41792019'!$E$16)&lt;=2,SUM(C13:C15),'res_raw_41792019'!$E$16)</f>
        <v/>
      </c>
      <c r="D16" s="27">
        <f>IF(ABS((SUM(D13:D15))-'res_raw_41792019'!$D$16)&lt;=2,SUM(D13:D15),'res_raw_41792019'!$D$16)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'balance_raw_41792019'!$F$15</f>
        <v/>
      </c>
      <c r="C19" s="24">
        <f>'balance_raw_41792019'!$E$15</f>
        <v/>
      </c>
      <c r="D19" s="24">
        <f>'balance_raw_41792019'!$D$15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'balance_raw_41792019'!$F$26</f>
        <v/>
      </c>
      <c r="C20" s="24">
        <f>'balance_raw_41792019'!$E$26</f>
        <v/>
      </c>
      <c r="D20" s="24">
        <f>'balance_raw_41792019'!$D$26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'balance_raw_41792019'!$F$34</f>
        <v/>
      </c>
      <c r="C23" s="24">
        <f>'balance_raw_41792019'!$E$34</f>
        <v/>
      </c>
      <c r="D23" s="24">
        <f>'balance_raw_41792019'!$D$34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'balance_raw_41792019'!$F$55-'balance_raw_41792019'!$F$34</f>
        <v/>
      </c>
      <c r="C24" s="24">
        <f>'balance_raw_41792019'!$E$55-'balance_raw_41792019'!$E$34</f>
        <v/>
      </c>
      <c r="D24" s="24">
        <f>'balance_raw_41792019'!$D$55-'balance_raw_41792019'!$D$34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'balance_raw_41792019'!$F$16</f>
        <v/>
      </c>
      <c r="C29" s="24">
        <f>'balance_raw_41792019'!$E$16</f>
        <v/>
      </c>
      <c r="D29" s="24">
        <f>'balance_raw_41792019'!$D$16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'balance_raw_41792019'!$F$53</f>
        <v/>
      </c>
      <c r="C30" s="24">
        <f>'balance_raw_41792019'!$E$53</f>
        <v/>
      </c>
      <c r="D30" s="24">
        <f>'balance_raw_41792019'!$D$53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IF('balance_raw_41792019'!$F$27="","—",IF(ABS(B21-'balance_raw_41792019'!$F$27)&lt;=1,"✓ OK","❌ "&amp;TEXT(B21-'balance_raw_41792019'!$F$27,"+#,##0;-#,##0")&amp;" t.kr."))</f>
        <v/>
      </c>
      <c r="C61" s="29">
        <f>IF('balance_raw_41792019'!$E$27="","—",IF(ABS(C21-'balance_raw_41792019'!$E$27)&lt;=1,"✓ OK","❌ "&amp;TEXT(C21-'balance_raw_41792019'!$E$27,"+#,##0;-#,##0")&amp;" t.kr."))</f>
        <v/>
      </c>
      <c r="D61" s="29">
        <f>IF('balance_raw_41792019'!$D$27="","—",IF(ABS(D21-'balance_raw_41792019'!$D$27)&lt;=1,"✓ OK","❌ "&amp;TEXT(D21-'balance_raw_41792019'!$D$27,"+#,##0;-#,##0")&amp;"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IF('balance_raw_41792019'!$F$55="","—",IF(ABS(B25-'balance_raw_41792019'!$F$55)&lt;=1,"✓ OK","❌ "&amp;TEXT(B25-'balance_raw_41792019'!$F$55,"+#,##0;-#,##0")&amp;" t.kr."))</f>
        <v/>
      </c>
      <c r="C62" s="29">
        <f>IF('balance_raw_41792019'!$E$55="","—",IF(ABS(C25-'balance_raw_41792019'!$E$55)&lt;=1,"✓ OK","❌ "&amp;TEXT(C25-'balance_raw_41792019'!$E$55,"+#,##0;-#,##0")&amp;" t.kr."))</f>
        <v/>
      </c>
      <c r="D62" s="29">
        <f>IF('balance_raw_41792019'!$D$55="","—",IF(ABS(D25-'balance_raw_41792019'!$D$55)&lt;=1,"✓ OK","❌ "&amp;TEXT(D25-'balance_raw_41792019'!$D$55,"+#,##0;-#,##0")&amp;"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IF('res_raw_41792019'!$F$6="","—",IF(ABS(B9-'res_raw_41792019'!$F$6)&lt;=1,"✓ OK","❌ "&amp;TEXT(B9-'res_raw_41792019'!$F$6,"+#,##0;-#,##0")&amp;" t.kr."))</f>
        <v/>
      </c>
      <c r="C64" s="29">
        <f>IF('res_raw_41792019'!$E$6="","—",IF(ABS(C9-'res_raw_41792019'!$E$6)&lt;=1,"✓ OK","❌ "&amp;TEXT(C9-'res_raw_41792019'!$E$6,"+#,##0;-#,##0")&amp;" t.kr."))</f>
        <v/>
      </c>
      <c r="D64" s="29">
        <f>IF('res_raw_41792019'!$D$6="","—",IF(ABS(D9-'res_raw_41792019'!$D$6)&lt;=1,"✓ OK","❌ "&amp;TEXT(D9-'res_raw_41792019'!$D$6,"+#,##0;-#,##0")&amp;"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IF('res_raw_41792019'!$F$11="","—",IF(ABS(B13-'res_raw_41792019'!$F$11)&lt;=1,"✓ OK","❌ "&amp;TEXT(B13-'res_raw_41792019'!$F$11,"+#,##0;-#,##0")&amp;" t.kr."))</f>
        <v/>
      </c>
      <c r="C65" s="29">
        <f>IF('res_raw_41792019'!$E$11="","—",IF(ABS(C13-'res_raw_41792019'!$E$11)&lt;=1,"✓ OK","❌ "&amp;TEXT(C13-'res_raw_41792019'!$E$11,"+#,##0;-#,##0")&amp;" t.kr."))</f>
        <v/>
      </c>
      <c r="D65" s="29">
        <f>IF('res_raw_41792019'!$D$11="","—",IF(ABS(D13-'res_raw_41792019'!$D$11)&lt;=1,"✓ OK","❌ "&amp;TEXT(D13-'res_raw_41792019'!$D$11,"+#,##0;-#,##0")&amp;"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IF('res_raw_41792019'!$F$16="","—",IF(ABS(B16-'res_raw_41792019'!$F$16)&lt;=1,"✓ OK","❌ "&amp;TEXT(B16-'res_raw_41792019'!$F$16,"+#,##0;-#,##0")&amp;" t.kr."))</f>
        <v/>
      </c>
      <c r="C66" s="29">
        <f>IF('res_raw_41792019'!$E$16="","—",IF(ABS(C16-'res_raw_41792019'!$E$16)&lt;=1,"✓ OK","❌ "&amp;TEXT(C16-'res_raw_41792019'!$E$16,"+#,##0;-#,##0")&amp;" t.kr."))</f>
        <v/>
      </c>
      <c r="D66" s="29">
        <f>IF('res_raw_41792019'!$D$16="","—",IF(ABS(D16-'res_raw_41792019'!$D$16)&lt;=1,"✓ OK","❌ "&amp;TEXT(D16-'res_raw_41792019'!$D$16,"+#,##0;-#,##0")&amp;"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2026-10-01T22:16:44Z</dcterms:created>
  <dcterms:modified xmlns:dcterms="http://purl.org/dc/terms/" xmlns:xsi="http://www.w3.org/2001/XMLSchema-instance" xsi:type="dcterms:W3CDTF">2026-10-01T22:16:45Z</dcterms:modified>
</cp:coreProperties>
</file>