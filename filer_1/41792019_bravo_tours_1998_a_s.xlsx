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Bravo Tours 1998 A/S (CVR 41792019)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s="5">
        <f>'res_raw_41792019'!$F$2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s="8">
        <f>'res_raw_41792019'!$F$3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s="5">
        <f>'res_raw_41792019'!$F$4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s="8">
        <f>'res_raw_41792019'!$F$5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s="11">
        <f>'res_raw_41792019'!$F$6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s="8">
        <f>'res_raw_41792019'!$F$7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s="8">
        <f>'res_raw_41792019'!$F$9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s="5">
        <f>'res_raw_41792019'!$F$10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s="11">
        <f>'res_raw_41792019'!$F$11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s="5">
        <f>'res_raw_41792019'!$F$12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s="8">
        <f>'res_raw_41792019'!$F$13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s="5">
        <f>'res_raw_41792019'!$F$14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s="11">
        <f>'res_raw_41792019'!$F$15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s="11">
        <f>'res_raw_41792019'!$F$16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s="8">
        <f>'res_raw_41792019'!$F$17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s="11">
        <f>'res_raw_41792019'!$F$18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s="8">
        <f>'balance_raw_41792019'!$F$2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s="5">
        <f>'balance_raw_41792019'!$F$3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s="8">
        <f>'balance_raw_41792019'!$F$4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s="11">
        <f>'balance_raw_41792019'!$F$5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s="8">
        <f>'balance_raw_41792019'!$F$6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s="5">
        <f>'balance_raw_41792019'!$F$7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s="8">
        <f>'balance_raw_41792019'!$F$8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s="5">
        <f>'balance_raw_41792019'!$F$9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s="8">
        <f>'balance_raw_41792019'!$F$10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s="11">
        <f>'balance_raw_41792019'!$F$11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s="8">
        <f>'balance_raw_41792019'!$F$12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s="5">
        <f>'balance_raw_41792019'!$F$13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s="11">
        <f>'balance_raw_41792019'!$F$14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s="11">
        <f>'balance_raw_41792019'!$F$15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s="8">
        <f>'balance_raw_41792019'!$F$16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s="5">
        <f>'balance_raw_41792019'!$F$17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s="8">
        <f>'balance_raw_41792019'!$F$18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s="5">
        <f>'balance_raw_41792019'!$F$19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s="8">
        <f>'balance_raw_41792019'!$F$20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s="5">
        <f>'balance_raw_41792019'!$F$21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s="8">
        <f>'balance_raw_41792019'!$F$22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s="11">
        <f>'balance_raw_41792019'!$F$23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s="8">
        <f>'balance_raw_41792019'!$F$24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s="5">
        <f>'balance_raw_41792019'!$F$25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s="11">
        <f>'balance_raw_41792019'!$F$26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s="11">
        <f>'balance_raw_41792019'!$F$27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s="8">
        <f>'balance_raw_41792019'!$F$28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s="5">
        <f>'balance_raw_41792019'!$F$29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s="8">
        <f>'balance_raw_41792019'!$F$30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s="5">
        <f>'balance_raw_41792019'!$F$31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s="8">
        <f>'balance_raw_41792019'!$F$32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s="5">
        <f>'balance_raw_41792019'!$F$33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s="11">
        <f>'balance_raw_41792019'!$F$34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s="5">
        <f>'balance_raw_41792019'!$F$35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s="11">
        <f>'balance_raw_41792019'!$F$36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s="5">
        <f>'balance_raw_41792019'!$F$37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s="8">
        <f>'balance_raw_41792019'!$F$38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s="5">
        <f>'balance_raw_41792019'!$F$39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s="8">
        <f>'balance_raw_41792019'!$F$40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s="11">
        <f>'balance_raw_41792019'!$F$41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s="8">
        <f>'balance_raw_41792019'!$F$42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s="5">
        <f>'balance_raw_41792019'!$F$43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s="8">
        <f>'balance_raw_41792019'!$F$44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s="5">
        <f>'balance_raw_41792019'!$F$45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s="8">
        <f>'balance_raw_41792019'!$F$46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s="5">
        <f>'balance_raw_41792019'!$F$47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s="8">
        <f>'balance_raw_41792019'!$F$48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s="5">
        <f>'balance_raw_41792019'!$F$49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s="8">
        <f>'balance_raw_41792019'!$F$50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s="5">
        <f>'balance_raw_41792019'!$F$51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s="8">
        <f>'balance_raw_41792019'!$F$52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s="11">
        <f>'balance_raw_41792019'!$F$53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s="11">
        <f>'balance_raw_41792019'!$F$54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s="11">
        <f>'balance_raw_41792019'!$F$55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s="8">
        <f>'res_raw_41792019'!$F$19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s="5">
        <f>'res_raw_41792019'!$F$20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  <c r="F95" s="13">
        <f>IFERROR($F$36/($F$57+$F$64)*100,"")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  <c r="F2" s="16" t="n">
        <v>1254967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  <c r="F3" s="16" t="n"/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  <c r="F4" s="16" t="n">
        <v>1190226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  <c r="F5" s="16" t="n">
        <v>43465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  <c r="F6" s="16" t="n">
        <v>21276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  <c r="F7" s="16" t="n">
        <v>32577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  <c r="F9" s="16" t="n">
        <v>4333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  <c r="F11" s="16" t="n">
        <v>-15634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  <c r="F12" s="16" t="n">
        <v>26055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  <c r="F13" s="16" t="n">
        <v>3538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  <c r="F14" s="16" t="n">
        <v>4285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  <c r="F15" s="16" t="n">
        <v>26012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  <c r="F16" s="16" t="n">
        <v>10378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  <c r="F17" s="16" t="n">
        <v>-3405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  <c r="F18" s="16" t="n">
        <v>13783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  <c r="F19" s="16" t="n">
        <v>106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  <c r="F20" s="16" t="n">
        <v>266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  <c r="F4" s="16" t="n">
        <v>10111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  <c r="F5" s="16" t="n">
        <v>20878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  <c r="F8" s="16" t="n">
        <v>468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  <c r="F11" s="16" t="n">
        <v>468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  <c r="F12" s="16" t="n">
        <v>70652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  <c r="F14" s="16" t="n">
        <v>70652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  <c r="F15" s="16" t="n">
        <v>91998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  <c r="F16" s="16" t="n">
        <v>156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  <c r="F17" s="16" t="n">
        <v>2445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  <c r="F18" s="16" t="n">
        <v>11869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  <c r="F19" s="16" t="n">
        <v>67950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>
        <v>3028</v>
      </c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  <c r="F23" s="16" t="n">
        <v>85448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  <c r="F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  <c r="F25" s="16" t="n">
        <v>178777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  <c r="F26" s="16" t="n">
        <v>264225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  <c r="F27" s="16" t="n">
        <v>356223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  <c r="F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  <c r="F29" s="16" t="n">
        <v>56760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  <c r="F31" s="16" t="n">
        <v>50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  <c r="F33" s="16" t="n">
        <v>22303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  <c r="F34" s="16" t="n">
        <v>91052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  <c r="F35" s="16" t="n">
        <v>1604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  <c r="F36" s="16" t="n">
        <v>1604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  <c r="F44" s="16" t="n">
        <v>834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  <c r="F46" s="16" t="n">
        <v>42021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  <c r="F47" s="16" t="n">
        <v>10831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  <c r="F51" s="16" t="n">
        <v>7567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  <c r="F52" s="16" t="n">
        <v>202314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  <c r="F53" s="16" t="n">
        <v>263567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  <c r="F54" s="16" t="n">
        <v>263567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  <c r="F55" s="16" t="n">
        <v>356223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Bravo Tours 1998 A/S (CVR 41792019) — Regnskabs- og nøgletal (CVR: 41792019)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'res_raw_41792019'!$F$2</f>
        <v/>
      </c>
      <c r="C5" s="24">
        <f>'res_raw_41792019'!$E$2</f>
        <v/>
      </c>
      <c r="D5" s="24">
        <f>'res_raw_41792019'!$D$2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'res_raw_41792019'!$F$3</f>
        <v/>
      </c>
      <c r="C6" s="24">
        <f>'res_raw_41792019'!$E$3</f>
        <v/>
      </c>
      <c r="D6" s="24">
        <f>'res_raw_41792019'!$D$3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-'res_raw_41792019'!$F$4</f>
        <v/>
      </c>
      <c r="C7" s="24">
        <f>-'res_raw_41792019'!$E$4</f>
        <v/>
      </c>
      <c r="D7" s="24">
        <f>-'res_raw_41792019'!$D$4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-'res_raw_41792019'!$F$5</f>
        <v/>
      </c>
      <c r="C8" s="24">
        <f>-'res_raw_41792019'!$E$5</f>
        <v/>
      </c>
      <c r="D8" s="24">
        <f>-'res_raw_41792019'!$D$5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-'res_raw_41792019'!$F$7</f>
        <v/>
      </c>
      <c r="C10" s="24">
        <f>-'res_raw_41792019'!$E$7</f>
        <v/>
      </c>
      <c r="D10" s="24">
        <f>-'res_raw_41792019'!$D$7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-'res_raw_41792019'!$F$9</f>
        <v/>
      </c>
      <c r="C11" s="24">
        <f>-'res_raw_41792019'!$E$9</f>
        <v/>
      </c>
      <c r="D11" s="24">
        <f>-'res_raw_41792019'!$D$9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-'res_raw_41792019'!$F$10</f>
        <v/>
      </c>
      <c r="C12" s="24">
        <f>-'res_raw_41792019'!$E$10</f>
        <v/>
      </c>
      <c r="D12" s="24">
        <f>-'res_raw_41792019'!$D$10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N('res_raw_41792019'!$F$12)+N('res_raw_41792019'!$F$13)</f>
        <v/>
      </c>
      <c r="C14" s="24">
        <f>N('res_raw_41792019'!$E$12)+N('res_raw_41792019'!$E$13)</f>
        <v/>
      </c>
      <c r="D14" s="24">
        <f>N('res_raw_41792019'!$D$12)+N('res_raw_41792019'!$D$13)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-'res_raw_41792019'!$F$14</f>
        <v/>
      </c>
      <c r="C15" s="24">
        <f>-'res_raw_41792019'!$E$14</f>
        <v/>
      </c>
      <c r="D15" s="24">
        <f>-'res_raw_41792019'!$D$14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'balance_raw_41792019'!$F$15</f>
        <v/>
      </c>
      <c r="C19" s="24">
        <f>'balance_raw_41792019'!$E$15</f>
        <v/>
      </c>
      <c r="D19" s="24">
        <f>'balance_raw_41792019'!$D$15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'balance_raw_41792019'!$F$26</f>
        <v/>
      </c>
      <c r="C20" s="24">
        <f>'balance_raw_41792019'!$E$26</f>
        <v/>
      </c>
      <c r="D20" s="24">
        <f>'balance_raw_41792019'!$D$26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'balance_raw_41792019'!$F$34</f>
        <v/>
      </c>
      <c r="C23" s="24">
        <f>'balance_raw_41792019'!$E$34</f>
        <v/>
      </c>
      <c r="D23" s="24">
        <f>'balance_raw_41792019'!$D$34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'balance_raw_41792019'!$F$55-'balance_raw_41792019'!$F$34</f>
        <v/>
      </c>
      <c r="C24" s="24">
        <f>'balance_raw_41792019'!$E$55-'balance_raw_41792019'!$E$34</f>
        <v/>
      </c>
      <c r="D24" s="24">
        <f>'balance_raw_41792019'!$D$55-'balance_raw_41792019'!$D$34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'balance_raw_41792019'!$F$16</f>
        <v/>
      </c>
      <c r="C29" s="24">
        <f>'balance_raw_41792019'!$E$16</f>
        <v/>
      </c>
      <c r="D29" s="24">
        <f>'balance_raw_41792019'!$D$16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'balance_raw_41792019'!$F$53</f>
        <v/>
      </c>
      <c r="C30" s="24">
        <f>'balance_raw_41792019'!$E$53</f>
        <v/>
      </c>
      <c r="D30" s="24">
        <f>'balance_raw_41792019'!$D$53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IF('balance_raw_41792019'!$F$27="","—",IF(ABS(B21-'balance_raw_41792019'!$F$27)&lt;=1,"✓ OK","❌ "&amp;TEXT(B21-'balance_raw_41792019'!$F$27,"+#,##0;-#,##0")&amp;" t.kr."))</f>
        <v/>
      </c>
      <c r="C61" s="29">
        <f>IF('balance_raw_41792019'!$E$27="","—",IF(ABS(C21-'balance_raw_41792019'!$E$27)&lt;=1,"✓ OK","❌ "&amp;TEXT(C21-'balance_raw_41792019'!$E$27,"+#,##0;-#,##0")&amp;" t.kr."))</f>
        <v/>
      </c>
      <c r="D61" s="29">
        <f>IF('balance_raw_41792019'!$D$27="","—",IF(ABS(D21-'balance_raw_41792019'!$D$27)&lt;=1,"✓ OK","❌ "&amp;TEXT(D21-'balance_raw_41792019'!$D$27,"+#,##0;-#,##0")&amp;"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IF('balance_raw_41792019'!$F$55="","—",IF(ABS(B25-'balance_raw_41792019'!$F$55)&lt;=1,"✓ OK","❌ "&amp;TEXT(B25-'balance_raw_41792019'!$F$55,"+#,##0;-#,##0")&amp;" t.kr."))</f>
        <v/>
      </c>
      <c r="C62" s="29">
        <f>IF('balance_raw_41792019'!$E$55="","—",IF(ABS(C25-'balance_raw_41792019'!$E$55)&lt;=1,"✓ OK","❌ "&amp;TEXT(C25-'balance_raw_41792019'!$E$55,"+#,##0;-#,##0")&amp;" t.kr."))</f>
        <v/>
      </c>
      <c r="D62" s="29">
        <f>IF('balance_raw_41792019'!$D$55="","—",IF(ABS(D25-'balance_raw_41792019'!$D$55)&lt;=1,"✓ OK","❌ "&amp;TEXT(D25-'balance_raw_41792019'!$D$55,"+#,##0;-#,##0")&amp;"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IF('res_raw_41792019'!$F$6="","—",IF(ABS(B9-'res_raw_41792019'!$F$6)&lt;=1,"✓ OK","❌ "&amp;TEXT(B9-'res_raw_41792019'!$F$6,"+#,##0;-#,##0")&amp;" t.kr."))</f>
        <v/>
      </c>
      <c r="C64" s="29">
        <f>IF('res_raw_41792019'!$E$6="","—",IF(ABS(C9-'res_raw_41792019'!$E$6)&lt;=1,"✓ OK","❌ "&amp;TEXT(C9-'res_raw_41792019'!$E$6,"+#,##0;-#,##0")&amp;" t.kr."))</f>
        <v/>
      </c>
      <c r="D64" s="29">
        <f>IF('res_raw_41792019'!$D$6="","—",IF(ABS(D9-'res_raw_41792019'!$D$6)&lt;=1,"✓ OK","❌ "&amp;TEXT(D9-'res_raw_41792019'!$D$6,"+#,##0;-#,##0")&amp;"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IF('res_raw_41792019'!$F$11="","—",IF(ABS(B13-'res_raw_41792019'!$F$11)&lt;=1,"✓ OK","❌ "&amp;TEXT(B13-'res_raw_41792019'!$F$11,"+#,##0;-#,##0")&amp;" t.kr."))</f>
        <v/>
      </c>
      <c r="C65" s="29">
        <f>IF('res_raw_41792019'!$E$11="","—",IF(ABS(C13-'res_raw_41792019'!$E$11)&lt;=1,"✓ OK","❌ "&amp;TEXT(C13-'res_raw_41792019'!$E$11,"+#,##0;-#,##0")&amp;" t.kr."))</f>
        <v/>
      </c>
      <c r="D65" s="29">
        <f>IF('res_raw_41792019'!$D$11="","—",IF(ABS(D13-'res_raw_41792019'!$D$11)&lt;=1,"✓ OK","❌ "&amp;TEXT(D13-'res_raw_41792019'!$D$11,"+#,##0;-#,##0")&amp;"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IF('res_raw_41792019'!$F$16="","—",IF(ABS(B16-'res_raw_41792019'!$F$16)&lt;=1,"✓ OK","❌ "&amp;TEXT(B16-'res_raw_41792019'!$F$16,"+#,##0;-#,##0")&amp;" t.kr."))</f>
        <v/>
      </c>
      <c r="C66" s="29">
        <f>IF('res_raw_41792019'!$E$16="","—",IF(ABS(C16-'res_raw_41792019'!$E$16)&lt;=1,"✓ OK","❌ "&amp;TEXT(C16-'res_raw_41792019'!$E$16,"+#,##0;-#,##0")&amp;" t.kr."))</f>
        <v/>
      </c>
      <c r="D66" s="29">
        <f>IF('res_raw_41792019'!$D$16="","—",IF(ABS(D16-'res_raw_41792019'!$D$16)&lt;=1,"✓ OK","❌ "&amp;TEXT(D16-'res_raw_41792019'!$D$16,"+#,##0;-#,##0")&amp;"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2026-09-14T18:55:27Z</dcterms:created>
  <dcterms:modified xmlns:dcterms="http://purl.org/dc/terms/" xmlns:xsi="http://www.w3.org/2001/XMLSchema-instance" xsi:type="dcterms:W3CDTF">2026-09-14T18:55:27Z</dcterms:modified>
</cp:coreProperties>
</file>