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75206119" sheetId="1" state="visible" r:id="rId1"/>
    <sheet xmlns:r="http://schemas.openxmlformats.org/officeDocument/2006/relationships" name="res_raw_75206119" sheetId="2" state="visible" r:id="rId2"/>
    <sheet xmlns:r="http://schemas.openxmlformats.org/officeDocument/2006/relationships" name="balance_raw_75206119" sheetId="3" state="visible" r:id="rId3"/>
    <sheet xmlns:r="http://schemas.openxmlformats.org/officeDocument/2006/relationships" name="pengestrom_raw_75206119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Dan Cake A/S (CVR 75206119)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'res_raw_75206119'!$B$2</f>
        <v/>
      </c>
      <c r="C4" s="5">
        <f>'res_raw_75206119'!$C$2</f>
        <v/>
      </c>
      <c r="D4" s="5">
        <f>'res_raw_75206119'!$D$2</f>
        <v/>
      </c>
      <c r="E4" s="5">
        <f>'res_raw_75206119'!$E$2</f>
        <v/>
      </c>
      <c r="F4" s="5">
        <f>'res_raw_75206119'!$F$2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'res_raw_75206119'!$B$3</f>
        <v/>
      </c>
      <c r="C5" s="8">
        <f>'res_raw_75206119'!$C$3</f>
        <v/>
      </c>
      <c r="D5" s="8">
        <f>'res_raw_75206119'!$D$3</f>
        <v/>
      </c>
      <c r="E5" s="8">
        <f>'res_raw_75206119'!$E$3</f>
        <v/>
      </c>
      <c r="F5" s="8">
        <f>'res_raw_75206119'!$F$3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'res_raw_75206119'!$B$4</f>
        <v/>
      </c>
      <c r="C6" s="5">
        <f>'res_raw_75206119'!$C$4</f>
        <v/>
      </c>
      <c r="D6" s="5">
        <f>'res_raw_75206119'!$D$4</f>
        <v/>
      </c>
      <c r="E6" s="5">
        <f>'res_raw_75206119'!$E$4</f>
        <v/>
      </c>
      <c r="F6" s="5">
        <f>'res_raw_75206119'!$F$4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'res_raw_75206119'!$B$5</f>
        <v/>
      </c>
      <c r="C7" s="8">
        <f>'res_raw_75206119'!$C$5</f>
        <v/>
      </c>
      <c r="D7" s="8">
        <f>'res_raw_75206119'!$D$5</f>
        <v/>
      </c>
      <c r="E7" s="8">
        <f>'res_raw_75206119'!$E$5</f>
        <v/>
      </c>
      <c r="F7" s="8">
        <f>'res_raw_75206119'!$F$5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'res_raw_75206119'!$B$6</f>
        <v/>
      </c>
      <c r="C8" s="11">
        <f>'res_raw_75206119'!$C$6</f>
        <v/>
      </c>
      <c r="D8" s="11">
        <f>'res_raw_75206119'!$D$6</f>
        <v/>
      </c>
      <c r="E8" s="11">
        <f>'res_raw_75206119'!$E$6</f>
        <v/>
      </c>
      <c r="F8" s="11">
        <f>'res_raw_75206119'!$F$6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'res_raw_75206119'!$B$7</f>
        <v/>
      </c>
      <c r="C9" s="8">
        <f>'res_raw_75206119'!$C$7</f>
        <v/>
      </c>
      <c r="D9" s="8">
        <f>'res_raw_75206119'!$D$7</f>
        <v/>
      </c>
      <c r="E9" s="8">
        <f>'res_raw_75206119'!$E$7</f>
        <v/>
      </c>
      <c r="F9" s="8">
        <f>'res_raw_75206119'!$F$7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'res_raw_75206119'!$B$9</f>
        <v/>
      </c>
      <c r="C11" s="8">
        <f>'res_raw_75206119'!$C$9</f>
        <v/>
      </c>
      <c r="D11" s="8">
        <f>'res_raw_75206119'!$D$9</f>
        <v/>
      </c>
      <c r="E11" s="8">
        <f>'res_raw_75206119'!$E$9</f>
        <v/>
      </c>
      <c r="F11" s="8">
        <f>'res_raw_75206119'!$F$9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'res_raw_75206119'!$B$10</f>
        <v/>
      </c>
      <c r="C12" s="5">
        <f>'res_raw_75206119'!$C$10</f>
        <v/>
      </c>
      <c r="D12" s="5">
        <f>'res_raw_75206119'!$D$10</f>
        <v/>
      </c>
      <c r="E12" s="5">
        <f>'res_raw_75206119'!$E$10</f>
        <v/>
      </c>
      <c r="F12" s="5">
        <f>'res_raw_75206119'!$F$10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'res_raw_75206119'!$B$11</f>
        <v/>
      </c>
      <c r="C13" s="11">
        <f>'res_raw_75206119'!$C$11</f>
        <v/>
      </c>
      <c r="D13" s="11">
        <f>'res_raw_75206119'!$D$11</f>
        <v/>
      </c>
      <c r="E13" s="11">
        <f>'res_raw_75206119'!$E$11</f>
        <v/>
      </c>
      <c r="F13" s="11">
        <f>'res_raw_75206119'!$F$11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'res_raw_75206119'!$B$12</f>
        <v/>
      </c>
      <c r="C14" s="5">
        <f>'res_raw_75206119'!$C$12</f>
        <v/>
      </c>
      <c r="D14" s="5">
        <f>'res_raw_75206119'!$D$12</f>
        <v/>
      </c>
      <c r="E14" s="5">
        <f>'res_raw_75206119'!$E$12</f>
        <v/>
      </c>
      <c r="F14" s="5">
        <f>'res_raw_75206119'!$F$12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'res_raw_75206119'!$B$13</f>
        <v/>
      </c>
      <c r="C15" s="8">
        <f>'res_raw_75206119'!$C$13</f>
        <v/>
      </c>
      <c r="D15" s="8">
        <f>'res_raw_75206119'!$D$13</f>
        <v/>
      </c>
      <c r="E15" s="8">
        <f>'res_raw_75206119'!$E$13</f>
        <v/>
      </c>
      <c r="F15" s="8">
        <f>'res_raw_75206119'!$F$13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'res_raw_75206119'!$B$14</f>
        <v/>
      </c>
      <c r="C16" s="5">
        <f>'res_raw_75206119'!$C$14</f>
        <v/>
      </c>
      <c r="D16" s="5">
        <f>'res_raw_75206119'!$D$14</f>
        <v/>
      </c>
      <c r="E16" s="5">
        <f>'res_raw_75206119'!$E$14</f>
        <v/>
      </c>
      <c r="F16" s="5">
        <f>'res_raw_75206119'!$F$14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'res_raw_75206119'!$B$15</f>
        <v/>
      </c>
      <c r="C17" s="11">
        <f>'res_raw_75206119'!$C$15</f>
        <v/>
      </c>
      <c r="D17" s="11">
        <f>'res_raw_75206119'!$D$15</f>
        <v/>
      </c>
      <c r="E17" s="11">
        <f>'res_raw_75206119'!$E$15</f>
        <v/>
      </c>
      <c r="F17" s="11">
        <f>'res_raw_75206119'!$F$15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'res_raw_75206119'!$B$16</f>
        <v/>
      </c>
      <c r="C18" s="11">
        <f>'res_raw_75206119'!$C$16</f>
        <v/>
      </c>
      <c r="D18" s="11">
        <f>'res_raw_75206119'!$D$16</f>
        <v/>
      </c>
      <c r="E18" s="11">
        <f>'res_raw_75206119'!$E$16</f>
        <v/>
      </c>
      <c r="F18" s="11">
        <f>'res_raw_75206119'!$F$16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'res_raw_75206119'!$B$17</f>
        <v/>
      </c>
      <c r="C19" s="8">
        <f>'res_raw_75206119'!$C$17</f>
        <v/>
      </c>
      <c r="D19" s="8">
        <f>'res_raw_75206119'!$D$17</f>
        <v/>
      </c>
      <c r="E19" s="8">
        <f>'res_raw_75206119'!$E$17</f>
        <v/>
      </c>
      <c r="F19" s="8">
        <f>'res_raw_75206119'!$F$17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'res_raw_75206119'!$B$18</f>
        <v/>
      </c>
      <c r="C20" s="11">
        <f>'res_raw_75206119'!$C$18</f>
        <v/>
      </c>
      <c r="D20" s="11">
        <f>'res_raw_75206119'!$D$18</f>
        <v/>
      </c>
      <c r="E20" s="11">
        <f>'res_raw_75206119'!$E$18</f>
        <v/>
      </c>
      <c r="F20" s="11">
        <f>'res_raw_75206119'!$F$18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'balance_raw_75206119'!$B$2</f>
        <v/>
      </c>
      <c r="C23" s="8">
        <f>'balance_raw_75206119'!$C$2</f>
        <v/>
      </c>
      <c r="D23" s="8">
        <f>'balance_raw_75206119'!$D$2</f>
        <v/>
      </c>
      <c r="E23" s="8">
        <f>'balance_raw_75206119'!$E$2</f>
        <v/>
      </c>
      <c r="F23" s="8">
        <f>'balance_raw_75206119'!$F$2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'balance_raw_75206119'!$B$3</f>
        <v/>
      </c>
      <c r="C24" s="5">
        <f>'balance_raw_75206119'!$C$3</f>
        <v/>
      </c>
      <c r="D24" s="5">
        <f>'balance_raw_75206119'!$D$3</f>
        <v/>
      </c>
      <c r="E24" s="5">
        <f>'balance_raw_75206119'!$E$3</f>
        <v/>
      </c>
      <c r="F24" s="5">
        <f>'balance_raw_75206119'!$F$3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'balance_raw_75206119'!$B$4</f>
        <v/>
      </c>
      <c r="C25" s="8">
        <f>'balance_raw_75206119'!$C$4</f>
        <v/>
      </c>
      <c r="D25" s="8">
        <f>'balance_raw_75206119'!$D$4</f>
        <v/>
      </c>
      <c r="E25" s="8">
        <f>'balance_raw_75206119'!$E$4</f>
        <v/>
      </c>
      <c r="F25" s="8">
        <f>'balance_raw_75206119'!$F$4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'balance_raw_75206119'!$B$5</f>
        <v/>
      </c>
      <c r="C26" s="11">
        <f>'balance_raw_75206119'!$C$5</f>
        <v/>
      </c>
      <c r="D26" s="11">
        <f>'balance_raw_75206119'!$D$5</f>
        <v/>
      </c>
      <c r="E26" s="11">
        <f>'balance_raw_75206119'!$E$5</f>
        <v/>
      </c>
      <c r="F26" s="11">
        <f>'balance_raw_75206119'!$F$5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'balance_raw_75206119'!$B$6</f>
        <v/>
      </c>
      <c r="C27" s="8">
        <f>'balance_raw_75206119'!$C$6</f>
        <v/>
      </c>
      <c r="D27" s="8">
        <f>'balance_raw_75206119'!$D$6</f>
        <v/>
      </c>
      <c r="E27" s="8">
        <f>'balance_raw_75206119'!$E$6</f>
        <v/>
      </c>
      <c r="F27" s="8">
        <f>'balance_raw_75206119'!$F$6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'balance_raw_75206119'!$B$7</f>
        <v/>
      </c>
      <c r="C28" s="5">
        <f>'balance_raw_75206119'!$C$7</f>
        <v/>
      </c>
      <c r="D28" s="5">
        <f>'balance_raw_75206119'!$D$7</f>
        <v/>
      </c>
      <c r="E28" s="5">
        <f>'balance_raw_75206119'!$E$7</f>
        <v/>
      </c>
      <c r="F28" s="5">
        <f>'balance_raw_75206119'!$F$7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'balance_raw_75206119'!$B$8</f>
        <v/>
      </c>
      <c r="C29" s="8">
        <f>'balance_raw_75206119'!$C$8</f>
        <v/>
      </c>
      <c r="D29" s="8">
        <f>'balance_raw_75206119'!$D$8</f>
        <v/>
      </c>
      <c r="E29" s="8">
        <f>'balance_raw_75206119'!$E$8</f>
        <v/>
      </c>
      <c r="F29" s="8">
        <f>'balance_raw_75206119'!$F$8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'balance_raw_75206119'!$B$9</f>
        <v/>
      </c>
      <c r="C30" s="5">
        <f>'balance_raw_75206119'!$C$9</f>
        <v/>
      </c>
      <c r="D30" s="5">
        <f>'balance_raw_75206119'!$D$9</f>
        <v/>
      </c>
      <c r="E30" s="5">
        <f>'balance_raw_75206119'!$E$9</f>
        <v/>
      </c>
      <c r="F30" s="5">
        <f>'balance_raw_75206119'!$F$9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'balance_raw_75206119'!$B$10</f>
        <v/>
      </c>
      <c r="C31" s="8">
        <f>'balance_raw_75206119'!$C$10</f>
        <v/>
      </c>
      <c r="D31" s="8">
        <f>'balance_raw_75206119'!$D$10</f>
        <v/>
      </c>
      <c r="E31" s="8">
        <f>'balance_raw_75206119'!$E$10</f>
        <v/>
      </c>
      <c r="F31" s="8">
        <f>'balance_raw_75206119'!$F$10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'balance_raw_75206119'!$B$11</f>
        <v/>
      </c>
      <c r="C32" s="11">
        <f>'balance_raw_75206119'!$C$11</f>
        <v/>
      </c>
      <c r="D32" s="11">
        <f>'balance_raw_75206119'!$D$11</f>
        <v/>
      </c>
      <c r="E32" s="11">
        <f>'balance_raw_75206119'!$E$11</f>
        <v/>
      </c>
      <c r="F32" s="11">
        <f>'balance_raw_75206119'!$F$11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'balance_raw_75206119'!$B$12</f>
        <v/>
      </c>
      <c r="C33" s="8">
        <f>'balance_raw_75206119'!$C$12</f>
        <v/>
      </c>
      <c r="D33" s="8">
        <f>'balance_raw_75206119'!$D$12</f>
        <v/>
      </c>
      <c r="E33" s="8">
        <f>'balance_raw_75206119'!$E$12</f>
        <v/>
      </c>
      <c r="F33" s="8">
        <f>'balance_raw_75206119'!$F$12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'balance_raw_75206119'!$B$13</f>
        <v/>
      </c>
      <c r="C34" s="5">
        <f>'balance_raw_75206119'!$C$13</f>
        <v/>
      </c>
      <c r="D34" s="5">
        <f>'balance_raw_75206119'!$D$13</f>
        <v/>
      </c>
      <c r="E34" s="5">
        <f>'balance_raw_75206119'!$E$13</f>
        <v/>
      </c>
      <c r="F34" s="5">
        <f>'balance_raw_75206119'!$F$13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'balance_raw_75206119'!$B$14</f>
        <v/>
      </c>
      <c r="C35" s="11">
        <f>'balance_raw_75206119'!$C$14</f>
        <v/>
      </c>
      <c r="D35" s="11">
        <f>'balance_raw_75206119'!$D$14</f>
        <v/>
      </c>
      <c r="E35" s="11">
        <f>'balance_raw_75206119'!$E$14</f>
        <v/>
      </c>
      <c r="F35" s="11">
        <f>'balance_raw_75206119'!$F$14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'balance_raw_75206119'!$B$15</f>
        <v/>
      </c>
      <c r="C36" s="11">
        <f>'balance_raw_75206119'!$C$15</f>
        <v/>
      </c>
      <c r="D36" s="11">
        <f>'balance_raw_75206119'!$D$15</f>
        <v/>
      </c>
      <c r="E36" s="11">
        <f>'balance_raw_75206119'!$E$15</f>
        <v/>
      </c>
      <c r="F36" s="11">
        <f>'balance_raw_75206119'!$F$15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'balance_raw_75206119'!$B$16</f>
        <v/>
      </c>
      <c r="C37" s="8">
        <f>'balance_raw_75206119'!$C$16</f>
        <v/>
      </c>
      <c r="D37" s="8">
        <f>'balance_raw_75206119'!$D$16</f>
        <v/>
      </c>
      <c r="E37" s="8">
        <f>'balance_raw_75206119'!$E$16</f>
        <v/>
      </c>
      <c r="F37" s="8">
        <f>'balance_raw_75206119'!$F$16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'balance_raw_75206119'!$B$17</f>
        <v/>
      </c>
      <c r="C38" s="5">
        <f>'balance_raw_75206119'!$C$17</f>
        <v/>
      </c>
      <c r="D38" s="5">
        <f>'balance_raw_75206119'!$D$17</f>
        <v/>
      </c>
      <c r="E38" s="5">
        <f>'balance_raw_75206119'!$E$17</f>
        <v/>
      </c>
      <c r="F38" s="5">
        <f>'balance_raw_75206119'!$F$17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'balance_raw_75206119'!$B$18</f>
        <v/>
      </c>
      <c r="C39" s="8">
        <f>'balance_raw_75206119'!$C$18</f>
        <v/>
      </c>
      <c r="D39" s="8">
        <f>'balance_raw_75206119'!$D$18</f>
        <v/>
      </c>
      <c r="E39" s="8">
        <f>'balance_raw_75206119'!$E$18</f>
        <v/>
      </c>
      <c r="F39" s="8">
        <f>'balance_raw_75206119'!$F$18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'balance_raw_75206119'!$B$19</f>
        <v/>
      </c>
      <c r="C40" s="11">
        <f>'balance_raw_75206119'!$C$19</f>
        <v/>
      </c>
      <c r="D40" s="11">
        <f>'balance_raw_75206119'!$D$19</f>
        <v/>
      </c>
      <c r="E40" s="11">
        <f>'balance_raw_75206119'!$E$19</f>
        <v/>
      </c>
      <c r="F40" s="11">
        <f>'balance_raw_75206119'!$F$19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'balance_raw_75206119'!$B$20</f>
        <v/>
      </c>
      <c r="C41" s="8">
        <f>'balance_raw_75206119'!$C$20</f>
        <v/>
      </c>
      <c r="D41" s="8">
        <f>'balance_raw_75206119'!$D$20</f>
        <v/>
      </c>
      <c r="E41" s="8">
        <f>'balance_raw_75206119'!$E$20</f>
        <v/>
      </c>
      <c r="F41" s="8">
        <f>'balance_raw_75206119'!$F$20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'balance_raw_75206119'!$B$21</f>
        <v/>
      </c>
      <c r="C42" s="5">
        <f>'balance_raw_75206119'!$C$21</f>
        <v/>
      </c>
      <c r="D42" s="5">
        <f>'balance_raw_75206119'!$D$21</f>
        <v/>
      </c>
      <c r="E42" s="5">
        <f>'balance_raw_75206119'!$E$21</f>
        <v/>
      </c>
      <c r="F42" s="5">
        <f>'balance_raw_75206119'!$F$21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'balance_raw_75206119'!$B$22</f>
        <v/>
      </c>
      <c r="C43" s="8">
        <f>'balance_raw_75206119'!$C$22</f>
        <v/>
      </c>
      <c r="D43" s="8">
        <f>'balance_raw_75206119'!$D$22</f>
        <v/>
      </c>
      <c r="E43" s="8">
        <f>'balance_raw_75206119'!$E$22</f>
        <v/>
      </c>
      <c r="F43" s="8">
        <f>'balance_raw_75206119'!$F$22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'balance_raw_75206119'!$B$23</f>
        <v/>
      </c>
      <c r="C44" s="5">
        <f>'balance_raw_75206119'!$C$23</f>
        <v/>
      </c>
      <c r="D44" s="5">
        <f>'balance_raw_75206119'!$D$23</f>
        <v/>
      </c>
      <c r="E44" s="5">
        <f>'balance_raw_75206119'!$E$23</f>
        <v/>
      </c>
      <c r="F44" s="5">
        <f>'balance_raw_75206119'!$F$23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'balance_raw_75206119'!$B$24</f>
        <v/>
      </c>
      <c r="C45" s="8">
        <f>'balance_raw_75206119'!$C$24</f>
        <v/>
      </c>
      <c r="D45" s="8">
        <f>'balance_raw_75206119'!$D$24</f>
        <v/>
      </c>
      <c r="E45" s="8">
        <f>'balance_raw_75206119'!$E$24</f>
        <v/>
      </c>
      <c r="F45" s="8">
        <f>'balance_raw_75206119'!$F$24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'balance_raw_75206119'!$B$25</f>
        <v/>
      </c>
      <c r="C46" s="5">
        <f>'balance_raw_75206119'!$C$25</f>
        <v/>
      </c>
      <c r="D46" s="5">
        <f>'balance_raw_75206119'!$D$25</f>
        <v/>
      </c>
      <c r="E46" s="5">
        <f>'balance_raw_75206119'!$E$25</f>
        <v/>
      </c>
      <c r="F46" s="5">
        <f>'balance_raw_75206119'!$F$25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'balance_raw_75206119'!$B$26</f>
        <v/>
      </c>
      <c r="C47" s="8">
        <f>'balance_raw_75206119'!$C$26</f>
        <v/>
      </c>
      <c r="D47" s="8">
        <f>'balance_raw_75206119'!$D$26</f>
        <v/>
      </c>
      <c r="E47" s="8">
        <f>'balance_raw_75206119'!$E$26</f>
        <v/>
      </c>
      <c r="F47" s="8">
        <f>'balance_raw_75206119'!$F$26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'balance_raw_75206119'!$B$27</f>
        <v/>
      </c>
      <c r="C48" s="11">
        <f>'balance_raw_75206119'!$C$27</f>
        <v/>
      </c>
      <c r="D48" s="11">
        <f>'balance_raw_75206119'!$D$27</f>
        <v/>
      </c>
      <c r="E48" s="11">
        <f>'balance_raw_75206119'!$E$27</f>
        <v/>
      </c>
      <c r="F48" s="11">
        <f>'balance_raw_75206119'!$F$27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'balance_raw_75206119'!$B$28</f>
        <v/>
      </c>
      <c r="C49" s="8">
        <f>'balance_raw_75206119'!$C$28</f>
        <v/>
      </c>
      <c r="D49" s="8">
        <f>'balance_raw_75206119'!$D$28</f>
        <v/>
      </c>
      <c r="E49" s="8">
        <f>'balance_raw_75206119'!$E$28</f>
        <v/>
      </c>
      <c r="F49" s="8">
        <f>'balance_raw_75206119'!$F$28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'balance_raw_75206119'!$B$29</f>
        <v/>
      </c>
      <c r="C50" s="5">
        <f>'balance_raw_75206119'!$C$29</f>
        <v/>
      </c>
      <c r="D50" s="5">
        <f>'balance_raw_75206119'!$D$29</f>
        <v/>
      </c>
      <c r="E50" s="5">
        <f>'balance_raw_75206119'!$E$29</f>
        <v/>
      </c>
      <c r="F50" s="5">
        <f>'balance_raw_75206119'!$F$29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'balance_raw_75206119'!$B$30</f>
        <v/>
      </c>
      <c r="C51" s="11">
        <f>'balance_raw_75206119'!$C$30</f>
        <v/>
      </c>
      <c r="D51" s="11">
        <f>'balance_raw_75206119'!$D$30</f>
        <v/>
      </c>
      <c r="E51" s="11">
        <f>'balance_raw_75206119'!$E$30</f>
        <v/>
      </c>
      <c r="F51" s="11">
        <f>'balance_raw_75206119'!$F$30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'balance_raw_75206119'!$B$31</f>
        <v/>
      </c>
      <c r="C52" s="11">
        <f>'balance_raw_75206119'!$C$31</f>
        <v/>
      </c>
      <c r="D52" s="11">
        <f>'balance_raw_75206119'!$D$31</f>
        <v/>
      </c>
      <c r="E52" s="11">
        <f>'balance_raw_75206119'!$E$31</f>
        <v/>
      </c>
      <c r="F52" s="11">
        <f>'balance_raw_75206119'!$F$31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'balance_raw_75206119'!$B$32</f>
        <v/>
      </c>
      <c r="C55" s="8">
        <f>'balance_raw_75206119'!$C$32</f>
        <v/>
      </c>
      <c r="D55" s="8">
        <f>'balance_raw_75206119'!$D$32</f>
        <v/>
      </c>
      <c r="E55" s="8">
        <f>'balance_raw_75206119'!$E$32</f>
        <v/>
      </c>
      <c r="F55" s="8">
        <f>'balance_raw_75206119'!$F$32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'balance_raw_75206119'!$B$33</f>
        <v/>
      </c>
      <c r="C56" s="5">
        <f>'balance_raw_75206119'!$C$33</f>
        <v/>
      </c>
      <c r="D56" s="5">
        <f>'balance_raw_75206119'!$D$33</f>
        <v/>
      </c>
      <c r="E56" s="5">
        <f>'balance_raw_75206119'!$E$33</f>
        <v/>
      </c>
      <c r="F56" s="5">
        <f>'balance_raw_75206119'!$F$33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'balance_raw_75206119'!$B$34</f>
        <v/>
      </c>
      <c r="C57" s="8">
        <f>'balance_raw_75206119'!$C$34</f>
        <v/>
      </c>
      <c r="D57" s="8">
        <f>'balance_raw_75206119'!$D$34</f>
        <v/>
      </c>
      <c r="E57" s="8">
        <f>'balance_raw_75206119'!$E$34</f>
        <v/>
      </c>
      <c r="F57" s="8">
        <f>'balance_raw_75206119'!$F$34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'balance_raw_75206119'!$B$35</f>
        <v/>
      </c>
      <c r="C58" s="5">
        <f>'balance_raw_75206119'!$C$35</f>
        <v/>
      </c>
      <c r="D58" s="5">
        <f>'balance_raw_75206119'!$D$35</f>
        <v/>
      </c>
      <c r="E58" s="5">
        <f>'balance_raw_75206119'!$E$35</f>
        <v/>
      </c>
      <c r="F58" s="5">
        <f>'balance_raw_75206119'!$F$35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'balance_raw_75206119'!$B$36</f>
        <v/>
      </c>
      <c r="C59" s="8">
        <f>'balance_raw_75206119'!$C$36</f>
        <v/>
      </c>
      <c r="D59" s="8">
        <f>'balance_raw_75206119'!$D$36</f>
        <v/>
      </c>
      <c r="E59" s="8">
        <f>'balance_raw_75206119'!$E$36</f>
        <v/>
      </c>
      <c r="F59" s="8">
        <f>'balance_raw_75206119'!$F$36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'balance_raw_75206119'!$B$37</f>
        <v/>
      </c>
      <c r="C60" s="5">
        <f>'balance_raw_75206119'!$C$37</f>
        <v/>
      </c>
      <c r="D60" s="5">
        <f>'balance_raw_75206119'!$D$37</f>
        <v/>
      </c>
      <c r="E60" s="5">
        <f>'balance_raw_75206119'!$E$37</f>
        <v/>
      </c>
      <c r="F60" s="5">
        <f>'balance_raw_75206119'!$F$37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'balance_raw_75206119'!$B$38</f>
        <v/>
      </c>
      <c r="C61" s="11">
        <f>'balance_raw_75206119'!$C$38</f>
        <v/>
      </c>
      <c r="D61" s="11">
        <f>'balance_raw_75206119'!$D$38</f>
        <v/>
      </c>
      <c r="E61" s="11">
        <f>'balance_raw_75206119'!$E$38</f>
        <v/>
      </c>
      <c r="F61" s="11">
        <f>'balance_raw_75206119'!$F$38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'balance_raw_75206119'!$B$39</f>
        <v/>
      </c>
      <c r="C62" s="5">
        <f>'balance_raw_75206119'!$C$39</f>
        <v/>
      </c>
      <c r="D62" s="5">
        <f>'balance_raw_75206119'!$D$39</f>
        <v/>
      </c>
      <c r="E62" s="5">
        <f>'balance_raw_75206119'!$E$39</f>
        <v/>
      </c>
      <c r="F62" s="5">
        <f>'balance_raw_75206119'!$F$39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'balance_raw_75206119'!$B$40</f>
        <v/>
      </c>
      <c r="C63" s="11">
        <f>'balance_raw_75206119'!$C$40</f>
        <v/>
      </c>
      <c r="D63" s="11">
        <f>'balance_raw_75206119'!$D$40</f>
        <v/>
      </c>
      <c r="E63" s="11">
        <f>'balance_raw_75206119'!$E$40</f>
        <v/>
      </c>
      <c r="F63" s="11">
        <f>'balance_raw_75206119'!$F$40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'balance_raw_75206119'!$B$41</f>
        <v/>
      </c>
      <c r="C64" s="5">
        <f>'balance_raw_75206119'!$C$41</f>
        <v/>
      </c>
      <c r="D64" s="5">
        <f>'balance_raw_75206119'!$D$41</f>
        <v/>
      </c>
      <c r="E64" s="5">
        <f>'balance_raw_75206119'!$E$41</f>
        <v/>
      </c>
      <c r="F64" s="5">
        <f>'balance_raw_75206119'!$F$41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'balance_raw_75206119'!$B$42</f>
        <v/>
      </c>
      <c r="C65" s="8">
        <f>'balance_raw_75206119'!$C$42</f>
        <v/>
      </c>
      <c r="D65" s="8">
        <f>'balance_raw_75206119'!$D$42</f>
        <v/>
      </c>
      <c r="E65" s="8">
        <f>'balance_raw_75206119'!$E$42</f>
        <v/>
      </c>
      <c r="F65" s="8">
        <f>'balance_raw_75206119'!$F$42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'balance_raw_75206119'!$B$43</f>
        <v/>
      </c>
      <c r="C66" s="5">
        <f>'balance_raw_75206119'!$C$43</f>
        <v/>
      </c>
      <c r="D66" s="5">
        <f>'balance_raw_75206119'!$D$43</f>
        <v/>
      </c>
      <c r="E66" s="5">
        <f>'balance_raw_75206119'!$E$43</f>
        <v/>
      </c>
      <c r="F66" s="5">
        <f>'balance_raw_75206119'!$F$43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'balance_raw_75206119'!$B$44</f>
        <v/>
      </c>
      <c r="C67" s="8">
        <f>'balance_raw_75206119'!$C$44</f>
        <v/>
      </c>
      <c r="D67" s="8">
        <f>'balance_raw_75206119'!$D$44</f>
        <v/>
      </c>
      <c r="E67" s="8">
        <f>'balance_raw_75206119'!$E$44</f>
        <v/>
      </c>
      <c r="F67" s="8">
        <f>'balance_raw_75206119'!$F$44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'balance_raw_75206119'!$B$45</f>
        <v/>
      </c>
      <c r="C68" s="11">
        <f>'balance_raw_75206119'!$C$45</f>
        <v/>
      </c>
      <c r="D68" s="11">
        <f>'balance_raw_75206119'!$D$45</f>
        <v/>
      </c>
      <c r="E68" s="11">
        <f>'balance_raw_75206119'!$E$45</f>
        <v/>
      </c>
      <c r="F68" s="11">
        <f>'balance_raw_75206119'!$F$45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'balance_raw_75206119'!$B$46</f>
        <v/>
      </c>
      <c r="C69" s="8">
        <f>'balance_raw_75206119'!$C$46</f>
        <v/>
      </c>
      <c r="D69" s="8">
        <f>'balance_raw_75206119'!$D$46</f>
        <v/>
      </c>
      <c r="E69" s="8">
        <f>'balance_raw_75206119'!$E$46</f>
        <v/>
      </c>
      <c r="F69" s="8">
        <f>'balance_raw_75206119'!$F$46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'balance_raw_75206119'!$B$47</f>
        <v/>
      </c>
      <c r="C70" s="5">
        <f>'balance_raw_75206119'!$C$47</f>
        <v/>
      </c>
      <c r="D70" s="5">
        <f>'balance_raw_75206119'!$D$47</f>
        <v/>
      </c>
      <c r="E70" s="5">
        <f>'balance_raw_75206119'!$E$47</f>
        <v/>
      </c>
      <c r="F70" s="5">
        <f>'balance_raw_75206119'!$F$47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'balance_raw_75206119'!$B$48</f>
        <v/>
      </c>
      <c r="C71" s="8">
        <f>'balance_raw_75206119'!$C$48</f>
        <v/>
      </c>
      <c r="D71" s="8">
        <f>'balance_raw_75206119'!$D$48</f>
        <v/>
      </c>
      <c r="E71" s="8">
        <f>'balance_raw_75206119'!$E$48</f>
        <v/>
      </c>
      <c r="F71" s="8">
        <f>'balance_raw_75206119'!$F$48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'balance_raw_75206119'!$B$49</f>
        <v/>
      </c>
      <c r="C72" s="5">
        <f>'balance_raw_75206119'!$C$49</f>
        <v/>
      </c>
      <c r="D72" s="5">
        <f>'balance_raw_75206119'!$D$49</f>
        <v/>
      </c>
      <c r="E72" s="5">
        <f>'balance_raw_75206119'!$E$49</f>
        <v/>
      </c>
      <c r="F72" s="5">
        <f>'balance_raw_75206119'!$F$49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'balance_raw_75206119'!$B$50</f>
        <v/>
      </c>
      <c r="C73" s="8">
        <f>'balance_raw_75206119'!$C$50</f>
        <v/>
      </c>
      <c r="D73" s="8">
        <f>'balance_raw_75206119'!$D$50</f>
        <v/>
      </c>
      <c r="E73" s="8">
        <f>'balance_raw_75206119'!$E$50</f>
        <v/>
      </c>
      <c r="F73" s="8">
        <f>'balance_raw_75206119'!$F$50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'balance_raw_75206119'!$B$51</f>
        <v/>
      </c>
      <c r="C74" s="5">
        <f>'balance_raw_75206119'!$C$51</f>
        <v/>
      </c>
      <c r="D74" s="5">
        <f>'balance_raw_75206119'!$D$51</f>
        <v/>
      </c>
      <c r="E74" s="5">
        <f>'balance_raw_75206119'!$E$51</f>
        <v/>
      </c>
      <c r="F74" s="5">
        <f>'balance_raw_75206119'!$F$51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'balance_raw_75206119'!$B$52</f>
        <v/>
      </c>
      <c r="C75" s="8">
        <f>'balance_raw_75206119'!$C$52</f>
        <v/>
      </c>
      <c r="D75" s="8">
        <f>'balance_raw_75206119'!$D$52</f>
        <v/>
      </c>
      <c r="E75" s="8">
        <f>'balance_raw_75206119'!$E$52</f>
        <v/>
      </c>
      <c r="F75" s="8">
        <f>'balance_raw_75206119'!$F$52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'balance_raw_75206119'!$B$53</f>
        <v/>
      </c>
      <c r="C76" s="5">
        <f>'balance_raw_75206119'!$C$53</f>
        <v/>
      </c>
      <c r="D76" s="5">
        <f>'balance_raw_75206119'!$D$53</f>
        <v/>
      </c>
      <c r="E76" s="5">
        <f>'balance_raw_75206119'!$E$53</f>
        <v/>
      </c>
      <c r="F76" s="5">
        <f>'balance_raw_75206119'!$F$53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'balance_raw_75206119'!$B$54</f>
        <v/>
      </c>
      <c r="C77" s="8">
        <f>'balance_raw_75206119'!$C$54</f>
        <v/>
      </c>
      <c r="D77" s="8">
        <f>'balance_raw_75206119'!$D$54</f>
        <v/>
      </c>
      <c r="E77" s="8">
        <f>'balance_raw_75206119'!$E$54</f>
        <v/>
      </c>
      <c r="F77" s="8">
        <f>'balance_raw_75206119'!$F$54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'balance_raw_75206119'!$B$55</f>
        <v/>
      </c>
      <c r="C78" s="5">
        <f>'balance_raw_75206119'!$C$55</f>
        <v/>
      </c>
      <c r="D78" s="5">
        <f>'balance_raw_75206119'!$D$55</f>
        <v/>
      </c>
      <c r="E78" s="5">
        <f>'balance_raw_75206119'!$E$55</f>
        <v/>
      </c>
      <c r="F78" s="5">
        <f>'balance_raw_75206119'!$F$55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'balance_raw_75206119'!$B$56</f>
        <v/>
      </c>
      <c r="C79" s="8">
        <f>'balance_raw_75206119'!$C$56</f>
        <v/>
      </c>
      <c r="D79" s="8">
        <f>'balance_raw_75206119'!$D$56</f>
        <v/>
      </c>
      <c r="E79" s="8">
        <f>'balance_raw_75206119'!$E$56</f>
        <v/>
      </c>
      <c r="F79" s="8">
        <f>'balance_raw_75206119'!$F$56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'balance_raw_75206119'!$B$57</f>
        <v/>
      </c>
      <c r="C80" s="11">
        <f>'balance_raw_75206119'!$C$57</f>
        <v/>
      </c>
      <c r="D80" s="11">
        <f>'balance_raw_75206119'!$D$57</f>
        <v/>
      </c>
      <c r="E80" s="11">
        <f>'balance_raw_75206119'!$E$57</f>
        <v/>
      </c>
      <c r="F80" s="11">
        <f>'balance_raw_75206119'!$F$57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'balance_raw_75206119'!$B$58</f>
        <v/>
      </c>
      <c r="C81" s="11">
        <f>'balance_raw_75206119'!$C$58</f>
        <v/>
      </c>
      <c r="D81" s="11">
        <f>'balance_raw_75206119'!$D$58</f>
        <v/>
      </c>
      <c r="E81" s="11">
        <f>'balance_raw_75206119'!$E$58</f>
        <v/>
      </c>
      <c r="F81" s="11">
        <f>'balance_raw_75206119'!$F$58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'balance_raw_75206119'!$B$59</f>
        <v/>
      </c>
      <c r="C82" s="11">
        <f>'balance_raw_75206119'!$C$59</f>
        <v/>
      </c>
      <c r="D82" s="11">
        <f>'balance_raw_75206119'!$D$59</f>
        <v/>
      </c>
      <c r="E82" s="11">
        <f>'balance_raw_75206119'!$E$59</f>
        <v/>
      </c>
      <c r="F82" s="11">
        <f>'balance_raw_75206119'!$F$59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'res_raw_75206119'!$B$19</f>
        <v/>
      </c>
      <c r="C85" s="8">
        <f>'res_raw_75206119'!$C$19</f>
        <v/>
      </c>
      <c r="D85" s="8">
        <f>'res_raw_75206119'!$D$19</f>
        <v/>
      </c>
      <c r="E85" s="8">
        <f>'res_raw_75206119'!$E$19</f>
        <v/>
      </c>
      <c r="F85" s="8">
        <f>'res_raw_75206119'!$F$19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'res_raw_75206119'!$B$20</f>
        <v/>
      </c>
      <c r="C86" s="5">
        <f>'res_raw_75206119'!$C$20</f>
        <v/>
      </c>
      <c r="D86" s="5">
        <f>'res_raw_75206119'!$D$20</f>
        <v/>
      </c>
      <c r="E86" s="5">
        <f>'res_raw_75206119'!$E$20</f>
        <v/>
      </c>
      <c r="F86" s="5">
        <f>'res_raw_75206119'!$F$20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'pengestrom_raw_75206119'!$B$2</f>
        <v/>
      </c>
      <c r="C102" s="17">
        <f>'pengestrom_raw_75206119'!$C$2</f>
        <v/>
      </c>
      <c r="D102" s="17">
        <f>'pengestrom_raw_75206119'!$D$2</f>
        <v/>
      </c>
      <c r="E102" s="17">
        <f>'pengestrom_raw_75206119'!$E$2</f>
        <v/>
      </c>
      <c r="F102" s="17">
        <f>'pengestrom_raw_75206119'!$F$2</f>
        <v/>
      </c>
    </row>
    <row r="103">
      <c r="A103" s="16" t="inlineStr">
        <is>
          <t>Pengestrømme fra investeringsaktivitet</t>
        </is>
      </c>
      <c r="B103" s="17">
        <f>'pengestrom_raw_75206119'!$B$3</f>
        <v/>
      </c>
      <c r="C103" s="17">
        <f>'pengestrom_raw_75206119'!$C$3</f>
        <v/>
      </c>
      <c r="D103" s="17">
        <f>'pengestrom_raw_75206119'!$D$3</f>
        <v/>
      </c>
      <c r="E103" s="17">
        <f>'pengestrom_raw_75206119'!$E$3</f>
        <v/>
      </c>
      <c r="F103" s="17">
        <f>'pengestrom_raw_75206119'!$F$3</f>
        <v/>
      </c>
    </row>
    <row r="104">
      <c r="A104" s="16" t="inlineStr">
        <is>
          <t>Pengestrømme fra finansieringsaktivitet</t>
        </is>
      </c>
      <c r="B104" s="17">
        <f>'pengestrom_raw_75206119'!$B$4</f>
        <v/>
      </c>
      <c r="C104" s="17">
        <f>'pengestrom_raw_75206119'!$C$4</f>
        <v/>
      </c>
      <c r="D104" s="17">
        <f>'pengestrom_raw_75206119'!$D$4</f>
        <v/>
      </c>
      <c r="E104" s="17">
        <f>'pengestrom_raw_75206119'!$E$4</f>
        <v/>
      </c>
      <c r="F104" s="17">
        <f>'pengestrom_raw_75206119'!$F$4</f>
        <v/>
      </c>
    </row>
    <row r="105">
      <c r="A105" s="16" t="inlineStr">
        <is>
          <t>Årets pengestrøm (rapporteret)</t>
        </is>
      </c>
      <c r="B105" s="17">
        <f>'pengestrom_raw_75206119'!$B$5</f>
        <v/>
      </c>
      <c r="C105" s="17">
        <f>'pengestrom_raw_75206119'!$C$5</f>
        <v/>
      </c>
      <c r="D105" s="17">
        <f>'pengestrom_raw_75206119'!$D$5</f>
        <v/>
      </c>
      <c r="E105" s="17">
        <f>'pengestrom_raw_75206119'!$E$5</f>
        <v/>
      </c>
      <c r="F105" s="17">
        <f>'pengestrom_raw_75206119'!$F$5</f>
        <v/>
      </c>
    </row>
    <row r="106">
      <c r="A106" s="16" t="inlineStr">
        <is>
          <t>Krydstjek: drift + inv. + fin. = årets pengestrøm</t>
        </is>
      </c>
      <c r="B106">
        <f>IF(ABS(('pengestrom_raw_75206119'!$B$2+'pengestrom_raw_75206119'!$B$3+'pengestrom_raw_75206119'!$B$4)-'pengestrom_raw_75206119'!$B$5)&lt;=2,"✓","⚠ "&amp;TEXT(('pengestrom_raw_75206119'!$B$2+'pengestrom_raw_75206119'!$B$3+'pengestrom_raw_75206119'!$B$4)-'pengestrom_raw_75206119'!$B$5,"+#,##0;-#,##0"))</f>
        <v/>
      </c>
      <c r="C106">
        <f>IF(ABS(('pengestrom_raw_75206119'!$C$2+'pengestrom_raw_75206119'!$C$3+'pengestrom_raw_75206119'!$C$4)-'pengestrom_raw_75206119'!$C$5)&lt;=2,"✓","⚠ "&amp;TEXT(('pengestrom_raw_75206119'!$C$2+'pengestrom_raw_75206119'!$C$3+'pengestrom_raw_75206119'!$C$4)-'pengestrom_raw_75206119'!$C$5,"+#,##0;-#,##0"))</f>
        <v/>
      </c>
      <c r="D106">
        <f>IF(ABS(('pengestrom_raw_75206119'!$D$2+'pengestrom_raw_75206119'!$D$3+'pengestrom_raw_75206119'!$D$4)-'pengestrom_raw_75206119'!$D$5)&lt;=2,"✓","⚠ "&amp;TEXT(('pengestrom_raw_75206119'!$D$2+'pengestrom_raw_75206119'!$D$3+'pengestrom_raw_75206119'!$D$4)-'pengestrom_raw_75206119'!$D$5,"+#,##0;-#,##0"))</f>
        <v/>
      </c>
      <c r="E106">
        <f>IF(ABS(('pengestrom_raw_75206119'!$E$2+'pengestrom_raw_75206119'!$E$3+'pengestrom_raw_75206119'!$E$4)-'pengestrom_raw_75206119'!$E$5)&lt;=2,"✓","⚠ "&amp;TEXT(('pengestrom_raw_75206119'!$E$2+'pengestrom_raw_75206119'!$E$3+'pengestrom_raw_75206119'!$E$4)-'pengestrom_raw_75206119'!$E$5,"+#,##0;-#,##0"))</f>
        <v/>
      </c>
      <c r="F106">
        <f>IF(ABS(('pengestrom_raw_75206119'!$F$2+'pengestrom_raw_75206119'!$F$3+'pengestrom_raw_75206119'!$F$4)-'pengestrom_raw_75206119'!$F$5)&lt;=2,"✓","⚠ "&amp;TEXT(('pengestrom_raw_75206119'!$F$2+'pengestrom_raw_75206119'!$F$3+'pengestrom_raw_75206119'!$F$4)-'pengestrom_raw_75206119'!$F$5,"+#,##0;-#,##0"))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 Cake A/S (CVR 75206119)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1241586</v>
      </c>
      <c r="C2" s="17" t="n">
        <v>1444940</v>
      </c>
      <c r="D2" s="17" t="n">
        <v>1672268</v>
      </c>
      <c r="E2" s="17" t="n">
        <v>1837193</v>
      </c>
      <c r="F2" s="17" t="n">
        <v>1931763</v>
      </c>
    </row>
    <row r="3">
      <c r="A3" s="16" t="inlineStr">
        <is>
          <t>Andre driftsindtægter</t>
        </is>
      </c>
      <c r="B3" s="17" t="n">
        <v>7353</v>
      </c>
      <c r="C3" s="17" t="n">
        <v>19201</v>
      </c>
      <c r="D3" s="17" t="n">
        <v>21806</v>
      </c>
      <c r="E3" s="17" t="n">
        <v>23598</v>
      </c>
      <c r="F3" s="17" t="n">
        <v>25525</v>
      </c>
    </row>
    <row r="4">
      <c r="A4" s="16" t="inlineStr">
        <is>
          <t>Vareforbrug</t>
        </is>
      </c>
      <c r="B4" s="17" t="n">
        <v>-4087</v>
      </c>
      <c r="C4" s="17" t="n">
        <v>644</v>
      </c>
      <c r="D4" s="17" t="n">
        <v>-6255</v>
      </c>
      <c r="E4" s="17" t="n">
        <v>10551</v>
      </c>
      <c r="F4" s="17" t="n">
        <v>-18711</v>
      </c>
    </row>
    <row r="5">
      <c r="A5" s="16" t="inlineStr">
        <is>
          <t>Andre eksterne omkostninger</t>
        </is>
      </c>
      <c r="B5" s="17" t="n">
        <v>151952</v>
      </c>
      <c r="C5" s="17" t="n">
        <v>160662</v>
      </c>
      <c r="D5" s="17" t="n">
        <v>181731</v>
      </c>
      <c r="E5" s="17" t="n">
        <v>242679</v>
      </c>
      <c r="F5" s="17" t="n">
        <v>242760</v>
      </c>
    </row>
    <row r="6">
      <c r="A6" s="15" t="inlineStr">
        <is>
          <t>Bruttoresultat</t>
        </is>
      </c>
      <c r="B6" s="17" t="n">
        <v>337008</v>
      </c>
      <c r="C6" s="17" t="n">
        <v>370012</v>
      </c>
      <c r="D6" s="17" t="n">
        <v>480473</v>
      </c>
      <c r="E6" s="17" t="n">
        <v>492968</v>
      </c>
      <c r="F6" s="17" t="n">
        <v>530665</v>
      </c>
    </row>
    <row r="7">
      <c r="A7" s="16" t="inlineStr">
        <is>
          <t>Personaleomkostninger</t>
        </is>
      </c>
      <c r="B7" s="17" t="n">
        <v>194828</v>
      </c>
      <c r="C7" s="17" t="n">
        <v>198892</v>
      </c>
      <c r="D7" s="17" t="n">
        <v>211676</v>
      </c>
      <c r="E7" s="17" t="n">
        <v>236254</v>
      </c>
      <c r="F7" s="17" t="n">
        <v>255196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61253</v>
      </c>
      <c r="C9" s="17" t="n">
        <v>69909</v>
      </c>
      <c r="D9" s="17" t="n">
        <v>71449</v>
      </c>
      <c r="E9" s="17" t="n">
        <v>72425</v>
      </c>
      <c r="F9" s="17" t="n">
        <v>73917</v>
      </c>
    </row>
    <row r="10">
      <c r="A10" s="16" t="inlineStr">
        <is>
          <t>Andre driftsomkostninger</t>
        </is>
      </c>
      <c r="B10" s="17" t="n">
        <v>2267</v>
      </c>
      <c r="C10" s="17" t="n">
        <v>1951</v>
      </c>
      <c r="D10" s="17" t="n">
        <v>4482</v>
      </c>
      <c r="E10" s="17" t="n">
        <v>3591</v>
      </c>
      <c r="F10" s="17" t="n">
        <v>4769</v>
      </c>
    </row>
    <row r="11">
      <c r="A11" s="15" t="inlineStr">
        <is>
          <t>Resultat af primær drift</t>
        </is>
      </c>
      <c r="B11" s="17" t="n">
        <v>80927</v>
      </c>
      <c r="C11" s="17" t="n">
        <v>101211</v>
      </c>
      <c r="D11" s="17" t="n">
        <v>197348</v>
      </c>
      <c r="E11" s="17" t="n">
        <v>180698</v>
      </c>
      <c r="F11" s="17" t="n">
        <v>196783</v>
      </c>
    </row>
    <row r="12">
      <c r="A12" s="16" t="inlineStr">
        <is>
          <t>Indtægter af kapitalandele, dattervirksomheder</t>
        </is>
      </c>
      <c r="B12" s="17" t="n">
        <v>19115</v>
      </c>
      <c r="C12" s="17" t="n">
        <v>61892</v>
      </c>
      <c r="D12" s="17" t="n">
        <v>108429</v>
      </c>
      <c r="E12" s="17" t="n">
        <v>98720</v>
      </c>
      <c r="F12" s="17" t="n">
        <v>114443</v>
      </c>
    </row>
    <row r="13">
      <c r="A13" s="16" t="inlineStr">
        <is>
          <t>Finansielle indtægter</t>
        </is>
      </c>
      <c r="B13" s="17" t="n">
        <v>1920</v>
      </c>
      <c r="C13" s="17" t="n">
        <v>3937</v>
      </c>
      <c r="D13" s="17" t="n">
        <v>5377</v>
      </c>
      <c r="E13" s="17" t="n">
        <v>7016</v>
      </c>
      <c r="F13" s="17" t="n">
        <v>8961</v>
      </c>
    </row>
    <row r="14">
      <c r="A14" s="16" t="inlineStr">
        <is>
          <t>Finansielle omkostninger</t>
        </is>
      </c>
      <c r="B14" s="17" t="n">
        <v>4727</v>
      </c>
      <c r="C14" s="17" t="n">
        <v>7573</v>
      </c>
      <c r="D14" s="17" t="n">
        <v>8972</v>
      </c>
      <c r="E14" s="17" t="n">
        <v>5190</v>
      </c>
      <c r="F14" s="17" t="n">
        <v>4154</v>
      </c>
    </row>
    <row r="15">
      <c r="A15" s="15" t="inlineStr">
        <is>
          <t>Finansielle poster, netto</t>
        </is>
      </c>
      <c r="B15" s="17" t="n">
        <v>16308</v>
      </c>
      <c r="C15" s="17" t="n">
        <v>14894</v>
      </c>
      <c r="D15" s="17" t="n">
        <v>8</v>
      </c>
      <c r="E15" s="17" t="n">
        <v>16</v>
      </c>
      <c r="F15" s="17" t="n">
        <v>20394</v>
      </c>
    </row>
    <row r="16">
      <c r="A16" s="15" t="inlineStr">
        <is>
          <t>Resultat før skat</t>
        </is>
      </c>
      <c r="B16" s="17" t="n">
        <v>97235</v>
      </c>
      <c r="C16" s="17" t="n">
        <v>116105</v>
      </c>
      <c r="D16" s="17" t="n">
        <v>205684</v>
      </c>
      <c r="E16" s="17" t="n">
        <v>196597</v>
      </c>
      <c r="F16" s="17" t="n">
        <v>217177</v>
      </c>
    </row>
    <row r="17">
      <c r="A17" s="16" t="inlineStr">
        <is>
          <t>Skat af årets resultat</t>
        </is>
      </c>
      <c r="B17" s="17" t="n">
        <v>14451</v>
      </c>
      <c r="C17" s="17" t="n">
        <v>20932</v>
      </c>
      <c r="D17" s="17" t="n">
        <v>39451</v>
      </c>
      <c r="E17" s="17" t="n">
        <v>35822</v>
      </c>
      <c r="F17" s="17" t="n">
        <v>42428</v>
      </c>
    </row>
    <row r="18">
      <c r="A18" s="15" t="inlineStr">
        <is>
          <t>Årets resultat</t>
        </is>
      </c>
      <c r="B18" s="17" t="n">
        <v>82784</v>
      </c>
      <c r="C18" s="17" t="n">
        <v>95173</v>
      </c>
      <c r="D18" s="17" t="n">
        <v>166233</v>
      </c>
      <c r="E18" s="17" t="n">
        <v>160775</v>
      </c>
      <c r="F18" s="17" t="n">
        <v>174749</v>
      </c>
    </row>
    <row r="19">
      <c r="A19" s="16" t="inlineStr">
        <is>
          <t>Gns. antal medarbejdere</t>
        </is>
      </c>
      <c r="B19" s="17" t="n">
        <v>731</v>
      </c>
      <c r="C19" s="17" t="n">
        <v>723</v>
      </c>
      <c r="D19" s="17" t="n">
        <v>716</v>
      </c>
      <c r="E19" s="17" t="n">
        <v>723</v>
      </c>
      <c r="F19" s="17" t="n">
        <v>732</v>
      </c>
    </row>
    <row r="20">
      <c r="A20" s="16" t="inlineStr">
        <is>
          <t>Investering i materielle anlægsaktiver</t>
        </is>
      </c>
      <c r="B20" s="17" t="n">
        <v>79112</v>
      </c>
      <c r="C20" s="17" t="n">
        <v>62</v>
      </c>
      <c r="D20" s="17" t="n">
        <v>71</v>
      </c>
      <c r="E20" s="17" t="n">
        <v>81</v>
      </c>
      <c r="F20" s="17" t="n">
        <v>130731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 Cake A/S (CVR 75206119)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1023</v>
      </c>
      <c r="C2" s="17" t="n">
        <v>744</v>
      </c>
      <c r="D2" s="17" t="n">
        <v>457</v>
      </c>
      <c r="E2" s="17" t="n">
        <v>694</v>
      </c>
      <c r="F2" s="17" t="n">
        <v>980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11882</v>
      </c>
      <c r="C4" s="17" t="n">
        <v>10484</v>
      </c>
      <c r="D4" s="17" t="n">
        <v>9109</v>
      </c>
      <c r="E4" s="17" t="n">
        <v>7713</v>
      </c>
      <c r="F4" s="17" t="n">
        <v>6318</v>
      </c>
    </row>
    <row r="5">
      <c r="A5" s="15" t="inlineStr">
        <is>
          <t>Immaterielle anlægsaktiver</t>
        </is>
      </c>
      <c r="B5" s="17" t="n">
        <v>61919</v>
      </c>
      <c r="C5" s="17" t="n">
        <v>47037</v>
      </c>
      <c r="D5" s="17" t="n">
        <v>32175</v>
      </c>
      <c r="E5" s="17" t="n">
        <v>20407</v>
      </c>
      <c r="F5" s="17" t="n">
        <v>11298</v>
      </c>
    </row>
    <row r="6">
      <c r="A6" s="16" t="inlineStr">
        <is>
          <t>Grunde og bygninger</t>
        </is>
      </c>
      <c r="B6" s="17" t="n">
        <v>107056</v>
      </c>
      <c r="C6" s="17" t="n">
        <v>151052</v>
      </c>
      <c r="D6" s="17" t="n">
        <v>182252</v>
      </c>
      <c r="E6" s="17" t="n">
        <v>185146</v>
      </c>
      <c r="F6" s="17" t="n">
        <v>179743</v>
      </c>
    </row>
    <row r="7">
      <c r="A7" s="16" t="inlineStr">
        <is>
          <t>Produktionsanlæg og maskiner</t>
        </is>
      </c>
      <c r="B7" s="17" t="n">
        <v>385469</v>
      </c>
      <c r="C7" s="17" t="n">
        <v>380001</v>
      </c>
      <c r="D7" s="17" t="n">
        <v>379296</v>
      </c>
      <c r="E7" s="17" t="n">
        <v>407753</v>
      </c>
      <c r="F7" s="17" t="n">
        <v>410495</v>
      </c>
    </row>
    <row r="8">
      <c r="A8" s="16" t="inlineStr">
        <is>
          <t>Driftsmateriel og inventar</t>
        </is>
      </c>
      <c r="B8" s="17" t="n">
        <v>11261</v>
      </c>
      <c r="C8" s="17" t="n">
        <v>12885</v>
      </c>
      <c r="D8" s="17" t="n">
        <v>14823</v>
      </c>
      <c r="E8" s="17" t="n">
        <v>17667</v>
      </c>
      <c r="F8" s="17" t="n">
        <v>16523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61336</v>
      </c>
      <c r="C10" s="17" t="n">
        <v>18547</v>
      </c>
      <c r="D10" s="17" t="n">
        <v>35606</v>
      </c>
      <c r="E10" s="17" t="n">
        <v>29880</v>
      </c>
      <c r="F10" s="17" t="n">
        <v>103133</v>
      </c>
    </row>
    <row r="11">
      <c r="A11" s="15" t="inlineStr">
        <is>
          <t>Materielle anlægsaktiver</t>
        </is>
      </c>
      <c r="B11" s="17" t="n">
        <v>565122</v>
      </c>
      <c r="C11" s="17" t="n">
        <v>562485</v>
      </c>
      <c r="D11" s="17" t="n">
        <v>611977</v>
      </c>
      <c r="E11" s="17" t="n">
        <v>640446</v>
      </c>
      <c r="F11" s="17" t="n">
        <v>709894</v>
      </c>
    </row>
    <row r="12">
      <c r="A12" s="16" t="inlineStr">
        <is>
          <t>Kapitalandele, dattervirksomheder</t>
        </is>
      </c>
      <c r="B12" s="17" t="n">
        <v>13310</v>
      </c>
      <c r="C12" s="17" t="n">
        <v>504517</v>
      </c>
      <c r="D12" s="17" t="n">
        <v>648805</v>
      </c>
      <c r="E12" s="17" t="n">
        <v>757636</v>
      </c>
      <c r="F12" s="17" t="n">
        <v>878156</v>
      </c>
    </row>
    <row r="13">
      <c r="A13" s="16" t="inlineStr">
        <is>
          <t>Deposita</t>
        </is>
      </c>
      <c r="B13" s="17" t="n">
        <v>30490</v>
      </c>
      <c r="C13" s="17" t="n">
        <v>30490</v>
      </c>
      <c r="D13" s="17" t="n">
        <v>30557</v>
      </c>
      <c r="E13" s="17" t="n">
        <v>30586</v>
      </c>
      <c r="F13" s="17" t="n">
        <v>33610</v>
      </c>
    </row>
    <row r="14">
      <c r="A14" s="15" t="inlineStr">
        <is>
          <t>Finansielle anlægsaktiver</t>
        </is>
      </c>
      <c r="B14" s="17" t="n">
        <v>13310</v>
      </c>
      <c r="C14" s="17" t="n">
        <v>16523</v>
      </c>
      <c r="D14" s="17" t="n">
        <v>18402</v>
      </c>
      <c r="E14" s="17" t="n">
        <v>18213</v>
      </c>
      <c r="F14" s="17" t="n">
        <v>19846</v>
      </c>
    </row>
    <row r="15">
      <c r="A15" s="15" t="inlineStr">
        <is>
          <t>Anlægsaktiver</t>
        </is>
      </c>
      <c r="B15" s="17" t="n">
        <v>640351</v>
      </c>
      <c r="C15" s="17" t="n">
        <v>626045</v>
      </c>
      <c r="D15" s="17" t="n">
        <v>662554</v>
      </c>
      <c r="E15" s="17" t="n">
        <v>679066</v>
      </c>
      <c r="F15" s="17" t="n">
        <v>741038</v>
      </c>
    </row>
    <row r="16">
      <c r="A16" s="16" t="inlineStr">
        <is>
          <t>Råvarer og hjælpematerialer</t>
        </is>
      </c>
      <c r="B16" s="17" t="n">
        <v>47816</v>
      </c>
      <c r="C16" s="17" t="n">
        <v>75600</v>
      </c>
      <c r="D16" s="17" t="n">
        <v>74740</v>
      </c>
      <c r="E16" s="17" t="n">
        <v>85432</v>
      </c>
      <c r="F16" s="17" t="n">
        <v>79877</v>
      </c>
    </row>
    <row r="17">
      <c r="A17" s="16" t="inlineStr">
        <is>
          <t>Varer under fremstilling</t>
        </is>
      </c>
      <c r="B17" s="17" t="n">
        <v>13670</v>
      </c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25710</v>
      </c>
      <c r="C18" s="17" t="n">
        <v>33637</v>
      </c>
      <c r="D18" s="17" t="n">
        <v>39921</v>
      </c>
      <c r="E18" s="17" t="n">
        <v>29370</v>
      </c>
      <c r="F18" s="17" t="n">
        <v>46887</v>
      </c>
    </row>
    <row r="19">
      <c r="A19" s="15" t="inlineStr">
        <is>
          <t>Varebeholdninger</t>
        </is>
      </c>
      <c r="B19" s="17" t="n">
        <v>87196</v>
      </c>
      <c r="C19" s="17" t="n">
        <v>109237</v>
      </c>
      <c r="D19" s="17" t="n">
        <v>114661</v>
      </c>
      <c r="E19" s="17" t="n">
        <v>114802</v>
      </c>
      <c r="F19" s="17" t="n">
        <v>126764</v>
      </c>
    </row>
    <row r="20">
      <c r="A20" s="16" t="inlineStr">
        <is>
          <t>Tilgodehavender fra salg og tjenesteydelser</t>
        </is>
      </c>
      <c r="B20" s="17" t="n">
        <v>145499</v>
      </c>
      <c r="C20" s="17" t="n">
        <v>168240</v>
      </c>
      <c r="D20" s="17" t="n">
        <v>176459</v>
      </c>
      <c r="E20" s="17" t="n">
        <v>207100</v>
      </c>
      <c r="F20" s="17" t="n">
        <v>214748</v>
      </c>
    </row>
    <row r="21">
      <c r="A21" s="16" t="inlineStr">
        <is>
          <t>Tilgodehavender hos tilknyttede virksomheder</t>
        </is>
      </c>
      <c r="B21" s="17" t="n">
        <v>4634</v>
      </c>
      <c r="C21" s="17" t="n">
        <v>6110</v>
      </c>
      <c r="D21" s="17" t="n">
        <v>5839</v>
      </c>
      <c r="E21" s="17" t="n">
        <v>6929</v>
      </c>
      <c r="F21" s="17" t="n">
        <v>5960</v>
      </c>
    </row>
    <row r="22">
      <c r="A22" s="16" t="inlineStr">
        <is>
          <t>Andre tilgodehavender</t>
        </is>
      </c>
      <c r="B22" s="17" t="n">
        <v>41870</v>
      </c>
      <c r="C22" s="17" t="n">
        <v>113980</v>
      </c>
      <c r="D22" s="17" t="n">
        <v>98199</v>
      </c>
      <c r="E22" s="17" t="n">
        <v>84506</v>
      </c>
      <c r="F22" s="17" t="n">
        <v>64962</v>
      </c>
    </row>
    <row r="23">
      <c r="A23" s="16" t="inlineStr">
        <is>
          <t>Periodeafgrænsningsposter (aktiver)</t>
        </is>
      </c>
      <c r="B23" s="17" t="n">
        <v>1858</v>
      </c>
      <c r="C23" s="17" t="n">
        <v>1565</v>
      </c>
      <c r="D23" s="17" t="n">
        <v>3511</v>
      </c>
      <c r="E23" s="17" t="n">
        <v>2266</v>
      </c>
      <c r="F23" s="17" t="n">
        <v>2622</v>
      </c>
    </row>
    <row r="24">
      <c r="A24" s="16" t="inlineStr">
        <is>
          <t>Udskudt skatteaktiv</t>
        </is>
      </c>
      <c r="B24" s="17" t="n">
        <v>30060</v>
      </c>
      <c r="C24" s="17" t="n">
        <v>33089</v>
      </c>
      <c r="D24" s="17" t="n">
        <v>40319</v>
      </c>
      <c r="E24" s="17" t="n">
        <v>44600</v>
      </c>
      <c r="F24" s="17" t="n">
        <v>47935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5</v>
      </c>
      <c r="C26" s="17" t="n">
        <v>3</v>
      </c>
      <c r="D26" s="17" t="n">
        <v>3</v>
      </c>
      <c r="E26" s="17" t="n"/>
      <c r="F26" s="17" t="n"/>
    </row>
    <row r="27">
      <c r="A27" s="15" t="inlineStr">
        <is>
          <t>Tilgodehavender</t>
        </is>
      </c>
      <c r="B27" s="17" t="n">
        <v>231094</v>
      </c>
      <c r="C27" s="17" t="n">
        <v>327133</v>
      </c>
      <c r="D27" s="17" t="n">
        <v>328454</v>
      </c>
      <c r="E27" s="17" t="n">
        <v>348865</v>
      </c>
      <c r="F27" s="17" t="n">
        <v>340740</v>
      </c>
    </row>
    <row r="28">
      <c r="A28" s="16" t="inlineStr">
        <is>
          <t>Værdipapirer</t>
        </is>
      </c>
      <c r="B28" s="17" t="n"/>
      <c r="C28" s="17" t="n">
        <v>0</v>
      </c>
      <c r="D28" s="17" t="n">
        <v>0</v>
      </c>
      <c r="E28" s="17" t="n"/>
      <c r="F28" s="17" t="n"/>
    </row>
    <row r="29">
      <c r="A29" s="16" t="inlineStr">
        <is>
          <t>Likvide beholdninger</t>
        </is>
      </c>
      <c r="B29" s="17" t="n">
        <v>33935</v>
      </c>
      <c r="C29" s="17" t="n">
        <v>55089</v>
      </c>
      <c r="D29" s="17" t="n">
        <v>146135</v>
      </c>
      <c r="E29" s="17" t="n">
        <v>243607</v>
      </c>
      <c r="F29" s="17" t="n">
        <v>323369</v>
      </c>
    </row>
    <row r="30">
      <c r="A30" s="15" t="inlineStr">
        <is>
          <t>Omsætningsaktiver</t>
        </is>
      </c>
      <c r="B30" s="17" t="n">
        <v>352225</v>
      </c>
      <c r="C30" s="17" t="n">
        <v>491458</v>
      </c>
      <c r="D30" s="17" t="n">
        <v>589250</v>
      </c>
      <c r="E30" s="17" t="n">
        <v>707274</v>
      </c>
      <c r="F30" s="17" t="n">
        <v>790873</v>
      </c>
    </row>
    <row r="31">
      <c r="A31" s="15" t="inlineStr">
        <is>
          <t>Aktiver</t>
        </is>
      </c>
      <c r="B31" s="17" t="n">
        <v>992576</v>
      </c>
      <c r="C31" s="17" t="n">
        <v>1117503</v>
      </c>
      <c r="D31" s="17" t="n">
        <v>1251804</v>
      </c>
      <c r="E31" s="17" t="n">
        <v>1386340</v>
      </c>
      <c r="F31" s="17" t="n">
        <v>1531911</v>
      </c>
    </row>
    <row r="32">
      <c r="A32" s="16" t="inlineStr">
        <is>
          <t>Selskabskapital</t>
        </is>
      </c>
      <c r="B32" s="17" t="n">
        <v>30000</v>
      </c>
      <c r="C32" s="17" t="n">
        <v>30000</v>
      </c>
      <c r="D32" s="17" t="n">
        <v>30000</v>
      </c>
      <c r="E32" s="17" t="n">
        <v>30000</v>
      </c>
      <c r="F32" s="17" t="n">
        <v>30000</v>
      </c>
    </row>
    <row r="33">
      <c r="A33" s="16" t="inlineStr">
        <is>
          <t>Reserve for nettoopskrivning (indre værdis metode)</t>
        </is>
      </c>
      <c r="B33" s="17" t="n">
        <v>347519</v>
      </c>
      <c r="C33" s="17" t="n">
        <v>406637</v>
      </c>
      <c r="D33" s="17" t="n">
        <v>552910</v>
      </c>
      <c r="E33" s="17" t="n">
        <v>661368</v>
      </c>
      <c r="F33" s="17" t="n">
        <v>783889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>
        <v>3471</v>
      </c>
      <c r="C35" s="17" t="n">
        <v>5623</v>
      </c>
      <c r="D35" s="17" t="n">
        <v>2842</v>
      </c>
      <c r="E35" s="17" t="n">
        <v>1803</v>
      </c>
      <c r="F35" s="17" t="n">
        <v>536</v>
      </c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602826</v>
      </c>
      <c r="C37" s="17" t="n">
        <v>685432</v>
      </c>
      <c r="D37" s="17" t="n">
        <v>821846</v>
      </c>
      <c r="E37" s="17" t="n">
        <v>980889</v>
      </c>
      <c r="F37" s="17" t="n">
        <v>1155789</v>
      </c>
    </row>
    <row r="38">
      <c r="A38" s="15" t="inlineStr">
        <is>
          <t>Egenkapital i alt</t>
        </is>
      </c>
      <c r="B38" s="17" t="n">
        <v>625574</v>
      </c>
      <c r="C38" s="17" t="n">
        <v>701855</v>
      </c>
      <c r="D38" s="17" t="n">
        <v>887807</v>
      </c>
      <c r="E38" s="17" t="n">
        <v>887807</v>
      </c>
      <c r="F38" s="17" t="n">
        <v>1206543</v>
      </c>
    </row>
    <row r="39">
      <c r="A39" s="16" t="inlineStr">
        <is>
          <t>Hensættelse til udskudt skat</t>
        </is>
      </c>
      <c r="B39" s="17" t="n">
        <v>13060</v>
      </c>
      <c r="C39" s="17" t="n">
        <v>9481</v>
      </c>
      <c r="D39" s="17" t="n">
        <v>6829</v>
      </c>
      <c r="E39" s="17" t="n">
        <v>4420</v>
      </c>
      <c r="F39" s="17" t="n">
        <v>4493</v>
      </c>
    </row>
    <row r="40">
      <c r="A40" s="15" t="inlineStr">
        <is>
          <t>Hensatte forpligtelser</t>
        </is>
      </c>
      <c r="B40" s="17" t="n">
        <v>21918</v>
      </c>
      <c r="C40" s="17" t="n">
        <v>18251</v>
      </c>
      <c r="D40" s="17" t="n">
        <v>14848</v>
      </c>
      <c r="E40" s="17" t="n">
        <v>9555</v>
      </c>
      <c r="F40" s="17" t="n">
        <v>9223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118987</v>
      </c>
      <c r="C42" s="17" t="n">
        <v>96996</v>
      </c>
      <c r="D42" s="17" t="n">
        <v>39309</v>
      </c>
      <c r="E42" s="17" t="n">
        <v>18613</v>
      </c>
      <c r="F42" s="17" t="n">
        <v>7561</v>
      </c>
    </row>
    <row r="43">
      <c r="A43" s="16" t="inlineStr">
        <is>
          <t>Leasingforpligtelser (langfristet)</t>
        </is>
      </c>
      <c r="B43" s="17" t="n">
        <v>0</v>
      </c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0</v>
      </c>
      <c r="C44" s="17" t="n">
        <v>123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118987</v>
      </c>
      <c r="C45" s="17" t="n">
        <v>97119</v>
      </c>
      <c r="D45" s="17" t="n">
        <v>39442</v>
      </c>
      <c r="E45" s="17" t="n">
        <v>18692</v>
      </c>
      <c r="F45" s="17" t="n">
        <v>7641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6910</v>
      </c>
      <c r="C47" s="17" t="n">
        <v>5782</v>
      </c>
      <c r="D47" s="17" t="n">
        <v>15984</v>
      </c>
      <c r="E47" s="17" t="n">
        <v>4375</v>
      </c>
      <c r="F47" s="17" t="n">
        <v>4394</v>
      </c>
    </row>
    <row r="48">
      <c r="A48" s="16" t="inlineStr">
        <is>
          <t>Kreditinstitutter</t>
        </is>
      </c>
      <c r="B48" s="17" t="n">
        <v>22837</v>
      </c>
      <c r="C48" s="17" t="n">
        <v>25673</v>
      </c>
      <c r="D48" s="17" t="n">
        <v>16087</v>
      </c>
      <c r="E48" s="17" t="n">
        <v>22436</v>
      </c>
      <c r="F48" s="17" t="n">
        <v>14370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64722</v>
      </c>
      <c r="C50" s="17" t="n">
        <v>91828</v>
      </c>
      <c r="D50" s="17" t="n">
        <v>76007</v>
      </c>
      <c r="E50" s="17" t="n">
        <v>99059</v>
      </c>
      <c r="F50" s="17" t="n">
        <v>102616</v>
      </c>
    </row>
    <row r="51">
      <c r="A51" s="16" t="inlineStr">
        <is>
          <t>Gæld til tilknyttede virksomheder</t>
        </is>
      </c>
      <c r="B51" s="17" t="n">
        <v>13044</v>
      </c>
      <c r="C51" s="17" t="n">
        <v>7450</v>
      </c>
      <c r="D51" s="17" t="n">
        <v>15869</v>
      </c>
      <c r="E51" s="17" t="n">
        <v>17179</v>
      </c>
      <c r="F51" s="17" t="n">
        <v>23073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7754</v>
      </c>
      <c r="C53" s="17" t="n">
        <v>10437</v>
      </c>
      <c r="D53" s="17" t="n">
        <v>21622</v>
      </c>
      <c r="E53" s="17" t="n">
        <v>21724</v>
      </c>
      <c r="F53" s="17" t="n">
        <v>6601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36564</v>
      </c>
      <c r="C55" s="17" t="n">
        <v>24495</v>
      </c>
      <c r="D55" s="17" t="n">
        <v>34154</v>
      </c>
      <c r="E55" s="17" t="n">
        <v>40177</v>
      </c>
      <c r="F55" s="17" t="n">
        <v>45897</v>
      </c>
    </row>
    <row r="56">
      <c r="A56" s="16" t="inlineStr">
        <is>
          <t>Periodeafgrænsningsposter (passiver)</t>
        </is>
      </c>
      <c r="B56" s="17" t="n">
        <v>74266</v>
      </c>
      <c r="C56" s="17" t="n">
        <v>134614</v>
      </c>
      <c r="D56" s="17" t="n">
        <v>129984</v>
      </c>
      <c r="E56" s="17" t="n">
        <v>127152</v>
      </c>
      <c r="F56" s="17" t="n">
        <v>111553</v>
      </c>
    </row>
    <row r="57">
      <c r="A57" s="15" t="inlineStr">
        <is>
          <t>Kortfristede gældsforpligtelser</t>
        </is>
      </c>
      <c r="B57" s="17" t="n">
        <v>226097</v>
      </c>
      <c r="C57" s="17" t="n">
        <v>300278</v>
      </c>
      <c r="D57" s="17" t="n">
        <v>309707</v>
      </c>
      <c r="E57" s="17" t="n">
        <v>332663</v>
      </c>
      <c r="F57" s="17" t="n">
        <v>308504</v>
      </c>
    </row>
    <row r="58">
      <c r="A58" s="15" t="inlineStr">
        <is>
          <t>Gældsforpligtelser</t>
        </is>
      </c>
      <c r="B58" s="17" t="n">
        <v>345084</v>
      </c>
      <c r="C58" s="17" t="n">
        <v>397397</v>
      </c>
      <c r="D58" s="17" t="n">
        <v>349149</v>
      </c>
      <c r="E58" s="17" t="n">
        <v>351355</v>
      </c>
      <c r="F58" s="17" t="n">
        <v>316145</v>
      </c>
    </row>
    <row r="59">
      <c r="A59" s="15" t="inlineStr">
        <is>
          <t>Passiver</t>
        </is>
      </c>
      <c r="B59" s="17" t="n">
        <v>992576</v>
      </c>
      <c r="C59" s="17" t="n">
        <v>1117503</v>
      </c>
      <c r="D59" s="17" t="n">
        <v>1251804</v>
      </c>
      <c r="E59" s="17" t="n">
        <v>1386340</v>
      </c>
      <c r="F59" s="17" t="n">
        <v>1531911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 Cake A/S (CVR 75206119)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106299</v>
      </c>
      <c r="C2" s="17" t="n">
        <v>106623</v>
      </c>
      <c r="D2" s="17" t="n">
        <v>211074</v>
      </c>
      <c r="E2" s="17" t="n">
        <v>225696</v>
      </c>
      <c r="F2" s="17" t="n">
        <v>208426</v>
      </c>
    </row>
    <row r="3">
      <c r="A3" s="16" t="inlineStr">
        <is>
          <t>Pengestrømme fra investeringsaktivitet</t>
        </is>
      </c>
      <c r="B3" s="17" t="n">
        <v>-104177</v>
      </c>
      <c r="C3" s="17" t="n">
        <v>-44842</v>
      </c>
      <c r="D3" s="17" t="n">
        <v>-56513</v>
      </c>
      <c r="E3" s="17" t="n">
        <v>-68797</v>
      </c>
      <c r="F3" s="17" t="n">
        <v>-114900</v>
      </c>
    </row>
    <row r="4">
      <c r="A4" s="16" t="inlineStr">
        <is>
          <t>Pengestrømme fra finansieringsaktivitet</t>
        </is>
      </c>
      <c r="B4" s="17" t="n">
        <v>-32576</v>
      </c>
      <c r="C4" s="17" t="n">
        <v>-40627</v>
      </c>
      <c r="D4" s="17" t="n">
        <v>-63515</v>
      </c>
      <c r="E4" s="17" t="n">
        <v>-59427</v>
      </c>
      <c r="F4" s="17" t="n">
        <v>-13764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Dan Cake A/S (CVR 75206119) — Regnskabs- og nøgletal (CVR: 75206119)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'res_raw_75206119'!$F$2</f>
        <v/>
      </c>
      <c r="C5" s="24">
        <f>'res_raw_75206119'!$E$2</f>
        <v/>
      </c>
      <c r="D5" s="24">
        <f>'res_raw_75206119'!$D$2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'res_raw_75206119'!$F$3</f>
        <v/>
      </c>
      <c r="C6" s="24">
        <f>'res_raw_75206119'!$E$3</f>
        <v/>
      </c>
      <c r="D6" s="24">
        <f>'res_raw_75206119'!$D$3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-'res_raw_75206119'!$F$4</f>
        <v/>
      </c>
      <c r="C7" s="24">
        <f>-'res_raw_75206119'!$E$4</f>
        <v/>
      </c>
      <c r="D7" s="24">
        <f>-'res_raw_75206119'!$D$4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-'res_raw_75206119'!$F$5</f>
        <v/>
      </c>
      <c r="C8" s="24">
        <f>-'res_raw_75206119'!$E$5</f>
        <v/>
      </c>
      <c r="D8" s="24">
        <f>-'res_raw_75206119'!$D$5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-'res_raw_75206119'!$F$7</f>
        <v/>
      </c>
      <c r="C10" s="24">
        <f>-'res_raw_75206119'!$E$7</f>
        <v/>
      </c>
      <c r="D10" s="24">
        <f>-'res_raw_75206119'!$D$7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-'res_raw_75206119'!$F$9</f>
        <v/>
      </c>
      <c r="C11" s="24">
        <f>-'res_raw_75206119'!$E$9</f>
        <v/>
      </c>
      <c r="D11" s="24">
        <f>-'res_raw_75206119'!$D$9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-'res_raw_75206119'!$F$10</f>
        <v/>
      </c>
      <c r="C12" s="24">
        <f>-'res_raw_75206119'!$E$10</f>
        <v/>
      </c>
      <c r="D12" s="24">
        <f>-'res_raw_75206119'!$D$10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N('res_raw_75206119'!$F$12)+N('res_raw_75206119'!$F$13)</f>
        <v/>
      </c>
      <c r="C14" s="24">
        <f>N('res_raw_75206119'!$E$12)+N('res_raw_75206119'!$E$13)</f>
        <v/>
      </c>
      <c r="D14" s="24">
        <f>N('res_raw_75206119'!$D$12)+N('res_raw_75206119'!$D$13)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-'res_raw_75206119'!$F$14</f>
        <v/>
      </c>
      <c r="C15" s="24">
        <f>-'res_raw_75206119'!$E$14</f>
        <v/>
      </c>
      <c r="D15" s="24">
        <f>-'res_raw_75206119'!$D$14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'balance_raw_75206119'!$F$15</f>
        <v/>
      </c>
      <c r="C19" s="24">
        <f>'balance_raw_75206119'!$E$15</f>
        <v/>
      </c>
      <c r="D19" s="24">
        <f>'balance_raw_75206119'!$D$15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'balance_raw_75206119'!$F$30</f>
        <v/>
      </c>
      <c r="C20" s="24">
        <f>'balance_raw_75206119'!$E$30</f>
        <v/>
      </c>
      <c r="D20" s="24">
        <f>'balance_raw_75206119'!$D$30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'balance_raw_75206119'!$F$38</f>
        <v/>
      </c>
      <c r="C23" s="24">
        <f>'balance_raw_75206119'!$E$38</f>
        <v/>
      </c>
      <c r="D23" s="24">
        <f>'balance_raw_75206119'!$D$38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'balance_raw_75206119'!$F$59-'balance_raw_75206119'!$F$38</f>
        <v/>
      </c>
      <c r="C24" s="24">
        <f>'balance_raw_75206119'!$E$59-'balance_raw_75206119'!$E$38</f>
        <v/>
      </c>
      <c r="D24" s="24">
        <f>'balance_raw_75206119'!$D$59-'balance_raw_75206119'!$D$38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'balance_raw_75206119'!$F$19</f>
        <v/>
      </c>
      <c r="C28" s="24">
        <f>'balance_raw_75206119'!$E$19</f>
        <v/>
      </c>
      <c r="D28" s="24">
        <f>'balance_raw_75206119'!$D$19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'balance_raw_75206119'!$F$20</f>
        <v/>
      </c>
      <c r="C29" s="24">
        <f>'balance_raw_75206119'!$E$20</f>
        <v/>
      </c>
      <c r="D29" s="24">
        <f>'balance_raw_75206119'!$D$20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'balance_raw_75206119'!$F$57</f>
        <v/>
      </c>
      <c r="C30" s="24">
        <f>'balance_raw_75206119'!$E$57</f>
        <v/>
      </c>
      <c r="D30" s="24">
        <f>'balance_raw_75206119'!$D$57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IF('balance_raw_75206119'!$F$31="","—",IF(ABS(B21-'balance_raw_75206119'!$F$31)&lt;=1,"✓ OK","❌ "&amp;TEXT(B21-'balance_raw_75206119'!$F$31,"+#,##0;-#,##0")&amp;" t.kr."))</f>
        <v/>
      </c>
      <c r="C61" s="29">
        <f>IF('balance_raw_75206119'!$E$31="","—",IF(ABS(C21-'balance_raw_75206119'!$E$31)&lt;=1,"✓ OK","❌ "&amp;TEXT(C21-'balance_raw_75206119'!$E$31,"+#,##0;-#,##0")&amp;" t.kr."))</f>
        <v/>
      </c>
      <c r="D61" s="29">
        <f>IF('balance_raw_75206119'!$D$31="","—",IF(ABS(D21-'balance_raw_75206119'!$D$31)&lt;=1,"✓ OK","❌ "&amp;TEXT(D21-'balance_raw_75206119'!$D$31,"+#,##0;-#,##0")&amp;"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IF('balance_raw_75206119'!$F$59="","—",IF(ABS(B25-'balance_raw_75206119'!$F$59)&lt;=1,"✓ OK","❌ "&amp;TEXT(B25-'balance_raw_75206119'!$F$59,"+#,##0;-#,##0")&amp;" t.kr."))</f>
        <v/>
      </c>
      <c r="C62" s="29">
        <f>IF('balance_raw_75206119'!$E$59="","—",IF(ABS(C25-'balance_raw_75206119'!$E$59)&lt;=1,"✓ OK","❌ "&amp;TEXT(C25-'balance_raw_75206119'!$E$59,"+#,##0;-#,##0")&amp;" t.kr."))</f>
        <v/>
      </c>
      <c r="D62" s="29">
        <f>IF('balance_raw_75206119'!$D$59="","—",IF(ABS(D25-'balance_raw_75206119'!$D$59)&lt;=1,"✓ OK","❌ "&amp;TEXT(D25-'balance_raw_75206119'!$D$59,"+#,##0;-#,##0")&amp;"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IF('res_raw_75206119'!$F$6="","—",IF(ABS(B9-'res_raw_75206119'!$F$6)&lt;=1,"✓ OK","❌ "&amp;TEXT(B9-'res_raw_75206119'!$F$6,"+#,##0;-#,##0")&amp;" t.kr."))</f>
        <v/>
      </c>
      <c r="C64" s="29">
        <f>IF('res_raw_75206119'!$E$6="","—",IF(ABS(C9-'res_raw_75206119'!$E$6)&lt;=1,"✓ OK","❌ "&amp;TEXT(C9-'res_raw_75206119'!$E$6,"+#,##0;-#,##0")&amp;" t.kr."))</f>
        <v/>
      </c>
      <c r="D64" s="29">
        <f>IF('res_raw_75206119'!$D$6="","—",IF(ABS(D9-'res_raw_75206119'!$D$6)&lt;=1,"✓ OK","❌ "&amp;TEXT(D9-'res_raw_75206119'!$D$6,"+#,##0;-#,##0")&amp;"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IF('res_raw_75206119'!$F$11="","—",IF(ABS(B13-'res_raw_75206119'!$F$11)&lt;=1,"✓ OK","❌ "&amp;TEXT(B13-'res_raw_75206119'!$F$11,"+#,##0;-#,##0")&amp;" t.kr."))</f>
        <v/>
      </c>
      <c r="C65" s="29">
        <f>IF('res_raw_75206119'!$E$11="","—",IF(ABS(C13-'res_raw_75206119'!$E$11)&lt;=1,"✓ OK","❌ "&amp;TEXT(C13-'res_raw_75206119'!$E$11,"+#,##0;-#,##0")&amp;" t.kr."))</f>
        <v/>
      </c>
      <c r="D65" s="29">
        <f>IF('res_raw_75206119'!$D$11="","—",IF(ABS(D13-'res_raw_75206119'!$D$11)&lt;=1,"✓ OK","❌ "&amp;TEXT(D13-'res_raw_75206119'!$D$11,"+#,##0;-#,##0")&amp;"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IF('res_raw_75206119'!$F$16="","—",IF(ABS(B16-'res_raw_75206119'!$F$16)&lt;=1,"✓ OK","❌ "&amp;TEXT(B16-'res_raw_75206119'!$F$16,"+#,##0;-#,##0")&amp;" t.kr."))</f>
        <v/>
      </c>
      <c r="C66" s="29">
        <f>IF('res_raw_75206119'!$E$16="","—",IF(ABS(C16-'res_raw_75206119'!$E$16)&lt;=1,"✓ OK","❌ "&amp;TEXT(C16-'res_raw_75206119'!$E$16,"+#,##0;-#,##0")&amp;" t.kr."))</f>
        <v/>
      </c>
      <c r="D66" s="29">
        <f>IF('res_raw_75206119'!$D$16="","—",IF(ABS(D16-'res_raw_75206119'!$D$16)&lt;=1,"✓ OK","❌ "&amp;TEXT(D16-'res_raw_75206119'!$D$16,"+#,##0;-#,##0")&amp;"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Dan Cake A/S (CVR 75206119)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fsa:AccumulatedRevaluationsOfInvestments</t>
        </is>
      </c>
      <c r="C3" s="34" t="inlineStr">
        <is>
          <t>fsa:AccumulatedRevaluationsOfInvestments</t>
        </is>
      </c>
      <c r="D3" s="35" t="n"/>
      <c r="E3" s="35" t="n"/>
      <c r="F3" s="35" t="n">
        <v>10021</v>
      </c>
      <c r="G3" s="35" t="n">
        <v>8142</v>
      </c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fsa:AdditionsToInvestments</t>
        </is>
      </c>
      <c r="C4" s="37" t="inlineStr">
        <is>
          <t>fsa:AdditionsToInvestments</t>
        </is>
      </c>
      <c r="D4" s="38" t="n"/>
      <c r="E4" s="38" t="n"/>
      <c r="F4" s="38" t="n">
        <v>0</v>
      </c>
      <c r="G4" s="38" t="n">
        <v>0</v>
      </c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fsa:AdjustmentsOfEquityRelatedToInvestments</t>
        </is>
      </c>
      <c r="C5" s="34" t="inlineStr">
        <is>
          <t>fsa:AdjustmentsOfEquityRelatedToInvestments</t>
        </is>
      </c>
      <c r="D5" s="35" t="n"/>
      <c r="E5" s="35" t="n"/>
      <c r="F5" s="35" t="n">
        <v>3</v>
      </c>
      <c r="G5" s="35" t="n">
        <v>-1732</v>
      </c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fsa:AdjustmentsOfProfitLossFromParticipatingInterestsAfterTax</t>
        </is>
      </c>
      <c r="C6" s="37" t="inlineStr">
        <is>
          <t>fsa:AdjustmentsOfProfitLossFromParticipatingInterestsAfterTax</t>
        </is>
      </c>
      <c r="D6" s="38" t="n"/>
      <c r="E6" s="38" t="n"/>
      <c r="F6" s="38" t="n">
        <v>11931</v>
      </c>
      <c r="G6" s="38" t="n">
        <v>14073</v>
      </c>
      <c r="H6" s="38" t="n">
        <v>15587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fsa:DisposalsOfInvestments</t>
        </is>
      </c>
      <c r="C7" s="34" t="inlineStr">
        <is>
          <t>fsa:DisposalsOfInvestments</t>
        </is>
      </c>
      <c r="D7" s="35" t="n"/>
      <c r="E7" s="35" t="n"/>
      <c r="F7" s="35" t="n">
        <v>0</v>
      </c>
      <c r="G7" s="35" t="n">
        <v>0</v>
      </c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fsa:Dividend</t>
        </is>
      </c>
      <c r="C8" s="37" t="inlineStr">
        <is>
          <t>fsa:Dividend</t>
        </is>
      </c>
      <c r="D8" s="38" t="n"/>
      <c r="E8" s="38" t="n">
        <v>14873</v>
      </c>
      <c r="F8" s="38" t="n">
        <v>0</v>
      </c>
      <c r="G8" s="38" t="n">
        <v>29822</v>
      </c>
      <c r="H8" s="38" t="n">
        <v>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fsa:DividendIncomeRelatedToInvestments</t>
        </is>
      </c>
      <c r="C9" s="34" t="inlineStr">
        <is>
          <t>fsa:DividendIncomeRelatedToInvestments</t>
        </is>
      </c>
      <c r="D9" s="35" t="n"/>
      <c r="E9" s="35" t="n"/>
      <c r="F9" s="35" t="n">
        <v>9162</v>
      </c>
      <c r="G9" s="35" t="n">
        <v>11302</v>
      </c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fsa:DividendsReceivedFromParticipatingInterests</t>
        </is>
      </c>
      <c r="C10" s="37" t="inlineStr">
        <is>
          <t>fsa:DividendsReceivedFromParticipatingInterests</t>
        </is>
      </c>
      <c r="D10" s="38" t="n"/>
      <c r="E10" s="38" t="n">
        <v>16079</v>
      </c>
      <c r="F10" s="38" t="n">
        <v>9162</v>
      </c>
      <c r="G10" s="38" t="n">
        <v>11302</v>
      </c>
      <c r="H10" s="38" t="n">
        <v>14006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fsa:FeesForAuditorsPerformingOtherAssuranceReports</t>
        </is>
      </c>
      <c r="C11" s="34" t="inlineStr">
        <is>
          <t>fsa:FeesForAuditorsPerformingOtherAssuranceReports</t>
        </is>
      </c>
      <c r="D11" s="35" t="n">
        <v>0</v>
      </c>
      <c r="E11" s="35" t="n">
        <v>0</v>
      </c>
      <c r="F11" s="35" t="n">
        <v>0</v>
      </c>
      <c r="G11" s="35" t="n"/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fsa:IncomeFromInvestmentsInParticipatingInterests</t>
        </is>
      </c>
      <c r="C12" s="37" t="inlineStr">
        <is>
          <t>fsa:IncomeFromInvestmentsInParticipatingInterests</t>
        </is>
      </c>
      <c r="D12" s="38" t="n"/>
      <c r="E12" s="38" t="n">
        <v>18530</v>
      </c>
      <c r="F12" s="38" t="n">
        <v>11931</v>
      </c>
      <c r="G12" s="38" t="n">
        <v>14073</v>
      </c>
      <c r="H12" s="38" t="n">
        <v>15587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fsa:IncreaseDecreaseOfRevaluationsAndDevaluationsOfInvestmentsThroughNetExchangeDifferences</t>
        </is>
      </c>
      <c r="C13" s="34" t="inlineStr">
        <is>
          <t>fsa:IncreaseDecreaseOfRevaluationsAndDevaluationsOfInvestmentsThroughNetExchangeDifferences</t>
        </is>
      </c>
      <c r="D13" s="35" t="n"/>
      <c r="E13" s="35" t="n"/>
      <c r="F13" s="35" t="n">
        <v>-893</v>
      </c>
      <c r="G13" s="35" t="n">
        <v>-1227</v>
      </c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fsa:InvestmentsGross</t>
        </is>
      </c>
      <c r="C14" s="37" t="inlineStr">
        <is>
          <t>fsa:InvestmentsGross</t>
        </is>
      </c>
      <c r="D14" s="38" t="n"/>
      <c r="E14" s="38" t="n"/>
      <c r="F14" s="38" t="n">
        <v>8381</v>
      </c>
      <c r="G14" s="38" t="n">
        <v>8381</v>
      </c>
      <c r="H14" s="38" t="n"/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fsa:LongtermParticipatingInterests</t>
        </is>
      </c>
      <c r="C15" s="34" t="inlineStr">
        <is>
          <t>fsa:LongtermParticipatingInterests</t>
        </is>
      </c>
      <c r="D15" s="35" t="n"/>
      <c r="E15" s="35" t="n">
        <v>16523</v>
      </c>
      <c r="F15" s="35" t="n">
        <v>18402</v>
      </c>
      <c r="G15" s="35" t="n">
        <v>18213</v>
      </c>
      <c r="H15" s="35" t="n">
        <v>19846</v>
      </c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fsa:LongtermReceivablesFromAssociates</t>
        </is>
      </c>
      <c r="C16" s="37" t="inlineStr">
        <is>
          <t>fsa:LongtermReceivablesFromAssociates</t>
        </is>
      </c>
      <c r="D16" s="38" t="n">
        <v>7168</v>
      </c>
      <c r="E16" s="38" t="n"/>
      <c r="F16" s="38" t="n"/>
      <c r="G16" s="38" t="n"/>
      <c r="H16" s="38" t="n"/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fsa:LongtermReceivablesFromParticipatingInterests</t>
        </is>
      </c>
      <c r="C17" s="34" t="inlineStr">
        <is>
          <t>fsa:LongtermReceivablesFromParticipatingInterests</t>
        </is>
      </c>
      <c r="D17" s="35" t="n"/>
      <c r="E17" s="35" t="n">
        <v>0</v>
      </c>
      <c r="F17" s="35" t="n">
        <v>0</v>
      </c>
      <c r="G17" s="35" t="n">
        <v>0</v>
      </c>
      <c r="H17" s="35" t="n">
        <v>0</v>
      </c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fsa:RaisingOfLongtermDebt</t>
        </is>
      </c>
      <c r="C18" s="37" t="inlineStr">
        <is>
          <t>fsa:RaisingOfLongtermDebt</t>
        </is>
      </c>
      <c r="D18" s="38" t="n">
        <v>21828</v>
      </c>
      <c r="E18" s="38" t="n">
        <v>123</v>
      </c>
      <c r="F18" s="38" t="n">
        <v>0</v>
      </c>
      <c r="G18" s="38" t="n"/>
      <c r="H18" s="38" t="n"/>
      <c r="I18" s="39" t="inlineStr">
        <is>
          <t>Ingen forklaring tilgængelig.</t>
        </is>
      </c>
    </row>
    <row r="19" ht="30" customHeight="1">
      <c r="A19" s="34" t="inlineStr">
        <is>
          <t>Øvrige (ukendt)</t>
        </is>
      </c>
      <c r="B19" s="34" t="inlineStr">
        <is>
          <t>fsa:ReceivedDividendsFromAssociates</t>
        </is>
      </c>
      <c r="C19" s="34" t="inlineStr">
        <is>
          <t>fsa:ReceivedDividendsFromAssociates</t>
        </is>
      </c>
      <c r="D19" s="35" t="n">
        <v>14302</v>
      </c>
      <c r="E19" s="35" t="n"/>
      <c r="F19" s="35" t="n"/>
      <c r="G19" s="35" t="n"/>
      <c r="H19" s="35" t="n"/>
      <c r="I19" s="36" t="inlineStr">
        <is>
          <t>Ingen forklaring tilgængelig.</t>
        </is>
      </c>
    </row>
    <row r="20" ht="30" customHeight="1">
      <c r="A20" s="37" t="inlineStr">
        <is>
          <t>Øvrige (ukendt)</t>
        </is>
      </c>
      <c r="B20" s="37" t="inlineStr">
        <is>
          <t>fsa:ReserveForCurrentValueAdjustmentsOfCurrencyGains</t>
        </is>
      </c>
      <c r="C20" s="37" t="inlineStr">
        <is>
          <t>fsa:ReserveForCurrentValueAdjustmentsOfCurrencyGains</t>
        </is>
      </c>
      <c r="D20" s="38" t="n">
        <v>-25596</v>
      </c>
      <c r="E20" s="38" t="n">
        <v>-34073</v>
      </c>
      <c r="F20" s="38" t="n">
        <v>3297</v>
      </c>
      <c r="G20" s="38" t="n">
        <v>12738</v>
      </c>
      <c r="H20" s="38" t="n">
        <v>20218</v>
      </c>
      <c r="I20" s="39" t="inlineStr">
        <is>
          <t>Ingen forklaring tilgængelig.</t>
        </is>
      </c>
    </row>
    <row r="21" ht="30" customHeight="1">
      <c r="A21" s="34" t="inlineStr">
        <is>
          <t>Øvrige (ukendt)</t>
        </is>
      </c>
      <c r="B21" s="34" t="inlineStr">
        <is>
          <t>fsa:ReversalsOfRevaluationOfDisposedInvestments</t>
        </is>
      </c>
      <c r="C21" s="34" t="inlineStr">
        <is>
          <t>fsa:ReversalsOfRevaluationOfDisposedInvestments</t>
        </is>
      </c>
      <c r="D21" s="35" t="n"/>
      <c r="E21" s="35" t="n"/>
      <c r="F21" s="35" t="n">
        <v>0</v>
      </c>
      <c r="G21" s="35" t="n"/>
      <c r="H21" s="35" t="n"/>
      <c r="I21" s="36" t="inlineStr">
        <is>
          <t>Ingen forklaring tilgængelig.</t>
        </is>
      </c>
    </row>
    <row r="22" ht="30" customHeight="1">
      <c r="A22" s="37" t="inlineStr">
        <is>
          <t>Øvrige (ukendt)</t>
        </is>
      </c>
      <c r="B22" s="37" t="inlineStr">
        <is>
          <t>fsa:ShorttermPayablesToParticipatingInterest</t>
        </is>
      </c>
      <c r="C22" s="37" t="inlineStr">
        <is>
          <t>fsa:ShorttermPayablesToParticipatingInterest</t>
        </is>
      </c>
      <c r="D22" s="38" t="n"/>
      <c r="E22" s="38" t="n"/>
      <c r="F22" s="38" t="n">
        <v>478</v>
      </c>
      <c r="G22" s="38" t="n">
        <v>561</v>
      </c>
      <c r="H22" s="38" t="n">
        <v>0</v>
      </c>
      <c r="I22" s="39" t="inlineStr">
        <is>
          <t>Ingen forklaring tilgængelig.</t>
        </is>
      </c>
    </row>
    <row r="23" ht="30" customHeight="1">
      <c r="A23" s="34" t="inlineStr">
        <is>
          <t>Øvrige (ukendt)</t>
        </is>
      </c>
      <c r="B23" s="34" t="inlineStr">
        <is>
          <t>fsa:ShorttermReceivablesFromParticipatingInterests</t>
        </is>
      </c>
      <c r="C23" s="34" t="inlineStr">
        <is>
          <t>fsa:ShorttermReceivablesFromParticipatingInterests</t>
        </is>
      </c>
      <c r="D23" s="35" t="n"/>
      <c r="E23" s="35" t="n">
        <v>4145</v>
      </c>
      <c r="F23" s="35" t="n">
        <v>4124</v>
      </c>
      <c r="G23" s="35" t="n">
        <v>3464</v>
      </c>
      <c r="H23" s="35" t="n">
        <v>4513</v>
      </c>
      <c r="I23" s="36" t="inlineStr">
        <is>
          <t>Ingen forklaring tilgængelig.</t>
        </is>
      </c>
    </row>
    <row r="24" ht="30" customHeight="1">
      <c r="A24" s="37" t="inlineStr">
        <is>
          <t>Øvrige (ukendt)</t>
        </is>
      </c>
      <c r="B24" s="37" t="inlineStr">
        <is>
          <t>fsa:WorkPerformedByEntityAndCapitalised</t>
        </is>
      </c>
      <c r="C24" s="37" t="inlineStr">
        <is>
          <t>fsa:WorkPerformedByEntityAndCapitalised</t>
        </is>
      </c>
      <c r="D24" s="38" t="n">
        <v>-588</v>
      </c>
      <c r="E24" s="38" t="n">
        <v>-217</v>
      </c>
      <c r="F24" s="38" t="n">
        <v>-1376</v>
      </c>
      <c r="G24" s="38" t="n">
        <v>-484</v>
      </c>
      <c r="H24" s="38" t="n">
        <v>-1827</v>
      </c>
      <c r="I2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2026-09-15T19:46:34Z</dcterms:created>
  <dcterms:modified xmlns:dcterms="http://purl.org/dc/terms/" xmlns:xsi="http://www.w3.org/2001/XMLSchema-instance" xsi:type="dcterms:W3CDTF">2026-09-15T19:46:35Z</dcterms:modified>
</cp:coreProperties>
</file>