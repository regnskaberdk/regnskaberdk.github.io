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 Cake A/S (CVR 75206119)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 Cake A/S (CVR 75206119) — 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IF(ABS((SUM(B5:B8))-'res_raw_75206119'!$F$6)&lt;=2,SUM(B5:B8),'res_raw_75206119'!$F$6)</f>
        <v/>
      </c>
      <c r="C9" s="27">
        <f>IF(ABS((SUM(C5:C8))-'res_raw_75206119'!$E$6)&lt;=2,SUM(C5:C8),'res_raw_75206119'!$E$6)</f>
        <v/>
      </c>
      <c r="D9" s="27">
        <f>IF(ABS((SUM(D5:D8))-'res_raw_75206119'!$D$6)&lt;=2,SUM(D5:D8),'res_raw_75206119'!$D$6)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IF(ABS((SUM(B9:B12))-'res_raw_75206119'!$F$11)&lt;=2,SUM(B9:B12),'res_raw_75206119'!$F$11)</f>
        <v/>
      </c>
      <c r="C13" s="27">
        <f>IF(ABS((SUM(C9:C12))-'res_raw_75206119'!$E$11)&lt;=2,SUM(C9:C12),'res_raw_75206119'!$E$11)</f>
        <v/>
      </c>
      <c r="D13" s="27">
        <f>IF(ABS((SUM(D9:D12))-'res_raw_75206119'!$D$11)&lt;=2,SUM(D9:D12),'res_raw_75206119'!$D$11)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IF(ABS((SUM(B13:B15))-'res_raw_75206119'!$F$16)&lt;=2,SUM(B13:B15),'res_raw_75206119'!$F$16)</f>
        <v/>
      </c>
      <c r="C16" s="27">
        <f>IF(ABS((SUM(C13:C15))-'res_raw_75206119'!$E$16)&lt;=2,SUM(C13:C15),'res_raw_75206119'!$E$16)</f>
        <v/>
      </c>
      <c r="D16" s="27">
        <f>IF(ABS((SUM(D13:D15))-'res_raw_75206119'!$D$16)&lt;=2,SUM(D13:D15),'res_raw_75206119'!$D$16)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 Cake A/S (CVR 75206119)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fsa:RaisingOfLongtermDebt</t>
        </is>
      </c>
      <c r="C18" s="37" t="inlineStr">
        <is>
          <t>fsa:RaisingOfLongtermDebt</t>
        </is>
      </c>
      <c r="D18" s="38" t="n">
        <v>21828</v>
      </c>
      <c r="E18" s="38" t="n">
        <v>123</v>
      </c>
      <c r="F18" s="38" t="n">
        <v>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fsa:ReceivedDividendsFromAssociates</t>
        </is>
      </c>
      <c r="C19" s="34" t="inlineStr">
        <is>
          <t>fsa:ReceivedDividendsFromAssociates</t>
        </is>
      </c>
      <c r="D19" s="35" t="n">
        <v>14302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fsa:ReserveForCurrentValueAdjustmentsOfCurrencyGains</t>
        </is>
      </c>
      <c r="C20" s="37" t="inlineStr">
        <is>
          <t>fsa:ReserveForCurrentValueAdjustmentsOfCurrencyGains</t>
        </is>
      </c>
      <c r="D20" s="38" t="n">
        <v>-25596</v>
      </c>
      <c r="E20" s="38" t="n">
        <v>-34073</v>
      </c>
      <c r="F20" s="38" t="n">
        <v>3297</v>
      </c>
      <c r="G20" s="38" t="n">
        <v>12738</v>
      </c>
      <c r="H20" s="38" t="n">
        <v>20218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fsa:ReversalsOfRevaluationOfDisposedInvestments</t>
        </is>
      </c>
      <c r="C21" s="34" t="inlineStr">
        <is>
          <t>fsa:ReversalsOfRevaluationOfDisposedInvestments</t>
        </is>
      </c>
      <c r="D21" s="35" t="n"/>
      <c r="E21" s="35" t="n"/>
      <c r="F21" s="35" t="n">
        <v>0</v>
      </c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fsa:ShorttermPayablesToParticipatingInterest</t>
        </is>
      </c>
      <c r="C22" s="37" t="inlineStr">
        <is>
          <t>fsa:ShorttermPayablesToParticipatingInterest</t>
        </is>
      </c>
      <c r="D22" s="38" t="n"/>
      <c r="E22" s="38" t="n"/>
      <c r="F22" s="38" t="n">
        <v>478</v>
      </c>
      <c r="G22" s="38" t="n">
        <v>561</v>
      </c>
      <c r="H22" s="38" t="n">
        <v>0</v>
      </c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fsa:ShorttermReceivablesFromParticipatingInterests</t>
        </is>
      </c>
      <c r="C23" s="34" t="inlineStr">
        <is>
          <t>fsa:ShorttermReceivablesFromParticipatingInterests</t>
        </is>
      </c>
      <c r="D23" s="35" t="n"/>
      <c r="E23" s="35" t="n">
        <v>4145</v>
      </c>
      <c r="F23" s="35" t="n">
        <v>4124</v>
      </c>
      <c r="G23" s="35" t="n">
        <v>3464</v>
      </c>
      <c r="H23" s="35" t="n">
        <v>4513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fsa:WorkPerformedByEntityAndCapitalised</t>
        </is>
      </c>
      <c r="C24" s="37" t="inlineStr">
        <is>
          <t>fsa:WorkPerformedByEntityAndCapitalised</t>
        </is>
      </c>
      <c r="D24" s="38" t="n">
        <v>-588</v>
      </c>
      <c r="E24" s="38" t="n">
        <v>-217</v>
      </c>
      <c r="F24" s="38" t="n">
        <v>-1376</v>
      </c>
      <c r="G24" s="38" t="n">
        <v>-484</v>
      </c>
      <c r="H24" s="38" t="n">
        <v>-1827</v>
      </c>
      <c r="I2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2026-10-02T21:55:38Z</dcterms:created>
  <dcterms:modified xmlns:dcterms="http://purl.org/dc/terms/" xmlns:xsi="http://www.w3.org/2001/XMLSchema-instance" xsi:type="dcterms:W3CDTF">2026-10-02T21:55:39Z</dcterms:modified>
</cp:coreProperties>
</file>