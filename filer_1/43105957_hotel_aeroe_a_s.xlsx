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105957" sheetId="1" state="visible" r:id="rId1"/>
    <sheet xmlns:r="http://schemas.openxmlformats.org/officeDocument/2006/relationships" name="res_raw_43105957" sheetId="2" state="visible" r:id="rId2"/>
    <sheet xmlns:r="http://schemas.openxmlformats.org/officeDocument/2006/relationships" name="balance_raw_431059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Hotel Ærø A/S (CVR 43105957)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'res_raw_43105957'!$B$2</f>
        <v/>
      </c>
      <c r="C4" s="5">
        <f>'res_raw_43105957'!$C$2</f>
        <v/>
      </c>
      <c r="D4" s="5">
        <f>'res_raw_43105957'!$D$2</f>
        <v/>
      </c>
      <c r="E4" s="5">
        <f>'res_raw_43105957'!$E$2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'res_raw_43105957'!$B$3</f>
        <v/>
      </c>
      <c r="C5" s="8">
        <f>'res_raw_43105957'!$C$3</f>
        <v/>
      </c>
      <c r="D5" s="8">
        <f>'res_raw_43105957'!$D$3</f>
        <v/>
      </c>
      <c r="E5" s="8">
        <f>'res_raw_43105957'!$E$3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'res_raw_43105957'!$B$4</f>
        <v/>
      </c>
      <c r="C6" s="5">
        <f>'res_raw_43105957'!$C$4</f>
        <v/>
      </c>
      <c r="D6" s="5">
        <f>'res_raw_43105957'!$D$4</f>
        <v/>
      </c>
      <c r="E6" s="5">
        <f>'res_raw_43105957'!$E$4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'res_raw_43105957'!$B$5</f>
        <v/>
      </c>
      <c r="C7" s="8">
        <f>'res_raw_43105957'!$C$5</f>
        <v/>
      </c>
      <c r="D7" s="8">
        <f>'res_raw_43105957'!$D$5</f>
        <v/>
      </c>
      <c r="E7" s="8">
        <f>'res_raw_43105957'!$E$5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'res_raw_43105957'!$B$6</f>
        <v/>
      </c>
      <c r="C8" s="11">
        <f>'res_raw_43105957'!$C$6</f>
        <v/>
      </c>
      <c r="D8" s="11">
        <f>'res_raw_43105957'!$D$6</f>
        <v/>
      </c>
      <c r="E8" s="11">
        <f>'res_raw_43105957'!$E$6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'res_raw_43105957'!$B$7</f>
        <v/>
      </c>
      <c r="C9" s="8">
        <f>'res_raw_43105957'!$C$7</f>
        <v/>
      </c>
      <c r="D9" s="8">
        <f>'res_raw_43105957'!$D$7</f>
        <v/>
      </c>
      <c r="E9" s="8">
        <f>'res_raw_43105957'!$E$7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'res_raw_43105957'!$B$9</f>
        <v/>
      </c>
      <c r="C11" s="8">
        <f>'res_raw_43105957'!$C$9</f>
        <v/>
      </c>
      <c r="D11" s="8">
        <f>'res_raw_43105957'!$D$9</f>
        <v/>
      </c>
      <c r="E11" s="8">
        <f>'res_raw_43105957'!$E$9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'res_raw_43105957'!$B$10</f>
        <v/>
      </c>
      <c r="C12" s="5">
        <f>'res_raw_43105957'!$C$10</f>
        <v/>
      </c>
      <c r="D12" s="5">
        <f>'res_raw_43105957'!$D$10</f>
        <v/>
      </c>
      <c r="E12" s="5">
        <f>'res_raw_43105957'!$E$10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'res_raw_43105957'!$B$11</f>
        <v/>
      </c>
      <c r="C13" s="11">
        <f>'res_raw_43105957'!$C$11</f>
        <v/>
      </c>
      <c r="D13" s="11">
        <f>'res_raw_43105957'!$D$11</f>
        <v/>
      </c>
      <c r="E13" s="11">
        <f>'res_raw_43105957'!$E$11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'res_raw_43105957'!$B$12</f>
        <v/>
      </c>
      <c r="C14" s="5">
        <f>'res_raw_43105957'!$C$12</f>
        <v/>
      </c>
      <c r="D14" s="5">
        <f>'res_raw_43105957'!$D$12</f>
        <v/>
      </c>
      <c r="E14" s="5">
        <f>'res_raw_43105957'!$E$12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'res_raw_43105957'!$B$13</f>
        <v/>
      </c>
      <c r="C15" s="8">
        <f>'res_raw_43105957'!$C$13</f>
        <v/>
      </c>
      <c r="D15" s="8">
        <f>'res_raw_43105957'!$D$13</f>
        <v/>
      </c>
      <c r="E15" s="8">
        <f>'res_raw_43105957'!$E$13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'res_raw_43105957'!$B$14</f>
        <v/>
      </c>
      <c r="C16" s="5">
        <f>'res_raw_43105957'!$C$14</f>
        <v/>
      </c>
      <c r="D16" s="5">
        <f>'res_raw_43105957'!$D$14</f>
        <v/>
      </c>
      <c r="E16" s="5">
        <f>'res_raw_43105957'!$E$14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'res_raw_43105957'!$B$15</f>
        <v/>
      </c>
      <c r="C17" s="11">
        <f>'res_raw_43105957'!$C$15</f>
        <v/>
      </c>
      <c r="D17" s="11">
        <f>'res_raw_43105957'!$D$15</f>
        <v/>
      </c>
      <c r="E17" s="11">
        <f>'res_raw_43105957'!$E$15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'res_raw_43105957'!$B$16</f>
        <v/>
      </c>
      <c r="C18" s="11">
        <f>'res_raw_43105957'!$C$16</f>
        <v/>
      </c>
      <c r="D18" s="11">
        <f>'res_raw_43105957'!$D$16</f>
        <v/>
      </c>
      <c r="E18" s="11">
        <f>'res_raw_43105957'!$E$16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'res_raw_43105957'!$B$17</f>
        <v/>
      </c>
      <c r="C19" s="8">
        <f>'res_raw_43105957'!$C$17</f>
        <v/>
      </c>
      <c r="D19" s="8">
        <f>'res_raw_43105957'!$D$17</f>
        <v/>
      </c>
      <c r="E19" s="8">
        <f>'res_raw_43105957'!$E$17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'res_raw_43105957'!$B$18</f>
        <v/>
      </c>
      <c r="C20" s="11">
        <f>'res_raw_43105957'!$C$18</f>
        <v/>
      </c>
      <c r="D20" s="11">
        <f>'res_raw_43105957'!$D$18</f>
        <v/>
      </c>
      <c r="E20" s="11">
        <f>'res_raw_43105957'!$E$18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'balance_raw_43105957'!$B$2</f>
        <v/>
      </c>
      <c r="C23" s="8">
        <f>'balance_raw_43105957'!$C$2</f>
        <v/>
      </c>
      <c r="D23" s="8">
        <f>'balance_raw_43105957'!$D$2</f>
        <v/>
      </c>
      <c r="E23" s="8">
        <f>'balance_raw_43105957'!$E$2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'balance_raw_43105957'!$B$3</f>
        <v/>
      </c>
      <c r="C24" s="5">
        <f>'balance_raw_43105957'!$C$3</f>
        <v/>
      </c>
      <c r="D24" s="5">
        <f>'balance_raw_43105957'!$D$3</f>
        <v/>
      </c>
      <c r="E24" s="5">
        <f>'balance_raw_43105957'!$E$3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'balance_raw_43105957'!$B$4</f>
        <v/>
      </c>
      <c r="C25" s="8">
        <f>'balance_raw_43105957'!$C$4</f>
        <v/>
      </c>
      <c r="D25" s="8">
        <f>'balance_raw_43105957'!$D$4</f>
        <v/>
      </c>
      <c r="E25" s="8">
        <f>'balance_raw_43105957'!$E$4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'balance_raw_43105957'!$B$5</f>
        <v/>
      </c>
      <c r="C26" s="11">
        <f>'balance_raw_43105957'!$C$5</f>
        <v/>
      </c>
      <c r="D26" s="11">
        <f>'balance_raw_43105957'!$D$5</f>
        <v/>
      </c>
      <c r="E26" s="11">
        <f>'balance_raw_43105957'!$E$5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'balance_raw_43105957'!$B$6</f>
        <v/>
      </c>
      <c r="C27" s="8">
        <f>'balance_raw_43105957'!$C$6</f>
        <v/>
      </c>
      <c r="D27" s="8">
        <f>'balance_raw_43105957'!$D$6</f>
        <v/>
      </c>
      <c r="E27" s="8">
        <f>'balance_raw_43105957'!$E$6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'balance_raw_43105957'!$B$7</f>
        <v/>
      </c>
      <c r="C28" s="5">
        <f>'balance_raw_43105957'!$C$7</f>
        <v/>
      </c>
      <c r="D28" s="5">
        <f>'balance_raw_43105957'!$D$7</f>
        <v/>
      </c>
      <c r="E28" s="5">
        <f>'balance_raw_43105957'!$E$7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'balance_raw_43105957'!$B$8</f>
        <v/>
      </c>
      <c r="C29" s="8">
        <f>'balance_raw_43105957'!$C$8</f>
        <v/>
      </c>
      <c r="D29" s="8">
        <f>'balance_raw_43105957'!$D$8</f>
        <v/>
      </c>
      <c r="E29" s="8">
        <f>'balance_raw_43105957'!$E$8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'balance_raw_43105957'!$B$9</f>
        <v/>
      </c>
      <c r="C30" s="5">
        <f>'balance_raw_43105957'!$C$9</f>
        <v/>
      </c>
      <c r="D30" s="5">
        <f>'balance_raw_43105957'!$D$9</f>
        <v/>
      </c>
      <c r="E30" s="5">
        <f>'balance_raw_43105957'!$E$9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'balance_raw_43105957'!$B$10</f>
        <v/>
      </c>
      <c r="C31" s="8">
        <f>'balance_raw_43105957'!$C$10</f>
        <v/>
      </c>
      <c r="D31" s="8">
        <f>'balance_raw_43105957'!$D$10</f>
        <v/>
      </c>
      <c r="E31" s="8">
        <f>'balance_raw_43105957'!$E$10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'balance_raw_43105957'!$B$11</f>
        <v/>
      </c>
      <c r="C32" s="11">
        <f>'balance_raw_43105957'!$C$11</f>
        <v/>
      </c>
      <c r="D32" s="11">
        <f>'balance_raw_43105957'!$D$11</f>
        <v/>
      </c>
      <c r="E32" s="11">
        <f>'balance_raw_43105957'!$E$11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10" t="inlineStr">
        <is>
          <t>Anlægsaktiver</t>
        </is>
      </c>
      <c r="B33" s="11">
        <f>'balance_raw_43105957'!$B$12</f>
        <v/>
      </c>
      <c r="C33" s="11">
        <f>'balance_raw_43105957'!$C$12</f>
        <v/>
      </c>
      <c r="D33" s="11">
        <f>'balance_raw_43105957'!$D$12</f>
        <v/>
      </c>
      <c r="E33" s="11">
        <f>'balance_raw_43105957'!$E$12</f>
        <v/>
      </c>
      <c r="F33" t="inlineStr"/>
      <c r="G33" s="12">
        <f>IFERROR(B33/$B$33*100,"")</f>
        <v/>
      </c>
      <c r="H33" s="12">
        <f>IFERROR(C33/$B$33*100,"")</f>
        <v/>
      </c>
      <c r="I33" s="12">
        <f>IFERROR(D33/$B$33*100,"")</f>
        <v/>
      </c>
      <c r="J33" s="12">
        <f>IFERROR(E33/$B$33*100,"")</f>
        <v/>
      </c>
    </row>
    <row r="34" ht="16" customHeight="1">
      <c r="A34" s="4" t="inlineStr">
        <is>
          <t>Råvarer og hjælpematerialer</t>
        </is>
      </c>
      <c r="B34" s="5">
        <f>'balance_raw_43105957'!$B$13</f>
        <v/>
      </c>
      <c r="C34" s="5">
        <f>'balance_raw_43105957'!$C$13</f>
        <v/>
      </c>
      <c r="D34" s="5">
        <f>'balance_raw_43105957'!$D$13</f>
        <v/>
      </c>
      <c r="E34" s="5">
        <f>'balance_raw_43105957'!$E$13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Varer under fremstilling</t>
        </is>
      </c>
      <c r="B35" s="8">
        <f>'balance_raw_43105957'!$B$14</f>
        <v/>
      </c>
      <c r="C35" s="8">
        <f>'balance_raw_43105957'!$C$14</f>
        <v/>
      </c>
      <c r="D35" s="8">
        <f>'balance_raw_43105957'!$D$14</f>
        <v/>
      </c>
      <c r="E35" s="8">
        <f>'balance_raw_43105957'!$E$14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4" t="inlineStr">
        <is>
          <t>Færdigvarer og handelsvarer</t>
        </is>
      </c>
      <c r="B36" s="5">
        <f>'balance_raw_43105957'!$B$15</f>
        <v/>
      </c>
      <c r="C36" s="5">
        <f>'balance_raw_43105957'!$C$15</f>
        <v/>
      </c>
      <c r="D36" s="5">
        <f>'balance_raw_43105957'!$D$15</f>
        <v/>
      </c>
      <c r="E36" s="5">
        <f>'balance_raw_43105957'!$E$15</f>
        <v/>
      </c>
      <c r="F36" t="inlineStr"/>
      <c r="G36" s="6">
        <f>IFERROR(B36/$B$36*100,"")</f>
        <v/>
      </c>
      <c r="H36" s="6">
        <f>IFERROR(C36/$B$36*100,"")</f>
        <v/>
      </c>
      <c r="I36" s="6">
        <f>IFERROR(D36/$B$36*100,"")</f>
        <v/>
      </c>
      <c r="J36" s="6">
        <f>IFERROR(E36/$B$36*100,"")</f>
        <v/>
      </c>
    </row>
    <row r="37" ht="16" customHeight="1">
      <c r="A37" s="10" t="inlineStr">
        <is>
          <t>Varebeholdninger</t>
        </is>
      </c>
      <c r="B37" s="11">
        <f>'balance_raw_43105957'!$B$16</f>
        <v/>
      </c>
      <c r="C37" s="11">
        <f>'balance_raw_43105957'!$C$16</f>
        <v/>
      </c>
      <c r="D37" s="11">
        <f>'balance_raw_43105957'!$D$16</f>
        <v/>
      </c>
      <c r="E37" s="11">
        <f>'balance_raw_43105957'!$E$16</f>
        <v/>
      </c>
      <c r="F37" t="inlineStr"/>
      <c r="G37" s="12">
        <f>IFERROR(B37/$B$37*100,"")</f>
        <v/>
      </c>
      <c r="H37" s="12">
        <f>IFERROR(C37/$B$37*100,"")</f>
        <v/>
      </c>
      <c r="I37" s="12">
        <f>IFERROR(D37/$B$37*100,"")</f>
        <v/>
      </c>
      <c r="J37" s="12">
        <f>IFERROR(E37/$B$37*100,"")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'balance_raw_43105957'!$B$17</f>
        <v/>
      </c>
      <c r="C38" s="5">
        <f>'balance_raw_43105957'!$C$17</f>
        <v/>
      </c>
      <c r="D38" s="5">
        <f>'balance_raw_43105957'!$D$17</f>
        <v/>
      </c>
      <c r="E38" s="5">
        <f>'balance_raw_43105957'!$E$17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'balance_raw_43105957'!$B$18</f>
        <v/>
      </c>
      <c r="C39" s="8">
        <f>'balance_raw_43105957'!$C$18</f>
        <v/>
      </c>
      <c r="D39" s="8">
        <f>'balance_raw_43105957'!$D$18</f>
        <v/>
      </c>
      <c r="E39" s="8">
        <f>'balance_raw_43105957'!$E$18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Andre tilgodehavender</t>
        </is>
      </c>
      <c r="B40" s="5">
        <f>'balance_raw_43105957'!$B$19</f>
        <v/>
      </c>
      <c r="C40" s="5">
        <f>'balance_raw_43105957'!$C$19</f>
        <v/>
      </c>
      <c r="D40" s="5">
        <f>'balance_raw_43105957'!$D$19</f>
        <v/>
      </c>
      <c r="E40" s="5">
        <f>'balance_raw_43105957'!$E$19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Periodeafgrænsningsposter (aktiver)</t>
        </is>
      </c>
      <c r="B41" s="8">
        <f>'balance_raw_43105957'!$B$20</f>
        <v/>
      </c>
      <c r="C41" s="8">
        <f>'balance_raw_43105957'!$C$20</f>
        <v/>
      </c>
      <c r="D41" s="8">
        <f>'balance_raw_43105957'!$D$20</f>
        <v/>
      </c>
      <c r="E41" s="8">
        <f>'balance_raw_43105957'!$E$20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Udskudt skatteaktiv</t>
        </is>
      </c>
      <c r="B42" s="5">
        <f>'balance_raw_43105957'!$B$21</f>
        <v/>
      </c>
      <c r="C42" s="5">
        <f>'balance_raw_43105957'!$C$21</f>
        <v/>
      </c>
      <c r="D42" s="5">
        <f>'balance_raw_43105957'!$D$21</f>
        <v/>
      </c>
      <c r="E42" s="5">
        <f>'balance_raw_43105957'!$E$21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'balance_raw_43105957'!$B$22</f>
        <v/>
      </c>
      <c r="C43" s="8">
        <f>'balance_raw_43105957'!$C$22</f>
        <v/>
      </c>
      <c r="D43" s="8">
        <f>'balance_raw_43105957'!$D$22</f>
        <v/>
      </c>
      <c r="E43" s="8">
        <f>'balance_raw_43105957'!$E$22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Kortfristede skattetilgodehavender</t>
        </is>
      </c>
      <c r="B44" s="5">
        <f>'balance_raw_43105957'!$B$23</f>
        <v/>
      </c>
      <c r="C44" s="5">
        <f>'balance_raw_43105957'!$C$23</f>
        <v/>
      </c>
      <c r="D44" s="5">
        <f>'balance_raw_43105957'!$D$23</f>
        <v/>
      </c>
      <c r="E44" s="5">
        <f>'balance_raw_43105957'!$E$23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10" t="inlineStr">
        <is>
          <t>Tilgodehavender</t>
        </is>
      </c>
      <c r="B45" s="11">
        <f>'balance_raw_43105957'!$B$24</f>
        <v/>
      </c>
      <c r="C45" s="11">
        <f>'balance_raw_43105957'!$C$24</f>
        <v/>
      </c>
      <c r="D45" s="11">
        <f>'balance_raw_43105957'!$D$24</f>
        <v/>
      </c>
      <c r="E45" s="11">
        <f>'balance_raw_43105957'!$E$24</f>
        <v/>
      </c>
      <c r="F45" t="inlineStr"/>
      <c r="G45" s="12">
        <f>IFERROR(B45/$B$45*100,"")</f>
        <v/>
      </c>
      <c r="H45" s="12">
        <f>IFERROR(C45/$B$45*100,"")</f>
        <v/>
      </c>
      <c r="I45" s="12">
        <f>IFERROR(D45/$B$45*100,"")</f>
        <v/>
      </c>
      <c r="J45" s="12">
        <f>IFERROR(E45/$B$45*100,"")</f>
        <v/>
      </c>
    </row>
    <row r="46" ht="16" customHeight="1">
      <c r="A46" s="4" t="inlineStr">
        <is>
          <t>Værdipapirer</t>
        </is>
      </c>
      <c r="B46" s="5">
        <f>'balance_raw_43105957'!$B$25</f>
        <v/>
      </c>
      <c r="C46" s="5">
        <f>'balance_raw_43105957'!$C$25</f>
        <v/>
      </c>
      <c r="D46" s="5">
        <f>'balance_raw_43105957'!$D$25</f>
        <v/>
      </c>
      <c r="E46" s="5">
        <f>'balance_raw_43105957'!$E$25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Likvide beholdninger</t>
        </is>
      </c>
      <c r="B47" s="8">
        <f>'balance_raw_43105957'!$B$26</f>
        <v/>
      </c>
      <c r="C47" s="8">
        <f>'balance_raw_43105957'!$C$26</f>
        <v/>
      </c>
      <c r="D47" s="8">
        <f>'balance_raw_43105957'!$D$26</f>
        <v/>
      </c>
      <c r="E47" s="8">
        <f>'balance_raw_43105957'!$E$26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Omsætningsaktiver</t>
        </is>
      </c>
      <c r="B48" s="11">
        <f>'balance_raw_43105957'!$B$27</f>
        <v/>
      </c>
      <c r="C48" s="11">
        <f>'balance_raw_43105957'!$C$27</f>
        <v/>
      </c>
      <c r="D48" s="11">
        <f>'balance_raw_43105957'!$D$27</f>
        <v/>
      </c>
      <c r="E48" s="11">
        <f>'balance_raw_43105957'!$E$27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10" t="inlineStr">
        <is>
          <t>Aktiver</t>
        </is>
      </c>
      <c r="B49" s="11">
        <f>'balance_raw_43105957'!$B$28</f>
        <v/>
      </c>
      <c r="C49" s="11">
        <f>'balance_raw_43105957'!$C$28</f>
        <v/>
      </c>
      <c r="D49" s="11">
        <f>'balance_raw_43105957'!$D$28</f>
        <v/>
      </c>
      <c r="E49" s="11">
        <f>'balance_raw_43105957'!$E$28</f>
        <v/>
      </c>
      <c r="F49" t="inlineStr"/>
      <c r="G49" s="12">
        <f>IFERROR(B49/$B$49*100,"")</f>
        <v/>
      </c>
      <c r="H49" s="12">
        <f>IFERROR(C49/$B$49*100,"")</f>
        <v/>
      </c>
      <c r="I49" s="12">
        <f>IFERROR(D49/$B$49*100,"")</f>
        <v/>
      </c>
      <c r="J49" s="12">
        <f>IFERROR(E49/$B$49*100,"")</f>
        <v/>
      </c>
    </row>
    <row r="51" ht="22" customHeight="1">
      <c r="A51" s="3" t="inlineStr">
        <is>
          <t>PASSIVER t.kr.</t>
        </is>
      </c>
      <c r="B51" s="3" t="n">
        <v>2022</v>
      </c>
      <c r="C51" s="3" t="n">
        <v>2023</v>
      </c>
      <c r="D51" s="3" t="n">
        <v>2024</v>
      </c>
      <c r="E51" s="3" t="n">
        <v>2025</v>
      </c>
      <c r="F51" t="inlineStr"/>
      <c r="G51" s="3" t="n">
        <v>2022</v>
      </c>
      <c r="H51" s="3" t="n">
        <v>2023</v>
      </c>
      <c r="I51" s="3" t="n">
        <v>2024</v>
      </c>
      <c r="J51" s="3" t="n">
        <v>2025</v>
      </c>
    </row>
    <row r="52" ht="16" customHeight="1">
      <c r="A52" s="4" t="inlineStr">
        <is>
          <t>Selskabskapital</t>
        </is>
      </c>
      <c r="B52" s="5">
        <f>'balance_raw_43105957'!$B$29</f>
        <v/>
      </c>
      <c r="C52" s="5">
        <f>'balance_raw_43105957'!$C$29</f>
        <v/>
      </c>
      <c r="D52" s="5">
        <f>'balance_raw_43105957'!$D$29</f>
        <v/>
      </c>
      <c r="E52" s="5">
        <f>'balance_raw_43105957'!$E$29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'balance_raw_43105957'!$B$30</f>
        <v/>
      </c>
      <c r="C53" s="8">
        <f>'balance_raw_43105957'!$C$30</f>
        <v/>
      </c>
      <c r="D53" s="8">
        <f>'balance_raw_43105957'!$D$30</f>
        <v/>
      </c>
      <c r="E53" s="8">
        <f>'balance_raw_43105957'!$E$30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udviklingsomkostninger</t>
        </is>
      </c>
      <c r="B54" s="5">
        <f>'balance_raw_43105957'!$B$31</f>
        <v/>
      </c>
      <c r="C54" s="5">
        <f>'balance_raw_43105957'!$C$31</f>
        <v/>
      </c>
      <c r="D54" s="5">
        <f>'balance_raw_43105957'!$D$31</f>
        <v/>
      </c>
      <c r="E54" s="5">
        <f>'balance_raw_43105957'!$E$31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Reserve for sikringstransaktioner</t>
        </is>
      </c>
      <c r="B55" s="8">
        <f>'balance_raw_43105957'!$B$32</f>
        <v/>
      </c>
      <c r="C55" s="8">
        <f>'balance_raw_43105957'!$C$32</f>
        <v/>
      </c>
      <c r="D55" s="8">
        <f>'balance_raw_43105957'!$D$32</f>
        <v/>
      </c>
      <c r="E55" s="8">
        <f>'balance_raw_43105957'!$E$32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Andre reserver</t>
        </is>
      </c>
      <c r="B56" s="5">
        <f>'balance_raw_43105957'!$B$33</f>
        <v/>
      </c>
      <c r="C56" s="5">
        <f>'balance_raw_43105957'!$C$33</f>
        <v/>
      </c>
      <c r="D56" s="5">
        <f>'balance_raw_43105957'!$D$33</f>
        <v/>
      </c>
      <c r="E56" s="5">
        <f>'balance_raw_43105957'!$E$33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Overført resultat</t>
        </is>
      </c>
      <c r="B57" s="8">
        <f>'balance_raw_43105957'!$B$34</f>
        <v/>
      </c>
      <c r="C57" s="8">
        <f>'balance_raw_43105957'!$C$34</f>
        <v/>
      </c>
      <c r="D57" s="8">
        <f>'balance_raw_43105957'!$D$34</f>
        <v/>
      </c>
      <c r="E57" s="8">
        <f>'balance_raw_43105957'!$E$34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10" t="inlineStr">
        <is>
          <t>Egenkapital i alt</t>
        </is>
      </c>
      <c r="B58" s="11">
        <f>'balance_raw_43105957'!$B$35</f>
        <v/>
      </c>
      <c r="C58" s="11">
        <f>'balance_raw_43105957'!$C$35</f>
        <v/>
      </c>
      <c r="D58" s="11">
        <f>'balance_raw_43105957'!$D$35</f>
        <v/>
      </c>
      <c r="E58" s="11">
        <f>'balance_raw_43105957'!$E$35</f>
        <v/>
      </c>
      <c r="F58" t="inlineStr"/>
      <c r="G58" s="12">
        <f>IFERROR(B58/$B$58*100,"")</f>
        <v/>
      </c>
      <c r="H58" s="12">
        <f>IFERROR(C58/$B$58*100,"")</f>
        <v/>
      </c>
      <c r="I58" s="12">
        <f>IFERROR(D58/$B$58*100,"")</f>
        <v/>
      </c>
      <c r="J58" s="12">
        <f>IFERROR(E58/$B$58*100,"")</f>
        <v/>
      </c>
    </row>
    <row r="59" ht="16" customHeight="1">
      <c r="A59" s="7" t="inlineStr">
        <is>
          <t>Hensættelse til udskudt skat</t>
        </is>
      </c>
      <c r="B59" s="8">
        <f>'balance_raw_43105957'!$B$36</f>
        <v/>
      </c>
      <c r="C59" s="8">
        <f>'balance_raw_43105957'!$C$36</f>
        <v/>
      </c>
      <c r="D59" s="8">
        <f>'balance_raw_43105957'!$D$36</f>
        <v/>
      </c>
      <c r="E59" s="8">
        <f>'balance_raw_43105957'!$E$36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10" t="inlineStr">
        <is>
          <t>Hensatte forpligtelser</t>
        </is>
      </c>
      <c r="B60" s="11">
        <f>'balance_raw_43105957'!$B$37</f>
        <v/>
      </c>
      <c r="C60" s="11">
        <f>'balance_raw_43105957'!$C$37</f>
        <v/>
      </c>
      <c r="D60" s="11">
        <f>'balance_raw_43105957'!$D$37</f>
        <v/>
      </c>
      <c r="E60" s="11">
        <f>'balance_raw_43105957'!$E$37</f>
        <v/>
      </c>
      <c r="F60" t="inlineStr"/>
      <c r="G60" s="12">
        <f>IFERROR(B60/$B$60*100,"")</f>
        <v/>
      </c>
      <c r="H60" s="12">
        <f>IFERROR(C60/$B$60*100,"")</f>
        <v/>
      </c>
      <c r="I60" s="12">
        <f>IFERROR(D60/$B$60*100,"")</f>
        <v/>
      </c>
      <c r="J60" s="12">
        <f>IFERROR(E60/$B$60*100,"")</f>
        <v/>
      </c>
    </row>
    <row r="61" ht="16" customHeight="1">
      <c r="A61" s="10" t="inlineStr">
        <is>
          <t>Langfristede gældsforpligtelser</t>
        </is>
      </c>
      <c r="B61" s="11">
        <f>'balance_raw_43105957'!$B$38</f>
        <v/>
      </c>
      <c r="C61" s="11">
        <f>'balance_raw_43105957'!$C$38</f>
        <v/>
      </c>
      <c r="D61" s="11">
        <f>'balance_raw_43105957'!$D$38</f>
        <v/>
      </c>
      <c r="E61" s="11">
        <f>'balance_raw_43105957'!$E$38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Ansvarlig lånekapital (kortfristet)</t>
        </is>
      </c>
      <c r="B62" s="5">
        <f>'balance_raw_43105957'!$B$39</f>
        <v/>
      </c>
      <c r="C62" s="5">
        <f>'balance_raw_43105957'!$C$39</f>
        <v/>
      </c>
      <c r="D62" s="5">
        <f>'balance_raw_43105957'!$D$39</f>
        <v/>
      </c>
      <c r="E62" s="5">
        <f>'balance_raw_43105957'!$E$39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'balance_raw_43105957'!$B$40</f>
        <v/>
      </c>
      <c r="C63" s="8">
        <f>'balance_raw_43105957'!$C$40</f>
        <v/>
      </c>
      <c r="D63" s="8">
        <f>'balance_raw_43105957'!$D$40</f>
        <v/>
      </c>
      <c r="E63" s="8">
        <f>'balance_raw_43105957'!$E$40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4" t="inlineStr">
        <is>
          <t>Kreditinstitutter</t>
        </is>
      </c>
      <c r="B64" s="5">
        <f>'balance_raw_43105957'!$B$41</f>
        <v/>
      </c>
      <c r="C64" s="5">
        <f>'balance_raw_43105957'!$C$41</f>
        <v/>
      </c>
      <c r="D64" s="5">
        <f>'balance_raw_43105957'!$D$41</f>
        <v/>
      </c>
      <c r="E64" s="5">
        <f>'balance_raw_43105957'!$E$41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Leasingforpligtelser (kortfristet)</t>
        </is>
      </c>
      <c r="B65" s="8">
        <f>'balance_raw_43105957'!$B$42</f>
        <v/>
      </c>
      <c r="C65" s="8">
        <f>'balance_raw_43105957'!$C$42</f>
        <v/>
      </c>
      <c r="D65" s="8">
        <f>'balance_raw_43105957'!$D$42</f>
        <v/>
      </c>
      <c r="E65" s="8">
        <f>'balance_raw_43105957'!$E$42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'balance_raw_43105957'!$B$43</f>
        <v/>
      </c>
      <c r="C66" s="5">
        <f>'balance_raw_43105957'!$C$43</f>
        <v/>
      </c>
      <c r="D66" s="5">
        <f>'balance_raw_43105957'!$D$43</f>
        <v/>
      </c>
      <c r="E66" s="5">
        <f>'balance_raw_43105957'!$E$43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Gæld til tilknyttede virksomheder</t>
        </is>
      </c>
      <c r="B67" s="8">
        <f>'balance_raw_43105957'!$B$44</f>
        <v/>
      </c>
      <c r="C67" s="8">
        <f>'balance_raw_43105957'!$C$44</f>
        <v/>
      </c>
      <c r="D67" s="8">
        <f>'balance_raw_43105957'!$D$44</f>
        <v/>
      </c>
      <c r="E67" s="8">
        <f>'balance_raw_43105957'!$E$44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Gæld til selskabsdeltagere og ledelse</t>
        </is>
      </c>
      <c r="B68" s="5">
        <f>'balance_raw_43105957'!$B$45</f>
        <v/>
      </c>
      <c r="C68" s="5">
        <f>'balance_raw_43105957'!$C$45</f>
        <v/>
      </c>
      <c r="D68" s="5">
        <f>'balance_raw_43105957'!$D$45</f>
        <v/>
      </c>
      <c r="E68" s="5">
        <f>'balance_raw_43105957'!$E$45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Selskabsskat</t>
        </is>
      </c>
      <c r="B69" s="8">
        <f>'balance_raw_43105957'!$B$46</f>
        <v/>
      </c>
      <c r="C69" s="8">
        <f>'balance_raw_43105957'!$C$46</f>
        <v/>
      </c>
      <c r="D69" s="8">
        <f>'balance_raw_43105957'!$D$46</f>
        <v/>
      </c>
      <c r="E69" s="8">
        <f>'balance_raw_43105957'!$E$46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'balance_raw_43105957'!$B$47</f>
        <v/>
      </c>
      <c r="C70" s="5">
        <f>'balance_raw_43105957'!$C$47</f>
        <v/>
      </c>
      <c r="D70" s="5">
        <f>'balance_raw_43105957'!$D$47</f>
        <v/>
      </c>
      <c r="E70" s="5">
        <f>'balance_raw_43105957'!$E$47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Anden gæld (kortfristet)</t>
        </is>
      </c>
      <c r="B71" s="8">
        <f>'balance_raw_43105957'!$B$48</f>
        <v/>
      </c>
      <c r="C71" s="8">
        <f>'balance_raw_43105957'!$C$48</f>
        <v/>
      </c>
      <c r="D71" s="8">
        <f>'balance_raw_43105957'!$D$48</f>
        <v/>
      </c>
      <c r="E71" s="8">
        <f>'balance_raw_43105957'!$E$48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Periodeafgrænsningsposter (passiver)</t>
        </is>
      </c>
      <c r="B72" s="5">
        <f>'balance_raw_43105957'!$B$49</f>
        <v/>
      </c>
      <c r="C72" s="5">
        <f>'balance_raw_43105957'!$C$49</f>
        <v/>
      </c>
      <c r="D72" s="5">
        <f>'balance_raw_43105957'!$D$49</f>
        <v/>
      </c>
      <c r="E72" s="5">
        <f>'balance_raw_43105957'!$E$49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10" t="inlineStr">
        <is>
          <t>Kortfristede gældsforpligtelser</t>
        </is>
      </c>
      <c r="B73" s="11">
        <f>'balance_raw_43105957'!$B$50</f>
        <v/>
      </c>
      <c r="C73" s="11">
        <f>'balance_raw_43105957'!$C$50</f>
        <v/>
      </c>
      <c r="D73" s="11">
        <f>'balance_raw_43105957'!$D$50</f>
        <v/>
      </c>
      <c r="E73" s="11">
        <f>'balance_raw_43105957'!$E$50</f>
        <v/>
      </c>
      <c r="F73" t="inlineStr"/>
      <c r="G73" s="12">
        <f>IFERROR(B73/$B$73*100,"")</f>
        <v/>
      </c>
      <c r="H73" s="12">
        <f>IFERROR(C73/$B$73*100,"")</f>
        <v/>
      </c>
      <c r="I73" s="12">
        <f>IFERROR(D73/$B$73*100,"")</f>
        <v/>
      </c>
      <c r="J73" s="12">
        <f>IFERROR(E73/$B$73*100,"")</f>
        <v/>
      </c>
    </row>
    <row r="74" ht="16" customHeight="1">
      <c r="A74" s="10" t="inlineStr">
        <is>
          <t>Gældsforpligtelser</t>
        </is>
      </c>
      <c r="B74" s="11">
        <f>'balance_raw_43105957'!$B$51</f>
        <v/>
      </c>
      <c r="C74" s="11">
        <f>'balance_raw_43105957'!$C$51</f>
        <v/>
      </c>
      <c r="D74" s="11">
        <f>'balance_raw_43105957'!$D$51</f>
        <v/>
      </c>
      <c r="E74" s="11">
        <f>'balance_raw_43105957'!$E$51</f>
        <v/>
      </c>
      <c r="F74" t="inlineStr"/>
      <c r="G74" s="12">
        <f>IFERROR(B74/$B$74*100,"")</f>
        <v/>
      </c>
      <c r="H74" s="12">
        <f>IFERROR(C74/$B$74*100,"")</f>
        <v/>
      </c>
      <c r="I74" s="12">
        <f>IFERROR(D74/$B$74*100,"")</f>
        <v/>
      </c>
      <c r="J74" s="12">
        <f>IFERROR(E74/$B$74*100,"")</f>
        <v/>
      </c>
    </row>
    <row r="75" ht="16" customHeight="1">
      <c r="A75" s="10" t="inlineStr">
        <is>
          <t>Passiver</t>
        </is>
      </c>
      <c r="B75" s="11">
        <f>'balance_raw_43105957'!$B$52</f>
        <v/>
      </c>
      <c r="C75" s="11">
        <f>'balance_raw_43105957'!$C$52</f>
        <v/>
      </c>
      <c r="D75" s="11">
        <f>'balance_raw_43105957'!$D$52</f>
        <v/>
      </c>
      <c r="E75" s="11">
        <f>'balance_raw_43105957'!$E$52</f>
        <v/>
      </c>
      <c r="F75" t="inlineStr"/>
      <c r="G75" s="12">
        <f>IFERROR(B75/$B$75*100,"")</f>
        <v/>
      </c>
      <c r="H75" s="12">
        <f>IFERROR(C75/$B$75*100,"")</f>
        <v/>
      </c>
      <c r="I75" s="12">
        <f>IFERROR(D75/$B$75*100,"")</f>
        <v/>
      </c>
      <c r="J75" s="12">
        <f>IFERROR(E75/$B$75*100,"")</f>
        <v/>
      </c>
    </row>
    <row r="77" ht="22" customHeight="1">
      <c r="A77" s="3" t="inlineStr">
        <is>
          <t>NØGLEOPLYSNINGER</t>
        </is>
      </c>
      <c r="B77" s="3" t="n">
        <v>2022</v>
      </c>
      <c r="C77" s="3" t="n">
        <v>2023</v>
      </c>
      <c r="D77" s="3" t="n">
        <v>2024</v>
      </c>
      <c r="E77" s="3" t="n">
        <v>2025</v>
      </c>
    </row>
    <row r="78" ht="16" customHeight="1">
      <c r="A78" s="4" t="inlineStr">
        <is>
          <t>Gns. antal medarbejdere</t>
        </is>
      </c>
      <c r="B78" s="5">
        <f>'res_raw_43105957'!$B$19</f>
        <v/>
      </c>
      <c r="C78" s="5">
        <f>'res_raw_43105957'!$C$19</f>
        <v/>
      </c>
      <c r="D78" s="5">
        <f>'res_raw_43105957'!$D$19</f>
        <v/>
      </c>
      <c r="E78" s="5">
        <f>'res_raw_43105957'!$E$19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Investering i materielle anlægsaktiver</t>
        </is>
      </c>
      <c r="B79" s="8">
        <f>'res_raw_43105957'!$B$20</f>
        <v/>
      </c>
      <c r="C79" s="8">
        <f>'res_raw_43105957'!$C$20</f>
        <v/>
      </c>
      <c r="D79" s="8">
        <f>'res_raw_43105957'!$D$20</f>
        <v/>
      </c>
      <c r="E79" s="8">
        <f>'res_raw_43105957'!$E$20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1" ht="22" customHeight="1">
      <c r="A81" s="3" t="inlineStr">
        <is>
          <t>NØGLETAL</t>
        </is>
      </c>
      <c r="B81" s="3" t="n">
        <v>2022</v>
      </c>
      <c r="C81" s="3" t="n">
        <v>2023</v>
      </c>
      <c r="D81" s="3" t="n">
        <v>2024</v>
      </c>
      <c r="E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IFERROR(($B$13+$B$15+$B$14)/$B$49*100,"")</f>
        <v/>
      </c>
      <c r="C82" s="13">
        <f>IFERROR(($C$13+$C$15+$C$14)/$C$49*100,"")</f>
        <v/>
      </c>
      <c r="D82" s="13">
        <f>IFERROR(($D$13+$D$15+$D$14)/$D$49*100,"")</f>
        <v/>
      </c>
      <c r="E82" s="13">
        <f>IFERROR(($E$13+$E$15+$E$14)/$E$49*100,"")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</row>
    <row r="84" ht="16" customHeight="1">
      <c r="A84" s="4" t="inlineStr">
        <is>
          <t>Aktivernes omsætningshastighed, gange</t>
        </is>
      </c>
      <c r="B84" s="13">
        <f>IFERROR($B$4/$B$49,"")</f>
        <v/>
      </c>
      <c r="C84" s="13">
        <f>IFERROR($C$4/$C$49,"")</f>
        <v/>
      </c>
      <c r="D84" s="13">
        <f>IFERROR($D$4/$D$49,"")</f>
        <v/>
      </c>
      <c r="E84" s="13">
        <f>IFERROR($E$4/$E$49,"")</f>
        <v/>
      </c>
    </row>
    <row r="85" ht="16" customHeight="1">
      <c r="A85" s="7" t="inlineStr">
        <is>
          <t>Egenkapitalens forrentning, %</t>
        </is>
      </c>
      <c r="B85" s="14">
        <f>IFERROR($B$18/$B$58*100,"")</f>
        <v/>
      </c>
      <c r="C85" s="14">
        <f>IFERROR($C$18/$C$58*100,"")</f>
        <v/>
      </c>
      <c r="D85" s="14">
        <f>IFERROR($D$18/$D$58*100,"")</f>
        <v/>
      </c>
      <c r="E85" s="14">
        <f>IFERROR($E$18/$E$58*100,"")</f>
        <v/>
      </c>
    </row>
    <row r="86" ht="16" customHeight="1">
      <c r="A86" s="4" t="inlineStr">
        <is>
          <t>Gældsrente, %</t>
        </is>
      </c>
      <c r="B86" s="13">
        <f>IFERROR($B$16/($B$75-$B$58)*100,"")</f>
        <v/>
      </c>
      <c r="C86" s="13">
        <f>IFERROR($C$16/($C$75-$C$58)*100,"")</f>
        <v/>
      </c>
      <c r="D86" s="13">
        <f>IFERROR($D$16/($D$75-$D$58)*100,"")</f>
        <v/>
      </c>
      <c r="E86" s="13">
        <f>IFERROR($E$16/($E$75-$E$58)*100,"")</f>
        <v/>
      </c>
    </row>
    <row r="87" ht="16" customHeight="1">
      <c r="A87" s="7" t="inlineStr">
        <is>
          <t>Soliditetsgrad, %</t>
        </is>
      </c>
      <c r="B87" s="14">
        <f>IFERROR($B$58/$B$49*100,"")</f>
        <v/>
      </c>
      <c r="C87" s="14">
        <f>IFERROR($C$58/$C$49*100,"")</f>
        <v/>
      </c>
      <c r="D87" s="14">
        <f>IFERROR($D$58/$D$49*100,"")</f>
        <v/>
      </c>
      <c r="E87" s="14">
        <f>IFERROR($E$58/$E$49*100,"")</f>
        <v/>
      </c>
    </row>
    <row r="88" ht="16" customHeight="1">
      <c r="A88" s="4" t="inlineStr">
        <is>
          <t>Gearing</t>
        </is>
      </c>
      <c r="B88" s="13">
        <f>IFERROR(($B$75-$B$58)/$B$58,"")</f>
        <v/>
      </c>
      <c r="C88" s="13">
        <f>IFERROR(($C$75-$C$58)/$C$58,"")</f>
        <v/>
      </c>
      <c r="D88" s="13">
        <f>IFERROR(($D$75-$D$58)/$D$58,"")</f>
        <v/>
      </c>
      <c r="E88" s="13">
        <f>IFERROR(($E$75-$E$58)/$E$58,"")</f>
        <v/>
      </c>
    </row>
    <row r="89" ht="16" customHeight="1">
      <c r="A89" s="7" t="inlineStr">
        <is>
          <t>Likviditetsgrad, %</t>
        </is>
      </c>
      <c r="B89" s="14">
        <f>IFERROR($B$48/$B$73*100,"")</f>
        <v/>
      </c>
      <c r="C89" s="14">
        <f>IFERROR($C$48/$C$73*100,"")</f>
        <v/>
      </c>
      <c r="D89" s="14">
        <f>IFERROR($D$48/$D$73*100,"")</f>
        <v/>
      </c>
      <c r="E89" s="14">
        <f>IFERROR($E$48/$E$73*100,"")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</row>
    <row r="91" ht="16" customHeight="1">
      <c r="A91" s="7" t="inlineStr">
        <is>
          <t>Gældsandel, %</t>
        </is>
      </c>
      <c r="B91" s="14">
        <f>IFERROR(($B$75-$B$58)/$B$49*100,"")</f>
        <v/>
      </c>
      <c r="C91" s="14">
        <f>IFERROR(($C$75-$C$58)/$C$49*100,"")</f>
        <v/>
      </c>
      <c r="D91" s="14">
        <f>IFERROR(($D$75-$D$58)/$D$49*100,"")</f>
        <v/>
      </c>
      <c r="E91" s="14">
        <f>IFERROR(($E$75-$E$58)/$E$49*100,"")</f>
        <v/>
      </c>
    </row>
    <row r="92" ht="16" customHeight="1">
      <c r="A92" s="4" t="inlineStr">
        <is>
          <t>Kapitalbindingsgrad, %</t>
        </is>
      </c>
      <c r="B92" s="13">
        <f>IFERROR($B$33/($B$58+$B$61)*100,"")</f>
        <v/>
      </c>
      <c r="C92" s="13">
        <f>IFERROR($C$33/($C$58+$C$61)*100,"")</f>
        <v/>
      </c>
      <c r="D92" s="13">
        <f>IFERROR($D$33/($D$58+$D$61)*100,"")</f>
        <v/>
      </c>
      <c r="E92" s="13">
        <f>IFERROR($E$33/($E$58+$E$61)*100,"")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10629</v>
      </c>
      <c r="D6" s="16" t="n">
        <v>10335</v>
      </c>
      <c r="E6" s="16" t="n">
        <v>12976</v>
      </c>
    </row>
    <row r="7">
      <c r="A7" s="15" t="inlineStr">
        <is>
          <t>Personaleomkostninger</t>
        </is>
      </c>
      <c r="B7" s="16" t="n"/>
      <c r="C7" s="16" t="n">
        <v>7767</v>
      </c>
      <c r="D7" s="16" t="n">
        <v>7298</v>
      </c>
      <c r="E7" s="16" t="n">
        <v>8316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975</v>
      </c>
      <c r="D9" s="16" t="n">
        <v>916</v>
      </c>
      <c r="E9" s="16" t="n">
        <v>1035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1887</v>
      </c>
      <c r="D11" s="16" t="n">
        <v>2121</v>
      </c>
      <c r="E11" s="16" t="n">
        <v>3625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58</v>
      </c>
      <c r="D13" s="16" t="n">
        <v>43</v>
      </c>
      <c r="E13" s="16" t="n">
        <v>1</v>
      </c>
    </row>
    <row r="14">
      <c r="A14" s="15" t="inlineStr">
        <is>
          <t>Finansielle omkostninger</t>
        </is>
      </c>
      <c r="B14" s="16" t="n"/>
      <c r="C14" s="16" t="n">
        <v>635</v>
      </c>
      <c r="D14" s="16" t="n">
        <v>1038</v>
      </c>
      <c r="E14" s="16" t="n">
        <v>945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1310</v>
      </c>
      <c r="D16" s="16" t="n">
        <v>1126</v>
      </c>
      <c r="E16" s="16" t="n">
        <v>2681</v>
      </c>
    </row>
    <row r="17">
      <c r="A17" s="15" t="inlineStr">
        <is>
          <t>Skat af årets resultat</t>
        </is>
      </c>
      <c r="B17" s="16" t="n"/>
      <c r="C17" s="16" t="n">
        <v>288</v>
      </c>
      <c r="D17" s="16" t="n">
        <v>252</v>
      </c>
      <c r="E17" s="16" t="n">
        <v>600</v>
      </c>
    </row>
    <row r="18">
      <c r="A18" s="17" t="inlineStr">
        <is>
          <t>Årets resultat</t>
        </is>
      </c>
      <c r="B18" s="16" t="n"/>
      <c r="C18" s="16" t="n">
        <v>1022</v>
      </c>
      <c r="D18" s="16" t="n">
        <v>874</v>
      </c>
      <c r="E18" s="16" t="n">
        <v>2081</v>
      </c>
    </row>
    <row r="19">
      <c r="A19" s="15" t="inlineStr">
        <is>
          <t>Gns. antal medarbejdere</t>
        </is>
      </c>
      <c r="B19" s="16" t="n"/>
      <c r="C19" s="16" t="n">
        <v>20</v>
      </c>
      <c r="D19" s="16" t="n">
        <v>16</v>
      </c>
      <c r="E19" s="16" t="n">
        <v>18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/>
      <c r="C4" s="16" t="n">
        <v>446</v>
      </c>
      <c r="D4" s="16" t="n">
        <v>396</v>
      </c>
      <c r="E4" s="16" t="n">
        <v>346</v>
      </c>
    </row>
    <row r="5">
      <c r="A5" s="17" t="inlineStr">
        <is>
          <t>Immaterielle anlægsaktiver</t>
        </is>
      </c>
      <c r="B5" s="16" t="n"/>
      <c r="C5" s="16" t="n">
        <v>446</v>
      </c>
      <c r="D5" s="16" t="n">
        <v>396</v>
      </c>
      <c r="E5" s="16" t="n">
        <v>346</v>
      </c>
    </row>
    <row r="6">
      <c r="A6" s="15" t="inlineStr">
        <is>
          <t>Grunde og bygninger</t>
        </is>
      </c>
      <c r="B6" s="16" t="n"/>
      <c r="C6" s="16" t="n">
        <v>40542</v>
      </c>
      <c r="D6" s="16" t="n">
        <v>40129</v>
      </c>
      <c r="E6" s="16" t="n">
        <v>44144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/>
      <c r="C8" s="16" t="n">
        <v>2408</v>
      </c>
      <c r="D8" s="16" t="n">
        <v>2200</v>
      </c>
      <c r="E8" s="16" t="n">
        <v>2289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</row>
    <row r="10">
      <c r="A10" s="15" t="inlineStr">
        <is>
          <t>Forudbetaling og anlægsaktiver under opførelse</t>
        </is>
      </c>
      <c r="B10" s="16" t="n"/>
      <c r="C10" s="16" t="n">
        <v>0</v>
      </c>
      <c r="D10" s="16" t="n">
        <v>4035</v>
      </c>
      <c r="E10" s="16" t="n">
        <v>0</v>
      </c>
    </row>
    <row r="11">
      <c r="A11" s="17" t="inlineStr">
        <is>
          <t>Materielle anlægsaktiver</t>
        </is>
      </c>
      <c r="B11" s="16" t="n"/>
      <c r="C11" s="16" t="n">
        <v>42950</v>
      </c>
      <c r="D11" s="16" t="n">
        <v>46364</v>
      </c>
      <c r="E11" s="16" t="n">
        <v>46433</v>
      </c>
    </row>
    <row r="12">
      <c r="A12" s="17" t="inlineStr">
        <is>
          <t>Anlægsaktiver</t>
        </is>
      </c>
      <c r="B12" s="16" t="n"/>
      <c r="C12" s="16" t="n">
        <v>43396</v>
      </c>
      <c r="D12" s="16" t="n">
        <v>46760</v>
      </c>
      <c r="E12" s="16" t="n">
        <v>46779</v>
      </c>
    </row>
    <row r="13">
      <c r="A13" s="15" t="inlineStr">
        <is>
          <t>Råvarer og hjælpematerialer</t>
        </is>
      </c>
      <c r="B13" s="16" t="n"/>
      <c r="C13" s="16" t="n">
        <v>130</v>
      </c>
      <c r="D13" s="16" t="n">
        <v>147</v>
      </c>
      <c r="E13" s="16" t="n">
        <v>180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</row>
    <row r="15">
      <c r="A15" s="15" t="inlineStr">
        <is>
          <t>Færdigvarer og handelsvarer</t>
        </is>
      </c>
      <c r="B15" s="16" t="n"/>
      <c r="C15" s="16" t="n"/>
      <c r="D15" s="16" t="n"/>
      <c r="E15" s="16" t="n"/>
    </row>
    <row r="16">
      <c r="A16" s="17" t="inlineStr">
        <is>
          <t>Varebeholdninger</t>
        </is>
      </c>
      <c r="B16" s="16" t="n"/>
      <c r="C16" s="16" t="n">
        <v>130</v>
      </c>
      <c r="D16" s="16" t="n">
        <v>147</v>
      </c>
      <c r="E16" s="16" t="n">
        <v>180</v>
      </c>
    </row>
    <row r="17">
      <c r="A17" s="15" t="inlineStr">
        <is>
          <t>Tilgodehavender fra salg og tjenesteydelser</t>
        </is>
      </c>
      <c r="B17" s="16" t="n"/>
      <c r="C17" s="16" t="n">
        <v>355</v>
      </c>
      <c r="D17" s="16" t="n">
        <v>170</v>
      </c>
      <c r="E17" s="16" t="n">
        <v>178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</row>
    <row r="20">
      <c r="A20" s="15" t="inlineStr">
        <is>
          <t>Periodeafgrænsningsposter (aktiver)</t>
        </is>
      </c>
      <c r="B20" s="16" t="n"/>
      <c r="C20" s="16" t="n">
        <v>65</v>
      </c>
      <c r="D20" s="16" t="n">
        <v>69</v>
      </c>
      <c r="E20" s="16" t="n">
        <v>80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>
        <v>1</v>
      </c>
      <c r="E22" s="16" t="n">
        <v>0</v>
      </c>
    </row>
    <row r="23">
      <c r="A23" s="15" t="inlineStr">
        <is>
          <t>Kortfristede skattetilgodehavender</t>
        </is>
      </c>
      <c r="B23" s="16" t="n"/>
      <c r="C23" s="16" t="n">
        <v>0</v>
      </c>
      <c r="D23" s="16" t="n"/>
      <c r="E23" s="16" t="n"/>
    </row>
    <row r="24">
      <c r="A24" s="17" t="inlineStr">
        <is>
          <t>Tilgodehavender</t>
        </is>
      </c>
      <c r="B24" s="16" t="n"/>
      <c r="C24" s="16" t="n">
        <v>420</v>
      </c>
      <c r="D24" s="16" t="n">
        <v>240</v>
      </c>
      <c r="E24" s="16" t="n">
        <v>258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</row>
    <row r="26">
      <c r="A26" s="15" t="inlineStr">
        <is>
          <t>Likvide beholdninger</t>
        </is>
      </c>
      <c r="B26" s="16" t="n"/>
      <c r="C26" s="16" t="n">
        <v>52</v>
      </c>
      <c r="D26" s="16" t="n">
        <v>31</v>
      </c>
      <c r="E26" s="16" t="n">
        <v>38</v>
      </c>
    </row>
    <row r="27">
      <c r="A27" s="17" t="inlineStr">
        <is>
          <t>Omsætningsaktiver</t>
        </is>
      </c>
      <c r="B27" s="16" t="n"/>
      <c r="C27" s="16" t="n">
        <v>602</v>
      </c>
      <c r="D27" s="16" t="n">
        <v>418</v>
      </c>
      <c r="E27" s="16" t="n">
        <v>476</v>
      </c>
    </row>
    <row r="28">
      <c r="A28" s="17" t="inlineStr">
        <is>
          <t>Aktiver</t>
        </is>
      </c>
      <c r="B28" s="16" t="n"/>
      <c r="C28" s="16" t="n">
        <v>43998</v>
      </c>
      <c r="D28" s="16" t="n">
        <v>47178</v>
      </c>
      <c r="E28" s="16" t="n">
        <v>47255</v>
      </c>
    </row>
    <row r="29">
      <c r="A29" s="15" t="inlineStr">
        <is>
          <t>Selskabskapital</t>
        </is>
      </c>
      <c r="B29" s="16" t="n"/>
      <c r="C29" s="16" t="n">
        <v>5000</v>
      </c>
      <c r="D29" s="16" t="n">
        <v>5000</v>
      </c>
      <c r="E29" s="16" t="n">
        <v>5000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</row>
    <row r="34">
      <c r="A34" s="15" t="inlineStr">
        <is>
          <t>Overført resultat</t>
        </is>
      </c>
      <c r="B34" s="16" t="n"/>
      <c r="C34" s="16" t="n">
        <v>1022</v>
      </c>
      <c r="D34" s="16" t="n">
        <v>16896</v>
      </c>
      <c r="E34" s="16" t="n">
        <v>18977</v>
      </c>
    </row>
    <row r="35">
      <c r="A35" s="17" t="inlineStr">
        <is>
          <t>Egenkapital i alt</t>
        </is>
      </c>
      <c r="B35" s="16" t="n">
        <v>40</v>
      </c>
      <c r="C35" s="16" t="n">
        <v>21022</v>
      </c>
      <c r="D35" s="16" t="n">
        <v>21896</v>
      </c>
      <c r="E35" s="16" t="n">
        <v>23977</v>
      </c>
    </row>
    <row r="36">
      <c r="A36" s="15" t="inlineStr">
        <is>
          <t>Hensættelse til udskudt skat</t>
        </is>
      </c>
      <c r="B36" s="16" t="n"/>
      <c r="C36" s="16" t="n">
        <v>280</v>
      </c>
      <c r="D36" s="16" t="n">
        <v>542</v>
      </c>
      <c r="E36" s="16" t="n">
        <v>893</v>
      </c>
    </row>
    <row r="37">
      <c r="A37" s="17" t="inlineStr">
        <is>
          <t>Hensatte forpligtelser</t>
        </is>
      </c>
      <c r="B37" s="16" t="n"/>
      <c r="C37" s="16" t="n">
        <v>280</v>
      </c>
      <c r="D37" s="16" t="n">
        <v>542</v>
      </c>
      <c r="E37" s="16" t="n">
        <v>893</v>
      </c>
    </row>
    <row r="38">
      <c r="A38" s="17" t="inlineStr">
        <is>
          <t>Langfristede gældsforpligtelser</t>
        </is>
      </c>
      <c r="B38" s="16" t="n"/>
      <c r="C38" s="16" t="n"/>
      <c r="D38" s="16" t="n">
        <v>0</v>
      </c>
      <c r="E38" s="16" t="n">
        <v>249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</row>
    <row r="41">
      <c r="A41" s="15" t="inlineStr">
        <is>
          <t>Kreditinstitutter</t>
        </is>
      </c>
      <c r="B41" s="16" t="n"/>
      <c r="C41" s="16" t="n">
        <v>19725</v>
      </c>
      <c r="D41" s="16" t="n">
        <v>20342</v>
      </c>
      <c r="E41" s="16" t="n">
        <v>2732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</row>
    <row r="43">
      <c r="A43" s="15" t="inlineStr">
        <is>
          <t>Leverandører af varer og tjenesteydelser</t>
        </is>
      </c>
      <c r="B43" s="16" t="n"/>
      <c r="C43" s="16" t="n">
        <v>1152</v>
      </c>
      <c r="D43" s="16" t="n">
        <v>2046</v>
      </c>
      <c r="E43" s="16" t="n">
        <v>1088</v>
      </c>
    </row>
    <row r="44">
      <c r="A44" s="15" t="inlineStr">
        <is>
          <t>Gæld til tilknyttede virksomheder</t>
        </is>
      </c>
      <c r="B44" s="16" t="n"/>
      <c r="C44" s="16" t="n">
        <v>1012</v>
      </c>
      <c r="D44" s="16" t="n">
        <v>1804</v>
      </c>
      <c r="E44" s="16" t="n">
        <v>16847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</row>
    <row r="46">
      <c r="A46" s="15" t="inlineStr">
        <is>
          <t>Selskabsskat</t>
        </is>
      </c>
      <c r="B46" s="16" t="n"/>
      <c r="C46" s="16" t="n">
        <v>9</v>
      </c>
      <c r="D46" s="16" t="n"/>
      <c r="E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</row>
    <row r="48">
      <c r="A48" s="15" t="inlineStr">
        <is>
          <t>Anden gæld (kortfristet)</t>
        </is>
      </c>
      <c r="B48" s="16" t="n"/>
      <c r="C48" s="16" t="n"/>
      <c r="D48" s="16" t="n">
        <v>4</v>
      </c>
      <c r="E48" s="16" t="n">
        <v>977</v>
      </c>
    </row>
    <row r="49">
      <c r="A49" s="15" t="inlineStr">
        <is>
          <t>Periodeafgrænsningsposter (passiver)</t>
        </is>
      </c>
      <c r="B49" s="16" t="n"/>
      <c r="C49" s="16" t="n">
        <v>98</v>
      </c>
      <c r="D49" s="16" t="n">
        <v>544</v>
      </c>
      <c r="E49" s="16" t="n">
        <v>492</v>
      </c>
    </row>
    <row r="50">
      <c r="A50" s="17" t="inlineStr">
        <is>
          <t>Kortfristede gældsforpligtelser</t>
        </is>
      </c>
      <c r="B50" s="16" t="n"/>
      <c r="C50" s="16" t="n">
        <v>22697</v>
      </c>
      <c r="D50" s="16" t="n">
        <v>24740</v>
      </c>
      <c r="E50" s="16" t="n">
        <v>22136</v>
      </c>
    </row>
    <row r="51">
      <c r="A51" s="17" t="inlineStr">
        <is>
          <t>Gældsforpligtelser</t>
        </is>
      </c>
      <c r="B51" s="16" t="n"/>
      <c r="C51" s="16" t="n">
        <v>22697</v>
      </c>
      <c r="D51" s="16" t="n">
        <v>24740</v>
      </c>
      <c r="E51" s="16" t="n">
        <v>22385</v>
      </c>
    </row>
    <row r="52">
      <c r="A52" s="17" t="inlineStr">
        <is>
          <t>Passiver</t>
        </is>
      </c>
      <c r="B52" s="16" t="n"/>
      <c r="C52" s="16" t="n">
        <v>43998</v>
      </c>
      <c r="D52" s="16" t="n">
        <v>47178</v>
      </c>
      <c r="E52" s="16" t="n">
        <v>47255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Ærø A/S (CVR 43105957) — Regnskabs- og nøgletal (CVR: 43105957)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'res_raw_43105957'!$E$2</f>
        <v/>
      </c>
      <c r="C5" s="24">
        <f>'res_raw_43105957'!$D$2</f>
        <v/>
      </c>
      <c r="D5" s="24">
        <f>'res_raw_43105957'!$C$2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'res_raw_43105957'!$E$3</f>
        <v/>
      </c>
      <c r="C6" s="24">
        <f>'res_raw_43105957'!$D$3</f>
        <v/>
      </c>
      <c r="D6" s="24">
        <f>'res_raw_43105957'!$C$3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-'res_raw_43105957'!$E$4</f>
        <v/>
      </c>
      <c r="C7" s="24">
        <f>-'res_raw_43105957'!$D$4</f>
        <v/>
      </c>
      <c r="D7" s="24">
        <f>-'res_raw_43105957'!$C$4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-'res_raw_43105957'!$E$5</f>
        <v/>
      </c>
      <c r="C8" s="24">
        <f>-'res_raw_43105957'!$D$5</f>
        <v/>
      </c>
      <c r="D8" s="24">
        <f>-'res_raw_43105957'!$C$5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-'res_raw_43105957'!$E$7</f>
        <v/>
      </c>
      <c r="C10" s="24">
        <f>-'res_raw_43105957'!$D$7</f>
        <v/>
      </c>
      <c r="D10" s="24">
        <f>-'res_raw_43105957'!$C$7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-'res_raw_43105957'!$E$9</f>
        <v/>
      </c>
      <c r="C11" s="24">
        <f>-'res_raw_43105957'!$D$9</f>
        <v/>
      </c>
      <c r="D11" s="24">
        <f>-'res_raw_43105957'!$C$9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-'res_raw_43105957'!$E$10</f>
        <v/>
      </c>
      <c r="C12" s="24">
        <f>-'res_raw_43105957'!$D$10</f>
        <v/>
      </c>
      <c r="D12" s="24">
        <f>-'res_raw_43105957'!$C$10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N('res_raw_43105957'!$E$12)+N('res_raw_43105957'!$E$13)</f>
        <v/>
      </c>
      <c r="C14" s="24">
        <f>N('res_raw_43105957'!$D$12)+N('res_raw_43105957'!$D$13)</f>
        <v/>
      </c>
      <c r="D14" s="24">
        <f>N('res_raw_43105957'!$C$12)+N('res_raw_43105957'!$C$13)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-'res_raw_43105957'!$E$14</f>
        <v/>
      </c>
      <c r="C15" s="24">
        <f>-'res_raw_43105957'!$D$14</f>
        <v/>
      </c>
      <c r="D15" s="24">
        <f>-'res_raw_43105957'!$C$14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'balance_raw_43105957'!$E$12</f>
        <v/>
      </c>
      <c r="C19" s="24">
        <f>'balance_raw_43105957'!$D$12</f>
        <v/>
      </c>
      <c r="D19" s="24">
        <f>'balance_raw_43105957'!$C$12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'balance_raw_43105957'!$E$27</f>
        <v/>
      </c>
      <c r="C20" s="24">
        <f>'balance_raw_43105957'!$D$27</f>
        <v/>
      </c>
      <c r="D20" s="24">
        <f>'balance_raw_43105957'!$C$27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'balance_raw_43105957'!$E$35</f>
        <v/>
      </c>
      <c r="C23" s="24">
        <f>'balance_raw_43105957'!$D$35</f>
        <v/>
      </c>
      <c r="D23" s="24">
        <f>'balance_raw_43105957'!$C$35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'balance_raw_43105957'!$E$52-'balance_raw_43105957'!$E$35</f>
        <v/>
      </c>
      <c r="C24" s="24">
        <f>'balance_raw_43105957'!$D$52-'balance_raw_43105957'!$D$35</f>
        <v/>
      </c>
      <c r="D24" s="24">
        <f>'balance_raw_43105957'!$C$52-'balance_raw_43105957'!$C$35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'balance_raw_43105957'!$E$16</f>
        <v/>
      </c>
      <c r="C28" s="24">
        <f>'balance_raw_43105957'!$D$16</f>
        <v/>
      </c>
      <c r="D28" s="24">
        <f>'balance_raw_43105957'!$C$16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'balance_raw_43105957'!$E$17</f>
        <v/>
      </c>
      <c r="C29" s="24">
        <f>'balance_raw_43105957'!$D$17</f>
        <v/>
      </c>
      <c r="D29" s="24">
        <f>'balance_raw_43105957'!$C$17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'balance_raw_43105957'!$E$50</f>
        <v/>
      </c>
      <c r="C30" s="24">
        <f>'balance_raw_43105957'!$D$50</f>
        <v/>
      </c>
      <c r="D30" s="24">
        <f>'balance_raw_43105957'!$C$50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IF('balance_raw_43105957'!$E$28="","—",IF(ABS(B21-'balance_raw_43105957'!$E$28)&lt;=1,"✓ OK","❌ "&amp;TEXT(B21-'balance_raw_43105957'!$E$28,"+#,##0;-#,##0")&amp;" t.kr."))</f>
        <v/>
      </c>
      <c r="C61" s="29">
        <f>IF('balance_raw_43105957'!$D$28="","—",IF(ABS(C21-'balance_raw_43105957'!$D$28)&lt;=1,"✓ OK","❌ "&amp;TEXT(C21-'balance_raw_43105957'!$D$28,"+#,##0;-#,##0")&amp;" t.kr."))</f>
        <v/>
      </c>
      <c r="D61" s="29">
        <f>IF('balance_raw_43105957'!$C$28="","—",IF(ABS(D21-'balance_raw_43105957'!$C$28)&lt;=1,"✓ OK","❌ "&amp;TEXT(D21-'balance_raw_43105957'!$C$28,"+#,##0;-#,##0")&amp;"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IF('balance_raw_43105957'!$E$52="","—",IF(ABS(B25-'balance_raw_43105957'!$E$52)&lt;=1,"✓ OK","❌ "&amp;TEXT(B25-'balance_raw_43105957'!$E$52,"+#,##0;-#,##0")&amp;" t.kr."))</f>
        <v/>
      </c>
      <c r="C62" s="29">
        <f>IF('balance_raw_43105957'!$D$52="","—",IF(ABS(C25-'balance_raw_43105957'!$D$52)&lt;=1,"✓ OK","❌ "&amp;TEXT(C25-'balance_raw_43105957'!$D$52,"+#,##0;-#,##0")&amp;" t.kr."))</f>
        <v/>
      </c>
      <c r="D62" s="29">
        <f>IF('balance_raw_43105957'!$C$52="","—",IF(ABS(D25-'balance_raw_43105957'!$C$52)&lt;=1,"✓ OK","❌ "&amp;TEXT(D25-'balance_raw_43105957'!$C$52,"+#,##0;-#,##0")&amp;"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IF('res_raw_43105957'!$E$6="","—",IF(ABS(B9-'res_raw_43105957'!$E$6)&lt;=1,"✓ OK","❌ "&amp;TEXT(B9-'res_raw_43105957'!$E$6,"+#,##0;-#,##0")&amp;" t.kr."))</f>
        <v/>
      </c>
      <c r="C64" s="29">
        <f>IF('res_raw_43105957'!$D$6="","—",IF(ABS(C9-'res_raw_43105957'!$D$6)&lt;=1,"✓ OK","❌ "&amp;TEXT(C9-'res_raw_43105957'!$D$6,"+#,##0;-#,##0")&amp;" t.kr."))</f>
        <v/>
      </c>
      <c r="D64" s="29">
        <f>IF('res_raw_43105957'!$C$6="","—",IF(ABS(D9-'res_raw_43105957'!$C$6)&lt;=1,"✓ OK","❌ "&amp;TEXT(D9-'res_raw_43105957'!$C$6,"+#,##0;-#,##0")&amp;"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IF('res_raw_43105957'!$E$11="","—",IF(ABS(B13-'res_raw_43105957'!$E$11)&lt;=1,"✓ OK","❌ "&amp;TEXT(B13-'res_raw_43105957'!$E$11,"+#,##0;-#,##0")&amp;" t.kr."))</f>
        <v/>
      </c>
      <c r="C65" s="29">
        <f>IF('res_raw_43105957'!$D$11="","—",IF(ABS(C13-'res_raw_43105957'!$D$11)&lt;=1,"✓ OK","❌ "&amp;TEXT(C13-'res_raw_43105957'!$D$11,"+#,##0;-#,##0")&amp;" t.kr."))</f>
        <v/>
      </c>
      <c r="D65" s="29">
        <f>IF('res_raw_43105957'!$C$11="","—",IF(ABS(D13-'res_raw_43105957'!$C$11)&lt;=1,"✓ OK","❌ "&amp;TEXT(D13-'res_raw_43105957'!$C$11,"+#,##0;-#,##0")&amp;"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IF('res_raw_43105957'!$E$16="","—",IF(ABS(B16-'res_raw_43105957'!$E$16)&lt;=1,"✓ OK","❌ "&amp;TEXT(B16-'res_raw_43105957'!$E$16,"+#,##0;-#,##0")&amp;" t.kr."))</f>
        <v/>
      </c>
      <c r="C66" s="29">
        <f>IF('res_raw_43105957'!$D$16="","—",IF(ABS(C16-'res_raw_43105957'!$D$16)&lt;=1,"✓ OK","❌ "&amp;TEXT(C16-'res_raw_43105957'!$D$16,"+#,##0;-#,##0")&amp;" t.kr."))</f>
        <v/>
      </c>
      <c r="D66" s="29">
        <f>IF('res_raw_43105957'!$C$16="","—",IF(ABS(D16-'res_raw_43105957'!$C$16)&lt;=1,"✓ OK","❌ "&amp;TEXT(D16-'res_raw_43105957'!$C$16,"+#,##0;-#,##0")&amp;"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Hotel Ærø A/S (CVR 43105957)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>
        <v>0</v>
      </c>
      <c r="G3" s="35" t="n">
        <v>249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15000</v>
      </c>
      <c r="F4" s="38" t="n">
        <v>0</v>
      </c>
      <c r="G4" s="38" t="n">
        <v>0</v>
      </c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2026-09-15T19:47:41Z</dcterms:created>
  <dcterms:modified xmlns:dcterms="http://purl.org/dc/terms/" xmlns:xsi="http://www.w3.org/2001/XMLSchema-instance" xsi:type="dcterms:W3CDTF">2026-09-15T19:47:41Z</dcterms:modified>
</cp:coreProperties>
</file>