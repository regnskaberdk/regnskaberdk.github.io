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834844" sheetId="1" state="visible" r:id="rId1"/>
    <sheet xmlns:r="http://schemas.openxmlformats.org/officeDocument/2006/relationships" name="res_raw_25834844" sheetId="2" state="visible" r:id="rId2"/>
    <sheet xmlns:r="http://schemas.openxmlformats.org/officeDocument/2006/relationships" name="balance_raw_25834844" sheetId="3" state="visible" r:id="rId3"/>
    <sheet xmlns:r="http://schemas.openxmlformats.org/officeDocument/2006/relationships" name="pengestrom_raw_2583484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Fertin Pharma A/S (CVR 25834844)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'res_raw_25834844'!$B$2</f>
        <v/>
      </c>
      <c r="C4" s="5">
        <f>'res_raw_25834844'!$C$2</f>
        <v/>
      </c>
      <c r="D4" s="5">
        <f>'res_raw_25834844'!$D$2</f>
        <v/>
      </c>
      <c r="E4" s="5">
        <f>'res_raw_25834844'!$E$2</f>
        <v/>
      </c>
      <c r="F4" s="5">
        <f>'res_raw_25834844'!$F$2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'res_raw_25834844'!$B$3</f>
        <v/>
      </c>
      <c r="C5" s="8">
        <f>'res_raw_25834844'!$C$3</f>
        <v/>
      </c>
      <c r="D5" s="8">
        <f>'res_raw_25834844'!$D$3</f>
        <v/>
      </c>
      <c r="E5" s="8">
        <f>'res_raw_25834844'!$E$3</f>
        <v/>
      </c>
      <c r="F5" s="8">
        <f>'res_raw_25834844'!$F$3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'res_raw_25834844'!$B$4</f>
        <v/>
      </c>
      <c r="C6" s="8">
        <f>'res_raw_25834844'!$C$4</f>
        <v/>
      </c>
      <c r="D6" s="8">
        <f>'res_raw_25834844'!$D$4</f>
        <v/>
      </c>
      <c r="E6" s="8">
        <f>'res_raw_25834844'!$E$4</f>
        <v/>
      </c>
      <c r="F6" s="8">
        <f>'res_raw_25834844'!$F$4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'res_raw_25834844'!$B$5</f>
        <v/>
      </c>
      <c r="C7" s="11">
        <f>'res_raw_25834844'!$C$5</f>
        <v/>
      </c>
      <c r="D7" s="11">
        <f>'res_raw_25834844'!$D$5</f>
        <v/>
      </c>
      <c r="E7" s="11">
        <f>'res_raw_25834844'!$E$5</f>
        <v/>
      </c>
      <c r="F7" s="11">
        <f>'res_raw_25834844'!$F$5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'res_raw_25834844'!$B$6</f>
        <v/>
      </c>
      <c r="C8" s="8">
        <f>'res_raw_25834844'!$C$6</f>
        <v/>
      </c>
      <c r="D8" s="8">
        <f>'res_raw_25834844'!$D$6</f>
        <v/>
      </c>
      <c r="E8" s="8">
        <f>'res_raw_25834844'!$E$6</f>
        <v/>
      </c>
      <c r="F8" s="8">
        <f>'res_raw_25834844'!$F$6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'res_raw_25834844'!$B$7</f>
        <v/>
      </c>
      <c r="C9" s="8">
        <f>'res_raw_25834844'!$C$7</f>
        <v/>
      </c>
      <c r="D9" s="8">
        <f>'res_raw_25834844'!$D$7</f>
        <v/>
      </c>
      <c r="E9" s="8">
        <f>'res_raw_25834844'!$E$7</f>
        <v/>
      </c>
      <c r="F9" s="8">
        <f>'res_raw_25834844'!$F$7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'res_raw_25834844'!$B$8</f>
        <v/>
      </c>
      <c r="C10" s="5">
        <f>'res_raw_25834844'!$C$8</f>
        <v/>
      </c>
      <c r="D10" s="5">
        <f>'res_raw_25834844'!$D$8</f>
        <v/>
      </c>
      <c r="E10" s="5">
        <f>'res_raw_25834844'!$E$8</f>
        <v/>
      </c>
      <c r="F10" s="5">
        <f>'res_raw_25834844'!$F$8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'res_raw_25834844'!$B$9</f>
        <v/>
      </c>
      <c r="C11" s="11">
        <f>'res_raw_25834844'!$C$9</f>
        <v/>
      </c>
      <c r="D11" s="11">
        <f>'res_raw_25834844'!$D$9</f>
        <v/>
      </c>
      <c r="E11" s="11">
        <f>'res_raw_25834844'!$E$9</f>
        <v/>
      </c>
      <c r="F11" s="11">
        <f>'res_raw_25834844'!$F$9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'res_raw_25834844'!$B$10</f>
        <v/>
      </c>
      <c r="C12" s="8">
        <f>'res_raw_25834844'!$C$10</f>
        <v/>
      </c>
      <c r="D12" s="8">
        <f>'res_raw_25834844'!$D$10</f>
        <v/>
      </c>
      <c r="E12" s="8">
        <f>'res_raw_25834844'!$E$10</f>
        <v/>
      </c>
      <c r="F12" s="8">
        <f>'res_raw_25834844'!$F$10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'res_raw_25834844'!$B$11</f>
        <v/>
      </c>
      <c r="C13" s="11">
        <f>'res_raw_25834844'!$C$11</f>
        <v/>
      </c>
      <c r="D13" s="11">
        <f>'res_raw_25834844'!$D$11</f>
        <v/>
      </c>
      <c r="E13" s="11">
        <f>'res_raw_25834844'!$E$11</f>
        <v/>
      </c>
      <c r="F13" s="11">
        <f>'res_raw_25834844'!$F$11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'res_raw_25834844'!$B$12</f>
        <v/>
      </c>
      <c r="C14" s="5">
        <f>'res_raw_25834844'!$C$12</f>
        <v/>
      </c>
      <c r="D14" s="5">
        <f>'res_raw_25834844'!$D$12</f>
        <v/>
      </c>
      <c r="E14" s="5">
        <f>'res_raw_25834844'!$E$12</f>
        <v/>
      </c>
      <c r="F14" s="5">
        <f>'res_raw_25834844'!$F$12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'res_raw_25834844'!$B$13</f>
        <v/>
      </c>
      <c r="C15" s="11">
        <f>'res_raw_25834844'!$C$13</f>
        <v/>
      </c>
      <c r="D15" s="11">
        <f>'res_raw_25834844'!$D$13</f>
        <v/>
      </c>
      <c r="E15" s="11">
        <f>'res_raw_25834844'!$E$13</f>
        <v/>
      </c>
      <c r="F15" s="11">
        <f>'res_raw_25834844'!$F$13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'res_raw_25834844'!$B$14</f>
        <v/>
      </c>
      <c r="C16" s="8">
        <f>'res_raw_25834844'!$C$14</f>
        <v/>
      </c>
      <c r="D16" s="8">
        <f>'res_raw_25834844'!$D$14</f>
        <v/>
      </c>
      <c r="E16" s="8">
        <f>'res_raw_25834844'!$E$14</f>
        <v/>
      </c>
      <c r="F16" s="8">
        <f>'res_raw_25834844'!$F$14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'res_raw_25834844'!$B$15</f>
        <v/>
      </c>
      <c r="C17" s="8">
        <f>'res_raw_25834844'!$C$15</f>
        <v/>
      </c>
      <c r="D17" s="8">
        <f>'res_raw_25834844'!$D$15</f>
        <v/>
      </c>
      <c r="E17" s="8">
        <f>'res_raw_25834844'!$E$15</f>
        <v/>
      </c>
      <c r="F17" s="8">
        <f>'res_raw_25834844'!$F$15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'res_raw_25834844'!$B$16</f>
        <v/>
      </c>
      <c r="C18" s="5">
        <f>'res_raw_25834844'!$C$16</f>
        <v/>
      </c>
      <c r="D18" s="5">
        <f>'res_raw_25834844'!$D$16</f>
        <v/>
      </c>
      <c r="E18" s="5">
        <f>'res_raw_25834844'!$E$16</f>
        <v/>
      </c>
      <c r="F18" s="5">
        <f>'res_raw_25834844'!$F$16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'res_raw_25834844'!$B$17</f>
        <v/>
      </c>
      <c r="C19" s="8">
        <f>'res_raw_25834844'!$C$17</f>
        <v/>
      </c>
      <c r="D19" s="8">
        <f>'res_raw_25834844'!$D$17</f>
        <v/>
      </c>
      <c r="E19" s="8">
        <f>'res_raw_25834844'!$E$17</f>
        <v/>
      </c>
      <c r="F19" s="8">
        <f>'res_raw_25834844'!$F$17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'balance_raw_25834844'!$B$2</f>
        <v/>
      </c>
      <c r="C22" s="5">
        <f>'balance_raw_25834844'!$C$2</f>
        <v/>
      </c>
      <c r="D22" s="5">
        <f>'balance_raw_25834844'!$D$2</f>
        <v/>
      </c>
      <c r="E22" s="5">
        <f>'balance_raw_25834844'!$E$2</f>
        <v/>
      </c>
      <c r="F22" s="5">
        <f>'balance_raw_25834844'!$F$2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'balance_raw_25834844'!$B$3</f>
        <v/>
      </c>
      <c r="C23" s="11">
        <f>'balance_raw_25834844'!$C$3</f>
        <v/>
      </c>
      <c r="D23" s="11">
        <f>'balance_raw_25834844'!$D$3</f>
        <v/>
      </c>
      <c r="E23" s="11">
        <f>'balance_raw_25834844'!$E$3</f>
        <v/>
      </c>
      <c r="F23" s="11">
        <f>'balance_raw_25834844'!$F$3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'balance_raw_25834844'!$B$4</f>
        <v/>
      </c>
      <c r="C24" s="5">
        <f>'balance_raw_25834844'!$C$4</f>
        <v/>
      </c>
      <c r="D24" s="5">
        <f>'balance_raw_25834844'!$D$4</f>
        <v/>
      </c>
      <c r="E24" s="5">
        <f>'balance_raw_25834844'!$E$4</f>
        <v/>
      </c>
      <c r="F24" s="5">
        <f>'balance_raw_25834844'!$F$4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'balance_raw_25834844'!$B$5</f>
        <v/>
      </c>
      <c r="C25" s="8">
        <f>'balance_raw_25834844'!$C$5</f>
        <v/>
      </c>
      <c r="D25" s="8">
        <f>'balance_raw_25834844'!$D$5</f>
        <v/>
      </c>
      <c r="E25" s="8">
        <f>'balance_raw_25834844'!$E$5</f>
        <v/>
      </c>
      <c r="F25" s="8">
        <f>'balance_raw_25834844'!$F$5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'balance_raw_25834844'!$B$6</f>
        <v/>
      </c>
      <c r="C26" s="5">
        <f>'balance_raw_25834844'!$C$6</f>
        <v/>
      </c>
      <c r="D26" s="5">
        <f>'balance_raw_25834844'!$D$6</f>
        <v/>
      </c>
      <c r="E26" s="5">
        <f>'balance_raw_25834844'!$E$6</f>
        <v/>
      </c>
      <c r="F26" s="5">
        <f>'balance_raw_25834844'!$F$6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'balance_raw_25834844'!$B$7</f>
        <v/>
      </c>
      <c r="C27" s="11">
        <f>'balance_raw_25834844'!$C$7</f>
        <v/>
      </c>
      <c r="D27" s="11">
        <f>'balance_raw_25834844'!$D$7</f>
        <v/>
      </c>
      <c r="E27" s="11">
        <f>'balance_raw_25834844'!$E$7</f>
        <v/>
      </c>
      <c r="F27" s="11">
        <f>'balance_raw_25834844'!$F$7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'balance_raw_25834844'!$B$8</f>
        <v/>
      </c>
      <c r="C28" s="5">
        <f>'balance_raw_25834844'!$C$8</f>
        <v/>
      </c>
      <c r="D28" s="5">
        <f>'balance_raw_25834844'!$D$8</f>
        <v/>
      </c>
      <c r="E28" s="5">
        <f>'balance_raw_25834844'!$E$8</f>
        <v/>
      </c>
      <c r="F28" s="5">
        <f>'balance_raw_25834844'!$F$8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'balance_raw_25834844'!$B$9</f>
        <v/>
      </c>
      <c r="C29" s="11">
        <f>'balance_raw_25834844'!$C$9</f>
        <v/>
      </c>
      <c r="D29" s="11">
        <f>'balance_raw_25834844'!$D$9</f>
        <v/>
      </c>
      <c r="E29" s="11">
        <f>'balance_raw_25834844'!$E$9</f>
        <v/>
      </c>
      <c r="F29" s="11">
        <f>'balance_raw_25834844'!$F$9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'balance_raw_25834844'!$B$10</f>
        <v/>
      </c>
      <c r="C30" s="5">
        <f>'balance_raw_25834844'!$C$10</f>
        <v/>
      </c>
      <c r="D30" s="5">
        <f>'balance_raw_25834844'!$D$10</f>
        <v/>
      </c>
      <c r="E30" s="5">
        <f>'balance_raw_25834844'!$E$10</f>
        <v/>
      </c>
      <c r="F30" s="5">
        <f>'balance_raw_25834844'!$F$10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'balance_raw_25834844'!$B$11</f>
        <v/>
      </c>
      <c r="C31" s="8">
        <f>'balance_raw_25834844'!$C$11</f>
        <v/>
      </c>
      <c r="D31" s="8">
        <f>'balance_raw_25834844'!$D$11</f>
        <v/>
      </c>
      <c r="E31" s="8">
        <f>'balance_raw_25834844'!$E$11</f>
        <v/>
      </c>
      <c r="F31" s="8">
        <f>'balance_raw_25834844'!$F$11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'balance_raw_25834844'!$B$12</f>
        <v/>
      </c>
      <c r="C32" s="5">
        <f>'balance_raw_25834844'!$C$12</f>
        <v/>
      </c>
      <c r="D32" s="5">
        <f>'balance_raw_25834844'!$D$12</f>
        <v/>
      </c>
      <c r="E32" s="5">
        <f>'balance_raw_25834844'!$E$12</f>
        <v/>
      </c>
      <c r="F32" s="5">
        <f>'balance_raw_25834844'!$F$12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'balance_raw_25834844'!$B$13</f>
        <v/>
      </c>
      <c r="C33" s="11">
        <f>'balance_raw_25834844'!$C$13</f>
        <v/>
      </c>
      <c r="D33" s="11">
        <f>'balance_raw_25834844'!$D$13</f>
        <v/>
      </c>
      <c r="E33" s="11">
        <f>'balance_raw_25834844'!$E$13</f>
        <v/>
      </c>
      <c r="F33" s="11">
        <f>'balance_raw_25834844'!$F$13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'balance_raw_25834844'!$B$14</f>
        <v/>
      </c>
      <c r="C34" s="8">
        <f>'balance_raw_25834844'!$C$14</f>
        <v/>
      </c>
      <c r="D34" s="8">
        <f>'balance_raw_25834844'!$D$14</f>
        <v/>
      </c>
      <c r="E34" s="8">
        <f>'balance_raw_25834844'!$E$14</f>
        <v/>
      </c>
      <c r="F34" s="8">
        <f>'balance_raw_25834844'!$F$14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'balance_raw_25834844'!$B$15</f>
        <v/>
      </c>
      <c r="C35" s="8">
        <f>'balance_raw_25834844'!$C$15</f>
        <v/>
      </c>
      <c r="D35" s="8">
        <f>'balance_raw_25834844'!$D$15</f>
        <v/>
      </c>
      <c r="E35" s="8">
        <f>'balance_raw_25834844'!$E$15</f>
        <v/>
      </c>
      <c r="F35" s="8">
        <f>'balance_raw_25834844'!$F$15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'balance_raw_25834844'!$B$16</f>
        <v/>
      </c>
      <c r="C36" s="5">
        <f>'balance_raw_25834844'!$C$16</f>
        <v/>
      </c>
      <c r="D36" s="5">
        <f>'balance_raw_25834844'!$D$16</f>
        <v/>
      </c>
      <c r="E36" s="5">
        <f>'balance_raw_25834844'!$E$16</f>
        <v/>
      </c>
      <c r="F36" s="5">
        <f>'balance_raw_25834844'!$F$16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'balance_raw_25834844'!$B$17</f>
        <v/>
      </c>
      <c r="C37" s="11">
        <f>'balance_raw_25834844'!$C$17</f>
        <v/>
      </c>
      <c r="D37" s="11">
        <f>'balance_raw_25834844'!$D$17</f>
        <v/>
      </c>
      <c r="E37" s="11">
        <f>'balance_raw_25834844'!$E$17</f>
        <v/>
      </c>
      <c r="F37" s="11">
        <f>'balance_raw_25834844'!$F$17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'balance_raw_25834844'!$B$18</f>
        <v/>
      </c>
      <c r="C38" s="5">
        <f>'balance_raw_25834844'!$C$18</f>
        <v/>
      </c>
      <c r="D38" s="5">
        <f>'balance_raw_25834844'!$D$18</f>
        <v/>
      </c>
      <c r="E38" s="5">
        <f>'balance_raw_25834844'!$E$18</f>
        <v/>
      </c>
      <c r="F38" s="5">
        <f>'balance_raw_25834844'!$F$18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'balance_raw_25834844'!$B$19</f>
        <v/>
      </c>
      <c r="C39" s="8">
        <f>'balance_raw_25834844'!$C$19</f>
        <v/>
      </c>
      <c r="D39" s="8">
        <f>'balance_raw_25834844'!$D$19</f>
        <v/>
      </c>
      <c r="E39" s="8">
        <f>'balance_raw_25834844'!$E$19</f>
        <v/>
      </c>
      <c r="F39" s="8">
        <f>'balance_raw_25834844'!$F$19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'balance_raw_25834844'!$B$20</f>
        <v/>
      </c>
      <c r="C40" s="5">
        <f>'balance_raw_25834844'!$C$20</f>
        <v/>
      </c>
      <c r="D40" s="5">
        <f>'balance_raw_25834844'!$D$20</f>
        <v/>
      </c>
      <c r="E40" s="5">
        <f>'balance_raw_25834844'!$E$20</f>
        <v/>
      </c>
      <c r="F40" s="5">
        <f>'balance_raw_25834844'!$F$20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'balance_raw_25834844'!$B$21</f>
        <v/>
      </c>
      <c r="C41" s="11">
        <f>'balance_raw_25834844'!$C$21</f>
        <v/>
      </c>
      <c r="D41" s="11">
        <f>'balance_raw_25834844'!$D$21</f>
        <v/>
      </c>
      <c r="E41" s="11">
        <f>'balance_raw_25834844'!$E$21</f>
        <v/>
      </c>
      <c r="F41" s="11">
        <f>'balance_raw_25834844'!$F$21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'balance_raw_25834844'!$B$22</f>
        <v/>
      </c>
      <c r="C42" s="5">
        <f>'balance_raw_25834844'!$C$22</f>
        <v/>
      </c>
      <c r="D42" s="5">
        <f>'balance_raw_25834844'!$D$22</f>
        <v/>
      </c>
      <c r="E42" s="5">
        <f>'balance_raw_25834844'!$E$22</f>
        <v/>
      </c>
      <c r="F42" s="5">
        <f>'balance_raw_25834844'!$F$22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'balance_raw_25834844'!$B$23</f>
        <v/>
      </c>
      <c r="C43" s="11">
        <f>'balance_raw_25834844'!$C$23</f>
        <v/>
      </c>
      <c r="D43" s="11">
        <f>'balance_raw_25834844'!$D$23</f>
        <v/>
      </c>
      <c r="E43" s="11">
        <f>'balance_raw_25834844'!$E$23</f>
        <v/>
      </c>
      <c r="F43" s="11">
        <f>'balance_raw_25834844'!$F$23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'balance_raw_25834844'!$B$24</f>
        <v/>
      </c>
      <c r="C44" s="5">
        <f>'balance_raw_25834844'!$C$24</f>
        <v/>
      </c>
      <c r="D44" s="5">
        <f>'balance_raw_25834844'!$D$24</f>
        <v/>
      </c>
      <c r="E44" s="5">
        <f>'balance_raw_25834844'!$E$24</f>
        <v/>
      </c>
      <c r="F44" s="5">
        <f>'balance_raw_25834844'!$F$24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'balance_raw_25834844'!$B$25</f>
        <v/>
      </c>
      <c r="C45" s="11">
        <f>'balance_raw_25834844'!$C$25</f>
        <v/>
      </c>
      <c r="D45" s="11">
        <f>'balance_raw_25834844'!$D$25</f>
        <v/>
      </c>
      <c r="E45" s="11">
        <f>'balance_raw_25834844'!$E$25</f>
        <v/>
      </c>
      <c r="F45" s="11">
        <f>'balance_raw_25834844'!$F$25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'balance_raw_25834844'!$B$26</f>
        <v/>
      </c>
      <c r="C46" s="5">
        <f>'balance_raw_25834844'!$C$26</f>
        <v/>
      </c>
      <c r="D46" s="5">
        <f>'balance_raw_25834844'!$D$26</f>
        <v/>
      </c>
      <c r="E46" s="5">
        <f>'balance_raw_25834844'!$E$26</f>
        <v/>
      </c>
      <c r="F46" s="5">
        <f>'balance_raw_25834844'!$F$26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'balance_raw_25834844'!$B$27</f>
        <v/>
      </c>
      <c r="C47" s="8">
        <f>'balance_raw_25834844'!$C$27</f>
        <v/>
      </c>
      <c r="D47" s="8">
        <f>'balance_raw_25834844'!$D$27</f>
        <v/>
      </c>
      <c r="E47" s="8">
        <f>'balance_raw_25834844'!$E$27</f>
        <v/>
      </c>
      <c r="F47" s="8">
        <f>'balance_raw_25834844'!$F$27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'balance_raw_25834844'!$B$28</f>
        <v/>
      </c>
      <c r="C48" s="5">
        <f>'balance_raw_25834844'!$C$28</f>
        <v/>
      </c>
      <c r="D48" s="5">
        <f>'balance_raw_25834844'!$D$28</f>
        <v/>
      </c>
      <c r="E48" s="5">
        <f>'balance_raw_25834844'!$E$28</f>
        <v/>
      </c>
      <c r="F48" s="5">
        <f>'balance_raw_25834844'!$F$28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'balance_raw_25834844'!$B$29</f>
        <v/>
      </c>
      <c r="C49" s="11">
        <f>'balance_raw_25834844'!$C$29</f>
        <v/>
      </c>
      <c r="D49" s="11">
        <f>'balance_raw_25834844'!$D$29</f>
        <v/>
      </c>
      <c r="E49" s="11">
        <f>'balance_raw_25834844'!$E$29</f>
        <v/>
      </c>
      <c r="F49" s="11">
        <f>'balance_raw_25834844'!$F$29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'balance_raw_25834844'!$B$30</f>
        <v/>
      </c>
      <c r="C50" s="8">
        <f>'balance_raw_25834844'!$C$30</f>
        <v/>
      </c>
      <c r="D50" s="8">
        <f>'balance_raw_25834844'!$D$30</f>
        <v/>
      </c>
      <c r="E50" s="8">
        <f>'balance_raw_25834844'!$E$30</f>
        <v/>
      </c>
      <c r="F50" s="8">
        <f>'balance_raw_25834844'!$F$30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'balance_raw_25834844'!$B$31</f>
        <v/>
      </c>
      <c r="C51" s="8">
        <f>'balance_raw_25834844'!$C$31</f>
        <v/>
      </c>
      <c r="D51" s="8">
        <f>'balance_raw_25834844'!$D$31</f>
        <v/>
      </c>
      <c r="E51" s="8">
        <f>'balance_raw_25834844'!$E$31</f>
        <v/>
      </c>
      <c r="F51" s="8">
        <f>'balance_raw_25834844'!$F$31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'balance_raw_25834844'!$B$32</f>
        <v/>
      </c>
      <c r="C54" s="5">
        <f>'balance_raw_25834844'!$C$32</f>
        <v/>
      </c>
      <c r="D54" s="5">
        <f>'balance_raw_25834844'!$D$32</f>
        <v/>
      </c>
      <c r="E54" s="5">
        <f>'balance_raw_25834844'!$E$32</f>
        <v/>
      </c>
      <c r="F54" s="5">
        <f>'balance_raw_25834844'!$F$32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'balance_raw_25834844'!$B$33</f>
        <v/>
      </c>
      <c r="C55" s="11">
        <f>'balance_raw_25834844'!$C$33</f>
        <v/>
      </c>
      <c r="D55" s="11">
        <f>'balance_raw_25834844'!$D$33</f>
        <v/>
      </c>
      <c r="E55" s="11">
        <f>'balance_raw_25834844'!$E$33</f>
        <v/>
      </c>
      <c r="F55" s="11">
        <f>'balance_raw_25834844'!$F$33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'balance_raw_25834844'!$B$34</f>
        <v/>
      </c>
      <c r="C56" s="5">
        <f>'balance_raw_25834844'!$C$34</f>
        <v/>
      </c>
      <c r="D56" s="5">
        <f>'balance_raw_25834844'!$D$34</f>
        <v/>
      </c>
      <c r="E56" s="5">
        <f>'balance_raw_25834844'!$E$34</f>
        <v/>
      </c>
      <c r="F56" s="5">
        <f>'balance_raw_25834844'!$F$34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'balance_raw_25834844'!$B$35</f>
        <v/>
      </c>
      <c r="C57" s="11">
        <f>'balance_raw_25834844'!$C$35</f>
        <v/>
      </c>
      <c r="D57" s="11">
        <f>'balance_raw_25834844'!$D$35</f>
        <v/>
      </c>
      <c r="E57" s="11">
        <f>'balance_raw_25834844'!$E$35</f>
        <v/>
      </c>
      <c r="F57" s="11">
        <f>'balance_raw_25834844'!$F$35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'balance_raw_25834844'!$B$36</f>
        <v/>
      </c>
      <c r="C58" s="5">
        <f>'balance_raw_25834844'!$C$36</f>
        <v/>
      </c>
      <c r="D58" s="5">
        <f>'balance_raw_25834844'!$D$36</f>
        <v/>
      </c>
      <c r="E58" s="5">
        <f>'balance_raw_25834844'!$E$36</f>
        <v/>
      </c>
      <c r="F58" s="5">
        <f>'balance_raw_25834844'!$F$36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'balance_raw_25834844'!$B$37</f>
        <v/>
      </c>
      <c r="C59" s="11">
        <f>'balance_raw_25834844'!$C$37</f>
        <v/>
      </c>
      <c r="D59" s="11">
        <f>'balance_raw_25834844'!$D$37</f>
        <v/>
      </c>
      <c r="E59" s="11">
        <f>'balance_raw_25834844'!$E$37</f>
        <v/>
      </c>
      <c r="F59" s="11">
        <f>'balance_raw_25834844'!$F$37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'balance_raw_25834844'!$B$38</f>
        <v/>
      </c>
      <c r="C60" s="8">
        <f>'balance_raw_25834844'!$C$38</f>
        <v/>
      </c>
      <c r="D60" s="8">
        <f>'balance_raw_25834844'!$D$38</f>
        <v/>
      </c>
      <c r="E60" s="8">
        <f>'balance_raw_25834844'!$E$38</f>
        <v/>
      </c>
      <c r="F60" s="8">
        <f>'balance_raw_25834844'!$F$38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'balance_raw_25834844'!$B$39</f>
        <v/>
      </c>
      <c r="C61" s="11">
        <f>'balance_raw_25834844'!$C$39</f>
        <v/>
      </c>
      <c r="D61" s="11">
        <f>'balance_raw_25834844'!$D$39</f>
        <v/>
      </c>
      <c r="E61" s="11">
        <f>'balance_raw_25834844'!$E$39</f>
        <v/>
      </c>
      <c r="F61" s="11">
        <f>'balance_raw_25834844'!$F$39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'balance_raw_25834844'!$B$40</f>
        <v/>
      </c>
      <c r="C62" s="8">
        <f>'balance_raw_25834844'!$C$40</f>
        <v/>
      </c>
      <c r="D62" s="8">
        <f>'balance_raw_25834844'!$D$40</f>
        <v/>
      </c>
      <c r="E62" s="8">
        <f>'balance_raw_25834844'!$E$40</f>
        <v/>
      </c>
      <c r="F62" s="8">
        <f>'balance_raw_25834844'!$F$40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'balance_raw_25834844'!$B$41</f>
        <v/>
      </c>
      <c r="C63" s="11">
        <f>'balance_raw_25834844'!$C$41</f>
        <v/>
      </c>
      <c r="D63" s="11">
        <f>'balance_raw_25834844'!$D$41</f>
        <v/>
      </c>
      <c r="E63" s="11">
        <f>'balance_raw_25834844'!$E$41</f>
        <v/>
      </c>
      <c r="F63" s="11">
        <f>'balance_raw_25834844'!$F$41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'balance_raw_25834844'!$B$42</f>
        <v/>
      </c>
      <c r="C64" s="5">
        <f>'balance_raw_25834844'!$C$42</f>
        <v/>
      </c>
      <c r="D64" s="5">
        <f>'balance_raw_25834844'!$D$42</f>
        <v/>
      </c>
      <c r="E64" s="5">
        <f>'balance_raw_25834844'!$E$42</f>
        <v/>
      </c>
      <c r="F64" s="5">
        <f>'balance_raw_25834844'!$F$42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'balance_raw_25834844'!$B$43</f>
        <v/>
      </c>
      <c r="C65" s="11">
        <f>'balance_raw_25834844'!$C$43</f>
        <v/>
      </c>
      <c r="D65" s="11">
        <f>'balance_raw_25834844'!$D$43</f>
        <v/>
      </c>
      <c r="E65" s="11">
        <f>'balance_raw_25834844'!$E$43</f>
        <v/>
      </c>
      <c r="F65" s="11">
        <f>'balance_raw_25834844'!$F$43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'balance_raw_25834844'!$B$44</f>
        <v/>
      </c>
      <c r="C66" s="5">
        <f>'balance_raw_25834844'!$C$44</f>
        <v/>
      </c>
      <c r="D66" s="5">
        <f>'balance_raw_25834844'!$D$44</f>
        <v/>
      </c>
      <c r="E66" s="5">
        <f>'balance_raw_25834844'!$E$44</f>
        <v/>
      </c>
      <c r="F66" s="5">
        <f>'balance_raw_25834844'!$F$44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'balance_raw_25834844'!$B$45</f>
        <v/>
      </c>
      <c r="C67" s="8">
        <f>'balance_raw_25834844'!$C$45</f>
        <v/>
      </c>
      <c r="D67" s="8">
        <f>'balance_raw_25834844'!$D$45</f>
        <v/>
      </c>
      <c r="E67" s="8">
        <f>'balance_raw_25834844'!$E$45</f>
        <v/>
      </c>
      <c r="F67" s="8">
        <f>'balance_raw_25834844'!$F$45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'balance_raw_25834844'!$B$46</f>
        <v/>
      </c>
      <c r="C68" s="5">
        <f>'balance_raw_25834844'!$C$46</f>
        <v/>
      </c>
      <c r="D68" s="5">
        <f>'balance_raw_25834844'!$D$46</f>
        <v/>
      </c>
      <c r="E68" s="5">
        <f>'balance_raw_25834844'!$E$46</f>
        <v/>
      </c>
      <c r="F68" s="5">
        <f>'balance_raw_25834844'!$F$46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'balance_raw_25834844'!$B$47</f>
        <v/>
      </c>
      <c r="C69" s="11">
        <f>'balance_raw_25834844'!$C$47</f>
        <v/>
      </c>
      <c r="D69" s="11">
        <f>'balance_raw_25834844'!$D$47</f>
        <v/>
      </c>
      <c r="E69" s="11">
        <f>'balance_raw_25834844'!$E$47</f>
        <v/>
      </c>
      <c r="F69" s="11">
        <f>'balance_raw_25834844'!$F$47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'balance_raw_25834844'!$B$48</f>
        <v/>
      </c>
      <c r="C70" s="5">
        <f>'balance_raw_25834844'!$C$48</f>
        <v/>
      </c>
      <c r="D70" s="5">
        <f>'balance_raw_25834844'!$D$48</f>
        <v/>
      </c>
      <c r="E70" s="5">
        <f>'balance_raw_25834844'!$E$48</f>
        <v/>
      </c>
      <c r="F70" s="5">
        <f>'balance_raw_25834844'!$F$48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'balance_raw_25834844'!$B$49</f>
        <v/>
      </c>
      <c r="C71" s="11">
        <f>'balance_raw_25834844'!$C$49</f>
        <v/>
      </c>
      <c r="D71" s="11">
        <f>'balance_raw_25834844'!$D$49</f>
        <v/>
      </c>
      <c r="E71" s="11">
        <f>'balance_raw_25834844'!$E$49</f>
        <v/>
      </c>
      <c r="F71" s="11">
        <f>'balance_raw_25834844'!$F$49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'balance_raw_25834844'!$B$50</f>
        <v/>
      </c>
      <c r="C72" s="5">
        <f>'balance_raw_25834844'!$C$50</f>
        <v/>
      </c>
      <c r="D72" s="5">
        <f>'balance_raw_25834844'!$D$50</f>
        <v/>
      </c>
      <c r="E72" s="5">
        <f>'balance_raw_25834844'!$E$50</f>
        <v/>
      </c>
      <c r="F72" s="5">
        <f>'balance_raw_25834844'!$F$50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'balance_raw_25834844'!$B$51</f>
        <v/>
      </c>
      <c r="C73" s="11">
        <f>'balance_raw_25834844'!$C$51</f>
        <v/>
      </c>
      <c r="D73" s="11">
        <f>'balance_raw_25834844'!$D$51</f>
        <v/>
      </c>
      <c r="E73" s="11">
        <f>'balance_raw_25834844'!$E$51</f>
        <v/>
      </c>
      <c r="F73" s="11">
        <f>'balance_raw_25834844'!$F$51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'balance_raw_25834844'!$B$52</f>
        <v/>
      </c>
      <c r="C74" s="5">
        <f>'balance_raw_25834844'!$C$52</f>
        <v/>
      </c>
      <c r="D74" s="5">
        <f>'balance_raw_25834844'!$D$52</f>
        <v/>
      </c>
      <c r="E74" s="5">
        <f>'balance_raw_25834844'!$E$52</f>
        <v/>
      </c>
      <c r="F74" s="5">
        <f>'balance_raw_25834844'!$F$52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'balance_raw_25834844'!$B$53</f>
        <v/>
      </c>
      <c r="C75" s="11">
        <f>'balance_raw_25834844'!$C$53</f>
        <v/>
      </c>
      <c r="D75" s="11">
        <f>'balance_raw_25834844'!$D$53</f>
        <v/>
      </c>
      <c r="E75" s="11">
        <f>'balance_raw_25834844'!$E$53</f>
        <v/>
      </c>
      <c r="F75" s="11">
        <f>'balance_raw_25834844'!$F$53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'balance_raw_25834844'!$B$54</f>
        <v/>
      </c>
      <c r="C76" s="5">
        <f>'balance_raw_25834844'!$C$54</f>
        <v/>
      </c>
      <c r="D76" s="5">
        <f>'balance_raw_25834844'!$D$54</f>
        <v/>
      </c>
      <c r="E76" s="5">
        <f>'balance_raw_25834844'!$E$54</f>
        <v/>
      </c>
      <c r="F76" s="5">
        <f>'balance_raw_25834844'!$F$54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'balance_raw_25834844'!$B$55</f>
        <v/>
      </c>
      <c r="C77" s="11">
        <f>'balance_raw_25834844'!$C$55</f>
        <v/>
      </c>
      <c r="D77" s="11">
        <f>'balance_raw_25834844'!$D$55</f>
        <v/>
      </c>
      <c r="E77" s="11">
        <f>'balance_raw_25834844'!$E$55</f>
        <v/>
      </c>
      <c r="F77" s="11">
        <f>'balance_raw_25834844'!$F$55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'balance_raw_25834844'!$B$56</f>
        <v/>
      </c>
      <c r="C78" s="5">
        <f>'balance_raw_25834844'!$C$56</f>
        <v/>
      </c>
      <c r="D78" s="5">
        <f>'balance_raw_25834844'!$D$56</f>
        <v/>
      </c>
      <c r="E78" s="5">
        <f>'balance_raw_25834844'!$E$56</f>
        <v/>
      </c>
      <c r="F78" s="5">
        <f>'balance_raw_25834844'!$F$56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'balance_raw_25834844'!$B$57</f>
        <v/>
      </c>
      <c r="C79" s="8">
        <f>'balance_raw_25834844'!$C$57</f>
        <v/>
      </c>
      <c r="D79" s="8">
        <f>'balance_raw_25834844'!$D$57</f>
        <v/>
      </c>
      <c r="E79" s="8">
        <f>'balance_raw_25834844'!$E$57</f>
        <v/>
      </c>
      <c r="F79" s="8">
        <f>'balance_raw_25834844'!$F$57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'balance_raw_25834844'!$B$58</f>
        <v/>
      </c>
      <c r="C80" s="8">
        <f>'balance_raw_25834844'!$C$58</f>
        <v/>
      </c>
      <c r="D80" s="8">
        <f>'balance_raw_25834844'!$D$58</f>
        <v/>
      </c>
      <c r="E80" s="8">
        <f>'balance_raw_25834844'!$E$58</f>
        <v/>
      </c>
      <c r="F80" s="8">
        <f>'balance_raw_25834844'!$F$58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'balance_raw_25834844'!$B$59</f>
        <v/>
      </c>
      <c r="C81" s="8">
        <f>'balance_raw_25834844'!$C$59</f>
        <v/>
      </c>
      <c r="D81" s="8">
        <f>'balance_raw_25834844'!$D$59</f>
        <v/>
      </c>
      <c r="E81" s="8">
        <f>'balance_raw_25834844'!$E$59</f>
        <v/>
      </c>
      <c r="F81" s="8">
        <f>'balance_raw_25834844'!$F$59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'res_raw_25834844'!$B$18</f>
        <v/>
      </c>
      <c r="C84" s="5">
        <f>'res_raw_25834844'!$C$18</f>
        <v/>
      </c>
      <c r="D84" s="5">
        <f>'res_raw_25834844'!$D$18</f>
        <v/>
      </c>
      <c r="E84" s="5">
        <f>'res_raw_25834844'!$E$18</f>
        <v/>
      </c>
      <c r="F84" s="5">
        <f>'res_raw_25834844'!$F$18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'res_raw_25834844'!$B$19</f>
        <v/>
      </c>
      <c r="C85" s="11">
        <f>'res_raw_25834844'!$C$19</f>
        <v/>
      </c>
      <c r="D85" s="11">
        <f>'res_raw_25834844'!$D$19</f>
        <v/>
      </c>
      <c r="E85" s="11">
        <f>'res_raw_25834844'!$E$19</f>
        <v/>
      </c>
      <c r="F85" s="11">
        <f>'res_raw_25834844'!$F$19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IFERROR(($B$12+$B$14+$B$13)/$B$51*100,"")</f>
        <v/>
      </c>
      <c r="C88" s="13">
        <f>IFERROR(($C$12+$C$14+$C$13)/$C$51*100,"")</f>
        <v/>
      </c>
      <c r="D88" s="13">
        <f>IFERROR(($D$12+$D$14+$D$13)/$D$51*100,"")</f>
        <v/>
      </c>
      <c r="E88" s="13">
        <f>IFERROR(($E$12+$E$14+$E$13)/$E$51*100,"")</f>
        <v/>
      </c>
      <c r="F88" s="13">
        <f>IFERROR(($F$12+$F$14+$F$13)/$F$51*100,"")</f>
        <v/>
      </c>
    </row>
    <row r="89" ht="16" customHeight="1">
      <c r="A89" s="10" t="inlineStr">
        <is>
          <t>Overskudsgrad, %</t>
        </is>
      </c>
      <c r="B89" s="14">
        <f>IFERROR(($B$12+$B$14+$B$13)/$B$4*100,"")</f>
        <v/>
      </c>
      <c r="C89" s="14">
        <f>IFERROR(($C$12+$C$14+$C$13)/$C$4*100,"")</f>
        <v/>
      </c>
      <c r="D89" s="14">
        <f>IFERROR(($D$12+$D$14+$D$13)/$D$4*100,"")</f>
        <v/>
      </c>
      <c r="E89" s="14">
        <f>IFERROR(($E$12+$E$14+$E$13)/$E$4*100,"")</f>
        <v/>
      </c>
      <c r="F89" s="14">
        <f>IFERROR(($F$12+$F$14+$F$13)/$F$4*100,"")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IFERROR($B$17/$B$60*100,"")</f>
        <v/>
      </c>
      <c r="C91" s="14">
        <f>IFERROR($C$17/$C$60*100,"")</f>
        <v/>
      </c>
      <c r="D91" s="14">
        <f>IFERROR($D$17/$D$60*100,"")</f>
        <v/>
      </c>
      <c r="E91" s="14">
        <f>IFERROR($E$17/$E$60*100,"")</f>
        <v/>
      </c>
      <c r="F91" s="14">
        <f>IFERROR($F$17/$F$60*100,"")</f>
        <v/>
      </c>
    </row>
    <row r="92" ht="16" customHeight="1">
      <c r="A92" s="4" t="inlineStr">
        <is>
          <t>Gældsrente, %</t>
        </is>
      </c>
      <c r="B92" s="13">
        <f>IFERROR($B$15/($B$81-$B$60)*100,"")</f>
        <v/>
      </c>
      <c r="C92" s="13">
        <f>IFERROR($C$15/($C$81-$C$60)*100,"")</f>
        <v/>
      </c>
      <c r="D92" s="13">
        <f>IFERROR($D$15/($D$81-$D$60)*100,"")</f>
        <v/>
      </c>
      <c r="E92" s="13">
        <f>IFERROR($E$15/($E$81-$E$60)*100,"")</f>
        <v/>
      </c>
      <c r="F92" s="13">
        <f>IFERROR($F$15/($F$81-$F$60)*100,"")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t.kr.</t>
        </is>
      </c>
    </row>
    <row r="101">
      <c r="A101" s="16" t="inlineStr">
        <is>
          <t>Pengestrømme fra driftsaktivitet</t>
        </is>
      </c>
      <c r="B101" s="17">
        <f>'pengestrom_raw_25834844'!$B$2</f>
        <v/>
      </c>
      <c r="C101" s="17">
        <f>'pengestrom_raw_25834844'!$C$2</f>
        <v/>
      </c>
      <c r="D101" s="17">
        <f>'pengestrom_raw_25834844'!$D$2</f>
        <v/>
      </c>
      <c r="E101" s="17">
        <f>'pengestrom_raw_25834844'!$E$2</f>
        <v/>
      </c>
      <c r="F101" s="17">
        <f>'pengestrom_raw_25834844'!$F$2</f>
        <v/>
      </c>
    </row>
    <row r="102">
      <c r="A102" s="16" t="inlineStr">
        <is>
          <t>Pengestrømme fra investeringsaktivitet</t>
        </is>
      </c>
      <c r="B102" s="17">
        <f>'pengestrom_raw_25834844'!$B$3</f>
        <v/>
      </c>
      <c r="C102" s="17">
        <f>'pengestrom_raw_25834844'!$C$3</f>
        <v/>
      </c>
      <c r="D102" s="17">
        <f>'pengestrom_raw_25834844'!$D$3</f>
        <v/>
      </c>
      <c r="E102" s="17">
        <f>'pengestrom_raw_25834844'!$E$3</f>
        <v/>
      </c>
      <c r="F102" s="17">
        <f>'pengestrom_raw_25834844'!$F$3</f>
        <v/>
      </c>
    </row>
    <row r="103">
      <c r="A103" s="16" t="inlineStr">
        <is>
          <t>Pengestrømme fra finansieringsaktivitet</t>
        </is>
      </c>
      <c r="B103" s="17">
        <f>'pengestrom_raw_25834844'!$B$4</f>
        <v/>
      </c>
      <c r="C103" s="17">
        <f>'pengestrom_raw_25834844'!$C$4</f>
        <v/>
      </c>
      <c r="D103" s="17">
        <f>'pengestrom_raw_25834844'!$D$4</f>
        <v/>
      </c>
      <c r="E103" s="17">
        <f>'pengestrom_raw_25834844'!$E$4</f>
        <v/>
      </c>
      <c r="F103" s="17">
        <f>'pengestrom_raw_25834844'!$F$4</f>
        <v/>
      </c>
    </row>
    <row r="104">
      <c r="A104" s="16" t="inlineStr">
        <is>
          <t>Årets pengestrøm (rapporteret)</t>
        </is>
      </c>
      <c r="B104" s="17">
        <f>'pengestrom_raw_25834844'!$B$5</f>
        <v/>
      </c>
      <c r="C104" s="17">
        <f>'pengestrom_raw_25834844'!$C$5</f>
        <v/>
      </c>
      <c r="D104" s="17">
        <f>'pengestrom_raw_25834844'!$D$5</f>
        <v/>
      </c>
      <c r="E104" s="17">
        <f>'pengestrom_raw_25834844'!$E$5</f>
        <v/>
      </c>
      <c r="F104" s="17">
        <f>'pengestrom_raw_25834844'!$F$5</f>
        <v/>
      </c>
    </row>
    <row r="105">
      <c r="A105" s="16" t="inlineStr">
        <is>
          <t>Krydstjek: drift + inv. + fin. = årets pengestrøm</t>
        </is>
      </c>
      <c r="B105">
        <f>IF(ABS(('pengestrom_raw_25834844'!$B$2+'pengestrom_raw_25834844'!$B$3+'pengestrom_raw_25834844'!$B$4)-'pengestrom_raw_25834844'!$B$5)&lt;=2,"✓","⚠ "&amp;TEXT(('pengestrom_raw_25834844'!$B$2+'pengestrom_raw_25834844'!$B$3+'pengestrom_raw_25834844'!$B$4)-'pengestrom_raw_25834844'!$B$5,"+#,##0;-#,##0"))</f>
        <v/>
      </c>
      <c r="C105">
        <f>IF(ABS(('pengestrom_raw_25834844'!$C$2+'pengestrom_raw_25834844'!$C$3+'pengestrom_raw_25834844'!$C$4)-'pengestrom_raw_25834844'!$C$5)&lt;=2,"✓","⚠ "&amp;TEXT(('pengestrom_raw_25834844'!$C$2+'pengestrom_raw_25834844'!$C$3+'pengestrom_raw_25834844'!$C$4)-'pengestrom_raw_25834844'!$C$5,"+#,##0;-#,##0"))</f>
        <v/>
      </c>
      <c r="D105">
        <f>IF(ABS(('pengestrom_raw_25834844'!$D$2+'pengestrom_raw_25834844'!$D$3+'pengestrom_raw_25834844'!$D$4)-'pengestrom_raw_25834844'!$D$5)&lt;=2,"✓","⚠ "&amp;TEXT(('pengestrom_raw_25834844'!$D$2+'pengestrom_raw_25834844'!$D$3+'pengestrom_raw_25834844'!$D$4)-'pengestrom_raw_25834844'!$D$5,"+#,##0;-#,##0"))</f>
        <v/>
      </c>
      <c r="E105">
        <f>IF(ABS(('pengestrom_raw_25834844'!$E$2+'pengestrom_raw_25834844'!$E$3+'pengestrom_raw_25834844'!$E$4)-'pengestrom_raw_25834844'!$E$5)&lt;=2,"✓","⚠ "&amp;TEXT(('pengestrom_raw_25834844'!$E$2+'pengestrom_raw_25834844'!$E$3+'pengestrom_raw_25834844'!$E$4)-'pengestrom_raw_25834844'!$E$5,"+#,##0;-#,##0"))</f>
        <v/>
      </c>
      <c r="F105">
        <f>IF(ABS(('pengestrom_raw_25834844'!$F$2+'pengestrom_raw_25834844'!$F$3+'pengestrom_raw_25834844'!$F$4)-'pengestrom_raw_25834844'!$F$5)&lt;=2,"✓","⚠ "&amp;TEXT(('pengestrom_raw_25834844'!$F$2+'pengestrom_raw_25834844'!$F$3+'pengestrom_raw_25834844'!$F$4)-'pengestrom_raw_25834844'!$F$5,"+#,##0;-#,##0"))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932545</v>
      </c>
      <c r="C2" s="17" t="n">
        <v>892580</v>
      </c>
      <c r="D2" s="17" t="n">
        <v>1012566</v>
      </c>
      <c r="E2" s="17" t="n">
        <v>1393874</v>
      </c>
      <c r="F2" s="17" t="n">
        <v>1676276</v>
      </c>
    </row>
    <row r="3">
      <c r="A3" s="16" t="inlineStr">
        <is>
          <t>Produktionsomkostninger</t>
        </is>
      </c>
      <c r="B3" s="17" t="n">
        <v>771161</v>
      </c>
      <c r="C3" s="17" t="n">
        <v>867416</v>
      </c>
      <c r="D3" s="17" t="n">
        <v>978422</v>
      </c>
      <c r="E3" s="17" t="n"/>
      <c r="F3" s="17" t="n"/>
    </row>
    <row r="4">
      <c r="A4" s="15" t="inlineStr">
        <is>
          <t>Bruttoresultat</t>
        </is>
      </c>
      <c r="B4" s="17" t="n">
        <v>161384</v>
      </c>
      <c r="C4" s="17" t="n">
        <v>25164</v>
      </c>
      <c r="D4" s="17" t="n">
        <v>34144</v>
      </c>
      <c r="E4" s="17" t="n">
        <v>691538</v>
      </c>
      <c r="F4" s="17" t="n">
        <v>755278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19854</v>
      </c>
      <c r="C6" s="17" t="n">
        <v>39516</v>
      </c>
      <c r="D6" s="17" t="n">
        <v>43450</v>
      </c>
      <c r="E6" s="17" t="n"/>
      <c r="F6" s="17" t="n"/>
    </row>
    <row r="7">
      <c r="A7" s="16" t="inlineStr">
        <is>
          <t>Administrationsomkostninger</t>
        </is>
      </c>
      <c r="B7" s="17" t="n">
        <v>45182</v>
      </c>
      <c r="C7" s="17" t="n">
        <v>60457</v>
      </c>
      <c r="D7" s="17" t="n">
        <v>66597</v>
      </c>
      <c r="E7" s="17" t="n"/>
      <c r="F7" s="17" t="n"/>
    </row>
    <row r="8">
      <c r="A8" s="16" t="inlineStr">
        <is>
          <t>Andre driftsindtægter</t>
        </is>
      </c>
      <c r="B8" s="17" t="n">
        <v>0</v>
      </c>
      <c r="C8" s="17" t="n"/>
      <c r="D8" s="17" t="n"/>
      <c r="E8" s="17" t="n">
        <v>1748</v>
      </c>
      <c r="F8" s="17" t="n">
        <v>2098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>
        <v>44</v>
      </c>
      <c r="F9" s="17" t="n">
        <v>6717</v>
      </c>
    </row>
    <row r="10">
      <c r="A10" s="15" t="inlineStr">
        <is>
          <t>Resultat af primær drift</t>
        </is>
      </c>
      <c r="B10" s="17" t="n">
        <v>96348</v>
      </c>
      <c r="C10" s="17" t="n">
        <v>-74809</v>
      </c>
      <c r="D10" s="17" t="n">
        <v>-75903</v>
      </c>
      <c r="E10" s="17" t="n">
        <v>-312963</v>
      </c>
      <c r="F10" s="17" t="n">
        <v>-269178</v>
      </c>
    </row>
    <row r="11">
      <c r="A11" s="16" t="inlineStr">
        <is>
          <t>Indtægter af kapitalandele, dattervirksomheder</t>
        </is>
      </c>
      <c r="B11" s="17" t="n">
        <v>-13069</v>
      </c>
      <c r="C11" s="17" t="n">
        <v>-24831</v>
      </c>
      <c r="D11" s="17" t="n">
        <v>-37072</v>
      </c>
      <c r="E11" s="17" t="n">
        <v>0</v>
      </c>
      <c r="F11" s="17" t="n">
        <v>0</v>
      </c>
    </row>
    <row r="12">
      <c r="A12" s="16" t="inlineStr">
        <is>
          <t>Finansielle indtægter</t>
        </is>
      </c>
      <c r="B12" s="17" t="n">
        <v>1144</v>
      </c>
      <c r="C12" s="17" t="n">
        <v>134</v>
      </c>
      <c r="D12" s="17" t="n">
        <v>3998</v>
      </c>
      <c r="E12" s="17" t="n">
        <v>1626</v>
      </c>
      <c r="F12" s="17" t="n">
        <v>2438</v>
      </c>
    </row>
    <row r="13">
      <c r="A13" s="16" t="inlineStr">
        <is>
          <t>Finansielle omkostninger</t>
        </is>
      </c>
      <c r="B13" s="17" t="n">
        <v>29513</v>
      </c>
      <c r="C13" s="17" t="n">
        <v>14083</v>
      </c>
      <c r="D13" s="17" t="n">
        <v>53997</v>
      </c>
      <c r="E13" s="17" t="n">
        <v>130903</v>
      </c>
      <c r="F13" s="17" t="n">
        <v>89498</v>
      </c>
    </row>
    <row r="14">
      <c r="A14" s="15" t="inlineStr">
        <is>
          <t>Finansielle poster, netto</t>
        </is>
      </c>
      <c r="B14" s="17" t="n">
        <v>-28000</v>
      </c>
      <c r="C14" s="17" t="n">
        <v>-39000</v>
      </c>
      <c r="D14" s="17" t="n">
        <v>-87000</v>
      </c>
      <c r="E14" s="17" t="n">
        <v>-129000</v>
      </c>
      <c r="F14" s="17" t="n">
        <v>-87000</v>
      </c>
    </row>
    <row r="15">
      <c r="A15" s="15" t="inlineStr">
        <is>
          <t>Resultat før skat</t>
        </is>
      </c>
      <c r="B15" s="17" t="n">
        <v>54910</v>
      </c>
      <c r="C15" s="17" t="n">
        <v>-113589</v>
      </c>
      <c r="D15" s="17" t="n">
        <v>-162974</v>
      </c>
      <c r="E15" s="17" t="n">
        <v>-442240</v>
      </c>
      <c r="F15" s="17" t="n">
        <v>-356238</v>
      </c>
    </row>
    <row r="16">
      <c r="A16" s="16" t="inlineStr">
        <is>
          <t>Skat af årets resultat</t>
        </is>
      </c>
      <c r="B16" s="17" t="n">
        <v>17268</v>
      </c>
      <c r="C16" s="17" t="n">
        <v>-22213</v>
      </c>
      <c r="D16" s="17" t="n">
        <v>-26273</v>
      </c>
      <c r="E16" s="17" t="n">
        <v>-71768</v>
      </c>
      <c r="F16" s="17" t="n">
        <v>-74797</v>
      </c>
    </row>
    <row r="17">
      <c r="A17" s="15" t="inlineStr">
        <is>
          <t>Årets resultat</t>
        </is>
      </c>
      <c r="B17" s="17" t="n">
        <v>37642</v>
      </c>
      <c r="C17" s="17" t="n">
        <v>-91376</v>
      </c>
      <c r="D17" s="17" t="n">
        <v>-136701</v>
      </c>
      <c r="E17" s="17" t="n">
        <v>-370472</v>
      </c>
      <c r="F17" s="17" t="n">
        <v>-280841</v>
      </c>
    </row>
    <row r="18">
      <c r="A18" s="16" t="inlineStr">
        <is>
          <t>Gns. antal medarbejdere</t>
        </is>
      </c>
      <c r="B18" s="17" t="n">
        <v>654</v>
      </c>
      <c r="C18" s="17" t="n">
        <v>690</v>
      </c>
      <c r="D18" s="17" t="n">
        <v>798</v>
      </c>
      <c r="E18" s="17" t="n">
        <v>1182</v>
      </c>
      <c r="F18" s="17" t="n">
        <v>1233</v>
      </c>
    </row>
    <row r="19">
      <c r="A19" s="16" t="inlineStr">
        <is>
          <t>Investering i materielle anlægsaktiver</t>
        </is>
      </c>
      <c r="B19" s="17" t="n">
        <v>-123000</v>
      </c>
      <c r="C19" s="17" t="n">
        <v>-158000</v>
      </c>
      <c r="D19" s="17" t="n">
        <v>123000</v>
      </c>
      <c r="E19" s="17" t="n">
        <v>200000</v>
      </c>
      <c r="F19" s="17" t="n">
        <v>221000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138100</v>
      </c>
      <c r="C2" s="17" t="n">
        <v>149497</v>
      </c>
      <c r="D2" s="17" t="n">
        <v>166428</v>
      </c>
      <c r="E2" s="17" t="n">
        <v>435254</v>
      </c>
      <c r="F2" s="17" t="n">
        <v>364205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>
        <v>73894</v>
      </c>
      <c r="E4" s="17" t="n">
        <v>430023</v>
      </c>
      <c r="F4" s="17" t="n">
        <v>394894</v>
      </c>
    </row>
    <row r="5">
      <c r="A5" s="15" t="inlineStr">
        <is>
          <t>Immaterielle anlægsaktiver</t>
        </is>
      </c>
      <c r="B5" s="17" t="n">
        <v>372548</v>
      </c>
      <c r="C5" s="17" t="n">
        <v>421824</v>
      </c>
      <c r="D5" s="17" t="n">
        <v>481249</v>
      </c>
      <c r="E5" s="17" t="n">
        <v>1309266</v>
      </c>
      <c r="F5" s="17" t="n">
        <v>1190276</v>
      </c>
    </row>
    <row r="6">
      <c r="A6" s="16" t="inlineStr">
        <is>
          <t>Grunde og bygninger</t>
        </is>
      </c>
      <c r="B6" s="17" t="n">
        <v>496262</v>
      </c>
      <c r="C6" s="17" t="n">
        <v>486193</v>
      </c>
      <c r="D6" s="17" t="n">
        <v>456633</v>
      </c>
      <c r="E6" s="17" t="n">
        <v>607570</v>
      </c>
      <c r="F6" s="17" t="n">
        <v>577924</v>
      </c>
    </row>
    <row r="7">
      <c r="A7" s="16" t="inlineStr">
        <is>
          <t>Produktionsanlæg og maskiner</t>
        </is>
      </c>
      <c r="B7" s="17" t="n">
        <v>485156</v>
      </c>
      <c r="C7" s="17" t="n">
        <v>445169</v>
      </c>
      <c r="D7" s="17" t="n">
        <v>418644</v>
      </c>
      <c r="E7" s="17" t="n">
        <v>593750</v>
      </c>
      <c r="F7" s="17" t="n">
        <v>639805</v>
      </c>
    </row>
    <row r="8">
      <c r="A8" s="16" t="inlineStr">
        <is>
          <t>Driftsmateriel og inventar</t>
        </is>
      </c>
      <c r="B8" s="17" t="n">
        <v>6709</v>
      </c>
      <c r="C8" s="17" t="n">
        <v>4680</v>
      </c>
      <c r="D8" s="17" t="n">
        <v>4438</v>
      </c>
      <c r="E8" s="17" t="n">
        <v>17153</v>
      </c>
      <c r="F8" s="17" t="n">
        <v>10507</v>
      </c>
    </row>
    <row r="9">
      <c r="A9" s="16" t="inlineStr">
        <is>
          <t>Indretning af lejede lokaler</t>
        </is>
      </c>
      <c r="B9" s="17" t="n">
        <v>287</v>
      </c>
      <c r="C9" s="17" t="n">
        <v>159</v>
      </c>
      <c r="D9" s="17" t="n">
        <v>32</v>
      </c>
      <c r="E9" s="17" t="n">
        <v>8392</v>
      </c>
      <c r="F9" s="17" t="n">
        <v>35061</v>
      </c>
    </row>
    <row r="10">
      <c r="A10" s="16" t="inlineStr">
        <is>
          <t>Forudbetaling og anlægsaktiver under opførelse</t>
        </is>
      </c>
      <c r="B10" s="17" t="n">
        <v>136164</v>
      </c>
      <c r="C10" s="17" t="n">
        <v>240272</v>
      </c>
      <c r="D10" s="17" t="n">
        <v>313499</v>
      </c>
      <c r="E10" s="17" t="n">
        <v>239112</v>
      </c>
      <c r="F10" s="17" t="n">
        <v>269644</v>
      </c>
    </row>
    <row r="11">
      <c r="A11" s="15" t="inlineStr">
        <is>
          <t>Materielle anlægsaktiver</t>
        </is>
      </c>
      <c r="B11" s="17" t="n">
        <v>1124578</v>
      </c>
      <c r="C11" s="17" t="n">
        <v>1176473</v>
      </c>
      <c r="D11" s="17" t="n">
        <v>1193246</v>
      </c>
      <c r="E11" s="17" t="n">
        <v>1465977</v>
      </c>
      <c r="F11" s="17" t="n">
        <v>1532941</v>
      </c>
    </row>
    <row r="12">
      <c r="A12" s="16" t="inlineStr">
        <is>
          <t>Kapitalandele, dattervirksomheder</t>
        </is>
      </c>
      <c r="B12" s="17" t="n">
        <v>79711</v>
      </c>
      <c r="C12" s="17" t="n">
        <v>65747</v>
      </c>
      <c r="D12" s="17" t="n">
        <v>67663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79711</v>
      </c>
      <c r="C14" s="17" t="n">
        <v>65747</v>
      </c>
      <c r="D14" s="17" t="n">
        <v>67663</v>
      </c>
      <c r="E14" s="17" t="n">
        <v>0</v>
      </c>
      <c r="F14" s="17" t="n">
        <v>0</v>
      </c>
    </row>
    <row r="15">
      <c r="A15" s="15" t="inlineStr">
        <is>
          <t>Anlægsaktiver</t>
        </is>
      </c>
      <c r="B15" s="17" t="n">
        <v>1576837</v>
      </c>
      <c r="C15" s="17" t="n">
        <v>1664044</v>
      </c>
      <c r="D15" s="17" t="n">
        <v>1742158</v>
      </c>
      <c r="E15" s="17" t="n">
        <v>2775243</v>
      </c>
      <c r="F15" s="17" t="n">
        <v>2723217</v>
      </c>
    </row>
    <row r="16">
      <c r="A16" s="16" t="inlineStr">
        <is>
          <t>Råvarer og hjælpematerialer</t>
        </is>
      </c>
      <c r="B16" s="17" t="n">
        <v>124065</v>
      </c>
      <c r="C16" s="17" t="n">
        <v>144678</v>
      </c>
      <c r="D16" s="17" t="n">
        <v>145576</v>
      </c>
      <c r="E16" s="17" t="n">
        <v>164064</v>
      </c>
      <c r="F16" s="17" t="n">
        <v>207993</v>
      </c>
    </row>
    <row r="17">
      <c r="A17" s="16" t="inlineStr">
        <is>
          <t>Varer under fremstilling</t>
        </is>
      </c>
      <c r="B17" s="17" t="n">
        <v>13392</v>
      </c>
      <c r="C17" s="17" t="n">
        <v>30001</v>
      </c>
      <c r="D17" s="17" t="n">
        <v>31358</v>
      </c>
      <c r="E17" s="17" t="n">
        <v>40534</v>
      </c>
      <c r="F17" s="17" t="n">
        <v>48879</v>
      </c>
    </row>
    <row r="18">
      <c r="A18" s="16" t="inlineStr">
        <is>
          <t>Færdigvarer og handelsvarer</t>
        </is>
      </c>
      <c r="B18" s="17" t="n">
        <v>61293</v>
      </c>
      <c r="C18" s="17" t="n">
        <v>43917</v>
      </c>
      <c r="D18" s="17" t="n">
        <v>96315</v>
      </c>
      <c r="E18" s="17" t="n">
        <v>113719</v>
      </c>
      <c r="F18" s="17" t="n">
        <v>108360</v>
      </c>
    </row>
    <row r="19">
      <c r="A19" s="15" t="inlineStr">
        <is>
          <t>Varebeholdninger</t>
        </is>
      </c>
      <c r="B19" s="17" t="n">
        <v>198750</v>
      </c>
      <c r="C19" s="17" t="n">
        <v>218596</v>
      </c>
      <c r="D19" s="17" t="n">
        <v>273249</v>
      </c>
      <c r="E19" s="17" t="n">
        <v>318317</v>
      </c>
      <c r="F19" s="17" t="n">
        <v>365232</v>
      </c>
    </row>
    <row r="20">
      <c r="A20" s="16" t="inlineStr">
        <is>
          <t>Tilgodehavender fra salg og tjenesteydelser</t>
        </is>
      </c>
      <c r="B20" s="17" t="n">
        <v>146069</v>
      </c>
      <c r="C20" s="17" t="n">
        <v>156794</v>
      </c>
      <c r="D20" s="17" t="n">
        <v>149426</v>
      </c>
      <c r="E20" s="17" t="n">
        <v>222076</v>
      </c>
      <c r="F20" s="17" t="n">
        <v>295663</v>
      </c>
    </row>
    <row r="21">
      <c r="A21" s="16" t="inlineStr">
        <is>
          <t>Tilgodehavender hos tilknyttede virksomheder</t>
        </is>
      </c>
      <c r="B21" s="17" t="n">
        <v>55830</v>
      </c>
      <c r="C21" s="17" t="n">
        <v>177215</v>
      </c>
      <c r="D21" s="17" t="n">
        <v>315001</v>
      </c>
      <c r="E21" s="17" t="n">
        <v>26552</v>
      </c>
      <c r="F21" s="17" t="n">
        <v>30596</v>
      </c>
    </row>
    <row r="22">
      <c r="A22" s="16" t="inlineStr">
        <is>
          <t>Andre tilgodehavender</t>
        </is>
      </c>
      <c r="B22" s="17" t="n">
        <v>4284</v>
      </c>
      <c r="C22" s="17" t="n">
        <v>355</v>
      </c>
      <c r="D22" s="17" t="n">
        <v>1755</v>
      </c>
      <c r="E22" s="17" t="n">
        <v>49554</v>
      </c>
      <c r="F22" s="17" t="n">
        <v>50669</v>
      </c>
    </row>
    <row r="23">
      <c r="A23" s="16" t="inlineStr">
        <is>
          <t>Periodeafgrænsningsposter (aktiver)</t>
        </is>
      </c>
      <c r="B23" s="17" t="n">
        <v>3291</v>
      </c>
      <c r="C23" s="17" t="n">
        <v>6072</v>
      </c>
      <c r="D23" s="17" t="n">
        <v>10198</v>
      </c>
      <c r="E23" s="17" t="n">
        <v>17048</v>
      </c>
      <c r="F23" s="17" t="n">
        <v>18852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209474</v>
      </c>
      <c r="C27" s="17" t="n">
        <v>340436</v>
      </c>
      <c r="D27" s="17" t="n">
        <v>476970</v>
      </c>
      <c r="E27" s="17" t="n">
        <v>315230</v>
      </c>
      <c r="F27" s="17" t="n">
        <v>395780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36428</v>
      </c>
      <c r="C29" s="17" t="n">
        <v>26399</v>
      </c>
      <c r="D29" s="17" t="n">
        <v>5822</v>
      </c>
      <c r="E29" s="17" t="n">
        <v>60318</v>
      </c>
      <c r="F29" s="17" t="n">
        <v>122828</v>
      </c>
    </row>
    <row r="30">
      <c r="A30" s="15" t="inlineStr">
        <is>
          <t>Omsætningsaktiver</t>
        </is>
      </c>
      <c r="B30" s="17" t="n">
        <v>444652</v>
      </c>
      <c r="C30" s="17" t="n">
        <v>585431</v>
      </c>
      <c r="D30" s="17" t="n">
        <v>756041</v>
      </c>
      <c r="E30" s="17" t="n">
        <v>693865</v>
      </c>
      <c r="F30" s="17" t="n">
        <v>883840</v>
      </c>
    </row>
    <row r="31">
      <c r="A31" s="15" t="inlineStr">
        <is>
          <t>Aktiver</t>
        </is>
      </c>
      <c r="B31" s="17" t="n">
        <v>2021489</v>
      </c>
      <c r="C31" s="17" t="n">
        <v>2249475</v>
      </c>
      <c r="D31" s="17" t="n">
        <v>2498199</v>
      </c>
      <c r="E31" s="17" t="n">
        <v>3469108</v>
      </c>
      <c r="F31" s="17" t="n">
        <v>3607057</v>
      </c>
    </row>
    <row r="32">
      <c r="A32" s="16" t="inlineStr">
        <is>
          <t>Selskabskapital</t>
        </is>
      </c>
      <c r="B32" s="17" t="n">
        <v>70510</v>
      </c>
      <c r="C32" s="17" t="n">
        <v>70511</v>
      </c>
      <c r="D32" s="17" t="n">
        <v>70511</v>
      </c>
      <c r="E32" s="17" t="n">
        <v>1370511</v>
      </c>
      <c r="F32" s="17" t="n">
        <v>1370511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234984</v>
      </c>
      <c r="C34" s="17" t="n">
        <v>267929</v>
      </c>
      <c r="D34" s="17" t="n">
        <v>318198</v>
      </c>
      <c r="E34" s="17" t="n">
        <v>549163</v>
      </c>
      <c r="F34" s="17" t="n">
        <v>462871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372701</v>
      </c>
      <c r="C37" s="17" t="n">
        <v>248380</v>
      </c>
      <c r="D37" s="17" t="n">
        <v>61410</v>
      </c>
      <c r="E37" s="17" t="n">
        <v>-354287</v>
      </c>
      <c r="F37" s="17" t="n">
        <v>-563482</v>
      </c>
    </row>
    <row r="38">
      <c r="A38" s="15" t="inlineStr">
        <is>
          <t>Egenkapital i alt</t>
        </is>
      </c>
      <c r="B38" s="17" t="n">
        <v>681404</v>
      </c>
      <c r="C38" s="17" t="n">
        <v>596345</v>
      </c>
      <c r="D38" s="17" t="n">
        <v>458408</v>
      </c>
      <c r="E38" s="17" t="n">
        <v>1565387</v>
      </c>
      <c r="F38" s="17" t="n">
        <v>1269900</v>
      </c>
    </row>
    <row r="39">
      <c r="A39" s="16" t="inlineStr">
        <is>
          <t>Hensættelse til udskudt skat</t>
        </is>
      </c>
      <c r="B39" s="17" t="n">
        <v>160726</v>
      </c>
      <c r="C39" s="17" t="n">
        <v>139981</v>
      </c>
      <c r="D39" s="17" t="n">
        <v>125775</v>
      </c>
      <c r="E39" s="17" t="n">
        <v>151037</v>
      </c>
      <c r="F39" s="17" t="n">
        <v>85166</v>
      </c>
    </row>
    <row r="40">
      <c r="A40" s="15" t="inlineStr">
        <is>
          <t>Hensatte forpligtelser</t>
        </is>
      </c>
      <c r="B40" s="17" t="n">
        <v>160726</v>
      </c>
      <c r="C40" s="17" t="n">
        <v>139981</v>
      </c>
      <c r="D40" s="17" t="n">
        <v>125775</v>
      </c>
      <c r="E40" s="17" t="n">
        <v>151037</v>
      </c>
      <c r="F40" s="17" t="n">
        <v>85166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0</v>
      </c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37195</v>
      </c>
      <c r="C44" s="17" t="n">
        <v>36898</v>
      </c>
      <c r="D44" s="17" t="n">
        <v>1564541</v>
      </c>
      <c r="E44" s="17" t="n">
        <v>1272422</v>
      </c>
      <c r="F44" s="17" t="n">
        <v>1600000</v>
      </c>
    </row>
    <row r="45">
      <c r="A45" s="15" t="inlineStr">
        <is>
          <t>Langfristede gældsforpligtelser</t>
        </is>
      </c>
      <c r="B45" s="17" t="n">
        <v>37195</v>
      </c>
      <c r="C45" s="17" t="n">
        <v>36898</v>
      </c>
      <c r="D45" s="17" t="n">
        <v>1602229</v>
      </c>
      <c r="E45" s="17" t="n">
        <v>1328579</v>
      </c>
      <c r="F45" s="17" t="n">
        <v>1654366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>
        <v>439</v>
      </c>
      <c r="D47" s="17" t="n">
        <v>698</v>
      </c>
      <c r="E47" s="17" t="n">
        <v>556</v>
      </c>
      <c r="F47" s="17" t="n">
        <v>23098</v>
      </c>
    </row>
    <row r="48">
      <c r="A48" s="16" t="inlineStr">
        <is>
          <t>Kreditinstitutter</t>
        </is>
      </c>
      <c r="B48" s="17" t="n">
        <v>0</v>
      </c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97042</v>
      </c>
      <c r="C50" s="17" t="n">
        <v>84883</v>
      </c>
      <c r="D50" s="17" t="n">
        <v>101687</v>
      </c>
      <c r="E50" s="17" t="n">
        <v>134031</v>
      </c>
      <c r="F50" s="17" t="n">
        <v>233520</v>
      </c>
    </row>
    <row r="51">
      <c r="A51" s="16" t="inlineStr">
        <is>
          <t>Gæld til tilknyttede virksomheder</t>
        </is>
      </c>
      <c r="B51" s="17" t="n">
        <v>950661</v>
      </c>
      <c r="C51" s="17" t="n">
        <v>1237235</v>
      </c>
      <c r="D51" s="17" t="n">
        <v>36248</v>
      </c>
      <c r="E51" s="17" t="n">
        <v>58183</v>
      </c>
      <c r="F51" s="17" t="n">
        <v>168397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>
        <v>7006</v>
      </c>
      <c r="C54" s="17" t="n">
        <v>0</v>
      </c>
      <c r="D54" s="17" t="n"/>
      <c r="E54" s="17" t="n">
        <v>6483</v>
      </c>
      <c r="F54" s="17" t="n">
        <v>0</v>
      </c>
    </row>
    <row r="55">
      <c r="A55" s="16" t="inlineStr">
        <is>
          <t>Anden gæld (kortfristet)</t>
        </is>
      </c>
      <c r="B55" s="17" t="n">
        <v>87455</v>
      </c>
      <c r="C55" s="17" t="n">
        <v>153694</v>
      </c>
      <c r="D55" s="17" t="n">
        <v>173154</v>
      </c>
      <c r="E55" s="17" t="n">
        <v>205509</v>
      </c>
      <c r="F55" s="17" t="n">
        <v>149465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>
        <v>19343</v>
      </c>
      <c r="F56" s="17" t="n">
        <v>23145</v>
      </c>
    </row>
    <row r="57">
      <c r="A57" s="15" t="inlineStr">
        <is>
          <t>Kortfristede gældsforpligtelser</t>
        </is>
      </c>
      <c r="B57" s="17" t="n">
        <v>1142164</v>
      </c>
      <c r="C57" s="17" t="n">
        <v>1476251</v>
      </c>
      <c r="D57" s="17" t="n">
        <v>311787</v>
      </c>
      <c r="E57" s="17" t="n">
        <v>424105</v>
      </c>
      <c r="F57" s="17" t="n">
        <v>597625</v>
      </c>
    </row>
    <row r="58">
      <c r="A58" s="15" t="inlineStr">
        <is>
          <t>Gældsforpligtelser</t>
        </is>
      </c>
      <c r="B58" s="17" t="n">
        <v>1179359</v>
      </c>
      <c r="C58" s="17" t="n">
        <v>1513149</v>
      </c>
      <c r="D58" s="17" t="n">
        <v>1914016</v>
      </c>
      <c r="E58" s="17" t="n">
        <v>1752684</v>
      </c>
      <c r="F58" s="17" t="n">
        <v>2251991</v>
      </c>
    </row>
    <row r="59">
      <c r="A59" s="15" t="inlineStr">
        <is>
          <t>Passiver</t>
        </is>
      </c>
      <c r="B59" s="17" t="n">
        <v>2021489</v>
      </c>
      <c r="C59" s="17" t="n">
        <v>2249475</v>
      </c>
      <c r="D59" s="17" t="n">
        <v>2498199</v>
      </c>
      <c r="E59" s="17" t="n">
        <v>3469108</v>
      </c>
      <c r="F59" s="17" t="n">
        <v>3607057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175241</v>
      </c>
      <c r="C2" s="17" t="n"/>
      <c r="D2" s="17" t="n"/>
      <c r="E2" s="17" t="n">
        <v>-110588</v>
      </c>
      <c r="F2" s="17" t="n">
        <v>-75363</v>
      </c>
    </row>
    <row r="3">
      <c r="A3" s="16" t="inlineStr">
        <is>
          <t>Pengestrømme fra investeringsaktivitet</t>
        </is>
      </c>
      <c r="B3" s="17" t="n">
        <v>-201056</v>
      </c>
      <c r="C3" s="17" t="n"/>
      <c r="D3" s="17" t="n"/>
      <c r="E3" s="17" t="n">
        <v>-377168</v>
      </c>
      <c r="F3" s="17" t="n">
        <v>-294339</v>
      </c>
    </row>
    <row r="4">
      <c r="A4" s="16" t="inlineStr">
        <is>
          <t>Pengestrømme fra finansieringsaktivitet</t>
        </is>
      </c>
      <c r="B4" s="17" t="n">
        <v>-734</v>
      </c>
      <c r="C4" s="17" t="n"/>
      <c r="D4" s="17" t="n"/>
      <c r="E4" s="17" t="n">
        <v>518814</v>
      </c>
      <c r="F4" s="17" t="n">
        <v>432212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Fertin Pharma A/S (CVR 25834844) — Regnskabs- og nøgletal (CVR: 25834844)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'res_raw_25834844'!$F$2</f>
        <v/>
      </c>
      <c r="C5" s="24">
        <f>'res_raw_25834844'!$E$2</f>
        <v/>
      </c>
      <c r="D5" s="24">
        <f>'res_raw_25834844'!$D$2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-'res_raw_25834844'!$F$3</f>
        <v/>
      </c>
      <c r="C6" s="24">
        <f>-'res_raw_25834844'!$E$3</f>
        <v/>
      </c>
      <c r="D6" s="24">
        <f>-'res_raw_25834844'!$D$3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IF(ABS((SUM(B5:B6))-'res_raw_25834844'!$F$4)&lt;=2,SUM(B5:B6),'res_raw_25834844'!$F$4)</f>
        <v/>
      </c>
      <c r="C7" s="27">
        <f>IF(ABS((SUM(C5:C6))-'res_raw_25834844'!$E$4)&lt;=2,SUM(C5:C6),'res_raw_25834844'!$E$4)</f>
        <v/>
      </c>
      <c r="D7" s="27">
        <f>IF(ABS((SUM(D5:D6))-'res_raw_25834844'!$D$4)&lt;=2,SUM(D5:D6),'res_raw_25834844'!$D$4)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-'res_raw_25834844'!$F$5</f>
        <v/>
      </c>
      <c r="C8" s="24">
        <f>-'res_raw_25834844'!$E$5</f>
        <v/>
      </c>
      <c r="D8" s="24">
        <f>-'res_raw_25834844'!$D$5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-'res_raw_25834844'!$F$6</f>
        <v/>
      </c>
      <c r="C9" s="24">
        <f>-'res_raw_25834844'!$E$6</f>
        <v/>
      </c>
      <c r="D9" s="24">
        <f>-'res_raw_25834844'!$D$6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-'res_raw_25834844'!$F$7</f>
        <v/>
      </c>
      <c r="C10" s="24">
        <f>-'res_raw_25834844'!$E$7</f>
        <v/>
      </c>
      <c r="D10" s="24">
        <f>-'res_raw_25834844'!$D$7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'res_raw_25834844'!$F$8</f>
        <v/>
      </c>
      <c r="C11" s="24">
        <f>'res_raw_25834844'!$E$8</f>
        <v/>
      </c>
      <c r="D11" s="24">
        <f>'res_raw_25834844'!$D$8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-'res_raw_25834844'!$F$9</f>
        <v/>
      </c>
      <c r="C12" s="27">
        <f>-'res_raw_25834844'!$E$9</f>
        <v/>
      </c>
      <c r="D12" s="27">
        <f>-'res_raw_25834844'!$D$9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IF(ABS((SUM(B7:B12))-'res_raw_25834844'!$F$10)&lt;=2,SUM(B7:B12),'res_raw_25834844'!$F$10)</f>
        <v/>
      </c>
      <c r="C13" s="30">
        <f>IF(ABS((SUM(C7:C12))-'res_raw_25834844'!$E$10)&lt;=2,SUM(C7:C12),'res_raw_25834844'!$E$10)</f>
        <v/>
      </c>
      <c r="D13" s="30">
        <f>IF(ABS((SUM(D7:D12))-'res_raw_25834844'!$D$10)&lt;=2,SUM(D7:D12),'res_raw_25834844'!$D$10)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N('res_raw_25834844'!$F$11)+N('res_raw_25834844'!$F$12)</f>
        <v/>
      </c>
      <c r="C14" s="24">
        <f>N('res_raw_25834844'!$E$11)+N('res_raw_25834844'!$E$12)</f>
        <v/>
      </c>
      <c r="D14" s="24">
        <f>N('res_raw_25834844'!$D$11)+N('res_raw_25834844'!$D$12)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-'res_raw_25834844'!$F$13</f>
        <v/>
      </c>
      <c r="C15" s="27">
        <f>-'res_raw_25834844'!$E$13</f>
        <v/>
      </c>
      <c r="D15" s="27">
        <f>-'res_raw_25834844'!$D$13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IF(ABS((SUM(B13:B15))-'res_raw_25834844'!$F$15)&lt;=2,SUM(B13:B15),'res_raw_25834844'!$F$15)</f>
        <v/>
      </c>
      <c r="C16" s="30">
        <f>IF(ABS((SUM(C13:C15))-'res_raw_25834844'!$E$15)&lt;=2,SUM(C13:C15),'res_raw_25834844'!$E$15)</f>
        <v/>
      </c>
      <c r="D16" s="30">
        <f>IF(ABS((SUM(D13:D15))-'res_raw_25834844'!$D$15)&lt;=2,SUM(D13:D15),'res_raw_25834844'!$D$15)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'balance_raw_25834844'!$F$15</f>
        <v/>
      </c>
      <c r="C19" s="24">
        <f>'balance_raw_25834844'!$E$15</f>
        <v/>
      </c>
      <c r="D19" s="24">
        <f>'balance_raw_25834844'!$D$15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'balance_raw_25834844'!$F$30</f>
        <v/>
      </c>
      <c r="C20" s="24">
        <f>'balance_raw_25834844'!$E$30</f>
        <v/>
      </c>
      <c r="D20" s="24">
        <f>'balance_raw_25834844'!$D$30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'balance_raw_25834844'!$F$38</f>
        <v/>
      </c>
      <c r="C23" s="24">
        <f>'balance_raw_25834844'!$E$38</f>
        <v/>
      </c>
      <c r="D23" s="24">
        <f>'balance_raw_25834844'!$D$38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'balance_raw_25834844'!$F$59-'balance_raw_25834844'!$F$38</f>
        <v/>
      </c>
      <c r="C24" s="24">
        <f>'balance_raw_25834844'!$E$59-'balance_raw_25834844'!$E$38</f>
        <v/>
      </c>
      <c r="D24" s="24">
        <f>'balance_raw_25834844'!$D$59-'balance_raw_25834844'!$D$38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'balance_raw_25834844'!$F$19</f>
        <v/>
      </c>
      <c r="C28" s="24">
        <f>'balance_raw_25834844'!$E$19</f>
        <v/>
      </c>
      <c r="D28" s="24">
        <f>'balance_raw_25834844'!$D$19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'balance_raw_25834844'!$F$20</f>
        <v/>
      </c>
      <c r="C29" s="24">
        <f>'balance_raw_25834844'!$E$20</f>
        <v/>
      </c>
      <c r="D29" s="24">
        <f>'balance_raw_25834844'!$D$20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'balance_raw_25834844'!$F$57</f>
        <v/>
      </c>
      <c r="C30" s="24">
        <f>'balance_raw_25834844'!$E$57</f>
        <v/>
      </c>
      <c r="D30" s="24">
        <f>'balance_raw_25834844'!$D$57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IF('balance_raw_25834844'!$F$31="","—",IF(ABS(B21-'balance_raw_25834844'!$F$31)&lt;=1,"✓ OK","❌ "&amp;TEXT(B21-'balance_raw_25834844'!$F$31,"+#,##0;-#,##0")&amp;" t.kr."))</f>
        <v/>
      </c>
      <c r="C62" s="31">
        <f>IF('balance_raw_25834844'!$E$31="","—",IF(ABS(C21-'balance_raw_25834844'!$E$31)&lt;=1,"✓ OK","❌ "&amp;TEXT(C21-'balance_raw_25834844'!$E$31,"+#,##0;-#,##0")&amp;" t.kr."))</f>
        <v/>
      </c>
      <c r="D62" s="31">
        <f>IF('balance_raw_25834844'!$D$31="","—",IF(ABS(D21-'balance_raw_25834844'!$D$31)&lt;=1,"✓ OK","❌ "&amp;TEXT(D21-'balance_raw_25834844'!$D$31,"+#,##0;-#,##0")&amp;"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IF('balance_raw_25834844'!$F$59="","—",IF(ABS(B25-'balance_raw_25834844'!$F$59)&lt;=1,"✓ OK","❌ "&amp;TEXT(B25-'balance_raw_25834844'!$F$59,"+#,##0;-#,##0")&amp;" t.kr."))</f>
        <v/>
      </c>
      <c r="C63" s="31">
        <f>IF('balance_raw_25834844'!$E$59="","—",IF(ABS(C25-'balance_raw_25834844'!$E$59)&lt;=1,"✓ OK","❌ "&amp;TEXT(C25-'balance_raw_25834844'!$E$59,"+#,##0;-#,##0")&amp;" t.kr."))</f>
        <v/>
      </c>
      <c r="D63" s="31">
        <f>IF('balance_raw_25834844'!$D$59="","—",IF(ABS(D25-'balance_raw_25834844'!$D$59)&lt;=1,"✓ OK","❌ "&amp;TEXT(D25-'balance_raw_25834844'!$D$59,"+#,##0;-#,##0")&amp;"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IF('res_raw_25834844'!$F$4="","—",IF(ABS(B7-'res_raw_25834844'!$F$4)&lt;=1,"✓ OK","❌ "&amp;TEXT(B7-'res_raw_25834844'!$F$4,"+#,##0;-#,##0")&amp;" t.kr."))</f>
        <v/>
      </c>
      <c r="C65" s="31">
        <f>IF('res_raw_25834844'!$E$4="","—",IF(ABS(C7-'res_raw_25834844'!$E$4)&lt;=1,"✓ OK","❌ "&amp;TEXT(C7-'res_raw_25834844'!$E$4,"+#,##0;-#,##0")&amp;" t.kr."))</f>
        <v/>
      </c>
      <c r="D65" s="31">
        <f>IF('res_raw_25834844'!$D$4="","—",IF(ABS(D7-'res_raw_25834844'!$D$4)&lt;=1,"✓ OK","❌ "&amp;TEXT(D7-'res_raw_25834844'!$D$4,"+#,##0;-#,##0")&amp;"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IF('res_raw_25834844'!$F$10="","—",IF(ABS(B13-'res_raw_25834844'!$F$10)&lt;=1,"✓ OK","❌ "&amp;TEXT(B13-'res_raw_25834844'!$F$10,"+#,##0;-#,##0")&amp;" t.kr."))</f>
        <v/>
      </c>
      <c r="C66" s="31">
        <f>IF('res_raw_25834844'!$E$10="","—",IF(ABS(C13-'res_raw_25834844'!$E$10)&lt;=1,"✓ OK","❌ "&amp;TEXT(C13-'res_raw_25834844'!$E$10,"+#,##0;-#,##0")&amp;" t.kr."))</f>
        <v/>
      </c>
      <c r="D66" s="31">
        <f>IF('res_raw_25834844'!$D$10="","—",IF(ABS(D13-'res_raw_25834844'!$D$10)&lt;=1,"✓ OK","❌ "&amp;TEXT(D13-'res_raw_25834844'!$D$10,"+#,##0;-#,##0")&amp;"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IF('res_raw_25834844'!$F$15="","—",IF(ABS(B16-'res_raw_25834844'!$F$15)&lt;=1,"✓ OK","❌ "&amp;TEXT(B16-'res_raw_25834844'!$F$15,"+#,##0;-#,##0")&amp;" t.kr."))</f>
        <v/>
      </c>
      <c r="C67" s="31">
        <f>IF('res_raw_25834844'!$E$15="","—",IF(ABS(C16-'res_raw_25834844'!$E$15)&lt;=1,"✓ OK","❌ "&amp;TEXT(C16-'res_raw_25834844'!$E$15,"+#,##0;-#,##0")&amp;" t.kr."))</f>
        <v/>
      </c>
      <c r="D67" s="31">
        <f>IF('res_raw_25834844'!$D$15="","—",IF(ABS(D16-'res_raw_25834844'!$D$15)&lt;=1,"✓ OK","❌ "&amp;TEXT(D16-'res_raw_25834844'!$D$15,"+#,##0;-#,##0")&amp;"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Fertin Pharma A/S (CVR 25834844)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fsa:AdjustmentsForDeferredTaxCashFlow</t>
        </is>
      </c>
      <c r="C3" s="36" t="inlineStr">
        <is>
          <t>fsa:AdjustmentsForDeferredTaxCashFlow</t>
        </is>
      </c>
      <c r="D3" s="37" t="n">
        <v>10262</v>
      </c>
      <c r="E3" s="37" t="n"/>
      <c r="F3" s="37" t="n"/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fsa:AdjustmentsOfOtherTaxExpenses</t>
        </is>
      </c>
      <c r="C4" s="39" t="inlineStr">
        <is>
          <t>fsa:AdjustmentsOfOtherTaxExpenses</t>
        </is>
      </c>
      <c r="D4" s="40" t="n"/>
      <c r="E4" s="40" t="n"/>
      <c r="F4" s="40" t="n"/>
      <c r="G4" s="40" t="n">
        <v>19788</v>
      </c>
      <c r="H4" s="40" t="n">
        <v>33496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fsa:CashCapitalIncrease</t>
        </is>
      </c>
      <c r="C5" s="36" t="inlineStr">
        <is>
          <t>fsa:CashCapitalIncrease</t>
        </is>
      </c>
      <c r="D5" s="37" t="n"/>
      <c r="E5" s="37" t="n"/>
      <c r="F5" s="37" t="n"/>
      <c r="G5" s="37" t="n">
        <v>1404253</v>
      </c>
      <c r="H5" s="37" t="n">
        <v>12845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fsa:OtherSimilarRightsOriginatingFromDevelopmentProjects</t>
        </is>
      </c>
      <c r="C6" s="39" t="inlineStr">
        <is>
          <t>fsa:OtherSimilarRightsOriginatingFromDevelopmentProjects</t>
        </is>
      </c>
      <c r="D6" s="40" t="n"/>
      <c r="E6" s="40" t="n"/>
      <c r="F6" s="40" t="n"/>
      <c r="G6" s="40" t="n">
        <v>155804</v>
      </c>
      <c r="H6" s="40" t="n">
        <v>148912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fsa:OtherTaxExpenses</t>
        </is>
      </c>
      <c r="C7" s="36" t="inlineStr">
        <is>
          <t>fsa:OtherTaxExpenses</t>
        </is>
      </c>
      <c r="D7" s="37" t="n"/>
      <c r="E7" s="37" t="n"/>
      <c r="F7" s="37" t="n"/>
      <c r="G7" s="37" t="n">
        <v>0</v>
      </c>
      <c r="H7" s="37" t="n">
        <v>-600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fsa:PatentsOriginatingFromDevelopmentProjects</t>
        </is>
      </c>
      <c r="C8" s="39" t="inlineStr">
        <is>
          <t>fsa:PatentsOriginatingFromDevelopmentProjects</t>
        </is>
      </c>
      <c r="D8" s="40" t="n"/>
      <c r="E8" s="40" t="n"/>
      <c r="F8" s="40" t="n"/>
      <c r="G8" s="40" t="n">
        <v>41</v>
      </c>
      <c r="H8" s="40" t="n">
        <v>29900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fsa:RaisingOfDebtToAssociates</t>
        </is>
      </c>
      <c r="C9" s="36" t="inlineStr">
        <is>
          <t>fsa:RaisingOfDebtToAssociates</t>
        </is>
      </c>
      <c r="D9" s="37" t="n">
        <v>0</v>
      </c>
      <c r="E9" s="37" t="n"/>
      <c r="F9" s="37" t="n"/>
      <c r="G9" s="37" t="n"/>
      <c r="H9" s="37" t="n"/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fsa:ReserveForCurrentValueAdjustmentsOfCurrencyGains</t>
        </is>
      </c>
      <c r="C10" s="39" t="inlineStr">
        <is>
          <t>fsa:ReserveForCurrentValueAdjustmentsOfCurrencyGains</t>
        </is>
      </c>
      <c r="D10" s="40" t="n">
        <v>3209</v>
      </c>
      <c r="E10" s="40" t="n">
        <v>9525</v>
      </c>
      <c r="F10" s="40" t="n">
        <v>8289</v>
      </c>
      <c r="G10" s="40" t="n"/>
      <c r="H10" s="40" t="n"/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fsa:SaleOfTreasuryShares</t>
        </is>
      </c>
      <c r="C11" s="36" t="inlineStr">
        <is>
          <t>fsa:SaleOfTreasuryShares</t>
        </is>
      </c>
      <c r="D11" s="37" t="n"/>
      <c r="E11" s="37" t="n"/>
      <c r="F11" s="37" t="n"/>
      <c r="G11" s="37" t="n">
        <v>1324</v>
      </c>
      <c r="H11" s="37" t="n">
        <v>34</v>
      </c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fsa:TransferredToFromOtherStatutoryReserves</t>
        </is>
      </c>
      <c r="C12" s="39" t="inlineStr">
        <is>
          <t>fsa:TransferredToFromOtherStatutoryReserves</t>
        </is>
      </c>
      <c r="D12" s="40" t="n"/>
      <c r="E12" s="40" t="n"/>
      <c r="F12" s="40" t="n">
        <v>50269</v>
      </c>
      <c r="G12" s="40" t="n">
        <v>-32353</v>
      </c>
      <c r="H12" s="40" t="n">
        <v>-86292</v>
      </c>
      <c r="I12" s="41" t="inlineStr">
        <is>
          <t>Ingen forklaring tilgængelig.</t>
        </is>
      </c>
    </row>
    <row r="13" ht="30" customHeight="1">
      <c r="A13" s="36" t="inlineStr">
        <is>
          <t>Øvrige (ukendt)</t>
        </is>
      </c>
      <c r="B13" s="36" t="inlineStr">
        <is>
          <t>fsa:WorkPerformedByEntityAndCapitalised</t>
        </is>
      </c>
      <c r="C13" s="36" t="inlineStr">
        <is>
          <t>fsa:WorkPerformedByEntityAndCapitalised</t>
        </is>
      </c>
      <c r="D13" s="37" t="n"/>
      <c r="E13" s="37" t="n"/>
      <c r="F13" s="37" t="n"/>
      <c r="G13" s="37" t="n">
        <v>-73269</v>
      </c>
      <c r="H13" s="37" t="n">
        <v>-54070</v>
      </c>
      <c r="I13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2026-09-29T14:46:51Z</dcterms:created>
  <dcterms:modified xmlns:dcterms="http://purl.org/dc/terms/" xmlns:xsi="http://www.w3.org/2001/XMLSchema-instance" xsi:type="dcterms:W3CDTF">2026-09-29T14:46:52Z</dcterms:modified>
</cp:coreProperties>
</file>