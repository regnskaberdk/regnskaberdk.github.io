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'pengestrom_raw_25834844'!$B$2</f>
        <v/>
      </c>
      <c r="C100" s="17">
        <f>'pengestrom_raw_25834844'!$C$2</f>
        <v/>
      </c>
      <c r="D100" s="17">
        <f>'pengestrom_raw_25834844'!$D$2</f>
        <v/>
      </c>
      <c r="E100" s="17">
        <f>'pengestrom_raw_25834844'!$E$2</f>
        <v/>
      </c>
      <c r="F100" s="17">
        <f>'pengestrom_raw_25834844'!$F$2</f>
        <v/>
      </c>
    </row>
    <row r="101">
      <c r="A101" s="16" t="inlineStr">
        <is>
          <t>Pengestrømme fra investeringsaktivitet</t>
        </is>
      </c>
      <c r="B101" s="17">
        <f>'pengestrom_raw_25834844'!$B$3</f>
        <v/>
      </c>
      <c r="C101" s="17">
        <f>'pengestrom_raw_25834844'!$C$3</f>
        <v/>
      </c>
      <c r="D101" s="17">
        <f>'pengestrom_raw_25834844'!$D$3</f>
        <v/>
      </c>
      <c r="E101" s="17">
        <f>'pengestrom_raw_25834844'!$E$3</f>
        <v/>
      </c>
      <c r="F101" s="17">
        <f>'pengestrom_raw_25834844'!$F$3</f>
        <v/>
      </c>
    </row>
    <row r="102">
      <c r="A102" s="16" t="inlineStr">
        <is>
          <t>Pengestrømme fra finansieringsaktivitet</t>
        </is>
      </c>
      <c r="B102" s="17">
        <f>'pengestrom_raw_25834844'!$B$4</f>
        <v/>
      </c>
      <c r="C102" s="17">
        <f>'pengestrom_raw_25834844'!$C$4</f>
        <v/>
      </c>
      <c r="D102" s="17">
        <f>'pengestrom_raw_25834844'!$D$4</f>
        <v/>
      </c>
      <c r="E102" s="17">
        <f>'pengestrom_raw_25834844'!$E$4</f>
        <v/>
      </c>
      <c r="F102" s="17">
        <f>'pengestrom_raw_25834844'!$F$4</f>
        <v/>
      </c>
    </row>
    <row r="103">
      <c r="A103" s="16" t="inlineStr">
        <is>
          <t>Årets pengestrøm (rapporteret)</t>
        </is>
      </c>
      <c r="B103" s="17">
        <f>'pengestrom_raw_25834844'!$B$5</f>
        <v/>
      </c>
      <c r="C103" s="17">
        <f>'pengestrom_raw_25834844'!$C$5</f>
        <v/>
      </c>
      <c r="D103" s="17">
        <f>'pengestrom_raw_25834844'!$D$5</f>
        <v/>
      </c>
      <c r="E103" s="17">
        <f>'pengestrom_raw_25834844'!$E$5</f>
        <v/>
      </c>
      <c r="F103" s="17">
        <f>'pengestrom_raw_25834844'!$F$5</f>
        <v/>
      </c>
    </row>
    <row r="104">
      <c r="A104" s="16" t="inlineStr">
        <is>
          <t>Krydstjek: drift + inv. + fin. = årets pengestrøm</t>
        </is>
      </c>
      <c r="B104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4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4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4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4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Salgs- og distributionsomkostninger</t>
        </is>
      </c>
      <c r="B5" s="17" t="n">
        <v>19854</v>
      </c>
      <c r="C5" s="17" t="n">
        <v>39516</v>
      </c>
      <c r="D5" s="17" t="n">
        <v>43450</v>
      </c>
      <c r="E5" s="17" t="n"/>
      <c r="F5" s="17" t="n"/>
    </row>
    <row r="6">
      <c r="A6" s="16" t="inlineStr">
        <is>
          <t>Administrationsomkostninger</t>
        </is>
      </c>
      <c r="B6" s="17" t="n">
        <v>45182</v>
      </c>
      <c r="C6" s="17" t="n">
        <v>60457</v>
      </c>
      <c r="D6" s="17" t="n">
        <v>66597</v>
      </c>
      <c r="E6" s="17" t="n"/>
      <c r="F6" s="17" t="n"/>
    </row>
    <row r="7">
      <c r="A7" s="16" t="inlineStr">
        <is>
          <t>Andre driftsindtægter</t>
        </is>
      </c>
      <c r="B7" s="17" t="n">
        <v>0</v>
      </c>
      <c r="C7" s="17" t="n"/>
      <c r="D7" s="17" t="n"/>
      <c r="E7" s="17" t="n">
        <v>1748</v>
      </c>
      <c r="F7" s="17" t="n">
        <v>2098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44</v>
      </c>
      <c r="F8" s="17" t="n">
        <v>6717</v>
      </c>
    </row>
    <row r="9">
      <c r="A9" s="15" t="inlineStr">
        <is>
          <t>Resultat af primær drift</t>
        </is>
      </c>
      <c r="B9" s="17" t="n">
        <v>96348</v>
      </c>
      <c r="C9" s="17" t="n">
        <v>-74809</v>
      </c>
      <c r="D9" s="17" t="n">
        <v>-75903</v>
      </c>
      <c r="E9" s="17" t="n">
        <v>-312963</v>
      </c>
      <c r="F9" s="17" t="n">
        <v>-269178</v>
      </c>
    </row>
    <row r="10">
      <c r="A10" s="16" t="inlineStr">
        <is>
          <t>Indtægter af kapitalandele, dattervirksomheder</t>
        </is>
      </c>
      <c r="B10" s="17" t="n">
        <v>-13069</v>
      </c>
      <c r="C10" s="17" t="n">
        <v>-24831</v>
      </c>
      <c r="D10" s="17" t="n">
        <v>-37072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1144</v>
      </c>
      <c r="C11" s="17" t="n">
        <v>134</v>
      </c>
      <c r="D11" s="17" t="n">
        <v>3998</v>
      </c>
      <c r="E11" s="17" t="n">
        <v>1626</v>
      </c>
      <c r="F11" s="17" t="n">
        <v>2438</v>
      </c>
    </row>
    <row r="12">
      <c r="A12" s="16" t="inlineStr">
        <is>
          <t>Finansielle omkostninger</t>
        </is>
      </c>
      <c r="B12" s="17" t="n">
        <v>29513</v>
      </c>
      <c r="C12" s="17" t="n">
        <v>14083</v>
      </c>
      <c r="D12" s="17" t="n">
        <v>53997</v>
      </c>
      <c r="E12" s="17" t="n">
        <v>130903</v>
      </c>
      <c r="F12" s="17" t="n">
        <v>89498</v>
      </c>
    </row>
    <row r="13">
      <c r="A13" s="15" t="inlineStr">
        <is>
          <t>Finansielle poster, netto</t>
        </is>
      </c>
      <c r="B13" s="17" t="n">
        <v>-28000</v>
      </c>
      <c r="C13" s="17" t="n">
        <v>-39000</v>
      </c>
      <c r="D13" s="17" t="n">
        <v>-87000</v>
      </c>
      <c r="E13" s="17" t="n">
        <v>-129000</v>
      </c>
      <c r="F13" s="17" t="n">
        <v>-87000</v>
      </c>
    </row>
    <row r="14">
      <c r="A14" s="15" t="inlineStr">
        <is>
          <t>Resultat før skat</t>
        </is>
      </c>
      <c r="B14" s="17" t="n">
        <v>54910</v>
      </c>
      <c r="C14" s="17" t="n">
        <v>-113589</v>
      </c>
      <c r="D14" s="17" t="n">
        <v>-162974</v>
      </c>
      <c r="E14" s="17" t="n">
        <v>-442240</v>
      </c>
      <c r="F14" s="17" t="n">
        <v>-356238</v>
      </c>
    </row>
    <row r="15">
      <c r="A15" s="16" t="inlineStr">
        <is>
          <t>Skat af årets resultat</t>
        </is>
      </c>
      <c r="B15" s="17" t="n">
        <v>17268</v>
      </c>
      <c r="C15" s="17" t="n">
        <v>-22213</v>
      </c>
      <c r="D15" s="17" t="n">
        <v>-26273</v>
      </c>
      <c r="E15" s="17" t="n">
        <v>-71768</v>
      </c>
      <c r="F15" s="17" t="n">
        <v>-74797</v>
      </c>
    </row>
    <row r="16">
      <c r="A16" s="15" t="inlineStr">
        <is>
          <t>Årets resultat</t>
        </is>
      </c>
      <c r="B16" s="17" t="n">
        <v>37642</v>
      </c>
      <c r="C16" s="17" t="n">
        <v>-91376</v>
      </c>
      <c r="D16" s="17" t="n">
        <v>-136701</v>
      </c>
      <c r="E16" s="17" t="n">
        <v>-370472</v>
      </c>
      <c r="F16" s="17" t="n">
        <v>-280841</v>
      </c>
    </row>
    <row r="17">
      <c r="A17" s="16" t="inlineStr">
        <is>
          <t>Gns. antal medarbejdere</t>
        </is>
      </c>
      <c r="B17" s="17" t="n">
        <v>654</v>
      </c>
      <c r="C17" s="17" t="n">
        <v>690</v>
      </c>
      <c r="D17" s="17" t="n">
        <v>798</v>
      </c>
      <c r="E17" s="17" t="n">
        <v>1182</v>
      </c>
      <c r="F17" s="17" t="n">
        <v>1233</v>
      </c>
    </row>
    <row r="18">
      <c r="A18" s="16" t="inlineStr">
        <is>
          <t>Investering i materielle anlægsaktiver</t>
        </is>
      </c>
      <c r="B18" s="17" t="n">
        <v>-123000</v>
      </c>
      <c r="C18" s="17" t="n">
        <v>-158000</v>
      </c>
      <c r="D18" s="17" t="n">
        <v>123000</v>
      </c>
      <c r="E18" s="17" t="n">
        <v>200000</v>
      </c>
      <c r="F18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10262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fsa:AdjustmentsOfOtherTaxExpenses</t>
        </is>
      </c>
      <c r="C4" s="37" t="inlineStr">
        <is>
          <t>fsa:AdjustmentsOfOtherTaxExpenses</t>
        </is>
      </c>
      <c r="D4" s="38" t="n"/>
      <c r="E4" s="38" t="n"/>
      <c r="F4" s="38" t="n"/>
      <c r="G4" s="38" t="n">
        <v>19788</v>
      </c>
      <c r="H4" s="38" t="n">
        <v>33496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1404253</v>
      </c>
      <c r="H5" s="35" t="n">
        <v>12845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fsa:OtherSimilarRightsOriginatingFromDevelopmentProjects</t>
        </is>
      </c>
      <c r="C6" s="37" t="inlineStr">
        <is>
          <t>fsa:OtherSimilarRightsOriginatingFromDevelopmentProjects</t>
        </is>
      </c>
      <c r="D6" s="38" t="n"/>
      <c r="E6" s="38" t="n"/>
      <c r="F6" s="38" t="n"/>
      <c r="G6" s="38" t="n">
        <v>155804</v>
      </c>
      <c r="H6" s="38" t="n">
        <v>148912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fsa:OtherTaxExpenses</t>
        </is>
      </c>
      <c r="C7" s="34" t="inlineStr">
        <is>
          <t>fsa:OtherTaxExpenses</t>
        </is>
      </c>
      <c r="D7" s="35" t="n"/>
      <c r="E7" s="35" t="n"/>
      <c r="F7" s="35" t="n"/>
      <c r="G7" s="35" t="n">
        <v>0</v>
      </c>
      <c r="H7" s="35" t="n">
        <v>-600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fsa:PatentsOriginatingFromDevelopmentProjects</t>
        </is>
      </c>
      <c r="C8" s="37" t="inlineStr">
        <is>
          <t>fsa:PatentsOriginatingFromDevelopmentProjects</t>
        </is>
      </c>
      <c r="D8" s="38" t="n"/>
      <c r="E8" s="38" t="n"/>
      <c r="F8" s="38" t="n"/>
      <c r="G8" s="38" t="n">
        <v>41</v>
      </c>
      <c r="H8" s="38" t="n">
        <v>29900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fsa:RaisingOfDebtToAssociates</t>
        </is>
      </c>
      <c r="C9" s="34" t="inlineStr">
        <is>
          <t>fsa:RaisingOfDebtToAssociates</t>
        </is>
      </c>
      <c r="D9" s="35" t="n">
        <v>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3209</v>
      </c>
      <c r="E10" s="38" t="n">
        <v>9525</v>
      </c>
      <c r="F10" s="38" t="n">
        <v>8289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fsa:SaleOfTreasuryShares</t>
        </is>
      </c>
      <c r="C11" s="34" t="inlineStr">
        <is>
          <t>fsa:SaleOfTreasuryShares</t>
        </is>
      </c>
      <c r="D11" s="35" t="n"/>
      <c r="E11" s="35" t="n"/>
      <c r="F11" s="35" t="n"/>
      <c r="G11" s="35" t="n">
        <v>1324</v>
      </c>
      <c r="H11" s="35" t="n">
        <v>34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fsa:TransferredToFromOtherStatutoryReserves</t>
        </is>
      </c>
      <c r="C12" s="37" t="inlineStr">
        <is>
          <t>fsa:TransferredToFromOtherStatutoryReserves</t>
        </is>
      </c>
      <c r="D12" s="38" t="n"/>
      <c r="E12" s="38" t="n"/>
      <c r="F12" s="38" t="n">
        <v>50269</v>
      </c>
      <c r="G12" s="38" t="n">
        <v>-32353</v>
      </c>
      <c r="H12" s="38" t="n">
        <v>-86292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fsa:WorkPerformedByEntityAndCapitalised</t>
        </is>
      </c>
      <c r="C13" s="34" t="inlineStr">
        <is>
          <t>fsa:WorkPerformedByEntityAndCapitalised</t>
        </is>
      </c>
      <c r="D13" s="35" t="n"/>
      <c r="E13" s="35" t="n"/>
      <c r="F13" s="35" t="n"/>
      <c r="G13" s="35" t="n">
        <v>-73269</v>
      </c>
      <c r="H13" s="35" t="n">
        <v>-54070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2026-09-14T18:55:49Z</dcterms:created>
  <dcterms:modified xmlns:dcterms="http://purl.org/dc/terms/" xmlns:xsi="http://www.w3.org/2001/XMLSchema-instance" xsi:type="dcterms:W3CDTF">2026-09-14T18:55:50Z</dcterms:modified>
</cp:coreProperties>
</file>