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2297757" sheetId="1" state="visible" r:id="rId1"/>
    <sheet xmlns:r="http://schemas.openxmlformats.org/officeDocument/2006/relationships" name="res_raw_32297757" sheetId="2" state="visible" r:id="rId2"/>
    <sheet xmlns:r="http://schemas.openxmlformats.org/officeDocument/2006/relationships" name="balance_raw_3229775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Mikkeller DK Bars ApS (CVR 32297757)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'res_raw_32297757'!$B$2</f>
        <v/>
      </c>
      <c r="C4" s="5">
        <f>'res_raw_32297757'!$C$2</f>
        <v/>
      </c>
      <c r="D4" s="5">
        <f>'res_raw_32297757'!$D$2</f>
        <v/>
      </c>
      <c r="E4" s="5">
        <f>'res_raw_32297757'!$E$2</f>
        <v/>
      </c>
      <c r="F4" s="5">
        <f>'res_raw_32297757'!$F$2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'res_raw_32297757'!$B$3</f>
        <v/>
      </c>
      <c r="C5" s="8">
        <f>'res_raw_32297757'!$C$3</f>
        <v/>
      </c>
      <c r="D5" s="8">
        <f>'res_raw_32297757'!$D$3</f>
        <v/>
      </c>
      <c r="E5" s="8">
        <f>'res_raw_32297757'!$E$3</f>
        <v/>
      </c>
      <c r="F5" s="8">
        <f>'res_raw_32297757'!$F$3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'res_raw_32297757'!$B$4</f>
        <v/>
      </c>
      <c r="C6" s="5">
        <f>'res_raw_32297757'!$C$4</f>
        <v/>
      </c>
      <c r="D6" s="5">
        <f>'res_raw_32297757'!$D$4</f>
        <v/>
      </c>
      <c r="E6" s="5">
        <f>'res_raw_32297757'!$E$4</f>
        <v/>
      </c>
      <c r="F6" s="5">
        <f>'res_raw_32297757'!$F$4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'res_raw_32297757'!$B$5</f>
        <v/>
      </c>
      <c r="C7" s="8">
        <f>'res_raw_32297757'!$C$5</f>
        <v/>
      </c>
      <c r="D7" s="8">
        <f>'res_raw_32297757'!$D$5</f>
        <v/>
      </c>
      <c r="E7" s="8">
        <f>'res_raw_32297757'!$E$5</f>
        <v/>
      </c>
      <c r="F7" s="8">
        <f>'res_raw_32297757'!$F$5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'res_raw_32297757'!$B$6</f>
        <v/>
      </c>
      <c r="C8" s="11">
        <f>'res_raw_32297757'!$C$6</f>
        <v/>
      </c>
      <c r="D8" s="11">
        <f>'res_raw_32297757'!$D$6</f>
        <v/>
      </c>
      <c r="E8" s="11">
        <f>'res_raw_32297757'!$E$6</f>
        <v/>
      </c>
      <c r="F8" s="11">
        <f>'res_raw_32297757'!$F$6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'res_raw_32297757'!$B$7</f>
        <v/>
      </c>
      <c r="C9" s="8">
        <f>'res_raw_32297757'!$C$7</f>
        <v/>
      </c>
      <c r="D9" s="8">
        <f>'res_raw_32297757'!$D$7</f>
        <v/>
      </c>
      <c r="E9" s="8">
        <f>'res_raw_32297757'!$E$7</f>
        <v/>
      </c>
      <c r="F9" s="8">
        <f>'res_raw_32297757'!$F$7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'res_raw_32297757'!$B$9</f>
        <v/>
      </c>
      <c r="C11" s="8">
        <f>'res_raw_32297757'!$C$9</f>
        <v/>
      </c>
      <c r="D11" s="8">
        <f>'res_raw_32297757'!$D$9</f>
        <v/>
      </c>
      <c r="E11" s="8">
        <f>'res_raw_32297757'!$E$9</f>
        <v/>
      </c>
      <c r="F11" s="8">
        <f>'res_raw_32297757'!$F$9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'res_raw_32297757'!$B$10</f>
        <v/>
      </c>
      <c r="C12" s="5">
        <f>'res_raw_32297757'!$C$10</f>
        <v/>
      </c>
      <c r="D12" s="5">
        <f>'res_raw_32297757'!$D$10</f>
        <v/>
      </c>
      <c r="E12" s="5">
        <f>'res_raw_32297757'!$E$10</f>
        <v/>
      </c>
      <c r="F12" s="5">
        <f>'res_raw_32297757'!$F$10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'res_raw_32297757'!$B$11</f>
        <v/>
      </c>
      <c r="C13" s="11">
        <f>'res_raw_32297757'!$C$11</f>
        <v/>
      </c>
      <c r="D13" s="11">
        <f>'res_raw_32297757'!$D$11</f>
        <v/>
      </c>
      <c r="E13" s="11">
        <f>'res_raw_32297757'!$E$11</f>
        <v/>
      </c>
      <c r="F13" s="11">
        <f>'res_raw_32297757'!$F$11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'res_raw_32297757'!$B$12</f>
        <v/>
      </c>
      <c r="C14" s="5">
        <f>'res_raw_32297757'!$C$12</f>
        <v/>
      </c>
      <c r="D14" s="5">
        <f>'res_raw_32297757'!$D$12</f>
        <v/>
      </c>
      <c r="E14" s="5">
        <f>'res_raw_32297757'!$E$12</f>
        <v/>
      </c>
      <c r="F14" s="5">
        <f>'res_raw_32297757'!$F$12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'res_raw_32297757'!$B$13</f>
        <v/>
      </c>
      <c r="C15" s="8">
        <f>'res_raw_32297757'!$C$13</f>
        <v/>
      </c>
      <c r="D15" s="8">
        <f>'res_raw_32297757'!$D$13</f>
        <v/>
      </c>
      <c r="E15" s="8">
        <f>'res_raw_32297757'!$E$13</f>
        <v/>
      </c>
      <c r="F15" s="8">
        <f>'res_raw_32297757'!$F$13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'res_raw_32297757'!$B$14</f>
        <v/>
      </c>
      <c r="C16" s="5">
        <f>'res_raw_32297757'!$C$14</f>
        <v/>
      </c>
      <c r="D16" s="5">
        <f>'res_raw_32297757'!$D$14</f>
        <v/>
      </c>
      <c r="E16" s="5">
        <f>'res_raw_32297757'!$E$14</f>
        <v/>
      </c>
      <c r="F16" s="5">
        <f>'res_raw_32297757'!$F$14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'res_raw_32297757'!$B$15</f>
        <v/>
      </c>
      <c r="C17" s="11">
        <f>'res_raw_32297757'!$C$15</f>
        <v/>
      </c>
      <c r="D17" s="11">
        <f>'res_raw_32297757'!$D$15</f>
        <v/>
      </c>
      <c r="E17" s="11">
        <f>'res_raw_32297757'!$E$15</f>
        <v/>
      </c>
      <c r="F17" s="11">
        <f>'res_raw_32297757'!$F$15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'res_raw_32297757'!$B$16</f>
        <v/>
      </c>
      <c r="C18" s="11">
        <f>'res_raw_32297757'!$C$16</f>
        <v/>
      </c>
      <c r="D18" s="11">
        <f>'res_raw_32297757'!$D$16</f>
        <v/>
      </c>
      <c r="E18" s="11">
        <f>'res_raw_32297757'!$E$16</f>
        <v/>
      </c>
      <c r="F18" s="11">
        <f>'res_raw_32297757'!$F$16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'res_raw_32297757'!$B$17</f>
        <v/>
      </c>
      <c r="C19" s="8">
        <f>'res_raw_32297757'!$C$17</f>
        <v/>
      </c>
      <c r="D19" s="8">
        <f>'res_raw_32297757'!$D$17</f>
        <v/>
      </c>
      <c r="E19" s="8">
        <f>'res_raw_32297757'!$E$17</f>
        <v/>
      </c>
      <c r="F19" s="8">
        <f>'res_raw_32297757'!$F$17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'res_raw_32297757'!$B$18</f>
        <v/>
      </c>
      <c r="C20" s="11">
        <f>'res_raw_32297757'!$C$18</f>
        <v/>
      </c>
      <c r="D20" s="11">
        <f>'res_raw_32297757'!$D$18</f>
        <v/>
      </c>
      <c r="E20" s="11">
        <f>'res_raw_32297757'!$E$18</f>
        <v/>
      </c>
      <c r="F20" s="11">
        <f>'res_raw_32297757'!$F$18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'balance_raw_32297757'!$B$2</f>
        <v/>
      </c>
      <c r="C23" s="8">
        <f>'balance_raw_32297757'!$C$2</f>
        <v/>
      </c>
      <c r="D23" s="8">
        <f>'balance_raw_32297757'!$D$2</f>
        <v/>
      </c>
      <c r="E23" s="8">
        <f>'balance_raw_32297757'!$E$2</f>
        <v/>
      </c>
      <c r="F23" s="8">
        <f>'balance_raw_32297757'!$F$2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'balance_raw_32297757'!$B$3</f>
        <v/>
      </c>
      <c r="C24" s="5">
        <f>'balance_raw_32297757'!$C$3</f>
        <v/>
      </c>
      <c r="D24" s="5">
        <f>'balance_raw_32297757'!$D$3</f>
        <v/>
      </c>
      <c r="E24" s="5">
        <f>'balance_raw_32297757'!$E$3</f>
        <v/>
      </c>
      <c r="F24" s="5">
        <f>'balance_raw_32297757'!$F$3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'balance_raw_32297757'!$B$4</f>
        <v/>
      </c>
      <c r="C25" s="8">
        <f>'balance_raw_32297757'!$C$4</f>
        <v/>
      </c>
      <c r="D25" s="8">
        <f>'balance_raw_32297757'!$D$4</f>
        <v/>
      </c>
      <c r="E25" s="8">
        <f>'balance_raw_32297757'!$E$4</f>
        <v/>
      </c>
      <c r="F25" s="8">
        <f>'balance_raw_32297757'!$F$4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'balance_raw_32297757'!$B$5</f>
        <v/>
      </c>
      <c r="C26" s="11">
        <f>'balance_raw_32297757'!$C$5</f>
        <v/>
      </c>
      <c r="D26" s="11">
        <f>'balance_raw_32297757'!$D$5</f>
        <v/>
      </c>
      <c r="E26" s="11">
        <f>'balance_raw_32297757'!$E$5</f>
        <v/>
      </c>
      <c r="F26" s="11">
        <f>'balance_raw_32297757'!$F$5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'balance_raw_32297757'!$B$6</f>
        <v/>
      </c>
      <c r="C27" s="8">
        <f>'balance_raw_32297757'!$C$6</f>
        <v/>
      </c>
      <c r="D27" s="8">
        <f>'balance_raw_32297757'!$D$6</f>
        <v/>
      </c>
      <c r="E27" s="8">
        <f>'balance_raw_32297757'!$E$6</f>
        <v/>
      </c>
      <c r="F27" s="8">
        <f>'balance_raw_32297757'!$F$6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'balance_raw_32297757'!$B$7</f>
        <v/>
      </c>
      <c r="C28" s="5">
        <f>'balance_raw_32297757'!$C$7</f>
        <v/>
      </c>
      <c r="D28" s="5">
        <f>'balance_raw_32297757'!$D$7</f>
        <v/>
      </c>
      <c r="E28" s="5">
        <f>'balance_raw_32297757'!$E$7</f>
        <v/>
      </c>
      <c r="F28" s="5">
        <f>'balance_raw_32297757'!$F$7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'balance_raw_32297757'!$B$8</f>
        <v/>
      </c>
      <c r="C29" s="8">
        <f>'balance_raw_32297757'!$C$8</f>
        <v/>
      </c>
      <c r="D29" s="8">
        <f>'balance_raw_32297757'!$D$8</f>
        <v/>
      </c>
      <c r="E29" s="8">
        <f>'balance_raw_32297757'!$E$8</f>
        <v/>
      </c>
      <c r="F29" s="8">
        <f>'balance_raw_32297757'!$F$8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'balance_raw_32297757'!$B$9</f>
        <v/>
      </c>
      <c r="C30" s="5">
        <f>'balance_raw_32297757'!$C$9</f>
        <v/>
      </c>
      <c r="D30" s="5">
        <f>'balance_raw_32297757'!$D$9</f>
        <v/>
      </c>
      <c r="E30" s="5">
        <f>'balance_raw_32297757'!$E$9</f>
        <v/>
      </c>
      <c r="F30" s="5">
        <f>'balance_raw_32297757'!$F$9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'balance_raw_32297757'!$B$10</f>
        <v/>
      </c>
      <c r="C31" s="8">
        <f>'balance_raw_32297757'!$C$10</f>
        <v/>
      </c>
      <c r="D31" s="8">
        <f>'balance_raw_32297757'!$D$10</f>
        <v/>
      </c>
      <c r="E31" s="8">
        <f>'balance_raw_32297757'!$E$10</f>
        <v/>
      </c>
      <c r="F31" s="8">
        <f>'balance_raw_32297757'!$F$10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'balance_raw_32297757'!$B$11</f>
        <v/>
      </c>
      <c r="C32" s="11">
        <f>'balance_raw_32297757'!$C$11</f>
        <v/>
      </c>
      <c r="D32" s="11">
        <f>'balance_raw_32297757'!$D$11</f>
        <v/>
      </c>
      <c r="E32" s="11">
        <f>'balance_raw_32297757'!$E$11</f>
        <v/>
      </c>
      <c r="F32" s="11">
        <f>'balance_raw_32297757'!$F$11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'balance_raw_32297757'!$B$12</f>
        <v/>
      </c>
      <c r="C33" s="8">
        <f>'balance_raw_32297757'!$C$12</f>
        <v/>
      </c>
      <c r="D33" s="8">
        <f>'balance_raw_32297757'!$D$12</f>
        <v/>
      </c>
      <c r="E33" s="8">
        <f>'balance_raw_32297757'!$E$12</f>
        <v/>
      </c>
      <c r="F33" s="8">
        <f>'balance_raw_32297757'!$F$12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'balance_raw_32297757'!$B$13</f>
        <v/>
      </c>
      <c r="C34" s="5">
        <f>'balance_raw_32297757'!$C$13</f>
        <v/>
      </c>
      <c r="D34" s="5">
        <f>'balance_raw_32297757'!$D$13</f>
        <v/>
      </c>
      <c r="E34" s="5">
        <f>'balance_raw_32297757'!$E$13</f>
        <v/>
      </c>
      <c r="F34" s="5">
        <f>'balance_raw_32297757'!$F$13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'balance_raw_32297757'!$B$14</f>
        <v/>
      </c>
      <c r="C35" s="11">
        <f>'balance_raw_32297757'!$C$14</f>
        <v/>
      </c>
      <c r="D35" s="11">
        <f>'balance_raw_32297757'!$D$14</f>
        <v/>
      </c>
      <c r="E35" s="11">
        <f>'balance_raw_32297757'!$E$14</f>
        <v/>
      </c>
      <c r="F35" s="11">
        <f>'balance_raw_32297757'!$F$14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'balance_raw_32297757'!$B$15</f>
        <v/>
      </c>
      <c r="C36" s="11">
        <f>'balance_raw_32297757'!$C$15</f>
        <v/>
      </c>
      <c r="D36" s="11">
        <f>'balance_raw_32297757'!$D$15</f>
        <v/>
      </c>
      <c r="E36" s="11">
        <f>'balance_raw_32297757'!$E$15</f>
        <v/>
      </c>
      <c r="F36" s="11">
        <f>'balance_raw_32297757'!$F$15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'balance_raw_32297757'!$B$16</f>
        <v/>
      </c>
      <c r="C37" s="8">
        <f>'balance_raw_32297757'!$C$16</f>
        <v/>
      </c>
      <c r="D37" s="8">
        <f>'balance_raw_32297757'!$D$16</f>
        <v/>
      </c>
      <c r="E37" s="8">
        <f>'balance_raw_32297757'!$E$16</f>
        <v/>
      </c>
      <c r="F37" s="8">
        <f>'balance_raw_32297757'!$F$16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'balance_raw_32297757'!$B$17</f>
        <v/>
      </c>
      <c r="C38" s="5">
        <f>'balance_raw_32297757'!$C$17</f>
        <v/>
      </c>
      <c r="D38" s="5">
        <f>'balance_raw_32297757'!$D$17</f>
        <v/>
      </c>
      <c r="E38" s="5">
        <f>'balance_raw_32297757'!$E$17</f>
        <v/>
      </c>
      <c r="F38" s="5">
        <f>'balance_raw_32297757'!$F$17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'balance_raw_32297757'!$B$18</f>
        <v/>
      </c>
      <c r="C39" s="8">
        <f>'balance_raw_32297757'!$C$18</f>
        <v/>
      </c>
      <c r="D39" s="8">
        <f>'balance_raw_32297757'!$D$18</f>
        <v/>
      </c>
      <c r="E39" s="8">
        <f>'balance_raw_32297757'!$E$18</f>
        <v/>
      </c>
      <c r="F39" s="8">
        <f>'balance_raw_32297757'!$F$18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'balance_raw_32297757'!$B$19</f>
        <v/>
      </c>
      <c r="C40" s="11">
        <f>'balance_raw_32297757'!$C$19</f>
        <v/>
      </c>
      <c r="D40" s="11">
        <f>'balance_raw_32297757'!$D$19</f>
        <v/>
      </c>
      <c r="E40" s="11">
        <f>'balance_raw_32297757'!$E$19</f>
        <v/>
      </c>
      <c r="F40" s="11">
        <f>'balance_raw_32297757'!$F$19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'balance_raw_32297757'!$B$20</f>
        <v/>
      </c>
      <c r="C41" s="8">
        <f>'balance_raw_32297757'!$C$20</f>
        <v/>
      </c>
      <c r="D41" s="8">
        <f>'balance_raw_32297757'!$D$20</f>
        <v/>
      </c>
      <c r="E41" s="8">
        <f>'balance_raw_32297757'!$E$20</f>
        <v/>
      </c>
      <c r="F41" s="8">
        <f>'balance_raw_32297757'!$F$20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'balance_raw_32297757'!$B$21</f>
        <v/>
      </c>
      <c r="C42" s="5">
        <f>'balance_raw_32297757'!$C$21</f>
        <v/>
      </c>
      <c r="D42" s="5">
        <f>'balance_raw_32297757'!$D$21</f>
        <v/>
      </c>
      <c r="E42" s="5">
        <f>'balance_raw_32297757'!$E$21</f>
        <v/>
      </c>
      <c r="F42" s="5">
        <f>'balance_raw_32297757'!$F$21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'balance_raw_32297757'!$B$22</f>
        <v/>
      </c>
      <c r="C43" s="8">
        <f>'balance_raw_32297757'!$C$22</f>
        <v/>
      </c>
      <c r="D43" s="8">
        <f>'balance_raw_32297757'!$D$22</f>
        <v/>
      </c>
      <c r="E43" s="8">
        <f>'balance_raw_32297757'!$E$22</f>
        <v/>
      </c>
      <c r="F43" s="8">
        <f>'balance_raw_32297757'!$F$22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'balance_raw_32297757'!$B$23</f>
        <v/>
      </c>
      <c r="C44" s="5">
        <f>'balance_raw_32297757'!$C$23</f>
        <v/>
      </c>
      <c r="D44" s="5">
        <f>'balance_raw_32297757'!$D$23</f>
        <v/>
      </c>
      <c r="E44" s="5">
        <f>'balance_raw_32297757'!$E$23</f>
        <v/>
      </c>
      <c r="F44" s="5">
        <f>'balance_raw_32297757'!$F$23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'balance_raw_32297757'!$B$24</f>
        <v/>
      </c>
      <c r="C45" s="8">
        <f>'balance_raw_32297757'!$C$24</f>
        <v/>
      </c>
      <c r="D45" s="8">
        <f>'balance_raw_32297757'!$D$24</f>
        <v/>
      </c>
      <c r="E45" s="8">
        <f>'balance_raw_32297757'!$E$24</f>
        <v/>
      </c>
      <c r="F45" s="8">
        <f>'balance_raw_32297757'!$F$24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'balance_raw_32297757'!$B$25</f>
        <v/>
      </c>
      <c r="C46" s="5">
        <f>'balance_raw_32297757'!$C$25</f>
        <v/>
      </c>
      <c r="D46" s="5">
        <f>'balance_raw_32297757'!$D$25</f>
        <v/>
      </c>
      <c r="E46" s="5">
        <f>'balance_raw_32297757'!$E$25</f>
        <v/>
      </c>
      <c r="F46" s="5">
        <f>'balance_raw_32297757'!$F$25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'balance_raw_32297757'!$B$26</f>
        <v/>
      </c>
      <c r="C47" s="8">
        <f>'balance_raw_32297757'!$C$26</f>
        <v/>
      </c>
      <c r="D47" s="8">
        <f>'balance_raw_32297757'!$D$26</f>
        <v/>
      </c>
      <c r="E47" s="8">
        <f>'balance_raw_32297757'!$E$26</f>
        <v/>
      </c>
      <c r="F47" s="8">
        <f>'balance_raw_32297757'!$F$26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'balance_raw_32297757'!$B$27</f>
        <v/>
      </c>
      <c r="C48" s="11">
        <f>'balance_raw_32297757'!$C$27</f>
        <v/>
      </c>
      <c r="D48" s="11">
        <f>'balance_raw_32297757'!$D$27</f>
        <v/>
      </c>
      <c r="E48" s="11">
        <f>'balance_raw_32297757'!$E$27</f>
        <v/>
      </c>
      <c r="F48" s="11">
        <f>'balance_raw_32297757'!$F$27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'balance_raw_32297757'!$B$28</f>
        <v/>
      </c>
      <c r="C49" s="8">
        <f>'balance_raw_32297757'!$C$28</f>
        <v/>
      </c>
      <c r="D49" s="8">
        <f>'balance_raw_32297757'!$D$28</f>
        <v/>
      </c>
      <c r="E49" s="8">
        <f>'balance_raw_32297757'!$E$28</f>
        <v/>
      </c>
      <c r="F49" s="8">
        <f>'balance_raw_32297757'!$F$28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'balance_raw_32297757'!$B$29</f>
        <v/>
      </c>
      <c r="C50" s="5">
        <f>'balance_raw_32297757'!$C$29</f>
        <v/>
      </c>
      <c r="D50" s="5">
        <f>'balance_raw_32297757'!$D$29</f>
        <v/>
      </c>
      <c r="E50" s="5">
        <f>'balance_raw_32297757'!$E$29</f>
        <v/>
      </c>
      <c r="F50" s="5">
        <f>'balance_raw_32297757'!$F$29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'balance_raw_32297757'!$B$30</f>
        <v/>
      </c>
      <c r="C51" s="11">
        <f>'balance_raw_32297757'!$C$30</f>
        <v/>
      </c>
      <c r="D51" s="11">
        <f>'balance_raw_32297757'!$D$30</f>
        <v/>
      </c>
      <c r="E51" s="11">
        <f>'balance_raw_32297757'!$E$30</f>
        <v/>
      </c>
      <c r="F51" s="11">
        <f>'balance_raw_32297757'!$F$30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'balance_raw_32297757'!$B$31</f>
        <v/>
      </c>
      <c r="C52" s="11">
        <f>'balance_raw_32297757'!$C$31</f>
        <v/>
      </c>
      <c r="D52" s="11">
        <f>'balance_raw_32297757'!$D$31</f>
        <v/>
      </c>
      <c r="E52" s="11">
        <f>'balance_raw_32297757'!$E$31</f>
        <v/>
      </c>
      <c r="F52" s="11">
        <f>'balance_raw_32297757'!$F$31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'balance_raw_32297757'!$B$32</f>
        <v/>
      </c>
      <c r="C55" s="8">
        <f>'balance_raw_32297757'!$C$32</f>
        <v/>
      </c>
      <c r="D55" s="8">
        <f>'balance_raw_32297757'!$D$32</f>
        <v/>
      </c>
      <c r="E55" s="8">
        <f>'balance_raw_32297757'!$E$32</f>
        <v/>
      </c>
      <c r="F55" s="8">
        <f>'balance_raw_32297757'!$F$32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'balance_raw_32297757'!$B$33</f>
        <v/>
      </c>
      <c r="C56" s="5">
        <f>'balance_raw_32297757'!$C$33</f>
        <v/>
      </c>
      <c r="D56" s="5">
        <f>'balance_raw_32297757'!$D$33</f>
        <v/>
      </c>
      <c r="E56" s="5">
        <f>'balance_raw_32297757'!$E$33</f>
        <v/>
      </c>
      <c r="F56" s="5">
        <f>'balance_raw_32297757'!$F$33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'balance_raw_32297757'!$B$34</f>
        <v/>
      </c>
      <c r="C57" s="8">
        <f>'balance_raw_32297757'!$C$34</f>
        <v/>
      </c>
      <c r="D57" s="8">
        <f>'balance_raw_32297757'!$D$34</f>
        <v/>
      </c>
      <c r="E57" s="8">
        <f>'balance_raw_32297757'!$E$34</f>
        <v/>
      </c>
      <c r="F57" s="8">
        <f>'balance_raw_32297757'!$F$34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'balance_raw_32297757'!$B$35</f>
        <v/>
      </c>
      <c r="C58" s="5">
        <f>'balance_raw_32297757'!$C$35</f>
        <v/>
      </c>
      <c r="D58" s="5">
        <f>'balance_raw_32297757'!$D$35</f>
        <v/>
      </c>
      <c r="E58" s="5">
        <f>'balance_raw_32297757'!$E$35</f>
        <v/>
      </c>
      <c r="F58" s="5">
        <f>'balance_raw_32297757'!$F$35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'balance_raw_32297757'!$B$36</f>
        <v/>
      </c>
      <c r="C59" s="8">
        <f>'balance_raw_32297757'!$C$36</f>
        <v/>
      </c>
      <c r="D59" s="8">
        <f>'balance_raw_32297757'!$D$36</f>
        <v/>
      </c>
      <c r="E59" s="8">
        <f>'balance_raw_32297757'!$E$36</f>
        <v/>
      </c>
      <c r="F59" s="8">
        <f>'balance_raw_32297757'!$F$36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'balance_raw_32297757'!$B$37</f>
        <v/>
      </c>
      <c r="C60" s="5">
        <f>'balance_raw_32297757'!$C$37</f>
        <v/>
      </c>
      <c r="D60" s="5">
        <f>'balance_raw_32297757'!$D$37</f>
        <v/>
      </c>
      <c r="E60" s="5">
        <f>'balance_raw_32297757'!$E$37</f>
        <v/>
      </c>
      <c r="F60" s="5">
        <f>'balance_raw_32297757'!$F$37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'balance_raw_32297757'!$B$38</f>
        <v/>
      </c>
      <c r="C61" s="11">
        <f>'balance_raw_32297757'!$C$38</f>
        <v/>
      </c>
      <c r="D61" s="11">
        <f>'balance_raw_32297757'!$D$38</f>
        <v/>
      </c>
      <c r="E61" s="11">
        <f>'balance_raw_32297757'!$E$38</f>
        <v/>
      </c>
      <c r="F61" s="11">
        <f>'balance_raw_32297757'!$F$38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'balance_raw_32297757'!$B$39</f>
        <v/>
      </c>
      <c r="C62" s="5">
        <f>'balance_raw_32297757'!$C$39</f>
        <v/>
      </c>
      <c r="D62" s="5">
        <f>'balance_raw_32297757'!$D$39</f>
        <v/>
      </c>
      <c r="E62" s="5">
        <f>'balance_raw_32297757'!$E$39</f>
        <v/>
      </c>
      <c r="F62" s="5">
        <f>'balance_raw_32297757'!$F$39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'balance_raw_32297757'!$B$40</f>
        <v/>
      </c>
      <c r="C63" s="8">
        <f>'balance_raw_32297757'!$C$40</f>
        <v/>
      </c>
      <c r="D63" s="8">
        <f>'balance_raw_32297757'!$D$40</f>
        <v/>
      </c>
      <c r="E63" s="8">
        <f>'balance_raw_32297757'!$E$40</f>
        <v/>
      </c>
      <c r="F63" s="8">
        <f>'balance_raw_32297757'!$F$40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'balance_raw_32297757'!$B$41</f>
        <v/>
      </c>
      <c r="C64" s="5">
        <f>'balance_raw_32297757'!$C$41</f>
        <v/>
      </c>
      <c r="D64" s="5">
        <f>'balance_raw_32297757'!$D$41</f>
        <v/>
      </c>
      <c r="E64" s="5">
        <f>'balance_raw_32297757'!$E$41</f>
        <v/>
      </c>
      <c r="F64" s="5">
        <f>'balance_raw_32297757'!$F$41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'balance_raw_32297757'!$B$42</f>
        <v/>
      </c>
      <c r="C65" s="8">
        <f>'balance_raw_32297757'!$C$42</f>
        <v/>
      </c>
      <c r="D65" s="8">
        <f>'balance_raw_32297757'!$D$42</f>
        <v/>
      </c>
      <c r="E65" s="8">
        <f>'balance_raw_32297757'!$E$42</f>
        <v/>
      </c>
      <c r="F65" s="8">
        <f>'balance_raw_32297757'!$F$42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'balance_raw_32297757'!$B$43</f>
        <v/>
      </c>
      <c r="C66" s="11">
        <f>'balance_raw_32297757'!$C$43</f>
        <v/>
      </c>
      <c r="D66" s="11">
        <f>'balance_raw_32297757'!$D$43</f>
        <v/>
      </c>
      <c r="E66" s="11">
        <f>'balance_raw_32297757'!$E$43</f>
        <v/>
      </c>
      <c r="F66" s="11">
        <f>'balance_raw_32297757'!$F$43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'balance_raw_32297757'!$B$44</f>
        <v/>
      </c>
      <c r="C67" s="8">
        <f>'balance_raw_32297757'!$C$44</f>
        <v/>
      </c>
      <c r="D67" s="8">
        <f>'balance_raw_32297757'!$D$44</f>
        <v/>
      </c>
      <c r="E67" s="8">
        <f>'balance_raw_32297757'!$E$44</f>
        <v/>
      </c>
      <c r="F67" s="8">
        <f>'balance_raw_32297757'!$F$44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'balance_raw_32297757'!$B$45</f>
        <v/>
      </c>
      <c r="C68" s="5">
        <f>'balance_raw_32297757'!$C$45</f>
        <v/>
      </c>
      <c r="D68" s="5">
        <f>'balance_raw_32297757'!$D$45</f>
        <v/>
      </c>
      <c r="E68" s="5">
        <f>'balance_raw_32297757'!$E$45</f>
        <v/>
      </c>
      <c r="F68" s="5">
        <f>'balance_raw_32297757'!$F$45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'balance_raw_32297757'!$B$46</f>
        <v/>
      </c>
      <c r="C69" s="8">
        <f>'balance_raw_32297757'!$C$46</f>
        <v/>
      </c>
      <c r="D69" s="8">
        <f>'balance_raw_32297757'!$D$46</f>
        <v/>
      </c>
      <c r="E69" s="8">
        <f>'balance_raw_32297757'!$E$46</f>
        <v/>
      </c>
      <c r="F69" s="8">
        <f>'balance_raw_32297757'!$F$46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'balance_raw_32297757'!$B$47</f>
        <v/>
      </c>
      <c r="C70" s="5">
        <f>'balance_raw_32297757'!$C$47</f>
        <v/>
      </c>
      <c r="D70" s="5">
        <f>'balance_raw_32297757'!$D$47</f>
        <v/>
      </c>
      <c r="E70" s="5">
        <f>'balance_raw_32297757'!$E$47</f>
        <v/>
      </c>
      <c r="F70" s="5">
        <f>'balance_raw_32297757'!$F$47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'balance_raw_32297757'!$B$48</f>
        <v/>
      </c>
      <c r="C71" s="8">
        <f>'balance_raw_32297757'!$C$48</f>
        <v/>
      </c>
      <c r="D71" s="8">
        <f>'balance_raw_32297757'!$D$48</f>
        <v/>
      </c>
      <c r="E71" s="8">
        <f>'balance_raw_32297757'!$E$48</f>
        <v/>
      </c>
      <c r="F71" s="8">
        <f>'balance_raw_32297757'!$F$48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'balance_raw_32297757'!$B$49</f>
        <v/>
      </c>
      <c r="C72" s="5">
        <f>'balance_raw_32297757'!$C$49</f>
        <v/>
      </c>
      <c r="D72" s="5">
        <f>'balance_raw_32297757'!$D$49</f>
        <v/>
      </c>
      <c r="E72" s="5">
        <f>'balance_raw_32297757'!$E$49</f>
        <v/>
      </c>
      <c r="F72" s="5">
        <f>'balance_raw_32297757'!$F$49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'balance_raw_32297757'!$B$50</f>
        <v/>
      </c>
      <c r="C73" s="8">
        <f>'balance_raw_32297757'!$C$50</f>
        <v/>
      </c>
      <c r="D73" s="8">
        <f>'balance_raw_32297757'!$D$50</f>
        <v/>
      </c>
      <c r="E73" s="8">
        <f>'balance_raw_32297757'!$E$50</f>
        <v/>
      </c>
      <c r="F73" s="8">
        <f>'balance_raw_32297757'!$F$50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'balance_raw_32297757'!$B$51</f>
        <v/>
      </c>
      <c r="C74" s="5">
        <f>'balance_raw_32297757'!$C$51</f>
        <v/>
      </c>
      <c r="D74" s="5">
        <f>'balance_raw_32297757'!$D$51</f>
        <v/>
      </c>
      <c r="E74" s="5">
        <f>'balance_raw_32297757'!$E$51</f>
        <v/>
      </c>
      <c r="F74" s="5">
        <f>'balance_raw_32297757'!$F$51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'balance_raw_32297757'!$B$52</f>
        <v/>
      </c>
      <c r="C75" s="8">
        <f>'balance_raw_32297757'!$C$52</f>
        <v/>
      </c>
      <c r="D75" s="8">
        <f>'balance_raw_32297757'!$D$52</f>
        <v/>
      </c>
      <c r="E75" s="8">
        <f>'balance_raw_32297757'!$E$52</f>
        <v/>
      </c>
      <c r="F75" s="8">
        <f>'balance_raw_32297757'!$F$52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'balance_raw_32297757'!$B$53</f>
        <v/>
      </c>
      <c r="C76" s="5">
        <f>'balance_raw_32297757'!$C$53</f>
        <v/>
      </c>
      <c r="D76" s="5">
        <f>'balance_raw_32297757'!$D$53</f>
        <v/>
      </c>
      <c r="E76" s="5">
        <f>'balance_raw_32297757'!$E$53</f>
        <v/>
      </c>
      <c r="F76" s="5">
        <f>'balance_raw_32297757'!$F$53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'balance_raw_32297757'!$B$54</f>
        <v/>
      </c>
      <c r="C77" s="8">
        <f>'balance_raw_32297757'!$C$54</f>
        <v/>
      </c>
      <c r="D77" s="8">
        <f>'balance_raw_32297757'!$D$54</f>
        <v/>
      </c>
      <c r="E77" s="8">
        <f>'balance_raw_32297757'!$E$54</f>
        <v/>
      </c>
      <c r="F77" s="8">
        <f>'balance_raw_32297757'!$F$54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'balance_raw_32297757'!$B$55</f>
        <v/>
      </c>
      <c r="C78" s="11">
        <f>'balance_raw_32297757'!$C$55</f>
        <v/>
      </c>
      <c r="D78" s="11">
        <f>'balance_raw_32297757'!$D$55</f>
        <v/>
      </c>
      <c r="E78" s="11">
        <f>'balance_raw_32297757'!$E$55</f>
        <v/>
      </c>
      <c r="F78" s="11">
        <f>'balance_raw_32297757'!$F$55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'balance_raw_32297757'!$B$56</f>
        <v/>
      </c>
      <c r="C79" s="11">
        <f>'balance_raw_32297757'!$C$56</f>
        <v/>
      </c>
      <c r="D79" s="11">
        <f>'balance_raw_32297757'!$D$56</f>
        <v/>
      </c>
      <c r="E79" s="11">
        <f>'balance_raw_32297757'!$E$56</f>
        <v/>
      </c>
      <c r="F79" s="11">
        <f>'balance_raw_32297757'!$F$56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'balance_raw_32297757'!$B$57</f>
        <v/>
      </c>
      <c r="C80" s="11">
        <f>'balance_raw_32297757'!$C$57</f>
        <v/>
      </c>
      <c r="D80" s="11">
        <f>'balance_raw_32297757'!$D$57</f>
        <v/>
      </c>
      <c r="E80" s="11">
        <f>'balance_raw_32297757'!$E$57</f>
        <v/>
      </c>
      <c r="F80" s="11">
        <f>'balance_raw_32297757'!$F$57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'res_raw_32297757'!$B$19</f>
        <v/>
      </c>
      <c r="C83" s="8">
        <f>'res_raw_32297757'!$C$19</f>
        <v/>
      </c>
      <c r="D83" s="8">
        <f>'res_raw_32297757'!$D$19</f>
        <v/>
      </c>
      <c r="E83" s="8">
        <f>'res_raw_32297757'!$E$19</f>
        <v/>
      </c>
      <c r="F83" s="8">
        <f>'res_raw_32297757'!$F$19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'res_raw_32297757'!$B$20</f>
        <v/>
      </c>
      <c r="C84" s="5">
        <f>'res_raw_32297757'!$C$20</f>
        <v/>
      </c>
      <c r="D84" s="5">
        <f>'res_raw_32297757'!$D$20</f>
        <v/>
      </c>
      <c r="E84" s="5">
        <f>'res_raw_32297757'!$E$20</f>
        <v/>
      </c>
      <c r="F84" s="5">
        <f>'res_raw_32297757'!$F$20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 (af bruttofortjeneste), %</t>
        </is>
      </c>
      <c r="B88" s="14">
        <f>IFERROR(($B$13+$B$15+$B$14)/$B$8*100,"")</f>
        <v/>
      </c>
      <c r="C88" s="14">
        <f>IFERROR(($C$13+$C$15+$C$14)/$C$8*100,"")</f>
        <v/>
      </c>
      <c r="D88" s="14">
        <f>IFERROR(($D$13+$D$15+$D$14)/$D$8*100,"")</f>
        <v/>
      </c>
      <c r="E88" s="14">
        <f>IFERROR(($E$13+$E$15+$E$14)/$E$8*100,"")</f>
        <v/>
      </c>
      <c r="F88" s="14">
        <f>IFERROR(($F$13+$F$15+$F$14)/$F$8*100,"")</f>
        <v/>
      </c>
    </row>
    <row r="89" ht="16" customHeight="1">
      <c r="A89" s="7" t="inlineStr">
        <is>
          <t>Aktivernes omsætningshastighed (af bruttofortjeneste), gange</t>
        </is>
      </c>
      <c r="B89" s="13">
        <f>IFERROR($B$8/$B$52,"")</f>
        <v/>
      </c>
      <c r="C89" s="13">
        <f>IFERROR($C$8/$C$52,"")</f>
        <v/>
      </c>
      <c r="D89" s="13">
        <f>IFERROR($D$8/$D$52,"")</f>
        <v/>
      </c>
      <c r="E89" s="13">
        <f>IFERROR($E$8/$E$52,"")</f>
        <v/>
      </c>
      <c r="F89" s="13">
        <f>IFERROR($F$8/$F$52,"")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Mikkeller DK Bars ApS (CVR 32297757)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1475</v>
      </c>
      <c r="C6" s="16" t="n">
        <v>501</v>
      </c>
      <c r="D6" s="16" t="n">
        <v>4557</v>
      </c>
      <c r="E6" s="16" t="n">
        <v>11713</v>
      </c>
      <c r="F6" s="16" t="n">
        <v>9525</v>
      </c>
    </row>
    <row r="7">
      <c r="A7" s="15" t="inlineStr">
        <is>
          <t>Personaleomkostninger</t>
        </is>
      </c>
      <c r="B7" s="16" t="n">
        <v>2047</v>
      </c>
      <c r="C7" s="16" t="n">
        <v>2343</v>
      </c>
      <c r="D7" s="16" t="n">
        <v>4284</v>
      </c>
      <c r="E7" s="16" t="n">
        <v>9698</v>
      </c>
      <c r="F7" s="16" t="n">
        <v>8403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459</v>
      </c>
      <c r="C9" s="16" t="n">
        <v>2914</v>
      </c>
      <c r="D9" s="16" t="n">
        <v>215</v>
      </c>
      <c r="E9" s="16" t="n">
        <v>1143</v>
      </c>
      <c r="F9" s="16" t="n">
        <v>603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72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-1032</v>
      </c>
      <c r="C11" s="16" t="n">
        <v>-4756</v>
      </c>
      <c r="D11" s="16" t="n">
        <v>-14</v>
      </c>
      <c r="E11" s="16" t="n">
        <v>871</v>
      </c>
      <c r="F11" s="16" t="n">
        <v>519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</v>
      </c>
      <c r="C13" s="16" t="n">
        <v>0</v>
      </c>
      <c r="D13" s="16" t="n">
        <v>3</v>
      </c>
      <c r="E13" s="16" t="n">
        <v>86</v>
      </c>
      <c r="F13" s="16" t="n">
        <v>161</v>
      </c>
    </row>
    <row r="14">
      <c r="A14" s="15" t="inlineStr">
        <is>
          <t>Finansielle omkostninger</t>
        </is>
      </c>
      <c r="B14" s="16" t="n">
        <v>19</v>
      </c>
      <c r="C14" s="16" t="n">
        <v>184</v>
      </c>
      <c r="D14" s="16" t="n">
        <v>41</v>
      </c>
      <c r="E14" s="16" t="n">
        <v>130</v>
      </c>
      <c r="F14" s="16" t="n">
        <v>58</v>
      </c>
    </row>
    <row r="15">
      <c r="A15" s="17" t="inlineStr">
        <is>
          <t>Finansielle poster, netto</t>
        </is>
      </c>
      <c r="B15" s="16" t="n">
        <v>-19</v>
      </c>
      <c r="C15" s="16" t="n">
        <v>-183</v>
      </c>
      <c r="D15" s="16" t="n">
        <v>-39</v>
      </c>
      <c r="E15" s="16" t="n">
        <v>-44</v>
      </c>
      <c r="F15" s="16" t="n">
        <v>102</v>
      </c>
    </row>
    <row r="16">
      <c r="A16" s="17" t="inlineStr">
        <is>
          <t>Resultat før skat</t>
        </is>
      </c>
      <c r="B16" s="16" t="n">
        <v>-1050</v>
      </c>
      <c r="C16" s="16" t="n">
        <v>-4939</v>
      </c>
      <c r="D16" s="16" t="n">
        <v>-53</v>
      </c>
      <c r="E16" s="16" t="n">
        <v>827</v>
      </c>
      <c r="F16" s="16" t="n">
        <v>622</v>
      </c>
    </row>
    <row r="17">
      <c r="A17" s="15" t="inlineStr">
        <is>
          <t>Skat af årets resultat</t>
        </is>
      </c>
      <c r="B17" s="16" t="n">
        <v>0</v>
      </c>
      <c r="C17" s="16" t="n">
        <v>0</v>
      </c>
      <c r="D17" s="16" t="n">
        <v>-464</v>
      </c>
      <c r="E17" s="16" t="n">
        <v>-2955</v>
      </c>
      <c r="F17" s="16" t="n">
        <v>-582</v>
      </c>
    </row>
    <row r="18">
      <c r="A18" s="17" t="inlineStr">
        <is>
          <t>Årets resultat</t>
        </is>
      </c>
      <c r="B18" s="16" t="n">
        <v>-1050</v>
      </c>
      <c r="C18" s="16" t="n">
        <v>-4939</v>
      </c>
      <c r="D18" s="16" t="n">
        <v>411</v>
      </c>
      <c r="E18" s="16" t="n">
        <v>3782</v>
      </c>
      <c r="F18" s="16" t="n">
        <v>1203</v>
      </c>
    </row>
    <row r="19">
      <c r="A19" s="15" t="inlineStr">
        <is>
          <t>Gns. antal medarbejdere</t>
        </is>
      </c>
      <c r="B19" s="16" t="n">
        <v>5</v>
      </c>
      <c r="C19" s="16" t="n">
        <v>7</v>
      </c>
      <c r="D19" s="16" t="n">
        <v>11</v>
      </c>
      <c r="E19" s="16" t="n">
        <v>26</v>
      </c>
      <c r="F19" s="16" t="n">
        <v>23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Mikkeller DK Bars ApS (CVR 32297757)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323</v>
      </c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1092</v>
      </c>
      <c r="C5" s="16" t="n">
        <v>1081</v>
      </c>
      <c r="D5" s="16" t="n">
        <v>732</v>
      </c>
      <c r="E5" s="16" t="n">
        <v>13</v>
      </c>
      <c r="F5" s="16" t="n">
        <v>0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158</v>
      </c>
      <c r="C8" s="16" t="n">
        <v>375</v>
      </c>
      <c r="D8" s="16" t="n">
        <v>285</v>
      </c>
      <c r="E8" s="16" t="n">
        <v>416</v>
      </c>
      <c r="F8" s="16" t="n">
        <v>597</v>
      </c>
    </row>
    <row r="9">
      <c r="A9" s="15" t="inlineStr">
        <is>
          <t>Indretning af lejede lokaler</t>
        </is>
      </c>
      <c r="B9" s="16" t="n">
        <v>140</v>
      </c>
      <c r="C9" s="16" t="n">
        <v>312</v>
      </c>
      <c r="D9" s="16" t="n">
        <v>181</v>
      </c>
      <c r="E9" s="16" t="n">
        <v>1055</v>
      </c>
      <c r="F9" s="16" t="n">
        <v>696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298</v>
      </c>
      <c r="C11" s="16" t="n">
        <v>688</v>
      </c>
      <c r="D11" s="16" t="n">
        <v>465</v>
      </c>
      <c r="E11" s="16" t="n">
        <v>1472</v>
      </c>
      <c r="F11" s="16" t="n">
        <v>1292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99</v>
      </c>
      <c r="C13" s="16" t="n">
        <v>364</v>
      </c>
      <c r="D13" s="16" t="n">
        <v>315</v>
      </c>
      <c r="E13" s="16" t="n">
        <v>2463</v>
      </c>
      <c r="F13" s="16" t="n">
        <v>2442</v>
      </c>
    </row>
    <row r="14">
      <c r="A14" s="17" t="inlineStr">
        <is>
          <t>Finansielle anlægsaktiver</t>
        </is>
      </c>
      <c r="B14" s="16" t="n">
        <v>99</v>
      </c>
      <c r="C14" s="16" t="n">
        <v>364</v>
      </c>
      <c r="D14" s="16" t="n">
        <v>315</v>
      </c>
      <c r="E14" s="16" t="n">
        <v>3963</v>
      </c>
      <c r="F14" s="16" t="n">
        <v>3942</v>
      </c>
    </row>
    <row r="15">
      <c r="A15" s="17" t="inlineStr">
        <is>
          <t>Anlægsaktiver</t>
        </is>
      </c>
      <c r="B15" s="16" t="n">
        <v>1488</v>
      </c>
      <c r="C15" s="16" t="n">
        <v>2133</v>
      </c>
      <c r="D15" s="16" t="n">
        <v>1513</v>
      </c>
      <c r="E15" s="16" t="n">
        <v>5447</v>
      </c>
      <c r="F15" s="16" t="n">
        <v>5234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188</v>
      </c>
      <c r="C18" s="16" t="n">
        <v>397</v>
      </c>
      <c r="D18" s="16" t="n">
        <v>578</v>
      </c>
      <c r="E18" s="16" t="n">
        <v>1521</v>
      </c>
      <c r="F18" s="16" t="n">
        <v>1396</v>
      </c>
    </row>
    <row r="19">
      <c r="A19" s="17" t="inlineStr">
        <is>
          <t>Varebeholdninger</t>
        </is>
      </c>
      <c r="B19" s="16" t="n">
        <v>188</v>
      </c>
      <c r="C19" s="16" t="n">
        <v>397</v>
      </c>
      <c r="D19" s="16" t="n">
        <v>578</v>
      </c>
      <c r="E19" s="16" t="n">
        <v>1521</v>
      </c>
      <c r="F19" s="16" t="n">
        <v>1396</v>
      </c>
    </row>
    <row r="20">
      <c r="A20" s="15" t="inlineStr">
        <is>
          <t>Tilgodehavender fra salg og tjenesteydelser</t>
        </is>
      </c>
      <c r="B20" s="16" t="n">
        <v>12</v>
      </c>
      <c r="C20" s="16" t="n">
        <v>82</v>
      </c>
      <c r="D20" s="16" t="n">
        <v>460</v>
      </c>
      <c r="E20" s="16" t="n">
        <v>491</v>
      </c>
      <c r="F20" s="16" t="n">
        <v>385</v>
      </c>
    </row>
    <row r="21">
      <c r="A21" s="15" t="inlineStr">
        <is>
          <t>Tilgodehavender hos tilknyttede virksomheder</t>
        </is>
      </c>
      <c r="B21" s="16" t="n">
        <v>6</v>
      </c>
      <c r="C21" s="16" t="n">
        <v>85</v>
      </c>
      <c r="D21" s="16" t="n">
        <v>487</v>
      </c>
      <c r="E21" s="16" t="n">
        <v>503</v>
      </c>
      <c r="F21" s="16" t="n">
        <v>0</v>
      </c>
    </row>
    <row r="22">
      <c r="A22" s="15" t="inlineStr">
        <is>
          <t>Andre tilgodehavender</t>
        </is>
      </c>
      <c r="B22" s="16" t="n">
        <v>0</v>
      </c>
      <c r="C22" s="16" t="n">
        <v>3</v>
      </c>
      <c r="D22" s="16" t="n">
        <v>265</v>
      </c>
      <c r="E22" s="16" t="n">
        <v>73</v>
      </c>
      <c r="F22" s="16" t="n">
        <v>4</v>
      </c>
    </row>
    <row r="23">
      <c r="A23" s="15" t="inlineStr">
        <is>
          <t>Periodeafgrænsningsposter (aktiver)</t>
        </is>
      </c>
      <c r="B23" s="16" t="n">
        <v>24</v>
      </c>
      <c r="C23" s="16" t="n">
        <v>44</v>
      </c>
      <c r="D23" s="16" t="n">
        <v>26</v>
      </c>
      <c r="E23" s="16" t="n">
        <v>871</v>
      </c>
      <c r="F23" s="16" t="n">
        <v>1027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>
        <v>1500</v>
      </c>
      <c r="F24" s="16" t="n">
        <v>1500</v>
      </c>
    </row>
    <row r="25">
      <c r="A25" s="15" t="inlineStr">
        <is>
          <t>Tilgodehavende skat hos tilknyttede virksomheder</t>
        </is>
      </c>
      <c r="B25" s="16" t="n">
        <v>0</v>
      </c>
      <c r="C25" s="16" t="n"/>
      <c r="D25" s="16" t="n"/>
      <c r="E25" s="16" t="n">
        <v>1455</v>
      </c>
      <c r="F25" s="16" t="n">
        <v>607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41</v>
      </c>
      <c r="C27" s="16" t="n">
        <v>213</v>
      </c>
      <c r="D27" s="16" t="n">
        <v>1237</v>
      </c>
      <c r="E27" s="16" t="n">
        <v>3393</v>
      </c>
      <c r="F27" s="16" t="n">
        <v>2023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359</v>
      </c>
      <c r="C29" s="16" t="n">
        <v>1279</v>
      </c>
      <c r="D29" s="16" t="n">
        <v>973</v>
      </c>
      <c r="E29" s="16" t="n">
        <v>5131</v>
      </c>
      <c r="F29" s="16" t="n">
        <v>4199</v>
      </c>
    </row>
    <row r="30">
      <c r="A30" s="17" t="inlineStr">
        <is>
          <t>Omsætningsaktiver</t>
        </is>
      </c>
      <c r="B30" s="16" t="n">
        <v>589</v>
      </c>
      <c r="C30" s="16" t="n">
        <v>1889</v>
      </c>
      <c r="D30" s="16" t="n">
        <v>2788</v>
      </c>
      <c r="E30" s="16" t="n">
        <v>10045</v>
      </c>
      <c r="F30" s="16" t="n">
        <v>7618</v>
      </c>
    </row>
    <row r="31">
      <c r="A31" s="17" t="inlineStr">
        <is>
          <t>Aktiver</t>
        </is>
      </c>
      <c r="B31" s="16" t="n">
        <v>2077</v>
      </c>
      <c r="C31" s="16" t="n">
        <v>4022</v>
      </c>
      <c r="D31" s="16" t="n">
        <v>4302</v>
      </c>
      <c r="E31" s="16" t="n">
        <v>15492</v>
      </c>
      <c r="F31" s="16" t="n">
        <v>12852</v>
      </c>
    </row>
    <row r="32">
      <c r="A32" s="15" t="inlineStr">
        <is>
          <t>Selskabskapital</t>
        </is>
      </c>
      <c r="B32" s="16" t="n">
        <v>80</v>
      </c>
      <c r="C32" s="16" t="n">
        <v>100</v>
      </c>
      <c r="D32" s="16" t="n">
        <v>100</v>
      </c>
      <c r="E32" s="16" t="n">
        <v>120</v>
      </c>
      <c r="F32" s="16" t="n">
        <v>120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-16</v>
      </c>
      <c r="C37" s="16" t="n">
        <v>-348</v>
      </c>
      <c r="D37" s="16" t="n">
        <v>63</v>
      </c>
      <c r="E37" s="16" t="n">
        <v>7818</v>
      </c>
      <c r="F37" s="16" t="n">
        <v>10021</v>
      </c>
    </row>
    <row r="38">
      <c r="A38" s="17" t="inlineStr">
        <is>
          <t>Egenkapital i alt</t>
        </is>
      </c>
      <c r="B38" s="16" t="n">
        <v>64</v>
      </c>
      <c r="C38" s="16" t="n">
        <v>-248</v>
      </c>
      <c r="D38" s="16" t="n">
        <v>163</v>
      </c>
      <c r="E38" s="16" t="n">
        <v>7938</v>
      </c>
      <c r="F38" s="16" t="n">
        <v>10141</v>
      </c>
    </row>
    <row r="39">
      <c r="A39" s="15" t="inlineStr">
        <is>
          <t>Ansvarlig lånekapital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Langfristede lån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Leasingforpligtelser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Anden gæld (langfristet)</t>
        </is>
      </c>
      <c r="B42" s="16" t="n">
        <v>430</v>
      </c>
      <c r="C42" s="16" t="n">
        <v>1992</v>
      </c>
      <c r="D42" s="16" t="n">
        <v>1918</v>
      </c>
      <c r="E42" s="16" t="n">
        <v>4514</v>
      </c>
      <c r="F42" s="16" t="n">
        <v>0</v>
      </c>
    </row>
    <row r="43">
      <c r="A43" s="17" t="inlineStr">
        <is>
          <t>Langfristede gældsforpligtelser</t>
        </is>
      </c>
      <c r="B43" s="16" t="n">
        <v>959</v>
      </c>
      <c r="C43" s="16" t="n">
        <v>2177</v>
      </c>
      <c r="D43" s="16" t="n">
        <v>2083</v>
      </c>
      <c r="E43" s="16" t="n">
        <v>4514</v>
      </c>
      <c r="F43" s="16" t="n">
        <v>0</v>
      </c>
    </row>
    <row r="44">
      <c r="A44" s="15" t="inlineStr">
        <is>
          <t>Ansvarlig lånekapital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Kortfristet del af langfristede gældsforpligtelser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Kreditinstitutter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Leasingforpligtelser (kortfristet)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Leverandører af varer og tjenesteydelser</t>
        </is>
      </c>
      <c r="B48" s="16" t="n">
        <v>92</v>
      </c>
      <c r="C48" s="16" t="n">
        <v>490</v>
      </c>
      <c r="D48" s="16" t="n">
        <v>264</v>
      </c>
      <c r="E48" s="16" t="n">
        <v>1716</v>
      </c>
      <c r="F48" s="16" t="n">
        <v>1411</v>
      </c>
    </row>
    <row r="49">
      <c r="A49" s="15" t="inlineStr">
        <is>
          <t>Gæld til tilknyttede virksomheder</t>
        </is>
      </c>
      <c r="B49" s="16" t="n">
        <v>176</v>
      </c>
      <c r="C49" s="16" t="n">
        <v>213</v>
      </c>
      <c r="D49" s="16" t="n">
        <v>207</v>
      </c>
      <c r="E49" s="16" t="n">
        <v>728</v>
      </c>
      <c r="F49" s="16" t="n">
        <v>566</v>
      </c>
    </row>
    <row r="50">
      <c r="A50" s="15" t="inlineStr">
        <is>
          <t>Gæld til selskabsdeltagere og ledelse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tilknyttede virksomheder vedr. 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Anden gæld (kortfristet)</t>
        </is>
      </c>
      <c r="B53" s="16" t="n">
        <v>785</v>
      </c>
      <c r="C53" s="16" t="n">
        <v>1390</v>
      </c>
      <c r="D53" s="16" t="n">
        <v>1260</v>
      </c>
      <c r="E53" s="16" t="n">
        <v>565</v>
      </c>
      <c r="F53" s="16" t="n">
        <v>734</v>
      </c>
    </row>
    <row r="54">
      <c r="A54" s="15" t="inlineStr">
        <is>
          <t>Periodeafgrænsningsposter (passiver)</t>
        </is>
      </c>
      <c r="B54" s="16" t="n"/>
      <c r="C54" s="16" t="n">
        <v>0</v>
      </c>
      <c r="D54" s="16" t="n">
        <v>326</v>
      </c>
      <c r="E54" s="16" t="n">
        <v>31</v>
      </c>
      <c r="F54" s="16" t="n">
        <v>0</v>
      </c>
    </row>
    <row r="55">
      <c r="A55" s="17" t="inlineStr">
        <is>
          <t>Kortfristede gældsforpligtelser</t>
        </is>
      </c>
      <c r="B55" s="16" t="n">
        <v>1053</v>
      </c>
      <c r="C55" s="16" t="n">
        <v>2093</v>
      </c>
      <c r="D55" s="16" t="n">
        <v>2056</v>
      </c>
      <c r="E55" s="16" t="n">
        <v>3040</v>
      </c>
      <c r="F55" s="16" t="n">
        <v>2711</v>
      </c>
    </row>
    <row r="56">
      <c r="A56" s="17" t="inlineStr">
        <is>
          <t>Gældsforpligtelser</t>
        </is>
      </c>
      <c r="B56" s="16" t="n">
        <v>2012</v>
      </c>
      <c r="C56" s="16" t="n">
        <v>4271</v>
      </c>
      <c r="D56" s="16" t="n">
        <v>4139</v>
      </c>
      <c r="E56" s="16" t="n">
        <v>7554</v>
      </c>
      <c r="F56" s="16" t="n">
        <v>2711</v>
      </c>
    </row>
    <row r="57">
      <c r="A57" s="17" t="inlineStr">
        <is>
          <t>Passiver</t>
        </is>
      </c>
      <c r="B57" s="16" t="n">
        <v>2077</v>
      </c>
      <c r="C57" s="16" t="n">
        <v>4022</v>
      </c>
      <c r="D57" s="16" t="n">
        <v>4302</v>
      </c>
      <c r="E57" s="16" t="n">
        <v>15492</v>
      </c>
      <c r="F57" s="16" t="n">
        <v>12852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Mikkeller DK Bars ApS (CVR 32297757) — Regnskabs- og nøgletal (CVR: 32297757)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'res_raw_32297757'!$F$2</f>
        <v/>
      </c>
      <c r="C5" s="24">
        <f>'res_raw_32297757'!$E$2</f>
        <v/>
      </c>
      <c r="D5" s="24">
        <f>'res_raw_32297757'!$D$2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'res_raw_32297757'!$F$3</f>
        <v/>
      </c>
      <c r="C6" s="24">
        <f>'res_raw_32297757'!$E$3</f>
        <v/>
      </c>
      <c r="D6" s="24">
        <f>'res_raw_32297757'!$D$3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-'res_raw_32297757'!$F$4</f>
        <v/>
      </c>
      <c r="C7" s="24">
        <f>-'res_raw_32297757'!$E$4</f>
        <v/>
      </c>
      <c r="D7" s="24">
        <f>-'res_raw_32297757'!$D$4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-'res_raw_32297757'!$F$5</f>
        <v/>
      </c>
      <c r="C8" s="24">
        <f>-'res_raw_32297757'!$E$5</f>
        <v/>
      </c>
      <c r="D8" s="24">
        <f>-'res_raw_32297757'!$D$5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IF(ABS((SUM(B5:B8))-'res_raw_32297757'!$F$6)&lt;=2,SUM(B5:B8),'res_raw_32297757'!$F$6)</f>
        <v/>
      </c>
      <c r="C9" s="27">
        <f>IF(ABS((SUM(C5:C8))-'res_raw_32297757'!$E$6)&lt;=2,SUM(C5:C8),'res_raw_32297757'!$E$6)</f>
        <v/>
      </c>
      <c r="D9" s="27">
        <f>IF(ABS((SUM(D5:D8))-'res_raw_32297757'!$D$6)&lt;=2,SUM(D5:D8),'res_raw_32297757'!$D$6)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-'res_raw_32297757'!$F$7</f>
        <v/>
      </c>
      <c r="C10" s="24">
        <f>-'res_raw_32297757'!$E$7</f>
        <v/>
      </c>
      <c r="D10" s="24">
        <f>-'res_raw_32297757'!$D$7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-'res_raw_32297757'!$F$9</f>
        <v/>
      </c>
      <c r="C11" s="24">
        <f>-'res_raw_32297757'!$E$9</f>
        <v/>
      </c>
      <c r="D11" s="24">
        <f>-'res_raw_32297757'!$D$9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-'res_raw_32297757'!$F$10</f>
        <v/>
      </c>
      <c r="C12" s="24">
        <f>-'res_raw_32297757'!$E$10</f>
        <v/>
      </c>
      <c r="D12" s="24">
        <f>-'res_raw_32297757'!$D$10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IF(ABS((SUM(B9:B12))-'res_raw_32297757'!$F$11)&lt;=2,SUM(B9:B12),'res_raw_32297757'!$F$11)</f>
        <v/>
      </c>
      <c r="C13" s="27">
        <f>IF(ABS((SUM(C9:C12))-'res_raw_32297757'!$E$11)&lt;=2,SUM(C9:C12),'res_raw_32297757'!$E$11)</f>
        <v/>
      </c>
      <c r="D13" s="27">
        <f>IF(ABS((SUM(D9:D12))-'res_raw_32297757'!$D$11)&lt;=2,SUM(D9:D12),'res_raw_32297757'!$D$11)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N('res_raw_32297757'!$F$12)+N('res_raw_32297757'!$F$13)</f>
        <v/>
      </c>
      <c r="C14" s="24">
        <f>N('res_raw_32297757'!$E$12)+N('res_raw_32297757'!$E$13)</f>
        <v/>
      </c>
      <c r="D14" s="24">
        <f>N('res_raw_32297757'!$D$12)+N('res_raw_32297757'!$D$13)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-'res_raw_32297757'!$F$14</f>
        <v/>
      </c>
      <c r="C15" s="24">
        <f>-'res_raw_32297757'!$E$14</f>
        <v/>
      </c>
      <c r="D15" s="24">
        <f>-'res_raw_32297757'!$D$14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IF(ABS((SUM(B13:B15))-'res_raw_32297757'!$F$16)&lt;=2,SUM(B13:B15),'res_raw_32297757'!$F$16)</f>
        <v/>
      </c>
      <c r="C16" s="27">
        <f>IF(ABS((SUM(C13:C15))-'res_raw_32297757'!$E$16)&lt;=2,SUM(C13:C15),'res_raw_32297757'!$E$16)</f>
        <v/>
      </c>
      <c r="D16" s="27">
        <f>IF(ABS((SUM(D13:D15))-'res_raw_32297757'!$D$16)&lt;=2,SUM(D13:D15),'res_raw_32297757'!$D$16)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'balance_raw_32297757'!$F$15</f>
        <v/>
      </c>
      <c r="C19" s="24">
        <f>'balance_raw_32297757'!$E$15</f>
        <v/>
      </c>
      <c r="D19" s="24">
        <f>'balance_raw_32297757'!$D$15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'balance_raw_32297757'!$F$30</f>
        <v/>
      </c>
      <c r="C20" s="24">
        <f>'balance_raw_32297757'!$E$30</f>
        <v/>
      </c>
      <c r="D20" s="24">
        <f>'balance_raw_32297757'!$D$30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'balance_raw_32297757'!$F$38</f>
        <v/>
      </c>
      <c r="C23" s="24">
        <f>'balance_raw_32297757'!$E$38</f>
        <v/>
      </c>
      <c r="D23" s="24">
        <f>'balance_raw_32297757'!$D$38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'balance_raw_32297757'!$F$57-'balance_raw_32297757'!$F$38</f>
        <v/>
      </c>
      <c r="C24" s="24">
        <f>'balance_raw_32297757'!$E$57-'balance_raw_32297757'!$E$38</f>
        <v/>
      </c>
      <c r="D24" s="24">
        <f>'balance_raw_32297757'!$D$57-'balance_raw_32297757'!$D$38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'balance_raw_32297757'!$F$19</f>
        <v/>
      </c>
      <c r="C28" s="24">
        <f>'balance_raw_32297757'!$E$19</f>
        <v/>
      </c>
      <c r="D28" s="24">
        <f>'balance_raw_32297757'!$D$19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'balance_raw_32297757'!$F$20</f>
        <v/>
      </c>
      <c r="C29" s="24">
        <f>'balance_raw_32297757'!$E$20</f>
        <v/>
      </c>
      <c r="D29" s="24">
        <f>'balance_raw_32297757'!$D$20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'balance_raw_32297757'!$F$55</f>
        <v/>
      </c>
      <c r="C30" s="24">
        <f>'balance_raw_32297757'!$E$55</f>
        <v/>
      </c>
      <c r="D30" s="24">
        <f>'balance_raw_32297757'!$D$55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IF('balance_raw_32297757'!$F$31="","—",IF(ABS(B21-'balance_raw_32297757'!$F$31)&lt;=1,"✓ OK","❌ "&amp;TEXT(B21-'balance_raw_32297757'!$F$31,"+#,##0;-#,##0")&amp;" t.kr."))</f>
        <v/>
      </c>
      <c r="C61" s="29">
        <f>IF('balance_raw_32297757'!$E$31="","—",IF(ABS(C21-'balance_raw_32297757'!$E$31)&lt;=1,"✓ OK","❌ "&amp;TEXT(C21-'balance_raw_32297757'!$E$31,"+#,##0;-#,##0")&amp;" t.kr."))</f>
        <v/>
      </c>
      <c r="D61" s="29">
        <f>IF('balance_raw_32297757'!$D$31="","—",IF(ABS(D21-'balance_raw_32297757'!$D$31)&lt;=1,"✓ OK","❌ "&amp;TEXT(D21-'balance_raw_32297757'!$D$31,"+#,##0;-#,##0")&amp;"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IF('balance_raw_32297757'!$F$57="","—",IF(ABS(B25-'balance_raw_32297757'!$F$57)&lt;=1,"✓ OK","❌ "&amp;TEXT(B25-'balance_raw_32297757'!$F$57,"+#,##0;-#,##0")&amp;" t.kr."))</f>
        <v/>
      </c>
      <c r="C62" s="29">
        <f>IF('balance_raw_32297757'!$E$57="","—",IF(ABS(C25-'balance_raw_32297757'!$E$57)&lt;=1,"✓ OK","❌ "&amp;TEXT(C25-'balance_raw_32297757'!$E$57,"+#,##0;-#,##0")&amp;" t.kr."))</f>
        <v/>
      </c>
      <c r="D62" s="29">
        <f>IF('balance_raw_32297757'!$D$57="","—",IF(ABS(D25-'balance_raw_32297757'!$D$57)&lt;=1,"✓ OK","❌ "&amp;TEXT(D25-'balance_raw_32297757'!$D$57,"+#,##0;-#,##0")&amp;"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IF('res_raw_32297757'!$F$6="","—",IF(ABS(B9-'res_raw_32297757'!$F$6)&lt;=1,"✓ OK","❌ "&amp;TEXT(B9-'res_raw_32297757'!$F$6,"+#,##0;-#,##0")&amp;" t.kr."))</f>
        <v/>
      </c>
      <c r="C64" s="29">
        <f>IF('res_raw_32297757'!$E$6="","—",IF(ABS(C9-'res_raw_32297757'!$E$6)&lt;=1,"✓ OK","❌ "&amp;TEXT(C9-'res_raw_32297757'!$E$6,"+#,##0;-#,##0")&amp;" t.kr."))</f>
        <v/>
      </c>
      <c r="D64" s="29">
        <f>IF('res_raw_32297757'!$D$6="","—",IF(ABS(D9-'res_raw_32297757'!$D$6)&lt;=1,"✓ OK","❌ "&amp;TEXT(D9-'res_raw_32297757'!$D$6,"+#,##0;-#,##0")&amp;"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IF('res_raw_32297757'!$F$11="","—",IF(ABS(B13-'res_raw_32297757'!$F$11)&lt;=1,"✓ OK","❌ "&amp;TEXT(B13-'res_raw_32297757'!$F$11,"+#,##0;-#,##0")&amp;" t.kr."))</f>
        <v/>
      </c>
      <c r="C65" s="29">
        <f>IF('res_raw_32297757'!$E$11="","—",IF(ABS(C13-'res_raw_32297757'!$E$11)&lt;=1,"✓ OK","❌ "&amp;TEXT(C13-'res_raw_32297757'!$E$11,"+#,##0;-#,##0")&amp;" t.kr."))</f>
        <v/>
      </c>
      <c r="D65" s="29">
        <f>IF('res_raw_32297757'!$D$11="","—",IF(ABS(D13-'res_raw_32297757'!$D$11)&lt;=1,"✓ OK","❌ "&amp;TEXT(D13-'res_raw_32297757'!$D$11,"+#,##0;-#,##0")&amp;"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IF('res_raw_32297757'!$F$16="","—",IF(ABS(B16-'res_raw_32297757'!$F$16)&lt;=1,"✓ OK","❌ "&amp;TEXT(B16-'res_raw_32297757'!$F$16,"+#,##0;-#,##0")&amp;" t.kr."))</f>
        <v/>
      </c>
      <c r="C66" s="29">
        <f>IF('res_raw_32297757'!$E$16="","—",IF(ABS(C16-'res_raw_32297757'!$E$16)&lt;=1,"✓ OK","❌ "&amp;TEXT(C16-'res_raw_32297757'!$E$16,"+#,##0;-#,##0")&amp;" t.kr."))</f>
        <v/>
      </c>
      <c r="D66" s="29">
        <f>IF('res_raw_32297757'!$D$16="","—",IF(ABS(D16-'res_raw_32297757'!$D$16)&lt;=1,"✓ OK","❌ "&amp;TEXT(D16-'res_raw_32297757'!$D$16,"+#,##0;-#,##0")&amp;"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Mikkeller DK Bars ApS (CVR 32297757)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fsa:ContributionFromGroup</t>
        </is>
      </c>
      <c r="C3" s="34" t="inlineStr">
        <is>
          <t>fsa:ContributionFromGroup</t>
        </is>
      </c>
      <c r="D3" s="35" t="n"/>
      <c r="E3" s="35" t="n"/>
      <c r="F3" s="35" t="n"/>
      <c r="G3" s="35" t="n"/>
      <c r="H3" s="35" t="n">
        <v>1000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2026-10-01T22:18:50Z</dcterms:created>
  <dcterms:modified xmlns:dcterms="http://purl.org/dc/terms/" xmlns:xsi="http://www.w3.org/2001/XMLSchema-instance" xsi:type="dcterms:W3CDTF">2026-10-01T22:18:50Z</dcterms:modified>
</cp:coreProperties>
</file>