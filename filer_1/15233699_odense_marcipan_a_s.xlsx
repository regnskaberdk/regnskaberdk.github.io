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5233699" sheetId="1" state="visible" r:id="rId1"/>
    <sheet xmlns:r="http://schemas.openxmlformats.org/officeDocument/2006/relationships" name="res_raw_15233699" sheetId="2" state="visible" r:id="rId2"/>
    <sheet xmlns:r="http://schemas.openxmlformats.org/officeDocument/2006/relationships" name="balance_raw_15233699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Odense Marcipan A/S (CVR 15233699)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'res_raw_15233699'!$B$2</f>
        <v/>
      </c>
      <c r="C4" s="5">
        <f>'res_raw_15233699'!$C$2</f>
        <v/>
      </c>
      <c r="D4" s="5">
        <f>'res_raw_15233699'!$D$2</f>
        <v/>
      </c>
      <c r="E4" s="5">
        <f>'res_raw_15233699'!$E$2</f>
        <v/>
      </c>
      <c r="F4" s="5">
        <f>'res_raw_15233699'!$F$2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'res_raw_15233699'!$B$3</f>
        <v/>
      </c>
      <c r="C5" s="8">
        <f>'res_raw_15233699'!$C$3</f>
        <v/>
      </c>
      <c r="D5" s="8">
        <f>'res_raw_15233699'!$D$3</f>
        <v/>
      </c>
      <c r="E5" s="8">
        <f>'res_raw_15233699'!$E$3</f>
        <v/>
      </c>
      <c r="F5" s="8">
        <f>'res_raw_15233699'!$F$3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'res_raw_15233699'!$B$4</f>
        <v/>
      </c>
      <c r="C6" s="8">
        <f>'res_raw_15233699'!$C$4</f>
        <v/>
      </c>
      <c r="D6" s="8">
        <f>'res_raw_15233699'!$D$4</f>
        <v/>
      </c>
      <c r="E6" s="8">
        <f>'res_raw_15233699'!$E$4</f>
        <v/>
      </c>
      <c r="F6" s="8">
        <f>'res_raw_15233699'!$F$4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'res_raw_15233699'!$B$5</f>
        <v/>
      </c>
      <c r="C7" s="11">
        <f>'res_raw_15233699'!$C$5</f>
        <v/>
      </c>
      <c r="D7" s="11">
        <f>'res_raw_15233699'!$D$5</f>
        <v/>
      </c>
      <c r="E7" s="11">
        <f>'res_raw_15233699'!$E$5</f>
        <v/>
      </c>
      <c r="F7" s="11">
        <f>'res_raw_15233699'!$F$5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'res_raw_15233699'!$B$6</f>
        <v/>
      </c>
      <c r="C8" s="8">
        <f>'res_raw_15233699'!$C$6</f>
        <v/>
      </c>
      <c r="D8" s="8">
        <f>'res_raw_15233699'!$D$6</f>
        <v/>
      </c>
      <c r="E8" s="8">
        <f>'res_raw_15233699'!$E$6</f>
        <v/>
      </c>
      <c r="F8" s="8">
        <f>'res_raw_15233699'!$F$6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'res_raw_15233699'!$B$7</f>
        <v/>
      </c>
      <c r="C9" s="8">
        <f>'res_raw_15233699'!$C$7</f>
        <v/>
      </c>
      <c r="D9" s="8">
        <f>'res_raw_15233699'!$D$7</f>
        <v/>
      </c>
      <c r="E9" s="8">
        <f>'res_raw_15233699'!$E$7</f>
        <v/>
      </c>
      <c r="F9" s="8">
        <f>'res_raw_15233699'!$F$7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'res_raw_15233699'!$B$8</f>
        <v/>
      </c>
      <c r="C10" s="5">
        <f>'res_raw_15233699'!$C$8</f>
        <v/>
      </c>
      <c r="D10" s="5">
        <f>'res_raw_15233699'!$D$8</f>
        <v/>
      </c>
      <c r="E10" s="5">
        <f>'res_raw_15233699'!$E$8</f>
        <v/>
      </c>
      <c r="F10" s="5">
        <f>'res_raw_15233699'!$F$8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'res_raw_15233699'!$B$9</f>
        <v/>
      </c>
      <c r="C11" s="11">
        <f>'res_raw_15233699'!$C$9</f>
        <v/>
      </c>
      <c r="D11" s="11">
        <f>'res_raw_15233699'!$D$9</f>
        <v/>
      </c>
      <c r="E11" s="11">
        <f>'res_raw_15233699'!$E$9</f>
        <v/>
      </c>
      <c r="F11" s="11">
        <f>'res_raw_15233699'!$F$9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'res_raw_15233699'!$B$10</f>
        <v/>
      </c>
      <c r="C12" s="8">
        <f>'res_raw_15233699'!$C$10</f>
        <v/>
      </c>
      <c r="D12" s="8">
        <f>'res_raw_15233699'!$D$10</f>
        <v/>
      </c>
      <c r="E12" s="8">
        <f>'res_raw_15233699'!$E$10</f>
        <v/>
      </c>
      <c r="F12" s="8">
        <f>'res_raw_15233699'!$F$10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'res_raw_15233699'!$B$11</f>
        <v/>
      </c>
      <c r="C13" s="11">
        <f>'res_raw_15233699'!$C$11</f>
        <v/>
      </c>
      <c r="D13" s="11">
        <f>'res_raw_15233699'!$D$11</f>
        <v/>
      </c>
      <c r="E13" s="11">
        <f>'res_raw_15233699'!$E$11</f>
        <v/>
      </c>
      <c r="F13" s="11">
        <f>'res_raw_15233699'!$F$11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'res_raw_15233699'!$B$12</f>
        <v/>
      </c>
      <c r="C14" s="5">
        <f>'res_raw_15233699'!$C$12</f>
        <v/>
      </c>
      <c r="D14" s="5">
        <f>'res_raw_15233699'!$D$12</f>
        <v/>
      </c>
      <c r="E14" s="5">
        <f>'res_raw_15233699'!$E$12</f>
        <v/>
      </c>
      <c r="F14" s="5">
        <f>'res_raw_15233699'!$F$12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'res_raw_15233699'!$B$13</f>
        <v/>
      </c>
      <c r="C15" s="11">
        <f>'res_raw_15233699'!$C$13</f>
        <v/>
      </c>
      <c r="D15" s="11">
        <f>'res_raw_15233699'!$D$13</f>
        <v/>
      </c>
      <c r="E15" s="11">
        <f>'res_raw_15233699'!$E$13</f>
        <v/>
      </c>
      <c r="F15" s="11">
        <f>'res_raw_15233699'!$F$13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'res_raw_15233699'!$B$14</f>
        <v/>
      </c>
      <c r="C16" s="8">
        <f>'res_raw_15233699'!$C$14</f>
        <v/>
      </c>
      <c r="D16" s="8">
        <f>'res_raw_15233699'!$D$14</f>
        <v/>
      </c>
      <c r="E16" s="8">
        <f>'res_raw_15233699'!$E$14</f>
        <v/>
      </c>
      <c r="F16" s="8">
        <f>'res_raw_15233699'!$F$14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'res_raw_15233699'!$B$15</f>
        <v/>
      </c>
      <c r="C17" s="8">
        <f>'res_raw_15233699'!$C$15</f>
        <v/>
      </c>
      <c r="D17" s="8">
        <f>'res_raw_15233699'!$D$15</f>
        <v/>
      </c>
      <c r="E17" s="8">
        <f>'res_raw_15233699'!$E$15</f>
        <v/>
      </c>
      <c r="F17" s="8">
        <f>'res_raw_15233699'!$F$15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'res_raw_15233699'!$B$16</f>
        <v/>
      </c>
      <c r="C18" s="5">
        <f>'res_raw_15233699'!$C$16</f>
        <v/>
      </c>
      <c r="D18" s="5">
        <f>'res_raw_15233699'!$D$16</f>
        <v/>
      </c>
      <c r="E18" s="5">
        <f>'res_raw_15233699'!$E$16</f>
        <v/>
      </c>
      <c r="F18" s="5">
        <f>'res_raw_15233699'!$F$16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'res_raw_15233699'!$B$17</f>
        <v/>
      </c>
      <c r="C19" s="8">
        <f>'res_raw_15233699'!$C$17</f>
        <v/>
      </c>
      <c r="D19" s="8">
        <f>'res_raw_15233699'!$D$17</f>
        <v/>
      </c>
      <c r="E19" s="8">
        <f>'res_raw_15233699'!$E$17</f>
        <v/>
      </c>
      <c r="F19" s="8">
        <f>'res_raw_15233699'!$F$17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'balance_raw_15233699'!$B$2</f>
        <v/>
      </c>
      <c r="C22" s="5">
        <f>'balance_raw_15233699'!$C$2</f>
        <v/>
      </c>
      <c r="D22" s="5">
        <f>'balance_raw_15233699'!$D$2</f>
        <v/>
      </c>
      <c r="E22" s="5">
        <f>'balance_raw_15233699'!$E$2</f>
        <v/>
      </c>
      <c r="F22" s="5">
        <f>'balance_raw_15233699'!$F$2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'balance_raw_15233699'!$B$3</f>
        <v/>
      </c>
      <c r="C23" s="11">
        <f>'balance_raw_15233699'!$C$3</f>
        <v/>
      </c>
      <c r="D23" s="11">
        <f>'balance_raw_15233699'!$D$3</f>
        <v/>
      </c>
      <c r="E23" s="11">
        <f>'balance_raw_15233699'!$E$3</f>
        <v/>
      </c>
      <c r="F23" s="11">
        <f>'balance_raw_15233699'!$F$3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'balance_raw_15233699'!$B$4</f>
        <v/>
      </c>
      <c r="C24" s="5">
        <f>'balance_raw_15233699'!$C$4</f>
        <v/>
      </c>
      <c r="D24" s="5">
        <f>'balance_raw_15233699'!$D$4</f>
        <v/>
      </c>
      <c r="E24" s="5">
        <f>'balance_raw_15233699'!$E$4</f>
        <v/>
      </c>
      <c r="F24" s="5">
        <f>'balance_raw_15233699'!$F$4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'balance_raw_15233699'!$B$5</f>
        <v/>
      </c>
      <c r="C25" s="8">
        <f>'balance_raw_15233699'!$C$5</f>
        <v/>
      </c>
      <c r="D25" s="8">
        <f>'balance_raw_15233699'!$D$5</f>
        <v/>
      </c>
      <c r="E25" s="8">
        <f>'balance_raw_15233699'!$E$5</f>
        <v/>
      </c>
      <c r="F25" s="8">
        <f>'balance_raw_15233699'!$F$5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'balance_raw_15233699'!$B$6</f>
        <v/>
      </c>
      <c r="C26" s="5">
        <f>'balance_raw_15233699'!$C$6</f>
        <v/>
      </c>
      <c r="D26" s="5">
        <f>'balance_raw_15233699'!$D$6</f>
        <v/>
      </c>
      <c r="E26" s="5">
        <f>'balance_raw_15233699'!$E$6</f>
        <v/>
      </c>
      <c r="F26" s="5">
        <f>'balance_raw_15233699'!$F$6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'balance_raw_15233699'!$B$7</f>
        <v/>
      </c>
      <c r="C27" s="11">
        <f>'balance_raw_15233699'!$C$7</f>
        <v/>
      </c>
      <c r="D27" s="11">
        <f>'balance_raw_15233699'!$D$7</f>
        <v/>
      </c>
      <c r="E27" s="11">
        <f>'balance_raw_15233699'!$E$7</f>
        <v/>
      </c>
      <c r="F27" s="11">
        <f>'balance_raw_15233699'!$F$7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'balance_raw_15233699'!$B$8</f>
        <v/>
      </c>
      <c r="C28" s="5">
        <f>'balance_raw_15233699'!$C$8</f>
        <v/>
      </c>
      <c r="D28" s="5">
        <f>'balance_raw_15233699'!$D$8</f>
        <v/>
      </c>
      <c r="E28" s="5">
        <f>'balance_raw_15233699'!$E$8</f>
        <v/>
      </c>
      <c r="F28" s="5">
        <f>'balance_raw_15233699'!$F$8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'balance_raw_15233699'!$B$9</f>
        <v/>
      </c>
      <c r="C29" s="11">
        <f>'balance_raw_15233699'!$C$9</f>
        <v/>
      </c>
      <c r="D29" s="11">
        <f>'balance_raw_15233699'!$D$9</f>
        <v/>
      </c>
      <c r="E29" s="11">
        <f>'balance_raw_15233699'!$E$9</f>
        <v/>
      </c>
      <c r="F29" s="11">
        <f>'balance_raw_15233699'!$F$9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'balance_raw_15233699'!$B$10</f>
        <v/>
      </c>
      <c r="C30" s="5">
        <f>'balance_raw_15233699'!$C$10</f>
        <v/>
      </c>
      <c r="D30" s="5">
        <f>'balance_raw_15233699'!$D$10</f>
        <v/>
      </c>
      <c r="E30" s="5">
        <f>'balance_raw_15233699'!$E$10</f>
        <v/>
      </c>
      <c r="F30" s="5">
        <f>'balance_raw_15233699'!$F$10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'balance_raw_15233699'!$B$11</f>
        <v/>
      </c>
      <c r="C31" s="8">
        <f>'balance_raw_15233699'!$C$11</f>
        <v/>
      </c>
      <c r="D31" s="8">
        <f>'balance_raw_15233699'!$D$11</f>
        <v/>
      </c>
      <c r="E31" s="8">
        <f>'balance_raw_15233699'!$E$11</f>
        <v/>
      </c>
      <c r="F31" s="8">
        <f>'balance_raw_15233699'!$F$11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Kapitalandele, dattervirksomheder</t>
        </is>
      </c>
      <c r="B32" s="5">
        <f>'balance_raw_15233699'!$B$12</f>
        <v/>
      </c>
      <c r="C32" s="5">
        <f>'balance_raw_15233699'!$C$12</f>
        <v/>
      </c>
      <c r="D32" s="5">
        <f>'balance_raw_15233699'!$D$12</f>
        <v/>
      </c>
      <c r="E32" s="5">
        <f>'balance_raw_15233699'!$E$12</f>
        <v/>
      </c>
      <c r="F32" s="5">
        <f>'balance_raw_15233699'!$F$12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Deposita</t>
        </is>
      </c>
      <c r="B33" s="11">
        <f>'balance_raw_15233699'!$B$13</f>
        <v/>
      </c>
      <c r="C33" s="11">
        <f>'balance_raw_15233699'!$C$13</f>
        <v/>
      </c>
      <c r="D33" s="11">
        <f>'balance_raw_15233699'!$D$13</f>
        <v/>
      </c>
      <c r="E33" s="11">
        <f>'balance_raw_15233699'!$E$13</f>
        <v/>
      </c>
      <c r="F33" s="11">
        <f>'balance_raw_15233699'!$F$13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Finansielle anlægsaktiver</t>
        </is>
      </c>
      <c r="B34" s="8">
        <f>'balance_raw_15233699'!$B$14</f>
        <v/>
      </c>
      <c r="C34" s="8">
        <f>'balance_raw_15233699'!$C$14</f>
        <v/>
      </c>
      <c r="D34" s="8">
        <f>'balance_raw_15233699'!$D$14</f>
        <v/>
      </c>
      <c r="E34" s="8">
        <f>'balance_raw_15233699'!$E$14</f>
        <v/>
      </c>
      <c r="F34" s="8">
        <f>'balance_raw_15233699'!$F$14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'balance_raw_15233699'!$B$15</f>
        <v/>
      </c>
      <c r="C35" s="8">
        <f>'balance_raw_15233699'!$C$15</f>
        <v/>
      </c>
      <c r="D35" s="8">
        <f>'balance_raw_15233699'!$D$15</f>
        <v/>
      </c>
      <c r="E35" s="8">
        <f>'balance_raw_15233699'!$E$15</f>
        <v/>
      </c>
      <c r="F35" s="8">
        <f>'balance_raw_15233699'!$F$15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Råvarer og hjælpematerialer</t>
        </is>
      </c>
      <c r="B36" s="5">
        <f>'balance_raw_15233699'!$B$16</f>
        <v/>
      </c>
      <c r="C36" s="5">
        <f>'balance_raw_15233699'!$C$16</f>
        <v/>
      </c>
      <c r="D36" s="5">
        <f>'balance_raw_15233699'!$D$16</f>
        <v/>
      </c>
      <c r="E36" s="5">
        <f>'balance_raw_15233699'!$E$16</f>
        <v/>
      </c>
      <c r="F36" s="5">
        <f>'balance_raw_15233699'!$F$16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Varer under fremstilling</t>
        </is>
      </c>
      <c r="B37" s="11">
        <f>'balance_raw_15233699'!$B$17</f>
        <v/>
      </c>
      <c r="C37" s="11">
        <f>'balance_raw_15233699'!$C$17</f>
        <v/>
      </c>
      <c r="D37" s="11">
        <f>'balance_raw_15233699'!$D$17</f>
        <v/>
      </c>
      <c r="E37" s="11">
        <f>'balance_raw_15233699'!$E$17</f>
        <v/>
      </c>
      <c r="F37" s="11">
        <f>'balance_raw_15233699'!$F$17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Færdigvarer og handelsvarer</t>
        </is>
      </c>
      <c r="B38" s="5">
        <f>'balance_raw_15233699'!$B$18</f>
        <v/>
      </c>
      <c r="C38" s="5">
        <f>'balance_raw_15233699'!$C$18</f>
        <v/>
      </c>
      <c r="D38" s="5">
        <f>'balance_raw_15233699'!$D$18</f>
        <v/>
      </c>
      <c r="E38" s="5">
        <f>'balance_raw_15233699'!$E$18</f>
        <v/>
      </c>
      <c r="F38" s="5">
        <f>'balance_raw_15233699'!$F$18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Varebeholdninger</t>
        </is>
      </c>
      <c r="B39" s="8">
        <f>'balance_raw_15233699'!$B$19</f>
        <v/>
      </c>
      <c r="C39" s="8">
        <f>'balance_raw_15233699'!$C$19</f>
        <v/>
      </c>
      <c r="D39" s="8">
        <f>'balance_raw_15233699'!$D$19</f>
        <v/>
      </c>
      <c r="E39" s="8">
        <f>'balance_raw_15233699'!$E$19</f>
        <v/>
      </c>
      <c r="F39" s="8">
        <f>'balance_raw_15233699'!$F$19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Tilgodehavender fra salg og tjenesteydelser</t>
        </is>
      </c>
      <c r="B40" s="5">
        <f>'balance_raw_15233699'!$B$20</f>
        <v/>
      </c>
      <c r="C40" s="5">
        <f>'balance_raw_15233699'!$C$20</f>
        <v/>
      </c>
      <c r="D40" s="5">
        <f>'balance_raw_15233699'!$D$20</f>
        <v/>
      </c>
      <c r="E40" s="5">
        <f>'balance_raw_15233699'!$E$20</f>
        <v/>
      </c>
      <c r="F40" s="5">
        <f>'balance_raw_15233699'!$F$20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 hos tilknyttede virksomheder</t>
        </is>
      </c>
      <c r="B41" s="11">
        <f>'balance_raw_15233699'!$B$21</f>
        <v/>
      </c>
      <c r="C41" s="11">
        <f>'balance_raw_15233699'!$C$21</f>
        <v/>
      </c>
      <c r="D41" s="11">
        <f>'balance_raw_15233699'!$D$21</f>
        <v/>
      </c>
      <c r="E41" s="11">
        <f>'balance_raw_15233699'!$E$21</f>
        <v/>
      </c>
      <c r="F41" s="11">
        <f>'balance_raw_15233699'!$F$21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Andre tilgodehavender</t>
        </is>
      </c>
      <c r="B42" s="5">
        <f>'balance_raw_15233699'!$B$22</f>
        <v/>
      </c>
      <c r="C42" s="5">
        <f>'balance_raw_15233699'!$C$22</f>
        <v/>
      </c>
      <c r="D42" s="5">
        <f>'balance_raw_15233699'!$D$22</f>
        <v/>
      </c>
      <c r="E42" s="5">
        <f>'balance_raw_15233699'!$E$22</f>
        <v/>
      </c>
      <c r="F42" s="5">
        <f>'balance_raw_15233699'!$F$22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Periodeafgrænsningsposter (aktiver)</t>
        </is>
      </c>
      <c r="B43" s="11">
        <f>'balance_raw_15233699'!$B$23</f>
        <v/>
      </c>
      <c r="C43" s="11">
        <f>'balance_raw_15233699'!$C$23</f>
        <v/>
      </c>
      <c r="D43" s="11">
        <f>'balance_raw_15233699'!$D$23</f>
        <v/>
      </c>
      <c r="E43" s="11">
        <f>'balance_raw_15233699'!$E$23</f>
        <v/>
      </c>
      <c r="F43" s="11">
        <f>'balance_raw_15233699'!$F$23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Udskudt skatteaktiv</t>
        </is>
      </c>
      <c r="B44" s="5">
        <f>'balance_raw_15233699'!$B$24</f>
        <v/>
      </c>
      <c r="C44" s="5">
        <f>'balance_raw_15233699'!$C$24</f>
        <v/>
      </c>
      <c r="D44" s="5">
        <f>'balance_raw_15233699'!$D$24</f>
        <v/>
      </c>
      <c r="E44" s="5">
        <f>'balance_raw_15233699'!$E$24</f>
        <v/>
      </c>
      <c r="F44" s="5">
        <f>'balance_raw_15233699'!$F$24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 skat hos tilknyttede virksomheder</t>
        </is>
      </c>
      <c r="B45" s="11">
        <f>'balance_raw_15233699'!$B$25</f>
        <v/>
      </c>
      <c r="C45" s="11">
        <f>'balance_raw_15233699'!$C$25</f>
        <v/>
      </c>
      <c r="D45" s="11">
        <f>'balance_raw_15233699'!$D$25</f>
        <v/>
      </c>
      <c r="E45" s="11">
        <f>'balance_raw_15233699'!$E$25</f>
        <v/>
      </c>
      <c r="F45" s="11">
        <f>'balance_raw_15233699'!$F$25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Kortfristede skattetilgodehavender</t>
        </is>
      </c>
      <c r="B46" s="5">
        <f>'balance_raw_15233699'!$B$26</f>
        <v/>
      </c>
      <c r="C46" s="5">
        <f>'balance_raw_15233699'!$C$26</f>
        <v/>
      </c>
      <c r="D46" s="5">
        <f>'balance_raw_15233699'!$D$26</f>
        <v/>
      </c>
      <c r="E46" s="5">
        <f>'balance_raw_15233699'!$E$26</f>
        <v/>
      </c>
      <c r="F46" s="5">
        <f>'balance_raw_15233699'!$F$26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Tilgodehavender</t>
        </is>
      </c>
      <c r="B47" s="8">
        <f>'balance_raw_15233699'!$B$27</f>
        <v/>
      </c>
      <c r="C47" s="8">
        <f>'balance_raw_15233699'!$C$27</f>
        <v/>
      </c>
      <c r="D47" s="8">
        <f>'balance_raw_15233699'!$D$27</f>
        <v/>
      </c>
      <c r="E47" s="8">
        <f>'balance_raw_15233699'!$E$27</f>
        <v/>
      </c>
      <c r="F47" s="8">
        <f>'balance_raw_15233699'!$F$27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Værdipapirer</t>
        </is>
      </c>
      <c r="B48" s="5">
        <f>'balance_raw_15233699'!$B$28</f>
        <v/>
      </c>
      <c r="C48" s="5">
        <f>'balance_raw_15233699'!$C$28</f>
        <v/>
      </c>
      <c r="D48" s="5">
        <f>'balance_raw_15233699'!$D$28</f>
        <v/>
      </c>
      <c r="E48" s="5">
        <f>'balance_raw_15233699'!$E$28</f>
        <v/>
      </c>
      <c r="F48" s="5">
        <f>'balance_raw_15233699'!$F$28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Likvide beholdninger</t>
        </is>
      </c>
      <c r="B49" s="11">
        <f>'balance_raw_15233699'!$B$29</f>
        <v/>
      </c>
      <c r="C49" s="11">
        <f>'balance_raw_15233699'!$C$29</f>
        <v/>
      </c>
      <c r="D49" s="11">
        <f>'balance_raw_15233699'!$D$29</f>
        <v/>
      </c>
      <c r="E49" s="11">
        <f>'balance_raw_15233699'!$E$29</f>
        <v/>
      </c>
      <c r="F49" s="11">
        <f>'balance_raw_15233699'!$F$29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Omsætningsaktiver</t>
        </is>
      </c>
      <c r="B50" s="8">
        <f>'balance_raw_15233699'!$B$30</f>
        <v/>
      </c>
      <c r="C50" s="8">
        <f>'balance_raw_15233699'!$C$30</f>
        <v/>
      </c>
      <c r="D50" s="8">
        <f>'balance_raw_15233699'!$D$30</f>
        <v/>
      </c>
      <c r="E50" s="8">
        <f>'balance_raw_15233699'!$E$30</f>
        <v/>
      </c>
      <c r="F50" s="8">
        <f>'balance_raw_15233699'!$F$30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7" t="inlineStr">
        <is>
          <t>Aktiver</t>
        </is>
      </c>
      <c r="B51" s="8">
        <f>'balance_raw_15233699'!$B$31</f>
        <v/>
      </c>
      <c r="C51" s="8">
        <f>'balance_raw_15233699'!$C$31</f>
        <v/>
      </c>
      <c r="D51" s="8">
        <f>'balance_raw_15233699'!$D$31</f>
        <v/>
      </c>
      <c r="E51" s="8">
        <f>'balance_raw_15233699'!$E$31</f>
        <v/>
      </c>
      <c r="F51" s="8">
        <f>'balance_raw_15233699'!$F$31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3" ht="22" customHeight="1">
      <c r="A53" s="3" t="inlineStr">
        <is>
          <t>PASSIVER t.kr.</t>
        </is>
      </c>
      <c r="B53" s="3" t="n">
        <v>2021</v>
      </c>
      <c r="C53" s="3" t="n">
        <v>2022</v>
      </c>
      <c r="D53" s="3" t="n">
        <v>2023</v>
      </c>
      <c r="E53" s="3" t="n">
        <v>2024</v>
      </c>
      <c r="F53" s="3" t="n">
        <v>2025</v>
      </c>
      <c r="G53" t="inlineStr"/>
      <c r="H53" s="3" t="n">
        <v>2021</v>
      </c>
      <c r="I53" s="3" t="n">
        <v>2022</v>
      </c>
      <c r="J53" s="3" t="n">
        <v>2023</v>
      </c>
      <c r="K53" s="3" t="n">
        <v>2024</v>
      </c>
      <c r="L53" s="3" t="n">
        <v>2025</v>
      </c>
    </row>
    <row r="54" ht="16" customHeight="1">
      <c r="A54" s="4" t="inlineStr">
        <is>
          <t>Selskabskapital</t>
        </is>
      </c>
      <c r="B54" s="5">
        <f>'balance_raw_15233699'!$B$32</f>
        <v/>
      </c>
      <c r="C54" s="5">
        <f>'balance_raw_15233699'!$C$32</f>
        <v/>
      </c>
      <c r="D54" s="5">
        <f>'balance_raw_15233699'!$D$32</f>
        <v/>
      </c>
      <c r="E54" s="5">
        <f>'balance_raw_15233699'!$E$32</f>
        <v/>
      </c>
      <c r="F54" s="5">
        <f>'balance_raw_15233699'!$F$32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nettoopskrivning (indre værdis metode)</t>
        </is>
      </c>
      <c r="B55" s="11">
        <f>'balance_raw_15233699'!$B$33</f>
        <v/>
      </c>
      <c r="C55" s="11">
        <f>'balance_raw_15233699'!$C$33</f>
        <v/>
      </c>
      <c r="D55" s="11">
        <f>'balance_raw_15233699'!$D$33</f>
        <v/>
      </c>
      <c r="E55" s="11">
        <f>'balance_raw_15233699'!$E$33</f>
        <v/>
      </c>
      <c r="F55" s="11">
        <f>'balance_raw_15233699'!$F$33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udviklingsomkostninger</t>
        </is>
      </c>
      <c r="B56" s="5">
        <f>'balance_raw_15233699'!$B$34</f>
        <v/>
      </c>
      <c r="C56" s="5">
        <f>'balance_raw_15233699'!$C$34</f>
        <v/>
      </c>
      <c r="D56" s="5">
        <f>'balance_raw_15233699'!$D$34</f>
        <v/>
      </c>
      <c r="E56" s="5">
        <f>'balance_raw_15233699'!$E$34</f>
        <v/>
      </c>
      <c r="F56" s="5">
        <f>'balance_raw_15233699'!$F$34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Reserve for sikringstransaktioner</t>
        </is>
      </c>
      <c r="B57" s="11">
        <f>'balance_raw_15233699'!$B$35</f>
        <v/>
      </c>
      <c r="C57" s="11">
        <f>'balance_raw_15233699'!$C$35</f>
        <v/>
      </c>
      <c r="D57" s="11">
        <f>'balance_raw_15233699'!$D$35</f>
        <v/>
      </c>
      <c r="E57" s="11">
        <f>'balance_raw_15233699'!$E$35</f>
        <v/>
      </c>
      <c r="F57" s="11">
        <f>'balance_raw_15233699'!$F$35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Andre reserver</t>
        </is>
      </c>
      <c r="B58" s="5">
        <f>'balance_raw_15233699'!$B$36</f>
        <v/>
      </c>
      <c r="C58" s="5">
        <f>'balance_raw_15233699'!$C$36</f>
        <v/>
      </c>
      <c r="D58" s="5">
        <f>'balance_raw_15233699'!$D$36</f>
        <v/>
      </c>
      <c r="E58" s="5">
        <f>'balance_raw_15233699'!$E$36</f>
        <v/>
      </c>
      <c r="F58" s="5">
        <f>'balance_raw_15233699'!$F$36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Overført resultat</t>
        </is>
      </c>
      <c r="B59" s="11">
        <f>'balance_raw_15233699'!$B$37</f>
        <v/>
      </c>
      <c r="C59" s="11">
        <f>'balance_raw_15233699'!$C$37</f>
        <v/>
      </c>
      <c r="D59" s="11">
        <f>'balance_raw_15233699'!$D$37</f>
        <v/>
      </c>
      <c r="E59" s="11">
        <f>'balance_raw_15233699'!$E$37</f>
        <v/>
      </c>
      <c r="F59" s="11">
        <f>'balance_raw_15233699'!$F$37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Egenkapital i alt</t>
        </is>
      </c>
      <c r="B60" s="8">
        <f>'balance_raw_15233699'!$B$38</f>
        <v/>
      </c>
      <c r="C60" s="8">
        <f>'balance_raw_15233699'!$C$38</f>
        <v/>
      </c>
      <c r="D60" s="8">
        <f>'balance_raw_15233699'!$D$38</f>
        <v/>
      </c>
      <c r="E60" s="8">
        <f>'balance_raw_15233699'!$E$38</f>
        <v/>
      </c>
      <c r="F60" s="8">
        <f>'balance_raw_15233699'!$F$38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Hensættelse til udskudt skat</t>
        </is>
      </c>
      <c r="B61" s="11">
        <f>'balance_raw_15233699'!$B$39</f>
        <v/>
      </c>
      <c r="C61" s="11">
        <f>'balance_raw_15233699'!$C$39</f>
        <v/>
      </c>
      <c r="D61" s="11">
        <f>'balance_raw_15233699'!$D$39</f>
        <v/>
      </c>
      <c r="E61" s="11">
        <f>'balance_raw_15233699'!$E$39</f>
        <v/>
      </c>
      <c r="F61" s="11">
        <f>'balance_raw_15233699'!$F$39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Hensatte forpligtelser</t>
        </is>
      </c>
      <c r="B62" s="8">
        <f>'balance_raw_15233699'!$B$40</f>
        <v/>
      </c>
      <c r="C62" s="8">
        <f>'balance_raw_15233699'!$C$40</f>
        <v/>
      </c>
      <c r="D62" s="8">
        <f>'balance_raw_15233699'!$D$40</f>
        <v/>
      </c>
      <c r="E62" s="8">
        <f>'balance_raw_15233699'!$E$40</f>
        <v/>
      </c>
      <c r="F62" s="8">
        <f>'balance_raw_15233699'!$F$40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(langfristet)</t>
        </is>
      </c>
      <c r="B63" s="11">
        <f>'balance_raw_15233699'!$B$41</f>
        <v/>
      </c>
      <c r="C63" s="11">
        <f>'balance_raw_15233699'!$C$41</f>
        <v/>
      </c>
      <c r="D63" s="11">
        <f>'balance_raw_15233699'!$D$41</f>
        <v/>
      </c>
      <c r="E63" s="11">
        <f>'balance_raw_15233699'!$E$41</f>
        <v/>
      </c>
      <c r="F63" s="11">
        <f>'balance_raw_15233699'!$F$41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'balance_raw_15233699'!$B$42</f>
        <v/>
      </c>
      <c r="C64" s="5">
        <f>'balance_raw_15233699'!$C$42</f>
        <v/>
      </c>
      <c r="D64" s="5">
        <f>'balance_raw_15233699'!$D$42</f>
        <v/>
      </c>
      <c r="E64" s="5">
        <f>'balance_raw_15233699'!$E$42</f>
        <v/>
      </c>
      <c r="F64" s="5">
        <f>'balance_raw_15233699'!$F$42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(langfristet)</t>
        </is>
      </c>
      <c r="B65" s="11">
        <f>'balance_raw_15233699'!$B$43</f>
        <v/>
      </c>
      <c r="C65" s="11">
        <f>'balance_raw_15233699'!$C$43</f>
        <v/>
      </c>
      <c r="D65" s="11">
        <f>'balance_raw_15233699'!$D$43</f>
        <v/>
      </c>
      <c r="E65" s="11">
        <f>'balance_raw_15233699'!$E$43</f>
        <v/>
      </c>
      <c r="F65" s="11">
        <f>'balance_raw_15233699'!$F$43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'balance_raw_15233699'!$B$44</f>
        <v/>
      </c>
      <c r="C66" s="5">
        <f>'balance_raw_15233699'!$C$44</f>
        <v/>
      </c>
      <c r="D66" s="5">
        <f>'balance_raw_15233699'!$D$44</f>
        <v/>
      </c>
      <c r="E66" s="5">
        <f>'balance_raw_15233699'!$E$44</f>
        <v/>
      </c>
      <c r="F66" s="5">
        <f>'balance_raw_15233699'!$F$44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Langfristede gældsforpligtelser</t>
        </is>
      </c>
      <c r="B67" s="8">
        <f>'balance_raw_15233699'!$B$45</f>
        <v/>
      </c>
      <c r="C67" s="8">
        <f>'balance_raw_15233699'!$C$45</f>
        <v/>
      </c>
      <c r="D67" s="8">
        <f>'balance_raw_15233699'!$D$45</f>
        <v/>
      </c>
      <c r="E67" s="8">
        <f>'balance_raw_15233699'!$E$45</f>
        <v/>
      </c>
      <c r="F67" s="8">
        <f>'balance_raw_15233699'!$F$45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'balance_raw_15233699'!$B$46</f>
        <v/>
      </c>
      <c r="C68" s="5">
        <f>'balance_raw_15233699'!$C$46</f>
        <v/>
      </c>
      <c r="D68" s="5">
        <f>'balance_raw_15233699'!$D$46</f>
        <v/>
      </c>
      <c r="E68" s="5">
        <f>'balance_raw_15233699'!$E$46</f>
        <v/>
      </c>
      <c r="F68" s="5">
        <f>'balance_raw_15233699'!$F$46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Kortfristet del af langfristede gældsforpligtelser</t>
        </is>
      </c>
      <c r="B69" s="11">
        <f>'balance_raw_15233699'!$B$47</f>
        <v/>
      </c>
      <c r="C69" s="11">
        <f>'balance_raw_15233699'!$C$47</f>
        <v/>
      </c>
      <c r="D69" s="11">
        <f>'balance_raw_15233699'!$D$47</f>
        <v/>
      </c>
      <c r="E69" s="11">
        <f>'balance_raw_15233699'!$E$47</f>
        <v/>
      </c>
      <c r="F69" s="11">
        <f>'balance_raw_15233699'!$F$47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'balance_raw_15233699'!$B$48</f>
        <v/>
      </c>
      <c r="C70" s="5">
        <f>'balance_raw_15233699'!$C$48</f>
        <v/>
      </c>
      <c r="D70" s="5">
        <f>'balance_raw_15233699'!$D$48</f>
        <v/>
      </c>
      <c r="E70" s="5">
        <f>'balance_raw_15233699'!$E$48</f>
        <v/>
      </c>
      <c r="F70" s="5">
        <f>'balance_raw_15233699'!$F$48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Leasingforpligtelser (kortfristet)</t>
        </is>
      </c>
      <c r="B71" s="11">
        <f>'balance_raw_15233699'!$B$49</f>
        <v/>
      </c>
      <c r="C71" s="11">
        <f>'balance_raw_15233699'!$C$49</f>
        <v/>
      </c>
      <c r="D71" s="11">
        <f>'balance_raw_15233699'!$D$49</f>
        <v/>
      </c>
      <c r="E71" s="11">
        <f>'balance_raw_15233699'!$E$49</f>
        <v/>
      </c>
      <c r="F71" s="11">
        <f>'balance_raw_15233699'!$F$49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'balance_raw_15233699'!$B$50</f>
        <v/>
      </c>
      <c r="C72" s="5">
        <f>'balance_raw_15233699'!$C$50</f>
        <v/>
      </c>
      <c r="D72" s="5">
        <f>'balance_raw_15233699'!$D$50</f>
        <v/>
      </c>
      <c r="E72" s="5">
        <f>'balance_raw_15233699'!$E$50</f>
        <v/>
      </c>
      <c r="F72" s="5">
        <f>'balance_raw_15233699'!$F$50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</t>
        </is>
      </c>
      <c r="B73" s="11">
        <f>'balance_raw_15233699'!$B$51</f>
        <v/>
      </c>
      <c r="C73" s="11">
        <f>'balance_raw_15233699'!$C$51</f>
        <v/>
      </c>
      <c r="D73" s="11">
        <f>'balance_raw_15233699'!$D$51</f>
        <v/>
      </c>
      <c r="E73" s="11">
        <f>'balance_raw_15233699'!$E$51</f>
        <v/>
      </c>
      <c r="F73" s="11">
        <f>'balance_raw_15233699'!$F$51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'balance_raw_15233699'!$B$52</f>
        <v/>
      </c>
      <c r="C74" s="5">
        <f>'balance_raw_15233699'!$C$52</f>
        <v/>
      </c>
      <c r="D74" s="5">
        <f>'balance_raw_15233699'!$D$52</f>
        <v/>
      </c>
      <c r="E74" s="5">
        <f>'balance_raw_15233699'!$E$52</f>
        <v/>
      </c>
      <c r="F74" s="5">
        <f>'balance_raw_15233699'!$F$52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Selskabsskat</t>
        </is>
      </c>
      <c r="B75" s="11">
        <f>'balance_raw_15233699'!$B$53</f>
        <v/>
      </c>
      <c r="C75" s="11">
        <f>'balance_raw_15233699'!$C$53</f>
        <v/>
      </c>
      <c r="D75" s="11">
        <f>'balance_raw_15233699'!$D$53</f>
        <v/>
      </c>
      <c r="E75" s="11">
        <f>'balance_raw_15233699'!$E$53</f>
        <v/>
      </c>
      <c r="F75" s="11">
        <f>'balance_raw_15233699'!$F$53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'balance_raw_15233699'!$B$54</f>
        <v/>
      </c>
      <c r="C76" s="5">
        <f>'balance_raw_15233699'!$C$54</f>
        <v/>
      </c>
      <c r="D76" s="5">
        <f>'balance_raw_15233699'!$D$54</f>
        <v/>
      </c>
      <c r="E76" s="5">
        <f>'balance_raw_15233699'!$E$54</f>
        <v/>
      </c>
      <c r="F76" s="5">
        <f>'balance_raw_15233699'!$F$54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Anden gæld (kortfristet)</t>
        </is>
      </c>
      <c r="B77" s="11">
        <f>'balance_raw_15233699'!$B$55</f>
        <v/>
      </c>
      <c r="C77" s="11">
        <f>'balance_raw_15233699'!$C$55</f>
        <v/>
      </c>
      <c r="D77" s="11">
        <f>'balance_raw_15233699'!$D$55</f>
        <v/>
      </c>
      <c r="E77" s="11">
        <f>'balance_raw_15233699'!$E$55</f>
        <v/>
      </c>
      <c r="F77" s="11">
        <f>'balance_raw_15233699'!$F$55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'balance_raw_15233699'!$B$56</f>
        <v/>
      </c>
      <c r="C78" s="5">
        <f>'balance_raw_15233699'!$C$56</f>
        <v/>
      </c>
      <c r="D78" s="5">
        <f>'balance_raw_15233699'!$D$56</f>
        <v/>
      </c>
      <c r="E78" s="5">
        <f>'balance_raw_15233699'!$E$56</f>
        <v/>
      </c>
      <c r="F78" s="5">
        <f>'balance_raw_15233699'!$F$56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Kortfristede gældsforpligtelser</t>
        </is>
      </c>
      <c r="B79" s="8">
        <f>'balance_raw_15233699'!$B$57</f>
        <v/>
      </c>
      <c r="C79" s="8">
        <f>'balance_raw_15233699'!$C$57</f>
        <v/>
      </c>
      <c r="D79" s="8">
        <f>'balance_raw_15233699'!$D$57</f>
        <v/>
      </c>
      <c r="E79" s="8">
        <f>'balance_raw_15233699'!$E$57</f>
        <v/>
      </c>
      <c r="F79" s="8">
        <f>'balance_raw_15233699'!$F$57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Gældsforpligtelser</t>
        </is>
      </c>
      <c r="B80" s="8">
        <f>'balance_raw_15233699'!$B$58</f>
        <v/>
      </c>
      <c r="C80" s="8">
        <f>'balance_raw_15233699'!$C$58</f>
        <v/>
      </c>
      <c r="D80" s="8">
        <f>'balance_raw_15233699'!$D$58</f>
        <v/>
      </c>
      <c r="E80" s="8">
        <f>'balance_raw_15233699'!$E$58</f>
        <v/>
      </c>
      <c r="F80" s="8">
        <f>'balance_raw_15233699'!$F$58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1" ht="16" customHeight="1">
      <c r="A81" s="7" t="inlineStr">
        <is>
          <t>Passiver</t>
        </is>
      </c>
      <c r="B81" s="8">
        <f>'balance_raw_15233699'!$B$59</f>
        <v/>
      </c>
      <c r="C81" s="8">
        <f>'balance_raw_15233699'!$C$59</f>
        <v/>
      </c>
      <c r="D81" s="8">
        <f>'balance_raw_15233699'!$D$59</f>
        <v/>
      </c>
      <c r="E81" s="8">
        <f>'balance_raw_15233699'!$E$59</f>
        <v/>
      </c>
      <c r="F81" s="8">
        <f>'balance_raw_15233699'!$F$59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'res_raw_15233699'!$B$18</f>
        <v/>
      </c>
      <c r="C84" s="5">
        <f>'res_raw_15233699'!$C$18</f>
        <v/>
      </c>
      <c r="D84" s="5">
        <f>'res_raw_15233699'!$D$18</f>
        <v/>
      </c>
      <c r="E84" s="5">
        <f>'res_raw_15233699'!$E$18</f>
        <v/>
      </c>
      <c r="F84" s="5">
        <f>'res_raw_15233699'!$F$18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10" t="inlineStr">
        <is>
          <t>Investering i materielle anlægsaktiver</t>
        </is>
      </c>
      <c r="B85" s="11">
        <f>'res_raw_15233699'!$B$19</f>
        <v/>
      </c>
      <c r="C85" s="11">
        <f>'res_raw_15233699'!$C$19</f>
        <v/>
      </c>
      <c r="D85" s="11">
        <f>'res_raw_15233699'!$D$19</f>
        <v/>
      </c>
      <c r="E85" s="11">
        <f>'res_raw_15233699'!$E$19</f>
        <v/>
      </c>
      <c r="F85" s="11">
        <f>'res_raw_15233699'!$F$19</f>
        <v/>
      </c>
      <c r="G85" t="inlineStr"/>
      <c r="H85" s="12">
        <f>IFERROR(B85/$B$85*100,"")</f>
        <v/>
      </c>
      <c r="I85" s="12">
        <f>IFERROR(C85/$B$85*100,"")</f>
        <v/>
      </c>
      <c r="J85" s="12">
        <f>IFERROR(D85/$B$85*100,"")</f>
        <v/>
      </c>
      <c r="K85" s="12">
        <f>IFERROR(E85/$B$85*100,"")</f>
        <v/>
      </c>
      <c r="L85" s="12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IFERROR(($B$12+$B$14+$B$13)/$B$51*100,"")</f>
        <v/>
      </c>
      <c r="C88" s="13">
        <f>IFERROR(($C$12+$C$14+$C$13)/$C$51*100,"")</f>
        <v/>
      </c>
      <c r="D88" s="13">
        <f>IFERROR(($D$12+$D$14+$D$13)/$D$51*100,"")</f>
        <v/>
      </c>
      <c r="E88" s="13">
        <f>IFERROR(($E$12+$E$14+$E$13)/$E$51*100,"")</f>
        <v/>
      </c>
      <c r="F88" s="13">
        <f>IFERROR(($F$12+$F$14+$F$13)/$F$51*100,"")</f>
        <v/>
      </c>
    </row>
    <row r="89" ht="16" customHeight="1">
      <c r="A89" s="10" t="inlineStr">
        <is>
          <t>Overskudsgrad, %</t>
        </is>
      </c>
      <c r="B89" s="14">
        <f>IFERROR(($B$12+$B$14+$B$13)/$B$4*100,"")</f>
        <v/>
      </c>
      <c r="C89" s="14">
        <f>IFERROR(($C$12+$C$14+$C$13)/$C$4*100,"")</f>
        <v/>
      </c>
      <c r="D89" s="14">
        <f>IFERROR(($D$12+$D$14+$D$13)/$D$4*100,"")</f>
        <v/>
      </c>
      <c r="E89" s="14">
        <f>IFERROR(($E$12+$E$14+$E$13)/$E$4*100,"")</f>
        <v/>
      </c>
      <c r="F89" s="14">
        <f>IFERROR(($F$12+$F$14+$F$13)/$F$4*100,"")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IFERROR($B$4/$B$51,"")</f>
        <v/>
      </c>
      <c r="C90" s="13">
        <f>IFERROR($C$4/$C$51,"")</f>
        <v/>
      </c>
      <c r="D90" s="13">
        <f>IFERROR($D$4/$D$51,"")</f>
        <v/>
      </c>
      <c r="E90" s="13">
        <f>IFERROR($E$4/$E$51,"")</f>
        <v/>
      </c>
      <c r="F90" s="13">
        <f>IFERROR($F$4/$F$51,"")</f>
        <v/>
      </c>
    </row>
    <row r="91" ht="16" customHeight="1">
      <c r="A91" s="10" t="inlineStr">
        <is>
          <t>Egenkapitalens forrentning, %</t>
        </is>
      </c>
      <c r="B91" s="14">
        <f>IFERROR($B$17/$B$60*100,"")</f>
        <v/>
      </c>
      <c r="C91" s="14">
        <f>IFERROR($C$17/$C$60*100,"")</f>
        <v/>
      </c>
      <c r="D91" s="14">
        <f>IFERROR($D$17/$D$60*100,"")</f>
        <v/>
      </c>
      <c r="E91" s="14">
        <f>IFERROR($E$17/$E$60*100,"")</f>
        <v/>
      </c>
      <c r="F91" s="14">
        <f>IFERROR($F$17/$F$60*100,"")</f>
        <v/>
      </c>
    </row>
    <row r="92" ht="16" customHeight="1">
      <c r="A92" s="4" t="inlineStr">
        <is>
          <t>Gældsrente, %</t>
        </is>
      </c>
      <c r="B92" s="13">
        <f>IFERROR($B$15/($B$81-$B$60)*100,"")</f>
        <v/>
      </c>
      <c r="C92" s="13">
        <f>IFERROR($C$15/($C$81-$C$60)*100,"")</f>
        <v/>
      </c>
      <c r="D92" s="13">
        <f>IFERROR($D$15/($D$81-$D$60)*100,"")</f>
        <v/>
      </c>
      <c r="E92" s="13">
        <f>IFERROR($E$15/($E$81-$E$60)*100,"")</f>
        <v/>
      </c>
      <c r="F92" s="13">
        <f>IFERROR($F$15/($F$81-$F$60)*100,"")</f>
        <v/>
      </c>
    </row>
    <row r="93" ht="16" customHeight="1">
      <c r="A93" s="10" t="inlineStr">
        <is>
          <t>Soliditetsgrad, %</t>
        </is>
      </c>
      <c r="B93" s="14">
        <f>IFERROR($B$60/$B$51*100,"")</f>
        <v/>
      </c>
      <c r="C93" s="14">
        <f>IFERROR($C$60/$C$51*100,"")</f>
        <v/>
      </c>
      <c r="D93" s="14">
        <f>IFERROR($D$60/$D$51*100,"")</f>
        <v/>
      </c>
      <c r="E93" s="14">
        <f>IFERROR($E$60/$E$51*100,"")</f>
        <v/>
      </c>
      <c r="F93" s="14">
        <f>IFERROR($F$60/$F$51*100,"")</f>
        <v/>
      </c>
    </row>
    <row r="94" ht="16" customHeight="1">
      <c r="A94" s="4" t="inlineStr">
        <is>
          <t>Gearing</t>
        </is>
      </c>
      <c r="B94" s="13">
        <f>IFERROR(($B$81-$B$60)/$B$60,"")</f>
        <v/>
      </c>
      <c r="C94" s="13">
        <f>IFERROR(($C$81-$C$60)/$C$60,"")</f>
        <v/>
      </c>
      <c r="D94" s="13">
        <f>IFERROR(($D$81-$D$60)/$D$60,"")</f>
        <v/>
      </c>
      <c r="E94" s="13">
        <f>IFERROR(($E$81-$E$60)/$E$60,"")</f>
        <v/>
      </c>
      <c r="F94" s="13">
        <f>IFERROR(($F$81-$F$60)/$F$60,"")</f>
        <v/>
      </c>
    </row>
    <row r="95" ht="16" customHeight="1">
      <c r="A95" s="10" t="inlineStr">
        <is>
          <t>Likviditetsgrad, %</t>
        </is>
      </c>
      <c r="B95" s="14">
        <f>IFERROR($B$50/$B$79*100,"")</f>
        <v/>
      </c>
      <c r="C95" s="14">
        <f>IFERROR($C$50/$C$79*100,"")</f>
        <v/>
      </c>
      <c r="D95" s="14">
        <f>IFERROR($D$50/$D$79*100,"")</f>
        <v/>
      </c>
      <c r="E95" s="14">
        <f>IFERROR($E$50/$E$79*100,"")</f>
        <v/>
      </c>
      <c r="F95" s="14">
        <f>IFERROR($F$50/$F$79*100,"")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10" t="inlineStr">
        <is>
          <t>Gældsandel, %</t>
        </is>
      </c>
      <c r="B97" s="14">
        <f>IFERROR(($B$81-$B$60)/$B$51*100,"")</f>
        <v/>
      </c>
      <c r="C97" s="14">
        <f>IFERROR(($C$81-$C$60)/$C$51*100,"")</f>
        <v/>
      </c>
      <c r="D97" s="14">
        <f>IFERROR(($D$81-$D$60)/$D$51*100,"")</f>
        <v/>
      </c>
      <c r="E97" s="14">
        <f>IFERROR(($E$81-$E$60)/$E$51*100,"")</f>
        <v/>
      </c>
      <c r="F97" s="14">
        <f>IFERROR(($F$81-$F$60)/$F$51*100,"")</f>
        <v/>
      </c>
    </row>
    <row r="98" ht="16" customHeight="1">
      <c r="A98" s="4" t="inlineStr">
        <is>
          <t>Kapitalbindingsgrad, %</t>
        </is>
      </c>
      <c r="B98" s="13">
        <f>IFERROR($B$35/($B$60+$B$67)*100,"")</f>
        <v/>
      </c>
      <c r="C98" s="13">
        <f>IFERROR($C$35/($C$60+$C$67)*100,"")</f>
        <v/>
      </c>
      <c r="D98" s="13">
        <f>IFERROR($D$35/($D$60+$D$67)*100,"")</f>
        <v/>
      </c>
      <c r="E98" s="13">
        <f>IFERROR($E$35/($E$60+$E$67)*100,"")</f>
        <v/>
      </c>
      <c r="F98" s="13">
        <f>IFERROR($F$35/($F$60+$F$67)*100,"")</f>
        <v/>
      </c>
    </row>
    <row r="100">
      <c r="A100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Odense Marcipan A/S (CVR 15233699)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534157</v>
      </c>
      <c r="C2" s="16" t="n">
        <v>553477</v>
      </c>
      <c r="D2" s="16" t="n">
        <v>591213</v>
      </c>
      <c r="E2" s="16" t="n">
        <v>628473</v>
      </c>
      <c r="F2" s="16" t="n">
        <v>667217</v>
      </c>
    </row>
    <row r="3">
      <c r="A3" s="15" t="inlineStr">
        <is>
          <t>Produktionsomkostninger</t>
        </is>
      </c>
      <c r="B3" s="16" t="n">
        <v>399299</v>
      </c>
      <c r="C3" s="16" t="n">
        <v>409930</v>
      </c>
      <c r="D3" s="16" t="n">
        <v>441052</v>
      </c>
      <c r="E3" s="16" t="n">
        <v>471871</v>
      </c>
      <c r="F3" s="16" t="n">
        <v>511234</v>
      </c>
    </row>
    <row r="4">
      <c r="A4" s="17" t="inlineStr">
        <is>
          <t>Bruttoresultat</t>
        </is>
      </c>
      <c r="B4" s="16" t="n">
        <v>134858</v>
      </c>
      <c r="C4" s="16" t="n">
        <v>143547</v>
      </c>
      <c r="D4" s="16" t="n">
        <v>150161</v>
      </c>
      <c r="E4" s="16" t="n">
        <v>156602</v>
      </c>
      <c r="F4" s="16" t="n">
        <v>155983</v>
      </c>
    </row>
    <row r="5">
      <c r="A5" s="15" t="inlineStr">
        <is>
          <t>Udviklingsomkostninger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Salgs- og distributionsomkostninger</t>
        </is>
      </c>
      <c r="B6" s="16" t="n">
        <v>38890</v>
      </c>
      <c r="C6" s="16" t="n">
        <v>43839</v>
      </c>
      <c r="D6" s="16" t="n">
        <v>44582</v>
      </c>
      <c r="E6" s="16" t="n">
        <v>50749</v>
      </c>
      <c r="F6" s="16" t="n">
        <v>53767</v>
      </c>
    </row>
    <row r="7">
      <c r="A7" s="15" t="inlineStr">
        <is>
          <t>Administrationsomkostninger</t>
        </is>
      </c>
      <c r="B7" s="16" t="n">
        <v>35033</v>
      </c>
      <c r="C7" s="16" t="n">
        <v>34143</v>
      </c>
      <c r="D7" s="16" t="n">
        <v>33799</v>
      </c>
      <c r="E7" s="16" t="n">
        <v>39881</v>
      </c>
      <c r="F7" s="16" t="n">
        <v>40700</v>
      </c>
    </row>
    <row r="8">
      <c r="A8" s="15" t="inlineStr">
        <is>
          <t>Andre driftsindtægter</t>
        </is>
      </c>
      <c r="B8" s="16" t="n"/>
      <c r="C8" s="16" t="n"/>
      <c r="D8" s="16" t="n"/>
      <c r="E8" s="16" t="n"/>
      <c r="F8" s="16" t="n"/>
    </row>
    <row r="9">
      <c r="A9" s="15" t="inlineStr">
        <is>
          <t>Andre driftsomkostninger</t>
        </is>
      </c>
      <c r="B9" s="16" t="n"/>
      <c r="C9" s="16" t="n"/>
      <c r="D9" s="16" t="n"/>
      <c r="E9" s="16" t="n"/>
      <c r="F9" s="16" t="n"/>
    </row>
    <row r="10">
      <c r="A10" s="17" t="inlineStr">
        <is>
          <t>Resultat af primær drift</t>
        </is>
      </c>
      <c r="B10" s="16" t="n">
        <v>60935</v>
      </c>
      <c r="C10" s="16" t="n">
        <v>65565</v>
      </c>
      <c r="D10" s="16" t="n">
        <v>71780</v>
      </c>
      <c r="E10" s="16" t="n">
        <v>65972</v>
      </c>
      <c r="F10" s="16" t="n">
        <v>61516</v>
      </c>
    </row>
    <row r="11">
      <c r="A11" s="15" t="inlineStr">
        <is>
          <t>Indtægter af kapitalandele, dattervirksomheder</t>
        </is>
      </c>
      <c r="B11" s="16" t="n">
        <v>4098</v>
      </c>
      <c r="C11" s="16" t="n">
        <v>2901</v>
      </c>
      <c r="D11" s="16" t="n">
        <v>4097</v>
      </c>
      <c r="E11" s="16" t="n">
        <v>241</v>
      </c>
      <c r="F11" s="16" t="n">
        <v>3730</v>
      </c>
    </row>
    <row r="12">
      <c r="A12" s="15" t="inlineStr">
        <is>
          <t>Finansielle indtægter</t>
        </is>
      </c>
      <c r="B12" s="16" t="n"/>
      <c r="C12" s="16" t="n"/>
      <c r="D12" s="16" t="n"/>
      <c r="E12" s="16" t="n">
        <v>511</v>
      </c>
      <c r="F12" s="16" t="n">
        <v>340</v>
      </c>
    </row>
    <row r="13">
      <c r="A13" s="15" t="inlineStr">
        <is>
          <t>Finansielle omkostninger</t>
        </is>
      </c>
      <c r="B13" s="16" t="n">
        <v>1073</v>
      </c>
      <c r="C13" s="16" t="n">
        <v>1822</v>
      </c>
      <c r="D13" s="16" t="n">
        <v>6146</v>
      </c>
      <c r="E13" s="16" t="n">
        <v>34898</v>
      </c>
      <c r="F13" s="16" t="n">
        <v>9400</v>
      </c>
    </row>
    <row r="14">
      <c r="A14" s="17" t="inlineStr">
        <is>
          <t>Finansielle poster, netto</t>
        </is>
      </c>
      <c r="B14" s="16" t="n">
        <v>-1073</v>
      </c>
      <c r="C14" s="16" t="n">
        <v>-1822</v>
      </c>
      <c r="D14" s="16" t="n">
        <v>-6146</v>
      </c>
      <c r="E14" s="16" t="n">
        <v>-11051</v>
      </c>
      <c r="F14" s="16" t="n">
        <v>-5330</v>
      </c>
    </row>
    <row r="15">
      <c r="A15" s="17" t="inlineStr">
        <is>
          <t>Resultat før skat</t>
        </is>
      </c>
      <c r="B15" s="16" t="n">
        <v>63960</v>
      </c>
      <c r="C15" s="16" t="n">
        <v>66644</v>
      </c>
      <c r="D15" s="16" t="n">
        <v>69731</v>
      </c>
      <c r="E15" s="16" t="n">
        <v>54921</v>
      </c>
      <c r="F15" s="16" t="n">
        <v>56186</v>
      </c>
    </row>
    <row r="16">
      <c r="A16" s="15" t="inlineStr">
        <is>
          <t>Skat af årets resultat</t>
        </is>
      </c>
      <c r="B16" s="16" t="n">
        <v>12570</v>
      </c>
      <c r="C16" s="16" t="n">
        <v>14732</v>
      </c>
      <c r="D16" s="16" t="n">
        <v>14802</v>
      </c>
      <c r="E16" s="16" t="n">
        <v>11905</v>
      </c>
      <c r="F16" s="16" t="n">
        <v>11851</v>
      </c>
    </row>
    <row r="17">
      <c r="A17" s="17" t="inlineStr">
        <is>
          <t>Årets resultat</t>
        </is>
      </c>
      <c r="B17" s="16" t="n">
        <v>51390</v>
      </c>
      <c r="C17" s="16" t="n">
        <v>51912</v>
      </c>
      <c r="D17" s="16" t="n">
        <v>54929</v>
      </c>
      <c r="E17" s="16" t="n">
        <v>43016</v>
      </c>
      <c r="F17" s="16" t="n">
        <v>44335</v>
      </c>
    </row>
    <row r="18">
      <c r="A18" s="15" t="inlineStr">
        <is>
          <t>Gns. antal medarbejdere</t>
        </is>
      </c>
      <c r="B18" s="16" t="n">
        <v>263</v>
      </c>
      <c r="C18" s="16" t="n">
        <v>257</v>
      </c>
      <c r="D18" s="16" t="n">
        <v>250</v>
      </c>
      <c r="E18" s="16" t="n">
        <v>259</v>
      </c>
      <c r="F18" s="16" t="n">
        <v>266</v>
      </c>
    </row>
    <row r="19">
      <c r="A19" s="15" t="inlineStr">
        <is>
          <t>Investering i materielle anlægsaktiver</t>
        </is>
      </c>
      <c r="B19" s="16" t="n">
        <v>33768</v>
      </c>
      <c r="C19" s="16" t="n">
        <v>30044</v>
      </c>
      <c r="D19" s="16" t="n">
        <v>73030</v>
      </c>
      <c r="E19" s="16" t="n">
        <v>54403</v>
      </c>
      <c r="F19" s="16" t="n">
        <v>13894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Odense Marcipan A/S (CVR 15233699)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5479</v>
      </c>
      <c r="C4" s="16" t="n">
        <v>4993</v>
      </c>
      <c r="D4" s="16" t="n">
        <v>4507</v>
      </c>
      <c r="E4" s="16" t="n">
        <v>4021</v>
      </c>
      <c r="F4" s="16" t="n">
        <v>3535</v>
      </c>
    </row>
    <row r="5">
      <c r="A5" s="17" t="inlineStr">
        <is>
          <t>Immaterielle anlægsaktiver</t>
        </is>
      </c>
      <c r="B5" s="16" t="n">
        <v>5479</v>
      </c>
      <c r="C5" s="16" t="n">
        <v>4993</v>
      </c>
      <c r="D5" s="16" t="n">
        <v>4507</v>
      </c>
      <c r="E5" s="16" t="n">
        <v>30771</v>
      </c>
      <c r="F5" s="16" t="n">
        <v>27038</v>
      </c>
    </row>
    <row r="6">
      <c r="A6" s="15" t="inlineStr">
        <is>
          <t>Grunde og bygninger</t>
        </is>
      </c>
      <c r="B6" s="16" t="n">
        <v>61587</v>
      </c>
      <c r="C6" s="16" t="n">
        <v>60076</v>
      </c>
      <c r="D6" s="16" t="n">
        <v>63529</v>
      </c>
      <c r="E6" s="16" t="n">
        <v>78879</v>
      </c>
      <c r="F6" s="16" t="n">
        <v>72625</v>
      </c>
    </row>
    <row r="7">
      <c r="A7" s="15" t="inlineStr">
        <is>
          <t>Produktionsanlæg og maskiner</t>
        </is>
      </c>
      <c r="B7" s="16" t="n">
        <v>48891</v>
      </c>
      <c r="C7" s="16" t="n">
        <v>60176</v>
      </c>
      <c r="D7" s="16" t="n">
        <v>58181</v>
      </c>
      <c r="E7" s="16" t="n">
        <v>86231</v>
      </c>
      <c r="F7" s="16" t="n">
        <v>86817</v>
      </c>
    </row>
    <row r="8">
      <c r="A8" s="15" t="inlineStr">
        <is>
          <t>Driftsmateriel og inventar</t>
        </is>
      </c>
      <c r="B8" s="16" t="n">
        <v>6563</v>
      </c>
      <c r="C8" s="16" t="n">
        <v>9780</v>
      </c>
      <c r="D8" s="16" t="n">
        <v>7805</v>
      </c>
      <c r="E8" s="16" t="n">
        <v>14604</v>
      </c>
      <c r="F8" s="16" t="n">
        <v>16884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15288</v>
      </c>
      <c r="C10" s="16" t="n">
        <v>11724</v>
      </c>
      <c r="D10" s="16" t="n">
        <v>63073</v>
      </c>
      <c r="E10" s="16" t="n">
        <v>12350</v>
      </c>
      <c r="F10" s="16" t="n">
        <v>3018</v>
      </c>
    </row>
    <row r="11">
      <c r="A11" s="17" t="inlineStr">
        <is>
          <t>Materielle anlægsaktiver</t>
        </is>
      </c>
      <c r="B11" s="16" t="n">
        <v>132329</v>
      </c>
      <c r="C11" s="16" t="n">
        <v>141756</v>
      </c>
      <c r="D11" s="16" t="n">
        <v>192588</v>
      </c>
      <c r="E11" s="16" t="n">
        <v>192064</v>
      </c>
      <c r="F11" s="16" t="n">
        <v>179344</v>
      </c>
    </row>
    <row r="12">
      <c r="A12" s="15" t="inlineStr">
        <is>
          <t>Kapitalandele, dattervirksomheder</t>
        </is>
      </c>
      <c r="B12" s="16" t="n">
        <v>26436</v>
      </c>
      <c r="C12" s="16" t="n">
        <v>27115</v>
      </c>
      <c r="D12" s="16" t="n">
        <v>27276</v>
      </c>
      <c r="E12" s="16" t="n">
        <v>26668</v>
      </c>
      <c r="F12" s="16" t="n">
        <v>29037</v>
      </c>
    </row>
    <row r="13">
      <c r="A13" s="15" t="inlineStr">
        <is>
          <t>Deposita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Finansielle anlægsaktiver</t>
        </is>
      </c>
      <c r="B14" s="16" t="n">
        <v>26436</v>
      </c>
      <c r="C14" s="16" t="n">
        <v>27115</v>
      </c>
      <c r="D14" s="16" t="n">
        <v>27276</v>
      </c>
      <c r="E14" s="16" t="n">
        <v>26668</v>
      </c>
      <c r="F14" s="16" t="n">
        <v>29037</v>
      </c>
    </row>
    <row r="15">
      <c r="A15" s="17" t="inlineStr">
        <is>
          <t>Anlægsaktiver</t>
        </is>
      </c>
      <c r="B15" s="16" t="n">
        <v>164244</v>
      </c>
      <c r="C15" s="16" t="n">
        <v>173864</v>
      </c>
      <c r="D15" s="16" t="n">
        <v>224371</v>
      </c>
      <c r="E15" s="16" t="n">
        <v>249503</v>
      </c>
      <c r="F15" s="16" t="n">
        <v>235419</v>
      </c>
    </row>
    <row r="16">
      <c r="A16" s="15" t="inlineStr">
        <is>
          <t>Råvarer og hjælpematerialer</t>
        </is>
      </c>
      <c r="B16" s="16" t="n">
        <v>45103</v>
      </c>
      <c r="C16" s="16" t="n">
        <v>62430</v>
      </c>
      <c r="D16" s="16" t="n">
        <v>51127</v>
      </c>
      <c r="E16" s="16" t="n">
        <v>45959</v>
      </c>
      <c r="F16" s="16" t="n">
        <v>57397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22181</v>
      </c>
      <c r="C18" s="16" t="n">
        <v>25131</v>
      </c>
      <c r="D18" s="16" t="n">
        <v>30832</v>
      </c>
      <c r="E18" s="16" t="n">
        <v>39344</v>
      </c>
      <c r="F18" s="16" t="n">
        <v>40551</v>
      </c>
    </row>
    <row r="19">
      <c r="A19" s="17" t="inlineStr">
        <is>
          <t>Varebeholdninger</t>
        </is>
      </c>
      <c r="B19" s="16" t="n">
        <v>67284</v>
      </c>
      <c r="C19" s="16" t="n">
        <v>87561</v>
      </c>
      <c r="D19" s="16" t="n">
        <v>81959</v>
      </c>
      <c r="E19" s="16" t="n">
        <v>85303</v>
      </c>
      <c r="F19" s="16" t="n">
        <v>97948</v>
      </c>
    </row>
    <row r="20">
      <c r="A20" s="15" t="inlineStr">
        <is>
          <t>Tilgodehavender fra salg og tjenesteydelser</t>
        </is>
      </c>
      <c r="B20" s="16" t="n">
        <v>114245</v>
      </c>
      <c r="C20" s="16" t="n">
        <v>112091</v>
      </c>
      <c r="D20" s="16" t="n">
        <v>124147</v>
      </c>
      <c r="E20" s="16" t="n">
        <v>131233</v>
      </c>
      <c r="F20" s="16" t="n">
        <v>130233</v>
      </c>
    </row>
    <row r="21">
      <c r="A21" s="15" t="inlineStr">
        <is>
          <t>Tilgodehavender hos tilknyttede virksomheder</t>
        </is>
      </c>
      <c r="B21" s="16" t="n">
        <v>32517</v>
      </c>
      <c r="C21" s="16" t="n">
        <v>33390</v>
      </c>
      <c r="D21" s="16" t="n">
        <v>27049</v>
      </c>
      <c r="E21" s="16" t="n">
        <v>33162</v>
      </c>
      <c r="F21" s="16" t="n">
        <v>52514</v>
      </c>
    </row>
    <row r="22">
      <c r="A22" s="15" t="inlineStr">
        <is>
          <t>Andre tilgodehavender</t>
        </is>
      </c>
      <c r="B22" s="16" t="n">
        <v>1862</v>
      </c>
      <c r="C22" s="16" t="n">
        <v>8712</v>
      </c>
      <c r="D22" s="16" t="n">
        <v>266</v>
      </c>
      <c r="E22" s="16" t="n">
        <v>3241</v>
      </c>
      <c r="F22" s="16" t="n">
        <v>4635</v>
      </c>
    </row>
    <row r="23">
      <c r="A23" s="15" t="inlineStr">
        <is>
          <t>Periodeafgrænsningsposter (aktiver)</t>
        </is>
      </c>
      <c r="B23" s="16" t="n">
        <v>978</v>
      </c>
      <c r="C23" s="16" t="n">
        <v>1271</v>
      </c>
      <c r="D23" s="16" t="n">
        <v>570</v>
      </c>
      <c r="E23" s="16" t="n">
        <v>768</v>
      </c>
      <c r="F23" s="16" t="n">
        <v>1392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0</v>
      </c>
      <c r="C26" s="16" t="n">
        <v>0</v>
      </c>
      <c r="D26" s="16" t="n"/>
      <c r="E26" s="16" t="n">
        <v>7828</v>
      </c>
      <c r="F26" s="16" t="n">
        <v>0</v>
      </c>
    </row>
    <row r="27">
      <c r="A27" s="17" t="inlineStr">
        <is>
          <t>Tilgodehavender</t>
        </is>
      </c>
      <c r="B27" s="16" t="n">
        <v>149602</v>
      </c>
      <c r="C27" s="16" t="n">
        <v>155464</v>
      </c>
      <c r="D27" s="16" t="n">
        <v>152032</v>
      </c>
      <c r="E27" s="16" t="n">
        <v>176232</v>
      </c>
      <c r="F27" s="16" t="n">
        <v>188774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10</v>
      </c>
      <c r="C29" s="16" t="n">
        <v>18</v>
      </c>
      <c r="D29" s="16" t="n">
        <v>71</v>
      </c>
      <c r="E29" s="16" t="n">
        <v>17</v>
      </c>
      <c r="F29" s="16" t="n">
        <v>21</v>
      </c>
    </row>
    <row r="30">
      <c r="A30" s="17" t="inlineStr">
        <is>
          <t>Omsætningsaktiver</t>
        </is>
      </c>
      <c r="B30" s="16" t="n">
        <v>216896</v>
      </c>
      <c r="C30" s="16" t="n">
        <v>243043</v>
      </c>
      <c r="D30" s="16" t="n">
        <v>234062</v>
      </c>
      <c r="E30" s="16" t="n">
        <v>261552</v>
      </c>
      <c r="F30" s="16" t="n">
        <v>286743</v>
      </c>
    </row>
    <row r="31">
      <c r="A31" s="17" t="inlineStr">
        <is>
          <t>Aktiver</t>
        </is>
      </c>
      <c r="B31" s="16" t="n">
        <v>381140</v>
      </c>
      <c r="C31" s="16" t="n">
        <v>416907</v>
      </c>
      <c r="D31" s="16" t="n">
        <v>458433</v>
      </c>
      <c r="E31" s="16" t="n">
        <v>511055</v>
      </c>
      <c r="F31" s="16" t="n">
        <v>522162</v>
      </c>
    </row>
    <row r="32">
      <c r="A32" s="15" t="inlineStr">
        <is>
          <t>Selskabskapital</t>
        </is>
      </c>
      <c r="B32" s="16" t="n">
        <v>32000</v>
      </c>
      <c r="C32" s="16" t="n">
        <v>32000</v>
      </c>
      <c r="D32" s="16" t="n">
        <v>32000</v>
      </c>
      <c r="E32" s="16" t="n">
        <v>32000</v>
      </c>
      <c r="F32" s="16" t="n">
        <v>32000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>
        <v>5973</v>
      </c>
      <c r="E33" s="16" t="n">
        <v>6214</v>
      </c>
      <c r="F33" s="16" t="n">
        <v>6935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>
        <v>378</v>
      </c>
      <c r="C35" s="16" t="n">
        <v>-173</v>
      </c>
      <c r="D35" s="16" t="n">
        <v>-200</v>
      </c>
      <c r="E35" s="16" t="n">
        <v>760</v>
      </c>
      <c r="F35" s="16" t="n">
        <v>-126</v>
      </c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68264</v>
      </c>
      <c r="C37" s="16" t="n">
        <v>55166</v>
      </c>
      <c r="D37" s="16" t="n">
        <v>79631</v>
      </c>
      <c r="E37" s="16" t="n">
        <v>87406</v>
      </c>
      <c r="F37" s="16" t="n">
        <v>91020</v>
      </c>
    </row>
    <row r="38">
      <c r="A38" s="17" t="inlineStr">
        <is>
          <t>Egenkapital i alt</t>
        </is>
      </c>
      <c r="B38" s="16" t="n">
        <v>175651</v>
      </c>
      <c r="C38" s="16" t="n">
        <v>149780</v>
      </c>
      <c r="D38" s="16" t="n">
        <v>140147</v>
      </c>
      <c r="E38" s="16" t="n">
        <v>158274</v>
      </c>
      <c r="F38" s="16" t="n">
        <v>168371</v>
      </c>
    </row>
    <row r="39">
      <c r="A39" s="15" t="inlineStr">
        <is>
          <t>Hensættelse til udskudt skat</t>
        </is>
      </c>
      <c r="B39" s="16" t="n">
        <v>5892</v>
      </c>
      <c r="C39" s="16" t="n">
        <v>6508</v>
      </c>
      <c r="D39" s="16" t="n">
        <v>6626</v>
      </c>
      <c r="E39" s="16" t="n">
        <v>14285</v>
      </c>
      <c r="F39" s="16" t="n">
        <v>13859</v>
      </c>
    </row>
    <row r="40">
      <c r="A40" s="17" t="inlineStr">
        <is>
          <t>Hensatte forpligtelser</t>
        </is>
      </c>
      <c r="B40" s="16" t="n">
        <v>6245</v>
      </c>
      <c r="C40" s="16" t="n">
        <v>6861</v>
      </c>
      <c r="D40" s="16" t="n">
        <v>6626</v>
      </c>
      <c r="E40" s="16" t="n">
        <v>14285</v>
      </c>
      <c r="F40" s="16" t="n">
        <v>13859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(langfristet)</t>
        </is>
      </c>
      <c r="B44" s="16" t="n">
        <v>7118</v>
      </c>
      <c r="C44" s="16" t="n">
        <v>7307</v>
      </c>
      <c r="D44" s="16" t="n">
        <v>134184</v>
      </c>
      <c r="E44" s="16" t="n">
        <v>229298</v>
      </c>
      <c r="F44" s="16" t="n">
        <v>223349</v>
      </c>
    </row>
    <row r="45">
      <c r="A45" s="17" t="inlineStr">
        <is>
          <t>Langfristede gældsforpligtelser</t>
        </is>
      </c>
      <c r="B45" s="16" t="n">
        <v>82769</v>
      </c>
      <c r="C45" s="16" t="n">
        <v>84353</v>
      </c>
      <c r="D45" s="16" t="n">
        <v>141746</v>
      </c>
      <c r="E45" s="16" t="n">
        <v>237091</v>
      </c>
      <c r="F45" s="16" t="n">
        <v>230965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45927</v>
      </c>
      <c r="C50" s="16" t="n">
        <v>48567</v>
      </c>
      <c r="D50" s="16" t="n">
        <v>50566</v>
      </c>
      <c r="E50" s="16" t="n">
        <v>60957</v>
      </c>
      <c r="F50" s="16" t="n">
        <v>65668</v>
      </c>
    </row>
    <row r="51">
      <c r="A51" s="15" t="inlineStr">
        <is>
          <t>Gæld til tilknyttede virksomheder</t>
        </is>
      </c>
      <c r="B51" s="16" t="n">
        <v>19391</v>
      </c>
      <c r="C51" s="16" t="n">
        <v>90988</v>
      </c>
      <c r="D51" s="16" t="n">
        <v>77867</v>
      </c>
      <c r="E51" s="16" t="n">
        <v>4310</v>
      </c>
      <c r="F51" s="16" t="n">
        <v>6051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3783</v>
      </c>
      <c r="C53" s="16" t="n">
        <v>4228</v>
      </c>
      <c r="D53" s="16" t="n">
        <v>453</v>
      </c>
      <c r="E53" s="16" t="n">
        <v>0</v>
      </c>
      <c r="F53" s="16" t="n">
        <v>1355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47374</v>
      </c>
      <c r="C55" s="16" t="n">
        <v>32130</v>
      </c>
      <c r="D55" s="16" t="n">
        <v>41028</v>
      </c>
      <c r="E55" s="16" t="n">
        <v>43931</v>
      </c>
      <c r="F55" s="16" t="n">
        <v>35893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116475</v>
      </c>
      <c r="C57" s="16" t="n">
        <v>175913</v>
      </c>
      <c r="D57" s="16" t="n">
        <v>169914</v>
      </c>
      <c r="E57" s="16" t="n">
        <v>101405</v>
      </c>
      <c r="F57" s="16" t="n">
        <v>108967</v>
      </c>
    </row>
    <row r="58">
      <c r="A58" s="17" t="inlineStr">
        <is>
          <t>Gældsforpligtelser</t>
        </is>
      </c>
      <c r="B58" s="16" t="n">
        <v>199244</v>
      </c>
      <c r="C58" s="16" t="n">
        <v>260266</v>
      </c>
      <c r="D58" s="16" t="n">
        <v>311660</v>
      </c>
      <c r="E58" s="16" t="n">
        <v>338496</v>
      </c>
      <c r="F58" s="16" t="n">
        <v>339932</v>
      </c>
    </row>
    <row r="59">
      <c r="A59" s="17" t="inlineStr">
        <is>
          <t>Passiver</t>
        </is>
      </c>
      <c r="B59" s="16" t="n">
        <v>381140</v>
      </c>
      <c r="C59" s="16" t="n">
        <v>416907</v>
      </c>
      <c r="D59" s="16" t="n">
        <v>458433</v>
      </c>
      <c r="E59" s="16" t="n">
        <v>511055</v>
      </c>
      <c r="F59" s="16" t="n">
        <v>522162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Odense Marcipan A/S (CVR 15233699) — Regnskabs- og nøgletal (CVR: 15233699)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'res_raw_15233699'!$F$2</f>
        <v/>
      </c>
      <c r="C5" s="24">
        <f>'res_raw_15233699'!$E$2</f>
        <v/>
      </c>
      <c r="D5" s="24">
        <f>'res_raw_15233699'!$D$2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-'res_raw_15233699'!$F$3</f>
        <v/>
      </c>
      <c r="C6" s="24">
        <f>-'res_raw_15233699'!$E$3</f>
        <v/>
      </c>
      <c r="D6" s="24">
        <f>-'res_raw_15233699'!$D$3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IF(ABS((SUM(B5:B6))-'res_raw_15233699'!$F$4)&lt;=2,SUM(B5:B6),'res_raw_15233699'!$F$4)</f>
        <v/>
      </c>
      <c r="C7" s="27">
        <f>IF(ABS((SUM(C5:C6))-'res_raw_15233699'!$E$4)&lt;=2,SUM(C5:C6),'res_raw_15233699'!$E$4)</f>
        <v/>
      </c>
      <c r="D7" s="27">
        <f>IF(ABS((SUM(D5:D6))-'res_raw_15233699'!$D$4)&lt;=2,SUM(D5:D6),'res_raw_15233699'!$D$4)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-'res_raw_15233699'!$F$5</f>
        <v/>
      </c>
      <c r="C8" s="24">
        <f>-'res_raw_15233699'!$E$5</f>
        <v/>
      </c>
      <c r="D8" s="24">
        <f>-'res_raw_15233699'!$D$5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-'res_raw_15233699'!$F$6</f>
        <v/>
      </c>
      <c r="C9" s="24">
        <f>-'res_raw_15233699'!$E$6</f>
        <v/>
      </c>
      <c r="D9" s="24">
        <f>-'res_raw_15233699'!$D$6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-'res_raw_15233699'!$F$7</f>
        <v/>
      </c>
      <c r="C10" s="24">
        <f>-'res_raw_15233699'!$E$7</f>
        <v/>
      </c>
      <c r="D10" s="24">
        <f>-'res_raw_15233699'!$D$7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'res_raw_15233699'!$F$8</f>
        <v/>
      </c>
      <c r="C11" s="24">
        <f>'res_raw_15233699'!$E$8</f>
        <v/>
      </c>
      <c r="D11" s="24">
        <f>'res_raw_15233699'!$D$8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-'res_raw_15233699'!$F$9</f>
        <v/>
      </c>
      <c r="C12" s="27">
        <f>-'res_raw_15233699'!$E$9</f>
        <v/>
      </c>
      <c r="D12" s="27">
        <f>-'res_raw_15233699'!$D$9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IF(ABS((SUM(B7:B12))-'res_raw_15233699'!$F$10)&lt;=2,SUM(B7:B12),'res_raw_15233699'!$F$10)</f>
        <v/>
      </c>
      <c r="C13" s="30">
        <f>IF(ABS((SUM(C7:C12))-'res_raw_15233699'!$E$10)&lt;=2,SUM(C7:C12),'res_raw_15233699'!$E$10)</f>
        <v/>
      </c>
      <c r="D13" s="30">
        <f>IF(ABS((SUM(D7:D12))-'res_raw_15233699'!$D$10)&lt;=2,SUM(D7:D12),'res_raw_15233699'!$D$10)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N('res_raw_15233699'!$F$11)+N('res_raw_15233699'!$F$12)</f>
        <v/>
      </c>
      <c r="C14" s="24">
        <f>N('res_raw_15233699'!$E$11)+N('res_raw_15233699'!$E$12)</f>
        <v/>
      </c>
      <c r="D14" s="24">
        <f>N('res_raw_15233699'!$D$11)+N('res_raw_15233699'!$D$12)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-'res_raw_15233699'!$F$13</f>
        <v/>
      </c>
      <c r="C15" s="27">
        <f>-'res_raw_15233699'!$E$13</f>
        <v/>
      </c>
      <c r="D15" s="27">
        <f>-'res_raw_15233699'!$D$13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IF(ABS((SUM(B13:B15))-'res_raw_15233699'!$F$15)&lt;=2,SUM(B13:B15),'res_raw_15233699'!$F$15)</f>
        <v/>
      </c>
      <c r="C16" s="30">
        <f>IF(ABS((SUM(C13:C15))-'res_raw_15233699'!$E$15)&lt;=2,SUM(C13:C15),'res_raw_15233699'!$E$15)</f>
        <v/>
      </c>
      <c r="D16" s="30">
        <f>IF(ABS((SUM(D13:D15))-'res_raw_15233699'!$D$15)&lt;=2,SUM(D13:D15),'res_raw_15233699'!$D$15)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'balance_raw_15233699'!$F$15</f>
        <v/>
      </c>
      <c r="C19" s="24">
        <f>'balance_raw_15233699'!$E$15</f>
        <v/>
      </c>
      <c r="D19" s="24">
        <f>'balance_raw_15233699'!$D$15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'balance_raw_15233699'!$F$30</f>
        <v/>
      </c>
      <c r="C20" s="24">
        <f>'balance_raw_15233699'!$E$30</f>
        <v/>
      </c>
      <c r="D20" s="24">
        <f>'balance_raw_15233699'!$D$30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'balance_raw_15233699'!$F$38</f>
        <v/>
      </c>
      <c r="C23" s="24">
        <f>'balance_raw_15233699'!$E$38</f>
        <v/>
      </c>
      <c r="D23" s="24">
        <f>'balance_raw_15233699'!$D$38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'balance_raw_15233699'!$F$59-'balance_raw_15233699'!$F$38</f>
        <v/>
      </c>
      <c r="C24" s="24">
        <f>'balance_raw_15233699'!$E$59-'balance_raw_15233699'!$E$38</f>
        <v/>
      </c>
      <c r="D24" s="24">
        <f>'balance_raw_15233699'!$D$59-'balance_raw_15233699'!$D$38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'balance_raw_15233699'!$F$19</f>
        <v/>
      </c>
      <c r="C28" s="24">
        <f>'balance_raw_15233699'!$E$19</f>
        <v/>
      </c>
      <c r="D28" s="24">
        <f>'balance_raw_15233699'!$D$19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'balance_raw_15233699'!$F$20</f>
        <v/>
      </c>
      <c r="C29" s="24">
        <f>'balance_raw_15233699'!$E$20</f>
        <v/>
      </c>
      <c r="D29" s="24">
        <f>'balance_raw_15233699'!$D$20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'balance_raw_15233699'!$F$57</f>
        <v/>
      </c>
      <c r="C30" s="24">
        <f>'balance_raw_15233699'!$E$57</f>
        <v/>
      </c>
      <c r="D30" s="24">
        <f>'balance_raw_15233699'!$D$57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IF('balance_raw_15233699'!$F$31="","—",IF(ABS(B21-'balance_raw_15233699'!$F$31)&lt;=1,"✓ OK","❌ "&amp;TEXT(B21-'balance_raw_15233699'!$F$31,"+#,##0;-#,##0")&amp;" t.kr."))</f>
        <v/>
      </c>
      <c r="C62" s="31">
        <f>IF('balance_raw_15233699'!$E$31="","—",IF(ABS(C21-'balance_raw_15233699'!$E$31)&lt;=1,"✓ OK","❌ "&amp;TEXT(C21-'balance_raw_15233699'!$E$31,"+#,##0;-#,##0")&amp;" t.kr."))</f>
        <v/>
      </c>
      <c r="D62" s="31">
        <f>IF('balance_raw_15233699'!$D$31="","—",IF(ABS(D21-'balance_raw_15233699'!$D$31)&lt;=1,"✓ OK","❌ "&amp;TEXT(D21-'balance_raw_15233699'!$D$31,"+#,##0;-#,##0")&amp;"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IF('balance_raw_15233699'!$F$59="","—",IF(ABS(B25-'balance_raw_15233699'!$F$59)&lt;=1,"✓ OK","❌ "&amp;TEXT(B25-'balance_raw_15233699'!$F$59,"+#,##0;-#,##0")&amp;" t.kr."))</f>
        <v/>
      </c>
      <c r="C63" s="31">
        <f>IF('balance_raw_15233699'!$E$59="","—",IF(ABS(C25-'balance_raw_15233699'!$E$59)&lt;=1,"✓ OK","❌ "&amp;TEXT(C25-'balance_raw_15233699'!$E$59,"+#,##0;-#,##0")&amp;" t.kr."))</f>
        <v/>
      </c>
      <c r="D63" s="31">
        <f>IF('balance_raw_15233699'!$D$59="","—",IF(ABS(D25-'balance_raw_15233699'!$D$59)&lt;=1,"✓ OK","❌ "&amp;TEXT(D25-'balance_raw_15233699'!$D$59,"+#,##0;-#,##0")&amp;"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IF('res_raw_15233699'!$F$4="","—",IF(ABS(B7-'res_raw_15233699'!$F$4)&lt;=1,"✓ OK","❌ "&amp;TEXT(B7-'res_raw_15233699'!$F$4,"+#,##0;-#,##0")&amp;" t.kr."))</f>
        <v/>
      </c>
      <c r="C65" s="31">
        <f>IF('res_raw_15233699'!$E$4="","—",IF(ABS(C7-'res_raw_15233699'!$E$4)&lt;=1,"✓ OK","❌ "&amp;TEXT(C7-'res_raw_15233699'!$E$4,"+#,##0;-#,##0")&amp;" t.kr."))</f>
        <v/>
      </c>
      <c r="D65" s="31">
        <f>IF('res_raw_15233699'!$D$4="","—",IF(ABS(D7-'res_raw_15233699'!$D$4)&lt;=1,"✓ OK","❌ "&amp;TEXT(D7-'res_raw_15233699'!$D$4,"+#,##0;-#,##0")&amp;"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IF('res_raw_15233699'!$F$10="","—",IF(ABS(B13-'res_raw_15233699'!$F$10)&lt;=1,"✓ OK","❌ "&amp;TEXT(B13-'res_raw_15233699'!$F$10,"+#,##0;-#,##0")&amp;" t.kr."))</f>
        <v/>
      </c>
      <c r="C66" s="31">
        <f>IF('res_raw_15233699'!$E$10="","—",IF(ABS(C13-'res_raw_15233699'!$E$10)&lt;=1,"✓ OK","❌ "&amp;TEXT(C13-'res_raw_15233699'!$E$10,"+#,##0;-#,##0")&amp;" t.kr."))</f>
        <v/>
      </c>
      <c r="D66" s="31">
        <f>IF('res_raw_15233699'!$D$10="","—",IF(ABS(D13-'res_raw_15233699'!$D$10)&lt;=1,"✓ OK","❌ "&amp;TEXT(D13-'res_raw_15233699'!$D$10,"+#,##0;-#,##0")&amp;"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IF('res_raw_15233699'!$F$15="","—",IF(ABS(B16-'res_raw_15233699'!$F$15)&lt;=1,"✓ OK","❌ "&amp;TEXT(B16-'res_raw_15233699'!$F$15,"+#,##0;-#,##0")&amp;" t.kr."))</f>
        <v/>
      </c>
      <c r="C67" s="31">
        <f>IF('res_raw_15233699'!$E$15="","—",IF(ABS(C16-'res_raw_15233699'!$E$15)&lt;=1,"✓ OK","❌ "&amp;TEXT(C16-'res_raw_15233699'!$E$15,"+#,##0;-#,##0")&amp;" t.kr."))</f>
        <v/>
      </c>
      <c r="D67" s="31">
        <f>IF('res_raw_15233699'!$D$15="","—",IF(ABS(D16-'res_raw_15233699'!$D$15)&lt;=1,"✓ OK","❌ "&amp;TEXT(D16-'res_raw_15233699'!$D$15,"+#,##0;-#,##0")&amp;"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Odense Marcipan A/S (CVR 15233699)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fsa:Dividend</t>
        </is>
      </c>
      <c r="C3" s="36" t="inlineStr">
        <is>
          <t>fsa:Dividend</t>
        </is>
      </c>
      <c r="D3" s="37" t="n">
        <v>0</v>
      </c>
      <c r="E3" s="37" t="n">
        <v>-75000</v>
      </c>
      <c r="F3" s="37" t="n">
        <v>65000</v>
      </c>
      <c r="G3" s="37" t="n">
        <v>25000</v>
      </c>
      <c r="H3" s="37" t="n">
        <v>35000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fsa:EmployeeExpenseAdministrativeExpenses</t>
        </is>
      </c>
      <c r="C4" s="39" t="inlineStr">
        <is>
          <t>fsa:EmployeeExpenseAdministrativeExpenses</t>
        </is>
      </c>
      <c r="D4" s="40" t="n"/>
      <c r="E4" s="40" t="n"/>
      <c r="F4" s="40" t="n"/>
      <c r="G4" s="40" t="n"/>
      <c r="H4" s="40" t="n">
        <v>17609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fsa:EmployeeExpenseDistributionCosts</t>
        </is>
      </c>
      <c r="C5" s="36" t="inlineStr">
        <is>
          <t>fsa:EmployeeExpenseDistributionCosts</t>
        </is>
      </c>
      <c r="D5" s="37" t="n"/>
      <c r="E5" s="37" t="n"/>
      <c r="F5" s="37" t="n"/>
      <c r="G5" s="37" t="n"/>
      <c r="H5" s="37" t="n">
        <v>22063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fsa:ProvisionsForInvestmentsInGroupEnterprises</t>
        </is>
      </c>
      <c r="C6" s="39" t="inlineStr">
        <is>
          <t>fsa:ProvisionsForInvestmentsInGroupEnterprises</t>
        </is>
      </c>
      <c r="D6" s="40" t="n">
        <v>353</v>
      </c>
      <c r="E6" s="40" t="n">
        <v>353</v>
      </c>
      <c r="F6" s="40" t="n">
        <v>0</v>
      </c>
      <c r="G6" s="40" t="n"/>
      <c r="H6" s="40" t="n"/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fsa:ReserveForCurrentValueAdjustmentsOfCurrencyGains</t>
        </is>
      </c>
      <c r="C7" s="36" t="inlineStr">
        <is>
          <t>fsa:ReserveForCurrentValueAdjustmentsOfCurrencyGains</t>
        </is>
      </c>
      <c r="D7" s="37" t="n">
        <v>9</v>
      </c>
      <c r="E7" s="37" t="n">
        <v>-2213</v>
      </c>
      <c r="F7" s="37" t="n">
        <v>-2257</v>
      </c>
      <c r="G7" s="37" t="n">
        <v>-3106</v>
      </c>
      <c r="H7" s="37" t="n">
        <v>-1458</v>
      </c>
      <c r="I7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2026-10-01T22:19:05Z</dcterms:created>
  <dcterms:modified xmlns:dcterms="http://purl.org/dc/terms/" xmlns:xsi="http://www.w3.org/2001/XMLSchema-instance" xsi:type="dcterms:W3CDTF">2026-10-01T22:19:06Z</dcterms:modified>
</cp:coreProperties>
</file>