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DANÆG A/S (CVR 15013583)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 (af bruttofortjeneste), %</t>
        </is>
      </c>
      <c r="B87" s="14">
        <f>IFERROR(($B$13+$B$15+$B$14)/$B$8*100,"")</f>
        <v/>
      </c>
      <c r="C87" s="14">
        <f>IFERROR(($C$13+$C$15+$C$14)/$C$8*100,"")</f>
        <v/>
      </c>
      <c r="D87" s="14">
        <f>IFERROR(($D$13+$D$15+$D$14)/$D$8*100,"")</f>
        <v/>
      </c>
      <c r="E87" s="14">
        <f>IFERROR(($E$13+$E$15+$E$14)/$E$8*100,"")</f>
        <v/>
      </c>
      <c r="F87" s="14">
        <f>IFERROR(($F$13+$F$15+$F$14)/$F$8*100,"")</f>
        <v/>
      </c>
    </row>
    <row r="88" ht="16" customHeight="1">
      <c r="A88" s="4" t="inlineStr">
        <is>
          <t>Aktivernes omsætningshastighed (af bruttofortjeneste), gange</t>
        </is>
      </c>
      <c r="B88" s="13">
        <f>IFERROR($B$8/$B$49,"")</f>
        <v/>
      </c>
      <c r="C88" s="13">
        <f>IFERROR($C$8/$C$49,"")</f>
        <v/>
      </c>
      <c r="D88" s="13">
        <f>IFERROR($D$8/$D$49,"")</f>
        <v/>
      </c>
      <c r="E88" s="13">
        <f>IFERROR($E$8/$E$49,"")</f>
        <v/>
      </c>
      <c r="F88" s="13">
        <f>IFERROR($F$8/$F$49,"")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  <row r="98">
      <c r="A98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>
        <v>-672</v>
      </c>
      <c r="D15" s="16" t="n">
        <v>123</v>
      </c>
      <c r="E15" s="16" t="n">
        <v>235</v>
      </c>
      <c r="F15" s="16" t="n">
        <v>-327</v>
      </c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DANÆG A/S (CVR 15013583)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DANÆG A/S (CVR 15013583) — 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IF(ABS((SUM(B5:B8))-'res_raw_15013583'!$F$6)&lt;=2,SUM(B5:B8),'res_raw_15013583'!$F$6)</f>
        <v/>
      </c>
      <c r="C9" s="27">
        <f>IF(ABS((SUM(C5:C8))-'res_raw_15013583'!$E$6)&lt;=2,SUM(C5:C8),'res_raw_15013583'!$E$6)</f>
        <v/>
      </c>
      <c r="D9" s="27">
        <f>IF(ABS((SUM(D5:D8))-'res_raw_15013583'!$D$6)&lt;=2,SUM(D5:D8),'res_raw_15013583'!$D$6)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IF(ABS((SUM(B9:B12))-'res_raw_15013583'!$F$11)&lt;=2,SUM(B9:B12),'res_raw_15013583'!$F$11)</f>
        <v/>
      </c>
      <c r="C13" s="27">
        <f>IF(ABS((SUM(C9:C12))-'res_raw_15013583'!$E$11)&lt;=2,SUM(C9:C12),'res_raw_15013583'!$E$11)</f>
        <v/>
      </c>
      <c r="D13" s="27">
        <f>IF(ABS((SUM(D9:D12))-'res_raw_15013583'!$D$11)&lt;=2,SUM(D9:D12),'res_raw_15013583'!$D$11)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IF(ABS((SUM(B13:B15))-'res_raw_15013583'!$F$16)&lt;=2,SUM(B13:B15),'res_raw_15013583'!$F$16)</f>
        <v/>
      </c>
      <c r="C16" s="27">
        <f>IF(ABS((SUM(C13:C15))-'res_raw_15013583'!$E$16)&lt;=2,SUM(C13:C15),'res_raw_15013583'!$E$16)</f>
        <v/>
      </c>
      <c r="D16" s="27">
        <f>IF(ABS((SUM(D13:D15))-'res_raw_15013583'!$D$16)&lt;=2,SUM(D13:D15),'res_raw_15013583'!$D$16)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2026-10-02T21:55:39Z</dcterms:created>
  <dcterms:modified xmlns:dcterms="http://purl.org/dc/terms/" xmlns:xsi="http://www.w3.org/2001/XMLSchema-instance" xsi:type="dcterms:W3CDTF">2026-10-02T21:55:40Z</dcterms:modified>
</cp:coreProperties>
</file>