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 (af bruttofortjeneste), %</t>
        </is>
      </c>
      <c r="B82" s="14">
        <f>IFERROR(($B$13+$B$15+$B$14)/$B$8*100,"")</f>
        <v/>
      </c>
      <c r="C82" s="14">
        <f>IFERROR(($C$13+$C$15+$C$14)/$C$8*100,"")</f>
        <v/>
      </c>
      <c r="D82" s="14">
        <f>IFERROR(($D$13+$D$15+$D$14)/$D$8*100,"")</f>
        <v/>
      </c>
      <c r="E82" s="14">
        <f>IFERROR(($E$13+$E$15+$E$14)/$E$8*100,"")</f>
        <v/>
      </c>
      <c r="F82" s="14">
        <f>IFERROR(($F$13+$F$15+$F$14)/$F$8*100,"")</f>
        <v/>
      </c>
    </row>
    <row r="83" ht="16" customHeight="1">
      <c r="A83" s="7" t="inlineStr">
        <is>
          <t>Aktivernes omsætningshastighed (af bruttofortjeneste), gange</t>
        </is>
      </c>
      <c r="B83" s="13">
        <f>IFERROR($B$8/$B$44,"")</f>
        <v/>
      </c>
      <c r="C83" s="13">
        <f>IFERROR($C$8/$C$44,"")</f>
        <v/>
      </c>
      <c r="D83" s="13">
        <f>IFERROR($D$8/$D$44,"")</f>
        <v/>
      </c>
      <c r="E83" s="13">
        <f>IFERROR($E$8/$E$44,"")</f>
        <v/>
      </c>
      <c r="F83" s="13">
        <f>IFERROR($F$8/$F$44,"")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IF(COUNT('res_raw_11563392'!$F$2,'res_raw_11563392'!$F$3,'res_raw_11563392'!$F$4,'res_raw_11563392'!$F$5)=0,'res_raw_11563392'!$F$6,SUM(B5:B8))</f>
        <v/>
      </c>
      <c r="C9" s="27">
        <f>IF(COUNT('res_raw_11563392'!$E$2,'res_raw_11563392'!$E$3,'res_raw_11563392'!$E$4,'res_raw_11563392'!$E$5)=0,'res_raw_11563392'!$E$6,SUM(C5:C8))</f>
        <v/>
      </c>
      <c r="D9" s="27">
        <f>IF(COUNT('res_raw_11563392'!$D$2,'res_raw_11563392'!$D$3,'res_raw_11563392'!$D$4,'res_raw_11563392'!$D$5)=0,'res_raw_11563392'!$D$6,SUM(D5:D8))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2026-09-27T21:16:32Z</dcterms:created>
  <dcterms:modified xmlns:dcterms="http://purl.org/dc/terms/" xmlns:xsi="http://www.w3.org/2001/XMLSchema-instance" xsi:type="dcterms:W3CDTF">2026-09-27T21:16:32Z</dcterms:modified>
</cp:coreProperties>
</file>