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pengestrom_raw_17881248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Molslinjen A/S (CVR 17881248) — Regnskabsanalyse – Resultatopgørelse &amp; Balance (t.kr.) · Klasse C-stor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2021</v>
      </c>
      <c r="C77" s="3" t="n">
        <v>2022</v>
      </c>
      <c r="D77" s="3" t="n">
        <v>2023</v>
      </c>
      <c r="E77" s="3" t="n">
        <v>2024</v>
      </c>
      <c r="F77" s="3" t="n">
        <v>2025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2021</v>
      </c>
      <c r="C81" s="3" t="n">
        <v>2022</v>
      </c>
      <c r="D81" s="3" t="n">
        <v>2023</v>
      </c>
      <c r="E81" s="3" t="n">
        <v>2024</v>
      </c>
      <c r="F81" s="3" t="n">
        <v>2025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  <row r="94">
      <c r="A94" s="15" t="inlineStr">
        <is>
          <t>PENGESTRØMSOPGØRELSE t.kr.</t>
        </is>
      </c>
    </row>
    <row r="95">
      <c r="A95" s="16" t="inlineStr">
        <is>
          <t>Pengestrømme fra driftsaktivitet</t>
        </is>
      </c>
      <c r="B95" s="17">
        <f>'pengestrom_raw_17881248'!$B$2</f>
        <v/>
      </c>
      <c r="C95" s="17">
        <f>'pengestrom_raw_17881248'!$C$2</f>
        <v/>
      </c>
      <c r="D95" s="17">
        <f>'pengestrom_raw_17881248'!$D$2</f>
        <v/>
      </c>
      <c r="E95" s="17">
        <f>'pengestrom_raw_17881248'!$E$2</f>
        <v/>
      </c>
      <c r="F95" s="17">
        <f>'pengestrom_raw_17881248'!$F$2</f>
        <v/>
      </c>
    </row>
    <row r="96">
      <c r="A96" s="16" t="inlineStr">
        <is>
          <t>Pengestrømme fra investeringsaktivitet</t>
        </is>
      </c>
      <c r="B96" s="17">
        <f>'pengestrom_raw_17881248'!$B$3</f>
        <v/>
      </c>
      <c r="C96" s="17">
        <f>'pengestrom_raw_17881248'!$C$3</f>
        <v/>
      </c>
      <c r="D96" s="17">
        <f>'pengestrom_raw_17881248'!$D$3</f>
        <v/>
      </c>
      <c r="E96" s="17">
        <f>'pengestrom_raw_17881248'!$E$3</f>
        <v/>
      </c>
      <c r="F96" s="17">
        <f>'pengestrom_raw_17881248'!$F$3</f>
        <v/>
      </c>
    </row>
    <row r="97">
      <c r="A97" s="16" t="inlineStr">
        <is>
          <t>Pengestrømme fra finansieringsaktivitet</t>
        </is>
      </c>
      <c r="B97" s="17">
        <f>'pengestrom_raw_17881248'!$B$4</f>
        <v/>
      </c>
      <c r="C97" s="17">
        <f>'pengestrom_raw_17881248'!$C$4</f>
        <v/>
      </c>
      <c r="D97" s="17">
        <f>'pengestrom_raw_17881248'!$D$4</f>
        <v/>
      </c>
      <c r="E97" s="17">
        <f>'pengestrom_raw_17881248'!$E$4</f>
        <v/>
      </c>
      <c r="F97" s="17">
        <f>'pengestrom_raw_17881248'!$F$4</f>
        <v/>
      </c>
    </row>
    <row r="98">
      <c r="A98" s="16" t="inlineStr">
        <is>
          <t>Årets pengestrøm (rapporteret)</t>
        </is>
      </c>
      <c r="B98" s="17">
        <f>'pengestrom_raw_17881248'!$B$5</f>
        <v/>
      </c>
      <c r="C98" s="17">
        <f>'pengestrom_raw_17881248'!$C$5</f>
        <v/>
      </c>
      <c r="D98" s="17">
        <f>'pengestrom_raw_17881248'!$D$5</f>
        <v/>
      </c>
      <c r="E98" s="17">
        <f>'pengestrom_raw_17881248'!$E$5</f>
        <v/>
      </c>
      <c r="F98" s="17">
        <f>'pengestrom_raw_17881248'!$F$5</f>
        <v/>
      </c>
    </row>
    <row r="99">
      <c r="A99" s="16" t="inlineStr">
        <is>
          <t>Krydstjek: drift + inv. + fin. = årets pengestrøm</t>
        </is>
      </c>
      <c r="B99">
        <f>IF(ABS(('pengestrom_raw_17881248'!$B$2+'pengestrom_raw_17881248'!$B$3+'pengestrom_raw_17881248'!$B$4)-'pengestrom_raw_17881248'!$B$5)&lt;=2,"✓","⚠ "&amp;TEXT(('pengestrom_raw_17881248'!$B$2+'pengestrom_raw_17881248'!$B$3+'pengestrom_raw_17881248'!$B$4)-'pengestrom_raw_17881248'!$B$5,"+#,##0;-#,##0"))</f>
        <v/>
      </c>
      <c r="C99">
        <f>IF(ABS(('pengestrom_raw_17881248'!$C$2+'pengestrom_raw_17881248'!$C$3+'pengestrom_raw_17881248'!$C$4)-'pengestrom_raw_17881248'!$C$5)&lt;=2,"✓","⚠ "&amp;TEXT(('pengestrom_raw_17881248'!$C$2+'pengestrom_raw_17881248'!$C$3+'pengestrom_raw_17881248'!$C$4)-'pengestrom_raw_17881248'!$C$5,"+#,##0;-#,##0"))</f>
        <v/>
      </c>
      <c r="D99">
        <f>IF(ABS(('pengestrom_raw_17881248'!$D$2+'pengestrom_raw_17881248'!$D$3+'pengestrom_raw_17881248'!$D$4)-'pengestrom_raw_17881248'!$D$5)&lt;=2,"✓","⚠ "&amp;TEXT(('pengestrom_raw_17881248'!$D$2+'pengestrom_raw_17881248'!$D$3+'pengestrom_raw_17881248'!$D$4)-'pengestrom_raw_17881248'!$D$5,"+#,##0;-#,##0"))</f>
        <v/>
      </c>
      <c r="E99">
        <f>IF(ABS(('pengestrom_raw_17881248'!$E$2+'pengestrom_raw_17881248'!$E$3+'pengestrom_raw_17881248'!$E$4)-'pengestrom_raw_17881248'!$E$5)&lt;=2,"✓","⚠ "&amp;TEXT(('pengestrom_raw_17881248'!$E$2+'pengestrom_raw_17881248'!$E$3+'pengestrom_raw_17881248'!$E$4)-'pengestrom_raw_17881248'!$E$5,"+#,##0;-#,##0"))</f>
        <v/>
      </c>
      <c r="F99">
        <f>IF(ABS(('pengestrom_raw_17881248'!$F$2+'pengestrom_raw_17881248'!$F$3+'pengestrom_raw_17881248'!$F$4)-'pengestrom_raw_17881248'!$F$5)&lt;=2,"✓","⚠ "&amp;TEXT(('pengestrom_raw_17881248'!$F$2+'pengestrom_raw_17881248'!$F$3+'pengestrom_raw_17881248'!$F$4)-'pengestrom_raw_17881248'!$F$5,"+#,##0;-#,##0"))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1641478</v>
      </c>
      <c r="C2" s="17" t="n">
        <v>2047477</v>
      </c>
      <c r="D2" s="17" t="n">
        <v>2133489</v>
      </c>
      <c r="E2" s="17" t="n">
        <v>2249682</v>
      </c>
      <c r="F2" s="17" t="n">
        <v>2286154</v>
      </c>
    </row>
    <row r="3">
      <c r="A3" s="16" t="inlineStr">
        <is>
          <t>Andre driftsindtægter</t>
        </is>
      </c>
      <c r="B3" s="17" t="n">
        <v>7747</v>
      </c>
      <c r="C3" s="17" t="n">
        <v>2630</v>
      </c>
      <c r="D3" s="17" t="n">
        <v>30960</v>
      </c>
      <c r="E3" s="17" t="n">
        <v>75909</v>
      </c>
      <c r="F3" s="17" t="n">
        <v>32330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352018</v>
      </c>
      <c r="C5" s="17" t="n">
        <v>329594</v>
      </c>
      <c r="D5" s="17" t="n">
        <v>363329</v>
      </c>
      <c r="E5" s="17" t="n">
        <v>403452</v>
      </c>
      <c r="F5" s="17" t="n">
        <v>437895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-364385</v>
      </c>
      <c r="C7" s="17" t="n">
        <v>460632</v>
      </c>
      <c r="D7" s="17" t="n">
        <v>499894</v>
      </c>
      <c r="E7" s="17" t="n">
        <v>534970</v>
      </c>
      <c r="F7" s="17" t="n">
        <v>547180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-284763</v>
      </c>
      <c r="C9" s="17" t="n">
        <v>353656</v>
      </c>
      <c r="D9" s="17" t="n">
        <v>382881</v>
      </c>
      <c r="E9" s="17" t="n">
        <v>469081</v>
      </c>
      <c r="F9" s="17" t="n">
        <v>456435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267423</v>
      </c>
      <c r="C11" s="17" t="n">
        <v>249308</v>
      </c>
      <c r="D11" s="17" t="n">
        <v>262949</v>
      </c>
      <c r="E11" s="17" t="n">
        <v>264448</v>
      </c>
      <c r="F11" s="17" t="n">
        <v>271149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443</v>
      </c>
      <c r="C13" s="17" t="n">
        <v>0</v>
      </c>
      <c r="D13" s="17" t="n">
        <v>3330</v>
      </c>
      <c r="E13" s="17" t="n">
        <v>7163</v>
      </c>
      <c r="F13" s="17" t="n">
        <v>8307</v>
      </c>
    </row>
    <row r="14">
      <c r="A14" s="16" t="inlineStr">
        <is>
          <t>Finansielle omkostninger</t>
        </is>
      </c>
      <c r="B14" s="17" t="n">
        <v>136022</v>
      </c>
      <c r="C14" s="17" t="n">
        <v>150799</v>
      </c>
      <c r="D14" s="17" t="n">
        <v>135561</v>
      </c>
      <c r="E14" s="17" t="n">
        <v>129732</v>
      </c>
      <c r="F14" s="17" t="n">
        <v>109409</v>
      </c>
    </row>
    <row r="15">
      <c r="A15" s="15" t="inlineStr">
        <is>
          <t>Finansielle poster, netto</t>
        </is>
      </c>
      <c r="B15" s="17" t="n">
        <v>-135579</v>
      </c>
      <c r="C15" s="17" t="n">
        <v>-150799</v>
      </c>
      <c r="D15" s="17" t="n">
        <v>-132231</v>
      </c>
      <c r="E15" s="17" t="n">
        <v>-122569</v>
      </c>
      <c r="F15" s="17" t="n">
        <v>-101102</v>
      </c>
    </row>
    <row r="16">
      <c r="A16" s="15" t="inlineStr">
        <is>
          <t>Resultat før skat</t>
        </is>
      </c>
      <c r="B16" s="17" t="n">
        <v>131844</v>
      </c>
      <c r="C16" s="17" t="n">
        <v>98509</v>
      </c>
      <c r="D16" s="17" t="n">
        <v>130718</v>
      </c>
      <c r="E16" s="17" t="n">
        <v>141879</v>
      </c>
      <c r="F16" s="17" t="n">
        <v>170047</v>
      </c>
    </row>
    <row r="17">
      <c r="A17" s="16" t="inlineStr">
        <is>
          <t>Skat af årets resultat</t>
        </is>
      </c>
      <c r="B17" s="17" t="n">
        <v>242</v>
      </c>
      <c r="C17" s="17" t="n">
        <v>211</v>
      </c>
      <c r="D17" s="17" t="n">
        <v>-93</v>
      </c>
      <c r="E17" s="17" t="n">
        <v>-618</v>
      </c>
      <c r="F17" s="17" t="n">
        <v>85</v>
      </c>
    </row>
    <row r="18">
      <c r="A18" s="15" t="inlineStr">
        <is>
          <t>Årets resultat</t>
        </is>
      </c>
      <c r="B18" s="17" t="n">
        <v>131602</v>
      </c>
      <c r="C18" s="17" t="n">
        <v>98298</v>
      </c>
      <c r="D18" s="17" t="n">
        <v>130811</v>
      </c>
      <c r="E18" s="17" t="n">
        <v>142497</v>
      </c>
      <c r="F18" s="17" t="n">
        <v>169962</v>
      </c>
    </row>
    <row r="19">
      <c r="A19" s="16" t="inlineStr">
        <is>
          <t>Gns. antal medarbejdere</t>
        </is>
      </c>
      <c r="B19" s="17" t="n">
        <v>780</v>
      </c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>
        <v>16526</v>
      </c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295837</v>
      </c>
      <c r="C3" s="17" t="n">
        <v>263564</v>
      </c>
      <c r="D3" s="17" t="n">
        <v>231290</v>
      </c>
      <c r="E3" s="17" t="n">
        <v>199017</v>
      </c>
      <c r="F3" s="17" t="n">
        <v>166744</v>
      </c>
    </row>
    <row r="4">
      <c r="A4" s="16" t="inlineStr">
        <is>
          <t>Goodwill</t>
        </is>
      </c>
      <c r="B4" s="17" t="n">
        <v>3682402</v>
      </c>
      <c r="C4" s="17" t="n">
        <v>3682402</v>
      </c>
      <c r="D4" s="17" t="n">
        <v>3682402</v>
      </c>
      <c r="E4" s="17" t="n">
        <v>3682402</v>
      </c>
      <c r="F4" s="17" t="n">
        <v>3682402</v>
      </c>
    </row>
    <row r="5">
      <c r="A5" s="15" t="inlineStr">
        <is>
          <t>Immaterielle anlægsaktiver</t>
        </is>
      </c>
      <c r="B5" s="17" t="n">
        <v>4200116</v>
      </c>
      <c r="C5" s="17" t="n">
        <v>4143638</v>
      </c>
      <c r="D5" s="17" t="n">
        <v>4087160</v>
      </c>
      <c r="E5" s="17" t="n">
        <v>4030682</v>
      </c>
      <c r="F5" s="17" t="n">
        <v>3974204</v>
      </c>
    </row>
    <row r="6">
      <c r="A6" s="16" t="inlineStr">
        <is>
          <t>Grunde og bygninger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/>
      <c r="C8" s="17" t="n"/>
      <c r="D8" s="17" t="n"/>
      <c r="E8" s="17" t="n"/>
      <c r="F8" s="17" t="n"/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/>
      <c r="C10" s="17" t="n">
        <v>660546</v>
      </c>
      <c r="D10" s="17" t="n">
        <v>228191</v>
      </c>
      <c r="E10" s="17" t="n">
        <v>394990</v>
      </c>
      <c r="F10" s="17" t="n">
        <v>1381468</v>
      </c>
    </row>
    <row r="11">
      <c r="A11" s="15" t="inlineStr">
        <is>
          <t>Materielle anlægsaktiver</t>
        </is>
      </c>
      <c r="B11" s="17" t="n">
        <v>3678310</v>
      </c>
      <c r="C11" s="17" t="n">
        <v>56540</v>
      </c>
      <c r="D11" s="17" t="n">
        <v>73038</v>
      </c>
      <c r="E11" s="17" t="n">
        <v>84910</v>
      </c>
      <c r="F11" s="17" t="n">
        <v>105973</v>
      </c>
    </row>
    <row r="12">
      <c r="A12" s="15" t="inlineStr">
        <is>
          <t>Anlægsaktiver</t>
        </is>
      </c>
      <c r="B12" s="17" t="n">
        <v>7878556</v>
      </c>
      <c r="C12" s="17" t="n">
        <v>8009467</v>
      </c>
      <c r="D12" s="17" t="n">
        <v>7751429</v>
      </c>
      <c r="E12" s="17" t="n">
        <v>7647581</v>
      </c>
      <c r="F12" s="17" t="n">
        <v>9120825</v>
      </c>
    </row>
    <row r="13">
      <c r="A13" s="15" t="inlineStr">
        <is>
          <t>Varebeholdninger</t>
        </is>
      </c>
      <c r="B13" s="17" t="n">
        <v>92931</v>
      </c>
      <c r="C13" s="17" t="n">
        <v>109648</v>
      </c>
      <c r="D13" s="17" t="n">
        <v>137502</v>
      </c>
      <c r="E13" s="17" t="n">
        <v>116993</v>
      </c>
      <c r="F13" s="17" t="n">
        <v>113559</v>
      </c>
    </row>
    <row r="14">
      <c r="A14" s="16" t="inlineStr">
        <is>
          <t>Tilgodehavender fra salg og tjenesteydelser</t>
        </is>
      </c>
      <c r="B14" s="17" t="n"/>
      <c r="C14" s="17" t="n">
        <v>15735</v>
      </c>
      <c r="D14" s="17" t="n">
        <v>22764</v>
      </c>
      <c r="E14" s="17" t="n">
        <v>28039</v>
      </c>
      <c r="F14" s="17" t="n">
        <v>35532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Periodeafgrænsningsposter (aktiver)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Udskudt skatteaktiv</t>
        </is>
      </c>
      <c r="B18" s="17" t="n"/>
      <c r="C18" s="17" t="n"/>
      <c r="D18" s="17" t="n"/>
      <c r="E18" s="17" t="n"/>
      <c r="F18" s="17" t="n"/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/>
      <c r="C20" s="17" t="n"/>
      <c r="D20" s="17" t="n"/>
      <c r="E20" s="17" t="n"/>
      <c r="F20" s="17" t="n"/>
    </row>
    <row r="21">
      <c r="A21" s="15" t="inlineStr">
        <is>
          <t>Tilgodehavender</t>
        </is>
      </c>
      <c r="B21" s="17" t="n">
        <v>78427</v>
      </c>
      <c r="C21" s="17" t="n">
        <v>51793</v>
      </c>
      <c r="D21" s="17" t="n">
        <v>36718</v>
      </c>
      <c r="E21" s="17" t="n">
        <v>65897</v>
      </c>
      <c r="F21" s="17" t="n">
        <v>119396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436876</v>
      </c>
      <c r="C23" s="17" t="n">
        <v>40516</v>
      </c>
      <c r="D23" s="17" t="n">
        <v>125575</v>
      </c>
      <c r="E23" s="17" t="n">
        <v>280579</v>
      </c>
      <c r="F23" s="17" t="n">
        <v>47372</v>
      </c>
    </row>
    <row r="24">
      <c r="A24" s="15" t="inlineStr">
        <is>
          <t>Omsætningsaktiver</t>
        </is>
      </c>
      <c r="B24" s="17" t="n">
        <v>625477</v>
      </c>
      <c r="C24" s="17" t="n">
        <v>217692</v>
      </c>
      <c r="D24" s="17" t="n">
        <v>338718</v>
      </c>
      <c r="E24" s="17" t="n">
        <v>600404</v>
      </c>
      <c r="F24" s="17" t="n">
        <v>363138</v>
      </c>
    </row>
    <row r="25">
      <c r="A25" s="15" t="inlineStr">
        <is>
          <t>Aktiver</t>
        </is>
      </c>
      <c r="B25" s="17" t="n">
        <v>8504033</v>
      </c>
      <c r="C25" s="17" t="n">
        <v>8227159</v>
      </c>
      <c r="D25" s="17" t="n">
        <v>8090147</v>
      </c>
      <c r="E25" s="17" t="n">
        <v>8247985</v>
      </c>
      <c r="F25" s="17" t="n">
        <v>9483963</v>
      </c>
    </row>
    <row r="26">
      <c r="A26" s="16" t="inlineStr">
        <is>
          <t>Selskabskapital</t>
        </is>
      </c>
      <c r="B26" s="17" t="n">
        <v>284100</v>
      </c>
      <c r="C26" s="17" t="n">
        <v>283487</v>
      </c>
      <c r="D26" s="17" t="n">
        <v>283487</v>
      </c>
      <c r="E26" s="17" t="n">
        <v>283487</v>
      </c>
      <c r="F26" s="17" t="n">
        <v>283487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49006</v>
      </c>
      <c r="C30" s="17" t="n">
        <v>14842</v>
      </c>
      <c r="D30" s="17" t="n">
        <v>-31961</v>
      </c>
      <c r="E30" s="17" t="n">
        <v>4966</v>
      </c>
      <c r="F30" s="17" t="n">
        <v>-31092</v>
      </c>
    </row>
    <row r="31">
      <c r="A31" s="16" t="inlineStr">
        <is>
          <t>Overført resultat</t>
        </is>
      </c>
      <c r="B31" s="17" t="n">
        <v>5220436</v>
      </c>
      <c r="C31" s="17" t="n">
        <v>5308747</v>
      </c>
      <c r="D31" s="17" t="n">
        <v>5439558</v>
      </c>
      <c r="E31" s="17" t="n">
        <v>5517052</v>
      </c>
      <c r="F31" s="17" t="n">
        <v>5521765</v>
      </c>
    </row>
    <row r="32">
      <c r="A32" s="15" t="inlineStr">
        <is>
          <t>Egenkapital i alt</t>
        </is>
      </c>
      <c r="B32" s="17" t="n">
        <v>5553542</v>
      </c>
      <c r="C32" s="17" t="n">
        <v>5607076</v>
      </c>
      <c r="D32" s="17" t="n">
        <v>5691084</v>
      </c>
      <c r="E32" s="17" t="n">
        <v>5805505</v>
      </c>
      <c r="F32" s="17" t="n">
        <v>5774160</v>
      </c>
    </row>
    <row r="33">
      <c r="A33" s="15" t="inlineStr">
        <is>
          <t>Hensatte forpligtelser</t>
        </is>
      </c>
      <c r="B33" s="17" t="n">
        <v>1963</v>
      </c>
      <c r="C33" s="17" t="n">
        <v>3276</v>
      </c>
      <c r="D33" s="17" t="n">
        <v>3190</v>
      </c>
      <c r="E33" s="17" t="n">
        <v>3072</v>
      </c>
      <c r="F33" s="17" t="n">
        <v>3568</v>
      </c>
    </row>
    <row r="34">
      <c r="A34" s="16" t="inlineStr">
        <is>
          <t>Ansvarlig lånekapital (langfristet)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Langfristede lån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Leasingforpligtelser (langfristet)</t>
        </is>
      </c>
      <c r="B36" s="17" t="n">
        <v>1323965</v>
      </c>
      <c r="C36" s="17" t="n">
        <v>965884</v>
      </c>
      <c r="D36" s="17" t="n">
        <v>822171</v>
      </c>
      <c r="E36" s="17" t="n">
        <v>791440</v>
      </c>
      <c r="F36" s="17" t="n">
        <v>938680</v>
      </c>
    </row>
    <row r="37">
      <c r="A37" s="16" t="inlineStr">
        <is>
          <t>Anden gæld (langfristet)</t>
        </is>
      </c>
      <c r="B37" s="17" t="n"/>
      <c r="C37" s="17" t="n"/>
      <c r="D37" s="17" t="n"/>
      <c r="E37" s="17" t="n"/>
      <c r="F37" s="17" t="n"/>
    </row>
    <row r="38">
      <c r="A38" s="15" t="inlineStr">
        <is>
          <t>Langfristede gældsforpligtelser</t>
        </is>
      </c>
      <c r="B38" s="17" t="n">
        <v>2268836</v>
      </c>
      <c r="C38" s="17" t="n">
        <v>1126814</v>
      </c>
      <c r="D38" s="17" t="n">
        <v>1099628</v>
      </c>
      <c r="E38" s="17" t="n">
        <v>1068952</v>
      </c>
      <c r="F38" s="17" t="n">
        <v>2284116</v>
      </c>
    </row>
    <row r="39">
      <c r="A39" s="16" t="inlineStr">
        <is>
          <t>Ansvarlig lånekapital (kortfristet)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Kortfristet del af langfristede gældsforpligtelser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Kreditinstitutter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Leasingforpligtelser (kortfristet)</t>
        </is>
      </c>
      <c r="B42" s="17" t="n">
        <v>284892</v>
      </c>
      <c r="C42" s="17" t="n">
        <v>368600</v>
      </c>
      <c r="D42" s="17" t="n">
        <v>162277</v>
      </c>
      <c r="E42" s="17" t="n">
        <v>166040</v>
      </c>
      <c r="F42" s="17" t="n">
        <v>163410</v>
      </c>
    </row>
    <row r="43">
      <c r="A43" s="16" t="inlineStr">
        <is>
          <t>Leverandører af varer og tjenesteydelser</t>
        </is>
      </c>
      <c r="B43" s="17" t="n">
        <v>74317</v>
      </c>
      <c r="C43" s="17" t="n">
        <v>96884</v>
      </c>
      <c r="D43" s="17" t="n">
        <v>103393</v>
      </c>
      <c r="E43" s="17" t="n">
        <v>141231</v>
      </c>
      <c r="F43" s="17" t="n">
        <v>123136</v>
      </c>
    </row>
    <row r="44">
      <c r="A44" s="16" t="inlineStr">
        <is>
          <t>Gæld til tilknyttede virksomheder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Gæld til selskabsdeltagere og ledelse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Gæld til tilknyttede virksomheder vedr. 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Anden gæld (kortfristet)</t>
        </is>
      </c>
      <c r="B48" s="17" t="n">
        <v>136335</v>
      </c>
      <c r="C48" s="17" t="n">
        <v>88364</v>
      </c>
      <c r="D48" s="17" t="n">
        <v>138716</v>
      </c>
      <c r="E48" s="17" t="n">
        <v>115121</v>
      </c>
      <c r="F48" s="17" t="n">
        <v>227413</v>
      </c>
    </row>
    <row r="49">
      <c r="A49" s="16" t="inlineStr">
        <is>
          <t>Periodeafgrænsningsposter (passiver)</t>
        </is>
      </c>
      <c r="B49" s="17" t="n"/>
      <c r="C49" s="17" t="n">
        <v>42831</v>
      </c>
      <c r="D49" s="17" t="n">
        <v>46673</v>
      </c>
      <c r="E49" s="17" t="n">
        <v>55396</v>
      </c>
      <c r="F49" s="17" t="n">
        <v>62949</v>
      </c>
    </row>
    <row r="50">
      <c r="A50" s="15" t="inlineStr">
        <is>
          <t>Kortfristede gældsforpligtelser</t>
        </is>
      </c>
      <c r="B50" s="17" t="n">
        <v>681655</v>
      </c>
      <c r="C50" s="17" t="n">
        <v>1493269</v>
      </c>
      <c r="D50" s="17" t="n">
        <v>1299435</v>
      </c>
      <c r="E50" s="17" t="n">
        <v>1373528</v>
      </c>
      <c r="F50" s="17" t="n">
        <v>1425687</v>
      </c>
    </row>
    <row r="51">
      <c r="A51" s="15" t="inlineStr">
        <is>
          <t>Gældsforpligtelser</t>
        </is>
      </c>
      <c r="B51" s="17" t="n">
        <v>2950491</v>
      </c>
      <c r="C51" s="17" t="n">
        <v>2620083</v>
      </c>
      <c r="D51" s="17" t="n">
        <v>2399063</v>
      </c>
      <c r="E51" s="17" t="n">
        <v>2442480</v>
      </c>
      <c r="F51" s="17" t="n">
        <v>3709803</v>
      </c>
    </row>
    <row r="52">
      <c r="A52" s="15" t="inlineStr">
        <is>
          <t>Passiver</t>
        </is>
      </c>
      <c r="B52" s="17" t="n">
        <v>8504033</v>
      </c>
      <c r="C52" s="17" t="n">
        <v>8227159</v>
      </c>
      <c r="D52" s="17" t="n">
        <v>8090147</v>
      </c>
      <c r="E52" s="17" t="n">
        <v>8247985</v>
      </c>
      <c r="F52" s="17" t="n">
        <v>9483963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Molslinjen A/S (CVR 17881248)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373127</v>
      </c>
      <c r="C2" s="17" t="n">
        <v>402102</v>
      </c>
      <c r="D2" s="17" t="n">
        <v>490840</v>
      </c>
      <c r="E2" s="17" t="n">
        <v>620786</v>
      </c>
      <c r="F2" s="17" t="n">
        <v>634958</v>
      </c>
    </row>
    <row r="3">
      <c r="A3" s="16" t="inlineStr">
        <is>
          <t>Pengestrømme fra investeringsaktivitet</t>
        </is>
      </c>
      <c r="B3" s="17" t="n">
        <v>-5041436</v>
      </c>
      <c r="C3" s="17" t="n">
        <v>-481937</v>
      </c>
      <c r="D3" s="17" t="n">
        <v>-521231</v>
      </c>
      <c r="E3" s="17" t="n">
        <v>-189530</v>
      </c>
      <c r="F3" s="17" t="n">
        <v>-1654543</v>
      </c>
    </row>
    <row r="4">
      <c r="A4" s="16" t="inlineStr">
        <is>
          <t>Pengestrømme fra finansieringsaktivitet</t>
        </is>
      </c>
      <c r="B4" s="17" t="n">
        <v>4768482</v>
      </c>
      <c r="C4" s="17" t="n">
        <v>-316525</v>
      </c>
      <c r="D4" s="17" t="n">
        <v>115450</v>
      </c>
      <c r="E4" s="17" t="n">
        <v>-276252</v>
      </c>
      <c r="F4" s="17" t="n">
        <v>786378</v>
      </c>
    </row>
    <row r="5">
      <c r="A5" s="16" t="inlineStr">
        <is>
          <t>Årets pengestrøm</t>
        </is>
      </c>
      <c r="B5" s="17" t="n">
        <v>100173</v>
      </c>
      <c r="C5" s="17" t="n">
        <v>-396360</v>
      </c>
      <c r="D5" s="17" t="n">
        <v>85059</v>
      </c>
      <c r="E5" s="17" t="n">
        <v>155004</v>
      </c>
      <c r="F5" s="17" t="n">
        <v>-233207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Molslinjen A/S (CVR 17881248) — Regnskabs- og nøgletal (CVR: 17881248)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IF(ABS((SUM(B5:B8))-'res_raw_17881248'!$F$6)&lt;=2,SUM(B5:B8),'res_raw_17881248'!$F$6)</f>
        <v/>
      </c>
      <c r="C9" s="27">
        <f>IF(ABS((SUM(C5:C8))-'res_raw_17881248'!$E$6)&lt;=2,SUM(C5:C8),'res_raw_17881248'!$E$6)</f>
        <v/>
      </c>
      <c r="D9" s="27">
        <f>IF(ABS((SUM(D5:D8))-'res_raw_17881248'!$D$6)&lt;=2,SUM(D5:D8),'res_raw_17881248'!$D$6)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IF(ABS((SUM(B9:B12))-'res_raw_17881248'!$F$11)&lt;=2,SUM(B9:B12),'res_raw_17881248'!$F$11)</f>
        <v/>
      </c>
      <c r="C13" s="27">
        <f>IF(ABS((SUM(C9:C12))-'res_raw_17881248'!$E$11)&lt;=2,SUM(C9:C12),'res_raw_17881248'!$E$11)</f>
        <v/>
      </c>
      <c r="D13" s="27">
        <f>IF(ABS((SUM(D9:D12))-'res_raw_17881248'!$D$11)&lt;=2,SUM(D9:D12),'res_raw_17881248'!$D$11)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IF(ABS((SUM(B13:B15))-'res_raw_17881248'!$F$16)&lt;=2,SUM(B13:B15),'res_raw_17881248'!$F$16)</f>
        <v/>
      </c>
      <c r="C16" s="27">
        <f>IF(ABS((SUM(C13:C15))-'res_raw_17881248'!$E$16)&lt;=2,SUM(C13:C15),'res_raw_17881248'!$E$16)</f>
        <v/>
      </c>
      <c r="D16" s="27">
        <f>IF(ABS((SUM(D13:D15))-'res_raw_17881248'!$D$16)&lt;=2,SUM(D13:D15),'res_raw_17881248'!$D$16)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Molslinjen A/S (CVR 17881248)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>
        <v>353656</v>
      </c>
      <c r="F3" s="35" t="n">
        <v>382881</v>
      </c>
      <c r="G3" s="35" t="n">
        <v>469081</v>
      </c>
      <c r="H3" s="35" t="n">
        <v>456435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676</v>
      </c>
      <c r="E4" s="38" t="n">
        <v>107</v>
      </c>
      <c r="F4" s="38" t="n">
        <v>16</v>
      </c>
      <c r="G4" s="38" t="n">
        <v>16</v>
      </c>
      <c r="H4" s="38" t="n">
        <v>8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>
        <v>2455952</v>
      </c>
      <c r="F5" s="35" t="n">
        <v>2562469</v>
      </c>
      <c r="G5" s="35" t="n">
        <v>2375372</v>
      </c>
      <c r="H5" s="35" t="n">
        <v>2830749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>
        <v>16159</v>
      </c>
      <c r="G6" s="38" t="n">
        <v>108896</v>
      </c>
      <c r="H6" s="38" t="n">
        <v>47279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2026-10-01T22:18:51Z</dcterms:created>
  <dcterms:modified xmlns:dcterms="http://purl.org/dc/terms/" xmlns:xsi="http://www.w3.org/2001/XMLSchema-instance" xsi:type="dcterms:W3CDTF">2026-10-01T22:18:51Z</dcterms:modified>
</cp:coreProperties>
</file>