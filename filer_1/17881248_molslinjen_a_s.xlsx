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7881248" sheetId="1" state="visible" r:id="rId1"/>
    <sheet xmlns:r="http://schemas.openxmlformats.org/officeDocument/2006/relationships" name="res_raw_17881248" sheetId="2" state="visible" r:id="rId2"/>
    <sheet xmlns:r="http://schemas.openxmlformats.org/officeDocument/2006/relationships" name="balance_raw_17881248" sheetId="3" state="visible" r:id="rId3"/>
    <sheet xmlns:r="http://schemas.openxmlformats.org/officeDocument/2006/relationships" name="pengestrom_raw_17881248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Molslinjen A/S (CVR 17881248)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'res_raw_17881248'!$B$2</f>
        <v/>
      </c>
      <c r="C4" s="5">
        <f>'res_raw_17881248'!$C$2</f>
        <v/>
      </c>
      <c r="D4" s="5">
        <f>'res_raw_17881248'!$D$2</f>
        <v/>
      </c>
      <c r="E4" s="5">
        <f>'res_raw_17881248'!$E$2</f>
        <v/>
      </c>
      <c r="F4" s="5">
        <f>'res_raw_17881248'!$F$2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'res_raw_17881248'!$B$3</f>
        <v/>
      </c>
      <c r="C5" s="8">
        <f>'res_raw_17881248'!$C$3</f>
        <v/>
      </c>
      <c r="D5" s="8">
        <f>'res_raw_17881248'!$D$3</f>
        <v/>
      </c>
      <c r="E5" s="8">
        <f>'res_raw_17881248'!$E$3</f>
        <v/>
      </c>
      <c r="F5" s="8">
        <f>'res_raw_17881248'!$F$3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'res_raw_17881248'!$B$4</f>
        <v/>
      </c>
      <c r="C6" s="5">
        <f>'res_raw_17881248'!$C$4</f>
        <v/>
      </c>
      <c r="D6" s="5">
        <f>'res_raw_17881248'!$D$4</f>
        <v/>
      </c>
      <c r="E6" s="5">
        <f>'res_raw_17881248'!$E$4</f>
        <v/>
      </c>
      <c r="F6" s="5">
        <f>'res_raw_17881248'!$F$4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'res_raw_17881248'!$B$5</f>
        <v/>
      </c>
      <c r="C7" s="8">
        <f>'res_raw_17881248'!$C$5</f>
        <v/>
      </c>
      <c r="D7" s="8">
        <f>'res_raw_17881248'!$D$5</f>
        <v/>
      </c>
      <c r="E7" s="8">
        <f>'res_raw_17881248'!$E$5</f>
        <v/>
      </c>
      <c r="F7" s="8">
        <f>'res_raw_17881248'!$F$5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'res_raw_17881248'!$B$6</f>
        <v/>
      </c>
      <c r="C8" s="11">
        <f>'res_raw_17881248'!$C$6</f>
        <v/>
      </c>
      <c r="D8" s="11">
        <f>'res_raw_17881248'!$D$6</f>
        <v/>
      </c>
      <c r="E8" s="11">
        <f>'res_raw_17881248'!$E$6</f>
        <v/>
      </c>
      <c r="F8" s="11">
        <f>'res_raw_17881248'!$F$6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'res_raw_17881248'!$B$7</f>
        <v/>
      </c>
      <c r="C9" s="8">
        <f>'res_raw_17881248'!$C$7</f>
        <v/>
      </c>
      <c r="D9" s="8">
        <f>'res_raw_17881248'!$D$7</f>
        <v/>
      </c>
      <c r="E9" s="8">
        <f>'res_raw_17881248'!$E$7</f>
        <v/>
      </c>
      <c r="F9" s="8">
        <f>'res_raw_17881248'!$F$7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'res_raw_17881248'!$B$9</f>
        <v/>
      </c>
      <c r="C11" s="8">
        <f>'res_raw_17881248'!$C$9</f>
        <v/>
      </c>
      <c r="D11" s="8">
        <f>'res_raw_17881248'!$D$9</f>
        <v/>
      </c>
      <c r="E11" s="8">
        <f>'res_raw_17881248'!$E$9</f>
        <v/>
      </c>
      <c r="F11" s="8">
        <f>'res_raw_17881248'!$F$9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'res_raw_17881248'!$B$10</f>
        <v/>
      </c>
      <c r="C12" s="5">
        <f>'res_raw_17881248'!$C$10</f>
        <v/>
      </c>
      <c r="D12" s="5">
        <f>'res_raw_17881248'!$D$10</f>
        <v/>
      </c>
      <c r="E12" s="5">
        <f>'res_raw_17881248'!$E$10</f>
        <v/>
      </c>
      <c r="F12" s="5">
        <f>'res_raw_17881248'!$F$10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'res_raw_17881248'!$B$11</f>
        <v/>
      </c>
      <c r="C13" s="11">
        <f>'res_raw_17881248'!$C$11</f>
        <v/>
      </c>
      <c r="D13" s="11">
        <f>'res_raw_17881248'!$D$11</f>
        <v/>
      </c>
      <c r="E13" s="11">
        <f>'res_raw_17881248'!$E$11</f>
        <v/>
      </c>
      <c r="F13" s="11">
        <f>'res_raw_17881248'!$F$11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'res_raw_17881248'!$B$12</f>
        <v/>
      </c>
      <c r="C14" s="5">
        <f>'res_raw_17881248'!$C$12</f>
        <v/>
      </c>
      <c r="D14" s="5">
        <f>'res_raw_17881248'!$D$12</f>
        <v/>
      </c>
      <c r="E14" s="5">
        <f>'res_raw_17881248'!$E$12</f>
        <v/>
      </c>
      <c r="F14" s="5">
        <f>'res_raw_17881248'!$F$12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'res_raw_17881248'!$B$13</f>
        <v/>
      </c>
      <c r="C15" s="8">
        <f>'res_raw_17881248'!$C$13</f>
        <v/>
      </c>
      <c r="D15" s="8">
        <f>'res_raw_17881248'!$D$13</f>
        <v/>
      </c>
      <c r="E15" s="8">
        <f>'res_raw_17881248'!$E$13</f>
        <v/>
      </c>
      <c r="F15" s="8">
        <f>'res_raw_17881248'!$F$13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'res_raw_17881248'!$B$14</f>
        <v/>
      </c>
      <c r="C16" s="5">
        <f>'res_raw_17881248'!$C$14</f>
        <v/>
      </c>
      <c r="D16" s="5">
        <f>'res_raw_17881248'!$D$14</f>
        <v/>
      </c>
      <c r="E16" s="5">
        <f>'res_raw_17881248'!$E$14</f>
        <v/>
      </c>
      <c r="F16" s="5">
        <f>'res_raw_17881248'!$F$14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'res_raw_17881248'!$B$15</f>
        <v/>
      </c>
      <c r="C17" s="11">
        <f>'res_raw_17881248'!$C$15</f>
        <v/>
      </c>
      <c r="D17" s="11">
        <f>'res_raw_17881248'!$D$15</f>
        <v/>
      </c>
      <c r="E17" s="11">
        <f>'res_raw_17881248'!$E$15</f>
        <v/>
      </c>
      <c r="F17" s="11">
        <f>'res_raw_17881248'!$F$15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'res_raw_17881248'!$B$16</f>
        <v/>
      </c>
      <c r="C18" s="11">
        <f>'res_raw_17881248'!$C$16</f>
        <v/>
      </c>
      <c r="D18" s="11">
        <f>'res_raw_17881248'!$D$16</f>
        <v/>
      </c>
      <c r="E18" s="11">
        <f>'res_raw_17881248'!$E$16</f>
        <v/>
      </c>
      <c r="F18" s="11">
        <f>'res_raw_17881248'!$F$16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'res_raw_17881248'!$B$17</f>
        <v/>
      </c>
      <c r="C19" s="8">
        <f>'res_raw_17881248'!$C$17</f>
        <v/>
      </c>
      <c r="D19" s="8">
        <f>'res_raw_17881248'!$D$17</f>
        <v/>
      </c>
      <c r="E19" s="8">
        <f>'res_raw_17881248'!$E$17</f>
        <v/>
      </c>
      <c r="F19" s="8">
        <f>'res_raw_17881248'!$F$17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'res_raw_17881248'!$B$18</f>
        <v/>
      </c>
      <c r="C20" s="11">
        <f>'res_raw_17881248'!$C$18</f>
        <v/>
      </c>
      <c r="D20" s="11">
        <f>'res_raw_17881248'!$D$18</f>
        <v/>
      </c>
      <c r="E20" s="11">
        <f>'res_raw_17881248'!$E$18</f>
        <v/>
      </c>
      <c r="F20" s="11">
        <f>'res_raw_17881248'!$F$18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'balance_raw_17881248'!$B$2</f>
        <v/>
      </c>
      <c r="C23" s="8">
        <f>'balance_raw_17881248'!$C$2</f>
        <v/>
      </c>
      <c r="D23" s="8">
        <f>'balance_raw_17881248'!$D$2</f>
        <v/>
      </c>
      <c r="E23" s="8">
        <f>'balance_raw_17881248'!$E$2</f>
        <v/>
      </c>
      <c r="F23" s="8">
        <f>'balance_raw_17881248'!$F$2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'balance_raw_17881248'!$B$3</f>
        <v/>
      </c>
      <c r="C24" s="5">
        <f>'balance_raw_17881248'!$C$3</f>
        <v/>
      </c>
      <c r="D24" s="5">
        <f>'balance_raw_17881248'!$D$3</f>
        <v/>
      </c>
      <c r="E24" s="5">
        <f>'balance_raw_17881248'!$E$3</f>
        <v/>
      </c>
      <c r="F24" s="5">
        <f>'balance_raw_17881248'!$F$3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'balance_raw_17881248'!$B$4</f>
        <v/>
      </c>
      <c r="C25" s="8">
        <f>'balance_raw_17881248'!$C$4</f>
        <v/>
      </c>
      <c r="D25" s="8">
        <f>'balance_raw_17881248'!$D$4</f>
        <v/>
      </c>
      <c r="E25" s="8">
        <f>'balance_raw_17881248'!$E$4</f>
        <v/>
      </c>
      <c r="F25" s="8">
        <f>'balance_raw_17881248'!$F$4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'balance_raw_17881248'!$B$5</f>
        <v/>
      </c>
      <c r="C26" s="11">
        <f>'balance_raw_17881248'!$C$5</f>
        <v/>
      </c>
      <c r="D26" s="11">
        <f>'balance_raw_17881248'!$D$5</f>
        <v/>
      </c>
      <c r="E26" s="11">
        <f>'balance_raw_17881248'!$E$5</f>
        <v/>
      </c>
      <c r="F26" s="11">
        <f>'balance_raw_17881248'!$F$5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'balance_raw_17881248'!$B$6</f>
        <v/>
      </c>
      <c r="C27" s="8">
        <f>'balance_raw_17881248'!$C$6</f>
        <v/>
      </c>
      <c r="D27" s="8">
        <f>'balance_raw_17881248'!$D$6</f>
        <v/>
      </c>
      <c r="E27" s="8">
        <f>'balance_raw_17881248'!$E$6</f>
        <v/>
      </c>
      <c r="F27" s="8">
        <f>'balance_raw_17881248'!$F$6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'balance_raw_17881248'!$B$7</f>
        <v/>
      </c>
      <c r="C28" s="5">
        <f>'balance_raw_17881248'!$C$7</f>
        <v/>
      </c>
      <c r="D28" s="5">
        <f>'balance_raw_17881248'!$D$7</f>
        <v/>
      </c>
      <c r="E28" s="5">
        <f>'balance_raw_17881248'!$E$7</f>
        <v/>
      </c>
      <c r="F28" s="5">
        <f>'balance_raw_17881248'!$F$7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'balance_raw_17881248'!$B$8</f>
        <v/>
      </c>
      <c r="C29" s="8">
        <f>'balance_raw_17881248'!$C$8</f>
        <v/>
      </c>
      <c r="D29" s="8">
        <f>'balance_raw_17881248'!$D$8</f>
        <v/>
      </c>
      <c r="E29" s="8">
        <f>'balance_raw_17881248'!$E$8</f>
        <v/>
      </c>
      <c r="F29" s="8">
        <f>'balance_raw_17881248'!$F$8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'balance_raw_17881248'!$B$9</f>
        <v/>
      </c>
      <c r="C30" s="5">
        <f>'balance_raw_17881248'!$C$9</f>
        <v/>
      </c>
      <c r="D30" s="5">
        <f>'balance_raw_17881248'!$D$9</f>
        <v/>
      </c>
      <c r="E30" s="5">
        <f>'balance_raw_17881248'!$E$9</f>
        <v/>
      </c>
      <c r="F30" s="5">
        <f>'balance_raw_17881248'!$F$9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'balance_raw_17881248'!$B$10</f>
        <v/>
      </c>
      <c r="C31" s="8">
        <f>'balance_raw_17881248'!$C$10</f>
        <v/>
      </c>
      <c r="D31" s="8">
        <f>'balance_raw_17881248'!$D$10</f>
        <v/>
      </c>
      <c r="E31" s="8">
        <f>'balance_raw_17881248'!$E$10</f>
        <v/>
      </c>
      <c r="F31" s="8">
        <f>'balance_raw_17881248'!$F$10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'balance_raw_17881248'!$B$11</f>
        <v/>
      </c>
      <c r="C32" s="11">
        <f>'balance_raw_17881248'!$C$11</f>
        <v/>
      </c>
      <c r="D32" s="11">
        <f>'balance_raw_17881248'!$D$11</f>
        <v/>
      </c>
      <c r="E32" s="11">
        <f>'balance_raw_17881248'!$E$11</f>
        <v/>
      </c>
      <c r="F32" s="11">
        <f>'balance_raw_17881248'!$F$11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Anlægsaktiver</t>
        </is>
      </c>
      <c r="B33" s="11">
        <f>'balance_raw_17881248'!$B$12</f>
        <v/>
      </c>
      <c r="C33" s="11">
        <f>'balance_raw_17881248'!$C$12</f>
        <v/>
      </c>
      <c r="D33" s="11">
        <f>'balance_raw_17881248'!$D$12</f>
        <v/>
      </c>
      <c r="E33" s="11">
        <f>'balance_raw_17881248'!$E$12</f>
        <v/>
      </c>
      <c r="F33" s="11">
        <f>'balance_raw_17881248'!$F$12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10" t="inlineStr">
        <is>
          <t>Varebeholdninger</t>
        </is>
      </c>
      <c r="B34" s="11">
        <f>'balance_raw_17881248'!$B$13</f>
        <v/>
      </c>
      <c r="C34" s="11">
        <f>'balance_raw_17881248'!$C$13</f>
        <v/>
      </c>
      <c r="D34" s="11">
        <f>'balance_raw_17881248'!$D$13</f>
        <v/>
      </c>
      <c r="E34" s="11">
        <f>'balance_raw_17881248'!$E$13</f>
        <v/>
      </c>
      <c r="F34" s="11">
        <f>'balance_raw_17881248'!$F$13</f>
        <v/>
      </c>
      <c r="G34" t="inlineStr"/>
      <c r="H34" s="12">
        <f>IFERROR(B34/$B$34*100,"")</f>
        <v/>
      </c>
      <c r="I34" s="12">
        <f>IFERROR(C34/$B$34*100,"")</f>
        <v/>
      </c>
      <c r="J34" s="12">
        <f>IFERROR(D34/$B$34*100,"")</f>
        <v/>
      </c>
      <c r="K34" s="12">
        <f>IFERROR(E34/$B$34*100,"")</f>
        <v/>
      </c>
      <c r="L34" s="12">
        <f>IFERROR(F34/$B$34*100,"")</f>
        <v/>
      </c>
    </row>
    <row r="35" ht="16" customHeight="1">
      <c r="A35" s="7" t="inlineStr">
        <is>
          <t>Tilgodehavender fra salg og tjenesteydelser</t>
        </is>
      </c>
      <c r="B35" s="8">
        <f>'balance_raw_17881248'!$B$14</f>
        <v/>
      </c>
      <c r="C35" s="8">
        <f>'balance_raw_17881248'!$C$14</f>
        <v/>
      </c>
      <c r="D35" s="8">
        <f>'balance_raw_17881248'!$D$14</f>
        <v/>
      </c>
      <c r="E35" s="8">
        <f>'balance_raw_17881248'!$E$14</f>
        <v/>
      </c>
      <c r="F35" s="8">
        <f>'balance_raw_17881248'!$F$14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Tilgodehavender hos tilknyttede virksomheder</t>
        </is>
      </c>
      <c r="B36" s="5">
        <f>'balance_raw_17881248'!$B$15</f>
        <v/>
      </c>
      <c r="C36" s="5">
        <f>'balance_raw_17881248'!$C$15</f>
        <v/>
      </c>
      <c r="D36" s="5">
        <f>'balance_raw_17881248'!$D$15</f>
        <v/>
      </c>
      <c r="E36" s="5">
        <f>'balance_raw_17881248'!$E$15</f>
        <v/>
      </c>
      <c r="F36" s="5">
        <f>'balance_raw_17881248'!$F$15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Andre tilgodehavender</t>
        </is>
      </c>
      <c r="B37" s="8">
        <f>'balance_raw_17881248'!$B$16</f>
        <v/>
      </c>
      <c r="C37" s="8">
        <f>'balance_raw_17881248'!$C$16</f>
        <v/>
      </c>
      <c r="D37" s="8">
        <f>'balance_raw_17881248'!$D$16</f>
        <v/>
      </c>
      <c r="E37" s="8">
        <f>'balance_raw_17881248'!$E$16</f>
        <v/>
      </c>
      <c r="F37" s="8">
        <f>'balance_raw_17881248'!$F$16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Periodeafgrænsningsposter (aktiver)</t>
        </is>
      </c>
      <c r="B38" s="5">
        <f>'balance_raw_17881248'!$B$17</f>
        <v/>
      </c>
      <c r="C38" s="5">
        <f>'balance_raw_17881248'!$C$17</f>
        <v/>
      </c>
      <c r="D38" s="5">
        <f>'balance_raw_17881248'!$D$17</f>
        <v/>
      </c>
      <c r="E38" s="5">
        <f>'balance_raw_17881248'!$E$17</f>
        <v/>
      </c>
      <c r="F38" s="5">
        <f>'balance_raw_17881248'!$F$17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Udskudt skatteaktiv</t>
        </is>
      </c>
      <c r="B39" s="8">
        <f>'balance_raw_17881248'!$B$18</f>
        <v/>
      </c>
      <c r="C39" s="8">
        <f>'balance_raw_17881248'!$C$18</f>
        <v/>
      </c>
      <c r="D39" s="8">
        <f>'balance_raw_17881248'!$D$18</f>
        <v/>
      </c>
      <c r="E39" s="8">
        <f>'balance_raw_17881248'!$E$18</f>
        <v/>
      </c>
      <c r="F39" s="8">
        <f>'balance_raw_17881248'!$F$18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Tilgodehavende skat hos tilknyttede virksomheder</t>
        </is>
      </c>
      <c r="B40" s="5">
        <f>'balance_raw_17881248'!$B$19</f>
        <v/>
      </c>
      <c r="C40" s="5">
        <f>'balance_raw_17881248'!$C$19</f>
        <v/>
      </c>
      <c r="D40" s="5">
        <f>'balance_raw_17881248'!$D$19</f>
        <v/>
      </c>
      <c r="E40" s="5">
        <f>'balance_raw_17881248'!$E$19</f>
        <v/>
      </c>
      <c r="F40" s="5">
        <f>'balance_raw_17881248'!$F$19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Kortfristede skattetilgodehavender</t>
        </is>
      </c>
      <c r="B41" s="8">
        <f>'balance_raw_17881248'!$B$20</f>
        <v/>
      </c>
      <c r="C41" s="8">
        <f>'balance_raw_17881248'!$C$20</f>
        <v/>
      </c>
      <c r="D41" s="8">
        <f>'balance_raw_17881248'!$D$20</f>
        <v/>
      </c>
      <c r="E41" s="8">
        <f>'balance_raw_17881248'!$E$20</f>
        <v/>
      </c>
      <c r="F41" s="8">
        <f>'balance_raw_17881248'!$F$20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10" t="inlineStr">
        <is>
          <t>Tilgodehavender</t>
        </is>
      </c>
      <c r="B42" s="11">
        <f>'balance_raw_17881248'!$B$21</f>
        <v/>
      </c>
      <c r="C42" s="11">
        <f>'balance_raw_17881248'!$C$21</f>
        <v/>
      </c>
      <c r="D42" s="11">
        <f>'balance_raw_17881248'!$D$21</f>
        <v/>
      </c>
      <c r="E42" s="11">
        <f>'balance_raw_17881248'!$E$21</f>
        <v/>
      </c>
      <c r="F42" s="11">
        <f>'balance_raw_17881248'!$F$21</f>
        <v/>
      </c>
      <c r="G42" t="inlineStr"/>
      <c r="H42" s="12">
        <f>IFERROR(B42/$B$42*100,"")</f>
        <v/>
      </c>
      <c r="I42" s="12">
        <f>IFERROR(C42/$B$42*100,"")</f>
        <v/>
      </c>
      <c r="J42" s="12">
        <f>IFERROR(D42/$B$42*100,"")</f>
        <v/>
      </c>
      <c r="K42" s="12">
        <f>IFERROR(E42/$B$42*100,"")</f>
        <v/>
      </c>
      <c r="L42" s="12">
        <f>IFERROR(F42/$B$42*100,"")</f>
        <v/>
      </c>
    </row>
    <row r="43" ht="16" customHeight="1">
      <c r="A43" s="7" t="inlineStr">
        <is>
          <t>Værdipapirer</t>
        </is>
      </c>
      <c r="B43" s="8">
        <f>'balance_raw_17881248'!$B$22</f>
        <v/>
      </c>
      <c r="C43" s="8">
        <f>'balance_raw_17881248'!$C$22</f>
        <v/>
      </c>
      <c r="D43" s="8">
        <f>'balance_raw_17881248'!$D$22</f>
        <v/>
      </c>
      <c r="E43" s="8">
        <f>'balance_raw_17881248'!$E$22</f>
        <v/>
      </c>
      <c r="F43" s="8">
        <f>'balance_raw_17881248'!$F$22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Likvide beholdninger</t>
        </is>
      </c>
      <c r="B44" s="5">
        <f>'balance_raw_17881248'!$B$23</f>
        <v/>
      </c>
      <c r="C44" s="5">
        <f>'balance_raw_17881248'!$C$23</f>
        <v/>
      </c>
      <c r="D44" s="5">
        <f>'balance_raw_17881248'!$D$23</f>
        <v/>
      </c>
      <c r="E44" s="5">
        <f>'balance_raw_17881248'!$E$23</f>
        <v/>
      </c>
      <c r="F44" s="5">
        <f>'balance_raw_17881248'!$F$23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Omsætningsaktiver</t>
        </is>
      </c>
      <c r="B45" s="11">
        <f>'balance_raw_17881248'!$B$24</f>
        <v/>
      </c>
      <c r="C45" s="11">
        <f>'balance_raw_17881248'!$C$24</f>
        <v/>
      </c>
      <c r="D45" s="11">
        <f>'balance_raw_17881248'!$D$24</f>
        <v/>
      </c>
      <c r="E45" s="11">
        <f>'balance_raw_17881248'!$E$24</f>
        <v/>
      </c>
      <c r="F45" s="11">
        <f>'balance_raw_17881248'!$F$24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10" t="inlineStr">
        <is>
          <t>Aktiver</t>
        </is>
      </c>
      <c r="B46" s="11">
        <f>'balance_raw_17881248'!$B$25</f>
        <v/>
      </c>
      <c r="C46" s="11">
        <f>'balance_raw_17881248'!$C$25</f>
        <v/>
      </c>
      <c r="D46" s="11">
        <f>'balance_raw_17881248'!$D$25</f>
        <v/>
      </c>
      <c r="E46" s="11">
        <f>'balance_raw_17881248'!$E$25</f>
        <v/>
      </c>
      <c r="F46" s="11">
        <f>'balance_raw_17881248'!$F$25</f>
        <v/>
      </c>
      <c r="G46" t="inlineStr"/>
      <c r="H46" s="12">
        <f>IFERROR(B46/$B$46*100,"")</f>
        <v/>
      </c>
      <c r="I46" s="12">
        <f>IFERROR(C46/$B$46*100,"")</f>
        <v/>
      </c>
      <c r="J46" s="12">
        <f>IFERROR(D46/$B$46*100,"")</f>
        <v/>
      </c>
      <c r="K46" s="12">
        <f>IFERROR(E46/$B$46*100,"")</f>
        <v/>
      </c>
      <c r="L46" s="12">
        <f>IFERROR(F46/$B$46*100,"")</f>
        <v/>
      </c>
    </row>
    <row r="48" ht="22" customHeight="1">
      <c r="A48" s="3" t="inlineStr">
        <is>
          <t>PASSIVER t.kr.</t>
        </is>
      </c>
      <c r="B48" s="3" t="n">
        <v>2021</v>
      </c>
      <c r="C48" s="3" t="n">
        <v>2022</v>
      </c>
      <c r="D48" s="3" t="n">
        <v>2023</v>
      </c>
      <c r="E48" s="3" t="n">
        <v>2024</v>
      </c>
      <c r="F48" s="3" t="n">
        <v>2025</v>
      </c>
      <c r="G48" t="inlineStr"/>
      <c r="H48" s="3" t="n">
        <v>2021</v>
      </c>
      <c r="I48" s="3" t="n">
        <v>2022</v>
      </c>
      <c r="J48" s="3" t="n">
        <v>2023</v>
      </c>
      <c r="K48" s="3" t="n">
        <v>2024</v>
      </c>
      <c r="L48" s="3" t="n">
        <v>2025</v>
      </c>
    </row>
    <row r="49" ht="16" customHeight="1">
      <c r="A49" s="7" t="inlineStr">
        <is>
          <t>Selskabskapital</t>
        </is>
      </c>
      <c r="B49" s="8">
        <f>'balance_raw_17881248'!$B$26</f>
        <v/>
      </c>
      <c r="C49" s="8">
        <f>'balance_raw_17881248'!$C$26</f>
        <v/>
      </c>
      <c r="D49" s="8">
        <f>'balance_raw_17881248'!$D$26</f>
        <v/>
      </c>
      <c r="E49" s="8">
        <f>'balance_raw_17881248'!$E$26</f>
        <v/>
      </c>
      <c r="F49" s="8">
        <f>'balance_raw_17881248'!$F$26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nettoopskrivning (indre værdis metode)</t>
        </is>
      </c>
      <c r="B50" s="5">
        <f>'balance_raw_17881248'!$B$27</f>
        <v/>
      </c>
      <c r="C50" s="5">
        <f>'balance_raw_17881248'!$C$27</f>
        <v/>
      </c>
      <c r="D50" s="5">
        <f>'balance_raw_17881248'!$D$27</f>
        <v/>
      </c>
      <c r="E50" s="5">
        <f>'balance_raw_17881248'!$E$27</f>
        <v/>
      </c>
      <c r="F50" s="5">
        <f>'balance_raw_17881248'!$F$27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Reserve for udviklingsomkostninger</t>
        </is>
      </c>
      <c r="B51" s="8">
        <f>'balance_raw_17881248'!$B$28</f>
        <v/>
      </c>
      <c r="C51" s="8">
        <f>'balance_raw_17881248'!$C$28</f>
        <v/>
      </c>
      <c r="D51" s="8">
        <f>'balance_raw_17881248'!$D$28</f>
        <v/>
      </c>
      <c r="E51" s="8">
        <f>'balance_raw_17881248'!$E$28</f>
        <v/>
      </c>
      <c r="F51" s="8">
        <f>'balance_raw_17881248'!$F$28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sikringstransaktioner</t>
        </is>
      </c>
      <c r="B52" s="5">
        <f>'balance_raw_17881248'!$B$29</f>
        <v/>
      </c>
      <c r="C52" s="5">
        <f>'balance_raw_17881248'!$C$29</f>
        <v/>
      </c>
      <c r="D52" s="5">
        <f>'balance_raw_17881248'!$D$29</f>
        <v/>
      </c>
      <c r="E52" s="5">
        <f>'balance_raw_17881248'!$E$29</f>
        <v/>
      </c>
      <c r="F52" s="5">
        <f>'balance_raw_17881248'!$F$29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Andre reserver</t>
        </is>
      </c>
      <c r="B53" s="8">
        <f>'balance_raw_17881248'!$B$30</f>
        <v/>
      </c>
      <c r="C53" s="8">
        <f>'balance_raw_17881248'!$C$30</f>
        <v/>
      </c>
      <c r="D53" s="8">
        <f>'balance_raw_17881248'!$D$30</f>
        <v/>
      </c>
      <c r="E53" s="8">
        <f>'balance_raw_17881248'!$E$30</f>
        <v/>
      </c>
      <c r="F53" s="8">
        <f>'balance_raw_17881248'!$F$30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Overført resultat</t>
        </is>
      </c>
      <c r="B54" s="5">
        <f>'balance_raw_17881248'!$B$31</f>
        <v/>
      </c>
      <c r="C54" s="5">
        <f>'balance_raw_17881248'!$C$31</f>
        <v/>
      </c>
      <c r="D54" s="5">
        <f>'balance_raw_17881248'!$D$31</f>
        <v/>
      </c>
      <c r="E54" s="5">
        <f>'balance_raw_17881248'!$E$31</f>
        <v/>
      </c>
      <c r="F54" s="5">
        <f>'balance_raw_17881248'!$F$31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Egenkapital i alt</t>
        </is>
      </c>
      <c r="B55" s="11">
        <f>'balance_raw_17881248'!$B$32</f>
        <v/>
      </c>
      <c r="C55" s="11">
        <f>'balance_raw_17881248'!$C$32</f>
        <v/>
      </c>
      <c r="D55" s="11">
        <f>'balance_raw_17881248'!$D$32</f>
        <v/>
      </c>
      <c r="E55" s="11">
        <f>'balance_raw_17881248'!$E$32</f>
        <v/>
      </c>
      <c r="F55" s="11">
        <f>'balance_raw_17881248'!$F$32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10" t="inlineStr">
        <is>
          <t>Hensatte forpligtelser</t>
        </is>
      </c>
      <c r="B56" s="11">
        <f>'balance_raw_17881248'!$B$33</f>
        <v/>
      </c>
      <c r="C56" s="11">
        <f>'balance_raw_17881248'!$C$33</f>
        <v/>
      </c>
      <c r="D56" s="11">
        <f>'balance_raw_17881248'!$D$33</f>
        <v/>
      </c>
      <c r="E56" s="11">
        <f>'balance_raw_17881248'!$E$33</f>
        <v/>
      </c>
      <c r="F56" s="11">
        <f>'balance_raw_17881248'!$F$33</f>
        <v/>
      </c>
      <c r="G56" t="inlineStr"/>
      <c r="H56" s="12">
        <f>IFERROR(B56/$B$56*100,"")</f>
        <v/>
      </c>
      <c r="I56" s="12">
        <f>IFERROR(C56/$B$56*100,"")</f>
        <v/>
      </c>
      <c r="J56" s="12">
        <f>IFERROR(D56/$B$56*100,"")</f>
        <v/>
      </c>
      <c r="K56" s="12">
        <f>IFERROR(E56/$B$56*100,"")</f>
        <v/>
      </c>
      <c r="L56" s="12">
        <f>IFERROR(F56/$B$56*100,"")</f>
        <v/>
      </c>
    </row>
    <row r="57" ht="16" customHeight="1">
      <c r="A57" s="7" t="inlineStr">
        <is>
          <t>Ansvarlig lånekapital (langfristet)</t>
        </is>
      </c>
      <c r="B57" s="8">
        <f>'balance_raw_17881248'!$B$34</f>
        <v/>
      </c>
      <c r="C57" s="8">
        <f>'balance_raw_17881248'!$C$34</f>
        <v/>
      </c>
      <c r="D57" s="8">
        <f>'balance_raw_17881248'!$D$34</f>
        <v/>
      </c>
      <c r="E57" s="8">
        <f>'balance_raw_17881248'!$E$34</f>
        <v/>
      </c>
      <c r="F57" s="8">
        <f>'balance_raw_17881248'!$F$34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Langfristede lån</t>
        </is>
      </c>
      <c r="B58" s="5">
        <f>'balance_raw_17881248'!$B$35</f>
        <v/>
      </c>
      <c r="C58" s="5">
        <f>'balance_raw_17881248'!$C$35</f>
        <v/>
      </c>
      <c r="D58" s="5">
        <f>'balance_raw_17881248'!$D$35</f>
        <v/>
      </c>
      <c r="E58" s="5">
        <f>'balance_raw_17881248'!$E$35</f>
        <v/>
      </c>
      <c r="F58" s="5">
        <f>'balance_raw_17881248'!$F$35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Leasingforpligtelser (langfristet)</t>
        </is>
      </c>
      <c r="B59" s="8">
        <f>'balance_raw_17881248'!$B$36</f>
        <v/>
      </c>
      <c r="C59" s="8">
        <f>'balance_raw_17881248'!$C$36</f>
        <v/>
      </c>
      <c r="D59" s="8">
        <f>'balance_raw_17881248'!$D$36</f>
        <v/>
      </c>
      <c r="E59" s="8">
        <f>'balance_raw_17881248'!$E$36</f>
        <v/>
      </c>
      <c r="F59" s="8">
        <f>'balance_raw_17881248'!$F$36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Anden gæld (langfristet)</t>
        </is>
      </c>
      <c r="B60" s="5">
        <f>'balance_raw_17881248'!$B$37</f>
        <v/>
      </c>
      <c r="C60" s="5">
        <f>'balance_raw_17881248'!$C$37</f>
        <v/>
      </c>
      <c r="D60" s="5">
        <f>'balance_raw_17881248'!$D$37</f>
        <v/>
      </c>
      <c r="E60" s="5">
        <f>'balance_raw_17881248'!$E$37</f>
        <v/>
      </c>
      <c r="F60" s="5">
        <f>'balance_raw_17881248'!$F$37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Langfristede gældsforpligtelser</t>
        </is>
      </c>
      <c r="B61" s="11">
        <f>'balance_raw_17881248'!$B$38</f>
        <v/>
      </c>
      <c r="C61" s="11">
        <f>'balance_raw_17881248'!$C$38</f>
        <v/>
      </c>
      <c r="D61" s="11">
        <f>'balance_raw_17881248'!$D$38</f>
        <v/>
      </c>
      <c r="E61" s="11">
        <f>'balance_raw_17881248'!$E$38</f>
        <v/>
      </c>
      <c r="F61" s="11">
        <f>'balance_raw_17881248'!$F$38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Ansvarlig lånekapital (kortfristet)</t>
        </is>
      </c>
      <c r="B62" s="5">
        <f>'balance_raw_17881248'!$B$39</f>
        <v/>
      </c>
      <c r="C62" s="5">
        <f>'balance_raw_17881248'!$C$39</f>
        <v/>
      </c>
      <c r="D62" s="5">
        <f>'balance_raw_17881248'!$D$39</f>
        <v/>
      </c>
      <c r="E62" s="5">
        <f>'balance_raw_17881248'!$E$39</f>
        <v/>
      </c>
      <c r="F62" s="5">
        <f>'balance_raw_17881248'!$F$39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Kortfristet del af langfristede gældsforpligtelser</t>
        </is>
      </c>
      <c r="B63" s="8">
        <f>'balance_raw_17881248'!$B$40</f>
        <v/>
      </c>
      <c r="C63" s="8">
        <f>'balance_raw_17881248'!$C$40</f>
        <v/>
      </c>
      <c r="D63" s="8">
        <f>'balance_raw_17881248'!$D$40</f>
        <v/>
      </c>
      <c r="E63" s="8">
        <f>'balance_raw_17881248'!$E$40</f>
        <v/>
      </c>
      <c r="F63" s="8">
        <f>'balance_raw_17881248'!$F$40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Kreditinstitutter</t>
        </is>
      </c>
      <c r="B64" s="5">
        <f>'balance_raw_17881248'!$B$41</f>
        <v/>
      </c>
      <c r="C64" s="5">
        <f>'balance_raw_17881248'!$C$41</f>
        <v/>
      </c>
      <c r="D64" s="5">
        <f>'balance_raw_17881248'!$D$41</f>
        <v/>
      </c>
      <c r="E64" s="5">
        <f>'balance_raw_17881248'!$E$41</f>
        <v/>
      </c>
      <c r="F64" s="5">
        <f>'balance_raw_17881248'!$F$41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Leasingforpligtelser (kortfristet)</t>
        </is>
      </c>
      <c r="B65" s="8">
        <f>'balance_raw_17881248'!$B$42</f>
        <v/>
      </c>
      <c r="C65" s="8">
        <f>'balance_raw_17881248'!$C$42</f>
        <v/>
      </c>
      <c r="D65" s="8">
        <f>'balance_raw_17881248'!$D$42</f>
        <v/>
      </c>
      <c r="E65" s="8">
        <f>'balance_raw_17881248'!$E$42</f>
        <v/>
      </c>
      <c r="F65" s="8">
        <f>'balance_raw_17881248'!$F$42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Leverandører af varer og tjenesteydelser</t>
        </is>
      </c>
      <c r="B66" s="5">
        <f>'balance_raw_17881248'!$B$43</f>
        <v/>
      </c>
      <c r="C66" s="5">
        <f>'balance_raw_17881248'!$C$43</f>
        <v/>
      </c>
      <c r="D66" s="5">
        <f>'balance_raw_17881248'!$D$43</f>
        <v/>
      </c>
      <c r="E66" s="5">
        <f>'balance_raw_17881248'!$E$43</f>
        <v/>
      </c>
      <c r="F66" s="5">
        <f>'balance_raw_17881248'!$F$43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tilknyttede virksomheder</t>
        </is>
      </c>
      <c r="B67" s="8">
        <f>'balance_raw_17881248'!$B$44</f>
        <v/>
      </c>
      <c r="C67" s="8">
        <f>'balance_raw_17881248'!$C$44</f>
        <v/>
      </c>
      <c r="D67" s="8">
        <f>'balance_raw_17881248'!$D$44</f>
        <v/>
      </c>
      <c r="E67" s="8">
        <f>'balance_raw_17881248'!$E$44</f>
        <v/>
      </c>
      <c r="F67" s="8">
        <f>'balance_raw_17881248'!$F$44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selskabsdeltagere og ledelse</t>
        </is>
      </c>
      <c r="B68" s="5">
        <f>'balance_raw_17881248'!$B$45</f>
        <v/>
      </c>
      <c r="C68" s="5">
        <f>'balance_raw_17881248'!$C$45</f>
        <v/>
      </c>
      <c r="D68" s="5">
        <f>'balance_raw_17881248'!$D$45</f>
        <v/>
      </c>
      <c r="E68" s="5">
        <f>'balance_raw_17881248'!$E$45</f>
        <v/>
      </c>
      <c r="F68" s="5">
        <f>'balance_raw_17881248'!$F$45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Selskabsskat</t>
        </is>
      </c>
      <c r="B69" s="8">
        <f>'balance_raw_17881248'!$B$46</f>
        <v/>
      </c>
      <c r="C69" s="8">
        <f>'balance_raw_17881248'!$C$46</f>
        <v/>
      </c>
      <c r="D69" s="8">
        <f>'balance_raw_17881248'!$D$46</f>
        <v/>
      </c>
      <c r="E69" s="8">
        <f>'balance_raw_17881248'!$E$46</f>
        <v/>
      </c>
      <c r="F69" s="8">
        <f>'balance_raw_17881248'!$F$46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 vedr. selskabsskat</t>
        </is>
      </c>
      <c r="B70" s="5">
        <f>'balance_raw_17881248'!$B$47</f>
        <v/>
      </c>
      <c r="C70" s="5">
        <f>'balance_raw_17881248'!$C$47</f>
        <v/>
      </c>
      <c r="D70" s="5">
        <f>'balance_raw_17881248'!$D$47</f>
        <v/>
      </c>
      <c r="E70" s="5">
        <f>'balance_raw_17881248'!$E$47</f>
        <v/>
      </c>
      <c r="F70" s="5">
        <f>'balance_raw_17881248'!$F$47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Anden gæld (kortfristet)</t>
        </is>
      </c>
      <c r="B71" s="8">
        <f>'balance_raw_17881248'!$B$48</f>
        <v/>
      </c>
      <c r="C71" s="8">
        <f>'balance_raw_17881248'!$C$48</f>
        <v/>
      </c>
      <c r="D71" s="8">
        <f>'balance_raw_17881248'!$D$48</f>
        <v/>
      </c>
      <c r="E71" s="8">
        <f>'balance_raw_17881248'!$E$48</f>
        <v/>
      </c>
      <c r="F71" s="8">
        <f>'balance_raw_17881248'!$F$48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Periodeafgrænsningsposter (passiver)</t>
        </is>
      </c>
      <c r="B72" s="5">
        <f>'balance_raw_17881248'!$B$49</f>
        <v/>
      </c>
      <c r="C72" s="5">
        <f>'balance_raw_17881248'!$C$49</f>
        <v/>
      </c>
      <c r="D72" s="5">
        <f>'balance_raw_17881248'!$D$49</f>
        <v/>
      </c>
      <c r="E72" s="5">
        <f>'balance_raw_17881248'!$E$49</f>
        <v/>
      </c>
      <c r="F72" s="5">
        <f>'balance_raw_17881248'!$F$49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Kortfristede gældsforpligtelser</t>
        </is>
      </c>
      <c r="B73" s="11">
        <f>'balance_raw_17881248'!$B$50</f>
        <v/>
      </c>
      <c r="C73" s="11">
        <f>'balance_raw_17881248'!$C$50</f>
        <v/>
      </c>
      <c r="D73" s="11">
        <f>'balance_raw_17881248'!$D$50</f>
        <v/>
      </c>
      <c r="E73" s="11">
        <f>'balance_raw_17881248'!$E$50</f>
        <v/>
      </c>
      <c r="F73" s="11">
        <f>'balance_raw_17881248'!$F$50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10" t="inlineStr">
        <is>
          <t>Gældsforpligtelser</t>
        </is>
      </c>
      <c r="B74" s="11">
        <f>'balance_raw_17881248'!$B$51</f>
        <v/>
      </c>
      <c r="C74" s="11">
        <f>'balance_raw_17881248'!$C$51</f>
        <v/>
      </c>
      <c r="D74" s="11">
        <f>'balance_raw_17881248'!$D$51</f>
        <v/>
      </c>
      <c r="E74" s="11">
        <f>'balance_raw_17881248'!$E$51</f>
        <v/>
      </c>
      <c r="F74" s="11">
        <f>'balance_raw_17881248'!$F$51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5" ht="16" customHeight="1">
      <c r="A75" s="10" t="inlineStr">
        <is>
          <t>Passiver</t>
        </is>
      </c>
      <c r="B75" s="11">
        <f>'balance_raw_17881248'!$B$52</f>
        <v/>
      </c>
      <c r="C75" s="11">
        <f>'balance_raw_17881248'!$C$52</f>
        <v/>
      </c>
      <c r="D75" s="11">
        <f>'balance_raw_17881248'!$D$52</f>
        <v/>
      </c>
      <c r="E75" s="11">
        <f>'balance_raw_17881248'!$E$52</f>
        <v/>
      </c>
      <c r="F75" s="11">
        <f>'balance_raw_17881248'!$F$52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7" ht="22" customHeight="1">
      <c r="A77" s="3" t="inlineStr">
        <is>
          <t>NØGLEOPLYSNINGER</t>
        </is>
      </c>
      <c r="B77" s="3" t="n">
        <v>2021</v>
      </c>
      <c r="C77" s="3" t="n">
        <v>2022</v>
      </c>
      <c r="D77" s="3" t="n">
        <v>2023</v>
      </c>
      <c r="E77" s="3" t="n">
        <v>2024</v>
      </c>
      <c r="F77" s="3" t="n">
        <v>2025</v>
      </c>
    </row>
    <row r="78" ht="16" customHeight="1">
      <c r="A78" s="4" t="inlineStr">
        <is>
          <t>Gns. antal medarbejdere</t>
        </is>
      </c>
      <c r="B78" s="5">
        <f>'res_raw_17881248'!$B$19</f>
        <v/>
      </c>
      <c r="C78" s="5">
        <f>'res_raw_17881248'!$C$19</f>
        <v/>
      </c>
      <c r="D78" s="5">
        <f>'res_raw_17881248'!$D$19</f>
        <v/>
      </c>
      <c r="E78" s="5">
        <f>'res_raw_17881248'!$E$19</f>
        <v/>
      </c>
      <c r="F78" s="5">
        <f>'res_raw_17881248'!$F$19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Investering i materielle anlægsaktiver</t>
        </is>
      </c>
      <c r="B79" s="8">
        <f>'res_raw_17881248'!$B$20</f>
        <v/>
      </c>
      <c r="C79" s="8">
        <f>'res_raw_17881248'!$C$20</f>
        <v/>
      </c>
      <c r="D79" s="8">
        <f>'res_raw_17881248'!$D$20</f>
        <v/>
      </c>
      <c r="E79" s="8">
        <f>'res_raw_17881248'!$E$20</f>
        <v/>
      </c>
      <c r="F79" s="8">
        <f>'res_raw_17881248'!$F$20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1" ht="22" customHeight="1">
      <c r="A81" s="3" t="inlineStr">
        <is>
          <t>NØGLETAL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Afkastningsgrad, %</t>
        </is>
      </c>
      <c r="B82" s="13">
        <f>IFERROR(($B$13+$B$15+$B$14)/$B$46*100,"")</f>
        <v/>
      </c>
      <c r="C82" s="13">
        <f>IFERROR(($C$13+$C$15+$C$14)/$C$46*100,"")</f>
        <v/>
      </c>
      <c r="D82" s="13">
        <f>IFERROR(($D$13+$D$15+$D$14)/$D$46*100,"")</f>
        <v/>
      </c>
      <c r="E82" s="13">
        <f>IFERROR(($E$13+$E$15+$E$14)/$E$46*100,"")</f>
        <v/>
      </c>
      <c r="F82" s="13">
        <f>IFERROR(($F$13+$F$15+$F$14)/$F$46*100,"")</f>
        <v/>
      </c>
    </row>
    <row r="83" ht="16" customHeight="1">
      <c r="A83" s="7" t="inlineStr">
        <is>
          <t>Overskudsgrad, %</t>
        </is>
      </c>
      <c r="B83" s="14">
        <f>IFERROR(($B$13+$B$15+$B$14)/$B$4*100,"")</f>
        <v/>
      </c>
      <c r="C83" s="14">
        <f>IFERROR(($C$13+$C$15+$C$14)/$C$4*100,"")</f>
        <v/>
      </c>
      <c r="D83" s="14">
        <f>IFERROR(($D$13+$D$15+$D$14)/$D$4*100,"")</f>
        <v/>
      </c>
      <c r="E83" s="14">
        <f>IFERROR(($E$13+$E$15+$E$14)/$E$4*100,"")</f>
        <v/>
      </c>
      <c r="F83" s="14">
        <f>IFERROR(($F$13+$F$15+$F$14)/$F$4*100,"")</f>
        <v/>
      </c>
    </row>
    <row r="84" ht="16" customHeight="1">
      <c r="A84" s="4" t="inlineStr">
        <is>
          <t>Aktivernes omsætningshastighed, gange</t>
        </is>
      </c>
      <c r="B84" s="13">
        <f>IFERROR($B$4/$B$46,"")</f>
        <v/>
      </c>
      <c r="C84" s="13">
        <f>IFERROR($C$4/$C$46,"")</f>
        <v/>
      </c>
      <c r="D84" s="13">
        <f>IFERROR($D$4/$D$46,"")</f>
        <v/>
      </c>
      <c r="E84" s="13">
        <f>IFERROR($E$4/$E$46,"")</f>
        <v/>
      </c>
      <c r="F84" s="13">
        <f>IFERROR($F$4/$F$46,"")</f>
        <v/>
      </c>
    </row>
    <row r="85" ht="16" customHeight="1">
      <c r="A85" s="7" t="inlineStr">
        <is>
          <t>Egenkapitalens forrentning, %</t>
        </is>
      </c>
      <c r="B85" s="14">
        <f>IFERROR($B$18/$B$55*100,"")</f>
        <v/>
      </c>
      <c r="C85" s="14">
        <f>IFERROR($C$18/$C$55*100,"")</f>
        <v/>
      </c>
      <c r="D85" s="14">
        <f>IFERROR($D$18/$D$55*100,"")</f>
        <v/>
      </c>
      <c r="E85" s="14">
        <f>IFERROR($E$18/$E$55*100,"")</f>
        <v/>
      </c>
      <c r="F85" s="14">
        <f>IFERROR($F$18/$F$55*100,"")</f>
        <v/>
      </c>
    </row>
    <row r="86" ht="16" customHeight="1">
      <c r="A86" s="4" t="inlineStr">
        <is>
          <t>Gældsrente, %</t>
        </is>
      </c>
      <c r="B86" s="13">
        <f>IFERROR($B$16/($B$75-$B$55)*100,"")</f>
        <v/>
      </c>
      <c r="C86" s="13">
        <f>IFERROR($C$16/($C$75-$C$55)*100,"")</f>
        <v/>
      </c>
      <c r="D86" s="13">
        <f>IFERROR($D$16/($D$75-$D$55)*100,"")</f>
        <v/>
      </c>
      <c r="E86" s="13">
        <f>IFERROR($E$16/($E$75-$E$55)*100,"")</f>
        <v/>
      </c>
      <c r="F86" s="13">
        <f>IFERROR($F$16/($F$75-$F$55)*100,"")</f>
        <v/>
      </c>
    </row>
    <row r="87" ht="16" customHeight="1">
      <c r="A87" s="7" t="inlineStr">
        <is>
          <t>Soliditetsgrad, %</t>
        </is>
      </c>
      <c r="B87" s="14">
        <f>IFERROR($B$55/$B$46*100,"")</f>
        <v/>
      </c>
      <c r="C87" s="14">
        <f>IFERROR($C$55/$C$46*100,"")</f>
        <v/>
      </c>
      <c r="D87" s="14">
        <f>IFERROR($D$55/$D$46*100,"")</f>
        <v/>
      </c>
      <c r="E87" s="14">
        <f>IFERROR($E$55/$E$46*100,"")</f>
        <v/>
      </c>
      <c r="F87" s="14">
        <f>IFERROR($F$55/$F$46*100,"")</f>
        <v/>
      </c>
    </row>
    <row r="88" ht="16" customHeight="1">
      <c r="A88" s="4" t="inlineStr">
        <is>
          <t>Gearing</t>
        </is>
      </c>
      <c r="B88" s="13">
        <f>IFERROR(($B$75-$B$55)/$B$55,"")</f>
        <v/>
      </c>
      <c r="C88" s="13">
        <f>IFERROR(($C$75-$C$55)/$C$55,"")</f>
        <v/>
      </c>
      <c r="D88" s="13">
        <f>IFERROR(($D$75-$D$55)/$D$55,"")</f>
        <v/>
      </c>
      <c r="E88" s="13">
        <f>IFERROR(($E$75-$E$55)/$E$55,"")</f>
        <v/>
      </c>
      <c r="F88" s="13">
        <f>IFERROR(($F$75-$F$55)/$F$55,"")</f>
        <v/>
      </c>
    </row>
    <row r="89" ht="16" customHeight="1">
      <c r="A89" s="7" t="inlineStr">
        <is>
          <t>Likviditetsgrad, %</t>
        </is>
      </c>
      <c r="B89" s="14">
        <f>IFERROR($B$45/$B$73*100,"")</f>
        <v/>
      </c>
      <c r="C89" s="14">
        <f>IFERROR($C$45/$C$73*100,"")</f>
        <v/>
      </c>
      <c r="D89" s="14">
        <f>IFERROR($D$45/$D$73*100,"")</f>
        <v/>
      </c>
      <c r="E89" s="14">
        <f>IFERROR($E$45/$E$73*100,"")</f>
        <v/>
      </c>
      <c r="F89" s="14">
        <f>IFERROR($F$45/$F$73*100,"")</f>
        <v/>
      </c>
    </row>
    <row r="90" ht="16" customHeight="1">
      <c r="A90" s="4" t="inlineStr">
        <is>
          <t>Rentemarginal, %</t>
        </is>
      </c>
      <c r="B90" s="13">
        <f>IFERROR(B82-B86,"")</f>
        <v/>
      </c>
      <c r="C90" s="13">
        <f>IFERROR(C82-C86,"")</f>
        <v/>
      </c>
      <c r="D90" s="13">
        <f>IFERROR(D82-D86,"")</f>
        <v/>
      </c>
      <c r="E90" s="13">
        <f>IFERROR(E82-E86,"")</f>
        <v/>
      </c>
      <c r="F90" s="13">
        <f>IFERROR(F82-F86,"")</f>
        <v/>
      </c>
    </row>
    <row r="91" ht="16" customHeight="1">
      <c r="A91" s="7" t="inlineStr">
        <is>
          <t>Gældsandel, %</t>
        </is>
      </c>
      <c r="B91" s="14">
        <f>IFERROR(($B$75-$B$55)/$B$46*100,"")</f>
        <v/>
      </c>
      <c r="C91" s="14">
        <f>IFERROR(($C$75-$C$55)/$C$46*100,"")</f>
        <v/>
      </c>
      <c r="D91" s="14">
        <f>IFERROR(($D$75-$D$55)/$D$46*100,"")</f>
        <v/>
      </c>
      <c r="E91" s="14">
        <f>IFERROR(($E$75-$E$55)/$E$46*100,"")</f>
        <v/>
      </c>
      <c r="F91" s="14">
        <f>IFERROR(($F$75-$F$55)/$F$46*100,"")</f>
        <v/>
      </c>
    </row>
    <row r="92" ht="16" customHeight="1">
      <c r="A92" s="4" t="inlineStr">
        <is>
          <t>Kapitalbindingsgrad, %</t>
        </is>
      </c>
      <c r="B92" s="13">
        <f>IFERROR($B$33/($B$55+$B$61)*100,"")</f>
        <v/>
      </c>
      <c r="C92" s="13">
        <f>IFERROR($C$33/($C$55+$C$61)*100,"")</f>
        <v/>
      </c>
      <c r="D92" s="13">
        <f>IFERROR($D$33/($D$55+$D$61)*100,"")</f>
        <v/>
      </c>
      <c r="E92" s="13">
        <f>IFERROR($E$33/($E$55+$E$61)*100,"")</f>
        <v/>
      </c>
      <c r="F92" s="13">
        <f>IFERROR($F$33/($F$55+$F$61)*100,"")</f>
        <v/>
      </c>
    </row>
    <row r="94">
      <c r="A94" s="15" t="inlineStr">
        <is>
          <t>PENGESTRØMSOPGØRELSE t.kr.</t>
        </is>
      </c>
    </row>
    <row r="95">
      <c r="A95" s="16" t="inlineStr">
        <is>
          <t>Pengestrømme fra driftsaktivitet</t>
        </is>
      </c>
      <c r="B95" s="17">
        <f>'pengestrom_raw_17881248'!$B$2</f>
        <v/>
      </c>
      <c r="C95" s="17">
        <f>'pengestrom_raw_17881248'!$C$2</f>
        <v/>
      </c>
      <c r="D95" s="17">
        <f>'pengestrom_raw_17881248'!$D$2</f>
        <v/>
      </c>
      <c r="E95" s="17">
        <f>'pengestrom_raw_17881248'!$E$2</f>
        <v/>
      </c>
      <c r="F95" s="17">
        <f>'pengestrom_raw_17881248'!$F$2</f>
        <v/>
      </c>
    </row>
    <row r="96">
      <c r="A96" s="16" t="inlineStr">
        <is>
          <t>Pengestrømme fra investeringsaktivitet</t>
        </is>
      </c>
      <c r="B96" s="17">
        <f>'pengestrom_raw_17881248'!$B$3</f>
        <v/>
      </c>
      <c r="C96" s="17">
        <f>'pengestrom_raw_17881248'!$C$3</f>
        <v/>
      </c>
      <c r="D96" s="17">
        <f>'pengestrom_raw_17881248'!$D$3</f>
        <v/>
      </c>
      <c r="E96" s="17">
        <f>'pengestrom_raw_17881248'!$E$3</f>
        <v/>
      </c>
      <c r="F96" s="17">
        <f>'pengestrom_raw_17881248'!$F$3</f>
        <v/>
      </c>
    </row>
    <row r="97">
      <c r="A97" s="16" t="inlineStr">
        <is>
          <t>Pengestrømme fra finansieringsaktivitet</t>
        </is>
      </c>
      <c r="B97" s="17">
        <f>'pengestrom_raw_17881248'!$B$4</f>
        <v/>
      </c>
      <c r="C97" s="17">
        <f>'pengestrom_raw_17881248'!$C$4</f>
        <v/>
      </c>
      <c r="D97" s="17">
        <f>'pengestrom_raw_17881248'!$D$4</f>
        <v/>
      </c>
      <c r="E97" s="17">
        <f>'pengestrom_raw_17881248'!$E$4</f>
        <v/>
      </c>
      <c r="F97" s="17">
        <f>'pengestrom_raw_17881248'!$F$4</f>
        <v/>
      </c>
    </row>
    <row r="98">
      <c r="A98" s="16" t="inlineStr">
        <is>
          <t>Årets pengestrøm (rapporteret)</t>
        </is>
      </c>
      <c r="B98" s="17">
        <f>'pengestrom_raw_17881248'!$B$5</f>
        <v/>
      </c>
      <c r="C98" s="17">
        <f>'pengestrom_raw_17881248'!$C$5</f>
        <v/>
      </c>
      <c r="D98" s="17">
        <f>'pengestrom_raw_17881248'!$D$5</f>
        <v/>
      </c>
      <c r="E98" s="17">
        <f>'pengestrom_raw_17881248'!$E$5</f>
        <v/>
      </c>
      <c r="F98" s="17">
        <f>'pengestrom_raw_17881248'!$F$5</f>
        <v/>
      </c>
    </row>
    <row r="99">
      <c r="A99" s="16" t="inlineStr">
        <is>
          <t>Krydstjek: drift + inv. + fin. = årets pengestrøm</t>
        </is>
      </c>
      <c r="B99">
        <f>IF(ABS(('pengestrom_raw_17881248'!$B$2+'pengestrom_raw_17881248'!$B$3+'pengestrom_raw_17881248'!$B$4)-'pengestrom_raw_17881248'!$B$5)&lt;=2,"✓","⚠ "&amp;TEXT(('pengestrom_raw_17881248'!$B$2+'pengestrom_raw_17881248'!$B$3+'pengestrom_raw_17881248'!$B$4)-'pengestrom_raw_17881248'!$B$5,"+#,##0;-#,##0"))</f>
        <v/>
      </c>
      <c r="C99">
        <f>IF(ABS(('pengestrom_raw_17881248'!$C$2+'pengestrom_raw_17881248'!$C$3+'pengestrom_raw_17881248'!$C$4)-'pengestrom_raw_17881248'!$C$5)&lt;=2,"✓","⚠ "&amp;TEXT(('pengestrom_raw_17881248'!$C$2+'pengestrom_raw_17881248'!$C$3+'pengestrom_raw_17881248'!$C$4)-'pengestrom_raw_17881248'!$C$5,"+#,##0;-#,##0"))</f>
        <v/>
      </c>
      <c r="D99">
        <f>IF(ABS(('pengestrom_raw_17881248'!$D$2+'pengestrom_raw_17881248'!$D$3+'pengestrom_raw_17881248'!$D$4)-'pengestrom_raw_17881248'!$D$5)&lt;=2,"✓","⚠ "&amp;TEXT(('pengestrom_raw_17881248'!$D$2+'pengestrom_raw_17881248'!$D$3+'pengestrom_raw_17881248'!$D$4)-'pengestrom_raw_17881248'!$D$5,"+#,##0;-#,##0"))</f>
        <v/>
      </c>
      <c r="E99">
        <f>IF(ABS(('pengestrom_raw_17881248'!$E$2+'pengestrom_raw_17881248'!$E$3+'pengestrom_raw_17881248'!$E$4)-'pengestrom_raw_17881248'!$E$5)&lt;=2,"✓","⚠ "&amp;TEXT(('pengestrom_raw_17881248'!$E$2+'pengestrom_raw_17881248'!$E$3+'pengestrom_raw_17881248'!$E$4)-'pengestrom_raw_17881248'!$E$5,"+#,##0;-#,##0"))</f>
        <v/>
      </c>
      <c r="F99">
        <f>IF(ABS(('pengestrom_raw_17881248'!$F$2+'pengestrom_raw_17881248'!$F$3+'pengestrom_raw_17881248'!$F$4)-'pengestrom_raw_17881248'!$F$5)&lt;=2,"✓","⚠ "&amp;TEXT(('pengestrom_raw_17881248'!$F$2+'pengestrom_raw_17881248'!$F$3+'pengestrom_raw_17881248'!$F$4)-'pengestrom_raw_17881248'!$F$5,"+#,##0;-#,##0"))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Molslinjen A/S (CVR 17881248)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1641478</v>
      </c>
      <c r="C2" s="17" t="n">
        <v>2047477</v>
      </c>
      <c r="D2" s="17" t="n">
        <v>2133489</v>
      </c>
      <c r="E2" s="17" t="n">
        <v>2249682</v>
      </c>
      <c r="F2" s="17" t="n">
        <v>2286154</v>
      </c>
    </row>
    <row r="3">
      <c r="A3" s="16" t="inlineStr">
        <is>
          <t>Andre driftsindtægter</t>
        </is>
      </c>
      <c r="B3" s="17" t="n">
        <v>7747</v>
      </c>
      <c r="C3" s="17" t="n">
        <v>2630</v>
      </c>
      <c r="D3" s="17" t="n">
        <v>30960</v>
      </c>
      <c r="E3" s="17" t="n">
        <v>75909</v>
      </c>
      <c r="F3" s="17" t="n">
        <v>32330</v>
      </c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>
        <v>352018</v>
      </c>
      <c r="C5" s="17" t="n">
        <v>329594</v>
      </c>
      <c r="D5" s="17" t="n">
        <v>363329</v>
      </c>
      <c r="E5" s="17" t="n">
        <v>403452</v>
      </c>
      <c r="F5" s="17" t="n">
        <v>437895</v>
      </c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>
        <v>-364385</v>
      </c>
      <c r="C7" s="17" t="n">
        <v>460632</v>
      </c>
      <c r="D7" s="17" t="n">
        <v>499894</v>
      </c>
      <c r="E7" s="17" t="n">
        <v>534970</v>
      </c>
      <c r="F7" s="17" t="n">
        <v>547180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-284763</v>
      </c>
      <c r="C9" s="17" t="n">
        <v>353656</v>
      </c>
      <c r="D9" s="17" t="n">
        <v>382881</v>
      </c>
      <c r="E9" s="17" t="n">
        <v>469081</v>
      </c>
      <c r="F9" s="17" t="n">
        <v>456435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267423</v>
      </c>
      <c r="C11" s="17" t="n">
        <v>249308</v>
      </c>
      <c r="D11" s="17" t="n">
        <v>262949</v>
      </c>
      <c r="E11" s="17" t="n">
        <v>264448</v>
      </c>
      <c r="F11" s="17" t="n">
        <v>271149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443</v>
      </c>
      <c r="C13" s="17" t="n">
        <v>0</v>
      </c>
      <c r="D13" s="17" t="n">
        <v>3330</v>
      </c>
      <c r="E13" s="17" t="n">
        <v>7163</v>
      </c>
      <c r="F13" s="17" t="n">
        <v>8307</v>
      </c>
    </row>
    <row r="14">
      <c r="A14" s="16" t="inlineStr">
        <is>
          <t>Finansielle omkostninger</t>
        </is>
      </c>
      <c r="B14" s="17" t="n">
        <v>136022</v>
      </c>
      <c r="C14" s="17" t="n">
        <v>150799</v>
      </c>
      <c r="D14" s="17" t="n">
        <v>135561</v>
      </c>
      <c r="E14" s="17" t="n">
        <v>129732</v>
      </c>
      <c r="F14" s="17" t="n">
        <v>109409</v>
      </c>
    </row>
    <row r="15">
      <c r="A15" s="15" t="inlineStr">
        <is>
          <t>Finansielle poster, netto</t>
        </is>
      </c>
      <c r="B15" s="17" t="n">
        <v>-135579</v>
      </c>
      <c r="C15" s="17" t="n">
        <v>-150799</v>
      </c>
      <c r="D15" s="17" t="n">
        <v>-132231</v>
      </c>
      <c r="E15" s="17" t="n">
        <v>-122569</v>
      </c>
      <c r="F15" s="17" t="n">
        <v>-101102</v>
      </c>
    </row>
    <row r="16">
      <c r="A16" s="15" t="inlineStr">
        <is>
          <t>Resultat før skat</t>
        </is>
      </c>
      <c r="B16" s="17" t="n">
        <v>131844</v>
      </c>
      <c r="C16" s="17" t="n">
        <v>98509</v>
      </c>
      <c r="D16" s="17" t="n">
        <v>130718</v>
      </c>
      <c r="E16" s="17" t="n">
        <v>141879</v>
      </c>
      <c r="F16" s="17" t="n">
        <v>170047</v>
      </c>
    </row>
    <row r="17">
      <c r="A17" s="16" t="inlineStr">
        <is>
          <t>Skat af årets resultat</t>
        </is>
      </c>
      <c r="B17" s="17" t="n">
        <v>242</v>
      </c>
      <c r="C17" s="17" t="n">
        <v>211</v>
      </c>
      <c r="D17" s="17" t="n">
        <v>-93</v>
      </c>
      <c r="E17" s="17" t="n">
        <v>-618</v>
      </c>
      <c r="F17" s="17" t="n">
        <v>85</v>
      </c>
    </row>
    <row r="18">
      <c r="A18" s="15" t="inlineStr">
        <is>
          <t>Årets resultat</t>
        </is>
      </c>
      <c r="B18" s="17" t="n">
        <v>131602</v>
      </c>
      <c r="C18" s="17" t="n">
        <v>98298</v>
      </c>
      <c r="D18" s="17" t="n">
        <v>130811</v>
      </c>
      <c r="E18" s="17" t="n">
        <v>142497</v>
      </c>
      <c r="F18" s="17" t="n">
        <v>169962</v>
      </c>
    </row>
    <row r="19">
      <c r="A19" s="16" t="inlineStr">
        <is>
          <t>Gns. antal medarbejdere</t>
        </is>
      </c>
      <c r="B19" s="17" t="n">
        <v>780</v>
      </c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>
        <v>16526</v>
      </c>
      <c r="C20" s="17" t="n"/>
      <c r="D20" s="17" t="n"/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Molslinjen A/S (CVR 17881248)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>
        <v>295837</v>
      </c>
      <c r="C3" s="17" t="n">
        <v>263564</v>
      </c>
      <c r="D3" s="17" t="n">
        <v>231290</v>
      </c>
      <c r="E3" s="17" t="n">
        <v>199017</v>
      </c>
      <c r="F3" s="17" t="n">
        <v>166744</v>
      </c>
    </row>
    <row r="4">
      <c r="A4" s="16" t="inlineStr">
        <is>
          <t>Goodwill</t>
        </is>
      </c>
      <c r="B4" s="17" t="n">
        <v>3682402</v>
      </c>
      <c r="C4" s="17" t="n">
        <v>3682402</v>
      </c>
      <c r="D4" s="17" t="n">
        <v>3682402</v>
      </c>
      <c r="E4" s="17" t="n">
        <v>3682402</v>
      </c>
      <c r="F4" s="17" t="n">
        <v>3682402</v>
      </c>
    </row>
    <row r="5">
      <c r="A5" s="15" t="inlineStr">
        <is>
          <t>Immaterielle anlægsaktiver</t>
        </is>
      </c>
      <c r="B5" s="17" t="n">
        <v>4200116</v>
      </c>
      <c r="C5" s="17" t="n">
        <v>4143638</v>
      </c>
      <c r="D5" s="17" t="n">
        <v>4087160</v>
      </c>
      <c r="E5" s="17" t="n">
        <v>4030682</v>
      </c>
      <c r="F5" s="17" t="n">
        <v>3974204</v>
      </c>
    </row>
    <row r="6">
      <c r="A6" s="16" t="inlineStr">
        <is>
          <t>Grunde og bygninger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/>
      <c r="C10" s="17" t="n">
        <v>660546</v>
      </c>
      <c r="D10" s="17" t="n">
        <v>228191</v>
      </c>
      <c r="E10" s="17" t="n">
        <v>394990</v>
      </c>
      <c r="F10" s="17" t="n">
        <v>1381468</v>
      </c>
    </row>
    <row r="11">
      <c r="A11" s="15" t="inlineStr">
        <is>
          <t>Materielle anlægsaktiver</t>
        </is>
      </c>
      <c r="B11" s="17" t="n">
        <v>3678310</v>
      </c>
      <c r="C11" s="17" t="n">
        <v>56540</v>
      </c>
      <c r="D11" s="17" t="n">
        <v>73038</v>
      </c>
      <c r="E11" s="17" t="n">
        <v>84910</v>
      </c>
      <c r="F11" s="17" t="n">
        <v>105973</v>
      </c>
    </row>
    <row r="12">
      <c r="A12" s="15" t="inlineStr">
        <is>
          <t>Anlægsaktiver</t>
        </is>
      </c>
      <c r="B12" s="17" t="n">
        <v>7878556</v>
      </c>
      <c r="C12" s="17" t="n">
        <v>8009467</v>
      </c>
      <c r="D12" s="17" t="n">
        <v>7751429</v>
      </c>
      <c r="E12" s="17" t="n">
        <v>7647581</v>
      </c>
      <c r="F12" s="17" t="n">
        <v>9120825</v>
      </c>
    </row>
    <row r="13">
      <c r="A13" s="15" t="inlineStr">
        <is>
          <t>Varebeholdninger</t>
        </is>
      </c>
      <c r="B13" s="17" t="n">
        <v>92931</v>
      </c>
      <c r="C13" s="17" t="n">
        <v>109648</v>
      </c>
      <c r="D13" s="17" t="n">
        <v>137502</v>
      </c>
      <c r="E13" s="17" t="n">
        <v>116993</v>
      </c>
      <c r="F13" s="17" t="n">
        <v>113559</v>
      </c>
    </row>
    <row r="14">
      <c r="A14" s="16" t="inlineStr">
        <is>
          <t>Tilgodehavender fra salg og tjenesteydelser</t>
        </is>
      </c>
      <c r="B14" s="17" t="n"/>
      <c r="C14" s="17" t="n">
        <v>15735</v>
      </c>
      <c r="D14" s="17" t="n">
        <v>22764</v>
      </c>
      <c r="E14" s="17" t="n">
        <v>28039</v>
      </c>
      <c r="F14" s="17" t="n">
        <v>35532</v>
      </c>
    </row>
    <row r="15">
      <c r="A15" s="16" t="inlineStr">
        <is>
          <t>Tilgodehavender hos tilknyttede virksomheder</t>
        </is>
      </c>
      <c r="B15" s="17" t="n"/>
      <c r="C15" s="17" t="n"/>
      <c r="D15" s="17" t="n"/>
      <c r="E15" s="17" t="n"/>
      <c r="F15" s="17" t="n"/>
    </row>
    <row r="16">
      <c r="A16" s="16" t="inlineStr">
        <is>
          <t>Andre tilgodehavender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Periodeafgrænsningsposter (aktiver)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Udskudt skatteaktiv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Tilgodehavende skat hos tilknyttede virksomheder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Kortfristede skattetilgodehavender</t>
        </is>
      </c>
      <c r="B20" s="17" t="n"/>
      <c r="C20" s="17" t="n"/>
      <c r="D20" s="17" t="n"/>
      <c r="E20" s="17" t="n"/>
      <c r="F20" s="17" t="n"/>
    </row>
    <row r="21">
      <c r="A21" s="15" t="inlineStr">
        <is>
          <t>Tilgodehavender</t>
        </is>
      </c>
      <c r="B21" s="17" t="n">
        <v>78427</v>
      </c>
      <c r="C21" s="17" t="n">
        <v>51793</v>
      </c>
      <c r="D21" s="17" t="n">
        <v>36718</v>
      </c>
      <c r="E21" s="17" t="n">
        <v>65897</v>
      </c>
      <c r="F21" s="17" t="n">
        <v>119396</v>
      </c>
    </row>
    <row r="22">
      <c r="A22" s="16" t="inlineStr">
        <is>
          <t>Værdipapirer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Likvide beholdninger</t>
        </is>
      </c>
      <c r="B23" s="17" t="n">
        <v>436876</v>
      </c>
      <c r="C23" s="17" t="n">
        <v>40516</v>
      </c>
      <c r="D23" s="17" t="n">
        <v>125575</v>
      </c>
      <c r="E23" s="17" t="n">
        <v>280579</v>
      </c>
      <c r="F23" s="17" t="n">
        <v>47372</v>
      </c>
    </row>
    <row r="24">
      <c r="A24" s="15" t="inlineStr">
        <is>
          <t>Omsætningsaktiver</t>
        </is>
      </c>
      <c r="B24" s="17" t="n">
        <v>625477</v>
      </c>
      <c r="C24" s="17" t="n">
        <v>217692</v>
      </c>
      <c r="D24" s="17" t="n">
        <v>338718</v>
      </c>
      <c r="E24" s="17" t="n">
        <v>600404</v>
      </c>
      <c r="F24" s="17" t="n">
        <v>363138</v>
      </c>
    </row>
    <row r="25">
      <c r="A25" s="15" t="inlineStr">
        <is>
          <t>Aktiver</t>
        </is>
      </c>
      <c r="B25" s="17" t="n">
        <v>8504033</v>
      </c>
      <c r="C25" s="17" t="n">
        <v>8227159</v>
      </c>
      <c r="D25" s="17" t="n">
        <v>8090147</v>
      </c>
      <c r="E25" s="17" t="n">
        <v>8247985</v>
      </c>
      <c r="F25" s="17" t="n">
        <v>9483963</v>
      </c>
    </row>
    <row r="26">
      <c r="A26" s="16" t="inlineStr">
        <is>
          <t>Selskabskapital</t>
        </is>
      </c>
      <c r="B26" s="17" t="n">
        <v>284100</v>
      </c>
      <c r="C26" s="17" t="n">
        <v>283487</v>
      </c>
      <c r="D26" s="17" t="n">
        <v>283487</v>
      </c>
      <c r="E26" s="17" t="n">
        <v>283487</v>
      </c>
      <c r="F26" s="17" t="n">
        <v>283487</v>
      </c>
    </row>
    <row r="27">
      <c r="A27" s="16" t="inlineStr">
        <is>
          <t>Reserve for nettoopskrivning (indre værdis metode)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Reserve for udviklingsomkostninger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Reserve for sikringstransaktioner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Andre reserver</t>
        </is>
      </c>
      <c r="B30" s="17" t="n">
        <v>49006</v>
      </c>
      <c r="C30" s="17" t="n">
        <v>14842</v>
      </c>
      <c r="D30" s="17" t="n">
        <v>-31961</v>
      </c>
      <c r="E30" s="17" t="n">
        <v>4966</v>
      </c>
      <c r="F30" s="17" t="n">
        <v>-31092</v>
      </c>
    </row>
    <row r="31">
      <c r="A31" s="16" t="inlineStr">
        <is>
          <t>Overført resultat</t>
        </is>
      </c>
      <c r="B31" s="17" t="n">
        <v>5220436</v>
      </c>
      <c r="C31" s="17" t="n">
        <v>5308747</v>
      </c>
      <c r="D31" s="17" t="n">
        <v>5439558</v>
      </c>
      <c r="E31" s="17" t="n">
        <v>5517052</v>
      </c>
      <c r="F31" s="17" t="n">
        <v>5521765</v>
      </c>
    </row>
    <row r="32">
      <c r="A32" s="15" t="inlineStr">
        <is>
          <t>Egenkapital i alt</t>
        </is>
      </c>
      <c r="B32" s="17" t="n">
        <v>5553542</v>
      </c>
      <c r="C32" s="17" t="n">
        <v>5607076</v>
      </c>
      <c r="D32" s="17" t="n">
        <v>5691084</v>
      </c>
      <c r="E32" s="17" t="n">
        <v>5805505</v>
      </c>
      <c r="F32" s="17" t="n">
        <v>5774160</v>
      </c>
    </row>
    <row r="33">
      <c r="A33" s="15" t="inlineStr">
        <is>
          <t>Hensatte forpligtelser</t>
        </is>
      </c>
      <c r="B33" s="17" t="n">
        <v>1963</v>
      </c>
      <c r="C33" s="17" t="n">
        <v>3276</v>
      </c>
      <c r="D33" s="17" t="n">
        <v>3190</v>
      </c>
      <c r="E33" s="17" t="n">
        <v>3072</v>
      </c>
      <c r="F33" s="17" t="n">
        <v>3568</v>
      </c>
    </row>
    <row r="34">
      <c r="A34" s="16" t="inlineStr">
        <is>
          <t>Ansvarlig lånekapital (langfristet)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Langfristede lån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Leasingforpligtelser (langfristet)</t>
        </is>
      </c>
      <c r="B36" s="17" t="n">
        <v>1323965</v>
      </c>
      <c r="C36" s="17" t="n">
        <v>965884</v>
      </c>
      <c r="D36" s="17" t="n">
        <v>822171</v>
      </c>
      <c r="E36" s="17" t="n">
        <v>791440</v>
      </c>
      <c r="F36" s="17" t="n">
        <v>938680</v>
      </c>
    </row>
    <row r="37">
      <c r="A37" s="16" t="inlineStr">
        <is>
          <t>Anden gæld (langfristet)</t>
        </is>
      </c>
      <c r="B37" s="17" t="n"/>
      <c r="C37" s="17" t="n"/>
      <c r="D37" s="17" t="n"/>
      <c r="E37" s="17" t="n"/>
      <c r="F37" s="17" t="n"/>
    </row>
    <row r="38">
      <c r="A38" s="15" t="inlineStr">
        <is>
          <t>Langfristede gældsforpligtelser</t>
        </is>
      </c>
      <c r="B38" s="17" t="n">
        <v>2268836</v>
      </c>
      <c r="C38" s="17" t="n">
        <v>1126814</v>
      </c>
      <c r="D38" s="17" t="n">
        <v>1099628</v>
      </c>
      <c r="E38" s="17" t="n">
        <v>1068952</v>
      </c>
      <c r="F38" s="17" t="n">
        <v>2284116</v>
      </c>
    </row>
    <row r="39">
      <c r="A39" s="16" t="inlineStr">
        <is>
          <t>Ansvarlig lånekapital (kortfristet)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Kortfristet del af langfristede gældsforpligtelser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Kreditinstitutter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Leasingforpligtelser (kortfristet)</t>
        </is>
      </c>
      <c r="B42" s="17" t="n">
        <v>284892</v>
      </c>
      <c r="C42" s="17" t="n">
        <v>368600</v>
      </c>
      <c r="D42" s="17" t="n">
        <v>162277</v>
      </c>
      <c r="E42" s="17" t="n">
        <v>166040</v>
      </c>
      <c r="F42" s="17" t="n">
        <v>163410</v>
      </c>
    </row>
    <row r="43">
      <c r="A43" s="16" t="inlineStr">
        <is>
          <t>Leverandører af varer og tjenesteydelser</t>
        </is>
      </c>
      <c r="B43" s="17" t="n">
        <v>74317</v>
      </c>
      <c r="C43" s="17" t="n">
        <v>96884</v>
      </c>
      <c r="D43" s="17" t="n">
        <v>103393</v>
      </c>
      <c r="E43" s="17" t="n">
        <v>141231</v>
      </c>
      <c r="F43" s="17" t="n">
        <v>123136</v>
      </c>
    </row>
    <row r="44">
      <c r="A44" s="16" t="inlineStr">
        <is>
          <t>Gæld til tilknyttede virksomheder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Gæld til selskabsdeltagere og ledelse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Selskabsskat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Gæld til tilknyttede virksomheder vedr. selskabsskat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Anden gæld (kortfristet)</t>
        </is>
      </c>
      <c r="B48" s="17" t="n">
        <v>136335</v>
      </c>
      <c r="C48" s="17" t="n">
        <v>88364</v>
      </c>
      <c r="D48" s="17" t="n">
        <v>138716</v>
      </c>
      <c r="E48" s="17" t="n">
        <v>115121</v>
      </c>
      <c r="F48" s="17" t="n">
        <v>227413</v>
      </c>
    </row>
    <row r="49">
      <c r="A49" s="16" t="inlineStr">
        <is>
          <t>Periodeafgrænsningsposter (passiver)</t>
        </is>
      </c>
      <c r="B49" s="17" t="n"/>
      <c r="C49" s="17" t="n">
        <v>42831</v>
      </c>
      <c r="D49" s="17" t="n">
        <v>46673</v>
      </c>
      <c r="E49" s="17" t="n">
        <v>55396</v>
      </c>
      <c r="F49" s="17" t="n">
        <v>62949</v>
      </c>
    </row>
    <row r="50">
      <c r="A50" s="15" t="inlineStr">
        <is>
          <t>Kortfristede gældsforpligtelser</t>
        </is>
      </c>
      <c r="B50" s="17" t="n">
        <v>681655</v>
      </c>
      <c r="C50" s="17" t="n">
        <v>1493269</v>
      </c>
      <c r="D50" s="17" t="n">
        <v>1299435</v>
      </c>
      <c r="E50" s="17" t="n">
        <v>1373528</v>
      </c>
      <c r="F50" s="17" t="n">
        <v>1425687</v>
      </c>
    </row>
    <row r="51">
      <c r="A51" s="15" t="inlineStr">
        <is>
          <t>Gældsforpligtelser</t>
        </is>
      </c>
      <c r="B51" s="17" t="n">
        <v>2950491</v>
      </c>
      <c r="C51" s="17" t="n">
        <v>2620083</v>
      </c>
      <c r="D51" s="17" t="n">
        <v>2399063</v>
      </c>
      <c r="E51" s="17" t="n">
        <v>2442480</v>
      </c>
      <c r="F51" s="17" t="n">
        <v>3709803</v>
      </c>
    </row>
    <row r="52">
      <c r="A52" s="15" t="inlineStr">
        <is>
          <t>Passiver</t>
        </is>
      </c>
      <c r="B52" s="17" t="n">
        <v>8504033</v>
      </c>
      <c r="C52" s="17" t="n">
        <v>8227159</v>
      </c>
      <c r="D52" s="17" t="n">
        <v>8090147</v>
      </c>
      <c r="E52" s="17" t="n">
        <v>8247985</v>
      </c>
      <c r="F52" s="17" t="n">
        <v>9483963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Molslinjen A/S (CVR 17881248)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373127</v>
      </c>
      <c r="C2" s="17" t="n">
        <v>402102</v>
      </c>
      <c r="D2" s="17" t="n">
        <v>490840</v>
      </c>
      <c r="E2" s="17" t="n">
        <v>620786</v>
      </c>
      <c r="F2" s="17" t="n">
        <v>634958</v>
      </c>
    </row>
    <row r="3">
      <c r="A3" s="16" t="inlineStr">
        <is>
          <t>Pengestrømme fra investeringsaktivitet</t>
        </is>
      </c>
      <c r="B3" s="17" t="n">
        <v>-5041436</v>
      </c>
      <c r="C3" s="17" t="n">
        <v>-481937</v>
      </c>
      <c r="D3" s="17" t="n">
        <v>-521231</v>
      </c>
      <c r="E3" s="17" t="n">
        <v>-189530</v>
      </c>
      <c r="F3" s="17" t="n">
        <v>-1654543</v>
      </c>
    </row>
    <row r="4">
      <c r="A4" s="16" t="inlineStr">
        <is>
          <t>Pengestrømme fra finansieringsaktivitet</t>
        </is>
      </c>
      <c r="B4" s="17" t="n">
        <v>4768482</v>
      </c>
      <c r="C4" s="17" t="n">
        <v>-316525</v>
      </c>
      <c r="D4" s="17" t="n">
        <v>115450</v>
      </c>
      <c r="E4" s="17" t="n">
        <v>-276252</v>
      </c>
      <c r="F4" s="17" t="n">
        <v>786378</v>
      </c>
    </row>
    <row r="5">
      <c r="A5" s="16" t="inlineStr">
        <is>
          <t>Årets pengestrøm</t>
        </is>
      </c>
      <c r="B5" s="17" t="n">
        <v>100173</v>
      </c>
      <c r="C5" s="17" t="n">
        <v>-396360</v>
      </c>
      <c r="D5" s="17" t="n">
        <v>85059</v>
      </c>
      <c r="E5" s="17" t="n">
        <v>155004</v>
      </c>
      <c r="F5" s="17" t="n">
        <v>-233207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Molslinjen A/S (CVR 17881248) — Regnskabs- og nøgletal (CVR: 17881248)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'res_raw_17881248'!$F$2</f>
        <v/>
      </c>
      <c r="C5" s="24">
        <f>'res_raw_17881248'!$E$2</f>
        <v/>
      </c>
      <c r="D5" s="24">
        <f>'res_raw_17881248'!$D$2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'res_raw_17881248'!$F$3</f>
        <v/>
      </c>
      <c r="C6" s="24">
        <f>'res_raw_17881248'!$E$3</f>
        <v/>
      </c>
      <c r="D6" s="24">
        <f>'res_raw_17881248'!$D$3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-'res_raw_17881248'!$F$4</f>
        <v/>
      </c>
      <c r="C7" s="24">
        <f>-'res_raw_17881248'!$E$4</f>
        <v/>
      </c>
      <c r="D7" s="24">
        <f>-'res_raw_17881248'!$D$4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-'res_raw_17881248'!$F$5</f>
        <v/>
      </c>
      <c r="C8" s="24">
        <f>-'res_raw_17881248'!$E$5</f>
        <v/>
      </c>
      <c r="D8" s="24">
        <f>-'res_raw_17881248'!$D$5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IF(ABS((SUM(B5:B8))-'res_raw_17881248'!$F$6)&lt;=2,SUM(B5:B8),'res_raw_17881248'!$F$6)</f>
        <v/>
      </c>
      <c r="C9" s="27">
        <f>IF(ABS((SUM(C5:C8))-'res_raw_17881248'!$E$6)&lt;=2,SUM(C5:C8),'res_raw_17881248'!$E$6)</f>
        <v/>
      </c>
      <c r="D9" s="27">
        <f>IF(ABS((SUM(D5:D8))-'res_raw_17881248'!$D$6)&lt;=2,SUM(D5:D8),'res_raw_17881248'!$D$6)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-'res_raw_17881248'!$F$7</f>
        <v/>
      </c>
      <c r="C10" s="24">
        <f>-'res_raw_17881248'!$E$7</f>
        <v/>
      </c>
      <c r="D10" s="24">
        <f>-'res_raw_17881248'!$D$7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-'res_raw_17881248'!$F$9</f>
        <v/>
      </c>
      <c r="C11" s="24">
        <f>-'res_raw_17881248'!$E$9</f>
        <v/>
      </c>
      <c r="D11" s="24">
        <f>-'res_raw_17881248'!$D$9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-'res_raw_17881248'!$F$10</f>
        <v/>
      </c>
      <c r="C12" s="24">
        <f>-'res_raw_17881248'!$E$10</f>
        <v/>
      </c>
      <c r="D12" s="24">
        <f>-'res_raw_17881248'!$D$10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IF(ABS((SUM(B9:B12))-'res_raw_17881248'!$F$11)&lt;=2,SUM(B9:B12),'res_raw_17881248'!$F$11)</f>
        <v/>
      </c>
      <c r="C13" s="27">
        <f>IF(ABS((SUM(C9:C12))-'res_raw_17881248'!$E$11)&lt;=2,SUM(C9:C12),'res_raw_17881248'!$E$11)</f>
        <v/>
      </c>
      <c r="D13" s="27">
        <f>IF(ABS((SUM(D9:D12))-'res_raw_17881248'!$D$11)&lt;=2,SUM(D9:D12),'res_raw_17881248'!$D$11)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N('res_raw_17881248'!$F$12)+N('res_raw_17881248'!$F$13)</f>
        <v/>
      </c>
      <c r="C14" s="24">
        <f>N('res_raw_17881248'!$E$12)+N('res_raw_17881248'!$E$13)</f>
        <v/>
      </c>
      <c r="D14" s="24">
        <f>N('res_raw_17881248'!$D$12)+N('res_raw_17881248'!$D$13)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-'res_raw_17881248'!$F$14</f>
        <v/>
      </c>
      <c r="C15" s="24">
        <f>-'res_raw_17881248'!$E$14</f>
        <v/>
      </c>
      <c r="D15" s="24">
        <f>-'res_raw_17881248'!$D$14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IF(ABS((SUM(B13:B15))-'res_raw_17881248'!$F$16)&lt;=2,SUM(B13:B15),'res_raw_17881248'!$F$16)</f>
        <v/>
      </c>
      <c r="C16" s="27">
        <f>IF(ABS((SUM(C13:C15))-'res_raw_17881248'!$E$16)&lt;=2,SUM(C13:C15),'res_raw_17881248'!$E$16)</f>
        <v/>
      </c>
      <c r="D16" s="27">
        <f>IF(ABS((SUM(D13:D15))-'res_raw_17881248'!$D$16)&lt;=2,SUM(D13:D15),'res_raw_17881248'!$D$16)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'balance_raw_17881248'!$F$12</f>
        <v/>
      </c>
      <c r="C19" s="24">
        <f>'balance_raw_17881248'!$E$12</f>
        <v/>
      </c>
      <c r="D19" s="24">
        <f>'balance_raw_17881248'!$D$12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'balance_raw_17881248'!$F$24</f>
        <v/>
      </c>
      <c r="C20" s="24">
        <f>'balance_raw_17881248'!$E$24</f>
        <v/>
      </c>
      <c r="D20" s="24">
        <f>'balance_raw_17881248'!$D$24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'balance_raw_17881248'!$F$32</f>
        <v/>
      </c>
      <c r="C23" s="24">
        <f>'balance_raw_17881248'!$E$32</f>
        <v/>
      </c>
      <c r="D23" s="24">
        <f>'balance_raw_17881248'!$D$32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'balance_raw_17881248'!$F$52-'balance_raw_17881248'!$F$32</f>
        <v/>
      </c>
      <c r="C24" s="24">
        <f>'balance_raw_17881248'!$E$52-'balance_raw_17881248'!$E$32</f>
        <v/>
      </c>
      <c r="D24" s="24">
        <f>'balance_raw_17881248'!$D$52-'balance_raw_17881248'!$D$32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'balance_raw_17881248'!$F$13</f>
        <v/>
      </c>
      <c r="C28" s="24">
        <f>'balance_raw_17881248'!$E$13</f>
        <v/>
      </c>
      <c r="D28" s="24">
        <f>'balance_raw_17881248'!$D$13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'balance_raw_17881248'!$F$14</f>
        <v/>
      </c>
      <c r="C29" s="24">
        <f>'balance_raw_17881248'!$E$14</f>
        <v/>
      </c>
      <c r="D29" s="24">
        <f>'balance_raw_17881248'!$D$14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'balance_raw_17881248'!$F$50</f>
        <v/>
      </c>
      <c r="C30" s="24">
        <f>'balance_raw_17881248'!$E$50</f>
        <v/>
      </c>
      <c r="D30" s="24">
        <f>'balance_raw_17881248'!$D$50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IF('balance_raw_17881248'!$F$25="","—",IF(ABS(B21-'balance_raw_17881248'!$F$25)&lt;=1,"✓ OK","❌ "&amp;TEXT(B21-'balance_raw_17881248'!$F$25,"+#,##0;-#,##0")&amp;" t.kr."))</f>
        <v/>
      </c>
      <c r="C61" s="29">
        <f>IF('balance_raw_17881248'!$E$25="","—",IF(ABS(C21-'balance_raw_17881248'!$E$25)&lt;=1,"✓ OK","❌ "&amp;TEXT(C21-'balance_raw_17881248'!$E$25,"+#,##0;-#,##0")&amp;" t.kr."))</f>
        <v/>
      </c>
      <c r="D61" s="29">
        <f>IF('balance_raw_17881248'!$D$25="","—",IF(ABS(D21-'balance_raw_17881248'!$D$25)&lt;=1,"✓ OK","❌ "&amp;TEXT(D21-'balance_raw_17881248'!$D$25,"+#,##0;-#,##0")&amp;"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IF('balance_raw_17881248'!$F$52="","—",IF(ABS(B25-'balance_raw_17881248'!$F$52)&lt;=1,"✓ OK","❌ "&amp;TEXT(B25-'balance_raw_17881248'!$F$52,"+#,##0;-#,##0")&amp;" t.kr."))</f>
        <v/>
      </c>
      <c r="C62" s="29">
        <f>IF('balance_raw_17881248'!$E$52="","—",IF(ABS(C25-'balance_raw_17881248'!$E$52)&lt;=1,"✓ OK","❌ "&amp;TEXT(C25-'balance_raw_17881248'!$E$52,"+#,##0;-#,##0")&amp;" t.kr."))</f>
        <v/>
      </c>
      <c r="D62" s="29">
        <f>IF('balance_raw_17881248'!$D$52="","—",IF(ABS(D25-'balance_raw_17881248'!$D$52)&lt;=1,"✓ OK","❌ "&amp;TEXT(D25-'balance_raw_17881248'!$D$52,"+#,##0;-#,##0")&amp;"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IF('res_raw_17881248'!$F$6="","—",IF(ABS(B9-'res_raw_17881248'!$F$6)&lt;=1,"✓ OK","❌ "&amp;TEXT(B9-'res_raw_17881248'!$F$6,"+#,##0;-#,##0")&amp;" t.kr."))</f>
        <v/>
      </c>
      <c r="C64" s="29">
        <f>IF('res_raw_17881248'!$E$6="","—",IF(ABS(C9-'res_raw_17881248'!$E$6)&lt;=1,"✓ OK","❌ "&amp;TEXT(C9-'res_raw_17881248'!$E$6,"+#,##0;-#,##0")&amp;" t.kr."))</f>
        <v/>
      </c>
      <c r="D64" s="29">
        <f>IF('res_raw_17881248'!$D$6="","—",IF(ABS(D9-'res_raw_17881248'!$D$6)&lt;=1,"✓ OK","❌ "&amp;TEXT(D9-'res_raw_17881248'!$D$6,"+#,##0;-#,##0")&amp;"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IF('res_raw_17881248'!$F$11="","—",IF(ABS(B13-'res_raw_17881248'!$F$11)&lt;=1,"✓ OK","❌ "&amp;TEXT(B13-'res_raw_17881248'!$F$11,"+#,##0;-#,##0")&amp;" t.kr."))</f>
        <v/>
      </c>
      <c r="C65" s="29">
        <f>IF('res_raw_17881248'!$E$11="","—",IF(ABS(C13-'res_raw_17881248'!$E$11)&lt;=1,"✓ OK","❌ "&amp;TEXT(C13-'res_raw_17881248'!$E$11,"+#,##0;-#,##0")&amp;" t.kr."))</f>
        <v/>
      </c>
      <c r="D65" s="29">
        <f>IF('res_raw_17881248'!$D$11="","—",IF(ABS(D13-'res_raw_17881248'!$D$11)&lt;=1,"✓ OK","❌ "&amp;TEXT(D13-'res_raw_17881248'!$D$11,"+#,##0;-#,##0")&amp;"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IF('res_raw_17881248'!$F$16="","—",IF(ABS(B16-'res_raw_17881248'!$F$16)&lt;=1,"✓ OK","❌ "&amp;TEXT(B16-'res_raw_17881248'!$F$16,"+#,##0;-#,##0")&amp;" t.kr."))</f>
        <v/>
      </c>
      <c r="C66" s="29">
        <f>IF('res_raw_17881248'!$E$16="","—",IF(ABS(C16-'res_raw_17881248'!$E$16)&lt;=1,"✓ OK","❌ "&amp;TEXT(C16-'res_raw_17881248'!$E$16,"+#,##0;-#,##0")&amp;" t.kr."))</f>
        <v/>
      </c>
      <c r="D66" s="29">
        <f>IF('res_raw_17881248'!$D$16="","—",IF(ABS(D16-'res_raw_17881248'!$D$16)&lt;=1,"✓ OK","❌ "&amp;TEXT(D16-'res_raw_17881248'!$D$16,"+#,##0;-#,##0")&amp;"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Molslinjen A/S (CVR 17881248)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ifrs-full:AdjustmentsForDepreciationExpense</t>
        </is>
      </c>
      <c r="C3" s="34" t="inlineStr">
        <is>
          <t>ifrs-full:AdjustmentsForDepreciationExpense</t>
        </is>
      </c>
      <c r="D3" s="35" t="n"/>
      <c r="E3" s="35" t="n">
        <v>353656</v>
      </c>
      <c r="F3" s="35" t="n">
        <v>382881</v>
      </c>
      <c r="G3" s="35" t="n">
        <v>469081</v>
      </c>
      <c r="H3" s="35" t="n">
        <v>456435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ifrs-full:CurrentProvisionsForEmployeeBenefits</t>
        </is>
      </c>
      <c r="C4" s="37" t="inlineStr">
        <is>
          <t>ifrs-full:CurrentProvisionsForEmployeeBenefits</t>
        </is>
      </c>
      <c r="D4" s="38" t="n">
        <v>676</v>
      </c>
      <c r="E4" s="38" t="n">
        <v>107</v>
      </c>
      <c r="F4" s="38" t="n">
        <v>16</v>
      </c>
      <c r="G4" s="38" t="n">
        <v>16</v>
      </c>
      <c r="H4" s="38" t="n">
        <v>8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ifrs-full:Ships</t>
        </is>
      </c>
      <c r="C5" s="34" t="inlineStr">
        <is>
          <t>ifrs-full:Ships</t>
        </is>
      </c>
      <c r="D5" s="35" t="n"/>
      <c r="E5" s="35" t="n">
        <v>2455952</v>
      </c>
      <c r="F5" s="35" t="n">
        <v>2562469</v>
      </c>
      <c r="G5" s="35" t="n">
        <v>2375372</v>
      </c>
      <c r="H5" s="35" t="n">
        <v>2830749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ifrs-full:TradeAndOtherCurrentReceivablesDueFromRelatedParties</t>
        </is>
      </c>
      <c r="C6" s="37" t="inlineStr">
        <is>
          <t>ifrs-full:TradeAndOtherCurrentReceivablesDueFromRelatedParties</t>
        </is>
      </c>
      <c r="D6" s="38" t="n"/>
      <c r="E6" s="38" t="n"/>
      <c r="F6" s="38" t="n">
        <v>16159</v>
      </c>
      <c r="G6" s="38" t="n">
        <v>108896</v>
      </c>
      <c r="H6" s="38" t="n">
        <v>47279</v>
      </c>
      <c r="I6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2026-10-02T21:14:00Z</dcterms:created>
  <dcterms:modified xmlns:dcterms="http://purl.org/dc/terms/" xmlns:xsi="http://www.w3.org/2001/XMLSchema-instance" xsi:type="dcterms:W3CDTF">2026-10-02T21:14:00Z</dcterms:modified>
</cp:coreProperties>
</file>