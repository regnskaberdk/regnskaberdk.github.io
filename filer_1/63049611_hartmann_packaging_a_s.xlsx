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'pengestrom_raw_63049611'!$B$2</f>
        <v/>
      </c>
      <c r="C97" s="17">
        <f>'pengestrom_raw_63049611'!$C$2</f>
        <v/>
      </c>
      <c r="D97" s="17">
        <f>'pengestrom_raw_63049611'!$D$2</f>
        <v/>
      </c>
      <c r="E97" s="17">
        <f>'pengestrom_raw_63049611'!$E$2</f>
        <v/>
      </c>
      <c r="F97" s="17">
        <f>'pengestrom_raw_63049611'!$F$2</f>
        <v/>
      </c>
    </row>
    <row r="98">
      <c r="A98" s="16" t="inlineStr">
        <is>
          <t>Pengestrømme fra investeringsaktivitet</t>
        </is>
      </c>
      <c r="B98" s="17">
        <f>'pengestrom_raw_63049611'!$B$3</f>
        <v/>
      </c>
      <c r="C98" s="17">
        <f>'pengestrom_raw_63049611'!$C$3</f>
        <v/>
      </c>
      <c r="D98" s="17">
        <f>'pengestrom_raw_63049611'!$D$3</f>
        <v/>
      </c>
      <c r="E98" s="17">
        <f>'pengestrom_raw_63049611'!$E$3</f>
        <v/>
      </c>
      <c r="F98" s="17">
        <f>'pengestrom_raw_63049611'!$F$3</f>
        <v/>
      </c>
    </row>
    <row r="99">
      <c r="A99" s="16" t="inlineStr">
        <is>
          <t>Pengestrømme fra finansieringsaktivitet</t>
        </is>
      </c>
      <c r="B99" s="17">
        <f>'pengestrom_raw_63049611'!$B$4</f>
        <v/>
      </c>
      <c r="C99" s="17">
        <f>'pengestrom_raw_63049611'!$C$4</f>
        <v/>
      </c>
      <c r="D99" s="17">
        <f>'pengestrom_raw_63049611'!$D$4</f>
        <v/>
      </c>
      <c r="E99" s="17">
        <f>'pengestrom_raw_63049611'!$E$4</f>
        <v/>
      </c>
      <c r="F99" s="17">
        <f>'pengestrom_raw_63049611'!$F$4</f>
        <v/>
      </c>
    </row>
    <row r="100">
      <c r="A100" s="16" t="inlineStr">
        <is>
          <t>Årets pengestrøm (rapporteret)</t>
        </is>
      </c>
      <c r="B100" s="17">
        <f>'pengestrom_raw_63049611'!$B$5</f>
        <v/>
      </c>
      <c r="C100" s="17">
        <f>'pengestrom_raw_63049611'!$C$5</f>
        <v/>
      </c>
      <c r="D100" s="17">
        <f>'pengestrom_raw_63049611'!$D$5</f>
        <v/>
      </c>
      <c r="E100" s="17">
        <f>'pengestrom_raw_63049611'!$E$5</f>
        <v/>
      </c>
      <c r="F100" s="17">
        <f>'pengestrom_raw_63049611'!$F$5</f>
        <v/>
      </c>
    </row>
    <row r="101">
      <c r="A101" s="16" t="inlineStr">
        <is>
          <t>Krydstjek: drift + inv. + fin. = årets pengestrøm</t>
        </is>
      </c>
      <c r="B101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1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1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1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1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/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433600</v>
      </c>
      <c r="F5" s="17" t="n">
        <v>443800</v>
      </c>
    </row>
    <row r="6">
      <c r="A6" s="16" t="inlineStr">
        <is>
          <t>Administrationsomkostninger</t>
        </is>
      </c>
      <c r="B6" s="17" t="n">
        <v>113400</v>
      </c>
      <c r="C6" s="17" t="n">
        <v>149400</v>
      </c>
      <c r="D6" s="17" t="n">
        <v>160200</v>
      </c>
      <c r="E6" s="17" t="n">
        <v>229100</v>
      </c>
      <c r="F6" s="17" t="n">
        <v>237400</v>
      </c>
    </row>
    <row r="7">
      <c r="A7" s="16" t="inlineStr">
        <is>
          <t>Andre driftsindtægter</t>
        </is>
      </c>
      <c r="B7" s="17" t="n"/>
      <c r="C7" s="17" t="n">
        <v>8200</v>
      </c>
      <c r="D7" s="17" t="n">
        <v>-2900</v>
      </c>
      <c r="E7" s="17" t="n">
        <v>-3500</v>
      </c>
      <c r="F7" s="17" t="n">
        <v>400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3500</v>
      </c>
      <c r="F8" s="17" t="n"/>
    </row>
    <row r="9">
      <c r="A9" s="15" t="inlineStr">
        <is>
          <t>Resultat af primær drift</t>
        </is>
      </c>
      <c r="B9" s="17" t="n"/>
      <c r="C9" s="17" t="n"/>
      <c r="D9" s="17" t="n">
        <v>331000</v>
      </c>
      <c r="E9" s="17" t="n">
        <v>570000</v>
      </c>
      <c r="F9" s="17" t="n">
        <v>665900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200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36900</v>
      </c>
      <c r="C11" s="17" t="n">
        <v>27200</v>
      </c>
      <c r="D11" s="17" t="n">
        <v>44900</v>
      </c>
      <c r="E11" s="17" t="n">
        <v>57200</v>
      </c>
      <c r="F11" s="17" t="n">
        <v>27500</v>
      </c>
    </row>
    <row r="12">
      <c r="A12" s="16" t="inlineStr">
        <is>
          <t>Finansielle omkostninger</t>
        </is>
      </c>
      <c r="B12" s="17" t="n">
        <v>46300</v>
      </c>
      <c r="C12" s="17" t="n">
        <v>98900</v>
      </c>
      <c r="D12" s="17" t="n">
        <v>123700</v>
      </c>
      <c r="E12" s="17" t="n">
        <v>85600</v>
      </c>
      <c r="F12" s="17" t="n">
        <v>91500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105500</v>
      </c>
      <c r="C14" s="17" t="n">
        <v>132400</v>
      </c>
      <c r="D14" s="17" t="n">
        <v>252300</v>
      </c>
      <c r="E14" s="17" t="n">
        <v>541600</v>
      </c>
      <c r="F14" s="17" t="n">
        <v>601900</v>
      </c>
    </row>
    <row r="15">
      <c r="A15" s="16" t="inlineStr">
        <is>
          <t>Skat af årets resultat</t>
        </is>
      </c>
      <c r="B15" s="17" t="n">
        <v>31000</v>
      </c>
      <c r="C15" s="17" t="n">
        <v>71100</v>
      </c>
      <c r="D15" s="17" t="n"/>
      <c r="E15" s="17" t="n">
        <v>124700</v>
      </c>
      <c r="F15" s="17" t="n">
        <v>154400</v>
      </c>
    </row>
    <row r="16">
      <c r="A16" s="15" t="inlineStr">
        <is>
          <t>Årets resultat</t>
        </is>
      </c>
      <c r="B16" s="17" t="n">
        <v>74500</v>
      </c>
      <c r="C16" s="17" t="n">
        <v>61300</v>
      </c>
      <c r="D16" s="17" t="n">
        <v>158700</v>
      </c>
      <c r="E16" s="17" t="n">
        <v>416900</v>
      </c>
      <c r="F16" s="17" t="n">
        <v>447500</v>
      </c>
    </row>
    <row r="17">
      <c r="A17" s="16" t="inlineStr">
        <is>
          <t>Gns. antal medarbejdere</t>
        </is>
      </c>
      <c r="B17" s="17" t="n"/>
      <c r="C17" s="17" t="n"/>
      <c r="D17" s="17" t="n">
        <v>2796</v>
      </c>
      <c r="E17" s="17" t="n">
        <v>3064</v>
      </c>
      <c r="F17" s="17" t="n">
        <v>3296</v>
      </c>
    </row>
    <row r="18">
      <c r="A18" s="16" t="inlineStr">
        <is>
          <t>Investering i materielle anlægsaktiver</t>
        </is>
      </c>
      <c r="B18" s="17" t="n">
        <v>370700</v>
      </c>
      <c r="C18" s="17" t="n">
        <v>163500</v>
      </c>
      <c r="D18" s="17" t="n">
        <v>-268500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>
        <v>100000</v>
      </c>
      <c r="H5" s="35" t="n">
        <v>-100000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>
        <v>400</v>
      </c>
      <c r="H6" s="38" t="n">
        <v>1100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>
        <v>10200</v>
      </c>
      <c r="H7" s="35" t="n">
        <v>8400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>
        <v>-491500</v>
      </c>
      <c r="H8" s="38" t="n">
        <v>-588200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>
        <v>0</v>
      </c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fsa:ShorttermReceivablesFromOwnersOtherCompanies</t>
        </is>
      </c>
      <c r="C10" s="37" t="inlineStr">
        <is>
          <t>fsa:ShorttermReceivablesFromOwnersOtherCompanies</t>
        </is>
      </c>
      <c r="D10" s="38" t="n"/>
      <c r="E10" s="38" t="n"/>
      <c r="F10" s="38" t="n"/>
      <c r="G10" s="38" t="n"/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ifrs-full:AdjustmentsForReconcileProfitLoss</t>
        </is>
      </c>
      <c r="C11" s="34" t="inlineStr">
        <is>
          <t>ifrs-full:AdjustmentsForReconcileProfitLoss</t>
        </is>
      </c>
      <c r="D11" s="35" t="n"/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ifrs-full:CurrentGovernmentGrants</t>
        </is>
      </c>
      <c r="C12" s="37" t="inlineStr">
        <is>
          <t>ifrs-full:CurrentGovernmentGrants</t>
        </is>
      </c>
      <c r="D12" s="38" t="n">
        <v>900</v>
      </c>
      <c r="E12" s="38" t="n">
        <v>100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ifrs-full:GainsLossesOnHedgesOfNetInvestmentsInForeignOperationsBeforeTax</t>
        </is>
      </c>
      <c r="C13" s="34" t="inlineStr">
        <is>
          <t>ifrs-full:GainsLossesOnHedgesOfNetInvestmentsInForeignOperationsBeforeTax</t>
        </is>
      </c>
      <c r="D13" s="35" t="n"/>
      <c r="E13" s="35" t="n"/>
      <c r="F13" s="35" t="n">
        <v>-151000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ifrs-full:GovernmentGrants</t>
        </is>
      </c>
      <c r="C14" s="37" t="inlineStr">
        <is>
          <t>ifrs-full:GovernmentGrants</t>
        </is>
      </c>
      <c r="D14" s="38" t="n">
        <v>500</v>
      </c>
      <c r="E14" s="38" t="n">
        <v>300</v>
      </c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ifrs-full:IncomeTaxRelatingToChangeInValueOfForeignCurrencyBasisSpreadsOfOtherComprehensiveIncome</t>
        </is>
      </c>
      <c r="C15" s="34" t="inlineStr">
        <is>
          <t>ifrs-full:IncomeTaxRelatingToChangeInValueOfForeignCurrencyBasisSpreadsOfOtherComprehensiveIncome</t>
        </is>
      </c>
      <c r="D15" s="35" t="n">
        <v>-2900</v>
      </c>
      <c r="E15" s="35" t="n">
        <v>800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ifrs-full:IncomeTaxRelatingToHedgesOfNetInvestmentsInForeignOperationsOfOtherComprehensiveIncome</t>
        </is>
      </c>
      <c r="C16" s="37" t="inlineStr">
        <is>
          <t>ifrs-full:IncomeTaxRelatingToHedgesOfNetInvestmentsInForeignOperationsOfOtherComprehensiveIncome</t>
        </is>
      </c>
      <c r="D16" s="38" t="n">
        <v>0</v>
      </c>
      <c r="E16" s="38" t="n">
        <v>800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ifrs-full:Machinery</t>
        </is>
      </c>
      <c r="C17" s="34" t="inlineStr">
        <is>
          <t>ifrs-full:Machinery</t>
        </is>
      </c>
      <c r="D17" s="35" t="n">
        <v>717800</v>
      </c>
      <c r="E17" s="35" t="n">
        <v>876400</v>
      </c>
      <c r="F17" s="35" t="n"/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ifrs-full:NoncurrentAssetsOrDisposalGroupsClassifiedAsHeldForSaleOrAsHeldForDistributionToOwners</t>
        </is>
      </c>
      <c r="C18" s="37" t="inlineStr">
        <is>
          <t>ifrs-full:NoncurrentAssetsOrDisposalGroupsClassifiedAsHeldForSaleOrAsHeldForDistributionToOwners</t>
        </is>
      </c>
      <c r="D18" s="38" t="n"/>
      <c r="E18" s="38" t="n">
        <v>91500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ifrs-full:NoncurrentGovernmentGrants</t>
        </is>
      </c>
      <c r="C19" s="34" t="inlineStr">
        <is>
          <t>ifrs-full:NoncurrentGovernmentGrants</t>
        </is>
      </c>
      <c r="D19" s="35" t="n"/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ifrs-full:NoncurrentReceivablesDueFromRelatedParties</t>
        </is>
      </c>
      <c r="C20" s="37" t="inlineStr">
        <is>
          <t>ifrs-full:NoncurrentReceivablesDueFromRelatedParties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ifrs-full:Prepayments</t>
        </is>
      </c>
      <c r="C21" s="34" t="inlineStr">
        <is>
          <t>ifrs-full:Prepayments</t>
        </is>
      </c>
      <c r="D21" s="35" t="n">
        <v>24300</v>
      </c>
      <c r="E21" s="35" t="n">
        <v>25500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ifrs-full:ReserveOfExchangeDifferencesOnTranslation</t>
        </is>
      </c>
      <c r="C22" s="37" t="inlineStr">
        <is>
          <t>ifrs-full:ReserveOfExchangeDifferencesOnTranslation</t>
        </is>
      </c>
      <c r="D22" s="38" t="n">
        <v>-206000</v>
      </c>
      <c r="E22" s="38" t="n">
        <v>-149000</v>
      </c>
      <c r="F22" s="38" t="n"/>
      <c r="G22" s="38" t="n"/>
      <c r="H22" s="38" t="n"/>
      <c r="I2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2026-09-16T11:56:42Z</dcterms:created>
  <dcterms:modified xmlns:dcterms="http://purl.org/dc/terms/" xmlns:xsi="http://www.w3.org/2001/XMLSchema-instance" xsi:type="dcterms:W3CDTF">2026-09-16T11:56:42Z</dcterms:modified>
</cp:coreProperties>
</file>