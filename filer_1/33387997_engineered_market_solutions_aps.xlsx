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387997" sheetId="1" state="visible" r:id="rId1"/>
    <sheet xmlns:r="http://schemas.openxmlformats.org/officeDocument/2006/relationships" name="res_raw_33387997" sheetId="2" state="visible" r:id="rId2"/>
    <sheet xmlns:r="http://schemas.openxmlformats.org/officeDocument/2006/relationships" name="balance_raw_33387997" sheetId="3" state="visible" r:id="rId3"/>
    <sheet xmlns:r="http://schemas.openxmlformats.org/officeDocument/2006/relationships" name="pengestrom_raw_33387997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Engineered Market Solutions ApS (CVR 33387997) — Regnskabsanalyse – Resultatopgørelse &amp; Balance (t.kr.) · Klasse C-mellem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'res_raw_33387997'!$B$2</f>
        <v/>
      </c>
      <c r="C4" s="5">
        <f>'res_raw_33387997'!$C$2</f>
        <v/>
      </c>
      <c r="D4" s="5">
        <f>'res_raw_33387997'!$D$2</f>
        <v/>
      </c>
      <c r="E4" s="5">
        <f>'res_raw_33387997'!$E$2</f>
        <v/>
      </c>
      <c r="F4" s="5">
        <f>'res_raw_33387997'!$F$2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'res_raw_33387997'!$B$3</f>
        <v/>
      </c>
      <c r="C5" s="8">
        <f>'res_raw_33387997'!$C$3</f>
        <v/>
      </c>
      <c r="D5" s="8">
        <f>'res_raw_33387997'!$D$3</f>
        <v/>
      </c>
      <c r="E5" s="8">
        <f>'res_raw_33387997'!$E$3</f>
        <v/>
      </c>
      <c r="F5" s="8">
        <f>'res_raw_33387997'!$F$3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'res_raw_33387997'!$B$4</f>
        <v/>
      </c>
      <c r="C6" s="5">
        <f>'res_raw_33387997'!$C$4</f>
        <v/>
      </c>
      <c r="D6" s="5">
        <f>'res_raw_33387997'!$D$4</f>
        <v/>
      </c>
      <c r="E6" s="5">
        <f>'res_raw_33387997'!$E$4</f>
        <v/>
      </c>
      <c r="F6" s="5">
        <f>'res_raw_33387997'!$F$4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'res_raw_33387997'!$B$5</f>
        <v/>
      </c>
      <c r="C7" s="8">
        <f>'res_raw_33387997'!$C$5</f>
        <v/>
      </c>
      <c r="D7" s="8">
        <f>'res_raw_33387997'!$D$5</f>
        <v/>
      </c>
      <c r="E7" s="8">
        <f>'res_raw_33387997'!$E$5</f>
        <v/>
      </c>
      <c r="F7" s="8">
        <f>'res_raw_33387997'!$F$5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'res_raw_33387997'!$B$6</f>
        <v/>
      </c>
      <c r="C8" s="11">
        <f>'res_raw_33387997'!$C$6</f>
        <v/>
      </c>
      <c r="D8" s="11">
        <f>'res_raw_33387997'!$D$6</f>
        <v/>
      </c>
      <c r="E8" s="11">
        <f>'res_raw_33387997'!$E$6</f>
        <v/>
      </c>
      <c r="F8" s="11">
        <f>'res_raw_33387997'!$F$6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'res_raw_33387997'!$B$7</f>
        <v/>
      </c>
      <c r="C9" s="8">
        <f>'res_raw_33387997'!$C$7</f>
        <v/>
      </c>
      <c r="D9" s="8">
        <f>'res_raw_33387997'!$D$7</f>
        <v/>
      </c>
      <c r="E9" s="8">
        <f>'res_raw_33387997'!$E$7</f>
        <v/>
      </c>
      <c r="F9" s="8">
        <f>'res_raw_33387997'!$F$7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'res_raw_33387997'!$B$9</f>
        <v/>
      </c>
      <c r="C11" s="8">
        <f>'res_raw_33387997'!$C$9</f>
        <v/>
      </c>
      <c r="D11" s="8">
        <f>'res_raw_33387997'!$D$9</f>
        <v/>
      </c>
      <c r="E11" s="8">
        <f>'res_raw_33387997'!$E$9</f>
        <v/>
      </c>
      <c r="F11" s="8">
        <f>'res_raw_33387997'!$F$9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'res_raw_33387997'!$B$10</f>
        <v/>
      </c>
      <c r="C12" s="5">
        <f>'res_raw_33387997'!$C$10</f>
        <v/>
      </c>
      <c r="D12" s="5">
        <f>'res_raw_33387997'!$D$10</f>
        <v/>
      </c>
      <c r="E12" s="5">
        <f>'res_raw_33387997'!$E$10</f>
        <v/>
      </c>
      <c r="F12" s="5">
        <f>'res_raw_33387997'!$F$10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'res_raw_33387997'!$B$11</f>
        <v/>
      </c>
      <c r="C13" s="11">
        <f>'res_raw_33387997'!$C$11</f>
        <v/>
      </c>
      <c r="D13" s="11">
        <f>'res_raw_33387997'!$D$11</f>
        <v/>
      </c>
      <c r="E13" s="11">
        <f>'res_raw_33387997'!$E$11</f>
        <v/>
      </c>
      <c r="F13" s="11">
        <f>'res_raw_33387997'!$F$11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'res_raw_33387997'!$B$12</f>
        <v/>
      </c>
      <c r="C14" s="5">
        <f>'res_raw_33387997'!$C$12</f>
        <v/>
      </c>
      <c r="D14" s="5">
        <f>'res_raw_33387997'!$D$12</f>
        <v/>
      </c>
      <c r="E14" s="5">
        <f>'res_raw_33387997'!$E$12</f>
        <v/>
      </c>
      <c r="F14" s="5">
        <f>'res_raw_33387997'!$F$12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'res_raw_33387997'!$B$13</f>
        <v/>
      </c>
      <c r="C15" s="8">
        <f>'res_raw_33387997'!$C$13</f>
        <v/>
      </c>
      <c r="D15" s="8">
        <f>'res_raw_33387997'!$D$13</f>
        <v/>
      </c>
      <c r="E15" s="8">
        <f>'res_raw_33387997'!$E$13</f>
        <v/>
      </c>
      <c r="F15" s="8">
        <f>'res_raw_33387997'!$F$13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'res_raw_33387997'!$B$14</f>
        <v/>
      </c>
      <c r="C16" s="5">
        <f>'res_raw_33387997'!$C$14</f>
        <v/>
      </c>
      <c r="D16" s="5">
        <f>'res_raw_33387997'!$D$14</f>
        <v/>
      </c>
      <c r="E16" s="5">
        <f>'res_raw_33387997'!$E$14</f>
        <v/>
      </c>
      <c r="F16" s="5">
        <f>'res_raw_33387997'!$F$14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'res_raw_33387997'!$B$15</f>
        <v/>
      </c>
      <c r="C17" s="11">
        <f>'res_raw_33387997'!$C$15</f>
        <v/>
      </c>
      <c r="D17" s="11">
        <f>'res_raw_33387997'!$D$15</f>
        <v/>
      </c>
      <c r="E17" s="11">
        <f>'res_raw_33387997'!$E$15</f>
        <v/>
      </c>
      <c r="F17" s="11">
        <f>'res_raw_33387997'!$F$15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'res_raw_33387997'!$B$16</f>
        <v/>
      </c>
      <c r="C18" s="11">
        <f>'res_raw_33387997'!$C$16</f>
        <v/>
      </c>
      <c r="D18" s="11">
        <f>'res_raw_33387997'!$D$16</f>
        <v/>
      </c>
      <c r="E18" s="11">
        <f>'res_raw_33387997'!$E$16</f>
        <v/>
      </c>
      <c r="F18" s="11">
        <f>'res_raw_33387997'!$F$16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'res_raw_33387997'!$B$17</f>
        <v/>
      </c>
      <c r="C19" s="8">
        <f>'res_raw_33387997'!$C$17</f>
        <v/>
      </c>
      <c r="D19" s="8">
        <f>'res_raw_33387997'!$D$17</f>
        <v/>
      </c>
      <c r="E19" s="8">
        <f>'res_raw_33387997'!$E$17</f>
        <v/>
      </c>
      <c r="F19" s="8">
        <f>'res_raw_33387997'!$F$17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'res_raw_33387997'!$B$18</f>
        <v/>
      </c>
      <c r="C20" s="11">
        <f>'res_raw_33387997'!$C$18</f>
        <v/>
      </c>
      <c r="D20" s="11">
        <f>'res_raw_33387997'!$D$18</f>
        <v/>
      </c>
      <c r="E20" s="11">
        <f>'res_raw_33387997'!$E$18</f>
        <v/>
      </c>
      <c r="F20" s="11">
        <f>'res_raw_33387997'!$F$18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'balance_raw_33387997'!$B$2</f>
        <v/>
      </c>
      <c r="C23" s="8">
        <f>'balance_raw_33387997'!$C$2</f>
        <v/>
      </c>
      <c r="D23" s="8">
        <f>'balance_raw_33387997'!$D$2</f>
        <v/>
      </c>
      <c r="E23" s="8">
        <f>'balance_raw_33387997'!$E$2</f>
        <v/>
      </c>
      <c r="F23" s="8">
        <f>'balance_raw_33387997'!$F$2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'balance_raw_33387997'!$B$3</f>
        <v/>
      </c>
      <c r="C24" s="5">
        <f>'balance_raw_33387997'!$C$3</f>
        <v/>
      </c>
      <c r="D24" s="5">
        <f>'balance_raw_33387997'!$D$3</f>
        <v/>
      </c>
      <c r="E24" s="5">
        <f>'balance_raw_33387997'!$E$3</f>
        <v/>
      </c>
      <c r="F24" s="5">
        <f>'balance_raw_33387997'!$F$3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'balance_raw_33387997'!$B$4</f>
        <v/>
      </c>
      <c r="C25" s="8">
        <f>'balance_raw_33387997'!$C$4</f>
        <v/>
      </c>
      <c r="D25" s="8">
        <f>'balance_raw_33387997'!$D$4</f>
        <v/>
      </c>
      <c r="E25" s="8">
        <f>'balance_raw_33387997'!$E$4</f>
        <v/>
      </c>
      <c r="F25" s="8">
        <f>'balance_raw_33387997'!$F$4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'balance_raw_33387997'!$B$5</f>
        <v/>
      </c>
      <c r="C26" s="11">
        <f>'balance_raw_33387997'!$C$5</f>
        <v/>
      </c>
      <c r="D26" s="11">
        <f>'balance_raw_33387997'!$D$5</f>
        <v/>
      </c>
      <c r="E26" s="11">
        <f>'balance_raw_33387997'!$E$5</f>
        <v/>
      </c>
      <c r="F26" s="11">
        <f>'balance_raw_33387997'!$F$5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'balance_raw_33387997'!$B$6</f>
        <v/>
      </c>
      <c r="C27" s="8">
        <f>'balance_raw_33387997'!$C$6</f>
        <v/>
      </c>
      <c r="D27" s="8">
        <f>'balance_raw_33387997'!$D$6</f>
        <v/>
      </c>
      <c r="E27" s="8">
        <f>'balance_raw_33387997'!$E$6</f>
        <v/>
      </c>
      <c r="F27" s="8">
        <f>'balance_raw_33387997'!$F$6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'balance_raw_33387997'!$B$7</f>
        <v/>
      </c>
      <c r="C28" s="5">
        <f>'balance_raw_33387997'!$C$7</f>
        <v/>
      </c>
      <c r="D28" s="5">
        <f>'balance_raw_33387997'!$D$7</f>
        <v/>
      </c>
      <c r="E28" s="5">
        <f>'balance_raw_33387997'!$E$7</f>
        <v/>
      </c>
      <c r="F28" s="5">
        <f>'balance_raw_33387997'!$F$7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'balance_raw_33387997'!$B$8</f>
        <v/>
      </c>
      <c r="C29" s="8">
        <f>'balance_raw_33387997'!$C$8</f>
        <v/>
      </c>
      <c r="D29" s="8">
        <f>'balance_raw_33387997'!$D$8</f>
        <v/>
      </c>
      <c r="E29" s="8">
        <f>'balance_raw_33387997'!$E$8</f>
        <v/>
      </c>
      <c r="F29" s="8">
        <f>'balance_raw_33387997'!$F$8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'balance_raw_33387997'!$B$9</f>
        <v/>
      </c>
      <c r="C30" s="5">
        <f>'balance_raw_33387997'!$C$9</f>
        <v/>
      </c>
      <c r="D30" s="5">
        <f>'balance_raw_33387997'!$D$9</f>
        <v/>
      </c>
      <c r="E30" s="5">
        <f>'balance_raw_33387997'!$E$9</f>
        <v/>
      </c>
      <c r="F30" s="5">
        <f>'balance_raw_33387997'!$F$9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'balance_raw_33387997'!$B$10</f>
        <v/>
      </c>
      <c r="C31" s="8">
        <f>'balance_raw_33387997'!$C$10</f>
        <v/>
      </c>
      <c r="D31" s="8">
        <f>'balance_raw_33387997'!$D$10</f>
        <v/>
      </c>
      <c r="E31" s="8">
        <f>'balance_raw_33387997'!$E$10</f>
        <v/>
      </c>
      <c r="F31" s="8">
        <f>'balance_raw_33387997'!$F$10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'balance_raw_33387997'!$B$11</f>
        <v/>
      </c>
      <c r="C32" s="11">
        <f>'balance_raw_33387997'!$C$11</f>
        <v/>
      </c>
      <c r="D32" s="11">
        <f>'balance_raw_33387997'!$D$11</f>
        <v/>
      </c>
      <c r="E32" s="11">
        <f>'balance_raw_33387997'!$E$11</f>
        <v/>
      </c>
      <c r="F32" s="11">
        <f>'balance_raw_33387997'!$F$11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'balance_raw_33387997'!$B$12</f>
        <v/>
      </c>
      <c r="C33" s="8">
        <f>'balance_raw_33387997'!$C$12</f>
        <v/>
      </c>
      <c r="D33" s="8">
        <f>'balance_raw_33387997'!$D$12</f>
        <v/>
      </c>
      <c r="E33" s="8">
        <f>'balance_raw_33387997'!$E$12</f>
        <v/>
      </c>
      <c r="F33" s="8">
        <f>'balance_raw_33387997'!$F$12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'balance_raw_33387997'!$B$13</f>
        <v/>
      </c>
      <c r="C34" s="5">
        <f>'balance_raw_33387997'!$C$13</f>
        <v/>
      </c>
      <c r="D34" s="5">
        <f>'balance_raw_33387997'!$D$13</f>
        <v/>
      </c>
      <c r="E34" s="5">
        <f>'balance_raw_33387997'!$E$13</f>
        <v/>
      </c>
      <c r="F34" s="5">
        <f>'balance_raw_33387997'!$F$13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'balance_raw_33387997'!$B$14</f>
        <v/>
      </c>
      <c r="C35" s="11">
        <f>'balance_raw_33387997'!$C$14</f>
        <v/>
      </c>
      <c r="D35" s="11">
        <f>'balance_raw_33387997'!$D$14</f>
        <v/>
      </c>
      <c r="E35" s="11">
        <f>'balance_raw_33387997'!$E$14</f>
        <v/>
      </c>
      <c r="F35" s="11">
        <f>'balance_raw_33387997'!$F$14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'balance_raw_33387997'!$B$15</f>
        <v/>
      </c>
      <c r="C36" s="11">
        <f>'balance_raw_33387997'!$C$15</f>
        <v/>
      </c>
      <c r="D36" s="11">
        <f>'balance_raw_33387997'!$D$15</f>
        <v/>
      </c>
      <c r="E36" s="11">
        <f>'balance_raw_33387997'!$E$15</f>
        <v/>
      </c>
      <c r="F36" s="11">
        <f>'balance_raw_33387997'!$F$15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'balance_raw_33387997'!$B$16</f>
        <v/>
      </c>
      <c r="C37" s="8">
        <f>'balance_raw_33387997'!$C$16</f>
        <v/>
      </c>
      <c r="D37" s="8">
        <f>'balance_raw_33387997'!$D$16</f>
        <v/>
      </c>
      <c r="E37" s="8">
        <f>'balance_raw_33387997'!$E$16</f>
        <v/>
      </c>
      <c r="F37" s="8">
        <f>'balance_raw_33387997'!$F$16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'balance_raw_33387997'!$B$17</f>
        <v/>
      </c>
      <c r="C38" s="5">
        <f>'balance_raw_33387997'!$C$17</f>
        <v/>
      </c>
      <c r="D38" s="5">
        <f>'balance_raw_33387997'!$D$17</f>
        <v/>
      </c>
      <c r="E38" s="5">
        <f>'balance_raw_33387997'!$E$17</f>
        <v/>
      </c>
      <c r="F38" s="5">
        <f>'balance_raw_33387997'!$F$17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'balance_raw_33387997'!$B$18</f>
        <v/>
      </c>
      <c r="C39" s="8">
        <f>'balance_raw_33387997'!$C$18</f>
        <v/>
      </c>
      <c r="D39" s="8">
        <f>'balance_raw_33387997'!$D$18</f>
        <v/>
      </c>
      <c r="E39" s="8">
        <f>'balance_raw_33387997'!$E$18</f>
        <v/>
      </c>
      <c r="F39" s="8">
        <f>'balance_raw_33387997'!$F$18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'balance_raw_33387997'!$B$19</f>
        <v/>
      </c>
      <c r="C40" s="11">
        <f>'balance_raw_33387997'!$C$19</f>
        <v/>
      </c>
      <c r="D40" s="11">
        <f>'balance_raw_33387997'!$D$19</f>
        <v/>
      </c>
      <c r="E40" s="11">
        <f>'balance_raw_33387997'!$E$19</f>
        <v/>
      </c>
      <c r="F40" s="11">
        <f>'balance_raw_33387997'!$F$19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'balance_raw_33387997'!$B$20</f>
        <v/>
      </c>
      <c r="C41" s="8">
        <f>'balance_raw_33387997'!$C$20</f>
        <v/>
      </c>
      <c r="D41" s="8">
        <f>'balance_raw_33387997'!$D$20</f>
        <v/>
      </c>
      <c r="E41" s="8">
        <f>'balance_raw_33387997'!$E$20</f>
        <v/>
      </c>
      <c r="F41" s="8">
        <f>'balance_raw_33387997'!$F$20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'balance_raw_33387997'!$B$21</f>
        <v/>
      </c>
      <c r="C42" s="5">
        <f>'balance_raw_33387997'!$C$21</f>
        <v/>
      </c>
      <c r="D42" s="5">
        <f>'balance_raw_33387997'!$D$21</f>
        <v/>
      </c>
      <c r="E42" s="5">
        <f>'balance_raw_33387997'!$E$21</f>
        <v/>
      </c>
      <c r="F42" s="5">
        <f>'balance_raw_33387997'!$F$21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'balance_raw_33387997'!$B$22</f>
        <v/>
      </c>
      <c r="C43" s="8">
        <f>'balance_raw_33387997'!$C$22</f>
        <v/>
      </c>
      <c r="D43" s="8">
        <f>'balance_raw_33387997'!$D$22</f>
        <v/>
      </c>
      <c r="E43" s="8">
        <f>'balance_raw_33387997'!$E$22</f>
        <v/>
      </c>
      <c r="F43" s="8">
        <f>'balance_raw_33387997'!$F$22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'balance_raw_33387997'!$B$23</f>
        <v/>
      </c>
      <c r="C44" s="5">
        <f>'balance_raw_33387997'!$C$23</f>
        <v/>
      </c>
      <c r="D44" s="5">
        <f>'balance_raw_33387997'!$D$23</f>
        <v/>
      </c>
      <c r="E44" s="5">
        <f>'balance_raw_33387997'!$E$23</f>
        <v/>
      </c>
      <c r="F44" s="5">
        <f>'balance_raw_33387997'!$F$23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'balance_raw_33387997'!$B$24</f>
        <v/>
      </c>
      <c r="C45" s="8">
        <f>'balance_raw_33387997'!$C$24</f>
        <v/>
      </c>
      <c r="D45" s="8">
        <f>'balance_raw_33387997'!$D$24</f>
        <v/>
      </c>
      <c r="E45" s="8">
        <f>'balance_raw_33387997'!$E$24</f>
        <v/>
      </c>
      <c r="F45" s="8">
        <f>'balance_raw_33387997'!$F$24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'balance_raw_33387997'!$B$25</f>
        <v/>
      </c>
      <c r="C46" s="5">
        <f>'balance_raw_33387997'!$C$25</f>
        <v/>
      </c>
      <c r="D46" s="5">
        <f>'balance_raw_33387997'!$D$25</f>
        <v/>
      </c>
      <c r="E46" s="5">
        <f>'balance_raw_33387997'!$E$25</f>
        <v/>
      </c>
      <c r="F46" s="5">
        <f>'balance_raw_33387997'!$F$25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'balance_raw_33387997'!$B$26</f>
        <v/>
      </c>
      <c r="C47" s="8">
        <f>'balance_raw_33387997'!$C$26</f>
        <v/>
      </c>
      <c r="D47" s="8">
        <f>'balance_raw_33387997'!$D$26</f>
        <v/>
      </c>
      <c r="E47" s="8">
        <f>'balance_raw_33387997'!$E$26</f>
        <v/>
      </c>
      <c r="F47" s="8">
        <f>'balance_raw_33387997'!$F$26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'balance_raw_33387997'!$B$27</f>
        <v/>
      </c>
      <c r="C48" s="11">
        <f>'balance_raw_33387997'!$C$27</f>
        <v/>
      </c>
      <c r="D48" s="11">
        <f>'balance_raw_33387997'!$D$27</f>
        <v/>
      </c>
      <c r="E48" s="11">
        <f>'balance_raw_33387997'!$E$27</f>
        <v/>
      </c>
      <c r="F48" s="11">
        <f>'balance_raw_33387997'!$F$27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'balance_raw_33387997'!$B$28</f>
        <v/>
      </c>
      <c r="C49" s="8">
        <f>'balance_raw_33387997'!$C$28</f>
        <v/>
      </c>
      <c r="D49" s="8">
        <f>'balance_raw_33387997'!$D$28</f>
        <v/>
      </c>
      <c r="E49" s="8">
        <f>'balance_raw_33387997'!$E$28</f>
        <v/>
      </c>
      <c r="F49" s="8">
        <f>'balance_raw_33387997'!$F$28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'balance_raw_33387997'!$B$29</f>
        <v/>
      </c>
      <c r="C50" s="5">
        <f>'balance_raw_33387997'!$C$29</f>
        <v/>
      </c>
      <c r="D50" s="5">
        <f>'balance_raw_33387997'!$D$29</f>
        <v/>
      </c>
      <c r="E50" s="5">
        <f>'balance_raw_33387997'!$E$29</f>
        <v/>
      </c>
      <c r="F50" s="5">
        <f>'balance_raw_33387997'!$F$29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'balance_raw_33387997'!$B$30</f>
        <v/>
      </c>
      <c r="C51" s="11">
        <f>'balance_raw_33387997'!$C$30</f>
        <v/>
      </c>
      <c r="D51" s="11">
        <f>'balance_raw_33387997'!$D$30</f>
        <v/>
      </c>
      <c r="E51" s="11">
        <f>'balance_raw_33387997'!$E$30</f>
        <v/>
      </c>
      <c r="F51" s="11">
        <f>'balance_raw_33387997'!$F$30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'balance_raw_33387997'!$B$31</f>
        <v/>
      </c>
      <c r="C52" s="11">
        <f>'balance_raw_33387997'!$C$31</f>
        <v/>
      </c>
      <c r="D52" s="11">
        <f>'balance_raw_33387997'!$D$31</f>
        <v/>
      </c>
      <c r="E52" s="11">
        <f>'balance_raw_33387997'!$E$31</f>
        <v/>
      </c>
      <c r="F52" s="11">
        <f>'balance_raw_33387997'!$F$31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'balance_raw_33387997'!$B$32</f>
        <v/>
      </c>
      <c r="C55" s="8">
        <f>'balance_raw_33387997'!$C$32</f>
        <v/>
      </c>
      <c r="D55" s="8">
        <f>'balance_raw_33387997'!$D$32</f>
        <v/>
      </c>
      <c r="E55" s="8">
        <f>'balance_raw_33387997'!$E$32</f>
        <v/>
      </c>
      <c r="F55" s="8">
        <f>'balance_raw_33387997'!$F$32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'balance_raw_33387997'!$B$33</f>
        <v/>
      </c>
      <c r="C56" s="5">
        <f>'balance_raw_33387997'!$C$33</f>
        <v/>
      </c>
      <c r="D56" s="5">
        <f>'balance_raw_33387997'!$D$33</f>
        <v/>
      </c>
      <c r="E56" s="5">
        <f>'balance_raw_33387997'!$E$33</f>
        <v/>
      </c>
      <c r="F56" s="5">
        <f>'balance_raw_33387997'!$F$33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'balance_raw_33387997'!$B$34</f>
        <v/>
      </c>
      <c r="C57" s="8">
        <f>'balance_raw_33387997'!$C$34</f>
        <v/>
      </c>
      <c r="D57" s="8">
        <f>'balance_raw_33387997'!$D$34</f>
        <v/>
      </c>
      <c r="E57" s="8">
        <f>'balance_raw_33387997'!$E$34</f>
        <v/>
      </c>
      <c r="F57" s="8">
        <f>'balance_raw_33387997'!$F$34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'balance_raw_33387997'!$B$35</f>
        <v/>
      </c>
      <c r="C58" s="5">
        <f>'balance_raw_33387997'!$C$35</f>
        <v/>
      </c>
      <c r="D58" s="5">
        <f>'balance_raw_33387997'!$D$35</f>
        <v/>
      </c>
      <c r="E58" s="5">
        <f>'balance_raw_33387997'!$E$35</f>
        <v/>
      </c>
      <c r="F58" s="5">
        <f>'balance_raw_33387997'!$F$35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'balance_raw_33387997'!$B$36</f>
        <v/>
      </c>
      <c r="C59" s="8">
        <f>'balance_raw_33387997'!$C$36</f>
        <v/>
      </c>
      <c r="D59" s="8">
        <f>'balance_raw_33387997'!$D$36</f>
        <v/>
      </c>
      <c r="E59" s="8">
        <f>'balance_raw_33387997'!$E$36</f>
        <v/>
      </c>
      <c r="F59" s="8">
        <f>'balance_raw_33387997'!$F$36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'balance_raw_33387997'!$B$37</f>
        <v/>
      </c>
      <c r="C60" s="5">
        <f>'balance_raw_33387997'!$C$37</f>
        <v/>
      </c>
      <c r="D60" s="5">
        <f>'balance_raw_33387997'!$D$37</f>
        <v/>
      </c>
      <c r="E60" s="5">
        <f>'balance_raw_33387997'!$E$37</f>
        <v/>
      </c>
      <c r="F60" s="5">
        <f>'balance_raw_33387997'!$F$37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'balance_raw_33387997'!$B$38</f>
        <v/>
      </c>
      <c r="C61" s="11">
        <f>'balance_raw_33387997'!$C$38</f>
        <v/>
      </c>
      <c r="D61" s="11">
        <f>'balance_raw_33387997'!$D$38</f>
        <v/>
      </c>
      <c r="E61" s="11">
        <f>'balance_raw_33387997'!$E$38</f>
        <v/>
      </c>
      <c r="F61" s="11">
        <f>'balance_raw_33387997'!$F$38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'balance_raw_33387997'!$B$39</f>
        <v/>
      </c>
      <c r="C62" s="5">
        <f>'balance_raw_33387997'!$C$39</f>
        <v/>
      </c>
      <c r="D62" s="5">
        <f>'balance_raw_33387997'!$D$39</f>
        <v/>
      </c>
      <c r="E62" s="5">
        <f>'balance_raw_33387997'!$E$39</f>
        <v/>
      </c>
      <c r="F62" s="5">
        <f>'balance_raw_33387997'!$F$39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'balance_raw_33387997'!$B$40</f>
        <v/>
      </c>
      <c r="C63" s="11">
        <f>'balance_raw_33387997'!$C$40</f>
        <v/>
      </c>
      <c r="D63" s="11">
        <f>'balance_raw_33387997'!$D$40</f>
        <v/>
      </c>
      <c r="E63" s="11">
        <f>'balance_raw_33387997'!$E$40</f>
        <v/>
      </c>
      <c r="F63" s="11">
        <f>'balance_raw_33387997'!$F$40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'balance_raw_33387997'!$B$41</f>
        <v/>
      </c>
      <c r="C64" s="5">
        <f>'balance_raw_33387997'!$C$41</f>
        <v/>
      </c>
      <c r="D64" s="5">
        <f>'balance_raw_33387997'!$D$41</f>
        <v/>
      </c>
      <c r="E64" s="5">
        <f>'balance_raw_33387997'!$E$41</f>
        <v/>
      </c>
      <c r="F64" s="5">
        <f>'balance_raw_33387997'!$F$41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'balance_raw_33387997'!$B$42</f>
        <v/>
      </c>
      <c r="C65" s="8">
        <f>'balance_raw_33387997'!$C$42</f>
        <v/>
      </c>
      <c r="D65" s="8">
        <f>'balance_raw_33387997'!$D$42</f>
        <v/>
      </c>
      <c r="E65" s="8">
        <f>'balance_raw_33387997'!$E$42</f>
        <v/>
      </c>
      <c r="F65" s="8">
        <f>'balance_raw_33387997'!$F$42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'balance_raw_33387997'!$B$43</f>
        <v/>
      </c>
      <c r="C66" s="5">
        <f>'balance_raw_33387997'!$C$43</f>
        <v/>
      </c>
      <c r="D66" s="5">
        <f>'balance_raw_33387997'!$D$43</f>
        <v/>
      </c>
      <c r="E66" s="5">
        <f>'balance_raw_33387997'!$E$43</f>
        <v/>
      </c>
      <c r="F66" s="5">
        <f>'balance_raw_33387997'!$F$43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'balance_raw_33387997'!$B$44</f>
        <v/>
      </c>
      <c r="C67" s="8">
        <f>'balance_raw_33387997'!$C$44</f>
        <v/>
      </c>
      <c r="D67" s="8">
        <f>'balance_raw_33387997'!$D$44</f>
        <v/>
      </c>
      <c r="E67" s="8">
        <f>'balance_raw_33387997'!$E$44</f>
        <v/>
      </c>
      <c r="F67" s="8">
        <f>'balance_raw_33387997'!$F$44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'balance_raw_33387997'!$B$45</f>
        <v/>
      </c>
      <c r="C68" s="11">
        <f>'balance_raw_33387997'!$C$45</f>
        <v/>
      </c>
      <c r="D68" s="11">
        <f>'balance_raw_33387997'!$D$45</f>
        <v/>
      </c>
      <c r="E68" s="11">
        <f>'balance_raw_33387997'!$E$45</f>
        <v/>
      </c>
      <c r="F68" s="11">
        <f>'balance_raw_33387997'!$F$45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'balance_raw_33387997'!$B$46</f>
        <v/>
      </c>
      <c r="C69" s="8">
        <f>'balance_raw_33387997'!$C$46</f>
        <v/>
      </c>
      <c r="D69" s="8">
        <f>'balance_raw_33387997'!$D$46</f>
        <v/>
      </c>
      <c r="E69" s="8">
        <f>'balance_raw_33387997'!$E$46</f>
        <v/>
      </c>
      <c r="F69" s="8">
        <f>'balance_raw_33387997'!$F$46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'balance_raw_33387997'!$B$47</f>
        <v/>
      </c>
      <c r="C70" s="5">
        <f>'balance_raw_33387997'!$C$47</f>
        <v/>
      </c>
      <c r="D70" s="5">
        <f>'balance_raw_33387997'!$D$47</f>
        <v/>
      </c>
      <c r="E70" s="5">
        <f>'balance_raw_33387997'!$E$47</f>
        <v/>
      </c>
      <c r="F70" s="5">
        <f>'balance_raw_33387997'!$F$47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'balance_raw_33387997'!$B$48</f>
        <v/>
      </c>
      <c r="C71" s="8">
        <f>'balance_raw_33387997'!$C$48</f>
        <v/>
      </c>
      <c r="D71" s="8">
        <f>'balance_raw_33387997'!$D$48</f>
        <v/>
      </c>
      <c r="E71" s="8">
        <f>'balance_raw_33387997'!$E$48</f>
        <v/>
      </c>
      <c r="F71" s="8">
        <f>'balance_raw_33387997'!$F$48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'balance_raw_33387997'!$B$49</f>
        <v/>
      </c>
      <c r="C72" s="5">
        <f>'balance_raw_33387997'!$C$49</f>
        <v/>
      </c>
      <c r="D72" s="5">
        <f>'balance_raw_33387997'!$D$49</f>
        <v/>
      </c>
      <c r="E72" s="5">
        <f>'balance_raw_33387997'!$E$49</f>
        <v/>
      </c>
      <c r="F72" s="5">
        <f>'balance_raw_33387997'!$F$49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'balance_raw_33387997'!$B$50</f>
        <v/>
      </c>
      <c r="C73" s="8">
        <f>'balance_raw_33387997'!$C$50</f>
        <v/>
      </c>
      <c r="D73" s="8">
        <f>'balance_raw_33387997'!$D$50</f>
        <v/>
      </c>
      <c r="E73" s="8">
        <f>'balance_raw_33387997'!$E$50</f>
        <v/>
      </c>
      <c r="F73" s="8">
        <f>'balance_raw_33387997'!$F$50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'balance_raw_33387997'!$B$51</f>
        <v/>
      </c>
      <c r="C74" s="5">
        <f>'balance_raw_33387997'!$C$51</f>
        <v/>
      </c>
      <c r="D74" s="5">
        <f>'balance_raw_33387997'!$D$51</f>
        <v/>
      </c>
      <c r="E74" s="5">
        <f>'balance_raw_33387997'!$E$51</f>
        <v/>
      </c>
      <c r="F74" s="5">
        <f>'balance_raw_33387997'!$F$51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'balance_raw_33387997'!$B$52</f>
        <v/>
      </c>
      <c r="C75" s="8">
        <f>'balance_raw_33387997'!$C$52</f>
        <v/>
      </c>
      <c r="D75" s="8">
        <f>'balance_raw_33387997'!$D$52</f>
        <v/>
      </c>
      <c r="E75" s="8">
        <f>'balance_raw_33387997'!$E$52</f>
        <v/>
      </c>
      <c r="F75" s="8">
        <f>'balance_raw_33387997'!$F$52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'balance_raw_33387997'!$B$53</f>
        <v/>
      </c>
      <c r="C76" s="5">
        <f>'balance_raw_33387997'!$C$53</f>
        <v/>
      </c>
      <c r="D76" s="5">
        <f>'balance_raw_33387997'!$D$53</f>
        <v/>
      </c>
      <c r="E76" s="5">
        <f>'balance_raw_33387997'!$E$53</f>
        <v/>
      </c>
      <c r="F76" s="5">
        <f>'balance_raw_33387997'!$F$53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'balance_raw_33387997'!$B$54</f>
        <v/>
      </c>
      <c r="C77" s="8">
        <f>'balance_raw_33387997'!$C$54</f>
        <v/>
      </c>
      <c r="D77" s="8">
        <f>'balance_raw_33387997'!$D$54</f>
        <v/>
      </c>
      <c r="E77" s="8">
        <f>'balance_raw_33387997'!$E$54</f>
        <v/>
      </c>
      <c r="F77" s="8">
        <f>'balance_raw_33387997'!$F$54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'balance_raw_33387997'!$B$55</f>
        <v/>
      </c>
      <c r="C78" s="5">
        <f>'balance_raw_33387997'!$C$55</f>
        <v/>
      </c>
      <c r="D78" s="5">
        <f>'balance_raw_33387997'!$D$55</f>
        <v/>
      </c>
      <c r="E78" s="5">
        <f>'balance_raw_33387997'!$E$55</f>
        <v/>
      </c>
      <c r="F78" s="5">
        <f>'balance_raw_33387997'!$F$55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'balance_raw_33387997'!$B$56</f>
        <v/>
      </c>
      <c r="C79" s="8">
        <f>'balance_raw_33387997'!$C$56</f>
        <v/>
      </c>
      <c r="D79" s="8">
        <f>'balance_raw_33387997'!$D$56</f>
        <v/>
      </c>
      <c r="E79" s="8">
        <f>'balance_raw_33387997'!$E$56</f>
        <v/>
      </c>
      <c r="F79" s="8">
        <f>'balance_raw_33387997'!$F$56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'balance_raw_33387997'!$B$57</f>
        <v/>
      </c>
      <c r="C80" s="11">
        <f>'balance_raw_33387997'!$C$57</f>
        <v/>
      </c>
      <c r="D80" s="11">
        <f>'balance_raw_33387997'!$D$57</f>
        <v/>
      </c>
      <c r="E80" s="11">
        <f>'balance_raw_33387997'!$E$57</f>
        <v/>
      </c>
      <c r="F80" s="11">
        <f>'balance_raw_33387997'!$F$57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'balance_raw_33387997'!$B$58</f>
        <v/>
      </c>
      <c r="C81" s="11">
        <f>'balance_raw_33387997'!$C$58</f>
        <v/>
      </c>
      <c r="D81" s="11">
        <f>'balance_raw_33387997'!$D$58</f>
        <v/>
      </c>
      <c r="E81" s="11">
        <f>'balance_raw_33387997'!$E$58</f>
        <v/>
      </c>
      <c r="F81" s="11">
        <f>'balance_raw_33387997'!$F$58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'balance_raw_33387997'!$B$59</f>
        <v/>
      </c>
      <c r="C82" s="11">
        <f>'balance_raw_33387997'!$C$59</f>
        <v/>
      </c>
      <c r="D82" s="11">
        <f>'balance_raw_33387997'!$D$59</f>
        <v/>
      </c>
      <c r="E82" s="11">
        <f>'balance_raw_33387997'!$E$59</f>
        <v/>
      </c>
      <c r="F82" s="11">
        <f>'balance_raw_33387997'!$F$59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'res_raw_33387997'!$B$19</f>
        <v/>
      </c>
      <c r="C85" s="8">
        <f>'res_raw_33387997'!$C$19</f>
        <v/>
      </c>
      <c r="D85" s="8">
        <f>'res_raw_33387997'!$D$19</f>
        <v/>
      </c>
      <c r="E85" s="8">
        <f>'res_raw_33387997'!$E$19</f>
        <v/>
      </c>
      <c r="F85" s="8">
        <f>'res_raw_33387997'!$F$19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'res_raw_33387997'!$B$20</f>
        <v/>
      </c>
      <c r="C86" s="5">
        <f>'res_raw_33387997'!$C$20</f>
        <v/>
      </c>
      <c r="D86" s="5">
        <f>'res_raw_33387997'!$D$20</f>
        <v/>
      </c>
      <c r="E86" s="5">
        <f>'res_raw_33387997'!$E$20</f>
        <v/>
      </c>
      <c r="F86" s="5">
        <f>'res_raw_33387997'!$F$20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'pengestrom_raw_33387997'!$B$2</f>
        <v/>
      </c>
      <c r="C102" s="17">
        <f>'pengestrom_raw_33387997'!$C$2</f>
        <v/>
      </c>
      <c r="D102" s="17">
        <f>'pengestrom_raw_33387997'!$D$2</f>
        <v/>
      </c>
      <c r="E102" s="17">
        <f>'pengestrom_raw_33387997'!$E$2</f>
        <v/>
      </c>
      <c r="F102" s="17">
        <f>'pengestrom_raw_33387997'!$F$2</f>
        <v/>
      </c>
    </row>
    <row r="103">
      <c r="A103" s="16" t="inlineStr">
        <is>
          <t>Pengestrømme fra investeringsaktivitet</t>
        </is>
      </c>
      <c r="B103" s="17">
        <f>'pengestrom_raw_33387997'!$B$3</f>
        <v/>
      </c>
      <c r="C103" s="17">
        <f>'pengestrom_raw_33387997'!$C$3</f>
        <v/>
      </c>
      <c r="D103" s="17">
        <f>'pengestrom_raw_33387997'!$D$3</f>
        <v/>
      </c>
      <c r="E103" s="17">
        <f>'pengestrom_raw_33387997'!$E$3</f>
        <v/>
      </c>
      <c r="F103" s="17">
        <f>'pengestrom_raw_33387997'!$F$3</f>
        <v/>
      </c>
    </row>
    <row r="104">
      <c r="A104" s="16" t="inlineStr">
        <is>
          <t>Pengestrømme fra finansieringsaktivitet</t>
        </is>
      </c>
      <c r="B104" s="17">
        <f>'pengestrom_raw_33387997'!$B$4</f>
        <v/>
      </c>
      <c r="C104" s="17">
        <f>'pengestrom_raw_33387997'!$C$4</f>
        <v/>
      </c>
      <c r="D104" s="17">
        <f>'pengestrom_raw_33387997'!$D$4</f>
        <v/>
      </c>
      <c r="E104" s="17">
        <f>'pengestrom_raw_33387997'!$E$4</f>
        <v/>
      </c>
      <c r="F104" s="17">
        <f>'pengestrom_raw_33387997'!$F$4</f>
        <v/>
      </c>
    </row>
    <row r="105">
      <c r="A105" s="16" t="inlineStr">
        <is>
          <t>Årets pengestrøm (rapporteret)</t>
        </is>
      </c>
      <c r="B105" s="17">
        <f>'pengestrom_raw_33387997'!$B$5</f>
        <v/>
      </c>
      <c r="C105" s="17">
        <f>'pengestrom_raw_33387997'!$C$5</f>
        <v/>
      </c>
      <c r="D105" s="17">
        <f>'pengestrom_raw_33387997'!$D$5</f>
        <v/>
      </c>
      <c r="E105" s="17">
        <f>'pengestrom_raw_33387997'!$E$5</f>
        <v/>
      </c>
      <c r="F105" s="17">
        <f>'pengestrom_raw_33387997'!$F$5</f>
        <v/>
      </c>
    </row>
    <row r="106">
      <c r="A106" s="16" t="inlineStr">
        <is>
          <t>Krydstjek: drift + inv. + fin. = årets pengestrøm</t>
        </is>
      </c>
      <c r="B106">
        <f>IF(ABS(('pengestrom_raw_33387997'!$B$2+'pengestrom_raw_33387997'!$B$3+'pengestrom_raw_33387997'!$B$4)-'pengestrom_raw_33387997'!$B$5)&lt;=2,"✓","⚠ "&amp;TEXT(('pengestrom_raw_33387997'!$B$2+'pengestrom_raw_33387997'!$B$3+'pengestrom_raw_33387997'!$B$4)-'pengestrom_raw_33387997'!$B$5,"+#,##0;-#,##0"))</f>
        <v/>
      </c>
      <c r="C106">
        <f>IF(ABS(('pengestrom_raw_33387997'!$C$2+'pengestrom_raw_33387997'!$C$3+'pengestrom_raw_33387997'!$C$4)-'pengestrom_raw_33387997'!$C$5)&lt;=2,"✓","⚠ "&amp;TEXT(('pengestrom_raw_33387997'!$C$2+'pengestrom_raw_33387997'!$C$3+'pengestrom_raw_33387997'!$C$4)-'pengestrom_raw_33387997'!$C$5,"+#,##0;-#,##0"))</f>
        <v/>
      </c>
      <c r="D106">
        <f>IF(ABS(('pengestrom_raw_33387997'!$D$2+'pengestrom_raw_33387997'!$D$3+'pengestrom_raw_33387997'!$D$4)-'pengestrom_raw_33387997'!$D$5)&lt;=2,"✓","⚠ "&amp;TEXT(('pengestrom_raw_33387997'!$D$2+'pengestrom_raw_33387997'!$D$3+'pengestrom_raw_33387997'!$D$4)-'pengestrom_raw_33387997'!$D$5,"+#,##0;-#,##0"))</f>
        <v/>
      </c>
      <c r="E106">
        <f>IF(ABS(('pengestrom_raw_33387997'!$E$2+'pengestrom_raw_33387997'!$E$3+'pengestrom_raw_33387997'!$E$4)-'pengestrom_raw_33387997'!$E$5)&lt;=2,"✓","⚠ "&amp;TEXT(('pengestrom_raw_33387997'!$E$2+'pengestrom_raw_33387997'!$E$3+'pengestrom_raw_33387997'!$E$4)-'pengestrom_raw_33387997'!$E$5,"+#,##0;-#,##0"))</f>
        <v/>
      </c>
      <c r="F106">
        <f>IF(ABS(('pengestrom_raw_33387997'!$F$2+'pengestrom_raw_33387997'!$F$3+'pengestrom_raw_33387997'!$F$4)-'pengestrom_raw_33387997'!$F$5)&lt;=2,"✓","⚠ "&amp;TEXT(('pengestrom_raw_33387997'!$F$2+'pengestrom_raw_33387997'!$F$3+'pengestrom_raw_33387997'!$F$4)-'pengestrom_raw_33387997'!$F$5,"+#,##0;-#,##0"))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>
        <v>0</v>
      </c>
      <c r="D3" s="17" t="n">
        <v>-213</v>
      </c>
      <c r="E3" s="17" t="n">
        <v>-50</v>
      </c>
      <c r="F3" s="17" t="n">
        <v>-229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38824</v>
      </c>
      <c r="C6" s="17" t="n">
        <v>44227</v>
      </c>
      <c r="D6" s="17" t="n">
        <v>64125</v>
      </c>
      <c r="E6" s="17" t="n">
        <v>60366</v>
      </c>
      <c r="F6" s="17" t="n">
        <v>55219</v>
      </c>
    </row>
    <row r="7">
      <c r="A7" s="16" t="inlineStr">
        <is>
          <t>Personaleomkostninger</t>
        </is>
      </c>
      <c r="B7" s="17" t="n">
        <v>31058</v>
      </c>
      <c r="C7" s="17" t="n">
        <v>39214</v>
      </c>
      <c r="D7" s="17" t="n">
        <v>55342</v>
      </c>
      <c r="E7" s="17" t="n">
        <v>58746</v>
      </c>
      <c r="F7" s="17" t="n">
        <v>52976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2207</v>
      </c>
      <c r="C9" s="17" t="n">
        <v>2848</v>
      </c>
      <c r="D9" s="17" t="n">
        <v>4027</v>
      </c>
      <c r="E9" s="17" t="n">
        <v>4686</v>
      </c>
      <c r="F9" s="17" t="n">
        <v>4651</v>
      </c>
    </row>
    <row r="10">
      <c r="A10" s="16" t="inlineStr">
        <is>
          <t>Andre driftsomkostninger</t>
        </is>
      </c>
      <c r="B10" s="17" t="n"/>
      <c r="C10" s="17" t="n">
        <v>0</v>
      </c>
      <c r="D10" s="17" t="n">
        <v>4</v>
      </c>
      <c r="E10" s="17" t="n">
        <v>0</v>
      </c>
      <c r="F10" s="17" t="n">
        <v>65</v>
      </c>
    </row>
    <row r="11">
      <c r="A11" s="15" t="inlineStr">
        <is>
          <t>Resultat af primær drift</t>
        </is>
      </c>
      <c r="B11" s="17" t="n">
        <v>5559</v>
      </c>
      <c r="C11" s="17" t="n">
        <v>2165</v>
      </c>
      <c r="D11" s="17" t="n">
        <v>4753</v>
      </c>
      <c r="E11" s="17" t="n">
        <v>-3066</v>
      </c>
      <c r="F11" s="17" t="n">
        <v>-2473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218</v>
      </c>
      <c r="C13" s="17" t="n">
        <v>201</v>
      </c>
      <c r="D13" s="17" t="n">
        <v>393</v>
      </c>
      <c r="E13" s="17" t="n">
        <v>283</v>
      </c>
      <c r="F13" s="17" t="n">
        <v>573</v>
      </c>
    </row>
    <row r="14">
      <c r="A14" s="16" t="inlineStr">
        <is>
          <t>Finansielle omkostninger</t>
        </is>
      </c>
      <c r="B14" s="17" t="n">
        <v>224</v>
      </c>
      <c r="C14" s="17" t="n">
        <v>293</v>
      </c>
      <c r="D14" s="17" t="n">
        <v>1029</v>
      </c>
      <c r="E14" s="17" t="n">
        <v>935</v>
      </c>
      <c r="F14" s="17" t="n">
        <v>1694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5554</v>
      </c>
      <c r="C16" s="17" t="n">
        <v>2073</v>
      </c>
      <c r="D16" s="17" t="n">
        <v>4116</v>
      </c>
      <c r="E16" s="17" t="n">
        <v>-3718</v>
      </c>
      <c r="F16" s="17" t="n">
        <v>-3594</v>
      </c>
    </row>
    <row r="17">
      <c r="A17" s="16" t="inlineStr">
        <is>
          <t>Skat af årets resultat</t>
        </is>
      </c>
      <c r="B17" s="17" t="n">
        <v>1244</v>
      </c>
      <c r="C17" s="17" t="n">
        <v>475</v>
      </c>
      <c r="D17" s="17" t="n">
        <v>963</v>
      </c>
      <c r="E17" s="17" t="n">
        <v>-813</v>
      </c>
      <c r="F17" s="17" t="n">
        <v>-806</v>
      </c>
    </row>
    <row r="18">
      <c r="A18" s="15" t="inlineStr">
        <is>
          <t>Årets resultat</t>
        </is>
      </c>
      <c r="B18" s="17" t="n">
        <v>4310</v>
      </c>
      <c r="C18" s="17" t="n">
        <v>1598</v>
      </c>
      <c r="D18" s="17" t="n">
        <v>3153</v>
      </c>
      <c r="E18" s="17" t="n">
        <v>-2905</v>
      </c>
      <c r="F18" s="17" t="n">
        <v>-2789</v>
      </c>
    </row>
    <row r="19">
      <c r="A19" s="16" t="inlineStr">
        <is>
          <t>Gns. antal medarbejdere</t>
        </is>
      </c>
      <c r="B19" s="17" t="n">
        <v>49</v>
      </c>
      <c r="C19" s="17" t="n">
        <v>60</v>
      </c>
      <c r="D19" s="17" t="n">
        <v>82</v>
      </c>
      <c r="E19" s="17" t="n">
        <v>90</v>
      </c>
      <c r="F19" s="17" t="n">
        <v>80</v>
      </c>
    </row>
    <row r="20">
      <c r="A20" s="16" t="inlineStr">
        <is>
          <t>Investering i materielle anlægsaktiver</t>
        </is>
      </c>
      <c r="B20" s="17" t="n">
        <v>-7334</v>
      </c>
      <c r="C20" s="17" t="n">
        <v>-13335</v>
      </c>
      <c r="D20" s="17" t="n">
        <v>-9236</v>
      </c>
      <c r="E20" s="17" t="n">
        <v>-3399</v>
      </c>
      <c r="F20" s="17" t="n">
        <v>-2798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0</v>
      </c>
      <c r="C4" s="17" t="n"/>
      <c r="D4" s="17" t="n"/>
      <c r="E4" s="17" t="n">
        <v>0</v>
      </c>
      <c r="F4" s="17" t="n">
        <v>1258</v>
      </c>
    </row>
    <row r="5">
      <c r="A5" s="15" t="inlineStr">
        <is>
          <t>Immaterielle anlægsaktiver</t>
        </is>
      </c>
      <c r="B5" s="17" t="n">
        <v>0</v>
      </c>
      <c r="C5" s="17" t="n"/>
      <c r="D5" s="17" t="n"/>
      <c r="E5" s="17" t="n">
        <v>0</v>
      </c>
      <c r="F5" s="17" t="n">
        <v>1258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6971</v>
      </c>
      <c r="C8" s="17" t="n">
        <v>16184</v>
      </c>
      <c r="D8" s="17" t="n">
        <v>13147</v>
      </c>
      <c r="E8" s="17" t="n">
        <v>12248</v>
      </c>
      <c r="F8" s="17" t="n">
        <v>9658</v>
      </c>
    </row>
    <row r="9">
      <c r="A9" s="16" t="inlineStr">
        <is>
          <t>Indretning af lejede lokaler</t>
        </is>
      </c>
      <c r="B9" s="17" t="n">
        <v>275</v>
      </c>
      <c r="C9" s="17" t="n">
        <v>490</v>
      </c>
      <c r="D9" s="17" t="n">
        <v>1058</v>
      </c>
      <c r="E9" s="17" t="n">
        <v>671</v>
      </c>
      <c r="F9" s="17" t="n">
        <v>469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7246</v>
      </c>
      <c r="C11" s="17" t="n">
        <v>16674</v>
      </c>
      <c r="D11" s="17" t="n">
        <v>14205</v>
      </c>
      <c r="E11" s="17" t="n">
        <v>12919</v>
      </c>
      <c r="F11" s="17" t="n">
        <v>10127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799</v>
      </c>
      <c r="C13" s="17" t="n">
        <v>813</v>
      </c>
      <c r="D13" s="17" t="n">
        <v>790</v>
      </c>
      <c r="E13" s="17" t="n">
        <v>790</v>
      </c>
      <c r="F13" s="17" t="n">
        <v>696</v>
      </c>
    </row>
    <row r="14">
      <c r="A14" s="15" t="inlineStr">
        <is>
          <t>Finansielle anlægsaktiver</t>
        </is>
      </c>
      <c r="B14" s="17" t="n">
        <v>799</v>
      </c>
      <c r="C14" s="17" t="n">
        <v>813</v>
      </c>
      <c r="D14" s="17" t="n">
        <v>790</v>
      </c>
      <c r="E14" s="17" t="n">
        <v>790</v>
      </c>
      <c r="F14" s="17" t="n">
        <v>696</v>
      </c>
    </row>
    <row r="15">
      <c r="A15" s="15" t="inlineStr">
        <is>
          <t>Anlægsaktiver</t>
        </is>
      </c>
      <c r="B15" s="17" t="n">
        <v>8044</v>
      </c>
      <c r="C15" s="17" t="n">
        <v>17487</v>
      </c>
      <c r="D15" s="17" t="n">
        <v>14995</v>
      </c>
      <c r="E15" s="17" t="n">
        <v>13709</v>
      </c>
      <c r="F15" s="17" t="n">
        <v>12080</v>
      </c>
    </row>
    <row r="16">
      <c r="A16" s="16" t="inlineStr">
        <is>
          <t>Råvarer og hjælpematerialer</t>
        </is>
      </c>
      <c r="B16" s="17" t="n">
        <v>108</v>
      </c>
      <c r="C16" s="17" t="n">
        <v>236</v>
      </c>
      <c r="D16" s="17" t="n">
        <v>210</v>
      </c>
      <c r="E16" s="17" t="n">
        <v>817</v>
      </c>
      <c r="F16" s="17" t="n">
        <v>895</v>
      </c>
    </row>
    <row r="17">
      <c r="A17" s="16" t="inlineStr">
        <is>
          <t>Varer under fremstilling</t>
        </is>
      </c>
      <c r="B17" s="17" t="n">
        <v>7798</v>
      </c>
      <c r="C17" s="17" t="n">
        <v>11664</v>
      </c>
      <c r="D17" s="17" t="n">
        <v>14498</v>
      </c>
      <c r="E17" s="17" t="n">
        <v>20012</v>
      </c>
      <c r="F17" s="17" t="n">
        <v>24640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108</v>
      </c>
      <c r="C19" s="17" t="n">
        <v>236</v>
      </c>
      <c r="D19" s="17" t="n">
        <v>210</v>
      </c>
      <c r="E19" s="17" t="n">
        <v>817</v>
      </c>
      <c r="F19" s="17" t="n">
        <v>895</v>
      </c>
    </row>
    <row r="20">
      <c r="A20" s="16" t="inlineStr">
        <is>
          <t>Tilgodehavender fra salg og tjenesteydelser</t>
        </is>
      </c>
      <c r="B20" s="17" t="n">
        <v>9834</v>
      </c>
      <c r="C20" s="17" t="n">
        <v>18892</v>
      </c>
      <c r="D20" s="17" t="n">
        <v>19756</v>
      </c>
      <c r="E20" s="17" t="n">
        <v>21680</v>
      </c>
      <c r="F20" s="17" t="n">
        <v>17953</v>
      </c>
    </row>
    <row r="21">
      <c r="A21" s="16" t="inlineStr">
        <is>
          <t>Tilgodehavender hos tilknyttede virksomheder</t>
        </is>
      </c>
      <c r="B21" s="17" t="n">
        <v>11029</v>
      </c>
      <c r="C21" s="17" t="n">
        <v>10873</v>
      </c>
      <c r="D21" s="17" t="n">
        <v>1356</v>
      </c>
      <c r="E21" s="17" t="n">
        <v>11068</v>
      </c>
      <c r="F21" s="17" t="n">
        <v>10487</v>
      </c>
    </row>
    <row r="22">
      <c r="A22" s="16" t="inlineStr">
        <is>
          <t>Andre tilgodehavender</t>
        </is>
      </c>
      <c r="B22" s="17" t="n">
        <v>1045</v>
      </c>
      <c r="C22" s="17" t="n">
        <v>57</v>
      </c>
      <c r="D22" s="17" t="n">
        <v>173</v>
      </c>
      <c r="E22" s="17" t="n">
        <v>129</v>
      </c>
      <c r="F22" s="17" t="n">
        <v>510</v>
      </c>
    </row>
    <row r="23">
      <c r="A23" s="16" t="inlineStr">
        <is>
          <t>Periodeafgrænsningsposter (aktiver)</t>
        </is>
      </c>
      <c r="B23" s="17" t="n">
        <v>591</v>
      </c>
      <c r="C23" s="17" t="n">
        <v>1193</v>
      </c>
      <c r="D23" s="17" t="n">
        <v>1207</v>
      </c>
      <c r="E23" s="17" t="n">
        <v>1349</v>
      </c>
      <c r="F23" s="17" t="n">
        <v>1374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428</v>
      </c>
      <c r="D26" s="17" t="n">
        <v>606</v>
      </c>
      <c r="E26" s="17" t="n">
        <v>0</v>
      </c>
      <c r="F26" s="17" t="n">
        <v>813</v>
      </c>
    </row>
    <row r="27">
      <c r="A27" s="15" t="inlineStr">
        <is>
          <t>Tilgodehavender</t>
        </is>
      </c>
      <c r="B27" s="17" t="n">
        <v>30296</v>
      </c>
      <c r="C27" s="17" t="n">
        <v>43107</v>
      </c>
      <c r="D27" s="17" t="n">
        <v>37596</v>
      </c>
      <c r="E27" s="17" t="n">
        <v>54238</v>
      </c>
      <c r="F27" s="17" t="n">
        <v>55778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</v>
      </c>
      <c r="C29" s="17" t="n">
        <v>2</v>
      </c>
      <c r="D29" s="17" t="n">
        <v>2</v>
      </c>
      <c r="E29" s="17" t="n">
        <v>484</v>
      </c>
      <c r="F29" s="17" t="n">
        <v>747</v>
      </c>
    </row>
    <row r="30">
      <c r="A30" s="15" t="inlineStr">
        <is>
          <t>Omsætningsaktiver</t>
        </is>
      </c>
      <c r="B30" s="17" t="n">
        <v>30405</v>
      </c>
      <c r="C30" s="17" t="n">
        <v>43345</v>
      </c>
      <c r="D30" s="17" t="n">
        <v>37808</v>
      </c>
      <c r="E30" s="17" t="n">
        <v>55539</v>
      </c>
      <c r="F30" s="17" t="n">
        <v>57420</v>
      </c>
    </row>
    <row r="31">
      <c r="A31" s="15" t="inlineStr">
        <is>
          <t>Aktiver</t>
        </is>
      </c>
      <c r="B31" s="17" t="n">
        <v>38450</v>
      </c>
      <c r="C31" s="17" t="n">
        <v>60832</v>
      </c>
      <c r="D31" s="17" t="n">
        <v>52803</v>
      </c>
      <c r="E31" s="17" t="n">
        <v>69248</v>
      </c>
      <c r="F31" s="17" t="n">
        <v>69500</v>
      </c>
    </row>
    <row r="32">
      <c r="A32" s="16" t="inlineStr">
        <is>
          <t>Selskabskapital</t>
        </is>
      </c>
      <c r="B32" s="17" t="n">
        <v>80</v>
      </c>
      <c r="C32" s="17" t="n">
        <v>80</v>
      </c>
      <c r="D32" s="17" t="n">
        <v>80</v>
      </c>
      <c r="E32" s="17" t="n">
        <v>80</v>
      </c>
      <c r="F32" s="17" t="n">
        <v>80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12251</v>
      </c>
      <c r="C37" s="17" t="n">
        <v>13849</v>
      </c>
      <c r="D37" s="17" t="n">
        <v>17002</v>
      </c>
      <c r="E37" s="17" t="n">
        <v>14097</v>
      </c>
      <c r="F37" s="17" t="n">
        <v>11308</v>
      </c>
    </row>
    <row r="38">
      <c r="A38" s="15" t="inlineStr">
        <is>
          <t>Egenkapital i alt</t>
        </is>
      </c>
      <c r="B38" s="17" t="n">
        <v>15131</v>
      </c>
      <c r="C38" s="17" t="n">
        <v>13929</v>
      </c>
      <c r="D38" s="17" t="n">
        <v>17082</v>
      </c>
      <c r="E38" s="17" t="n">
        <v>14177</v>
      </c>
      <c r="F38" s="17" t="n">
        <v>11388</v>
      </c>
    </row>
    <row r="39">
      <c r="A39" s="16" t="inlineStr">
        <is>
          <t>Hensættelse til udskudt skat</t>
        </is>
      </c>
      <c r="B39" s="17" t="n">
        <v>663</v>
      </c>
      <c r="C39" s="17" t="n">
        <v>1567</v>
      </c>
      <c r="D39" s="17" t="n">
        <v>2707</v>
      </c>
      <c r="E39" s="17" t="n">
        <v>1786</v>
      </c>
      <c r="F39" s="17" t="n">
        <v>1793</v>
      </c>
    </row>
    <row r="40">
      <c r="A40" s="15" t="inlineStr">
        <is>
          <t>Hensatte forpligtelser</t>
        </is>
      </c>
      <c r="B40" s="17" t="n">
        <v>663</v>
      </c>
      <c r="C40" s="17" t="n">
        <v>1567</v>
      </c>
      <c r="D40" s="17" t="n">
        <v>2707</v>
      </c>
      <c r="E40" s="17" t="n">
        <v>1786</v>
      </c>
      <c r="F40" s="17" t="n">
        <v>1793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>
        <v>0</v>
      </c>
      <c r="F42" s="17" t="n">
        <v>775</v>
      </c>
    </row>
    <row r="43">
      <c r="A43" s="16" t="inlineStr">
        <is>
          <t>Leasingforpligtelser (langfristet)</t>
        </is>
      </c>
      <c r="B43" s="17" t="n">
        <v>3210</v>
      </c>
      <c r="C43" s="17" t="n">
        <v>9781</v>
      </c>
      <c r="D43" s="17" t="n">
        <v>5556</v>
      </c>
      <c r="E43" s="17" t="n">
        <v>3163</v>
      </c>
      <c r="F43" s="17" t="n">
        <v>4739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5516</v>
      </c>
      <c r="C45" s="17" t="n">
        <v>10699</v>
      </c>
      <c r="D45" s="17" t="n">
        <v>6305</v>
      </c>
      <c r="E45" s="17" t="n">
        <v>3970</v>
      </c>
      <c r="F45" s="17" t="n">
        <v>5981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327</v>
      </c>
      <c r="C48" s="17" t="n">
        <v>10275</v>
      </c>
      <c r="D48" s="17" t="n">
        <v>8754</v>
      </c>
      <c r="E48" s="17" t="n">
        <v>21904</v>
      </c>
      <c r="F48" s="17" t="n">
        <v>15562</v>
      </c>
    </row>
    <row r="49">
      <c r="A49" s="16" t="inlineStr">
        <is>
          <t>Leasingforpligtelser (kortfristet)</t>
        </is>
      </c>
      <c r="B49" s="17" t="n">
        <v>850</v>
      </c>
      <c r="C49" s="17" t="n">
        <v>2232</v>
      </c>
      <c r="D49" s="17" t="n">
        <v>1722</v>
      </c>
      <c r="E49" s="17" t="n">
        <v>2394</v>
      </c>
      <c r="F49" s="17" t="n">
        <v>2469</v>
      </c>
    </row>
    <row r="50">
      <c r="A50" s="16" t="inlineStr">
        <is>
          <t>Leverandører af varer og tjenesteydelser</t>
        </is>
      </c>
      <c r="B50" s="17" t="n">
        <v>5131</v>
      </c>
      <c r="C50" s="17" t="n">
        <v>5703</v>
      </c>
      <c r="D50" s="17" t="n">
        <v>6190</v>
      </c>
      <c r="E50" s="17" t="n">
        <v>8576</v>
      </c>
      <c r="F50" s="17" t="n">
        <v>3891</v>
      </c>
    </row>
    <row r="51">
      <c r="A51" s="16" t="inlineStr">
        <is>
          <t>Gæld til tilknyttede virksomheder</t>
        </is>
      </c>
      <c r="B51" s="17" t="n">
        <v>24</v>
      </c>
      <c r="C51" s="17" t="n"/>
      <c r="D51" s="17" t="n"/>
      <c r="E51" s="17" t="n">
        <v>0</v>
      </c>
      <c r="F51" s="17" t="n">
        <v>11150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588</v>
      </c>
      <c r="C53" s="17" t="n">
        <v>1270</v>
      </c>
      <c r="D53" s="17" t="n">
        <v>0</v>
      </c>
      <c r="E53" s="17" t="n">
        <v>0</v>
      </c>
      <c r="F53" s="17" t="n">
        <v>109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8917</v>
      </c>
      <c r="C55" s="17" t="n"/>
      <c r="D55" s="17" t="n"/>
      <c r="E55" s="17" t="n"/>
      <c r="F55" s="17" t="n"/>
    </row>
    <row r="56">
      <c r="A56" s="16" t="inlineStr">
        <is>
          <t>Periodeafgrænsningsposter (passiver)</t>
        </is>
      </c>
      <c r="B56" s="17" t="n"/>
      <c r="C56" s="17" t="n">
        <v>0</v>
      </c>
      <c r="D56" s="17" t="n">
        <v>16</v>
      </c>
      <c r="E56" s="17" t="n"/>
      <c r="F56" s="17" t="n"/>
    </row>
    <row r="57">
      <c r="A57" s="15" t="inlineStr">
        <is>
          <t>Kortfristede gældsforpligtelser</t>
        </is>
      </c>
      <c r="B57" s="17" t="n">
        <v>17140</v>
      </c>
      <c r="C57" s="17" t="n">
        <v>34637</v>
      </c>
      <c r="D57" s="17" t="n">
        <v>26708</v>
      </c>
      <c r="E57" s="17" t="n">
        <v>49315</v>
      </c>
      <c r="F57" s="17" t="n">
        <v>50338</v>
      </c>
    </row>
    <row r="58">
      <c r="A58" s="15" t="inlineStr">
        <is>
          <t>Gældsforpligtelser</t>
        </is>
      </c>
      <c r="B58" s="17" t="n">
        <v>22655</v>
      </c>
      <c r="C58" s="17" t="n">
        <v>45336</v>
      </c>
      <c r="D58" s="17" t="n">
        <v>33013</v>
      </c>
      <c r="E58" s="17" t="n">
        <v>53285</v>
      </c>
      <c r="F58" s="17" t="n">
        <v>56319</v>
      </c>
    </row>
    <row r="59">
      <c r="A59" s="15" t="inlineStr">
        <is>
          <t>Passiver</t>
        </is>
      </c>
      <c r="B59" s="17" t="n">
        <v>38450</v>
      </c>
      <c r="C59" s="17" t="n">
        <v>60832</v>
      </c>
      <c r="D59" s="17" t="n">
        <v>52803</v>
      </c>
      <c r="E59" s="17" t="n">
        <v>69248</v>
      </c>
      <c r="F59" s="17" t="n">
        <v>69500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-2678</v>
      </c>
      <c r="D2" s="17" t="n">
        <v>7769</v>
      </c>
      <c r="E2" s="17" t="n">
        <v>-7542</v>
      </c>
      <c r="F2" s="17" t="n">
        <v>7202</v>
      </c>
    </row>
    <row r="3">
      <c r="A3" s="16" t="inlineStr">
        <is>
          <t>Pengestrømme fra investeringsaktivitet</t>
        </is>
      </c>
      <c r="B3" s="17" t="n"/>
      <c r="C3" s="17" t="n">
        <v>-3121</v>
      </c>
      <c r="D3" s="17" t="n">
        <v>-4436</v>
      </c>
      <c r="E3" s="17" t="n">
        <v>-3349</v>
      </c>
      <c r="F3" s="17" t="n">
        <v>-2795</v>
      </c>
    </row>
    <row r="4">
      <c r="A4" s="16" t="inlineStr">
        <is>
          <t>Pengestrømme fra finansieringsaktivitet</t>
        </is>
      </c>
      <c r="B4" s="17" t="n"/>
      <c r="C4" s="17" t="n">
        <v>5800</v>
      </c>
      <c r="D4" s="17" t="n">
        <v>-3333</v>
      </c>
      <c r="E4" s="17" t="n">
        <v>11375</v>
      </c>
      <c r="F4" s="17" t="n">
        <v>-4144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Engineered Market Solutions ApS (CVR 33387997) — Regnskabs- og nøgletal (CVR: 33387997)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'res_raw_33387997'!$F$2</f>
        <v/>
      </c>
      <c r="C5" s="24">
        <f>'res_raw_33387997'!$E$2</f>
        <v/>
      </c>
      <c r="D5" s="24">
        <f>'res_raw_33387997'!$D$2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'res_raw_33387997'!$F$3</f>
        <v/>
      </c>
      <c r="C6" s="24">
        <f>'res_raw_33387997'!$E$3</f>
        <v/>
      </c>
      <c r="D6" s="24">
        <f>'res_raw_33387997'!$D$3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-'res_raw_33387997'!$F$4</f>
        <v/>
      </c>
      <c r="C7" s="24">
        <f>-'res_raw_33387997'!$E$4</f>
        <v/>
      </c>
      <c r="D7" s="24">
        <f>-'res_raw_33387997'!$D$4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-'res_raw_33387997'!$F$5</f>
        <v/>
      </c>
      <c r="C8" s="24">
        <f>-'res_raw_33387997'!$E$5</f>
        <v/>
      </c>
      <c r="D8" s="24">
        <f>-'res_raw_33387997'!$D$5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-'res_raw_33387997'!$F$7</f>
        <v/>
      </c>
      <c r="C10" s="24">
        <f>-'res_raw_33387997'!$E$7</f>
        <v/>
      </c>
      <c r="D10" s="24">
        <f>-'res_raw_33387997'!$D$7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-'res_raw_33387997'!$F$9</f>
        <v/>
      </c>
      <c r="C11" s="24">
        <f>-'res_raw_33387997'!$E$9</f>
        <v/>
      </c>
      <c r="D11" s="24">
        <f>-'res_raw_33387997'!$D$9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-'res_raw_33387997'!$F$10</f>
        <v/>
      </c>
      <c r="C12" s="24">
        <f>-'res_raw_33387997'!$E$10</f>
        <v/>
      </c>
      <c r="D12" s="24">
        <f>-'res_raw_33387997'!$D$10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N('res_raw_33387997'!$F$12)+N('res_raw_33387997'!$F$13)</f>
        <v/>
      </c>
      <c r="C14" s="24">
        <f>N('res_raw_33387997'!$E$12)+N('res_raw_33387997'!$E$13)</f>
        <v/>
      </c>
      <c r="D14" s="24">
        <f>N('res_raw_33387997'!$D$12)+N('res_raw_33387997'!$D$13)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-'res_raw_33387997'!$F$14</f>
        <v/>
      </c>
      <c r="C15" s="24">
        <f>-'res_raw_33387997'!$E$14</f>
        <v/>
      </c>
      <c r="D15" s="24">
        <f>-'res_raw_33387997'!$D$14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'balance_raw_33387997'!$F$15</f>
        <v/>
      </c>
      <c r="C19" s="24">
        <f>'balance_raw_33387997'!$E$15</f>
        <v/>
      </c>
      <c r="D19" s="24">
        <f>'balance_raw_33387997'!$D$15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'balance_raw_33387997'!$F$30</f>
        <v/>
      </c>
      <c r="C20" s="24">
        <f>'balance_raw_33387997'!$E$30</f>
        <v/>
      </c>
      <c r="D20" s="24">
        <f>'balance_raw_33387997'!$D$30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'balance_raw_33387997'!$F$38</f>
        <v/>
      </c>
      <c r="C23" s="24">
        <f>'balance_raw_33387997'!$E$38</f>
        <v/>
      </c>
      <c r="D23" s="24">
        <f>'balance_raw_33387997'!$D$38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'balance_raw_33387997'!$F$59-'balance_raw_33387997'!$F$38</f>
        <v/>
      </c>
      <c r="C24" s="24">
        <f>'balance_raw_33387997'!$E$59-'balance_raw_33387997'!$E$38</f>
        <v/>
      </c>
      <c r="D24" s="24">
        <f>'balance_raw_33387997'!$D$59-'balance_raw_33387997'!$D$38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'balance_raw_33387997'!$F$19</f>
        <v/>
      </c>
      <c r="C28" s="24">
        <f>'balance_raw_33387997'!$E$19</f>
        <v/>
      </c>
      <c r="D28" s="24">
        <f>'balance_raw_33387997'!$D$19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'balance_raw_33387997'!$F$20</f>
        <v/>
      </c>
      <c r="C29" s="24">
        <f>'balance_raw_33387997'!$E$20</f>
        <v/>
      </c>
      <c r="D29" s="24">
        <f>'balance_raw_33387997'!$D$20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'balance_raw_33387997'!$F$57</f>
        <v/>
      </c>
      <c r="C30" s="24">
        <f>'balance_raw_33387997'!$E$57</f>
        <v/>
      </c>
      <c r="D30" s="24">
        <f>'balance_raw_33387997'!$D$57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IF('balance_raw_33387997'!$F$31="","—",IF(ABS(B21-'balance_raw_33387997'!$F$31)&lt;=1,"✓ OK","❌ "&amp;TEXT(B21-'balance_raw_33387997'!$F$31,"+#,##0;-#,##0")&amp;" t.kr."))</f>
        <v/>
      </c>
      <c r="C61" s="29">
        <f>IF('balance_raw_33387997'!$E$31="","—",IF(ABS(C21-'balance_raw_33387997'!$E$31)&lt;=1,"✓ OK","❌ "&amp;TEXT(C21-'balance_raw_33387997'!$E$31,"+#,##0;-#,##0")&amp;" t.kr."))</f>
        <v/>
      </c>
      <c r="D61" s="29">
        <f>IF('balance_raw_33387997'!$D$31="","—",IF(ABS(D21-'balance_raw_33387997'!$D$31)&lt;=1,"✓ OK","❌ "&amp;TEXT(D21-'balance_raw_33387997'!$D$31,"+#,##0;-#,##0")&amp;"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IF('balance_raw_33387997'!$F$59="","—",IF(ABS(B25-'balance_raw_33387997'!$F$59)&lt;=1,"✓ OK","❌ "&amp;TEXT(B25-'balance_raw_33387997'!$F$59,"+#,##0;-#,##0")&amp;" t.kr."))</f>
        <v/>
      </c>
      <c r="C62" s="29">
        <f>IF('balance_raw_33387997'!$E$59="","—",IF(ABS(C25-'balance_raw_33387997'!$E$59)&lt;=1,"✓ OK","❌ "&amp;TEXT(C25-'balance_raw_33387997'!$E$59,"+#,##0;-#,##0")&amp;" t.kr."))</f>
        <v/>
      </c>
      <c r="D62" s="29">
        <f>IF('balance_raw_33387997'!$D$59="","—",IF(ABS(D25-'balance_raw_33387997'!$D$59)&lt;=1,"✓ OK","❌ "&amp;TEXT(D25-'balance_raw_33387997'!$D$59,"+#,##0;-#,##0")&amp;"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IF('res_raw_33387997'!$F$6="","—",IF(ABS(B9-'res_raw_33387997'!$F$6)&lt;=1,"✓ OK","❌ "&amp;TEXT(B9-'res_raw_33387997'!$F$6,"+#,##0;-#,##0")&amp;" t.kr."))</f>
        <v/>
      </c>
      <c r="C64" s="29">
        <f>IF('res_raw_33387997'!$E$6="","—",IF(ABS(C9-'res_raw_33387997'!$E$6)&lt;=1,"✓ OK","❌ "&amp;TEXT(C9-'res_raw_33387997'!$E$6,"+#,##0;-#,##0")&amp;" t.kr."))</f>
        <v/>
      </c>
      <c r="D64" s="29">
        <f>IF('res_raw_33387997'!$D$6="","—",IF(ABS(D9-'res_raw_33387997'!$D$6)&lt;=1,"✓ OK","❌ "&amp;TEXT(D9-'res_raw_33387997'!$D$6,"+#,##0;-#,##0")&amp;"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IF('res_raw_33387997'!$F$11="","—",IF(ABS(B13-'res_raw_33387997'!$F$11)&lt;=1,"✓ OK","❌ "&amp;TEXT(B13-'res_raw_33387997'!$F$11,"+#,##0;-#,##0")&amp;" t.kr."))</f>
        <v/>
      </c>
      <c r="C65" s="29">
        <f>IF('res_raw_33387997'!$E$11="","—",IF(ABS(C13-'res_raw_33387997'!$E$11)&lt;=1,"✓ OK","❌ "&amp;TEXT(C13-'res_raw_33387997'!$E$11,"+#,##0;-#,##0")&amp;" t.kr."))</f>
        <v/>
      </c>
      <c r="D65" s="29">
        <f>IF('res_raw_33387997'!$D$11="","—",IF(ABS(D13-'res_raw_33387997'!$D$11)&lt;=1,"✓ OK","❌ "&amp;TEXT(D13-'res_raw_33387997'!$D$11,"+#,##0;-#,##0")&amp;"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IF('res_raw_33387997'!$F$16="","—",IF(ABS(B16-'res_raw_33387997'!$F$16)&lt;=1,"✓ OK","❌ "&amp;TEXT(B16-'res_raw_33387997'!$F$16,"+#,##0;-#,##0")&amp;" t.kr."))</f>
        <v/>
      </c>
      <c r="C66" s="29">
        <f>IF('res_raw_33387997'!$E$16="","—",IF(ABS(C16-'res_raw_33387997'!$E$16)&lt;=1,"✓ OK","❌ "&amp;TEXT(C16-'res_raw_33387997'!$E$16,"+#,##0;-#,##0")&amp;" t.kr."))</f>
        <v/>
      </c>
      <c r="D66" s="29">
        <f>IF('res_raw_33387997'!$D$16="","—",IF(ABS(D16-'res_raw_33387997'!$D$16)&lt;=1,"✓ OK","❌ "&amp;TEXT(D16-'res_raw_33387997'!$D$16,"+#,##0;-#,##0")&amp;"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Engineered Market Solutions ApS (CVR 33387997)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fsa:HolidayAllowanceLiabilitiesLongterm</t>
        </is>
      </c>
      <c r="C3" s="34" t="inlineStr">
        <is>
          <t>fsa:HolidayAllowanceLiabilitiesLongterm</t>
        </is>
      </c>
      <c r="D3" s="35" t="n"/>
      <c r="E3" s="35" t="n">
        <v>918</v>
      </c>
      <c r="F3" s="35" t="n">
        <v>749</v>
      </c>
      <c r="G3" s="35" t="n">
        <v>698</v>
      </c>
      <c r="H3" s="35" t="n">
        <v>467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1270</v>
      </c>
      <c r="E4" s="38" t="n"/>
      <c r="F4" s="38" t="n"/>
      <c r="G4" s="38" t="n">
        <v>109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fsa:ShorttermContractWorkInProgressLiabilities</t>
        </is>
      </c>
      <c r="C5" s="34" t="inlineStr">
        <is>
          <t>fsa:ShorttermContractWorkInProgressLiabilities</t>
        </is>
      </c>
      <c r="D5" s="35" t="n">
        <v>1303</v>
      </c>
      <c r="E5" s="35" t="n">
        <v>5435</v>
      </c>
      <c r="F5" s="35" t="n">
        <v>3097</v>
      </c>
      <c r="G5" s="35" t="n">
        <v>7742</v>
      </c>
      <c r="H5" s="35" t="n">
        <v>10423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2026-09-13T19:39:02Z</dcterms:created>
  <dcterms:modified xmlns:dcterms="http://purl.org/dc/terms/" xmlns:xsi="http://www.w3.org/2001/XMLSchema-instance" xsi:type="dcterms:W3CDTF">2026-09-13T19:39:03Z</dcterms:modified>
</cp:coreProperties>
</file>