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6220115" sheetId="1" state="visible" r:id="rId1"/>
    <sheet xmlns:r="http://schemas.openxmlformats.org/officeDocument/2006/relationships" name="res_raw_76220115" sheetId="2" state="visible" r:id="rId2"/>
    <sheet xmlns:r="http://schemas.openxmlformats.org/officeDocument/2006/relationships" name="balance_raw_7622011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Søstrene Grenes Import A/S (CVR 76220115) — 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'res_raw_76220115'!$B$2</f>
        <v/>
      </c>
      <c r="C4" s="5">
        <f>'res_raw_76220115'!$C$2</f>
        <v/>
      </c>
      <c r="D4" s="5">
        <f>'res_raw_76220115'!$D$2</f>
        <v/>
      </c>
      <c r="E4" s="5">
        <f>'res_raw_76220115'!$E$2</f>
        <v/>
      </c>
      <c r="F4" s="5">
        <f>'res_raw_76220115'!$F$2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'res_raw_76220115'!$B$3</f>
        <v/>
      </c>
      <c r="C5" s="8">
        <f>'res_raw_76220115'!$C$3</f>
        <v/>
      </c>
      <c r="D5" s="8">
        <f>'res_raw_76220115'!$D$3</f>
        <v/>
      </c>
      <c r="E5" s="8">
        <f>'res_raw_76220115'!$E$3</f>
        <v/>
      </c>
      <c r="F5" s="8">
        <f>'res_raw_76220115'!$F$3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'res_raw_76220115'!$B$4</f>
        <v/>
      </c>
      <c r="C6" s="5">
        <f>'res_raw_76220115'!$C$4</f>
        <v/>
      </c>
      <c r="D6" s="5">
        <f>'res_raw_76220115'!$D$4</f>
        <v/>
      </c>
      <c r="E6" s="5">
        <f>'res_raw_76220115'!$E$4</f>
        <v/>
      </c>
      <c r="F6" s="5">
        <f>'res_raw_76220115'!$F$4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'res_raw_76220115'!$B$5</f>
        <v/>
      </c>
      <c r="C7" s="8">
        <f>'res_raw_76220115'!$C$5</f>
        <v/>
      </c>
      <c r="D7" s="8">
        <f>'res_raw_76220115'!$D$5</f>
        <v/>
      </c>
      <c r="E7" s="8">
        <f>'res_raw_76220115'!$E$5</f>
        <v/>
      </c>
      <c r="F7" s="8">
        <f>'res_raw_76220115'!$F$5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'res_raw_76220115'!$B$6</f>
        <v/>
      </c>
      <c r="C8" s="11">
        <f>'res_raw_76220115'!$C$6</f>
        <v/>
      </c>
      <c r="D8" s="11">
        <f>'res_raw_76220115'!$D$6</f>
        <v/>
      </c>
      <c r="E8" s="11">
        <f>'res_raw_76220115'!$E$6</f>
        <v/>
      </c>
      <c r="F8" s="11">
        <f>'res_raw_76220115'!$F$6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'res_raw_76220115'!$B$7</f>
        <v/>
      </c>
      <c r="C9" s="8">
        <f>'res_raw_76220115'!$C$7</f>
        <v/>
      </c>
      <c r="D9" s="8">
        <f>'res_raw_76220115'!$D$7</f>
        <v/>
      </c>
      <c r="E9" s="8">
        <f>'res_raw_76220115'!$E$7</f>
        <v/>
      </c>
      <c r="F9" s="8">
        <f>'res_raw_76220115'!$F$7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'res_raw_76220115'!$B$9</f>
        <v/>
      </c>
      <c r="C11" s="8">
        <f>'res_raw_76220115'!$C$9</f>
        <v/>
      </c>
      <c r="D11" s="8">
        <f>'res_raw_76220115'!$D$9</f>
        <v/>
      </c>
      <c r="E11" s="8">
        <f>'res_raw_76220115'!$E$9</f>
        <v/>
      </c>
      <c r="F11" s="8">
        <f>'res_raw_76220115'!$F$9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'res_raw_76220115'!$B$10</f>
        <v/>
      </c>
      <c r="C12" s="5">
        <f>'res_raw_76220115'!$C$10</f>
        <v/>
      </c>
      <c r="D12" s="5">
        <f>'res_raw_76220115'!$D$10</f>
        <v/>
      </c>
      <c r="E12" s="5">
        <f>'res_raw_76220115'!$E$10</f>
        <v/>
      </c>
      <c r="F12" s="5">
        <f>'res_raw_76220115'!$F$10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'res_raw_76220115'!$B$11</f>
        <v/>
      </c>
      <c r="C13" s="11">
        <f>'res_raw_76220115'!$C$11</f>
        <v/>
      </c>
      <c r="D13" s="11">
        <f>'res_raw_76220115'!$D$11</f>
        <v/>
      </c>
      <c r="E13" s="11">
        <f>'res_raw_76220115'!$E$11</f>
        <v/>
      </c>
      <c r="F13" s="11">
        <f>'res_raw_76220115'!$F$11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'res_raw_76220115'!$B$12</f>
        <v/>
      </c>
      <c r="C14" s="5">
        <f>'res_raw_76220115'!$C$12</f>
        <v/>
      </c>
      <c r="D14" s="5">
        <f>'res_raw_76220115'!$D$12</f>
        <v/>
      </c>
      <c r="E14" s="5">
        <f>'res_raw_76220115'!$E$12</f>
        <v/>
      </c>
      <c r="F14" s="5">
        <f>'res_raw_76220115'!$F$12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'res_raw_76220115'!$B$13</f>
        <v/>
      </c>
      <c r="C15" s="8">
        <f>'res_raw_76220115'!$C$13</f>
        <v/>
      </c>
      <c r="D15" s="8">
        <f>'res_raw_76220115'!$D$13</f>
        <v/>
      </c>
      <c r="E15" s="8">
        <f>'res_raw_76220115'!$E$13</f>
        <v/>
      </c>
      <c r="F15" s="8">
        <f>'res_raw_76220115'!$F$13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'res_raw_76220115'!$B$14</f>
        <v/>
      </c>
      <c r="C16" s="5">
        <f>'res_raw_76220115'!$C$14</f>
        <v/>
      </c>
      <c r="D16" s="5">
        <f>'res_raw_76220115'!$D$14</f>
        <v/>
      </c>
      <c r="E16" s="5">
        <f>'res_raw_76220115'!$E$14</f>
        <v/>
      </c>
      <c r="F16" s="5">
        <f>'res_raw_76220115'!$F$14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'res_raw_76220115'!$B$15</f>
        <v/>
      </c>
      <c r="C17" s="11">
        <f>'res_raw_76220115'!$C$15</f>
        <v/>
      </c>
      <c r="D17" s="11">
        <f>'res_raw_76220115'!$D$15</f>
        <v/>
      </c>
      <c r="E17" s="11">
        <f>'res_raw_76220115'!$E$15</f>
        <v/>
      </c>
      <c r="F17" s="11">
        <f>'res_raw_76220115'!$F$15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'res_raw_76220115'!$B$16</f>
        <v/>
      </c>
      <c r="C18" s="11">
        <f>'res_raw_76220115'!$C$16</f>
        <v/>
      </c>
      <c r="D18" s="11">
        <f>'res_raw_76220115'!$D$16</f>
        <v/>
      </c>
      <c r="E18" s="11">
        <f>'res_raw_76220115'!$E$16</f>
        <v/>
      </c>
      <c r="F18" s="11">
        <f>'res_raw_76220115'!$F$16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'res_raw_76220115'!$B$17</f>
        <v/>
      </c>
      <c r="C19" s="8">
        <f>'res_raw_76220115'!$C$17</f>
        <v/>
      </c>
      <c r="D19" s="8">
        <f>'res_raw_76220115'!$D$17</f>
        <v/>
      </c>
      <c r="E19" s="8">
        <f>'res_raw_76220115'!$E$17</f>
        <v/>
      </c>
      <c r="F19" s="8">
        <f>'res_raw_76220115'!$F$17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'res_raw_76220115'!$B$18</f>
        <v/>
      </c>
      <c r="C20" s="11">
        <f>'res_raw_76220115'!$C$18</f>
        <v/>
      </c>
      <c r="D20" s="11">
        <f>'res_raw_76220115'!$D$18</f>
        <v/>
      </c>
      <c r="E20" s="11">
        <f>'res_raw_76220115'!$E$18</f>
        <v/>
      </c>
      <c r="F20" s="11">
        <f>'res_raw_76220115'!$F$18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'balance_raw_76220115'!$B$2</f>
        <v/>
      </c>
      <c r="C23" s="8">
        <f>'balance_raw_76220115'!$C$2</f>
        <v/>
      </c>
      <c r="D23" s="8">
        <f>'balance_raw_76220115'!$D$2</f>
        <v/>
      </c>
      <c r="E23" s="8">
        <f>'balance_raw_76220115'!$E$2</f>
        <v/>
      </c>
      <c r="F23" s="8">
        <f>'balance_raw_76220115'!$F$2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'balance_raw_76220115'!$B$3</f>
        <v/>
      </c>
      <c r="C24" s="5">
        <f>'balance_raw_76220115'!$C$3</f>
        <v/>
      </c>
      <c r="D24" s="5">
        <f>'balance_raw_76220115'!$D$3</f>
        <v/>
      </c>
      <c r="E24" s="5">
        <f>'balance_raw_76220115'!$E$3</f>
        <v/>
      </c>
      <c r="F24" s="5">
        <f>'balance_raw_76220115'!$F$3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'balance_raw_76220115'!$B$4</f>
        <v/>
      </c>
      <c r="C25" s="8">
        <f>'balance_raw_76220115'!$C$4</f>
        <v/>
      </c>
      <c r="D25" s="8">
        <f>'balance_raw_76220115'!$D$4</f>
        <v/>
      </c>
      <c r="E25" s="8">
        <f>'balance_raw_76220115'!$E$4</f>
        <v/>
      </c>
      <c r="F25" s="8">
        <f>'balance_raw_76220115'!$F$4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'balance_raw_76220115'!$B$5</f>
        <v/>
      </c>
      <c r="C26" s="11">
        <f>'balance_raw_76220115'!$C$5</f>
        <v/>
      </c>
      <c r="D26" s="11">
        <f>'balance_raw_76220115'!$D$5</f>
        <v/>
      </c>
      <c r="E26" s="11">
        <f>'balance_raw_76220115'!$E$5</f>
        <v/>
      </c>
      <c r="F26" s="11">
        <f>'balance_raw_76220115'!$F$5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'balance_raw_76220115'!$B$6</f>
        <v/>
      </c>
      <c r="C27" s="8">
        <f>'balance_raw_76220115'!$C$6</f>
        <v/>
      </c>
      <c r="D27" s="8">
        <f>'balance_raw_76220115'!$D$6</f>
        <v/>
      </c>
      <c r="E27" s="8">
        <f>'balance_raw_76220115'!$E$6</f>
        <v/>
      </c>
      <c r="F27" s="8">
        <f>'balance_raw_76220115'!$F$6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'balance_raw_76220115'!$B$7</f>
        <v/>
      </c>
      <c r="C28" s="5">
        <f>'balance_raw_76220115'!$C$7</f>
        <v/>
      </c>
      <c r="D28" s="5">
        <f>'balance_raw_76220115'!$D$7</f>
        <v/>
      </c>
      <c r="E28" s="5">
        <f>'balance_raw_76220115'!$E$7</f>
        <v/>
      </c>
      <c r="F28" s="5">
        <f>'balance_raw_76220115'!$F$7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'balance_raw_76220115'!$B$8</f>
        <v/>
      </c>
      <c r="C29" s="8">
        <f>'balance_raw_76220115'!$C$8</f>
        <v/>
      </c>
      <c r="D29" s="8">
        <f>'balance_raw_76220115'!$D$8</f>
        <v/>
      </c>
      <c r="E29" s="8">
        <f>'balance_raw_76220115'!$E$8</f>
        <v/>
      </c>
      <c r="F29" s="8">
        <f>'balance_raw_76220115'!$F$8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'balance_raw_76220115'!$B$9</f>
        <v/>
      </c>
      <c r="C30" s="5">
        <f>'balance_raw_76220115'!$C$9</f>
        <v/>
      </c>
      <c r="D30" s="5">
        <f>'balance_raw_76220115'!$D$9</f>
        <v/>
      </c>
      <c r="E30" s="5">
        <f>'balance_raw_76220115'!$E$9</f>
        <v/>
      </c>
      <c r="F30" s="5">
        <f>'balance_raw_76220115'!$F$9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'balance_raw_76220115'!$B$10</f>
        <v/>
      </c>
      <c r="C31" s="8">
        <f>'balance_raw_76220115'!$C$10</f>
        <v/>
      </c>
      <c r="D31" s="8">
        <f>'balance_raw_76220115'!$D$10</f>
        <v/>
      </c>
      <c r="E31" s="8">
        <f>'balance_raw_76220115'!$E$10</f>
        <v/>
      </c>
      <c r="F31" s="8">
        <f>'balance_raw_76220115'!$F$10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'balance_raw_76220115'!$B$11</f>
        <v/>
      </c>
      <c r="C32" s="11">
        <f>'balance_raw_76220115'!$C$11</f>
        <v/>
      </c>
      <c r="D32" s="11">
        <f>'balance_raw_76220115'!$D$11</f>
        <v/>
      </c>
      <c r="E32" s="11">
        <f>'balance_raw_76220115'!$E$11</f>
        <v/>
      </c>
      <c r="F32" s="11">
        <f>'balance_raw_76220115'!$F$11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'balance_raw_76220115'!$B$12</f>
        <v/>
      </c>
      <c r="C33" s="8">
        <f>'balance_raw_76220115'!$C$12</f>
        <v/>
      </c>
      <c r="D33" s="8">
        <f>'balance_raw_76220115'!$D$12</f>
        <v/>
      </c>
      <c r="E33" s="8">
        <f>'balance_raw_76220115'!$E$12</f>
        <v/>
      </c>
      <c r="F33" s="8">
        <f>'balance_raw_76220115'!$F$12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'balance_raw_76220115'!$B$13</f>
        <v/>
      </c>
      <c r="C34" s="5">
        <f>'balance_raw_76220115'!$C$13</f>
        <v/>
      </c>
      <c r="D34" s="5">
        <f>'balance_raw_76220115'!$D$13</f>
        <v/>
      </c>
      <c r="E34" s="5">
        <f>'balance_raw_76220115'!$E$13</f>
        <v/>
      </c>
      <c r="F34" s="5">
        <f>'balance_raw_76220115'!$F$13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'balance_raw_76220115'!$B$14</f>
        <v/>
      </c>
      <c r="C35" s="11">
        <f>'balance_raw_76220115'!$C$14</f>
        <v/>
      </c>
      <c r="D35" s="11">
        <f>'balance_raw_76220115'!$D$14</f>
        <v/>
      </c>
      <c r="E35" s="11">
        <f>'balance_raw_76220115'!$E$14</f>
        <v/>
      </c>
      <c r="F35" s="11">
        <f>'balance_raw_76220115'!$F$14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'balance_raw_76220115'!$B$15</f>
        <v/>
      </c>
      <c r="C36" s="11">
        <f>'balance_raw_76220115'!$C$15</f>
        <v/>
      </c>
      <c r="D36" s="11">
        <f>'balance_raw_76220115'!$D$15</f>
        <v/>
      </c>
      <c r="E36" s="11">
        <f>'balance_raw_76220115'!$E$15</f>
        <v/>
      </c>
      <c r="F36" s="11">
        <f>'balance_raw_76220115'!$F$15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'balance_raw_76220115'!$B$16</f>
        <v/>
      </c>
      <c r="C37" s="8">
        <f>'balance_raw_76220115'!$C$16</f>
        <v/>
      </c>
      <c r="D37" s="8">
        <f>'balance_raw_76220115'!$D$16</f>
        <v/>
      </c>
      <c r="E37" s="8">
        <f>'balance_raw_76220115'!$E$16</f>
        <v/>
      </c>
      <c r="F37" s="8">
        <f>'balance_raw_76220115'!$F$16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'balance_raw_76220115'!$B$17</f>
        <v/>
      </c>
      <c r="C38" s="5">
        <f>'balance_raw_76220115'!$C$17</f>
        <v/>
      </c>
      <c r="D38" s="5">
        <f>'balance_raw_76220115'!$D$17</f>
        <v/>
      </c>
      <c r="E38" s="5">
        <f>'balance_raw_76220115'!$E$17</f>
        <v/>
      </c>
      <c r="F38" s="5">
        <f>'balance_raw_76220115'!$F$17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'balance_raw_76220115'!$B$18</f>
        <v/>
      </c>
      <c r="C39" s="8">
        <f>'balance_raw_76220115'!$C$18</f>
        <v/>
      </c>
      <c r="D39" s="8">
        <f>'balance_raw_76220115'!$D$18</f>
        <v/>
      </c>
      <c r="E39" s="8">
        <f>'balance_raw_76220115'!$E$18</f>
        <v/>
      </c>
      <c r="F39" s="8">
        <f>'balance_raw_76220115'!$F$18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'balance_raw_76220115'!$B$19</f>
        <v/>
      </c>
      <c r="C40" s="11">
        <f>'balance_raw_76220115'!$C$19</f>
        <v/>
      </c>
      <c r="D40" s="11">
        <f>'balance_raw_76220115'!$D$19</f>
        <v/>
      </c>
      <c r="E40" s="11">
        <f>'balance_raw_76220115'!$E$19</f>
        <v/>
      </c>
      <c r="F40" s="11">
        <f>'balance_raw_76220115'!$F$19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'balance_raw_76220115'!$B$20</f>
        <v/>
      </c>
      <c r="C41" s="8">
        <f>'balance_raw_76220115'!$C$20</f>
        <v/>
      </c>
      <c r="D41" s="8">
        <f>'balance_raw_76220115'!$D$20</f>
        <v/>
      </c>
      <c r="E41" s="8">
        <f>'balance_raw_76220115'!$E$20</f>
        <v/>
      </c>
      <c r="F41" s="8">
        <f>'balance_raw_76220115'!$F$20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'balance_raw_76220115'!$B$21</f>
        <v/>
      </c>
      <c r="C42" s="5">
        <f>'balance_raw_76220115'!$C$21</f>
        <v/>
      </c>
      <c r="D42" s="5">
        <f>'balance_raw_76220115'!$D$21</f>
        <v/>
      </c>
      <c r="E42" s="5">
        <f>'balance_raw_76220115'!$E$21</f>
        <v/>
      </c>
      <c r="F42" s="5">
        <f>'balance_raw_76220115'!$F$21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'balance_raw_76220115'!$B$22</f>
        <v/>
      </c>
      <c r="C43" s="8">
        <f>'balance_raw_76220115'!$C$22</f>
        <v/>
      </c>
      <c r="D43" s="8">
        <f>'balance_raw_76220115'!$D$22</f>
        <v/>
      </c>
      <c r="E43" s="8">
        <f>'balance_raw_76220115'!$E$22</f>
        <v/>
      </c>
      <c r="F43" s="8">
        <f>'balance_raw_76220115'!$F$22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'balance_raw_76220115'!$B$23</f>
        <v/>
      </c>
      <c r="C44" s="5">
        <f>'balance_raw_76220115'!$C$23</f>
        <v/>
      </c>
      <c r="D44" s="5">
        <f>'balance_raw_76220115'!$D$23</f>
        <v/>
      </c>
      <c r="E44" s="5">
        <f>'balance_raw_76220115'!$E$23</f>
        <v/>
      </c>
      <c r="F44" s="5">
        <f>'balance_raw_76220115'!$F$23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'balance_raw_76220115'!$B$24</f>
        <v/>
      </c>
      <c r="C45" s="8">
        <f>'balance_raw_76220115'!$C$24</f>
        <v/>
      </c>
      <c r="D45" s="8">
        <f>'balance_raw_76220115'!$D$24</f>
        <v/>
      </c>
      <c r="E45" s="8">
        <f>'balance_raw_76220115'!$E$24</f>
        <v/>
      </c>
      <c r="F45" s="8">
        <f>'balance_raw_76220115'!$F$24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'balance_raw_76220115'!$B$25</f>
        <v/>
      </c>
      <c r="C46" s="5">
        <f>'balance_raw_76220115'!$C$25</f>
        <v/>
      </c>
      <c r="D46" s="5">
        <f>'balance_raw_76220115'!$D$25</f>
        <v/>
      </c>
      <c r="E46" s="5">
        <f>'balance_raw_76220115'!$E$25</f>
        <v/>
      </c>
      <c r="F46" s="5">
        <f>'balance_raw_76220115'!$F$25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'balance_raw_76220115'!$B$26</f>
        <v/>
      </c>
      <c r="C47" s="8">
        <f>'balance_raw_76220115'!$C$26</f>
        <v/>
      </c>
      <c r="D47" s="8">
        <f>'balance_raw_76220115'!$D$26</f>
        <v/>
      </c>
      <c r="E47" s="8">
        <f>'balance_raw_76220115'!$E$26</f>
        <v/>
      </c>
      <c r="F47" s="8">
        <f>'balance_raw_76220115'!$F$26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'balance_raw_76220115'!$B$27</f>
        <v/>
      </c>
      <c r="C48" s="11">
        <f>'balance_raw_76220115'!$C$27</f>
        <v/>
      </c>
      <c r="D48" s="11">
        <f>'balance_raw_76220115'!$D$27</f>
        <v/>
      </c>
      <c r="E48" s="11">
        <f>'balance_raw_76220115'!$E$27</f>
        <v/>
      </c>
      <c r="F48" s="11">
        <f>'balance_raw_76220115'!$F$27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'balance_raw_76220115'!$B$28</f>
        <v/>
      </c>
      <c r="C49" s="8">
        <f>'balance_raw_76220115'!$C$28</f>
        <v/>
      </c>
      <c r="D49" s="8">
        <f>'balance_raw_76220115'!$D$28</f>
        <v/>
      </c>
      <c r="E49" s="8">
        <f>'balance_raw_76220115'!$E$28</f>
        <v/>
      </c>
      <c r="F49" s="8">
        <f>'balance_raw_76220115'!$F$28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'balance_raw_76220115'!$B$29</f>
        <v/>
      </c>
      <c r="C50" s="5">
        <f>'balance_raw_76220115'!$C$29</f>
        <v/>
      </c>
      <c r="D50" s="5">
        <f>'balance_raw_76220115'!$D$29</f>
        <v/>
      </c>
      <c r="E50" s="5">
        <f>'balance_raw_76220115'!$E$29</f>
        <v/>
      </c>
      <c r="F50" s="5">
        <f>'balance_raw_76220115'!$F$29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'balance_raw_76220115'!$B$30</f>
        <v/>
      </c>
      <c r="C51" s="11">
        <f>'balance_raw_76220115'!$C$30</f>
        <v/>
      </c>
      <c r="D51" s="11">
        <f>'balance_raw_76220115'!$D$30</f>
        <v/>
      </c>
      <c r="E51" s="11">
        <f>'balance_raw_76220115'!$E$30</f>
        <v/>
      </c>
      <c r="F51" s="11">
        <f>'balance_raw_76220115'!$F$30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'balance_raw_76220115'!$B$31</f>
        <v/>
      </c>
      <c r="C52" s="11">
        <f>'balance_raw_76220115'!$C$31</f>
        <v/>
      </c>
      <c r="D52" s="11">
        <f>'balance_raw_76220115'!$D$31</f>
        <v/>
      </c>
      <c r="E52" s="11">
        <f>'balance_raw_76220115'!$E$31</f>
        <v/>
      </c>
      <c r="F52" s="11">
        <f>'balance_raw_76220115'!$F$31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'balance_raw_76220115'!$B$32</f>
        <v/>
      </c>
      <c r="C55" s="8">
        <f>'balance_raw_76220115'!$C$32</f>
        <v/>
      </c>
      <c r="D55" s="8">
        <f>'balance_raw_76220115'!$D$32</f>
        <v/>
      </c>
      <c r="E55" s="8">
        <f>'balance_raw_76220115'!$E$32</f>
        <v/>
      </c>
      <c r="F55" s="8">
        <f>'balance_raw_76220115'!$F$32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'balance_raw_76220115'!$B$33</f>
        <v/>
      </c>
      <c r="C56" s="5">
        <f>'balance_raw_76220115'!$C$33</f>
        <v/>
      </c>
      <c r="D56" s="5">
        <f>'balance_raw_76220115'!$D$33</f>
        <v/>
      </c>
      <c r="E56" s="5">
        <f>'balance_raw_76220115'!$E$33</f>
        <v/>
      </c>
      <c r="F56" s="5">
        <f>'balance_raw_76220115'!$F$33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'balance_raw_76220115'!$B$34</f>
        <v/>
      </c>
      <c r="C57" s="8">
        <f>'balance_raw_76220115'!$C$34</f>
        <v/>
      </c>
      <c r="D57" s="8">
        <f>'balance_raw_76220115'!$D$34</f>
        <v/>
      </c>
      <c r="E57" s="8">
        <f>'balance_raw_76220115'!$E$34</f>
        <v/>
      </c>
      <c r="F57" s="8">
        <f>'balance_raw_76220115'!$F$34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'balance_raw_76220115'!$B$35</f>
        <v/>
      </c>
      <c r="C58" s="5">
        <f>'balance_raw_76220115'!$C$35</f>
        <v/>
      </c>
      <c r="D58" s="5">
        <f>'balance_raw_76220115'!$D$35</f>
        <v/>
      </c>
      <c r="E58" s="5">
        <f>'balance_raw_76220115'!$E$35</f>
        <v/>
      </c>
      <c r="F58" s="5">
        <f>'balance_raw_76220115'!$F$35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'balance_raw_76220115'!$B$36</f>
        <v/>
      </c>
      <c r="C59" s="8">
        <f>'balance_raw_76220115'!$C$36</f>
        <v/>
      </c>
      <c r="D59" s="8">
        <f>'balance_raw_76220115'!$D$36</f>
        <v/>
      </c>
      <c r="E59" s="8">
        <f>'balance_raw_76220115'!$E$36</f>
        <v/>
      </c>
      <c r="F59" s="8">
        <f>'balance_raw_76220115'!$F$36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'balance_raw_76220115'!$B$37</f>
        <v/>
      </c>
      <c r="C60" s="5">
        <f>'balance_raw_76220115'!$C$37</f>
        <v/>
      </c>
      <c r="D60" s="5">
        <f>'balance_raw_76220115'!$D$37</f>
        <v/>
      </c>
      <c r="E60" s="5">
        <f>'balance_raw_76220115'!$E$37</f>
        <v/>
      </c>
      <c r="F60" s="5">
        <f>'balance_raw_76220115'!$F$37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'balance_raw_76220115'!$B$38</f>
        <v/>
      </c>
      <c r="C61" s="11">
        <f>'balance_raw_76220115'!$C$38</f>
        <v/>
      </c>
      <c r="D61" s="11">
        <f>'balance_raw_76220115'!$D$38</f>
        <v/>
      </c>
      <c r="E61" s="11">
        <f>'balance_raw_76220115'!$E$38</f>
        <v/>
      </c>
      <c r="F61" s="11">
        <f>'balance_raw_76220115'!$F$38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'balance_raw_76220115'!$B$39</f>
        <v/>
      </c>
      <c r="C62" s="5">
        <f>'balance_raw_76220115'!$C$39</f>
        <v/>
      </c>
      <c r="D62" s="5">
        <f>'balance_raw_76220115'!$D$39</f>
        <v/>
      </c>
      <c r="E62" s="5">
        <f>'balance_raw_76220115'!$E$39</f>
        <v/>
      </c>
      <c r="F62" s="5">
        <f>'balance_raw_76220115'!$F$39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'balance_raw_76220115'!$B$40</f>
        <v/>
      </c>
      <c r="C63" s="11">
        <f>'balance_raw_76220115'!$C$40</f>
        <v/>
      </c>
      <c r="D63" s="11">
        <f>'balance_raw_76220115'!$D$40</f>
        <v/>
      </c>
      <c r="E63" s="11">
        <f>'balance_raw_76220115'!$E$40</f>
        <v/>
      </c>
      <c r="F63" s="11">
        <f>'balance_raw_76220115'!$F$40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'balance_raw_76220115'!$B$41</f>
        <v/>
      </c>
      <c r="C64" s="5">
        <f>'balance_raw_76220115'!$C$41</f>
        <v/>
      </c>
      <c r="D64" s="5">
        <f>'balance_raw_76220115'!$D$41</f>
        <v/>
      </c>
      <c r="E64" s="5">
        <f>'balance_raw_76220115'!$E$41</f>
        <v/>
      </c>
      <c r="F64" s="5">
        <f>'balance_raw_76220115'!$F$41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'balance_raw_76220115'!$B$42</f>
        <v/>
      </c>
      <c r="C65" s="8">
        <f>'balance_raw_76220115'!$C$42</f>
        <v/>
      </c>
      <c r="D65" s="8">
        <f>'balance_raw_76220115'!$D$42</f>
        <v/>
      </c>
      <c r="E65" s="8">
        <f>'balance_raw_76220115'!$E$42</f>
        <v/>
      </c>
      <c r="F65" s="8">
        <f>'balance_raw_76220115'!$F$42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'balance_raw_76220115'!$B$43</f>
        <v/>
      </c>
      <c r="C66" s="5">
        <f>'balance_raw_76220115'!$C$43</f>
        <v/>
      </c>
      <c r="D66" s="5">
        <f>'balance_raw_76220115'!$D$43</f>
        <v/>
      </c>
      <c r="E66" s="5">
        <f>'balance_raw_76220115'!$E$43</f>
        <v/>
      </c>
      <c r="F66" s="5">
        <f>'balance_raw_76220115'!$F$43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'balance_raw_76220115'!$B$44</f>
        <v/>
      </c>
      <c r="C67" s="8">
        <f>'balance_raw_76220115'!$C$44</f>
        <v/>
      </c>
      <c r="D67" s="8">
        <f>'balance_raw_76220115'!$D$44</f>
        <v/>
      </c>
      <c r="E67" s="8">
        <f>'balance_raw_76220115'!$E$44</f>
        <v/>
      </c>
      <c r="F67" s="8">
        <f>'balance_raw_76220115'!$F$44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'balance_raw_76220115'!$B$45</f>
        <v/>
      </c>
      <c r="C68" s="11">
        <f>'balance_raw_76220115'!$C$45</f>
        <v/>
      </c>
      <c r="D68" s="11">
        <f>'balance_raw_76220115'!$D$45</f>
        <v/>
      </c>
      <c r="E68" s="11">
        <f>'balance_raw_76220115'!$E$45</f>
        <v/>
      </c>
      <c r="F68" s="11">
        <f>'balance_raw_76220115'!$F$45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'balance_raw_76220115'!$B$46</f>
        <v/>
      </c>
      <c r="C69" s="8">
        <f>'balance_raw_76220115'!$C$46</f>
        <v/>
      </c>
      <c r="D69" s="8">
        <f>'balance_raw_76220115'!$D$46</f>
        <v/>
      </c>
      <c r="E69" s="8">
        <f>'balance_raw_76220115'!$E$46</f>
        <v/>
      </c>
      <c r="F69" s="8">
        <f>'balance_raw_76220115'!$F$46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'balance_raw_76220115'!$B$47</f>
        <v/>
      </c>
      <c r="C70" s="5">
        <f>'balance_raw_76220115'!$C$47</f>
        <v/>
      </c>
      <c r="D70" s="5">
        <f>'balance_raw_76220115'!$D$47</f>
        <v/>
      </c>
      <c r="E70" s="5">
        <f>'balance_raw_76220115'!$E$47</f>
        <v/>
      </c>
      <c r="F70" s="5">
        <f>'balance_raw_76220115'!$F$47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'balance_raw_76220115'!$B$48</f>
        <v/>
      </c>
      <c r="C71" s="8">
        <f>'balance_raw_76220115'!$C$48</f>
        <v/>
      </c>
      <c r="D71" s="8">
        <f>'balance_raw_76220115'!$D$48</f>
        <v/>
      </c>
      <c r="E71" s="8">
        <f>'balance_raw_76220115'!$E$48</f>
        <v/>
      </c>
      <c r="F71" s="8">
        <f>'balance_raw_76220115'!$F$48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'balance_raw_76220115'!$B$49</f>
        <v/>
      </c>
      <c r="C72" s="5">
        <f>'balance_raw_76220115'!$C$49</f>
        <v/>
      </c>
      <c r="D72" s="5">
        <f>'balance_raw_76220115'!$D$49</f>
        <v/>
      </c>
      <c r="E72" s="5">
        <f>'balance_raw_76220115'!$E$49</f>
        <v/>
      </c>
      <c r="F72" s="5">
        <f>'balance_raw_76220115'!$F$49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'balance_raw_76220115'!$B$50</f>
        <v/>
      </c>
      <c r="C73" s="8">
        <f>'balance_raw_76220115'!$C$50</f>
        <v/>
      </c>
      <c r="D73" s="8">
        <f>'balance_raw_76220115'!$D$50</f>
        <v/>
      </c>
      <c r="E73" s="8">
        <f>'balance_raw_76220115'!$E$50</f>
        <v/>
      </c>
      <c r="F73" s="8">
        <f>'balance_raw_76220115'!$F$50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'balance_raw_76220115'!$B$51</f>
        <v/>
      </c>
      <c r="C74" s="5">
        <f>'balance_raw_76220115'!$C$51</f>
        <v/>
      </c>
      <c r="D74" s="5">
        <f>'balance_raw_76220115'!$D$51</f>
        <v/>
      </c>
      <c r="E74" s="5">
        <f>'balance_raw_76220115'!$E$51</f>
        <v/>
      </c>
      <c r="F74" s="5">
        <f>'balance_raw_76220115'!$F$51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'balance_raw_76220115'!$B$52</f>
        <v/>
      </c>
      <c r="C75" s="8">
        <f>'balance_raw_76220115'!$C$52</f>
        <v/>
      </c>
      <c r="D75" s="8">
        <f>'balance_raw_76220115'!$D$52</f>
        <v/>
      </c>
      <c r="E75" s="8">
        <f>'balance_raw_76220115'!$E$52</f>
        <v/>
      </c>
      <c r="F75" s="8">
        <f>'balance_raw_76220115'!$F$52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'balance_raw_76220115'!$B$53</f>
        <v/>
      </c>
      <c r="C76" s="5">
        <f>'balance_raw_76220115'!$C$53</f>
        <v/>
      </c>
      <c r="D76" s="5">
        <f>'balance_raw_76220115'!$D$53</f>
        <v/>
      </c>
      <c r="E76" s="5">
        <f>'balance_raw_76220115'!$E$53</f>
        <v/>
      </c>
      <c r="F76" s="5">
        <f>'balance_raw_76220115'!$F$53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'balance_raw_76220115'!$B$54</f>
        <v/>
      </c>
      <c r="C77" s="8">
        <f>'balance_raw_76220115'!$C$54</f>
        <v/>
      </c>
      <c r="D77" s="8">
        <f>'balance_raw_76220115'!$D$54</f>
        <v/>
      </c>
      <c r="E77" s="8">
        <f>'balance_raw_76220115'!$E$54</f>
        <v/>
      </c>
      <c r="F77" s="8">
        <f>'balance_raw_76220115'!$F$54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'balance_raw_76220115'!$B$55</f>
        <v/>
      </c>
      <c r="C78" s="5">
        <f>'balance_raw_76220115'!$C$55</f>
        <v/>
      </c>
      <c r="D78" s="5">
        <f>'balance_raw_76220115'!$D$55</f>
        <v/>
      </c>
      <c r="E78" s="5">
        <f>'balance_raw_76220115'!$E$55</f>
        <v/>
      </c>
      <c r="F78" s="5">
        <f>'balance_raw_76220115'!$F$55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'balance_raw_76220115'!$B$56</f>
        <v/>
      </c>
      <c r="C79" s="8">
        <f>'balance_raw_76220115'!$C$56</f>
        <v/>
      </c>
      <c r="D79" s="8">
        <f>'balance_raw_76220115'!$D$56</f>
        <v/>
      </c>
      <c r="E79" s="8">
        <f>'balance_raw_76220115'!$E$56</f>
        <v/>
      </c>
      <c r="F79" s="8">
        <f>'balance_raw_76220115'!$F$56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'balance_raw_76220115'!$B$57</f>
        <v/>
      </c>
      <c r="C80" s="11">
        <f>'balance_raw_76220115'!$C$57</f>
        <v/>
      </c>
      <c r="D80" s="11">
        <f>'balance_raw_76220115'!$D$57</f>
        <v/>
      </c>
      <c r="E80" s="11">
        <f>'balance_raw_76220115'!$E$57</f>
        <v/>
      </c>
      <c r="F80" s="11">
        <f>'balance_raw_76220115'!$F$57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'balance_raw_76220115'!$B$58</f>
        <v/>
      </c>
      <c r="C81" s="11">
        <f>'balance_raw_76220115'!$C$58</f>
        <v/>
      </c>
      <c r="D81" s="11">
        <f>'balance_raw_76220115'!$D$58</f>
        <v/>
      </c>
      <c r="E81" s="11">
        <f>'balance_raw_76220115'!$E$58</f>
        <v/>
      </c>
      <c r="F81" s="11">
        <f>'balance_raw_76220115'!$F$58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'balance_raw_76220115'!$B$59</f>
        <v/>
      </c>
      <c r="C82" s="11">
        <f>'balance_raw_76220115'!$C$59</f>
        <v/>
      </c>
      <c r="D82" s="11">
        <f>'balance_raw_76220115'!$D$59</f>
        <v/>
      </c>
      <c r="E82" s="11">
        <f>'balance_raw_76220115'!$E$59</f>
        <v/>
      </c>
      <c r="F82" s="11">
        <f>'balance_raw_76220115'!$F$59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'res_raw_76220115'!$B$19</f>
        <v/>
      </c>
      <c r="C85" s="8">
        <f>'res_raw_76220115'!$C$19</f>
        <v/>
      </c>
      <c r="D85" s="8">
        <f>'res_raw_76220115'!$D$19</f>
        <v/>
      </c>
      <c r="E85" s="8">
        <f>'res_raw_76220115'!$E$19</f>
        <v/>
      </c>
      <c r="F85" s="8">
        <f>'res_raw_76220115'!$F$19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'res_raw_76220115'!$B$20</f>
        <v/>
      </c>
      <c r="C86" s="5">
        <f>'res_raw_76220115'!$C$20</f>
        <v/>
      </c>
      <c r="D86" s="5">
        <f>'res_raw_76220115'!$D$20</f>
        <v/>
      </c>
      <c r="E86" s="5">
        <f>'res_raw_76220115'!$E$20</f>
        <v/>
      </c>
      <c r="F86" s="5">
        <f>'res_raw_76220115'!$F$20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Søstrene Grenes Import A/S (CVR 76220115)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881611</v>
      </c>
      <c r="C2" s="16" t="n">
        <v>1188357</v>
      </c>
      <c r="D2" s="16" t="n">
        <v>1287376</v>
      </c>
      <c r="E2" s="16" t="n">
        <v>1507740</v>
      </c>
      <c r="F2" s="16" t="n">
        <v>1871125</v>
      </c>
    </row>
    <row r="3">
      <c r="A3" s="15" t="inlineStr">
        <is>
          <t>Andre driftsindtægter</t>
        </is>
      </c>
      <c r="B3" s="16" t="n">
        <v>17747</v>
      </c>
      <c r="C3" s="16" t="n">
        <v>18510</v>
      </c>
      <c r="D3" s="16" t="n">
        <v>23370</v>
      </c>
      <c r="E3" s="16" t="n">
        <v>27375</v>
      </c>
      <c r="F3" s="16" t="n">
        <v>35196</v>
      </c>
    </row>
    <row r="4">
      <c r="A4" s="15" t="inlineStr">
        <is>
          <t>Vareforbrug</t>
        </is>
      </c>
      <c r="B4" s="16" t="n">
        <v>514801</v>
      </c>
      <c r="C4" s="16" t="n">
        <v>676301</v>
      </c>
      <c r="D4" s="16" t="n">
        <v>755849</v>
      </c>
      <c r="E4" s="16" t="n">
        <v>814556</v>
      </c>
      <c r="F4" s="16" t="n">
        <v>1037721</v>
      </c>
    </row>
    <row r="5">
      <c r="A5" s="15" t="inlineStr">
        <is>
          <t>Andre eksterne omkostninger</t>
        </is>
      </c>
      <c r="B5" s="16" t="n">
        <v>121717</v>
      </c>
      <c r="C5" s="16" t="n">
        <v>152876</v>
      </c>
      <c r="D5" s="16" t="n">
        <v>163235</v>
      </c>
      <c r="E5" s="16" t="n">
        <v>227020</v>
      </c>
      <c r="F5" s="16" t="n">
        <v>325719</v>
      </c>
    </row>
    <row r="6">
      <c r="A6" s="17" t="inlineStr">
        <is>
          <t>Bruttoresultat</t>
        </is>
      </c>
      <c r="B6" s="16" t="n">
        <v>262840</v>
      </c>
      <c r="C6" s="16" t="n">
        <v>377690</v>
      </c>
      <c r="D6" s="16" t="n">
        <v>391662</v>
      </c>
      <c r="E6" s="16" t="n">
        <v>493539</v>
      </c>
      <c r="F6" s="16" t="n">
        <v>548212</v>
      </c>
    </row>
    <row r="7">
      <c r="A7" s="15" t="inlineStr">
        <is>
          <t>Personaleomkostninger</t>
        </is>
      </c>
      <c r="B7" s="16" t="n">
        <v>156493</v>
      </c>
      <c r="C7" s="16" t="n">
        <v>191906</v>
      </c>
      <c r="D7" s="16" t="n">
        <v>207916</v>
      </c>
      <c r="E7" s="16" t="n">
        <v>245865</v>
      </c>
      <c r="F7" s="16" t="n">
        <v>246367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16511</v>
      </c>
      <c r="C9" s="16" t="n">
        <v>17139</v>
      </c>
      <c r="D9" s="16" t="n">
        <v>22696</v>
      </c>
      <c r="E9" s="16" t="n">
        <v>26854</v>
      </c>
      <c r="F9" s="16" t="n">
        <v>39332</v>
      </c>
    </row>
    <row r="10">
      <c r="A10" s="15" t="inlineStr">
        <is>
          <t>Andre driftsomkostninger</t>
        </is>
      </c>
      <c r="B10" s="16" t="n">
        <v>5123</v>
      </c>
      <c r="C10" s="16" t="n">
        <v>6916</v>
      </c>
      <c r="D10" s="16" t="n">
        <v>12304</v>
      </c>
      <c r="E10" s="16" t="n">
        <v>15353</v>
      </c>
      <c r="F10" s="16" t="n">
        <v>99389</v>
      </c>
    </row>
    <row r="11">
      <c r="A11" s="17" t="inlineStr">
        <is>
          <t>Resultat af primær drift</t>
        </is>
      </c>
      <c r="B11" s="16" t="n">
        <v>84713</v>
      </c>
      <c r="C11" s="16" t="n">
        <v>161729</v>
      </c>
      <c r="D11" s="16" t="n">
        <v>148746</v>
      </c>
      <c r="E11" s="16" t="n">
        <v>205467</v>
      </c>
      <c r="F11" s="16" t="n">
        <v>163124</v>
      </c>
    </row>
    <row r="12">
      <c r="A12" s="15" t="inlineStr">
        <is>
          <t>Indtægter af kapitalandele, dattervirksomheder</t>
        </is>
      </c>
      <c r="B12" s="16" t="n">
        <v>463</v>
      </c>
      <c r="C12" s="16" t="n">
        <v>282</v>
      </c>
      <c r="D12" s="16" t="n">
        <v>390</v>
      </c>
      <c r="E12" s="16" t="n">
        <v>457</v>
      </c>
      <c r="F12" s="16" t="n">
        <v>-817</v>
      </c>
    </row>
    <row r="13">
      <c r="A13" s="15" t="inlineStr">
        <is>
          <t>Finansielle indtægter</t>
        </is>
      </c>
      <c r="B13" s="16" t="n">
        <v>7376</v>
      </c>
      <c r="C13" s="16" t="n">
        <v>17225</v>
      </c>
      <c r="D13" s="16" t="n">
        <v>23097</v>
      </c>
      <c r="E13" s="16" t="n">
        <v>9778</v>
      </c>
      <c r="F13" s="16" t="n">
        <v>64484</v>
      </c>
    </row>
    <row r="14">
      <c r="A14" s="15" t="inlineStr">
        <is>
          <t>Finansielle omkostninger</t>
        </is>
      </c>
      <c r="B14" s="16" t="n">
        <v>9118</v>
      </c>
      <c r="C14" s="16" t="n">
        <v>12053</v>
      </c>
      <c r="D14" s="16" t="n">
        <v>14061</v>
      </c>
      <c r="E14" s="16" t="n">
        <v>18462</v>
      </c>
      <c r="F14" s="16" t="n">
        <v>59009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83434</v>
      </c>
      <c r="C16" s="16" t="n">
        <v>167183</v>
      </c>
      <c r="D16" s="16" t="n">
        <v>158172</v>
      </c>
      <c r="E16" s="16" t="n">
        <v>197240</v>
      </c>
      <c r="F16" s="16" t="n">
        <v>167782</v>
      </c>
    </row>
    <row r="17">
      <c r="A17" s="15" t="inlineStr">
        <is>
          <t>Skat af årets resultat</t>
        </is>
      </c>
      <c r="B17" s="16" t="n">
        <v>18497</v>
      </c>
      <c r="C17" s="16" t="n">
        <v>36795</v>
      </c>
      <c r="D17" s="16" t="n">
        <v>34486</v>
      </c>
      <c r="E17" s="16" t="n">
        <v>39994</v>
      </c>
      <c r="F17" s="16" t="n">
        <v>40541</v>
      </c>
    </row>
    <row r="18">
      <c r="A18" s="17" t="inlineStr">
        <is>
          <t>Årets resultat</t>
        </is>
      </c>
      <c r="B18" s="16" t="n">
        <v>64937</v>
      </c>
      <c r="C18" s="16" t="n">
        <v>130388</v>
      </c>
      <c r="D18" s="16" t="n">
        <v>123686</v>
      </c>
      <c r="E18" s="16" t="n">
        <v>157246</v>
      </c>
      <c r="F18" s="16" t="n">
        <v>127241</v>
      </c>
    </row>
    <row r="19">
      <c r="A19" s="15" t="inlineStr">
        <is>
          <t>Gns. antal medarbejdere</t>
        </is>
      </c>
      <c r="B19" s="16" t="n">
        <v>286</v>
      </c>
      <c r="C19" s="16" t="n">
        <v>360</v>
      </c>
      <c r="D19" s="16" t="n">
        <v>366</v>
      </c>
      <c r="E19" s="16" t="n">
        <v>391</v>
      </c>
      <c r="F19" s="16" t="n">
        <v>464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Søstrene Grenes Import A/S (CVR 76220115)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14927</v>
      </c>
      <c r="F2" s="16" t="n">
        <v>14142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28932</v>
      </c>
      <c r="C5" s="16" t="n">
        <v>34560</v>
      </c>
      <c r="D5" s="16" t="n">
        <v>38006</v>
      </c>
      <c r="E5" s="16" t="n">
        <v>60515</v>
      </c>
      <c r="F5" s="16" t="n">
        <v>112733</v>
      </c>
    </row>
    <row r="6">
      <c r="A6" s="15" t="inlineStr">
        <is>
          <t>Grunde og bygninger</t>
        </is>
      </c>
      <c r="B6" s="16" t="n">
        <v>208254</v>
      </c>
      <c r="C6" s="16" t="n">
        <v>207991</v>
      </c>
      <c r="D6" s="16" t="n">
        <v>205769</v>
      </c>
      <c r="E6" s="16" t="n">
        <v>203424</v>
      </c>
      <c r="F6" s="16" t="n">
        <v>200006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15885</v>
      </c>
      <c r="C8" s="16" t="n">
        <v>15635</v>
      </c>
      <c r="D8" s="16" t="n">
        <v>16449</v>
      </c>
      <c r="E8" s="16" t="n">
        <v>14872</v>
      </c>
      <c r="F8" s="16" t="n">
        <v>19156</v>
      </c>
    </row>
    <row r="9">
      <c r="A9" s="15" t="inlineStr">
        <is>
          <t>Indretning af lejede lokaler</t>
        </is>
      </c>
      <c r="B9" s="16" t="n">
        <v>640</v>
      </c>
      <c r="C9" s="16" t="n">
        <v>1295</v>
      </c>
      <c r="D9" s="16" t="n">
        <v>1179</v>
      </c>
      <c r="E9" s="16" t="n">
        <v>4644</v>
      </c>
      <c r="F9" s="16" t="n">
        <v>5573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224779</v>
      </c>
      <c r="C11" s="16" t="n">
        <v>224921</v>
      </c>
      <c r="D11" s="16" t="n">
        <v>223397</v>
      </c>
      <c r="E11" s="16" t="n">
        <v>222940</v>
      </c>
      <c r="F11" s="16" t="n">
        <v>224735</v>
      </c>
    </row>
    <row r="12">
      <c r="A12" s="15" t="inlineStr">
        <is>
          <t>Kapitalandele, dattervirksomheder</t>
        </is>
      </c>
      <c r="B12" s="16" t="n">
        <v>1700</v>
      </c>
      <c r="C12" s="16" t="n">
        <v>2141</v>
      </c>
      <c r="D12" s="16" t="n">
        <v>2392</v>
      </c>
      <c r="E12" s="16" t="n">
        <v>2815</v>
      </c>
      <c r="F12" s="16" t="n">
        <v>1876</v>
      </c>
    </row>
    <row r="13">
      <c r="A13" s="15" t="inlineStr">
        <is>
          <t>Deposita</t>
        </is>
      </c>
      <c r="B13" s="16" t="n">
        <v>8324</v>
      </c>
      <c r="C13" s="16" t="n">
        <v>6688</v>
      </c>
      <c r="D13" s="16" t="n">
        <v>8585</v>
      </c>
      <c r="E13" s="16" t="n">
        <v>13205</v>
      </c>
      <c r="F13" s="16" t="n">
        <v>12523</v>
      </c>
    </row>
    <row r="14">
      <c r="A14" s="17" t="inlineStr">
        <is>
          <t>Finansielle anlægsaktiver</t>
        </is>
      </c>
      <c r="B14" s="16" t="n">
        <v>26303</v>
      </c>
      <c r="C14" s="16" t="n">
        <v>11009</v>
      </c>
      <c r="D14" s="16" t="n">
        <v>12292</v>
      </c>
      <c r="E14" s="16" t="n">
        <v>16569</v>
      </c>
      <c r="F14" s="16" t="n">
        <v>14948</v>
      </c>
    </row>
    <row r="15">
      <c r="A15" s="17" t="inlineStr">
        <is>
          <t>Anlægsaktiver</t>
        </is>
      </c>
      <c r="B15" s="16" t="n">
        <v>280014</v>
      </c>
      <c r="C15" s="16" t="n">
        <v>270490</v>
      </c>
      <c r="D15" s="16" t="n">
        <v>273695</v>
      </c>
      <c r="E15" s="16" t="n">
        <v>300024</v>
      </c>
      <c r="F15" s="16" t="n">
        <v>352416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148493</v>
      </c>
      <c r="C18" s="16" t="n">
        <v>166763</v>
      </c>
      <c r="D18" s="16" t="n">
        <v>164327</v>
      </c>
      <c r="E18" s="16" t="n">
        <v>175361</v>
      </c>
      <c r="F18" s="16" t="n">
        <v>231966</v>
      </c>
    </row>
    <row r="19">
      <c r="A19" s="17" t="inlineStr">
        <is>
          <t>Varebeholdninger</t>
        </is>
      </c>
      <c r="B19" s="16" t="n">
        <v>149909</v>
      </c>
      <c r="C19" s="16" t="n">
        <v>168123</v>
      </c>
      <c r="D19" s="16" t="n">
        <v>164327</v>
      </c>
      <c r="E19" s="16" t="n">
        <v>175361</v>
      </c>
      <c r="F19" s="16" t="n">
        <v>231966</v>
      </c>
    </row>
    <row r="20">
      <c r="A20" s="15" t="inlineStr">
        <is>
          <t>Tilgodehavender fra salg og tjenesteydelser</t>
        </is>
      </c>
      <c r="B20" s="16" t="n">
        <v>24707</v>
      </c>
      <c r="C20" s="16" t="n">
        <v>23039</v>
      </c>
      <c r="D20" s="16" t="n">
        <v>22656</v>
      </c>
      <c r="E20" s="16" t="n">
        <v>13420</v>
      </c>
      <c r="F20" s="16" t="n">
        <v>13913</v>
      </c>
    </row>
    <row r="21">
      <c r="A21" s="15" t="inlineStr">
        <is>
          <t>Tilgodehavender hos tilknyttede virksomheder</t>
        </is>
      </c>
      <c r="B21" s="16" t="n">
        <v>228871</v>
      </c>
      <c r="C21" s="16" t="n">
        <v>192739</v>
      </c>
      <c r="D21" s="16" t="n">
        <v>92745</v>
      </c>
      <c r="E21" s="16" t="n">
        <v>153261</v>
      </c>
      <c r="F21" s="16" t="n">
        <v>297029</v>
      </c>
    </row>
    <row r="22">
      <c r="A22" s="15" t="inlineStr">
        <is>
          <t>Andre tilgodehavender</t>
        </is>
      </c>
      <c r="B22" s="16" t="n">
        <v>4905</v>
      </c>
      <c r="C22" s="16" t="n">
        <v>48121</v>
      </c>
      <c r="D22" s="16" t="n">
        <v>71257</v>
      </c>
      <c r="E22" s="16" t="n">
        <v>113764</v>
      </c>
      <c r="F22" s="16" t="n">
        <v>54143</v>
      </c>
    </row>
    <row r="23">
      <c r="A23" s="15" t="inlineStr">
        <is>
          <t>Periodeafgrænsningsposter (aktiver)</t>
        </is>
      </c>
      <c r="B23" s="16" t="n">
        <v>6916</v>
      </c>
      <c r="C23" s="16" t="n">
        <v>8037</v>
      </c>
      <c r="D23" s="16" t="n">
        <v>11482</v>
      </c>
      <c r="E23" s="16" t="n">
        <v>15835</v>
      </c>
      <c r="F23" s="16" t="n">
        <v>17247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265399</v>
      </c>
      <c r="C27" s="16" t="n">
        <v>271936</v>
      </c>
      <c r="D27" s="16" t="n">
        <v>198140</v>
      </c>
      <c r="E27" s="16" t="n">
        <v>296280</v>
      </c>
      <c r="F27" s="16" t="n">
        <v>382332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10366</v>
      </c>
      <c r="C29" s="16" t="n">
        <v>83134</v>
      </c>
      <c r="D29" s="16" t="n">
        <v>67714</v>
      </c>
      <c r="E29" s="16" t="n">
        <v>20403</v>
      </c>
      <c r="F29" s="16" t="n">
        <v>36425</v>
      </c>
    </row>
    <row r="30">
      <c r="A30" s="17" t="inlineStr">
        <is>
          <t>Omsætningsaktiver</t>
        </is>
      </c>
      <c r="B30" s="16" t="n">
        <v>425674</v>
      </c>
      <c r="C30" s="16" t="n">
        <v>523193</v>
      </c>
      <c r="D30" s="16" t="n">
        <v>430181</v>
      </c>
      <c r="E30" s="16" t="n">
        <v>492044</v>
      </c>
      <c r="F30" s="16" t="n">
        <v>650723</v>
      </c>
    </row>
    <row r="31">
      <c r="A31" s="17" t="inlineStr">
        <is>
          <t>Aktiver</t>
        </is>
      </c>
      <c r="B31" s="16" t="n">
        <v>705688</v>
      </c>
      <c r="C31" s="16" t="n">
        <v>793683</v>
      </c>
      <c r="D31" s="16" t="n">
        <v>703876</v>
      </c>
      <c r="E31" s="16" t="n">
        <v>792068</v>
      </c>
      <c r="F31" s="16" t="n">
        <v>1003139</v>
      </c>
    </row>
    <row r="32">
      <c r="A32" s="15" t="inlineStr">
        <is>
          <t>Selskabskapital</t>
        </is>
      </c>
      <c r="B32" s="16" t="n">
        <v>510</v>
      </c>
      <c r="C32" s="16" t="n">
        <v>510</v>
      </c>
      <c r="D32" s="16" t="n">
        <v>510</v>
      </c>
      <c r="E32" s="16" t="n">
        <v>510</v>
      </c>
      <c r="F32" s="16" t="n">
        <v>510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>
        <v>851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>
        <v>11643</v>
      </c>
      <c r="F34" s="16" t="n">
        <v>50636</v>
      </c>
    </row>
    <row r="35">
      <c r="A35" s="15" t="inlineStr">
        <is>
          <t>Reserve for sikringstransaktioner</t>
        </is>
      </c>
      <c r="B35" s="16" t="n"/>
      <c r="C35" s="16" t="n">
        <v>10852</v>
      </c>
      <c r="D35" s="16" t="n">
        <v>-4438</v>
      </c>
      <c r="E35" s="16" t="n">
        <v>1488</v>
      </c>
      <c r="F35" s="16" t="n">
        <v>-7960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294346</v>
      </c>
      <c r="C37" s="16" t="n">
        <v>229897</v>
      </c>
      <c r="D37" s="16" t="n">
        <v>235561</v>
      </c>
      <c r="E37" s="16" t="n">
        <v>291527</v>
      </c>
      <c r="F37" s="16" t="n">
        <v>318800</v>
      </c>
    </row>
    <row r="38">
      <c r="A38" s="17" t="inlineStr">
        <is>
          <t>Egenkapital i alt</t>
        </is>
      </c>
      <c r="B38" s="16" t="n">
        <v>324856</v>
      </c>
      <c r="C38" s="16" t="n">
        <v>441259</v>
      </c>
      <c r="D38" s="16" t="n">
        <v>356633</v>
      </c>
      <c r="E38" s="16" t="n">
        <v>395168</v>
      </c>
      <c r="F38" s="16" t="n">
        <v>422837</v>
      </c>
    </row>
    <row r="39">
      <c r="A39" s="15" t="inlineStr">
        <is>
          <t>Hensættelse til udskudt skat</t>
        </is>
      </c>
      <c r="B39" s="16" t="n">
        <v>10935</v>
      </c>
      <c r="C39" s="16" t="n">
        <v>12976</v>
      </c>
      <c r="D39" s="16" t="n">
        <v>15484</v>
      </c>
      <c r="E39" s="16" t="n">
        <v>20524</v>
      </c>
      <c r="F39" s="16" t="n">
        <v>33996</v>
      </c>
    </row>
    <row r="40">
      <c r="A40" s="17" t="inlineStr">
        <is>
          <t>Hensatte forpligtelser</t>
        </is>
      </c>
      <c r="B40" s="16" t="n">
        <v>10935</v>
      </c>
      <c r="C40" s="16" t="n">
        <v>12976</v>
      </c>
      <c r="D40" s="16" t="n">
        <v>15484</v>
      </c>
      <c r="E40" s="16" t="n">
        <v>20524</v>
      </c>
      <c r="F40" s="16" t="n">
        <v>33996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102030</v>
      </c>
      <c r="C42" s="16" t="n">
        <v>95449</v>
      </c>
      <c r="D42" s="16" t="n">
        <v>79073</v>
      </c>
      <c r="E42" s="16" t="n">
        <v>74780</v>
      </c>
      <c r="F42" s="16" t="n">
        <v>127069</v>
      </c>
    </row>
    <row r="43">
      <c r="A43" s="15" t="inlineStr">
        <is>
          <t>Leasingforpligtelser (langfristet)</t>
        </is>
      </c>
      <c r="B43" s="16" t="n">
        <v>16768</v>
      </c>
      <c r="C43" s="16" t="n">
        <v>14095</v>
      </c>
      <c r="D43" s="16" t="n">
        <v>16487</v>
      </c>
      <c r="E43" s="16" t="n">
        <v>10943</v>
      </c>
      <c r="F43" s="16" t="n">
        <v>9986</v>
      </c>
    </row>
    <row r="44">
      <c r="A44" s="15" t="inlineStr">
        <is>
          <t>Anden gæld (langfristet)</t>
        </is>
      </c>
      <c r="B44" s="16" t="n">
        <v>70</v>
      </c>
      <c r="C44" s="16" t="n">
        <v>0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187257</v>
      </c>
      <c r="C45" s="16" t="n">
        <v>130116</v>
      </c>
      <c r="D45" s="16" t="n">
        <v>114123</v>
      </c>
      <c r="E45" s="16" t="n">
        <v>94593</v>
      </c>
      <c r="F45" s="16" t="n">
        <v>145917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23754</v>
      </c>
      <c r="C47" s="16" t="n">
        <v>15195</v>
      </c>
      <c r="D47" s="16" t="n">
        <v>13867</v>
      </c>
      <c r="E47" s="16" t="n">
        <v>11811</v>
      </c>
      <c r="F47" s="16" t="n">
        <v>12231</v>
      </c>
    </row>
    <row r="48">
      <c r="A48" s="15" t="inlineStr">
        <is>
          <t>Kreditinstitutter</t>
        </is>
      </c>
      <c r="B48" s="16" t="n">
        <v>19507</v>
      </c>
      <c r="C48" s="16" t="n">
        <v>508</v>
      </c>
      <c r="D48" s="16" t="n">
        <v>622</v>
      </c>
      <c r="E48" s="16" t="n">
        <v>39188</v>
      </c>
      <c r="F48" s="16" t="n">
        <v>92889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99288</v>
      </c>
      <c r="C50" s="16" t="n">
        <v>142062</v>
      </c>
      <c r="D50" s="16" t="n">
        <v>152926</v>
      </c>
      <c r="E50" s="16" t="n">
        <v>178720</v>
      </c>
      <c r="F50" s="16" t="n">
        <v>224138</v>
      </c>
    </row>
    <row r="51">
      <c r="A51" s="15" t="inlineStr">
        <is>
          <t>Gæld til tilknyttede virksomheder</t>
        </is>
      </c>
      <c r="B51" s="16" t="n">
        <v>521</v>
      </c>
      <c r="C51" s="16" t="n">
        <v>1513</v>
      </c>
      <c r="D51" s="16" t="n">
        <v>813</v>
      </c>
      <c r="E51" s="16" t="n">
        <v>1539</v>
      </c>
      <c r="F51" s="16" t="n">
        <v>8307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155</v>
      </c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12028</v>
      </c>
      <c r="C54" s="16" t="n">
        <v>15747</v>
      </c>
      <c r="D54" s="16" t="n">
        <v>25936</v>
      </c>
      <c r="E54" s="16" t="n">
        <v>33074</v>
      </c>
      <c r="F54" s="16" t="n">
        <v>18260</v>
      </c>
    </row>
    <row r="55">
      <c r="A55" s="15" t="inlineStr">
        <is>
          <t>Anden gæld (kortfristet)</t>
        </is>
      </c>
      <c r="B55" s="16" t="n">
        <v>21697</v>
      </c>
      <c r="C55" s="16" t="n">
        <v>34307</v>
      </c>
      <c r="D55" s="16" t="n">
        <v>23472</v>
      </c>
      <c r="E55" s="16" t="n">
        <v>17451</v>
      </c>
      <c r="F55" s="16" t="n">
        <v>44564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182640</v>
      </c>
      <c r="C57" s="16" t="n">
        <v>209332</v>
      </c>
      <c r="D57" s="16" t="n">
        <v>217636</v>
      </c>
      <c r="E57" s="16" t="n">
        <v>281783</v>
      </c>
      <c r="F57" s="16" t="n">
        <v>400389</v>
      </c>
    </row>
    <row r="58">
      <c r="A58" s="17" t="inlineStr">
        <is>
          <t>Gældsforpligtelser</t>
        </is>
      </c>
      <c r="B58" s="16" t="n">
        <v>369897</v>
      </c>
      <c r="C58" s="16" t="n">
        <v>339448</v>
      </c>
      <c r="D58" s="16" t="n">
        <v>331759</v>
      </c>
      <c r="E58" s="16" t="n">
        <v>376376</v>
      </c>
      <c r="F58" s="16" t="n">
        <v>546306</v>
      </c>
    </row>
    <row r="59">
      <c r="A59" s="17" t="inlineStr">
        <is>
          <t>Passiver</t>
        </is>
      </c>
      <c r="B59" s="16" t="n">
        <v>705688</v>
      </c>
      <c r="C59" s="16" t="n">
        <v>793683</v>
      </c>
      <c r="D59" s="16" t="n">
        <v>703876</v>
      </c>
      <c r="E59" s="16" t="n">
        <v>792068</v>
      </c>
      <c r="F59" s="16" t="n">
        <v>1003139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Søstrene Grenes Import A/S (CVR 76220115) — Regnskabs- og nøgletal (CVR: 76220115)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'res_raw_76220115'!$F$2</f>
        <v/>
      </c>
      <c r="C5" s="24">
        <f>'res_raw_76220115'!$E$2</f>
        <v/>
      </c>
      <c r="D5" s="24">
        <f>'res_raw_76220115'!$D$2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'res_raw_76220115'!$F$3</f>
        <v/>
      </c>
      <c r="C6" s="24">
        <f>'res_raw_76220115'!$E$3</f>
        <v/>
      </c>
      <c r="D6" s="24">
        <f>'res_raw_76220115'!$D$3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-'res_raw_76220115'!$F$4</f>
        <v/>
      </c>
      <c r="C7" s="24">
        <f>-'res_raw_76220115'!$E$4</f>
        <v/>
      </c>
      <c r="D7" s="24">
        <f>-'res_raw_76220115'!$D$4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-'res_raw_76220115'!$F$5</f>
        <v/>
      </c>
      <c r="C8" s="24">
        <f>-'res_raw_76220115'!$E$5</f>
        <v/>
      </c>
      <c r="D8" s="24">
        <f>-'res_raw_76220115'!$D$5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IF(ABS((SUM(B5:B8))-'res_raw_76220115'!$F$6)&lt;=2,SUM(B5:B8),'res_raw_76220115'!$F$6)</f>
        <v/>
      </c>
      <c r="C9" s="27">
        <f>IF(ABS((SUM(C5:C8))-'res_raw_76220115'!$E$6)&lt;=2,SUM(C5:C8),'res_raw_76220115'!$E$6)</f>
        <v/>
      </c>
      <c r="D9" s="27">
        <f>IF(ABS((SUM(D5:D8))-'res_raw_76220115'!$D$6)&lt;=2,SUM(D5:D8),'res_raw_76220115'!$D$6)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-'res_raw_76220115'!$F$7</f>
        <v/>
      </c>
      <c r="C10" s="24">
        <f>-'res_raw_76220115'!$E$7</f>
        <v/>
      </c>
      <c r="D10" s="24">
        <f>-'res_raw_76220115'!$D$7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-'res_raw_76220115'!$F$9</f>
        <v/>
      </c>
      <c r="C11" s="24">
        <f>-'res_raw_76220115'!$E$9</f>
        <v/>
      </c>
      <c r="D11" s="24">
        <f>-'res_raw_76220115'!$D$9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-'res_raw_76220115'!$F$10</f>
        <v/>
      </c>
      <c r="C12" s="24">
        <f>-'res_raw_76220115'!$E$10</f>
        <v/>
      </c>
      <c r="D12" s="24">
        <f>-'res_raw_76220115'!$D$10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IF(ABS((SUM(B9:B12))-'res_raw_76220115'!$F$11)&lt;=2,SUM(B9:B12),'res_raw_76220115'!$F$11)</f>
        <v/>
      </c>
      <c r="C13" s="27">
        <f>IF(ABS((SUM(C9:C12))-'res_raw_76220115'!$E$11)&lt;=2,SUM(C9:C12),'res_raw_76220115'!$E$11)</f>
        <v/>
      </c>
      <c r="D13" s="27">
        <f>IF(ABS((SUM(D9:D12))-'res_raw_76220115'!$D$11)&lt;=2,SUM(D9:D12),'res_raw_76220115'!$D$11)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N('res_raw_76220115'!$F$12)+N('res_raw_76220115'!$F$13)</f>
        <v/>
      </c>
      <c r="C14" s="24">
        <f>N('res_raw_76220115'!$E$12)+N('res_raw_76220115'!$E$13)</f>
        <v/>
      </c>
      <c r="D14" s="24">
        <f>N('res_raw_76220115'!$D$12)+N('res_raw_76220115'!$D$13)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-'res_raw_76220115'!$F$14</f>
        <v/>
      </c>
      <c r="C15" s="24">
        <f>-'res_raw_76220115'!$E$14</f>
        <v/>
      </c>
      <c r="D15" s="24">
        <f>-'res_raw_76220115'!$D$14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IF(ABS((SUM(B13:B15))-'res_raw_76220115'!$F$16)&lt;=2,SUM(B13:B15),'res_raw_76220115'!$F$16)</f>
        <v/>
      </c>
      <c r="C16" s="27">
        <f>IF(ABS((SUM(C13:C15))-'res_raw_76220115'!$E$16)&lt;=2,SUM(C13:C15),'res_raw_76220115'!$E$16)</f>
        <v/>
      </c>
      <c r="D16" s="27">
        <f>IF(ABS((SUM(D13:D15))-'res_raw_76220115'!$D$16)&lt;=2,SUM(D13:D15),'res_raw_76220115'!$D$16)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'balance_raw_76220115'!$F$15</f>
        <v/>
      </c>
      <c r="C19" s="24">
        <f>'balance_raw_76220115'!$E$15</f>
        <v/>
      </c>
      <c r="D19" s="24">
        <f>'balance_raw_76220115'!$D$15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'balance_raw_76220115'!$F$30</f>
        <v/>
      </c>
      <c r="C20" s="24">
        <f>'balance_raw_76220115'!$E$30</f>
        <v/>
      </c>
      <c r="D20" s="24">
        <f>'balance_raw_76220115'!$D$30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'balance_raw_76220115'!$F$38</f>
        <v/>
      </c>
      <c r="C23" s="24">
        <f>'balance_raw_76220115'!$E$38</f>
        <v/>
      </c>
      <c r="D23" s="24">
        <f>'balance_raw_76220115'!$D$38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'balance_raw_76220115'!$F$59-'balance_raw_76220115'!$F$38</f>
        <v/>
      </c>
      <c r="C24" s="24">
        <f>'balance_raw_76220115'!$E$59-'balance_raw_76220115'!$E$38</f>
        <v/>
      </c>
      <c r="D24" s="24">
        <f>'balance_raw_76220115'!$D$59-'balance_raw_76220115'!$D$38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'balance_raw_76220115'!$F$19</f>
        <v/>
      </c>
      <c r="C28" s="24">
        <f>'balance_raw_76220115'!$E$19</f>
        <v/>
      </c>
      <c r="D28" s="24">
        <f>'balance_raw_76220115'!$D$19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'balance_raw_76220115'!$F$20</f>
        <v/>
      </c>
      <c r="C29" s="24">
        <f>'balance_raw_76220115'!$E$20</f>
        <v/>
      </c>
      <c r="D29" s="24">
        <f>'balance_raw_76220115'!$D$20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'balance_raw_76220115'!$F$57</f>
        <v/>
      </c>
      <c r="C30" s="24">
        <f>'balance_raw_76220115'!$E$57</f>
        <v/>
      </c>
      <c r="D30" s="24">
        <f>'balance_raw_76220115'!$D$57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IF('balance_raw_76220115'!$F$31="","—",IF(ABS(B21-'balance_raw_76220115'!$F$31)&lt;=1,"✓ OK","❌ "&amp;TEXT(B21-'balance_raw_76220115'!$F$31,"+#,##0;-#,##0")&amp;" t.kr."))</f>
        <v/>
      </c>
      <c r="C61" s="29">
        <f>IF('balance_raw_76220115'!$E$31="","—",IF(ABS(C21-'balance_raw_76220115'!$E$31)&lt;=1,"✓ OK","❌ "&amp;TEXT(C21-'balance_raw_76220115'!$E$31,"+#,##0;-#,##0")&amp;" t.kr."))</f>
        <v/>
      </c>
      <c r="D61" s="29">
        <f>IF('balance_raw_76220115'!$D$31="","—",IF(ABS(D21-'balance_raw_76220115'!$D$31)&lt;=1,"✓ OK","❌ "&amp;TEXT(D21-'balance_raw_76220115'!$D$31,"+#,##0;-#,##0")&amp;"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IF('balance_raw_76220115'!$F$59="","—",IF(ABS(B25-'balance_raw_76220115'!$F$59)&lt;=1,"✓ OK","❌ "&amp;TEXT(B25-'balance_raw_76220115'!$F$59,"+#,##0;-#,##0")&amp;" t.kr."))</f>
        <v/>
      </c>
      <c r="C62" s="29">
        <f>IF('balance_raw_76220115'!$E$59="","—",IF(ABS(C25-'balance_raw_76220115'!$E$59)&lt;=1,"✓ OK","❌ "&amp;TEXT(C25-'balance_raw_76220115'!$E$59,"+#,##0;-#,##0")&amp;" t.kr."))</f>
        <v/>
      </c>
      <c r="D62" s="29">
        <f>IF('balance_raw_76220115'!$D$59="","—",IF(ABS(D25-'balance_raw_76220115'!$D$59)&lt;=1,"✓ OK","❌ "&amp;TEXT(D25-'balance_raw_76220115'!$D$59,"+#,##0;-#,##0")&amp;"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IF('res_raw_76220115'!$F$6="","—",IF(ABS(B9-'res_raw_76220115'!$F$6)&lt;=1,"✓ OK","❌ "&amp;TEXT(B9-'res_raw_76220115'!$F$6,"+#,##0;-#,##0")&amp;" t.kr."))</f>
        <v/>
      </c>
      <c r="C64" s="29">
        <f>IF('res_raw_76220115'!$E$6="","—",IF(ABS(C9-'res_raw_76220115'!$E$6)&lt;=1,"✓ OK","❌ "&amp;TEXT(C9-'res_raw_76220115'!$E$6,"+#,##0;-#,##0")&amp;" t.kr."))</f>
        <v/>
      </c>
      <c r="D64" s="29">
        <f>IF('res_raw_76220115'!$D$6="","—",IF(ABS(D9-'res_raw_76220115'!$D$6)&lt;=1,"✓ OK","❌ "&amp;TEXT(D9-'res_raw_76220115'!$D$6,"+#,##0;-#,##0")&amp;"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IF('res_raw_76220115'!$F$11="","—",IF(ABS(B13-'res_raw_76220115'!$F$11)&lt;=1,"✓ OK","❌ "&amp;TEXT(B13-'res_raw_76220115'!$F$11,"+#,##0;-#,##0")&amp;" t.kr."))</f>
        <v/>
      </c>
      <c r="C65" s="29">
        <f>IF('res_raw_76220115'!$E$11="","—",IF(ABS(C13-'res_raw_76220115'!$E$11)&lt;=1,"✓ OK","❌ "&amp;TEXT(C13-'res_raw_76220115'!$E$11,"+#,##0;-#,##0")&amp;" t.kr."))</f>
        <v/>
      </c>
      <c r="D65" s="29">
        <f>IF('res_raw_76220115'!$D$11="","—",IF(ABS(D13-'res_raw_76220115'!$D$11)&lt;=1,"✓ OK","❌ "&amp;TEXT(D13-'res_raw_76220115'!$D$11,"+#,##0;-#,##0")&amp;"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IF('res_raw_76220115'!$F$16="","—",IF(ABS(B16-'res_raw_76220115'!$F$16)&lt;=1,"✓ OK","❌ "&amp;TEXT(B16-'res_raw_76220115'!$F$16,"+#,##0;-#,##0")&amp;" t.kr."))</f>
        <v/>
      </c>
      <c r="C66" s="29">
        <f>IF('res_raw_76220115'!$E$16="","—",IF(ABS(C16-'res_raw_76220115'!$E$16)&lt;=1,"✓ OK","❌ "&amp;TEXT(C16-'res_raw_76220115'!$E$16,"+#,##0;-#,##0")&amp;" t.kr."))</f>
        <v/>
      </c>
      <c r="D66" s="29">
        <f>IF('res_raw_76220115'!$D$16="","—",IF(ABS(D16-'res_raw_76220115'!$D$16)&lt;=1,"✓ OK","❌ "&amp;TEXT(D16-'res_raw_76220115'!$D$16,"+#,##0;-#,##0")&amp;"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Søstrene Grenes Import A/S (CVR 76220115)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fsa:ConvertibleProfitYieldingOrDividendYieldingShorttermDebtInstruments</t>
        </is>
      </c>
      <c r="C3" s="34" t="inlineStr">
        <is>
          <t>fsa:ConvertibleProfitYieldingOrDividendYieldingShorttermDebtInstruments</t>
        </is>
      </c>
      <c r="D3" s="35" t="n">
        <v>5690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fsa:PensionLiabilitiesRelatedToManagementCategory</t>
        </is>
      </c>
      <c r="C4" s="37" t="inlineStr">
        <is>
          <t>fsa:PensionLiabilitiesRelatedToManagementCategory</t>
        </is>
      </c>
      <c r="D4" s="38" t="n">
        <v>235</v>
      </c>
      <c r="E4" s="38" t="n">
        <v>451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fsa:WorkPerformedByEntityAndCapitalised</t>
        </is>
      </c>
      <c r="C5" s="34" t="inlineStr">
        <is>
          <t>fsa:WorkPerformedByEntityAndCapitalised</t>
        </is>
      </c>
      <c r="D5" s="35" t="n"/>
      <c r="E5" s="35" t="n"/>
      <c r="F5" s="35" t="n"/>
      <c r="G5" s="35" t="n"/>
      <c r="H5" s="35" t="n">
        <v>-5331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2026-09-29T14:48:35Z</dcterms:created>
  <dcterms:modified xmlns:dcterms="http://purl.org/dc/terms/" xmlns:xsi="http://www.w3.org/2001/XMLSchema-instance" xsi:type="dcterms:W3CDTF">2026-09-29T14:48:35Z</dcterms:modified>
</cp:coreProperties>
</file>