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valuta pr. år - se kolonneoverskrifter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valuta pr. år - se kolonneoverskrifter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valuta pr. år - se kolonneoverskrifter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3563000</v>
      </c>
      <c r="C6" s="17" t="n">
        <v>3939000</v>
      </c>
      <c r="D6" s="17" t="n">
        <v>3754000</v>
      </c>
      <c r="E6" s="17" t="n">
        <v>3861000</v>
      </c>
      <c r="F6" s="17" t="n">
        <v>3895000</v>
      </c>
    </row>
    <row r="7">
      <c r="A7" s="16" t="inlineStr">
        <is>
          <t>Administrationsomkostninger</t>
        </is>
      </c>
      <c r="B7" s="17" t="n">
        <v>1019000</v>
      </c>
      <c r="C7" s="17" t="n">
        <v>1234000</v>
      </c>
      <c r="D7" s="17" t="n">
        <v>1349000</v>
      </c>
      <c r="E7" s="17" t="n">
        <v>1353000</v>
      </c>
      <c r="F7" s="17" t="n">
        <v>1457000</v>
      </c>
    </row>
    <row r="8">
      <c r="A8" s="16" t="inlineStr">
        <is>
          <t>Andre driftsindtægter</t>
        </is>
      </c>
      <c r="B8" s="17" t="n">
        <v>210000</v>
      </c>
      <c r="C8" s="17" t="n">
        <v>270000</v>
      </c>
      <c r="D8" s="17" t="n">
        <v>188000</v>
      </c>
      <c r="E8" s="17" t="n">
        <v>386000</v>
      </c>
      <c r="F8" s="17" t="n">
        <v>302000</v>
      </c>
    </row>
    <row r="9">
      <c r="A9" s="16" t="inlineStr">
        <is>
          <t>Andre driftsomkostninger</t>
        </is>
      </c>
      <c r="B9" s="17" t="n">
        <v>33000</v>
      </c>
      <c r="C9" s="17" t="n">
        <v>55000</v>
      </c>
      <c r="D9" s="17" t="n">
        <v>33000</v>
      </c>
      <c r="E9" s="17" t="n">
        <v>18000</v>
      </c>
      <c r="F9" s="17" t="n">
        <v>22000</v>
      </c>
    </row>
    <row r="10">
      <c r="A10" s="15" t="inlineStr">
        <is>
          <t>Resultat af primær drift</t>
        </is>
      </c>
      <c r="B10" s="17" t="n">
        <v>1194000</v>
      </c>
      <c r="C10" s="17" t="n">
        <v>1612000</v>
      </c>
      <c r="D10" s="17" t="n">
        <v>1602000</v>
      </c>
      <c r="E10" s="17" t="n">
        <v>846000</v>
      </c>
      <c r="F10" s="17" t="n">
        <v>445000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>
        <v>181000</v>
      </c>
      <c r="F11" s="17" t="n">
        <v>262000</v>
      </c>
    </row>
    <row r="12">
      <c r="A12" s="16" t="inlineStr">
        <is>
          <t>Finansielle indtægter</t>
        </is>
      </c>
      <c r="B12" s="17" t="n">
        <v>14000</v>
      </c>
      <c r="C12" s="17" t="n">
        <v>21000</v>
      </c>
      <c r="D12" s="17" t="n">
        <v>44000</v>
      </c>
      <c r="E12" s="17" t="n">
        <v>32000</v>
      </c>
      <c r="F12" s="17" t="n">
        <v>22000</v>
      </c>
    </row>
    <row r="13">
      <c r="A13" s="16" t="inlineStr">
        <is>
          <t>Finansielle omkostninger</t>
        </is>
      </c>
      <c r="B13" s="17" t="n">
        <v>306000</v>
      </c>
      <c r="C13" s="17" t="n">
        <v>329000</v>
      </c>
      <c r="D13" s="17" t="n">
        <v>627000</v>
      </c>
      <c r="E13" s="17" t="n">
        <v>931000</v>
      </c>
      <c r="F13" s="17" t="n">
        <v>659000</v>
      </c>
    </row>
    <row r="14">
      <c r="A14" s="15" t="inlineStr">
        <is>
          <t>Finansielle poster, netto</t>
        </is>
      </c>
      <c r="B14" s="17" t="n">
        <v>-292000</v>
      </c>
      <c r="C14" s="17" t="n">
        <v>-308000</v>
      </c>
      <c r="D14" s="17" t="n">
        <v>-583000</v>
      </c>
      <c r="E14" s="17" t="n">
        <v>-899000</v>
      </c>
      <c r="F14" s="17" t="n">
        <v>-637000</v>
      </c>
    </row>
    <row r="15">
      <c r="A15" s="15" t="inlineStr">
        <is>
          <t>Resultat før skat</t>
        </is>
      </c>
      <c r="B15" s="17" t="n">
        <v>902000</v>
      </c>
      <c r="C15" s="17" t="n">
        <v>1304000</v>
      </c>
      <c r="D15" s="17" t="n">
        <v>1019000</v>
      </c>
      <c r="E15" s="17" t="n">
        <v>-53000</v>
      </c>
      <c r="F15" s="17" t="n">
        <v>-192000</v>
      </c>
    </row>
    <row r="16">
      <c r="A16" s="16" t="inlineStr">
        <is>
          <t>Skat af årets resultat</t>
        </is>
      </c>
      <c r="B16" s="17" t="n">
        <v>169000</v>
      </c>
      <c r="C16" s="17" t="n">
        <v>230000</v>
      </c>
      <c r="D16" s="17" t="n">
        <v>259000</v>
      </c>
      <c r="E16" s="17" t="n">
        <v>132000</v>
      </c>
      <c r="F16" s="17" t="n">
        <v>160000</v>
      </c>
    </row>
    <row r="17">
      <c r="A17" s="15" t="inlineStr">
        <is>
          <t>Årets resultat</t>
        </is>
      </c>
      <c r="B17" s="17" t="n">
        <v>733000</v>
      </c>
      <c r="C17" s="17" t="n">
        <v>1074000</v>
      </c>
      <c r="D17" s="17" t="n">
        <v>760000</v>
      </c>
      <c r="E17" s="17" t="n">
        <v>-185000</v>
      </c>
      <c r="F17" s="17" t="n">
        <v>-352000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valuta pr. år - se kolonneoverskrifter"))</f>
        <v/>
      </c>
      <c r="C62" s="31">
        <f>IF('balance_raw'!$E$23="","—",IF(ABS(C21-'balance_raw'!$E$23)&lt;=1,"✓ OK","❌ "&amp;TEXT(C21-'balance_raw'!$E$23,"+#,##0;-#,##0")&amp;" valuta pr. år - se kolonneoverskrifter"))</f>
        <v/>
      </c>
      <c r="D62" s="31">
        <f>IF('balance_raw'!$D$23="","—",IF(ABS(D21-'balance_raw'!$D$23)&lt;=1,"✓ OK","❌ "&amp;TEXT(D21-'balance_raw'!$D$23,"+#,##0;-#,##0")&amp;" valuta pr. år - se kolonneoverskrifter"))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valuta pr. år - se kolonneoverskrifter"))</f>
        <v/>
      </c>
      <c r="C63" s="31">
        <f>IF('balance_raw'!$E$51="","—",IF(ABS(C25-'balance_raw'!$E$51)&lt;=1,"✓ OK","❌ "&amp;TEXT(C25-'balance_raw'!$E$51,"+#,##0;-#,##0")&amp;" valuta pr. år - se kolonneoverskrifter"))</f>
        <v/>
      </c>
      <c r="D63" s="31">
        <f>IF('balance_raw'!$D$51="","—",IF(ABS(D25-'balance_raw'!$D$51)&lt;=1,"✓ OK","❌ "&amp;TEXT(D25-'balance_raw'!$D$51,"+#,##0;-#,##0")&amp;" valuta pr. år - se kolonneoverskrifter"))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valuta pr. år - se kolonneoverskrifter")</f>
        <v/>
      </c>
      <c r="C64" s="31">
        <f>IF(ABS(C21-C25)&lt;=1,"✓ OK","❌ "&amp;TEXT(C21-C25,"+#,##0;-#,##0")&amp;" valuta pr. år - se kolonneoverskrifter")</f>
        <v/>
      </c>
      <c r="D64" s="31">
        <f>IF(ABS(D21-D25)&lt;=1,"✓ OK","❌ "&amp;TEXT(D21-D25,"+#,##0;-#,##0")&amp;" valuta pr. år - se kolonneoverskrifter")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valuta pr. år - se kolonneoverskrifter"))</f>
        <v/>
      </c>
      <c r="C65" s="31">
        <f>IF('res_raw'!$E$4="","—",IF(ABS(C7-'res_raw'!$E$4)&lt;=1,"✓ OK","❌ "&amp;TEXT(C7-'res_raw'!$E$4,"+#,##0;-#,##0")&amp;" valuta pr. år - se kolonneoverskrifter"))</f>
        <v/>
      </c>
      <c r="D65" s="31">
        <f>IF('res_raw'!$D$4="","—",IF(ABS(D7-'res_raw'!$D$4)&lt;=1,"✓ OK","❌ "&amp;TEXT(D7-'res_raw'!$D$4,"+#,##0;-#,##0")&amp;" valuta pr. år - se kolonneoverskrifter"))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valuta pr. år - se kolonneoverskrifter"))</f>
        <v/>
      </c>
      <c r="C66" s="31">
        <f>IF('res_raw'!$E$10="","—",IF(ABS(C13-'res_raw'!$E$10)&lt;=1,"✓ OK","❌ "&amp;TEXT(C13-'res_raw'!$E$10,"+#,##0;-#,##0")&amp;" valuta pr. år - se kolonneoverskrifter"))</f>
        <v/>
      </c>
      <c r="D66" s="31">
        <f>IF('res_raw'!$D$10="","—",IF(ABS(D13-'res_raw'!$D$10)&lt;=1,"✓ OK","❌ "&amp;TEXT(D13-'res_raw'!$D$10,"+#,##0;-#,##0")&amp;" valuta pr. år - se kolonneoverskrifter"))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valuta pr. år - se kolonneoverskrifter"))</f>
        <v/>
      </c>
      <c r="C67" s="31">
        <f>IF('res_raw'!$E$15="","—",IF(ABS(C16-'res_raw'!$E$15)&lt;=1,"✓ OK","❌ "&amp;TEXT(C16-'res_raw'!$E$15,"+#,##0;-#,##0")&amp;" valuta pr. år - se kolonneoverskrifter"))</f>
        <v/>
      </c>
      <c r="D67" s="31">
        <f>IF('res_raw'!$D$15="","—",IF(ABS(D16-'res_raw'!$D$15)&lt;=1,"✓ OK","❌ "&amp;TEXT(D16-'res_raw'!$D$15,"+#,##0;-#,##0")&amp;" valuta pr. år - se kolonneoverskrifter"))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dlg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ifrs-full:AdjustmentsForIncreaseDecreaseInEmployeeBenefitLiabilities</t>
        </is>
      </c>
      <c r="C3" s="36" t="inlineStr">
        <is>
          <t>ifrs-full:AdjustmentsForIncreaseDecreaseInEmployeeBenefitLiabilities</t>
        </is>
      </c>
      <c r="D3" s="37" t="n">
        <v>2000</v>
      </c>
      <c r="E3" s="37" t="n">
        <v>-1000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ifrs-full:CashAdvancesAndLoansMadeToRelatedParties</t>
        </is>
      </c>
      <c r="C4" s="39" t="inlineStr">
        <is>
          <t>ifrs-full:CashAdvancesAndLoansMadeToRelatedParties</t>
        </is>
      </c>
      <c r="D4" s="40" t="n">
        <v>73000</v>
      </c>
      <c r="E4" s="40" t="n">
        <v>15000</v>
      </c>
      <c r="F4" s="40" t="n">
        <v>22000</v>
      </c>
      <c r="G4" s="40" t="n">
        <v>-6000</v>
      </c>
      <c r="H4" s="40" t="n">
        <v>-72000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ifrs-full:CashAndCashEquivalentsInSubsidiaryOrBusinessesAcquiredOrDisposed2013</t>
        </is>
      </c>
      <c r="C5" s="36" t="inlineStr">
        <is>
          <t>ifrs-full:CashAndCashEquivalentsInSubsidiaryOrBusinessesAcquiredOrDisposed2013</t>
        </is>
      </c>
      <c r="D5" s="37" t="n">
        <v>15000</v>
      </c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ifrs-full:CurrentFinancialLiabilities</t>
        </is>
      </c>
      <c r="C6" s="39" t="inlineStr">
        <is>
          <t>ifrs-full:CurrentFinancialLiabilities</t>
        </is>
      </c>
      <c r="D6" s="40" t="n">
        <v>4918000</v>
      </c>
      <c r="E6" s="40" t="n">
        <v>4264000</v>
      </c>
      <c r="F6" s="40" t="n">
        <v>2622000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ifrs-full:DividendsReceivedClassifiedAsOperatingActivities</t>
        </is>
      </c>
      <c r="C7" s="36" t="inlineStr">
        <is>
          <t>ifrs-full:DividendsReceivedClassifiedAsOperatingActivities</t>
        </is>
      </c>
      <c r="D7" s="37" t="n">
        <v>3000</v>
      </c>
      <c r="E7" s="37" t="n">
        <v>0</v>
      </c>
      <c r="F7" s="37" t="n">
        <v>1000</v>
      </c>
      <c r="G7" s="37" t="n">
        <v>2000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ifrs-full:DividendsReceivedFromInvestmentsAccountedForUsingEquityMethodClassifiedAsInvestingActivities</t>
        </is>
      </c>
      <c r="C8" s="39" t="inlineStr">
        <is>
          <t>ifrs-full:DividendsReceivedFromInvestmentsAccountedForUsingEquityMethodClassifiedAsInvestingActivities</t>
        </is>
      </c>
      <c r="D8" s="40" t="n">
        <v>102000</v>
      </c>
      <c r="E8" s="40" t="n">
        <v>48000</v>
      </c>
      <c r="F8" s="40" t="n">
        <v>75000</v>
      </c>
      <c r="G8" s="40" t="n">
        <v>177000</v>
      </c>
      <c r="H8" s="40" t="n">
        <v>115000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ifrs-full:IncreaseDecreaseThroughAppropriationOfRetainedEarnings</t>
        </is>
      </c>
      <c r="C9" s="36" t="inlineStr">
        <is>
          <t>ifrs-full:IncreaseDecreaseThroughAppropriationOfRetainedEarnings</t>
        </is>
      </c>
      <c r="D9" s="37" t="n">
        <v>127000</v>
      </c>
      <c r="E9" s="37" t="n">
        <v>159000</v>
      </c>
      <c r="F9" s="37" t="n">
        <v>148000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ifrs-full:NoncurrentFinancialLiabilities</t>
        </is>
      </c>
      <c r="C10" s="39" t="inlineStr">
        <is>
          <t>ifrs-full:NoncurrentFinancialLiabilities</t>
        </is>
      </c>
      <c r="D10" s="40" t="n">
        <v>2265000</v>
      </c>
      <c r="E10" s="40" t="n">
        <v>2266000</v>
      </c>
      <c r="F10" s="40" t="n">
        <v>5083000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ifrs-full:NoncurrentReceivablesDueFromRelatedParties</t>
        </is>
      </c>
      <c r="C11" s="36" t="inlineStr">
        <is>
          <t>ifrs-full:NoncurrentReceivablesDueFromRelatedParties</t>
        </is>
      </c>
      <c r="D11" s="37" t="n">
        <v>123000</v>
      </c>
      <c r="E11" s="37" t="n">
        <v>88000</v>
      </c>
      <c r="F11" s="37" t="n">
        <v>76000</v>
      </c>
      <c r="G11" s="37" t="n">
        <v>60000</v>
      </c>
      <c r="H11" s="37" t="n">
        <v>9000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ifrs-full:OtherDifferencesToCashAndCashEquivalentsInStatementOfCashFlows</t>
        </is>
      </c>
      <c r="C12" s="39" t="inlineStr">
        <is>
          <t>ifrs-full:OtherDifferencesToCashAndCashEquivalentsInStatementOfCashFlows</t>
        </is>
      </c>
      <c r="D12" s="40" t="n"/>
      <c r="E12" s="40" t="n"/>
      <c r="F12" s="40" t="n"/>
      <c r="G12" s="40" t="n">
        <v>0</v>
      </c>
      <c r="H12" s="40" t="n">
        <v>44000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ifrs-full:PaymentsFromChangesInOwnershipInterestsInSubsidiaries</t>
        </is>
      </c>
      <c r="C13" s="36" t="inlineStr">
        <is>
          <t>ifrs-full:PaymentsFromChangesInOwnershipInterestsInSubsidiaries</t>
        </is>
      </c>
      <c r="D13" s="37" t="n">
        <v>-11000</v>
      </c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ifrs-full:RevenueFromSaleOfAgriculturalProduce</t>
        </is>
      </c>
      <c r="C14" s="39" t="inlineStr">
        <is>
          <t>ifrs-full:RevenueFromSaleOfAgriculturalProduce</t>
        </is>
      </c>
      <c r="D14" s="40" t="n"/>
      <c r="E14" s="40" t="n"/>
      <c r="F14" s="40" t="n"/>
      <c r="G14" s="40" t="n">
        <v>60678000</v>
      </c>
      <c r="H14" s="40" t="n">
        <v>61841000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ifrs-full:TradeAndOtherCurrentReceivablesDueFromRelatedParties</t>
        </is>
      </c>
      <c r="C15" s="36" t="inlineStr">
        <is>
          <t>ifrs-full:TradeAndOtherCurrentReceivablesDueFromRelatedParties</t>
        </is>
      </c>
      <c r="D15" s="37" t="n">
        <v>206000</v>
      </c>
      <c r="E15" s="37" t="n">
        <v>221000</v>
      </c>
      <c r="F15" s="37" t="n">
        <v>243000</v>
      </c>
      <c r="G15" s="37" t="n">
        <v>253000</v>
      </c>
      <c r="H15" s="37" t="n">
        <v>204000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2026-10-01T22:17:10Z</dcterms:created>
  <dcterms:modified xmlns:dcterms="http://purl.org/dc/terms/" xmlns:xsi="http://www.w3.org/2001/XMLSchema-instance" xsi:type="dcterms:W3CDTF">2026-10-01T22:17:11Z</dcterms:modified>
</cp:coreProperties>
</file>