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dlg (CVR None) — 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valuta pr. år - se kolonneoverskrifter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valuta pr. år - se kolonneoverskrifter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valuta pr. år - se kolonneoverskrifter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Salgs- og distributionsomkostninger</t>
        </is>
      </c>
      <c r="B5" s="17" t="n">
        <v>3563000</v>
      </c>
      <c r="C5" s="17" t="n">
        <v>3939000</v>
      </c>
      <c r="D5" s="17" t="n">
        <v>3754000</v>
      </c>
      <c r="E5" s="17" t="n">
        <v>3861000</v>
      </c>
      <c r="F5" s="17" t="n">
        <v>3895000</v>
      </c>
    </row>
    <row r="6">
      <c r="A6" s="16" t="inlineStr">
        <is>
          <t>Administrationsomkostninger</t>
        </is>
      </c>
      <c r="B6" s="17" t="n">
        <v>1019000</v>
      </c>
      <c r="C6" s="17" t="n">
        <v>1234000</v>
      </c>
      <c r="D6" s="17" t="n">
        <v>1349000</v>
      </c>
      <c r="E6" s="17" t="n">
        <v>1353000</v>
      </c>
      <c r="F6" s="17" t="n">
        <v>1457000</v>
      </c>
    </row>
    <row r="7">
      <c r="A7" s="16" t="inlineStr">
        <is>
          <t>Andre driftsindtægter</t>
        </is>
      </c>
      <c r="B7" s="17" t="n">
        <v>210000</v>
      </c>
      <c r="C7" s="17" t="n">
        <v>270000</v>
      </c>
      <c r="D7" s="17" t="n">
        <v>188000</v>
      </c>
      <c r="E7" s="17" t="n">
        <v>386000</v>
      </c>
      <c r="F7" s="17" t="n">
        <v>302000</v>
      </c>
    </row>
    <row r="8">
      <c r="A8" s="16" t="inlineStr">
        <is>
          <t>Andre driftsomkostninger</t>
        </is>
      </c>
      <c r="B8" s="17" t="n">
        <v>33000</v>
      </c>
      <c r="C8" s="17" t="n">
        <v>55000</v>
      </c>
      <c r="D8" s="17" t="n">
        <v>33000</v>
      </c>
      <c r="E8" s="17" t="n">
        <v>18000</v>
      </c>
      <c r="F8" s="17" t="n">
        <v>22000</v>
      </c>
    </row>
    <row r="9">
      <c r="A9" s="15" t="inlineStr">
        <is>
          <t>Resultat af primær drift</t>
        </is>
      </c>
      <c r="B9" s="17" t="n">
        <v>1194000</v>
      </c>
      <c r="C9" s="17" t="n">
        <v>1612000</v>
      </c>
      <c r="D9" s="17" t="n">
        <v>1602000</v>
      </c>
      <c r="E9" s="17" t="n">
        <v>846000</v>
      </c>
      <c r="F9" s="17" t="n">
        <v>445000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>
        <v>181000</v>
      </c>
      <c r="F10" s="17" t="n">
        <v>262000</v>
      </c>
    </row>
    <row r="11">
      <c r="A11" s="16" t="inlineStr">
        <is>
          <t>Finansielle indtægter</t>
        </is>
      </c>
      <c r="B11" s="17" t="n">
        <v>14000</v>
      </c>
      <c r="C11" s="17" t="n">
        <v>21000</v>
      </c>
      <c r="D11" s="17" t="n">
        <v>44000</v>
      </c>
      <c r="E11" s="17" t="n">
        <v>32000</v>
      </c>
      <c r="F11" s="17" t="n">
        <v>22000</v>
      </c>
    </row>
    <row r="12">
      <c r="A12" s="16" t="inlineStr">
        <is>
          <t>Finansielle omkostninger</t>
        </is>
      </c>
      <c r="B12" s="17" t="n">
        <v>306000</v>
      </c>
      <c r="C12" s="17" t="n">
        <v>329000</v>
      </c>
      <c r="D12" s="17" t="n">
        <v>627000</v>
      </c>
      <c r="E12" s="17" t="n">
        <v>931000</v>
      </c>
      <c r="F12" s="17" t="n">
        <v>659000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902000</v>
      </c>
      <c r="C14" s="17" t="n">
        <v>1304000</v>
      </c>
      <c r="D14" s="17" t="n">
        <v>1019000</v>
      </c>
      <c r="E14" s="17" t="n">
        <v>-53000</v>
      </c>
      <c r="F14" s="17" t="n">
        <v>-192000</v>
      </c>
    </row>
    <row r="15">
      <c r="A15" s="16" t="inlineStr">
        <is>
          <t>Skat af årets resultat</t>
        </is>
      </c>
      <c r="B15" s="17" t="n">
        <v>169000</v>
      </c>
      <c r="C15" s="17" t="n">
        <v>230000</v>
      </c>
      <c r="D15" s="17" t="n">
        <v>259000</v>
      </c>
      <c r="E15" s="17" t="n">
        <v>132000</v>
      </c>
      <c r="F15" s="17" t="n">
        <v>160000</v>
      </c>
    </row>
    <row r="16">
      <c r="A16" s="15" t="inlineStr">
        <is>
          <t>Årets resultat</t>
        </is>
      </c>
      <c r="B16" s="17" t="n">
        <v>733000</v>
      </c>
      <c r="C16" s="17" t="n">
        <v>1074000</v>
      </c>
      <c r="D16" s="17" t="n">
        <v>760000</v>
      </c>
      <c r="E16" s="17" t="n">
        <v>-185000</v>
      </c>
      <c r="F16" s="17" t="n">
        <v>-352000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dlg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valuta pr. år - se kolonneoverskrifter"))</f>
        <v/>
      </c>
      <c r="C60" s="29">
        <f>IF('balance_raw'!$E$23="","—",IF(ABS(C20-'balance_raw'!$E$23)&lt;=1,"✓ OK","❌ "&amp;TEXT(C20-'balance_raw'!$E$23,"+#,##0;-#,##0")&amp;" valuta pr. år - se kolonneoverskrifter"))</f>
        <v/>
      </c>
      <c r="D60" s="29">
        <f>IF('balance_raw'!$D$23="","—",IF(ABS(D20-'balance_raw'!$D$23)&lt;=1,"✓ OK","❌ "&amp;TEXT(D20-'balance_raw'!$D$23,"+#,##0;-#,##0")&amp;" valuta pr. år - se kolonneoverskrifter"))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valuta pr. år - se kolonneoverskrifter"))</f>
        <v/>
      </c>
      <c r="C61" s="29">
        <f>IF('balance_raw'!$E$51="","—",IF(ABS(C24-'balance_raw'!$E$51)&lt;=1,"✓ OK","❌ "&amp;TEXT(C24-'balance_raw'!$E$51,"+#,##0;-#,##0")&amp;" valuta pr. år - se kolonneoverskrifter"))</f>
        <v/>
      </c>
      <c r="D61" s="29">
        <f>IF('balance_raw'!$D$51="","—",IF(ABS(D24-'balance_raw'!$D$51)&lt;=1,"✓ OK","❌ "&amp;TEXT(D24-'balance_raw'!$D$51,"+#,##0;-#,##0")&amp;" valuta pr. år - se kolonneoverskrifter"))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valuta pr. år - se kolonneoverskrifter")</f>
        <v/>
      </c>
      <c r="C62" s="29">
        <f>IF(ABS(C20-C24)&lt;=1,"✓ OK","❌ "&amp;TEXT(C20-C24,"+#,##0;-#,##0")&amp;" valuta pr. år - se kolonneoverskrifter")</f>
        <v/>
      </c>
      <c r="D62" s="29">
        <f>IF(ABS(D20-D24)&lt;=1,"✓ OK","❌ "&amp;TEXT(D20-D24,"+#,##0;-#,##0")&amp;" valuta pr. år - se kolonneoverskrifter")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valuta pr. år - se kolonneoverskrifter"))</f>
        <v/>
      </c>
      <c r="C63" s="29">
        <f>IF('res_raw'!$E$4="","—",IF(ABS(C7-'res_raw'!$E$4)&lt;=1,"✓ OK","❌ "&amp;TEXT(C7-'res_raw'!$E$4,"+#,##0;-#,##0")&amp;" valuta pr. år - se kolonneoverskrifter"))</f>
        <v/>
      </c>
      <c r="D63" s="29">
        <f>IF('res_raw'!$D$4="","—",IF(ABS(D7-'res_raw'!$D$4)&lt;=1,"✓ OK","❌ "&amp;TEXT(D7-'res_raw'!$D$4,"+#,##0;-#,##0")&amp;" valuta pr. år - se kolonneoverskrifter"))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valuta pr. år - se kolonneoverskrifter"))</f>
        <v/>
      </c>
      <c r="C64" s="29">
        <f>IF('res_raw'!$E$9="","—",IF(ABS(C12-'res_raw'!$E$9)&lt;=1,"✓ OK","❌ "&amp;TEXT(C12-'res_raw'!$E$9,"+#,##0;-#,##0")&amp;" valuta pr. år - se kolonneoverskrifter"))</f>
        <v/>
      </c>
      <c r="D64" s="29">
        <f>IF('res_raw'!$D$9="","—",IF(ABS(D12-'res_raw'!$D$9)&lt;=1,"✓ OK","❌ "&amp;TEXT(D12-'res_raw'!$D$9,"+#,##0;-#,##0")&amp;" valuta pr. år - se kolonneoverskrifter"))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valuta pr. år - se kolonneoverskrifter"))</f>
        <v/>
      </c>
      <c r="C65" s="29">
        <f>IF('res_raw'!$E$14="","—",IF(ABS(C15-'res_raw'!$E$14)&lt;=1,"✓ OK","❌ "&amp;TEXT(C15-'res_raw'!$E$14,"+#,##0;-#,##0")&amp;" valuta pr. år - se kolonneoverskrifter"))</f>
        <v/>
      </c>
      <c r="D65" s="29">
        <f>IF('res_raw'!$D$14="","—",IF(ABS(D15-'res_raw'!$D$14)&lt;=1,"✓ OK","❌ "&amp;TEXT(D15-'res_raw'!$D$14,"+#,##0;-#,##0")&amp;" valuta pr. år - se kolonneoverskrifter"))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dlg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ifrs-full:CurrentFinancialLiabilities</t>
        </is>
      </c>
      <c r="C6" s="37" t="inlineStr">
        <is>
          <t>ifrs-full:CurrentFinancialLiabilities</t>
        </is>
      </c>
      <c r="D6" s="38" t="n">
        <v>4918000</v>
      </c>
      <c r="E6" s="38" t="n">
        <v>4264000</v>
      </c>
      <c r="F6" s="38" t="n">
        <v>2622000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3000</v>
      </c>
      <c r="E7" s="35" t="n">
        <v>0</v>
      </c>
      <c r="F7" s="35" t="n">
        <v>1000</v>
      </c>
      <c r="G7" s="35" t="n">
        <v>2000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ifrs-full:DividendsReceivedFromInvestmentsAccountedForUsingEquityMethodClassifiedAsInvestingActivities</t>
        </is>
      </c>
      <c r="C8" s="37" t="inlineStr">
        <is>
          <t>ifrs-full:DividendsReceivedFromInvestmentsAccountedForUsingEquityMethodClassifiedAsInvestingActivities</t>
        </is>
      </c>
      <c r="D8" s="38" t="n">
        <v>102000</v>
      </c>
      <c r="E8" s="38" t="n">
        <v>48000</v>
      </c>
      <c r="F8" s="38" t="n">
        <v>75000</v>
      </c>
      <c r="G8" s="38" t="n">
        <v>177000</v>
      </c>
      <c r="H8" s="38" t="n">
        <v>115000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ifrs-full:IncreaseDecreaseThroughAppropriationOfRetainedEarnings</t>
        </is>
      </c>
      <c r="C9" s="34" t="inlineStr">
        <is>
          <t>ifrs-full:IncreaseDecreaseThroughAppropriationOfRetainedEarnings</t>
        </is>
      </c>
      <c r="D9" s="35" t="n">
        <v>127000</v>
      </c>
      <c r="E9" s="35" t="n">
        <v>159000</v>
      </c>
      <c r="F9" s="35" t="n">
        <v>148000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ifrs-full:NoncurrentFinancialLiabilities</t>
        </is>
      </c>
      <c r="C10" s="37" t="inlineStr">
        <is>
          <t>ifrs-full:NoncurrentFinancialLiabilities</t>
        </is>
      </c>
      <c r="D10" s="38" t="n">
        <v>2265000</v>
      </c>
      <c r="E10" s="38" t="n">
        <v>2266000</v>
      </c>
      <c r="F10" s="38" t="n">
        <v>5083000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>
        <v>123000</v>
      </c>
      <c r="E11" s="35" t="n">
        <v>88000</v>
      </c>
      <c r="F11" s="35" t="n">
        <v>76000</v>
      </c>
      <c r="G11" s="35" t="n">
        <v>60000</v>
      </c>
      <c r="H11" s="35" t="n">
        <v>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ifrs-full:OtherDifferencesToCashAndCashEquivalentsInStatementOfCashFlows</t>
        </is>
      </c>
      <c r="C12" s="37" t="inlineStr">
        <is>
          <t>ifrs-full:OtherDifferencesToCashAndCashEquivalentsInStatementOfCashFlows</t>
        </is>
      </c>
      <c r="D12" s="38" t="n"/>
      <c r="E12" s="38" t="n"/>
      <c r="F12" s="38" t="n"/>
      <c r="G12" s="38" t="n">
        <v>0</v>
      </c>
      <c r="H12" s="38" t="n">
        <v>44000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ifrs-full:PaymentsFromChangesInOwnershipInterestsInSubsidiaries</t>
        </is>
      </c>
      <c r="C13" s="34" t="inlineStr">
        <is>
          <t>ifrs-full:PaymentsFromChangesInOwnershipInterestsInSubsidiaries</t>
        </is>
      </c>
      <c r="D13" s="35" t="n">
        <v>-11000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ifrs-full:RevenueFromSaleOfAgriculturalProduce</t>
        </is>
      </c>
      <c r="C14" s="37" t="inlineStr">
        <is>
          <t>ifrs-full:RevenueFromSaleOfAgriculturalProduce</t>
        </is>
      </c>
      <c r="D14" s="38" t="n"/>
      <c r="E14" s="38" t="n"/>
      <c r="F14" s="38" t="n"/>
      <c r="G14" s="38" t="n">
        <v>60678000</v>
      </c>
      <c r="H14" s="38" t="n">
        <v>61841000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206000</v>
      </c>
      <c r="E15" s="35" t="n">
        <v>221000</v>
      </c>
      <c r="F15" s="35" t="n">
        <v>243000</v>
      </c>
      <c r="G15" s="35" t="n">
        <v>253000</v>
      </c>
      <c r="H15" s="35" t="n">
        <v>204000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2026-09-16T11:55:48Z</dcterms:created>
  <dcterms:modified xmlns:dcterms="http://purl.org/dc/terms/" xmlns:xsi="http://www.w3.org/2001/XMLSchema-instance" xsi:type="dcterms:W3CDTF">2026-09-16T11:55:48Z</dcterms:modified>
</cp:coreProperties>
</file>