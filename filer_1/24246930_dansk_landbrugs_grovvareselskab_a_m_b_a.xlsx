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dlg — Regnskabsanalyse – Resultatopgørelse &amp; Balance (valuta pr. år - se kolonneoverskrifter)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valuta pr. år - se kolonneoverskrifter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'res_raw'!$B$5</f>
        <v/>
      </c>
      <c r="C7" s="11">
        <f>'res_raw'!$C$5</f>
        <v/>
      </c>
      <c r="D7" s="11">
        <f>'res_raw'!$D$5</f>
        <v/>
      </c>
      <c r="E7" s="11">
        <f>'res_raw'!$E$5</f>
        <v/>
      </c>
      <c r="F7" s="11">
        <f>'res_raw'!$F$5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'res_raw'!$B$9</f>
        <v/>
      </c>
      <c r="C11" s="11">
        <f>'res_raw'!$C$9</f>
        <v/>
      </c>
      <c r="D11" s="11">
        <f>'res_raw'!$D$9</f>
        <v/>
      </c>
      <c r="E11" s="11">
        <f>'res_raw'!$E$9</f>
        <v/>
      </c>
      <c r="F11" s="11">
        <f>'res_raw'!$F$9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'res_raw'!$B$10</f>
        <v/>
      </c>
      <c r="C12" s="8">
        <f>'res_raw'!$C$10</f>
        <v/>
      </c>
      <c r="D12" s="8">
        <f>'res_raw'!$D$10</f>
        <v/>
      </c>
      <c r="E12" s="8">
        <f>'res_raw'!$E$10</f>
        <v/>
      </c>
      <c r="F12" s="8">
        <f>'res_raw'!$F$10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'res_raw'!$B$13</f>
        <v/>
      </c>
      <c r="C15" s="11">
        <f>'res_raw'!$C$13</f>
        <v/>
      </c>
      <c r="D15" s="11">
        <f>'res_raw'!$D$13</f>
        <v/>
      </c>
      <c r="E15" s="11">
        <f>'res_raw'!$E$13</f>
        <v/>
      </c>
      <c r="F15" s="11">
        <f>'res_raw'!$F$13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'res_raw'!$B$15</f>
        <v/>
      </c>
      <c r="C17" s="8">
        <f>'res_raw'!$C$15</f>
        <v/>
      </c>
      <c r="D17" s="8">
        <f>'res_raw'!$D$15</f>
        <v/>
      </c>
      <c r="E17" s="8">
        <f>'res_raw'!$E$15</f>
        <v/>
      </c>
      <c r="F17" s="8">
        <f>'res_raw'!$F$15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'res_raw'!$B$16</f>
        <v/>
      </c>
      <c r="C18" s="5">
        <f>'res_raw'!$C$16</f>
        <v/>
      </c>
      <c r="D18" s="5">
        <f>'res_raw'!$D$16</f>
        <v/>
      </c>
      <c r="E18" s="5">
        <f>'res_raw'!$E$16</f>
        <v/>
      </c>
      <c r="F18" s="5">
        <f>'res_raw'!$F$16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valuta pr. år - se kolonneoverskrifter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4" t="inlineStr">
        <is>
          <t>Udviklingsprojekter</t>
        </is>
      </c>
      <c r="B22" s="5">
        <f>'balance_raw'!$B$2</f>
        <v/>
      </c>
      <c r="C22" s="5">
        <f>'balance_raw'!$C$2</f>
        <v/>
      </c>
      <c r="D22" s="5">
        <f>'balance_raw'!$D$2</f>
        <v/>
      </c>
      <c r="E22" s="5">
        <f>'balance_raw'!$E$2</f>
        <v/>
      </c>
      <c r="F22" s="5">
        <f>'balance_raw'!$F$2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Patenter, varemærker mv.</t>
        </is>
      </c>
      <c r="B23" s="11">
        <f>'balance_raw'!$B$3</f>
        <v/>
      </c>
      <c r="C23" s="11">
        <f>'balance_raw'!$C$3</f>
        <v/>
      </c>
      <c r="D23" s="11">
        <f>'balance_raw'!$D$3</f>
        <v/>
      </c>
      <c r="E23" s="11">
        <f>'balance_raw'!$E$3</f>
        <v/>
      </c>
      <c r="F23" s="11">
        <f>'balance_raw'!$F$3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Goodwill</t>
        </is>
      </c>
      <c r="B24" s="5">
        <f>'balance_raw'!$B$4</f>
        <v/>
      </c>
      <c r="C24" s="5">
        <f>'balance_raw'!$C$4</f>
        <v/>
      </c>
      <c r="D24" s="5">
        <f>'balance_raw'!$D$4</f>
        <v/>
      </c>
      <c r="E24" s="5">
        <f>'balance_raw'!$E$4</f>
        <v/>
      </c>
      <c r="F24" s="5">
        <f>'balance_raw'!$F$4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Immaterielle anlægsaktiver</t>
        </is>
      </c>
      <c r="B25" s="8">
        <f>'balance_raw'!$B$5</f>
        <v/>
      </c>
      <c r="C25" s="8">
        <f>'balance_raw'!$C$5</f>
        <v/>
      </c>
      <c r="D25" s="8">
        <f>'balance_raw'!$D$5</f>
        <v/>
      </c>
      <c r="E25" s="8">
        <f>'balance_raw'!$E$5</f>
        <v/>
      </c>
      <c r="F25" s="8">
        <f>'balance_raw'!$F$5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7" t="inlineStr">
        <is>
          <t>Materielle anlægsaktiver</t>
        </is>
      </c>
      <c r="B26" s="8">
        <f>'balance_raw'!$B$6</f>
        <v/>
      </c>
      <c r="C26" s="8">
        <f>'balance_raw'!$C$6</f>
        <v/>
      </c>
      <c r="D26" s="8">
        <f>'balance_raw'!$D$6</f>
        <v/>
      </c>
      <c r="E26" s="8">
        <f>'balance_raw'!$E$6</f>
        <v/>
      </c>
      <c r="F26" s="8">
        <f>'balance_raw'!$F$6</f>
        <v/>
      </c>
      <c r="G26" t="inlineStr"/>
      <c r="H26" s="9">
        <f>IFERROR(B26/$B$26*100,"")</f>
        <v/>
      </c>
      <c r="I26" s="9">
        <f>IFERROR(C26/$B$26*100,"")</f>
        <v/>
      </c>
      <c r="J26" s="9">
        <f>IFERROR(D26/$B$26*100,"")</f>
        <v/>
      </c>
      <c r="K26" s="9">
        <f>IFERROR(E26/$B$26*100,"")</f>
        <v/>
      </c>
      <c r="L26" s="9">
        <f>IFERROR(F26/$B$26*100,"")</f>
        <v/>
      </c>
    </row>
    <row r="27" ht="16" customHeight="1">
      <c r="A27" s="10" t="inlineStr">
        <is>
          <t>Kapitalandele, dattervirksomheder</t>
        </is>
      </c>
      <c r="B27" s="11">
        <f>'balance_raw'!$B$7</f>
        <v/>
      </c>
      <c r="C27" s="11">
        <f>'balance_raw'!$C$7</f>
        <v/>
      </c>
      <c r="D27" s="11">
        <f>'balance_raw'!$D$7</f>
        <v/>
      </c>
      <c r="E27" s="11">
        <f>'balance_raw'!$E$7</f>
        <v/>
      </c>
      <c r="F27" s="11">
        <f>'balance_raw'!$F$7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Deposita</t>
        </is>
      </c>
      <c r="B28" s="5">
        <f>'balance_raw'!$B$8</f>
        <v/>
      </c>
      <c r="C28" s="5">
        <f>'balance_raw'!$C$8</f>
        <v/>
      </c>
      <c r="D28" s="5">
        <f>'balance_raw'!$D$8</f>
        <v/>
      </c>
      <c r="E28" s="5">
        <f>'balance_raw'!$E$8</f>
        <v/>
      </c>
      <c r="F28" s="5">
        <f>'balance_raw'!$F$8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Finansielle anlægsaktiver</t>
        </is>
      </c>
      <c r="B29" s="8">
        <f>'balance_raw'!$B$9</f>
        <v/>
      </c>
      <c r="C29" s="8">
        <f>'balance_raw'!$C$9</f>
        <v/>
      </c>
      <c r="D29" s="8">
        <f>'balance_raw'!$D$9</f>
        <v/>
      </c>
      <c r="E29" s="8">
        <f>'balance_raw'!$E$9</f>
        <v/>
      </c>
      <c r="F29" s="8">
        <f>'balance_raw'!$F$9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7" t="inlineStr">
        <is>
          <t>Anlægsaktiver</t>
        </is>
      </c>
      <c r="B30" s="8">
        <f>'balance_raw'!$B$10</f>
        <v/>
      </c>
      <c r="C30" s="8">
        <f>'balance_raw'!$C$10</f>
        <v/>
      </c>
      <c r="D30" s="8">
        <f>'balance_raw'!$D$10</f>
        <v/>
      </c>
      <c r="E30" s="8">
        <f>'balance_raw'!$E$10</f>
        <v/>
      </c>
      <c r="F30" s="8">
        <f>'balance_raw'!$F$10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7" t="inlineStr">
        <is>
          <t>Varebeholdninger</t>
        </is>
      </c>
      <c r="B31" s="8">
        <f>'balance_raw'!$B$11</f>
        <v/>
      </c>
      <c r="C31" s="8">
        <f>'balance_raw'!$C$11</f>
        <v/>
      </c>
      <c r="D31" s="8">
        <f>'balance_raw'!$D$11</f>
        <v/>
      </c>
      <c r="E31" s="8">
        <f>'balance_raw'!$E$11</f>
        <v/>
      </c>
      <c r="F31" s="8">
        <f>'balance_raw'!$F$11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Tilgodehavender fra salg og tjenesteydelser</t>
        </is>
      </c>
      <c r="B32" s="5">
        <f>'balance_raw'!$B$12</f>
        <v/>
      </c>
      <c r="C32" s="5">
        <f>'balance_raw'!$C$12</f>
        <v/>
      </c>
      <c r="D32" s="5">
        <f>'balance_raw'!$D$12</f>
        <v/>
      </c>
      <c r="E32" s="5">
        <f>'balance_raw'!$E$12</f>
        <v/>
      </c>
      <c r="F32" s="5">
        <f>'balance_raw'!$F$12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Tilgodehavender hos tilknyttede virksomheder</t>
        </is>
      </c>
      <c r="B33" s="11">
        <f>'balance_raw'!$B$13</f>
        <v/>
      </c>
      <c r="C33" s="11">
        <f>'balance_raw'!$C$13</f>
        <v/>
      </c>
      <c r="D33" s="11">
        <f>'balance_raw'!$D$13</f>
        <v/>
      </c>
      <c r="E33" s="11">
        <f>'balance_raw'!$E$13</f>
        <v/>
      </c>
      <c r="F33" s="11">
        <f>'balance_raw'!$F$13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Andre tilgodehavender</t>
        </is>
      </c>
      <c r="B34" s="5">
        <f>'balance_raw'!$B$14</f>
        <v/>
      </c>
      <c r="C34" s="5">
        <f>'balance_raw'!$C$14</f>
        <v/>
      </c>
      <c r="D34" s="5">
        <f>'balance_raw'!$D$14</f>
        <v/>
      </c>
      <c r="E34" s="5">
        <f>'balance_raw'!$E$14</f>
        <v/>
      </c>
      <c r="F34" s="5">
        <f>'balance_raw'!$F$14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Periodeafgrænsningsposter (aktiver)</t>
        </is>
      </c>
      <c r="B35" s="11">
        <f>'balance_raw'!$B$15</f>
        <v/>
      </c>
      <c r="C35" s="11">
        <f>'balance_raw'!$C$15</f>
        <v/>
      </c>
      <c r="D35" s="11">
        <f>'balance_raw'!$D$15</f>
        <v/>
      </c>
      <c r="E35" s="11">
        <f>'balance_raw'!$E$15</f>
        <v/>
      </c>
      <c r="F35" s="11">
        <f>'balance_raw'!$F$15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Udskudt skatteaktiv</t>
        </is>
      </c>
      <c r="B36" s="5">
        <f>'balance_raw'!$B$16</f>
        <v/>
      </c>
      <c r="C36" s="5">
        <f>'balance_raw'!$C$16</f>
        <v/>
      </c>
      <c r="D36" s="5">
        <f>'balance_raw'!$D$16</f>
        <v/>
      </c>
      <c r="E36" s="5">
        <f>'balance_raw'!$E$16</f>
        <v/>
      </c>
      <c r="F36" s="5">
        <f>'balance_raw'!$F$16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 skat hos tilknyttede virksomheder</t>
        </is>
      </c>
      <c r="B37" s="11">
        <f>'balance_raw'!$B$17</f>
        <v/>
      </c>
      <c r="C37" s="11">
        <f>'balance_raw'!$C$17</f>
        <v/>
      </c>
      <c r="D37" s="11">
        <f>'balance_raw'!$D$17</f>
        <v/>
      </c>
      <c r="E37" s="11">
        <f>'balance_raw'!$E$17</f>
        <v/>
      </c>
      <c r="F37" s="11">
        <f>'balance_raw'!$F$17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Kortfristede skattetilgodehavender</t>
        </is>
      </c>
      <c r="B38" s="5">
        <f>'balance_raw'!$B$18</f>
        <v/>
      </c>
      <c r="C38" s="5">
        <f>'balance_raw'!$C$18</f>
        <v/>
      </c>
      <c r="D38" s="5">
        <f>'balance_raw'!$D$18</f>
        <v/>
      </c>
      <c r="E38" s="5">
        <f>'balance_raw'!$E$18</f>
        <v/>
      </c>
      <c r="F38" s="5">
        <f>'balance_raw'!$F$18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Tilgodehavender</t>
        </is>
      </c>
      <c r="B39" s="8">
        <f>'balance_raw'!$B$19</f>
        <v/>
      </c>
      <c r="C39" s="8">
        <f>'balance_raw'!$C$19</f>
        <v/>
      </c>
      <c r="D39" s="8">
        <f>'balance_raw'!$D$19</f>
        <v/>
      </c>
      <c r="E39" s="8">
        <f>'balance_raw'!$E$19</f>
        <v/>
      </c>
      <c r="F39" s="8">
        <f>'balance_raw'!$F$19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Værdipapirer</t>
        </is>
      </c>
      <c r="B40" s="5">
        <f>'balance_raw'!$B$20</f>
        <v/>
      </c>
      <c r="C40" s="5">
        <f>'balance_raw'!$C$20</f>
        <v/>
      </c>
      <c r="D40" s="5">
        <f>'balance_raw'!$D$20</f>
        <v/>
      </c>
      <c r="E40" s="5">
        <f>'balance_raw'!$E$20</f>
        <v/>
      </c>
      <c r="F40" s="5">
        <f>'balance_raw'!$F$20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Likvide beholdninger</t>
        </is>
      </c>
      <c r="B41" s="11">
        <f>'balance_raw'!$B$21</f>
        <v/>
      </c>
      <c r="C41" s="11">
        <f>'balance_raw'!$C$21</f>
        <v/>
      </c>
      <c r="D41" s="11">
        <f>'balance_raw'!$D$21</f>
        <v/>
      </c>
      <c r="E41" s="11">
        <f>'balance_raw'!$E$21</f>
        <v/>
      </c>
      <c r="F41" s="11">
        <f>'balance_raw'!$F$21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7" t="inlineStr">
        <is>
          <t>Omsætningsaktiver</t>
        </is>
      </c>
      <c r="B42" s="8">
        <f>'balance_raw'!$B$22</f>
        <v/>
      </c>
      <c r="C42" s="8">
        <f>'balance_raw'!$C$22</f>
        <v/>
      </c>
      <c r="D42" s="8">
        <f>'balance_raw'!$D$22</f>
        <v/>
      </c>
      <c r="E42" s="8">
        <f>'balance_raw'!$E$22</f>
        <v/>
      </c>
      <c r="F42" s="8">
        <f>'balance_raw'!$F$22</f>
        <v/>
      </c>
      <c r="G42" t="inlineStr"/>
      <c r="H42" s="9">
        <f>IFERROR(B42/$B$42*100,"")</f>
        <v/>
      </c>
      <c r="I42" s="9">
        <f>IFERROR(C42/$B$42*100,"")</f>
        <v/>
      </c>
      <c r="J42" s="9">
        <f>IFERROR(D42/$B$42*100,"")</f>
        <v/>
      </c>
      <c r="K42" s="9">
        <f>IFERROR(E42/$B$42*100,"")</f>
        <v/>
      </c>
      <c r="L42" s="9">
        <f>IFERROR(F42/$B$42*100,"")</f>
        <v/>
      </c>
    </row>
    <row r="43" ht="16" customHeight="1">
      <c r="A43" s="7" t="inlineStr">
        <is>
          <t>Aktiver</t>
        </is>
      </c>
      <c r="B43" s="8">
        <f>'balance_raw'!$B$23</f>
        <v/>
      </c>
      <c r="C43" s="8">
        <f>'balance_raw'!$C$23</f>
        <v/>
      </c>
      <c r="D43" s="8">
        <f>'balance_raw'!$D$23</f>
        <v/>
      </c>
      <c r="E43" s="8">
        <f>'balance_raw'!$E$23</f>
        <v/>
      </c>
      <c r="F43" s="8">
        <f>'balance_raw'!$F$23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5" ht="22" customHeight="1">
      <c r="A45" s="3" t="inlineStr">
        <is>
          <t>PASSIVER valuta pr. år - se kolonneoverskrifter</t>
        </is>
      </c>
      <c r="B45" s="3" t="n">
        <v>2021</v>
      </c>
      <c r="C45" s="3" t="n">
        <v>2022</v>
      </c>
      <c r="D45" s="3" t="n">
        <v>2023</v>
      </c>
      <c r="E45" s="3" t="n">
        <v>2024</v>
      </c>
      <c r="F45" s="3" t="n">
        <v>2025</v>
      </c>
      <c r="G45" t="inlineStr"/>
      <c r="H45" s="3" t="n">
        <v>2021</v>
      </c>
      <c r="I45" s="3" t="n">
        <v>2022</v>
      </c>
      <c r="J45" s="3" t="n">
        <v>2023</v>
      </c>
      <c r="K45" s="3" t="n">
        <v>2024</v>
      </c>
      <c r="L45" s="3" t="n">
        <v>2025</v>
      </c>
    </row>
    <row r="46" ht="16" customHeight="1">
      <c r="A46" s="4" t="inlineStr">
        <is>
          <t>Selskabskapital</t>
        </is>
      </c>
      <c r="B46" s="5">
        <f>'balance_raw'!$B$24</f>
        <v/>
      </c>
      <c r="C46" s="5">
        <f>'balance_raw'!$C$24</f>
        <v/>
      </c>
      <c r="D46" s="5">
        <f>'balance_raw'!$D$24</f>
        <v/>
      </c>
      <c r="E46" s="5">
        <f>'balance_raw'!$E$24</f>
        <v/>
      </c>
      <c r="F46" s="5">
        <f>'balance_raw'!$F$24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Reserve for nettoopskrivning (indre værdis metode)</t>
        </is>
      </c>
      <c r="B47" s="11">
        <f>'balance_raw'!$B$25</f>
        <v/>
      </c>
      <c r="C47" s="11">
        <f>'balance_raw'!$C$25</f>
        <v/>
      </c>
      <c r="D47" s="11">
        <f>'balance_raw'!$D$25</f>
        <v/>
      </c>
      <c r="E47" s="11">
        <f>'balance_raw'!$E$25</f>
        <v/>
      </c>
      <c r="F47" s="11">
        <f>'balance_raw'!$F$25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Reserve for udviklingsomkostninger</t>
        </is>
      </c>
      <c r="B48" s="5">
        <f>'balance_raw'!$B$26</f>
        <v/>
      </c>
      <c r="C48" s="5">
        <f>'balance_raw'!$C$26</f>
        <v/>
      </c>
      <c r="D48" s="5">
        <f>'balance_raw'!$D$26</f>
        <v/>
      </c>
      <c r="E48" s="5">
        <f>'balance_raw'!$E$26</f>
        <v/>
      </c>
      <c r="F48" s="5">
        <f>'balance_raw'!$F$26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Reserve for sikringstransaktioner</t>
        </is>
      </c>
      <c r="B49" s="11">
        <f>'balance_raw'!$B$27</f>
        <v/>
      </c>
      <c r="C49" s="11">
        <f>'balance_raw'!$C$27</f>
        <v/>
      </c>
      <c r="D49" s="11">
        <f>'balance_raw'!$D$27</f>
        <v/>
      </c>
      <c r="E49" s="11">
        <f>'balance_raw'!$E$27</f>
        <v/>
      </c>
      <c r="F49" s="11">
        <f>'balance_raw'!$F$27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Andre reserver</t>
        </is>
      </c>
      <c r="B50" s="5">
        <f>'balance_raw'!$B$28</f>
        <v/>
      </c>
      <c r="C50" s="5">
        <f>'balance_raw'!$C$28</f>
        <v/>
      </c>
      <c r="D50" s="5">
        <f>'balance_raw'!$D$28</f>
        <v/>
      </c>
      <c r="E50" s="5">
        <f>'balance_raw'!$E$28</f>
        <v/>
      </c>
      <c r="F50" s="5">
        <f>'balance_raw'!$F$28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Overført resultat</t>
        </is>
      </c>
      <c r="B51" s="11">
        <f>'balance_raw'!$B$29</f>
        <v/>
      </c>
      <c r="C51" s="11">
        <f>'balance_raw'!$C$29</f>
        <v/>
      </c>
      <c r="D51" s="11">
        <f>'balance_raw'!$D$29</f>
        <v/>
      </c>
      <c r="E51" s="11">
        <f>'balance_raw'!$E$29</f>
        <v/>
      </c>
      <c r="F51" s="11">
        <f>'balance_raw'!$F$29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7" t="inlineStr">
        <is>
          <t>Egenkapital i alt</t>
        </is>
      </c>
      <c r="B52" s="8">
        <f>'balance_raw'!$B$30</f>
        <v/>
      </c>
      <c r="C52" s="8">
        <f>'balance_raw'!$C$30</f>
        <v/>
      </c>
      <c r="D52" s="8">
        <f>'balance_raw'!$D$30</f>
        <v/>
      </c>
      <c r="E52" s="8">
        <f>'balance_raw'!$E$30</f>
        <v/>
      </c>
      <c r="F52" s="8">
        <f>'balance_raw'!$F$30</f>
        <v/>
      </c>
      <c r="G52" t="inlineStr"/>
      <c r="H52" s="9">
        <f>IFERROR(B52/$B$52*100,"")</f>
        <v/>
      </c>
      <c r="I52" s="9">
        <f>IFERROR(C52/$B$52*100,"")</f>
        <v/>
      </c>
      <c r="J52" s="9">
        <f>IFERROR(D52/$B$52*100,"")</f>
        <v/>
      </c>
      <c r="K52" s="9">
        <f>IFERROR(E52/$B$52*100,"")</f>
        <v/>
      </c>
      <c r="L52" s="9">
        <f>IFERROR(F52/$B$52*100,"")</f>
        <v/>
      </c>
    </row>
    <row r="53" ht="16" customHeight="1">
      <c r="A53" s="10" t="inlineStr">
        <is>
          <t>Hensættelse til udskudt skat</t>
        </is>
      </c>
      <c r="B53" s="11">
        <f>'balance_raw'!$B$31</f>
        <v/>
      </c>
      <c r="C53" s="11">
        <f>'balance_raw'!$C$31</f>
        <v/>
      </c>
      <c r="D53" s="11">
        <f>'balance_raw'!$D$31</f>
        <v/>
      </c>
      <c r="E53" s="11">
        <f>'balance_raw'!$E$31</f>
        <v/>
      </c>
      <c r="F53" s="11">
        <f>'balance_raw'!$F$31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7" t="inlineStr">
        <is>
          <t>Hensatte forpligtelser</t>
        </is>
      </c>
      <c r="B54" s="8">
        <f>'balance_raw'!$B$32</f>
        <v/>
      </c>
      <c r="C54" s="8">
        <f>'balance_raw'!$C$32</f>
        <v/>
      </c>
      <c r="D54" s="8">
        <f>'balance_raw'!$D$32</f>
        <v/>
      </c>
      <c r="E54" s="8">
        <f>'balance_raw'!$E$32</f>
        <v/>
      </c>
      <c r="F54" s="8">
        <f>'balance_raw'!$F$32</f>
        <v/>
      </c>
      <c r="G54" t="inlineStr"/>
      <c r="H54" s="9">
        <f>IFERROR(B54/$B$54*100,"")</f>
        <v/>
      </c>
      <c r="I54" s="9">
        <f>IFERROR(C54/$B$54*100,"")</f>
        <v/>
      </c>
      <c r="J54" s="9">
        <f>IFERROR(D54/$B$54*100,"")</f>
        <v/>
      </c>
      <c r="K54" s="9">
        <f>IFERROR(E54/$B$54*100,"")</f>
        <v/>
      </c>
      <c r="L54" s="9">
        <f>IFERROR(F54/$B$54*100,"")</f>
        <v/>
      </c>
    </row>
    <row r="55" ht="16" customHeight="1">
      <c r="A55" s="10" t="inlineStr">
        <is>
          <t>Ansvarlig lånekapital (langfristet)</t>
        </is>
      </c>
      <c r="B55" s="11">
        <f>'balance_raw'!$B$33</f>
        <v/>
      </c>
      <c r="C55" s="11">
        <f>'balance_raw'!$C$33</f>
        <v/>
      </c>
      <c r="D55" s="11">
        <f>'balance_raw'!$D$33</f>
        <v/>
      </c>
      <c r="E55" s="11">
        <f>'balance_raw'!$E$33</f>
        <v/>
      </c>
      <c r="F55" s="11">
        <f>'balance_raw'!$F$33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Langfristede lån</t>
        </is>
      </c>
      <c r="B56" s="5">
        <f>'balance_raw'!$B$34</f>
        <v/>
      </c>
      <c r="C56" s="5">
        <f>'balance_raw'!$C$34</f>
        <v/>
      </c>
      <c r="D56" s="5">
        <f>'balance_raw'!$D$34</f>
        <v/>
      </c>
      <c r="E56" s="5">
        <f>'balance_raw'!$E$34</f>
        <v/>
      </c>
      <c r="F56" s="5">
        <f>'balance_raw'!$F$34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Leasingforpligtelser (langfristet)</t>
        </is>
      </c>
      <c r="B57" s="11">
        <f>'balance_raw'!$B$35</f>
        <v/>
      </c>
      <c r="C57" s="11">
        <f>'balance_raw'!$C$35</f>
        <v/>
      </c>
      <c r="D57" s="11">
        <f>'balance_raw'!$D$35</f>
        <v/>
      </c>
      <c r="E57" s="11">
        <f>'balance_raw'!$E$35</f>
        <v/>
      </c>
      <c r="F57" s="11">
        <f>'balance_raw'!$F$35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Anden gæld (langfristet)</t>
        </is>
      </c>
      <c r="B58" s="5">
        <f>'balance_raw'!$B$36</f>
        <v/>
      </c>
      <c r="C58" s="5">
        <f>'balance_raw'!$C$36</f>
        <v/>
      </c>
      <c r="D58" s="5">
        <f>'balance_raw'!$D$36</f>
        <v/>
      </c>
      <c r="E58" s="5">
        <f>'balance_raw'!$E$36</f>
        <v/>
      </c>
      <c r="F58" s="5">
        <f>'balance_raw'!$F$36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Langfristede gældsforpligtelser</t>
        </is>
      </c>
      <c r="B59" s="8">
        <f>'balance_raw'!$B$37</f>
        <v/>
      </c>
      <c r="C59" s="8">
        <f>'balance_raw'!$C$37</f>
        <v/>
      </c>
      <c r="D59" s="8">
        <f>'balance_raw'!$D$37</f>
        <v/>
      </c>
      <c r="E59" s="8">
        <f>'balance_raw'!$E$37</f>
        <v/>
      </c>
      <c r="F59" s="8">
        <f>'balance_raw'!$F$37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Ansvarlig lånekapital (kortfristet)</t>
        </is>
      </c>
      <c r="B60" s="5">
        <f>'balance_raw'!$B$38</f>
        <v/>
      </c>
      <c r="C60" s="5">
        <f>'balance_raw'!$C$38</f>
        <v/>
      </c>
      <c r="D60" s="5">
        <f>'balance_raw'!$D$38</f>
        <v/>
      </c>
      <c r="E60" s="5">
        <f>'balance_raw'!$E$38</f>
        <v/>
      </c>
      <c r="F60" s="5">
        <f>'balance_raw'!$F$38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Kortfristet del af langfristede gældsforpligtelser</t>
        </is>
      </c>
      <c r="B61" s="11">
        <f>'balance_raw'!$B$39</f>
        <v/>
      </c>
      <c r="C61" s="11">
        <f>'balance_raw'!$C$39</f>
        <v/>
      </c>
      <c r="D61" s="11">
        <f>'balance_raw'!$D$39</f>
        <v/>
      </c>
      <c r="E61" s="11">
        <f>'balance_raw'!$E$39</f>
        <v/>
      </c>
      <c r="F61" s="11">
        <f>'balance_raw'!$F$39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Kreditinstitutter</t>
        </is>
      </c>
      <c r="B62" s="5">
        <f>'balance_raw'!$B$40</f>
        <v/>
      </c>
      <c r="C62" s="5">
        <f>'balance_raw'!$C$40</f>
        <v/>
      </c>
      <c r="D62" s="5">
        <f>'balance_raw'!$D$40</f>
        <v/>
      </c>
      <c r="E62" s="5">
        <f>'balance_raw'!$E$40</f>
        <v/>
      </c>
      <c r="F62" s="5">
        <f>'balance_raw'!$F$40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Leasingforpligtelser (kortfristet)</t>
        </is>
      </c>
      <c r="B63" s="11">
        <f>'balance_raw'!$B$41</f>
        <v/>
      </c>
      <c r="C63" s="11">
        <f>'balance_raw'!$C$41</f>
        <v/>
      </c>
      <c r="D63" s="11">
        <f>'balance_raw'!$D$41</f>
        <v/>
      </c>
      <c r="E63" s="11">
        <f>'balance_raw'!$E$41</f>
        <v/>
      </c>
      <c r="F63" s="11">
        <f>'balance_raw'!$F$41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Leverandører af varer og tjenesteydelser</t>
        </is>
      </c>
      <c r="B64" s="5">
        <f>'balance_raw'!$B$42</f>
        <v/>
      </c>
      <c r="C64" s="5">
        <f>'balance_raw'!$C$42</f>
        <v/>
      </c>
      <c r="D64" s="5">
        <f>'balance_raw'!$D$42</f>
        <v/>
      </c>
      <c r="E64" s="5">
        <f>'balance_raw'!$E$42</f>
        <v/>
      </c>
      <c r="F64" s="5">
        <f>'balance_raw'!$F$42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Gæld til tilknyttede virksomheder</t>
        </is>
      </c>
      <c r="B65" s="11">
        <f>'balance_raw'!$B$43</f>
        <v/>
      </c>
      <c r="C65" s="11">
        <f>'balance_raw'!$C$43</f>
        <v/>
      </c>
      <c r="D65" s="11">
        <f>'balance_raw'!$D$43</f>
        <v/>
      </c>
      <c r="E65" s="11">
        <f>'balance_raw'!$E$43</f>
        <v/>
      </c>
      <c r="F65" s="11">
        <f>'balance_raw'!$F$43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Gæld til selskabsdeltagere og ledelse</t>
        </is>
      </c>
      <c r="B66" s="5">
        <f>'balance_raw'!$B$44</f>
        <v/>
      </c>
      <c r="C66" s="5">
        <f>'balance_raw'!$C$44</f>
        <v/>
      </c>
      <c r="D66" s="5">
        <f>'balance_raw'!$D$44</f>
        <v/>
      </c>
      <c r="E66" s="5">
        <f>'balance_raw'!$E$44</f>
        <v/>
      </c>
      <c r="F66" s="5">
        <f>'balance_raw'!$F$44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Selskabsskat</t>
        </is>
      </c>
      <c r="B67" s="11">
        <f>'balance_raw'!$B$45</f>
        <v/>
      </c>
      <c r="C67" s="11">
        <f>'balance_raw'!$C$45</f>
        <v/>
      </c>
      <c r="D67" s="11">
        <f>'balance_raw'!$D$45</f>
        <v/>
      </c>
      <c r="E67" s="11">
        <f>'balance_raw'!$E$45</f>
        <v/>
      </c>
      <c r="F67" s="11">
        <f>'balance_raw'!$F$45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Gæld til tilknyttede virksomheder vedr. selskabsskat</t>
        </is>
      </c>
      <c r="B68" s="5">
        <f>'balance_raw'!$B$46</f>
        <v/>
      </c>
      <c r="C68" s="5">
        <f>'balance_raw'!$C$46</f>
        <v/>
      </c>
      <c r="D68" s="5">
        <f>'balance_raw'!$D$46</f>
        <v/>
      </c>
      <c r="E68" s="5">
        <f>'balance_raw'!$E$46</f>
        <v/>
      </c>
      <c r="F68" s="5">
        <f>'balance_raw'!$F$46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Anden gæld (kortfristet)</t>
        </is>
      </c>
      <c r="B69" s="11">
        <f>'balance_raw'!$B$47</f>
        <v/>
      </c>
      <c r="C69" s="11">
        <f>'balance_raw'!$C$47</f>
        <v/>
      </c>
      <c r="D69" s="11">
        <f>'balance_raw'!$D$47</f>
        <v/>
      </c>
      <c r="E69" s="11">
        <f>'balance_raw'!$E$47</f>
        <v/>
      </c>
      <c r="F69" s="11">
        <f>'balance_raw'!$F$47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Periodeafgrænsningsposter (passiver)</t>
        </is>
      </c>
      <c r="B70" s="5">
        <f>'balance_raw'!$B$48</f>
        <v/>
      </c>
      <c r="C70" s="5">
        <f>'balance_raw'!$C$48</f>
        <v/>
      </c>
      <c r="D70" s="5">
        <f>'balance_raw'!$D$48</f>
        <v/>
      </c>
      <c r="E70" s="5">
        <f>'balance_raw'!$E$48</f>
        <v/>
      </c>
      <c r="F70" s="5">
        <f>'balance_raw'!$F$48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Kortfristede gældsforpligtelser</t>
        </is>
      </c>
      <c r="B71" s="8">
        <f>'balance_raw'!$B$49</f>
        <v/>
      </c>
      <c r="C71" s="8">
        <f>'balance_raw'!$C$49</f>
        <v/>
      </c>
      <c r="D71" s="8">
        <f>'balance_raw'!$D$49</f>
        <v/>
      </c>
      <c r="E71" s="8">
        <f>'balance_raw'!$E$49</f>
        <v/>
      </c>
      <c r="F71" s="8">
        <f>'balance_raw'!$F$49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7" t="inlineStr">
        <is>
          <t>Gældsforpligtelser</t>
        </is>
      </c>
      <c r="B72" s="8">
        <f>'balance_raw'!$B$50</f>
        <v/>
      </c>
      <c r="C72" s="8">
        <f>'balance_raw'!$C$50</f>
        <v/>
      </c>
      <c r="D72" s="8">
        <f>'balance_raw'!$D$50</f>
        <v/>
      </c>
      <c r="E72" s="8">
        <f>'balance_raw'!$E$50</f>
        <v/>
      </c>
      <c r="F72" s="8">
        <f>'balance_raw'!$F$50</f>
        <v/>
      </c>
      <c r="G72" t="inlineStr"/>
      <c r="H72" s="9">
        <f>IFERROR(B72/$B$72*100,"")</f>
        <v/>
      </c>
      <c r="I72" s="9">
        <f>IFERROR(C72/$B$72*100,"")</f>
        <v/>
      </c>
      <c r="J72" s="9">
        <f>IFERROR(D72/$B$72*100,"")</f>
        <v/>
      </c>
      <c r="K72" s="9">
        <f>IFERROR(E72/$B$72*100,"")</f>
        <v/>
      </c>
      <c r="L72" s="9">
        <f>IFERROR(F72/$B$72*100,"")</f>
        <v/>
      </c>
    </row>
    <row r="73" ht="16" customHeight="1">
      <c r="A73" s="7" t="inlineStr">
        <is>
          <t>Passiver</t>
        </is>
      </c>
      <c r="B73" s="8">
        <f>'balance_raw'!$B$51</f>
        <v/>
      </c>
      <c r="C73" s="8">
        <f>'balance_raw'!$C$51</f>
        <v/>
      </c>
      <c r="D73" s="8">
        <f>'balance_raw'!$D$51</f>
        <v/>
      </c>
      <c r="E73" s="8">
        <f>'balance_raw'!$E$51</f>
        <v/>
      </c>
      <c r="F73" s="8">
        <f>'balance_raw'!$F$51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5" ht="22" customHeight="1">
      <c r="A75" s="3" t="inlineStr">
        <is>
          <t>NØGLEOPLYSNINGER</t>
        </is>
      </c>
      <c r="B75" s="3" t="n">
        <v>2021</v>
      </c>
      <c r="C75" s="3" t="n">
        <v>2022</v>
      </c>
      <c r="D75" s="3" t="n">
        <v>2023</v>
      </c>
      <c r="E75" s="3" t="n">
        <v>2024</v>
      </c>
      <c r="F75" s="3" t="n">
        <v>2025</v>
      </c>
    </row>
    <row r="76" ht="16" customHeight="1">
      <c r="A76" s="4" t="inlineStr">
        <is>
          <t>Gns. antal medarbejdere</t>
        </is>
      </c>
      <c r="B76" s="5">
        <f>'res_raw'!$B$18</f>
        <v/>
      </c>
      <c r="C76" s="5">
        <f>'res_raw'!$C$18</f>
        <v/>
      </c>
      <c r="D76" s="5">
        <f>'res_raw'!$D$18</f>
        <v/>
      </c>
      <c r="E76" s="5">
        <f>'res_raw'!$E$18</f>
        <v/>
      </c>
      <c r="F76" s="5">
        <f>'res_raw'!$F$18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Investering i materielle anlægsaktiver</t>
        </is>
      </c>
      <c r="B77" s="11">
        <f>'res_raw'!$B$19</f>
        <v/>
      </c>
      <c r="C77" s="11">
        <f>'res_raw'!$C$19</f>
        <v/>
      </c>
      <c r="D77" s="11">
        <f>'res_raw'!$D$19</f>
        <v/>
      </c>
      <c r="E77" s="11">
        <f>'res_raw'!$E$19</f>
        <v/>
      </c>
      <c r="F77" s="11">
        <f>'res_raw'!$F$19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9" ht="22" customHeight="1">
      <c r="A79" s="3" t="inlineStr">
        <is>
          <t>NØGLETAL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Afkastningsgrad, %</t>
        </is>
      </c>
      <c r="B80" s="13">
        <f>IFERROR(($B$12+$B$14+$B$13)/$B$43*100,"")</f>
        <v/>
      </c>
      <c r="C80" s="13">
        <f>IFERROR(($C$12+$C$14+$C$13)/$C$43*100,"")</f>
        <v/>
      </c>
      <c r="D80" s="13">
        <f>IFERROR(($D$12+$D$14+$D$13)/$D$43*100,"")</f>
        <v/>
      </c>
      <c r="E80" s="13">
        <f>IFERROR(($E$12+$E$14+$E$13)/$E$43*100,"")</f>
        <v/>
      </c>
      <c r="F80" s="13">
        <f>IFERROR(($F$12+$F$14+$F$13)/$F$43*100,"")</f>
        <v/>
      </c>
    </row>
    <row r="81" ht="16" customHeight="1">
      <c r="A81" s="10" t="inlineStr">
        <is>
          <t>Overskudsgrad, %</t>
        </is>
      </c>
      <c r="B81" s="14">
        <f>IFERROR(($B$12+$B$14+$B$13)/$B$4*100,"")</f>
        <v/>
      </c>
      <c r="C81" s="14">
        <f>IFERROR(($C$12+$C$14+$C$13)/$C$4*100,"")</f>
        <v/>
      </c>
      <c r="D81" s="14">
        <f>IFERROR(($D$12+$D$14+$D$13)/$D$4*100,"")</f>
        <v/>
      </c>
      <c r="E81" s="14">
        <f>IFERROR(($E$12+$E$14+$E$13)/$E$4*100,"")</f>
        <v/>
      </c>
      <c r="F81" s="14">
        <f>IFERROR(($F$12+$F$14+$F$13)/$F$4*100,"")</f>
        <v/>
      </c>
    </row>
    <row r="82" ht="16" customHeight="1">
      <c r="A82" s="4" t="inlineStr">
        <is>
          <t>Aktivernes omsætningshastighed, gange</t>
        </is>
      </c>
      <c r="B82" s="13">
        <f>IFERROR($B$4/$B$43,"")</f>
        <v/>
      </c>
      <c r="C82" s="13">
        <f>IFERROR($C$4/$C$43,"")</f>
        <v/>
      </c>
      <c r="D82" s="13">
        <f>IFERROR($D$4/$D$43,"")</f>
        <v/>
      </c>
      <c r="E82" s="13">
        <f>IFERROR($E$4/$E$43,"")</f>
        <v/>
      </c>
      <c r="F82" s="13">
        <f>IFERROR($F$4/$F$43,"")</f>
        <v/>
      </c>
    </row>
    <row r="83" ht="16" customHeight="1">
      <c r="A83" s="10" t="inlineStr">
        <is>
          <t>Egenkapitalens forrentning, %</t>
        </is>
      </c>
      <c r="B83" s="14">
        <f>IFERROR($B$17/$B$52*100,"")</f>
        <v/>
      </c>
      <c r="C83" s="14">
        <f>IFERROR($C$17/$C$52*100,"")</f>
        <v/>
      </c>
      <c r="D83" s="14">
        <f>IFERROR($D$17/$D$52*100,"")</f>
        <v/>
      </c>
      <c r="E83" s="14">
        <f>IFERROR($E$17/$E$52*100,"")</f>
        <v/>
      </c>
      <c r="F83" s="14">
        <f>IFERROR($F$17/$F$52*100,"")</f>
        <v/>
      </c>
    </row>
    <row r="84" ht="16" customHeight="1">
      <c r="A84" s="4" t="inlineStr">
        <is>
          <t>Gældsrente, %</t>
        </is>
      </c>
      <c r="B84" s="13">
        <f>IFERROR($B$15/($B$73-$B$52)*100,"")</f>
        <v/>
      </c>
      <c r="C84" s="13">
        <f>IFERROR($C$15/($C$73-$C$52)*100,"")</f>
        <v/>
      </c>
      <c r="D84" s="13">
        <f>IFERROR($D$15/($D$73-$D$52)*100,"")</f>
        <v/>
      </c>
      <c r="E84" s="13">
        <f>IFERROR($E$15/($E$73-$E$52)*100,"")</f>
        <v/>
      </c>
      <c r="F84" s="13">
        <f>IFERROR($F$15/($F$73-$F$52)*100,"")</f>
        <v/>
      </c>
    </row>
    <row r="85" ht="16" customHeight="1">
      <c r="A85" s="10" t="inlineStr">
        <is>
          <t>Soliditetsgrad, %</t>
        </is>
      </c>
      <c r="B85" s="14">
        <f>IFERROR($B$52/$B$43*100,"")</f>
        <v/>
      </c>
      <c r="C85" s="14">
        <f>IFERROR($C$52/$C$43*100,"")</f>
        <v/>
      </c>
      <c r="D85" s="14">
        <f>IFERROR($D$52/$D$43*100,"")</f>
        <v/>
      </c>
      <c r="E85" s="14">
        <f>IFERROR($E$52/$E$43*100,"")</f>
        <v/>
      </c>
      <c r="F85" s="14">
        <f>IFERROR($F$52/$F$43*100,"")</f>
        <v/>
      </c>
    </row>
    <row r="86" ht="16" customHeight="1">
      <c r="A86" s="4" t="inlineStr">
        <is>
          <t>Gearing</t>
        </is>
      </c>
      <c r="B86" s="13">
        <f>IFERROR(($B$73-$B$52)/$B$52,"")</f>
        <v/>
      </c>
      <c r="C86" s="13">
        <f>IFERROR(($C$73-$C$52)/$C$52,"")</f>
        <v/>
      </c>
      <c r="D86" s="13">
        <f>IFERROR(($D$73-$D$52)/$D$52,"")</f>
        <v/>
      </c>
      <c r="E86" s="13">
        <f>IFERROR(($E$73-$E$52)/$E$52,"")</f>
        <v/>
      </c>
      <c r="F86" s="13">
        <f>IFERROR(($F$73-$F$52)/$F$52,"")</f>
        <v/>
      </c>
    </row>
    <row r="87" ht="16" customHeight="1">
      <c r="A87" s="10" t="inlineStr">
        <is>
          <t>Likviditetsgrad, %</t>
        </is>
      </c>
      <c r="B87" s="14">
        <f>IFERROR($B$42/$B$71*100,"")</f>
        <v/>
      </c>
      <c r="C87" s="14">
        <f>IFERROR($C$42/$C$71*100,"")</f>
        <v/>
      </c>
      <c r="D87" s="14">
        <f>IFERROR($D$42/$D$71*100,"")</f>
        <v/>
      </c>
      <c r="E87" s="14">
        <f>IFERROR($E$42/$E$71*100,"")</f>
        <v/>
      </c>
      <c r="F87" s="14">
        <f>IFERROR($F$42/$F$71*100,"")</f>
        <v/>
      </c>
    </row>
    <row r="88" ht="16" customHeight="1">
      <c r="A88" s="4" t="inlineStr">
        <is>
          <t>Rentemarginal, %</t>
        </is>
      </c>
      <c r="B88" s="13">
        <f>IFERROR(B80-B84,"")</f>
        <v/>
      </c>
      <c r="C88" s="13">
        <f>IFERROR(C80-C84,"")</f>
        <v/>
      </c>
      <c r="D88" s="13">
        <f>IFERROR(D80-D84,"")</f>
        <v/>
      </c>
      <c r="E88" s="13">
        <f>IFERROR(E80-E84,"")</f>
        <v/>
      </c>
      <c r="F88" s="13">
        <f>IFERROR(F80-F84,"")</f>
        <v/>
      </c>
    </row>
    <row r="89" ht="16" customHeight="1">
      <c r="A89" s="10" t="inlineStr">
        <is>
          <t>Gældsandel, %</t>
        </is>
      </c>
      <c r="B89" s="14">
        <f>IFERROR(($B$73-$B$52)/$B$43*100,"")</f>
        <v/>
      </c>
      <c r="C89" s="14">
        <f>IFERROR(($C$73-$C$52)/$C$43*100,"")</f>
        <v/>
      </c>
      <c r="D89" s="14">
        <f>IFERROR(($D$73-$D$52)/$D$43*100,"")</f>
        <v/>
      </c>
      <c r="E89" s="14">
        <f>IFERROR(($E$73-$E$52)/$E$43*100,"")</f>
        <v/>
      </c>
      <c r="F89" s="14">
        <f>IFERROR(($F$73-$F$52)/$F$43*100,"")</f>
        <v/>
      </c>
    </row>
    <row r="90" ht="16" customHeight="1">
      <c r="A90" s="4" t="inlineStr">
        <is>
          <t>Kapitalbindingsgrad, %</t>
        </is>
      </c>
      <c r="B90" s="13">
        <f>IFERROR($B$30/($B$52+$B$59)*100,"")</f>
        <v/>
      </c>
      <c r="C90" s="13">
        <f>IFERROR($C$30/($C$52+$C$59)*100,"")</f>
        <v/>
      </c>
      <c r="D90" s="13">
        <f>IFERROR($D$30/($D$52+$D$59)*100,"")</f>
        <v/>
      </c>
      <c r="E90" s="13">
        <f>IFERROR($E$30/($E$52+$E$59)*100,"")</f>
        <v/>
      </c>
      <c r="F90" s="13">
        <f>IFERROR($F$30/($F$52+$F$59)*100,"")</f>
        <v/>
      </c>
    </row>
    <row r="92">
      <c r="A92" s="15" t="inlineStr">
        <is>
          <t>PENGESTRØMSOPGØRELSE valuta pr. år - se kolonneoverskrifter</t>
        </is>
      </c>
    </row>
    <row r="93">
      <c r="A93" s="16" t="inlineStr">
        <is>
          <t>Pengestrømme fra driftsaktivitet</t>
        </is>
      </c>
      <c r="B93" s="17">
        <f>'pengestrom_raw'!$B$2</f>
        <v/>
      </c>
      <c r="C93" s="17">
        <f>'pengestrom_raw'!$C$2</f>
        <v/>
      </c>
      <c r="D93" s="17">
        <f>'pengestrom_raw'!$D$2</f>
        <v/>
      </c>
      <c r="E93" s="17">
        <f>'pengestrom_raw'!$E$2</f>
        <v/>
      </c>
      <c r="F93" s="17">
        <f>'pengestrom_raw'!$F$2</f>
        <v/>
      </c>
    </row>
    <row r="94">
      <c r="A94" s="16" t="inlineStr">
        <is>
          <t>Pengestrømme fra investeringsaktivitet</t>
        </is>
      </c>
      <c r="B94" s="17">
        <f>'pengestrom_raw'!$B$3</f>
        <v/>
      </c>
      <c r="C94" s="17">
        <f>'pengestrom_raw'!$C$3</f>
        <v/>
      </c>
      <c r="D94" s="17">
        <f>'pengestrom_raw'!$D$3</f>
        <v/>
      </c>
      <c r="E94" s="17">
        <f>'pengestrom_raw'!$E$3</f>
        <v/>
      </c>
      <c r="F94" s="17">
        <f>'pengestrom_raw'!$F$3</f>
        <v/>
      </c>
    </row>
    <row r="95">
      <c r="A95" s="16" t="inlineStr">
        <is>
          <t>Pengestrømme fra finansieringsaktivitet</t>
        </is>
      </c>
      <c r="B95" s="17">
        <f>'pengestrom_raw'!$B$4</f>
        <v/>
      </c>
      <c r="C95" s="17">
        <f>'pengestrom_raw'!$C$4</f>
        <v/>
      </c>
      <c r="D95" s="17">
        <f>'pengestrom_raw'!$D$4</f>
        <v/>
      </c>
      <c r="E95" s="17">
        <f>'pengestrom_raw'!$E$4</f>
        <v/>
      </c>
      <c r="F95" s="17">
        <f>'pengestrom_raw'!$F$4</f>
        <v/>
      </c>
    </row>
    <row r="96">
      <c r="A96" s="16" t="inlineStr">
        <is>
          <t>Årets pengestrøm (rapporteret)</t>
        </is>
      </c>
      <c r="B96" s="17">
        <f>'pengestrom_raw'!$B$5</f>
        <v/>
      </c>
      <c r="C96" s="17">
        <f>'pengestrom_raw'!$C$5</f>
        <v/>
      </c>
      <c r="D96" s="17">
        <f>'pengestrom_raw'!$D$5</f>
        <v/>
      </c>
      <c r="E96" s="17">
        <f>'pengestrom_raw'!$E$5</f>
        <v/>
      </c>
      <c r="F96" s="17">
        <f>'pengestrom_raw'!$F$5</f>
        <v/>
      </c>
    </row>
    <row r="97">
      <c r="A97" s="16" t="inlineStr">
        <is>
          <t>Krydstjek: drift + inv. + fin. = årets pengestrøm</t>
        </is>
      </c>
      <c r="B97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7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7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7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7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dlg — Resultatopgørelse &amp; nøgleoplysninger (valuta pr. år - se kolonneoverskrifter)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54551000</v>
      </c>
      <c r="C2" s="17" t="n">
        <v>74875000</v>
      </c>
      <c r="D2" s="17" t="n">
        <v>62443000</v>
      </c>
      <c r="E2" s="17" t="n">
        <v>56081000</v>
      </c>
      <c r="F2" s="17" t="n">
        <v>57123000</v>
      </c>
    </row>
    <row r="3">
      <c r="A3" s="16" t="inlineStr">
        <is>
          <t>Produktionsomkostninger</t>
        </is>
      </c>
      <c r="B3" s="17" t="n">
        <v>49051000</v>
      </c>
      <c r="C3" s="17" t="n">
        <v>68421000</v>
      </c>
      <c r="D3" s="17" t="n">
        <v>56139000</v>
      </c>
      <c r="E3" s="17" t="n">
        <v>50273000</v>
      </c>
      <c r="F3" s="17" t="n">
        <v>51347000</v>
      </c>
    </row>
    <row r="4">
      <c r="A4" s="15" t="inlineStr">
        <is>
          <t>Bruttoresultat</t>
        </is>
      </c>
      <c r="B4" s="17" t="n">
        <v>5500000</v>
      </c>
      <c r="C4" s="17" t="n">
        <v>6454000</v>
      </c>
      <c r="D4" s="17" t="n">
        <v>6304000</v>
      </c>
      <c r="E4" s="17" t="n">
        <v>5808000</v>
      </c>
      <c r="F4" s="17" t="n">
        <v>5776000</v>
      </c>
    </row>
    <row r="5">
      <c r="A5" s="16" t="inlineStr">
        <is>
          <t>Udviklingsomkostninger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Salgs- og distributionsomkostninger</t>
        </is>
      </c>
      <c r="B6" s="17" t="n">
        <v>3563000</v>
      </c>
      <c r="C6" s="17" t="n">
        <v>3939000</v>
      </c>
      <c r="D6" s="17" t="n">
        <v>3754000</v>
      </c>
      <c r="E6" s="17" t="n">
        <v>3861000</v>
      </c>
      <c r="F6" s="17" t="n">
        <v>3895000</v>
      </c>
    </row>
    <row r="7">
      <c r="A7" s="16" t="inlineStr">
        <is>
          <t>Administrationsomkostninger</t>
        </is>
      </c>
      <c r="B7" s="17" t="n">
        <v>1019000</v>
      </c>
      <c r="C7" s="17" t="n">
        <v>1234000</v>
      </c>
      <c r="D7" s="17" t="n">
        <v>1349000</v>
      </c>
      <c r="E7" s="17" t="n">
        <v>1353000</v>
      </c>
      <c r="F7" s="17" t="n">
        <v>1457000</v>
      </c>
    </row>
    <row r="8">
      <c r="A8" s="16" t="inlineStr">
        <is>
          <t>Andre driftsindtægter</t>
        </is>
      </c>
      <c r="B8" s="17" t="n">
        <v>210000</v>
      </c>
      <c r="C8" s="17" t="n">
        <v>270000</v>
      </c>
      <c r="D8" s="17" t="n">
        <v>188000</v>
      </c>
      <c r="E8" s="17" t="n">
        <v>386000</v>
      </c>
      <c r="F8" s="17" t="n">
        <v>302000</v>
      </c>
    </row>
    <row r="9">
      <c r="A9" s="16" t="inlineStr">
        <is>
          <t>Andre driftsomkostninger</t>
        </is>
      </c>
      <c r="B9" s="17" t="n">
        <v>33000</v>
      </c>
      <c r="C9" s="17" t="n">
        <v>55000</v>
      </c>
      <c r="D9" s="17" t="n">
        <v>33000</v>
      </c>
      <c r="E9" s="17" t="n">
        <v>18000</v>
      </c>
      <c r="F9" s="17" t="n">
        <v>22000</v>
      </c>
    </row>
    <row r="10">
      <c r="A10" s="15" t="inlineStr">
        <is>
          <t>Resultat af primær drift</t>
        </is>
      </c>
      <c r="B10" s="17" t="n">
        <v>1194000</v>
      </c>
      <c r="C10" s="17" t="n">
        <v>1612000</v>
      </c>
      <c r="D10" s="17" t="n">
        <v>1602000</v>
      </c>
      <c r="E10" s="17" t="n">
        <v>846000</v>
      </c>
      <c r="F10" s="17" t="n">
        <v>445000</v>
      </c>
    </row>
    <row r="11">
      <c r="A11" s="16" t="inlineStr">
        <is>
          <t>Indtægter af kapitalandele, dattervirksomheder</t>
        </is>
      </c>
      <c r="B11" s="17" t="n"/>
      <c r="C11" s="17" t="n"/>
      <c r="D11" s="17" t="n"/>
      <c r="E11" s="17" t="n">
        <v>181000</v>
      </c>
      <c r="F11" s="17" t="n">
        <v>262000</v>
      </c>
    </row>
    <row r="12">
      <c r="A12" s="16" t="inlineStr">
        <is>
          <t>Finansielle indtægter</t>
        </is>
      </c>
      <c r="B12" s="17" t="n">
        <v>14000</v>
      </c>
      <c r="C12" s="17" t="n">
        <v>21000</v>
      </c>
      <c r="D12" s="17" t="n">
        <v>44000</v>
      </c>
      <c r="E12" s="17" t="n">
        <v>32000</v>
      </c>
      <c r="F12" s="17" t="n">
        <v>22000</v>
      </c>
    </row>
    <row r="13">
      <c r="A13" s="16" t="inlineStr">
        <is>
          <t>Finansielle omkostninger</t>
        </is>
      </c>
      <c r="B13" s="17" t="n">
        <v>306000</v>
      </c>
      <c r="C13" s="17" t="n">
        <v>329000</v>
      </c>
      <c r="D13" s="17" t="n">
        <v>627000</v>
      </c>
      <c r="E13" s="17" t="n">
        <v>931000</v>
      </c>
      <c r="F13" s="17" t="n">
        <v>659000</v>
      </c>
    </row>
    <row r="14">
      <c r="A14" s="15" t="inlineStr">
        <is>
          <t>Finansielle poster, netto</t>
        </is>
      </c>
      <c r="B14" s="17" t="n">
        <v>-292000</v>
      </c>
      <c r="C14" s="17" t="n">
        <v>-308000</v>
      </c>
      <c r="D14" s="17" t="n">
        <v>-583000</v>
      </c>
      <c r="E14" s="17" t="n">
        <v>-899000</v>
      </c>
      <c r="F14" s="17" t="n">
        <v>-637000</v>
      </c>
    </row>
    <row r="15">
      <c r="A15" s="15" t="inlineStr">
        <is>
          <t>Resultat før skat</t>
        </is>
      </c>
      <c r="B15" s="17" t="n">
        <v>902000</v>
      </c>
      <c r="C15" s="17" t="n">
        <v>1304000</v>
      </c>
      <c r="D15" s="17" t="n">
        <v>1019000</v>
      </c>
      <c r="E15" s="17" t="n">
        <v>-53000</v>
      </c>
      <c r="F15" s="17" t="n">
        <v>-192000</v>
      </c>
    </row>
    <row r="16">
      <c r="A16" s="16" t="inlineStr">
        <is>
          <t>Skat af årets resultat</t>
        </is>
      </c>
      <c r="B16" s="17" t="n">
        <v>169000</v>
      </c>
      <c r="C16" s="17" t="n">
        <v>230000</v>
      </c>
      <c r="D16" s="17" t="n">
        <v>259000</v>
      </c>
      <c r="E16" s="17" t="n">
        <v>132000</v>
      </c>
      <c r="F16" s="17" t="n">
        <v>160000</v>
      </c>
    </row>
    <row r="17">
      <c r="A17" s="15" t="inlineStr">
        <is>
          <t>Årets resultat</t>
        </is>
      </c>
      <c r="B17" s="17" t="n">
        <v>733000</v>
      </c>
      <c r="C17" s="17" t="n">
        <v>1074000</v>
      </c>
      <c r="D17" s="17" t="n">
        <v>760000</v>
      </c>
      <c r="E17" s="17" t="n">
        <v>-185000</v>
      </c>
      <c r="F17" s="17" t="n">
        <v>-352000</v>
      </c>
    </row>
    <row r="18">
      <c r="A18" s="16" t="inlineStr">
        <is>
          <t>Gns. antal medarbejdere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Investering i materielle anlægsaktiver</t>
        </is>
      </c>
      <c r="B19" s="17" t="n"/>
      <c r="C19" s="17" t="n"/>
      <c r="D19" s="17" t="n"/>
      <c r="E19" s="17" t="n"/>
      <c r="F19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dlg — Balance (valuta pr. år - se kolonneoverskrifter)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>
        <v>2998000</v>
      </c>
      <c r="F4" s="17" t="n">
        <v>3046000</v>
      </c>
    </row>
    <row r="5">
      <c r="A5" s="15" t="inlineStr">
        <is>
          <t>Immaterielle anlægsaktiver</t>
        </is>
      </c>
      <c r="B5" s="17" t="n">
        <v>3381000</v>
      </c>
      <c r="C5" s="17" t="n">
        <v>3485000</v>
      </c>
      <c r="D5" s="17" t="n">
        <v>3572000</v>
      </c>
      <c r="E5" s="17" t="n">
        <v>652000</v>
      </c>
      <c r="F5" s="17" t="n">
        <v>503000</v>
      </c>
    </row>
    <row r="6">
      <c r="A6" s="15" t="inlineStr">
        <is>
          <t>Materielle anlægsaktiver</t>
        </is>
      </c>
      <c r="B6" s="17" t="n">
        <v>9059000</v>
      </c>
      <c r="C6" s="17" t="n">
        <v>8747000</v>
      </c>
      <c r="D6" s="17" t="n">
        <v>8990000</v>
      </c>
      <c r="E6" s="17" t="n">
        <v>8704000</v>
      </c>
      <c r="F6" s="17" t="n">
        <v>8495000</v>
      </c>
    </row>
    <row r="7">
      <c r="A7" s="16" t="inlineStr">
        <is>
          <t>Kapitalandele, dattervirksomheder</t>
        </is>
      </c>
      <c r="B7" s="17" t="n">
        <v>2238000</v>
      </c>
      <c r="C7" s="17" t="n">
        <v>2484000</v>
      </c>
      <c r="D7" s="17" t="n">
        <v>2687000</v>
      </c>
      <c r="E7" s="17" t="n">
        <v>2628000</v>
      </c>
      <c r="F7" s="17" t="n">
        <v>2913000</v>
      </c>
    </row>
    <row r="8">
      <c r="A8" s="16" t="inlineStr">
        <is>
          <t>Deposita</t>
        </is>
      </c>
      <c r="B8" s="17" t="n">
        <v>239000</v>
      </c>
      <c r="C8" s="17" t="n">
        <v>342000</v>
      </c>
      <c r="D8" s="17" t="n">
        <v>729000</v>
      </c>
      <c r="E8" s="17" t="n">
        <v>650000</v>
      </c>
      <c r="F8" s="17" t="n">
        <v>573000</v>
      </c>
    </row>
    <row r="9">
      <c r="A9" s="15" t="inlineStr">
        <is>
          <t>Finansielle anlægsaktiver</t>
        </is>
      </c>
      <c r="B9" s="17" t="n"/>
      <c r="C9" s="17" t="n"/>
      <c r="D9" s="17" t="n"/>
      <c r="E9" s="17" t="n"/>
      <c r="F9" s="17" t="n"/>
    </row>
    <row r="10">
      <c r="A10" s="15" t="inlineStr">
        <is>
          <t>Anlægsaktiver</t>
        </is>
      </c>
      <c r="B10" s="17" t="n">
        <v>15321000</v>
      </c>
      <c r="C10" s="17" t="n">
        <v>15629000</v>
      </c>
      <c r="D10" s="17" t="n">
        <v>16538000</v>
      </c>
      <c r="E10" s="17" t="n">
        <v>16106000</v>
      </c>
      <c r="F10" s="17" t="n">
        <v>15915000</v>
      </c>
    </row>
    <row r="11">
      <c r="A11" s="15" t="inlineStr">
        <is>
          <t>Varebeholdninger</t>
        </is>
      </c>
      <c r="B11" s="17" t="n">
        <v>5578000</v>
      </c>
      <c r="C11" s="17" t="n">
        <v>5996000</v>
      </c>
      <c r="D11" s="17" t="n">
        <v>5623000</v>
      </c>
      <c r="E11" s="17" t="n">
        <v>5792000</v>
      </c>
      <c r="F11" s="17" t="n">
        <v>5679000</v>
      </c>
    </row>
    <row r="12">
      <c r="A12" s="16" t="inlineStr">
        <is>
          <t>Tilgodehavender fra salg og tjenesteydelser</t>
        </is>
      </c>
      <c r="B12" s="17" t="n">
        <v>2724000</v>
      </c>
      <c r="C12" s="17" t="n">
        <v>3144000</v>
      </c>
      <c r="D12" s="17" t="n">
        <v>2576000</v>
      </c>
      <c r="E12" s="17" t="n">
        <v>2562000</v>
      </c>
      <c r="F12" s="17" t="n">
        <v>2176000</v>
      </c>
    </row>
    <row r="13">
      <c r="A13" s="16" t="inlineStr">
        <is>
          <t>Tilgodehavender hos tilknyttede virksomheder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Andre tilgodehavender</t>
        </is>
      </c>
      <c r="B14" s="17" t="n">
        <v>3677000</v>
      </c>
      <c r="C14" s="17" t="n">
        <v>3436000</v>
      </c>
      <c r="D14" s="17" t="n">
        <v>2506000</v>
      </c>
      <c r="E14" s="17" t="n">
        <v>666000</v>
      </c>
      <c r="F14" s="17" t="n">
        <v>634000</v>
      </c>
    </row>
    <row r="15">
      <c r="A15" s="16" t="inlineStr">
        <is>
          <t>Periodeafgrænsningsposter (aktiver)</t>
        </is>
      </c>
      <c r="B15" s="17" t="n"/>
      <c r="C15" s="17" t="n">
        <v>358000</v>
      </c>
      <c r="D15" s="17" t="n">
        <v>197000</v>
      </c>
      <c r="E15" s="17" t="n">
        <v>193000</v>
      </c>
      <c r="F15" s="17" t="n">
        <v>165000</v>
      </c>
    </row>
    <row r="16">
      <c r="A16" s="16" t="inlineStr">
        <is>
          <t>Udskudt skatteaktiv</t>
        </is>
      </c>
      <c r="B16" s="17" t="n">
        <v>238000</v>
      </c>
      <c r="C16" s="17" t="n">
        <v>419000</v>
      </c>
      <c r="D16" s="17" t="n">
        <v>427000</v>
      </c>
      <c r="E16" s="17" t="n">
        <v>369000</v>
      </c>
      <c r="F16" s="17" t="n">
        <v>354000</v>
      </c>
    </row>
    <row r="17">
      <c r="A17" s="16" t="inlineStr">
        <is>
          <t>Tilgodehavende skat hos tilknyttede virksomheder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Kortfristede skattetilgodehavender</t>
        </is>
      </c>
      <c r="B18" s="17" t="n">
        <v>43000</v>
      </c>
      <c r="C18" s="17" t="n">
        <v>63000</v>
      </c>
      <c r="D18" s="17" t="n">
        <v>113000</v>
      </c>
      <c r="E18" s="17" t="n">
        <v>114000</v>
      </c>
      <c r="F18" s="17" t="n">
        <v>207000</v>
      </c>
    </row>
    <row r="19">
      <c r="A19" s="15" t="inlineStr">
        <is>
          <t>Tilgodehavender</t>
        </is>
      </c>
      <c r="B19" s="17" t="n">
        <v>800000</v>
      </c>
      <c r="C19" s="17" t="n">
        <v>876000</v>
      </c>
      <c r="D19" s="17" t="n">
        <v>732000</v>
      </c>
      <c r="E19" s="17" t="n">
        <v>752000</v>
      </c>
      <c r="F19" s="17" t="n">
        <v>581000</v>
      </c>
    </row>
    <row r="20">
      <c r="A20" s="16" t="inlineStr">
        <is>
          <t>Værdipapirer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Likvide beholdninger</t>
        </is>
      </c>
      <c r="B21" s="17" t="n">
        <v>404000</v>
      </c>
      <c r="C21" s="17" t="n">
        <v>382000</v>
      </c>
      <c r="D21" s="17" t="n">
        <v>280000</v>
      </c>
      <c r="E21" s="17" t="n">
        <v>307000</v>
      </c>
      <c r="F21" s="17" t="n">
        <v>474000</v>
      </c>
    </row>
    <row r="22">
      <c r="A22" s="15" t="inlineStr">
        <is>
          <t>Omsætningsaktiver</t>
        </is>
      </c>
      <c r="B22" s="17" t="n">
        <v>11741000</v>
      </c>
      <c r="C22" s="17" t="n">
        <v>12100000</v>
      </c>
      <c r="D22" s="17" t="n">
        <v>10059000</v>
      </c>
      <c r="E22" s="17" t="n">
        <v>10308000</v>
      </c>
      <c r="F22" s="17" t="n">
        <v>9719000</v>
      </c>
    </row>
    <row r="23">
      <c r="A23" s="15" t="inlineStr">
        <is>
          <t>Aktiver</t>
        </is>
      </c>
      <c r="B23" s="17" t="n">
        <v>27062000</v>
      </c>
      <c r="C23" s="17" t="n">
        <v>27729000</v>
      </c>
      <c r="D23" s="17" t="n">
        <v>26597000</v>
      </c>
      <c r="E23" s="17" t="n">
        <v>26414000</v>
      </c>
      <c r="F23" s="17" t="n">
        <v>25634000</v>
      </c>
    </row>
    <row r="24">
      <c r="A24" s="16" t="inlineStr">
        <is>
          <t>Selskabskapital</t>
        </is>
      </c>
      <c r="B24" s="17" t="n">
        <v>1353000</v>
      </c>
      <c r="C24" s="17" t="n">
        <v>1472000</v>
      </c>
      <c r="D24" s="17" t="n">
        <v>1590000</v>
      </c>
      <c r="E24" s="17" t="n">
        <v>1663000</v>
      </c>
      <c r="F24" s="17" t="n">
        <v>1607000</v>
      </c>
    </row>
    <row r="25">
      <c r="A25" s="16" t="inlineStr">
        <is>
          <t>Reserve for nettoopskrivning (indre værdis metode)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Reserve for udviklingsomkostninger</t>
        </is>
      </c>
      <c r="B26" s="17" t="n"/>
      <c r="C26" s="17" t="n"/>
      <c r="D26" s="17" t="n"/>
      <c r="E26" s="17" t="n"/>
      <c r="F26" s="17" t="n"/>
    </row>
    <row r="27">
      <c r="A27" s="16" t="inlineStr">
        <is>
          <t>Reserve for sikringstransaktioner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Andre reserver</t>
        </is>
      </c>
      <c r="B28" s="17" t="n">
        <v>2311000</v>
      </c>
      <c r="C28" s="17" t="n">
        <v>1039000</v>
      </c>
      <c r="D28" s="17" t="n">
        <v>1155000</v>
      </c>
      <c r="E28" s="17" t="n">
        <v>1300000</v>
      </c>
      <c r="F28" s="17" t="n">
        <v>1123000</v>
      </c>
    </row>
    <row r="29">
      <c r="A29" s="16" t="inlineStr">
        <is>
          <t>Overført resultat</t>
        </is>
      </c>
      <c r="B29" s="17" t="n">
        <v>698000</v>
      </c>
      <c r="C29" s="17" t="n">
        <v>2714000</v>
      </c>
      <c r="D29" s="17" t="n">
        <v>2916000</v>
      </c>
      <c r="E29" s="17" t="n">
        <v>2563000</v>
      </c>
      <c r="F29" s="17" t="n">
        <v>2129000</v>
      </c>
    </row>
    <row r="30">
      <c r="A30" s="15" t="inlineStr">
        <is>
          <t>Egenkapital i alt</t>
        </is>
      </c>
      <c r="B30" s="17" t="n">
        <v>7339000</v>
      </c>
      <c r="C30" s="17" t="n">
        <v>8248000</v>
      </c>
      <c r="D30" s="17" t="n">
        <v>8575000</v>
      </c>
      <c r="E30" s="17" t="n">
        <v>8206000</v>
      </c>
      <c r="F30" s="17" t="n">
        <v>7560000</v>
      </c>
    </row>
    <row r="31">
      <c r="A31" s="16" t="inlineStr">
        <is>
          <t>Hensættelse til udskudt skat</t>
        </is>
      </c>
      <c r="B31" s="17" t="n">
        <v>472000</v>
      </c>
      <c r="C31" s="17" t="n">
        <v>485000</v>
      </c>
      <c r="D31" s="17" t="n">
        <v>503000</v>
      </c>
      <c r="E31" s="17" t="n">
        <v>453000</v>
      </c>
      <c r="F31" s="17" t="n">
        <v>460000</v>
      </c>
    </row>
    <row r="32">
      <c r="A32" s="15" t="inlineStr">
        <is>
          <t>Hensatte forpligtelser</t>
        </is>
      </c>
      <c r="B32" s="17" t="n">
        <v>210000</v>
      </c>
      <c r="C32" s="17" t="n">
        <v>156000</v>
      </c>
      <c r="D32" s="17" t="n">
        <v>141000</v>
      </c>
      <c r="E32" s="17" t="n">
        <v>140000</v>
      </c>
      <c r="F32" s="17" t="n">
        <v>132000</v>
      </c>
    </row>
    <row r="33">
      <c r="A33" s="16" t="inlineStr">
        <is>
          <t>Ansvarlig lånekapital (langfristet)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Langfristede lån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Leasingforpligtelser (langfristet)</t>
        </is>
      </c>
      <c r="B35" s="17" t="n">
        <v>1456000</v>
      </c>
      <c r="C35" s="17" t="n">
        <v>1410000</v>
      </c>
      <c r="D35" s="17" t="n">
        <v>1257000</v>
      </c>
      <c r="E35" s="17" t="n">
        <v>1137000</v>
      </c>
      <c r="F35" s="17" t="n">
        <v>1068000</v>
      </c>
    </row>
    <row r="36">
      <c r="A36" s="16" t="inlineStr">
        <is>
          <t>Anden gæld (langfristet)</t>
        </is>
      </c>
      <c r="B36" s="17" t="n">
        <v>271000</v>
      </c>
      <c r="C36" s="17" t="n">
        <v>233000</v>
      </c>
      <c r="D36" s="17" t="n">
        <v>198000</v>
      </c>
      <c r="E36" s="17" t="n">
        <v>5070000</v>
      </c>
      <c r="F36" s="17" t="n">
        <v>4821000</v>
      </c>
    </row>
    <row r="37">
      <c r="A37" s="15" t="inlineStr">
        <is>
          <t>Langfristede gældsforpligtelser</t>
        </is>
      </c>
      <c r="B37" s="17" t="n">
        <v>4748000</v>
      </c>
      <c r="C37" s="17" t="n">
        <v>4621000</v>
      </c>
      <c r="D37" s="17" t="n">
        <v>7265000</v>
      </c>
      <c r="E37" s="17" t="n">
        <v>6862000</v>
      </c>
      <c r="F37" s="17" t="n">
        <v>6571000</v>
      </c>
    </row>
    <row r="38">
      <c r="A38" s="16" t="inlineStr">
        <is>
          <t>Ansvarlig lånekapital (kortfristet)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Kortfristet del af langfristede gældsforpligtelser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Kreditinstitutter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Leasingforpligtelser (kortfristet)</t>
        </is>
      </c>
      <c r="B41" s="17" t="n">
        <v>195000</v>
      </c>
      <c r="C41" s="17" t="n">
        <v>208000</v>
      </c>
      <c r="D41" s="17" t="n">
        <v>212000</v>
      </c>
      <c r="E41" s="17" t="n">
        <v>191000</v>
      </c>
      <c r="F41" s="17" t="n">
        <v>172000</v>
      </c>
    </row>
    <row r="42">
      <c r="A42" s="16" t="inlineStr">
        <is>
          <t>Leverandører af varer og tjenesteydelser</t>
        </is>
      </c>
      <c r="B42" s="17" t="n">
        <v>3990000</v>
      </c>
      <c r="C42" s="17" t="n">
        <v>4245000</v>
      </c>
      <c r="D42" s="17" t="n">
        <v>2973000</v>
      </c>
      <c r="E42" s="17" t="n">
        <v>2871000</v>
      </c>
      <c r="F42" s="17" t="n">
        <v>3502000</v>
      </c>
    </row>
    <row r="43">
      <c r="A43" s="16" t="inlineStr">
        <is>
          <t>Gæld til tilknyttede virksomheder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Gæld til selskabsdeltagere og ledelse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Selskabsskat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Gæld til tilknyttede virksomheder vedr. selskabsskat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Anden gæld (kortfristet)</t>
        </is>
      </c>
      <c r="B47" s="17" t="n">
        <v>1765000</v>
      </c>
      <c r="C47" s="17" t="n">
        <v>2114000</v>
      </c>
      <c r="D47" s="17" t="n">
        <v>1883000</v>
      </c>
      <c r="E47" s="17" t="n">
        <v>5397000</v>
      </c>
      <c r="F47" s="17" t="n">
        <v>5280000</v>
      </c>
    </row>
    <row r="48">
      <c r="A48" s="16" t="inlineStr">
        <is>
          <t>Periodeafgrænsningsposter (passiver)</t>
        </is>
      </c>
      <c r="B48" s="17" t="n"/>
      <c r="C48" s="17" t="n"/>
      <c r="D48" s="17" t="n"/>
      <c r="E48" s="17" t="n"/>
      <c r="F48" s="17" t="n"/>
    </row>
    <row r="49">
      <c r="A49" s="15" t="inlineStr">
        <is>
          <t>Kortfristede gældsforpligtelser</t>
        </is>
      </c>
      <c r="B49" s="17" t="n">
        <v>14975000</v>
      </c>
      <c r="C49" s="17" t="n">
        <v>14860000</v>
      </c>
      <c r="D49" s="17" t="n">
        <v>10757000</v>
      </c>
      <c r="E49" s="17" t="n">
        <v>11346000</v>
      </c>
      <c r="F49" s="17" t="n">
        <v>11503000</v>
      </c>
    </row>
    <row r="50">
      <c r="A50" s="15" t="inlineStr">
        <is>
          <t>Gældsforpligtelser</t>
        </is>
      </c>
      <c r="B50" s="17" t="n">
        <v>19723000</v>
      </c>
      <c r="C50" s="17" t="n">
        <v>19481000</v>
      </c>
      <c r="D50" s="17" t="n">
        <v>18022000</v>
      </c>
      <c r="E50" s="17" t="n">
        <v>18208000</v>
      </c>
      <c r="F50" s="17" t="n">
        <v>18074000</v>
      </c>
    </row>
    <row r="51">
      <c r="A51" s="15" t="inlineStr">
        <is>
          <t>Passiver</t>
        </is>
      </c>
      <c r="B51" s="17" t="n">
        <v>27062000</v>
      </c>
      <c r="C51" s="17" t="n">
        <v>27729000</v>
      </c>
      <c r="D51" s="17" t="n">
        <v>26597000</v>
      </c>
      <c r="E51" s="17" t="n">
        <v>26414000</v>
      </c>
      <c r="F51" s="17" t="n">
        <v>25634000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dlg — Pengestrømsopgørelse (valuta pr. år - se kolonneoverskrifter)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635000</v>
      </c>
      <c r="C2" s="17" t="n">
        <v>1024000</v>
      </c>
      <c r="D2" s="17" t="n">
        <v>343000</v>
      </c>
      <c r="E2" s="17" t="n">
        <v>575000</v>
      </c>
      <c r="F2" s="17" t="n">
        <v>1592000</v>
      </c>
    </row>
    <row r="3">
      <c r="A3" s="16" t="inlineStr">
        <is>
          <t>Pengestrømme fra investeringsaktivitet</t>
        </is>
      </c>
      <c r="B3" s="17" t="n">
        <v>-1148000</v>
      </c>
      <c r="C3" s="17" t="n">
        <v>-790000</v>
      </c>
      <c r="D3" s="17" t="n">
        <v>-1530000</v>
      </c>
      <c r="E3" s="17" t="n">
        <v>-706000</v>
      </c>
      <c r="F3" s="17" t="n">
        <v>-592000</v>
      </c>
    </row>
    <row r="4">
      <c r="A4" s="16" t="inlineStr">
        <is>
          <t>Pengestrømme fra finansieringsaktivitet</t>
        </is>
      </c>
      <c r="B4" s="17" t="n">
        <v>736000</v>
      </c>
      <c r="C4" s="17" t="n">
        <v>-256000</v>
      </c>
      <c r="D4" s="17" t="n">
        <v>1085000</v>
      </c>
      <c r="E4" s="17" t="n">
        <v>158000</v>
      </c>
      <c r="F4" s="17" t="n">
        <v>-789000</v>
      </c>
    </row>
    <row r="5">
      <c r="A5" s="16" t="inlineStr">
        <is>
          <t>Årets pengestrøm</t>
        </is>
      </c>
      <c r="B5" s="17" t="n">
        <v>208000</v>
      </c>
      <c r="C5" s="17" t="n">
        <v>-22000</v>
      </c>
      <c r="D5" s="17" t="n">
        <v>-102000</v>
      </c>
      <c r="E5" s="17" t="n">
        <v>27000</v>
      </c>
      <c r="F5" s="17" t="n">
        <v>211000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dlg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IF(ABS((SUM(B5:B6))-'res_raw'!$F$4)&lt;=2,SUM(B5:B6),'res_raw'!$F$4)</f>
        <v/>
      </c>
      <c r="C7" s="27">
        <f>IF(ABS((SUM(C5:C6))-'res_raw'!$E$4)&lt;=2,SUM(C5:C6),'res_raw'!$E$4)</f>
        <v/>
      </c>
      <c r="D7" s="27">
        <f>IF(ABS((SUM(D5:D6))-'res_raw'!$D$4)&lt;=2,SUM(D5:D6),'res_raw'!$D$4)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'res_raw'!$F$8</f>
        <v/>
      </c>
      <c r="C11" s="24">
        <f>'res_raw'!$E$8</f>
        <v/>
      </c>
      <c r="D11" s="24">
        <f>'res_raw'!$D$8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-'res_raw'!$F$9</f>
        <v/>
      </c>
      <c r="C12" s="27">
        <f>-'res_raw'!$E$9</f>
        <v/>
      </c>
      <c r="D12" s="27">
        <f>-'res_raw'!$D$9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IF(ABS((SUM(B7:B12))-'res_raw'!$F$10)&lt;=2,SUM(B7:B12),'res_raw'!$F$10)</f>
        <v/>
      </c>
      <c r="C13" s="30">
        <f>IF(ABS((SUM(C7:C12))-'res_raw'!$E$10)&lt;=2,SUM(C7:C12),'res_raw'!$E$10)</f>
        <v/>
      </c>
      <c r="D13" s="30">
        <f>IF(ABS((SUM(D7:D12))-'res_raw'!$D$10)&lt;=2,SUM(D7:D12),'res_raw'!$D$10)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N('res_raw'!$F$11)+N('res_raw'!$F$12)</f>
        <v/>
      </c>
      <c r="C14" s="24">
        <f>N('res_raw'!$E$11)+N('res_raw'!$E$12)</f>
        <v/>
      </c>
      <c r="D14" s="24">
        <f>N('res_raw'!$D$11)+N('res_raw'!$D$12)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-'res_raw'!$F$13</f>
        <v/>
      </c>
      <c r="C15" s="27">
        <f>-'res_raw'!$E$13</f>
        <v/>
      </c>
      <c r="D15" s="27">
        <f>-'res_raw'!$D$13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IF(ABS((SUM(B13:B15))-'res_raw'!$F$15)&lt;=2,SUM(B13:B15),'res_raw'!$F$15)</f>
        <v/>
      </c>
      <c r="C16" s="30">
        <f>IF(ABS((SUM(C13:C15))-'res_raw'!$E$15)&lt;=2,SUM(C13:C15),'res_raw'!$E$15)</f>
        <v/>
      </c>
      <c r="D16" s="30">
        <f>IF(ABS((SUM(D13:D15))-'res_raw'!$D$15)&lt;=2,SUM(D13:D15),'res_raw'!$D$15)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'balance_raw'!$F$10</f>
        <v/>
      </c>
      <c r="C19" s="24">
        <f>'balance_raw'!$E$10</f>
        <v/>
      </c>
      <c r="D19" s="24">
        <f>'balance_raw'!$D$10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'balance_raw'!$F$22</f>
        <v/>
      </c>
      <c r="C20" s="24">
        <f>'balance_raw'!$E$22</f>
        <v/>
      </c>
      <c r="D20" s="24">
        <f>'balance_raw'!$D$22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'balance_raw'!$F$30</f>
        <v/>
      </c>
      <c r="C23" s="24">
        <f>'balance_raw'!$E$30</f>
        <v/>
      </c>
      <c r="D23" s="24">
        <f>'balance_raw'!$D$30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'balance_raw'!$F$51-'balance_raw'!$F$30</f>
        <v/>
      </c>
      <c r="C24" s="24">
        <f>'balance_raw'!$E$51-'balance_raw'!$E$30</f>
        <v/>
      </c>
      <c r="D24" s="24">
        <f>'balance_raw'!$D$51-'balance_raw'!$D$30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'balance_raw'!$F$11</f>
        <v/>
      </c>
      <c r="C28" s="24">
        <f>'balance_raw'!$E$11</f>
        <v/>
      </c>
      <c r="D28" s="24">
        <f>'balance_raw'!$D$11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'balance_raw'!$F$12</f>
        <v/>
      </c>
      <c r="C29" s="24">
        <f>'balance_raw'!$E$12</f>
        <v/>
      </c>
      <c r="D29" s="24">
        <f>'balance_raw'!$D$12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'balance_raw'!$F$49</f>
        <v/>
      </c>
      <c r="C30" s="24">
        <f>'balance_raw'!$E$49</f>
        <v/>
      </c>
      <c r="D30" s="24">
        <f>'balance_raw'!$D$49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IF('balance_raw'!$F$23="","—",IF(ABS(B21-'balance_raw'!$F$23)&lt;=1,"✓ OK","❌ "&amp;TEXT(B21-'balance_raw'!$F$23,"+#,##0;-#,##0")&amp;" valuta pr. år - se kolonneoverskrifter"))</f>
        <v/>
      </c>
      <c r="C62" s="31">
        <f>IF('balance_raw'!$E$23="","—",IF(ABS(C21-'balance_raw'!$E$23)&lt;=1,"✓ OK","❌ "&amp;TEXT(C21-'balance_raw'!$E$23,"+#,##0;-#,##0")&amp;" valuta pr. år - se kolonneoverskrifter"))</f>
        <v/>
      </c>
      <c r="D62" s="31">
        <f>IF('balance_raw'!$D$23="","—",IF(ABS(D21-'balance_raw'!$D$23)&lt;=1,"✓ OK","❌ "&amp;TEXT(D21-'balance_raw'!$D$23,"+#,##0;-#,##0")&amp;" valuta pr. år - se kolonneoverskrifter"))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IF('balance_raw'!$F$51="","—",IF(ABS(B25-'balance_raw'!$F$51)&lt;=1,"✓ OK","❌ "&amp;TEXT(B25-'balance_raw'!$F$51,"+#,##0;-#,##0")&amp;" valuta pr. år - se kolonneoverskrifter"))</f>
        <v/>
      </c>
      <c r="C63" s="31">
        <f>IF('balance_raw'!$E$51="","—",IF(ABS(C25-'balance_raw'!$E$51)&lt;=1,"✓ OK","❌ "&amp;TEXT(C25-'balance_raw'!$E$51,"+#,##0;-#,##0")&amp;" valuta pr. år - se kolonneoverskrifter"))</f>
        <v/>
      </c>
      <c r="D63" s="31">
        <f>IF('balance_raw'!$D$51="","—",IF(ABS(D25-'balance_raw'!$D$51)&lt;=1,"✓ OK","❌ "&amp;TEXT(D25-'balance_raw'!$D$51,"+#,##0;-#,##0")&amp;" valuta pr. år - se kolonneoverskrifter"))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valuta pr. år - se kolonneoverskrifter")</f>
        <v/>
      </c>
      <c r="C64" s="31">
        <f>IF(ABS(C21-C25)&lt;=1,"✓ OK","❌ "&amp;TEXT(C21-C25,"+#,##0;-#,##0")&amp;" valuta pr. år - se kolonneoverskrifter")</f>
        <v/>
      </c>
      <c r="D64" s="31">
        <f>IF(ABS(D21-D25)&lt;=1,"✓ OK","❌ "&amp;TEXT(D21-D25,"+#,##0;-#,##0")&amp;" valuta pr. år - se kolonneoverskrifter")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IF('res_raw'!$F$4="","—",IF(ABS(B7-'res_raw'!$F$4)&lt;=1,"✓ OK","❌ "&amp;TEXT(B7-'res_raw'!$F$4,"+#,##0;-#,##0")&amp;" valuta pr. år - se kolonneoverskrifter"))</f>
        <v/>
      </c>
      <c r="C65" s="31">
        <f>IF('res_raw'!$E$4="","—",IF(ABS(C7-'res_raw'!$E$4)&lt;=1,"✓ OK","❌ "&amp;TEXT(C7-'res_raw'!$E$4,"+#,##0;-#,##0")&amp;" valuta pr. år - se kolonneoverskrifter"))</f>
        <v/>
      </c>
      <c r="D65" s="31">
        <f>IF('res_raw'!$D$4="","—",IF(ABS(D7-'res_raw'!$D$4)&lt;=1,"✓ OK","❌ "&amp;TEXT(D7-'res_raw'!$D$4,"+#,##0;-#,##0")&amp;" valuta pr. år - se kolonneoverskrifter"))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IF('res_raw'!$F$10="","—",IF(ABS(B13-'res_raw'!$F$10)&lt;=1,"✓ OK","❌ "&amp;TEXT(B13-'res_raw'!$F$10,"+#,##0;-#,##0")&amp;" valuta pr. år - se kolonneoverskrifter"))</f>
        <v/>
      </c>
      <c r="C66" s="31">
        <f>IF('res_raw'!$E$10="","—",IF(ABS(C13-'res_raw'!$E$10)&lt;=1,"✓ OK","❌ "&amp;TEXT(C13-'res_raw'!$E$10,"+#,##0;-#,##0")&amp;" valuta pr. år - se kolonneoverskrifter"))</f>
        <v/>
      </c>
      <c r="D66" s="31">
        <f>IF('res_raw'!$D$10="","—",IF(ABS(D13-'res_raw'!$D$10)&lt;=1,"✓ OK","❌ "&amp;TEXT(D13-'res_raw'!$D$10,"+#,##0;-#,##0")&amp;" valuta pr. år - se kolonneoverskrifter"))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IF('res_raw'!$F$15="","—",IF(ABS(B16-'res_raw'!$F$15)&lt;=1,"✓ OK","❌ "&amp;TEXT(B16-'res_raw'!$F$15,"+#,##0;-#,##0")&amp;" valuta pr. år - se kolonneoverskrifter"))</f>
        <v/>
      </c>
      <c r="C67" s="31">
        <f>IF('res_raw'!$E$15="","—",IF(ABS(C16-'res_raw'!$E$15)&lt;=1,"✓ OK","❌ "&amp;TEXT(C16-'res_raw'!$E$15,"+#,##0;-#,##0")&amp;" valuta pr. år - se kolonneoverskrifter"))</f>
        <v/>
      </c>
      <c r="D67" s="31">
        <f>IF('res_raw'!$D$15="","—",IF(ABS(D16-'res_raw'!$D$15)&lt;=1,"✓ OK","❌ "&amp;TEXT(D16-'res_raw'!$D$15,"+#,##0;-#,##0")&amp;" valuta pr. år - se kolonneoverskrifter"))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dlg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ifrs-full:AdjustmentsForIncreaseDecreaseInEmployeeBenefitLiabilities</t>
        </is>
      </c>
      <c r="C3" s="36" t="inlineStr">
        <is>
          <t>ifrs-full:AdjustmentsForIncreaseDecreaseInEmployeeBenefitLiabilities</t>
        </is>
      </c>
      <c r="D3" s="37" t="n">
        <v>2000</v>
      </c>
      <c r="E3" s="37" t="n">
        <v>-1000</v>
      </c>
      <c r="F3" s="37" t="n">
        <v>0</v>
      </c>
      <c r="G3" s="37" t="n"/>
      <c r="H3" s="37" t="n"/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ifrs-full:CashAdvancesAndLoansMadeToRelatedParties</t>
        </is>
      </c>
      <c r="C4" s="39" t="inlineStr">
        <is>
          <t>ifrs-full:CashAdvancesAndLoansMadeToRelatedParties</t>
        </is>
      </c>
      <c r="D4" s="40" t="n">
        <v>73000</v>
      </c>
      <c r="E4" s="40" t="n">
        <v>15000</v>
      </c>
      <c r="F4" s="40" t="n">
        <v>22000</v>
      </c>
      <c r="G4" s="40" t="n">
        <v>-6000</v>
      </c>
      <c r="H4" s="40" t="n">
        <v>-72000</v>
      </c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ifrs-full:CashAndCashEquivalentsInSubsidiaryOrBusinessesAcquiredOrDisposed2013</t>
        </is>
      </c>
      <c r="C5" s="36" t="inlineStr">
        <is>
          <t>ifrs-full:CashAndCashEquivalentsInSubsidiaryOrBusinessesAcquiredOrDisposed2013</t>
        </is>
      </c>
      <c r="D5" s="37" t="n">
        <v>15000</v>
      </c>
      <c r="E5" s="37" t="n">
        <v>0</v>
      </c>
      <c r="F5" s="37" t="n"/>
      <c r="G5" s="37" t="n"/>
      <c r="H5" s="37" t="n"/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ifrs-full:CurrentFinancialLiabilities</t>
        </is>
      </c>
      <c r="C6" s="39" t="inlineStr">
        <is>
          <t>ifrs-full:CurrentFinancialLiabilities</t>
        </is>
      </c>
      <c r="D6" s="40" t="n">
        <v>4918000</v>
      </c>
      <c r="E6" s="40" t="n">
        <v>4264000</v>
      </c>
      <c r="F6" s="40" t="n">
        <v>2622000</v>
      </c>
      <c r="G6" s="40" t="n"/>
      <c r="H6" s="40" t="n"/>
      <c r="I6" s="41" t="inlineStr">
        <is>
          <t>Ingen forklaring tilgængelig.</t>
        </is>
      </c>
    </row>
    <row r="7" ht="30" customHeight="1">
      <c r="A7" s="36" t="inlineStr">
        <is>
          <t>Øvrige (ukendt)</t>
        </is>
      </c>
      <c r="B7" s="36" t="inlineStr">
        <is>
          <t>ifrs-full:DividendsReceivedClassifiedAsOperatingActivities</t>
        </is>
      </c>
      <c r="C7" s="36" t="inlineStr">
        <is>
          <t>ifrs-full:DividendsReceivedClassifiedAsOperatingActivities</t>
        </is>
      </c>
      <c r="D7" s="37" t="n">
        <v>3000</v>
      </c>
      <c r="E7" s="37" t="n">
        <v>0</v>
      </c>
      <c r="F7" s="37" t="n">
        <v>1000</v>
      </c>
      <c r="G7" s="37" t="n">
        <v>2000</v>
      </c>
      <c r="H7" s="37" t="n">
        <v>0</v>
      </c>
      <c r="I7" s="38" t="inlineStr">
        <is>
          <t>Ingen forklaring tilgængelig.</t>
        </is>
      </c>
    </row>
    <row r="8" ht="30" customHeight="1">
      <c r="A8" s="39" t="inlineStr">
        <is>
          <t>Øvrige (ukendt)</t>
        </is>
      </c>
      <c r="B8" s="39" t="inlineStr">
        <is>
          <t>ifrs-full:DividendsReceivedFromInvestmentsAccountedForUsingEquityMethodClassifiedAsInvestingActivities</t>
        </is>
      </c>
      <c r="C8" s="39" t="inlineStr">
        <is>
          <t>ifrs-full:DividendsReceivedFromInvestmentsAccountedForUsingEquityMethodClassifiedAsInvestingActivities</t>
        </is>
      </c>
      <c r="D8" s="40" t="n">
        <v>102000</v>
      </c>
      <c r="E8" s="40" t="n">
        <v>48000</v>
      </c>
      <c r="F8" s="40" t="n">
        <v>75000</v>
      </c>
      <c r="G8" s="40" t="n">
        <v>177000</v>
      </c>
      <c r="H8" s="40" t="n">
        <v>115000</v>
      </c>
      <c r="I8" s="41" t="inlineStr">
        <is>
          <t>Ingen forklaring tilgængelig.</t>
        </is>
      </c>
    </row>
    <row r="9" ht="30" customHeight="1">
      <c r="A9" s="36" t="inlineStr">
        <is>
          <t>Øvrige (ukendt)</t>
        </is>
      </c>
      <c r="B9" s="36" t="inlineStr">
        <is>
          <t>ifrs-full:IncreaseDecreaseThroughAppropriationOfRetainedEarnings</t>
        </is>
      </c>
      <c r="C9" s="36" t="inlineStr">
        <is>
          <t>ifrs-full:IncreaseDecreaseThroughAppropriationOfRetainedEarnings</t>
        </is>
      </c>
      <c r="D9" s="37" t="n">
        <v>127000</v>
      </c>
      <c r="E9" s="37" t="n">
        <v>159000</v>
      </c>
      <c r="F9" s="37" t="n">
        <v>148000</v>
      </c>
      <c r="G9" s="37" t="n"/>
      <c r="H9" s="37" t="n"/>
      <c r="I9" s="38" t="inlineStr">
        <is>
          <t>Ingen forklaring tilgængelig.</t>
        </is>
      </c>
    </row>
    <row r="10" ht="30" customHeight="1">
      <c r="A10" s="39" t="inlineStr">
        <is>
          <t>Øvrige (ukendt)</t>
        </is>
      </c>
      <c r="B10" s="39" t="inlineStr">
        <is>
          <t>ifrs-full:NoncurrentFinancialLiabilities</t>
        </is>
      </c>
      <c r="C10" s="39" t="inlineStr">
        <is>
          <t>ifrs-full:NoncurrentFinancialLiabilities</t>
        </is>
      </c>
      <c r="D10" s="40" t="n">
        <v>2265000</v>
      </c>
      <c r="E10" s="40" t="n">
        <v>2266000</v>
      </c>
      <c r="F10" s="40" t="n">
        <v>5083000</v>
      </c>
      <c r="G10" s="40" t="n"/>
      <c r="H10" s="40" t="n"/>
      <c r="I10" s="41" t="inlineStr">
        <is>
          <t>Ingen forklaring tilgængelig.</t>
        </is>
      </c>
    </row>
    <row r="11" ht="30" customHeight="1">
      <c r="A11" s="36" t="inlineStr">
        <is>
          <t>Øvrige (ukendt)</t>
        </is>
      </c>
      <c r="B11" s="36" t="inlineStr">
        <is>
          <t>ifrs-full:NoncurrentReceivablesDueFromRelatedParties</t>
        </is>
      </c>
      <c r="C11" s="36" t="inlineStr">
        <is>
          <t>ifrs-full:NoncurrentReceivablesDueFromRelatedParties</t>
        </is>
      </c>
      <c r="D11" s="37" t="n">
        <v>123000</v>
      </c>
      <c r="E11" s="37" t="n">
        <v>88000</v>
      </c>
      <c r="F11" s="37" t="n">
        <v>76000</v>
      </c>
      <c r="G11" s="37" t="n">
        <v>60000</v>
      </c>
      <c r="H11" s="37" t="n">
        <v>9000</v>
      </c>
      <c r="I11" s="38" t="inlineStr">
        <is>
          <t>Ingen forklaring tilgængelig.</t>
        </is>
      </c>
    </row>
    <row r="12" ht="30" customHeight="1">
      <c r="A12" s="39" t="inlineStr">
        <is>
          <t>Øvrige (ukendt)</t>
        </is>
      </c>
      <c r="B12" s="39" t="inlineStr">
        <is>
          <t>ifrs-full:OtherDifferencesToCashAndCashEquivalentsInStatementOfCashFlows</t>
        </is>
      </c>
      <c r="C12" s="39" t="inlineStr">
        <is>
          <t>ifrs-full:OtherDifferencesToCashAndCashEquivalentsInStatementOfCashFlows</t>
        </is>
      </c>
      <c r="D12" s="40" t="n"/>
      <c r="E12" s="40" t="n"/>
      <c r="F12" s="40" t="n"/>
      <c r="G12" s="40" t="n">
        <v>0</v>
      </c>
      <c r="H12" s="40" t="n">
        <v>44000</v>
      </c>
      <c r="I12" s="41" t="inlineStr">
        <is>
          <t>Ingen forklaring tilgængelig.</t>
        </is>
      </c>
    </row>
    <row r="13" ht="30" customHeight="1">
      <c r="A13" s="36" t="inlineStr">
        <is>
          <t>Øvrige (ukendt)</t>
        </is>
      </c>
      <c r="B13" s="36" t="inlineStr">
        <is>
          <t>ifrs-full:PaymentsFromChangesInOwnershipInterestsInSubsidiaries</t>
        </is>
      </c>
      <c r="C13" s="36" t="inlineStr">
        <is>
          <t>ifrs-full:PaymentsFromChangesInOwnershipInterestsInSubsidiaries</t>
        </is>
      </c>
      <c r="D13" s="37" t="n">
        <v>-11000</v>
      </c>
      <c r="E13" s="37" t="n"/>
      <c r="F13" s="37" t="n"/>
      <c r="G13" s="37" t="n"/>
      <c r="H13" s="37" t="n"/>
      <c r="I13" s="38" t="inlineStr">
        <is>
          <t>Ingen forklaring tilgængelig.</t>
        </is>
      </c>
    </row>
    <row r="14" ht="30" customHeight="1">
      <c r="A14" s="39" t="inlineStr">
        <is>
          <t>Øvrige (ukendt)</t>
        </is>
      </c>
      <c r="B14" s="39" t="inlineStr">
        <is>
          <t>ifrs-full:RevenueFromSaleOfAgriculturalProduce</t>
        </is>
      </c>
      <c r="C14" s="39" t="inlineStr">
        <is>
          <t>ifrs-full:RevenueFromSaleOfAgriculturalProduce</t>
        </is>
      </c>
      <c r="D14" s="40" t="n"/>
      <c r="E14" s="40" t="n"/>
      <c r="F14" s="40" t="n"/>
      <c r="G14" s="40" t="n">
        <v>60678000</v>
      </c>
      <c r="H14" s="40" t="n">
        <v>61841000</v>
      </c>
      <c r="I14" s="41" t="inlineStr">
        <is>
          <t>Ingen forklaring tilgængelig.</t>
        </is>
      </c>
    </row>
    <row r="15" ht="30" customHeight="1">
      <c r="A15" s="36" t="inlineStr">
        <is>
          <t>Øvrige (ukendt)</t>
        </is>
      </c>
      <c r="B15" s="36" t="inlineStr">
        <is>
          <t>ifrs-full:TradeAndOtherCurrentReceivablesDueFromRelatedParties</t>
        </is>
      </c>
      <c r="C15" s="36" t="inlineStr">
        <is>
          <t>ifrs-full:TradeAndOtherCurrentReceivablesDueFromRelatedParties</t>
        </is>
      </c>
      <c r="D15" s="37" t="n">
        <v>206000</v>
      </c>
      <c r="E15" s="37" t="n">
        <v>221000</v>
      </c>
      <c r="F15" s="37" t="n">
        <v>243000</v>
      </c>
      <c r="G15" s="37" t="n">
        <v>253000</v>
      </c>
      <c r="H15" s="37" t="n">
        <v>204000</v>
      </c>
      <c r="I15" s="38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2026-10-02T21:55:51Z</dcterms:created>
  <dcterms:modified xmlns:dcterms="http://purl.org/dc/terms/" xmlns:xsi="http://www.w3.org/2001/XMLSchema-instance" xsi:type="dcterms:W3CDTF">2026-10-02T21:55:52Z</dcterms:modified>
</cp:coreProperties>
</file>