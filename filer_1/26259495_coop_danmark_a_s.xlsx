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259495" sheetId="1" state="visible" r:id="rId1"/>
    <sheet xmlns:r="http://schemas.openxmlformats.org/officeDocument/2006/relationships" name="res_raw_26259495" sheetId="2" state="visible" r:id="rId2"/>
    <sheet xmlns:r="http://schemas.openxmlformats.org/officeDocument/2006/relationships" name="balance_raw_26259495" sheetId="3" state="visible" r:id="rId3"/>
    <sheet xmlns:r="http://schemas.openxmlformats.org/officeDocument/2006/relationships" name="pengestrom_raw_26259495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Coop Danmark A/S (CVR 26259495)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'res_raw_26259495'!$B$2</f>
        <v/>
      </c>
      <c r="C4" s="5">
        <f>'res_raw_26259495'!$C$2</f>
        <v/>
      </c>
      <c r="D4" s="5">
        <f>'res_raw_26259495'!$D$2</f>
        <v/>
      </c>
      <c r="E4" s="5">
        <f>'res_raw_26259495'!$E$2</f>
        <v/>
      </c>
      <c r="F4" s="5">
        <f>'res_raw_26259495'!$F$2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'res_raw_26259495'!$B$3</f>
        <v/>
      </c>
      <c r="C5" s="8">
        <f>'res_raw_26259495'!$C$3</f>
        <v/>
      </c>
      <c r="D5" s="8">
        <f>'res_raw_26259495'!$D$3</f>
        <v/>
      </c>
      <c r="E5" s="8">
        <f>'res_raw_26259495'!$E$3</f>
        <v/>
      </c>
      <c r="F5" s="8">
        <f>'res_raw_26259495'!$F$3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'res_raw_26259495'!$B$4</f>
        <v/>
      </c>
      <c r="C6" s="5">
        <f>'res_raw_26259495'!$C$4</f>
        <v/>
      </c>
      <c r="D6" s="5">
        <f>'res_raw_26259495'!$D$4</f>
        <v/>
      </c>
      <c r="E6" s="5">
        <f>'res_raw_26259495'!$E$4</f>
        <v/>
      </c>
      <c r="F6" s="5">
        <f>'res_raw_26259495'!$F$4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'res_raw_26259495'!$B$5</f>
        <v/>
      </c>
      <c r="C7" s="8">
        <f>'res_raw_26259495'!$C$5</f>
        <v/>
      </c>
      <c r="D7" s="8">
        <f>'res_raw_26259495'!$D$5</f>
        <v/>
      </c>
      <c r="E7" s="8">
        <f>'res_raw_26259495'!$E$5</f>
        <v/>
      </c>
      <c r="F7" s="8">
        <f>'res_raw_26259495'!$F$5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'res_raw_26259495'!$B$6</f>
        <v/>
      </c>
      <c r="C8" s="11">
        <f>'res_raw_26259495'!$C$6</f>
        <v/>
      </c>
      <c r="D8" s="11">
        <f>'res_raw_26259495'!$D$6</f>
        <v/>
      </c>
      <c r="E8" s="11">
        <f>'res_raw_26259495'!$E$6</f>
        <v/>
      </c>
      <c r="F8" s="11">
        <f>'res_raw_26259495'!$F$6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'res_raw_26259495'!$B$7</f>
        <v/>
      </c>
      <c r="C9" s="8">
        <f>'res_raw_26259495'!$C$7</f>
        <v/>
      </c>
      <c r="D9" s="8">
        <f>'res_raw_26259495'!$D$7</f>
        <v/>
      </c>
      <c r="E9" s="8">
        <f>'res_raw_26259495'!$E$7</f>
        <v/>
      </c>
      <c r="F9" s="8">
        <f>'res_raw_26259495'!$F$7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'res_raw_26259495'!$B$9</f>
        <v/>
      </c>
      <c r="C11" s="8">
        <f>'res_raw_26259495'!$C$9</f>
        <v/>
      </c>
      <c r="D11" s="8">
        <f>'res_raw_26259495'!$D$9</f>
        <v/>
      </c>
      <c r="E11" s="8">
        <f>'res_raw_26259495'!$E$9</f>
        <v/>
      </c>
      <c r="F11" s="8">
        <f>'res_raw_26259495'!$F$9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'res_raw_26259495'!$B$10</f>
        <v/>
      </c>
      <c r="C12" s="5">
        <f>'res_raw_26259495'!$C$10</f>
        <v/>
      </c>
      <c r="D12" s="5">
        <f>'res_raw_26259495'!$D$10</f>
        <v/>
      </c>
      <c r="E12" s="5">
        <f>'res_raw_26259495'!$E$10</f>
        <v/>
      </c>
      <c r="F12" s="5">
        <f>'res_raw_26259495'!$F$10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'res_raw_26259495'!$B$11</f>
        <v/>
      </c>
      <c r="C13" s="11">
        <f>'res_raw_26259495'!$C$11</f>
        <v/>
      </c>
      <c r="D13" s="11">
        <f>'res_raw_26259495'!$D$11</f>
        <v/>
      </c>
      <c r="E13" s="11">
        <f>'res_raw_26259495'!$E$11</f>
        <v/>
      </c>
      <c r="F13" s="11">
        <f>'res_raw_26259495'!$F$11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'res_raw_26259495'!$B$12</f>
        <v/>
      </c>
      <c r="C14" s="5">
        <f>'res_raw_26259495'!$C$12</f>
        <v/>
      </c>
      <c r="D14" s="5">
        <f>'res_raw_26259495'!$D$12</f>
        <v/>
      </c>
      <c r="E14" s="5">
        <f>'res_raw_26259495'!$E$12</f>
        <v/>
      </c>
      <c r="F14" s="5">
        <f>'res_raw_26259495'!$F$12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'res_raw_26259495'!$B$13</f>
        <v/>
      </c>
      <c r="C15" s="8">
        <f>'res_raw_26259495'!$C$13</f>
        <v/>
      </c>
      <c r="D15" s="8">
        <f>'res_raw_26259495'!$D$13</f>
        <v/>
      </c>
      <c r="E15" s="8">
        <f>'res_raw_26259495'!$E$13</f>
        <v/>
      </c>
      <c r="F15" s="8">
        <f>'res_raw_26259495'!$F$13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'res_raw_26259495'!$B$14</f>
        <v/>
      </c>
      <c r="C16" s="5">
        <f>'res_raw_26259495'!$C$14</f>
        <v/>
      </c>
      <c r="D16" s="5">
        <f>'res_raw_26259495'!$D$14</f>
        <v/>
      </c>
      <c r="E16" s="5">
        <f>'res_raw_26259495'!$E$14</f>
        <v/>
      </c>
      <c r="F16" s="5">
        <f>'res_raw_26259495'!$F$14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'res_raw_26259495'!$B$15</f>
        <v/>
      </c>
      <c r="C17" s="11">
        <f>'res_raw_26259495'!$C$15</f>
        <v/>
      </c>
      <c r="D17" s="11">
        <f>'res_raw_26259495'!$D$15</f>
        <v/>
      </c>
      <c r="E17" s="11">
        <f>'res_raw_26259495'!$E$15</f>
        <v/>
      </c>
      <c r="F17" s="11">
        <f>'res_raw_26259495'!$F$15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'res_raw_26259495'!$B$16</f>
        <v/>
      </c>
      <c r="C18" s="11">
        <f>'res_raw_26259495'!$C$16</f>
        <v/>
      </c>
      <c r="D18" s="11">
        <f>'res_raw_26259495'!$D$16</f>
        <v/>
      </c>
      <c r="E18" s="11">
        <f>'res_raw_26259495'!$E$16</f>
        <v/>
      </c>
      <c r="F18" s="11">
        <f>'res_raw_26259495'!$F$16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'res_raw_26259495'!$B$17</f>
        <v/>
      </c>
      <c r="C19" s="8">
        <f>'res_raw_26259495'!$C$17</f>
        <v/>
      </c>
      <c r="D19" s="8">
        <f>'res_raw_26259495'!$D$17</f>
        <v/>
      </c>
      <c r="E19" s="8">
        <f>'res_raw_26259495'!$E$17</f>
        <v/>
      </c>
      <c r="F19" s="8">
        <f>'res_raw_26259495'!$F$17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'res_raw_26259495'!$B$18</f>
        <v/>
      </c>
      <c r="C20" s="11">
        <f>'res_raw_26259495'!$C$18</f>
        <v/>
      </c>
      <c r="D20" s="11">
        <f>'res_raw_26259495'!$D$18</f>
        <v/>
      </c>
      <c r="E20" s="11">
        <f>'res_raw_26259495'!$E$18</f>
        <v/>
      </c>
      <c r="F20" s="11">
        <f>'res_raw_26259495'!$F$18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'balance_raw_26259495'!$B$2</f>
        <v/>
      </c>
      <c r="C23" s="8">
        <f>'balance_raw_26259495'!$C$2</f>
        <v/>
      </c>
      <c r="D23" s="8">
        <f>'balance_raw_26259495'!$D$2</f>
        <v/>
      </c>
      <c r="E23" s="8">
        <f>'balance_raw_26259495'!$E$2</f>
        <v/>
      </c>
      <c r="F23" s="8">
        <f>'balance_raw_26259495'!$F$2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'balance_raw_26259495'!$B$3</f>
        <v/>
      </c>
      <c r="C24" s="5">
        <f>'balance_raw_26259495'!$C$3</f>
        <v/>
      </c>
      <c r="D24" s="5">
        <f>'balance_raw_26259495'!$D$3</f>
        <v/>
      </c>
      <c r="E24" s="5">
        <f>'balance_raw_26259495'!$E$3</f>
        <v/>
      </c>
      <c r="F24" s="5">
        <f>'balance_raw_26259495'!$F$3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'balance_raw_26259495'!$B$4</f>
        <v/>
      </c>
      <c r="C25" s="8">
        <f>'balance_raw_26259495'!$C$4</f>
        <v/>
      </c>
      <c r="D25" s="8">
        <f>'balance_raw_26259495'!$D$4</f>
        <v/>
      </c>
      <c r="E25" s="8">
        <f>'balance_raw_26259495'!$E$4</f>
        <v/>
      </c>
      <c r="F25" s="8">
        <f>'balance_raw_26259495'!$F$4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'balance_raw_26259495'!$B$5</f>
        <v/>
      </c>
      <c r="C26" s="11">
        <f>'balance_raw_26259495'!$C$5</f>
        <v/>
      </c>
      <c r="D26" s="11">
        <f>'balance_raw_26259495'!$D$5</f>
        <v/>
      </c>
      <c r="E26" s="11">
        <f>'balance_raw_26259495'!$E$5</f>
        <v/>
      </c>
      <c r="F26" s="11">
        <f>'balance_raw_26259495'!$F$5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'balance_raw_26259495'!$B$6</f>
        <v/>
      </c>
      <c r="C27" s="8">
        <f>'balance_raw_26259495'!$C$6</f>
        <v/>
      </c>
      <c r="D27" s="8">
        <f>'balance_raw_26259495'!$D$6</f>
        <v/>
      </c>
      <c r="E27" s="8">
        <f>'balance_raw_26259495'!$E$6</f>
        <v/>
      </c>
      <c r="F27" s="8">
        <f>'balance_raw_26259495'!$F$6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'balance_raw_26259495'!$B$7</f>
        <v/>
      </c>
      <c r="C28" s="5">
        <f>'balance_raw_26259495'!$C$7</f>
        <v/>
      </c>
      <c r="D28" s="5">
        <f>'balance_raw_26259495'!$D$7</f>
        <v/>
      </c>
      <c r="E28" s="5">
        <f>'balance_raw_26259495'!$E$7</f>
        <v/>
      </c>
      <c r="F28" s="5">
        <f>'balance_raw_26259495'!$F$7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'balance_raw_26259495'!$B$8</f>
        <v/>
      </c>
      <c r="C29" s="8">
        <f>'balance_raw_26259495'!$C$8</f>
        <v/>
      </c>
      <c r="D29" s="8">
        <f>'balance_raw_26259495'!$D$8</f>
        <v/>
      </c>
      <c r="E29" s="8">
        <f>'balance_raw_26259495'!$E$8</f>
        <v/>
      </c>
      <c r="F29" s="8">
        <f>'balance_raw_26259495'!$F$8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'balance_raw_26259495'!$B$9</f>
        <v/>
      </c>
      <c r="C30" s="5">
        <f>'balance_raw_26259495'!$C$9</f>
        <v/>
      </c>
      <c r="D30" s="5">
        <f>'balance_raw_26259495'!$D$9</f>
        <v/>
      </c>
      <c r="E30" s="5">
        <f>'balance_raw_26259495'!$E$9</f>
        <v/>
      </c>
      <c r="F30" s="5">
        <f>'balance_raw_26259495'!$F$9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'balance_raw_26259495'!$B$10</f>
        <v/>
      </c>
      <c r="C31" s="8">
        <f>'balance_raw_26259495'!$C$10</f>
        <v/>
      </c>
      <c r="D31" s="8">
        <f>'balance_raw_26259495'!$D$10</f>
        <v/>
      </c>
      <c r="E31" s="8">
        <f>'balance_raw_26259495'!$E$10</f>
        <v/>
      </c>
      <c r="F31" s="8">
        <f>'balance_raw_26259495'!$F$10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'balance_raw_26259495'!$B$11</f>
        <v/>
      </c>
      <c r="C32" s="11">
        <f>'balance_raw_26259495'!$C$11</f>
        <v/>
      </c>
      <c r="D32" s="11">
        <f>'balance_raw_26259495'!$D$11</f>
        <v/>
      </c>
      <c r="E32" s="11">
        <f>'balance_raw_26259495'!$E$11</f>
        <v/>
      </c>
      <c r="F32" s="11">
        <f>'balance_raw_26259495'!$F$11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'balance_raw_26259495'!$B$12</f>
        <v/>
      </c>
      <c r="C33" s="8">
        <f>'balance_raw_26259495'!$C$12</f>
        <v/>
      </c>
      <c r="D33" s="8">
        <f>'balance_raw_26259495'!$D$12</f>
        <v/>
      </c>
      <c r="E33" s="8">
        <f>'balance_raw_26259495'!$E$12</f>
        <v/>
      </c>
      <c r="F33" s="8">
        <f>'balance_raw_26259495'!$F$12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'balance_raw_26259495'!$B$13</f>
        <v/>
      </c>
      <c r="C34" s="5">
        <f>'balance_raw_26259495'!$C$13</f>
        <v/>
      </c>
      <c r="D34" s="5">
        <f>'balance_raw_26259495'!$D$13</f>
        <v/>
      </c>
      <c r="E34" s="5">
        <f>'balance_raw_26259495'!$E$13</f>
        <v/>
      </c>
      <c r="F34" s="5">
        <f>'balance_raw_26259495'!$F$13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'balance_raw_26259495'!$B$14</f>
        <v/>
      </c>
      <c r="C35" s="11">
        <f>'balance_raw_26259495'!$C$14</f>
        <v/>
      </c>
      <c r="D35" s="11">
        <f>'balance_raw_26259495'!$D$14</f>
        <v/>
      </c>
      <c r="E35" s="11">
        <f>'balance_raw_26259495'!$E$14</f>
        <v/>
      </c>
      <c r="F35" s="11">
        <f>'balance_raw_26259495'!$F$14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'balance_raw_26259495'!$B$15</f>
        <v/>
      </c>
      <c r="C36" s="11">
        <f>'balance_raw_26259495'!$C$15</f>
        <v/>
      </c>
      <c r="D36" s="11">
        <f>'balance_raw_26259495'!$D$15</f>
        <v/>
      </c>
      <c r="E36" s="11">
        <f>'balance_raw_26259495'!$E$15</f>
        <v/>
      </c>
      <c r="F36" s="11">
        <f>'balance_raw_26259495'!$F$15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'balance_raw_26259495'!$B$16</f>
        <v/>
      </c>
      <c r="C37" s="8">
        <f>'balance_raw_26259495'!$C$16</f>
        <v/>
      </c>
      <c r="D37" s="8">
        <f>'balance_raw_26259495'!$D$16</f>
        <v/>
      </c>
      <c r="E37" s="8">
        <f>'balance_raw_26259495'!$E$16</f>
        <v/>
      </c>
      <c r="F37" s="8">
        <f>'balance_raw_26259495'!$F$16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'balance_raw_26259495'!$B$17</f>
        <v/>
      </c>
      <c r="C38" s="5">
        <f>'balance_raw_26259495'!$C$17</f>
        <v/>
      </c>
      <c r="D38" s="5">
        <f>'balance_raw_26259495'!$D$17</f>
        <v/>
      </c>
      <c r="E38" s="5">
        <f>'balance_raw_26259495'!$E$17</f>
        <v/>
      </c>
      <c r="F38" s="5">
        <f>'balance_raw_26259495'!$F$17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'balance_raw_26259495'!$B$18</f>
        <v/>
      </c>
      <c r="C39" s="8">
        <f>'balance_raw_26259495'!$C$18</f>
        <v/>
      </c>
      <c r="D39" s="8">
        <f>'balance_raw_26259495'!$D$18</f>
        <v/>
      </c>
      <c r="E39" s="8">
        <f>'balance_raw_26259495'!$E$18</f>
        <v/>
      </c>
      <c r="F39" s="8">
        <f>'balance_raw_26259495'!$F$18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'balance_raw_26259495'!$B$19</f>
        <v/>
      </c>
      <c r="C40" s="11">
        <f>'balance_raw_26259495'!$C$19</f>
        <v/>
      </c>
      <c r="D40" s="11">
        <f>'balance_raw_26259495'!$D$19</f>
        <v/>
      </c>
      <c r="E40" s="11">
        <f>'balance_raw_26259495'!$E$19</f>
        <v/>
      </c>
      <c r="F40" s="11">
        <f>'balance_raw_26259495'!$F$19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'balance_raw_26259495'!$B$20</f>
        <v/>
      </c>
      <c r="C41" s="8">
        <f>'balance_raw_26259495'!$C$20</f>
        <v/>
      </c>
      <c r="D41" s="8">
        <f>'balance_raw_26259495'!$D$20</f>
        <v/>
      </c>
      <c r="E41" s="8">
        <f>'balance_raw_26259495'!$E$20</f>
        <v/>
      </c>
      <c r="F41" s="8">
        <f>'balance_raw_26259495'!$F$20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'balance_raw_26259495'!$B$21</f>
        <v/>
      </c>
      <c r="C42" s="5">
        <f>'balance_raw_26259495'!$C$21</f>
        <v/>
      </c>
      <c r="D42" s="5">
        <f>'balance_raw_26259495'!$D$21</f>
        <v/>
      </c>
      <c r="E42" s="5">
        <f>'balance_raw_26259495'!$E$21</f>
        <v/>
      </c>
      <c r="F42" s="5">
        <f>'balance_raw_26259495'!$F$21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'balance_raw_26259495'!$B$22</f>
        <v/>
      </c>
      <c r="C43" s="8">
        <f>'balance_raw_26259495'!$C$22</f>
        <v/>
      </c>
      <c r="D43" s="8">
        <f>'balance_raw_26259495'!$D$22</f>
        <v/>
      </c>
      <c r="E43" s="8">
        <f>'balance_raw_26259495'!$E$22</f>
        <v/>
      </c>
      <c r="F43" s="8">
        <f>'balance_raw_26259495'!$F$22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'balance_raw_26259495'!$B$23</f>
        <v/>
      </c>
      <c r="C44" s="5">
        <f>'balance_raw_26259495'!$C$23</f>
        <v/>
      </c>
      <c r="D44" s="5">
        <f>'balance_raw_26259495'!$D$23</f>
        <v/>
      </c>
      <c r="E44" s="5">
        <f>'balance_raw_26259495'!$E$23</f>
        <v/>
      </c>
      <c r="F44" s="5">
        <f>'balance_raw_26259495'!$F$23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'balance_raw_26259495'!$B$24</f>
        <v/>
      </c>
      <c r="C45" s="8">
        <f>'balance_raw_26259495'!$C$24</f>
        <v/>
      </c>
      <c r="D45" s="8">
        <f>'balance_raw_26259495'!$D$24</f>
        <v/>
      </c>
      <c r="E45" s="8">
        <f>'balance_raw_26259495'!$E$24</f>
        <v/>
      </c>
      <c r="F45" s="8">
        <f>'balance_raw_26259495'!$F$24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'balance_raw_26259495'!$B$25</f>
        <v/>
      </c>
      <c r="C46" s="5">
        <f>'balance_raw_26259495'!$C$25</f>
        <v/>
      </c>
      <c r="D46" s="5">
        <f>'balance_raw_26259495'!$D$25</f>
        <v/>
      </c>
      <c r="E46" s="5">
        <f>'balance_raw_26259495'!$E$25</f>
        <v/>
      </c>
      <c r="F46" s="5">
        <f>'balance_raw_26259495'!$F$25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'balance_raw_26259495'!$B$26</f>
        <v/>
      </c>
      <c r="C47" s="8">
        <f>'balance_raw_26259495'!$C$26</f>
        <v/>
      </c>
      <c r="D47" s="8">
        <f>'balance_raw_26259495'!$D$26</f>
        <v/>
      </c>
      <c r="E47" s="8">
        <f>'balance_raw_26259495'!$E$26</f>
        <v/>
      </c>
      <c r="F47" s="8">
        <f>'balance_raw_26259495'!$F$26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'balance_raw_26259495'!$B$27</f>
        <v/>
      </c>
      <c r="C48" s="11">
        <f>'balance_raw_26259495'!$C$27</f>
        <v/>
      </c>
      <c r="D48" s="11">
        <f>'balance_raw_26259495'!$D$27</f>
        <v/>
      </c>
      <c r="E48" s="11">
        <f>'balance_raw_26259495'!$E$27</f>
        <v/>
      </c>
      <c r="F48" s="11">
        <f>'balance_raw_26259495'!$F$27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'balance_raw_26259495'!$B$28</f>
        <v/>
      </c>
      <c r="C49" s="8">
        <f>'balance_raw_26259495'!$C$28</f>
        <v/>
      </c>
      <c r="D49" s="8">
        <f>'balance_raw_26259495'!$D$28</f>
        <v/>
      </c>
      <c r="E49" s="8">
        <f>'balance_raw_26259495'!$E$28</f>
        <v/>
      </c>
      <c r="F49" s="8">
        <f>'balance_raw_26259495'!$F$28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'balance_raw_26259495'!$B$29</f>
        <v/>
      </c>
      <c r="C50" s="5">
        <f>'balance_raw_26259495'!$C$29</f>
        <v/>
      </c>
      <c r="D50" s="5">
        <f>'balance_raw_26259495'!$D$29</f>
        <v/>
      </c>
      <c r="E50" s="5">
        <f>'balance_raw_26259495'!$E$29</f>
        <v/>
      </c>
      <c r="F50" s="5">
        <f>'balance_raw_26259495'!$F$29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'balance_raw_26259495'!$B$30</f>
        <v/>
      </c>
      <c r="C51" s="11">
        <f>'balance_raw_26259495'!$C$30</f>
        <v/>
      </c>
      <c r="D51" s="11">
        <f>'balance_raw_26259495'!$D$30</f>
        <v/>
      </c>
      <c r="E51" s="11">
        <f>'balance_raw_26259495'!$E$30</f>
        <v/>
      </c>
      <c r="F51" s="11">
        <f>'balance_raw_26259495'!$F$30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'balance_raw_26259495'!$B$31</f>
        <v/>
      </c>
      <c r="C52" s="11">
        <f>'balance_raw_26259495'!$C$31</f>
        <v/>
      </c>
      <c r="D52" s="11">
        <f>'balance_raw_26259495'!$D$31</f>
        <v/>
      </c>
      <c r="E52" s="11">
        <f>'balance_raw_26259495'!$E$31</f>
        <v/>
      </c>
      <c r="F52" s="11">
        <f>'balance_raw_26259495'!$F$31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'balance_raw_26259495'!$B$32</f>
        <v/>
      </c>
      <c r="C55" s="8">
        <f>'balance_raw_26259495'!$C$32</f>
        <v/>
      </c>
      <c r="D55" s="8">
        <f>'balance_raw_26259495'!$D$32</f>
        <v/>
      </c>
      <c r="E55" s="8">
        <f>'balance_raw_26259495'!$E$32</f>
        <v/>
      </c>
      <c r="F55" s="8">
        <f>'balance_raw_26259495'!$F$32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'balance_raw_26259495'!$B$33</f>
        <v/>
      </c>
      <c r="C56" s="5">
        <f>'balance_raw_26259495'!$C$33</f>
        <v/>
      </c>
      <c r="D56" s="5">
        <f>'balance_raw_26259495'!$D$33</f>
        <v/>
      </c>
      <c r="E56" s="5">
        <f>'balance_raw_26259495'!$E$33</f>
        <v/>
      </c>
      <c r="F56" s="5">
        <f>'balance_raw_26259495'!$F$33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'balance_raw_26259495'!$B$34</f>
        <v/>
      </c>
      <c r="C57" s="8">
        <f>'balance_raw_26259495'!$C$34</f>
        <v/>
      </c>
      <c r="D57" s="8">
        <f>'balance_raw_26259495'!$D$34</f>
        <v/>
      </c>
      <c r="E57" s="8">
        <f>'balance_raw_26259495'!$E$34</f>
        <v/>
      </c>
      <c r="F57" s="8">
        <f>'balance_raw_26259495'!$F$34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'balance_raw_26259495'!$B$35</f>
        <v/>
      </c>
      <c r="C58" s="5">
        <f>'balance_raw_26259495'!$C$35</f>
        <v/>
      </c>
      <c r="D58" s="5">
        <f>'balance_raw_26259495'!$D$35</f>
        <v/>
      </c>
      <c r="E58" s="5">
        <f>'balance_raw_26259495'!$E$35</f>
        <v/>
      </c>
      <c r="F58" s="5">
        <f>'balance_raw_26259495'!$F$35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'balance_raw_26259495'!$B$36</f>
        <v/>
      </c>
      <c r="C59" s="8">
        <f>'balance_raw_26259495'!$C$36</f>
        <v/>
      </c>
      <c r="D59" s="8">
        <f>'balance_raw_26259495'!$D$36</f>
        <v/>
      </c>
      <c r="E59" s="8">
        <f>'balance_raw_26259495'!$E$36</f>
        <v/>
      </c>
      <c r="F59" s="8">
        <f>'balance_raw_26259495'!$F$36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'balance_raw_26259495'!$B$37</f>
        <v/>
      </c>
      <c r="C60" s="5">
        <f>'balance_raw_26259495'!$C$37</f>
        <v/>
      </c>
      <c r="D60" s="5">
        <f>'balance_raw_26259495'!$D$37</f>
        <v/>
      </c>
      <c r="E60" s="5">
        <f>'balance_raw_26259495'!$E$37</f>
        <v/>
      </c>
      <c r="F60" s="5">
        <f>'balance_raw_26259495'!$F$37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'balance_raw_26259495'!$B$38</f>
        <v/>
      </c>
      <c r="C61" s="11">
        <f>'balance_raw_26259495'!$C$38</f>
        <v/>
      </c>
      <c r="D61" s="11">
        <f>'balance_raw_26259495'!$D$38</f>
        <v/>
      </c>
      <c r="E61" s="11">
        <f>'balance_raw_26259495'!$E$38</f>
        <v/>
      </c>
      <c r="F61" s="11">
        <f>'balance_raw_26259495'!$F$38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'balance_raw_26259495'!$B$39</f>
        <v/>
      </c>
      <c r="C62" s="5">
        <f>'balance_raw_26259495'!$C$39</f>
        <v/>
      </c>
      <c r="D62" s="5">
        <f>'balance_raw_26259495'!$D$39</f>
        <v/>
      </c>
      <c r="E62" s="5">
        <f>'balance_raw_26259495'!$E$39</f>
        <v/>
      </c>
      <c r="F62" s="5">
        <f>'balance_raw_26259495'!$F$39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'balance_raw_26259495'!$B$40</f>
        <v/>
      </c>
      <c r="C63" s="11">
        <f>'balance_raw_26259495'!$C$40</f>
        <v/>
      </c>
      <c r="D63" s="11">
        <f>'balance_raw_26259495'!$D$40</f>
        <v/>
      </c>
      <c r="E63" s="11">
        <f>'balance_raw_26259495'!$E$40</f>
        <v/>
      </c>
      <c r="F63" s="11">
        <f>'balance_raw_26259495'!$F$40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'balance_raw_26259495'!$B$41</f>
        <v/>
      </c>
      <c r="C64" s="5">
        <f>'balance_raw_26259495'!$C$41</f>
        <v/>
      </c>
      <c r="D64" s="5">
        <f>'balance_raw_26259495'!$D$41</f>
        <v/>
      </c>
      <c r="E64" s="5">
        <f>'balance_raw_26259495'!$E$41</f>
        <v/>
      </c>
      <c r="F64" s="5">
        <f>'balance_raw_26259495'!$F$41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'balance_raw_26259495'!$B$42</f>
        <v/>
      </c>
      <c r="C65" s="8">
        <f>'balance_raw_26259495'!$C$42</f>
        <v/>
      </c>
      <c r="D65" s="8">
        <f>'balance_raw_26259495'!$D$42</f>
        <v/>
      </c>
      <c r="E65" s="8">
        <f>'balance_raw_26259495'!$E$42</f>
        <v/>
      </c>
      <c r="F65" s="8">
        <f>'balance_raw_26259495'!$F$42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'balance_raw_26259495'!$B$43</f>
        <v/>
      </c>
      <c r="C66" s="5">
        <f>'balance_raw_26259495'!$C$43</f>
        <v/>
      </c>
      <c r="D66" s="5">
        <f>'balance_raw_26259495'!$D$43</f>
        <v/>
      </c>
      <c r="E66" s="5">
        <f>'balance_raw_26259495'!$E$43</f>
        <v/>
      </c>
      <c r="F66" s="5">
        <f>'balance_raw_26259495'!$F$43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'balance_raw_26259495'!$B$44</f>
        <v/>
      </c>
      <c r="C67" s="8">
        <f>'balance_raw_26259495'!$C$44</f>
        <v/>
      </c>
      <c r="D67" s="8">
        <f>'balance_raw_26259495'!$D$44</f>
        <v/>
      </c>
      <c r="E67" s="8">
        <f>'balance_raw_26259495'!$E$44</f>
        <v/>
      </c>
      <c r="F67" s="8">
        <f>'balance_raw_26259495'!$F$44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'balance_raw_26259495'!$B$45</f>
        <v/>
      </c>
      <c r="C68" s="11">
        <f>'balance_raw_26259495'!$C$45</f>
        <v/>
      </c>
      <c r="D68" s="11">
        <f>'balance_raw_26259495'!$D$45</f>
        <v/>
      </c>
      <c r="E68" s="11">
        <f>'balance_raw_26259495'!$E$45</f>
        <v/>
      </c>
      <c r="F68" s="11">
        <f>'balance_raw_26259495'!$F$45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'balance_raw_26259495'!$B$46</f>
        <v/>
      </c>
      <c r="C69" s="8">
        <f>'balance_raw_26259495'!$C$46</f>
        <v/>
      </c>
      <c r="D69" s="8">
        <f>'balance_raw_26259495'!$D$46</f>
        <v/>
      </c>
      <c r="E69" s="8">
        <f>'balance_raw_26259495'!$E$46</f>
        <v/>
      </c>
      <c r="F69" s="8">
        <f>'balance_raw_26259495'!$F$46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'balance_raw_26259495'!$B$47</f>
        <v/>
      </c>
      <c r="C70" s="5">
        <f>'balance_raw_26259495'!$C$47</f>
        <v/>
      </c>
      <c r="D70" s="5">
        <f>'balance_raw_26259495'!$D$47</f>
        <v/>
      </c>
      <c r="E70" s="5">
        <f>'balance_raw_26259495'!$E$47</f>
        <v/>
      </c>
      <c r="F70" s="5">
        <f>'balance_raw_26259495'!$F$47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'balance_raw_26259495'!$B$48</f>
        <v/>
      </c>
      <c r="C71" s="8">
        <f>'balance_raw_26259495'!$C$48</f>
        <v/>
      </c>
      <c r="D71" s="8">
        <f>'balance_raw_26259495'!$D$48</f>
        <v/>
      </c>
      <c r="E71" s="8">
        <f>'balance_raw_26259495'!$E$48</f>
        <v/>
      </c>
      <c r="F71" s="8">
        <f>'balance_raw_26259495'!$F$48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'balance_raw_26259495'!$B$49</f>
        <v/>
      </c>
      <c r="C72" s="5">
        <f>'balance_raw_26259495'!$C$49</f>
        <v/>
      </c>
      <c r="D72" s="5">
        <f>'balance_raw_26259495'!$D$49</f>
        <v/>
      </c>
      <c r="E72" s="5">
        <f>'balance_raw_26259495'!$E$49</f>
        <v/>
      </c>
      <c r="F72" s="5">
        <f>'balance_raw_26259495'!$F$49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'balance_raw_26259495'!$B$50</f>
        <v/>
      </c>
      <c r="C73" s="8">
        <f>'balance_raw_26259495'!$C$50</f>
        <v/>
      </c>
      <c r="D73" s="8">
        <f>'balance_raw_26259495'!$D$50</f>
        <v/>
      </c>
      <c r="E73" s="8">
        <f>'balance_raw_26259495'!$E$50</f>
        <v/>
      </c>
      <c r="F73" s="8">
        <f>'balance_raw_26259495'!$F$50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'balance_raw_26259495'!$B$51</f>
        <v/>
      </c>
      <c r="C74" s="5">
        <f>'balance_raw_26259495'!$C$51</f>
        <v/>
      </c>
      <c r="D74" s="5">
        <f>'balance_raw_26259495'!$D$51</f>
        <v/>
      </c>
      <c r="E74" s="5">
        <f>'balance_raw_26259495'!$E$51</f>
        <v/>
      </c>
      <c r="F74" s="5">
        <f>'balance_raw_26259495'!$F$51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'balance_raw_26259495'!$B$52</f>
        <v/>
      </c>
      <c r="C75" s="8">
        <f>'balance_raw_26259495'!$C$52</f>
        <v/>
      </c>
      <c r="D75" s="8">
        <f>'balance_raw_26259495'!$D$52</f>
        <v/>
      </c>
      <c r="E75" s="8">
        <f>'balance_raw_26259495'!$E$52</f>
        <v/>
      </c>
      <c r="F75" s="8">
        <f>'balance_raw_26259495'!$F$52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'balance_raw_26259495'!$B$53</f>
        <v/>
      </c>
      <c r="C76" s="5">
        <f>'balance_raw_26259495'!$C$53</f>
        <v/>
      </c>
      <c r="D76" s="5">
        <f>'balance_raw_26259495'!$D$53</f>
        <v/>
      </c>
      <c r="E76" s="5">
        <f>'balance_raw_26259495'!$E$53</f>
        <v/>
      </c>
      <c r="F76" s="5">
        <f>'balance_raw_26259495'!$F$53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'balance_raw_26259495'!$B$54</f>
        <v/>
      </c>
      <c r="C77" s="8">
        <f>'balance_raw_26259495'!$C$54</f>
        <v/>
      </c>
      <c r="D77" s="8">
        <f>'balance_raw_26259495'!$D$54</f>
        <v/>
      </c>
      <c r="E77" s="8">
        <f>'balance_raw_26259495'!$E$54</f>
        <v/>
      </c>
      <c r="F77" s="8">
        <f>'balance_raw_26259495'!$F$54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'balance_raw_26259495'!$B$55</f>
        <v/>
      </c>
      <c r="C78" s="5">
        <f>'balance_raw_26259495'!$C$55</f>
        <v/>
      </c>
      <c r="D78" s="5">
        <f>'balance_raw_26259495'!$D$55</f>
        <v/>
      </c>
      <c r="E78" s="5">
        <f>'balance_raw_26259495'!$E$55</f>
        <v/>
      </c>
      <c r="F78" s="5">
        <f>'balance_raw_26259495'!$F$55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'balance_raw_26259495'!$B$56</f>
        <v/>
      </c>
      <c r="C79" s="8">
        <f>'balance_raw_26259495'!$C$56</f>
        <v/>
      </c>
      <c r="D79" s="8">
        <f>'balance_raw_26259495'!$D$56</f>
        <v/>
      </c>
      <c r="E79" s="8">
        <f>'balance_raw_26259495'!$E$56</f>
        <v/>
      </c>
      <c r="F79" s="8">
        <f>'balance_raw_26259495'!$F$56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'balance_raw_26259495'!$B$57</f>
        <v/>
      </c>
      <c r="C80" s="11">
        <f>'balance_raw_26259495'!$C$57</f>
        <v/>
      </c>
      <c r="D80" s="11">
        <f>'balance_raw_26259495'!$D$57</f>
        <v/>
      </c>
      <c r="E80" s="11">
        <f>'balance_raw_26259495'!$E$57</f>
        <v/>
      </c>
      <c r="F80" s="11">
        <f>'balance_raw_26259495'!$F$57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'balance_raw_26259495'!$B$58</f>
        <v/>
      </c>
      <c r="C81" s="11">
        <f>'balance_raw_26259495'!$C$58</f>
        <v/>
      </c>
      <c r="D81" s="11">
        <f>'balance_raw_26259495'!$D$58</f>
        <v/>
      </c>
      <c r="E81" s="11">
        <f>'balance_raw_26259495'!$E$58</f>
        <v/>
      </c>
      <c r="F81" s="11">
        <f>'balance_raw_26259495'!$F$58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'balance_raw_26259495'!$B$59</f>
        <v/>
      </c>
      <c r="C82" s="11">
        <f>'balance_raw_26259495'!$C$59</f>
        <v/>
      </c>
      <c r="D82" s="11">
        <f>'balance_raw_26259495'!$D$59</f>
        <v/>
      </c>
      <c r="E82" s="11">
        <f>'balance_raw_26259495'!$E$59</f>
        <v/>
      </c>
      <c r="F82" s="11">
        <f>'balance_raw_26259495'!$F$59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'res_raw_26259495'!$B$19</f>
        <v/>
      </c>
      <c r="C85" s="8">
        <f>'res_raw_26259495'!$C$19</f>
        <v/>
      </c>
      <c r="D85" s="8">
        <f>'res_raw_26259495'!$D$19</f>
        <v/>
      </c>
      <c r="E85" s="8">
        <f>'res_raw_26259495'!$E$19</f>
        <v/>
      </c>
      <c r="F85" s="8">
        <f>'res_raw_26259495'!$F$19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'res_raw_26259495'!$B$20</f>
        <v/>
      </c>
      <c r="C86" s="5">
        <f>'res_raw_26259495'!$C$20</f>
        <v/>
      </c>
      <c r="D86" s="5">
        <f>'res_raw_26259495'!$D$20</f>
        <v/>
      </c>
      <c r="E86" s="5">
        <f>'res_raw_26259495'!$E$20</f>
        <v/>
      </c>
      <c r="F86" s="5">
        <f>'res_raw_26259495'!$F$20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'pengestrom_raw_26259495'!$B$2</f>
        <v/>
      </c>
      <c r="C102" s="17">
        <f>'pengestrom_raw_26259495'!$C$2</f>
        <v/>
      </c>
      <c r="D102" s="17">
        <f>'pengestrom_raw_26259495'!$D$2</f>
        <v/>
      </c>
      <c r="E102" s="17">
        <f>'pengestrom_raw_26259495'!$E$2</f>
        <v/>
      </c>
      <c r="F102" s="17">
        <f>'pengestrom_raw_26259495'!$F$2</f>
        <v/>
      </c>
    </row>
    <row r="103">
      <c r="A103" s="16" t="inlineStr">
        <is>
          <t>Pengestrømme fra investeringsaktivitet</t>
        </is>
      </c>
      <c r="B103" s="17">
        <f>'pengestrom_raw_26259495'!$B$3</f>
        <v/>
      </c>
      <c r="C103" s="17">
        <f>'pengestrom_raw_26259495'!$C$3</f>
        <v/>
      </c>
      <c r="D103" s="17">
        <f>'pengestrom_raw_26259495'!$D$3</f>
        <v/>
      </c>
      <c r="E103" s="17">
        <f>'pengestrom_raw_26259495'!$E$3</f>
        <v/>
      </c>
      <c r="F103" s="17">
        <f>'pengestrom_raw_26259495'!$F$3</f>
        <v/>
      </c>
    </row>
    <row r="104">
      <c r="A104" s="16" t="inlineStr">
        <is>
          <t>Pengestrømme fra finansieringsaktivitet</t>
        </is>
      </c>
      <c r="B104" s="17">
        <f>'pengestrom_raw_26259495'!$B$4</f>
        <v/>
      </c>
      <c r="C104" s="17">
        <f>'pengestrom_raw_26259495'!$C$4</f>
        <v/>
      </c>
      <c r="D104" s="17">
        <f>'pengestrom_raw_26259495'!$D$4</f>
        <v/>
      </c>
      <c r="E104" s="17">
        <f>'pengestrom_raw_26259495'!$E$4</f>
        <v/>
      </c>
      <c r="F104" s="17">
        <f>'pengestrom_raw_26259495'!$F$4</f>
        <v/>
      </c>
    </row>
    <row r="105">
      <c r="A105" s="16" t="inlineStr">
        <is>
          <t>Årets pengestrøm (rapporteret)</t>
        </is>
      </c>
      <c r="B105" s="17">
        <f>'pengestrom_raw_26259495'!$B$5</f>
        <v/>
      </c>
      <c r="C105" s="17">
        <f>'pengestrom_raw_26259495'!$C$5</f>
        <v/>
      </c>
      <c r="D105" s="17">
        <f>'pengestrom_raw_26259495'!$D$5</f>
        <v/>
      </c>
      <c r="E105" s="17">
        <f>'pengestrom_raw_26259495'!$E$5</f>
        <v/>
      </c>
      <c r="F105" s="17">
        <f>'pengestrom_raw_26259495'!$F$5</f>
        <v/>
      </c>
    </row>
    <row r="106">
      <c r="A106" s="16" t="inlineStr">
        <is>
          <t>Krydstjek: drift + inv. + fin. = årets pengestrøm</t>
        </is>
      </c>
      <c r="B106">
        <f>IF(ABS(('pengestrom_raw_26259495'!$B$2+'pengestrom_raw_26259495'!$B$3+'pengestrom_raw_26259495'!$B$4)-'pengestrom_raw_26259495'!$B$5)&lt;=2,"✓","⚠ "&amp;TEXT(('pengestrom_raw_26259495'!$B$2+'pengestrom_raw_26259495'!$B$3+'pengestrom_raw_26259495'!$B$4)-'pengestrom_raw_26259495'!$B$5,"+#,##0;-#,##0"))</f>
        <v/>
      </c>
      <c r="C106">
        <f>IF(ABS(('pengestrom_raw_26259495'!$C$2+'pengestrom_raw_26259495'!$C$3+'pengestrom_raw_26259495'!$C$4)-'pengestrom_raw_26259495'!$C$5)&lt;=2,"✓","⚠ "&amp;TEXT(('pengestrom_raw_26259495'!$C$2+'pengestrom_raw_26259495'!$C$3+'pengestrom_raw_26259495'!$C$4)-'pengestrom_raw_26259495'!$C$5,"+#,##0;-#,##0"))</f>
        <v/>
      </c>
      <c r="D106">
        <f>IF(ABS(('pengestrom_raw_26259495'!$D$2+'pengestrom_raw_26259495'!$D$3+'pengestrom_raw_26259495'!$D$4)-'pengestrom_raw_26259495'!$D$5)&lt;=2,"✓","⚠ "&amp;TEXT(('pengestrom_raw_26259495'!$D$2+'pengestrom_raw_26259495'!$D$3+'pengestrom_raw_26259495'!$D$4)-'pengestrom_raw_26259495'!$D$5,"+#,##0;-#,##0"))</f>
        <v/>
      </c>
      <c r="E106">
        <f>IF(ABS(('pengestrom_raw_26259495'!$E$2+'pengestrom_raw_26259495'!$E$3+'pengestrom_raw_26259495'!$E$4)-'pengestrom_raw_26259495'!$E$5)&lt;=2,"✓","⚠ "&amp;TEXT(('pengestrom_raw_26259495'!$E$2+'pengestrom_raw_26259495'!$E$3+'pengestrom_raw_26259495'!$E$4)-'pengestrom_raw_26259495'!$E$5,"+#,##0;-#,##0"))</f>
        <v/>
      </c>
      <c r="F106">
        <f>IF(ABS(('pengestrom_raw_26259495'!$F$2+'pengestrom_raw_26259495'!$F$3+'pengestrom_raw_26259495'!$F$4)-'pengestrom_raw_26259495'!$F$5)&lt;=2,"✓","⚠ "&amp;TEXT(('pengestrom_raw_26259495'!$F$2+'pengestrom_raw_26259495'!$F$3+'pengestrom_raw_26259495'!$F$4)-'pengestrom_raw_26259495'!$F$5,"+#,##0;-#,##0"))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Coop Danmark A/S (CVR 26259495)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39164000</v>
      </c>
      <c r="C2" s="17" t="n">
        <v>39860000</v>
      </c>
      <c r="D2" s="17" t="n">
        <v>34246000</v>
      </c>
      <c r="E2" s="17" t="n">
        <v>33618000</v>
      </c>
      <c r="F2" s="17" t="n">
        <v>32565000</v>
      </c>
    </row>
    <row r="3">
      <c r="A3" s="16" t="inlineStr">
        <is>
          <t>Andre driftsindtægter</t>
        </is>
      </c>
      <c r="B3" s="17" t="n">
        <v>314000</v>
      </c>
      <c r="C3" s="17" t="n">
        <v>707000</v>
      </c>
      <c r="D3" s="17" t="n">
        <v>754000</v>
      </c>
      <c r="E3" s="17" t="n">
        <v>864000</v>
      </c>
      <c r="F3" s="17" t="n">
        <v>376000</v>
      </c>
    </row>
    <row r="4">
      <c r="A4" s="16" t="inlineStr">
        <is>
          <t>Vareforbrug</t>
        </is>
      </c>
      <c r="B4" s="17" t="n">
        <v>29984000</v>
      </c>
      <c r="C4" s="17" t="n">
        <v>31466000</v>
      </c>
      <c r="D4" s="17" t="n">
        <v>26587000</v>
      </c>
      <c r="E4" s="17" t="n">
        <v>25913000</v>
      </c>
      <c r="F4" s="17" t="n">
        <v>24958000</v>
      </c>
    </row>
    <row r="5">
      <c r="A5" s="16" t="inlineStr">
        <is>
          <t>Andre eksterne omkostninger</t>
        </is>
      </c>
      <c r="B5" s="17" t="n">
        <v>4006000</v>
      </c>
      <c r="C5" s="17" t="n">
        <v>4412000</v>
      </c>
      <c r="D5" s="17" t="n">
        <v>3770000</v>
      </c>
      <c r="E5" s="17" t="n">
        <v>3481000</v>
      </c>
      <c r="F5" s="17" t="n">
        <v>3255000</v>
      </c>
    </row>
    <row r="6">
      <c r="A6" s="15" t="inlineStr">
        <is>
          <t>Bruttoresultat</t>
        </is>
      </c>
      <c r="B6" s="17" t="n">
        <v>5488000</v>
      </c>
      <c r="C6" s="17" t="n">
        <v>4689000</v>
      </c>
      <c r="D6" s="17" t="n">
        <v>4643000</v>
      </c>
      <c r="E6" s="17" t="n">
        <v>5088000</v>
      </c>
      <c r="F6" s="17" t="n">
        <v>4728000</v>
      </c>
    </row>
    <row r="7">
      <c r="A7" s="16" t="inlineStr">
        <is>
          <t>Personaleomkostninger</t>
        </is>
      </c>
      <c r="B7" s="17" t="n">
        <v>4570000</v>
      </c>
      <c r="C7" s="17" t="n">
        <v>4655000</v>
      </c>
      <c r="D7" s="17" t="n">
        <v>4563000</v>
      </c>
      <c r="E7" s="17" t="n">
        <v>4493000</v>
      </c>
      <c r="F7" s="17" t="n">
        <v>4371000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686000</v>
      </c>
      <c r="C9" s="17" t="n">
        <v>756000</v>
      </c>
      <c r="D9" s="17" t="n">
        <v>2572000</v>
      </c>
      <c r="E9" s="17" t="n">
        <v>-39000</v>
      </c>
      <c r="F9" s="17" t="n">
        <v>572000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232000</v>
      </c>
      <c r="C11" s="17" t="n">
        <v>-722000</v>
      </c>
      <c r="D11" s="17" t="n">
        <v>-2492000</v>
      </c>
      <c r="E11" s="17" t="n">
        <v>634000</v>
      </c>
      <c r="F11" s="17" t="n">
        <v>-215000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42000</v>
      </c>
      <c r="C13" s="17" t="n">
        <v>51000</v>
      </c>
      <c r="D13" s="17" t="n">
        <v>106000</v>
      </c>
      <c r="E13" s="17" t="n">
        <v>106000</v>
      </c>
      <c r="F13" s="17" t="n">
        <v>87000</v>
      </c>
    </row>
    <row r="14">
      <c r="A14" s="16" t="inlineStr">
        <is>
          <t>Finansielle omkostninger</t>
        </is>
      </c>
      <c r="B14" s="17" t="n">
        <v>101000</v>
      </c>
      <c r="C14" s="17" t="n">
        <v>143000</v>
      </c>
      <c r="D14" s="17" t="n">
        <v>208000</v>
      </c>
      <c r="E14" s="17" t="n">
        <v>238000</v>
      </c>
      <c r="F14" s="17" t="n">
        <v>191000</v>
      </c>
    </row>
    <row r="15">
      <c r="A15" s="15" t="inlineStr">
        <is>
          <t>Finansielle poster, netto</t>
        </is>
      </c>
      <c r="B15" s="17" t="n">
        <v>-59000</v>
      </c>
      <c r="C15" s="17" t="n">
        <v>-92000</v>
      </c>
      <c r="D15" s="17" t="n">
        <v>-102000</v>
      </c>
      <c r="E15" s="17" t="n">
        <v>-132000</v>
      </c>
      <c r="F15" s="17" t="n">
        <v>-104000</v>
      </c>
    </row>
    <row r="16">
      <c r="A16" s="15" t="inlineStr">
        <is>
          <t>Resultat før skat</t>
        </is>
      </c>
      <c r="B16" s="17" t="n">
        <v>350000</v>
      </c>
      <c r="C16" s="17" t="n">
        <v>-632000</v>
      </c>
      <c r="D16" s="17" t="n">
        <v>-2594000</v>
      </c>
      <c r="E16" s="17" t="n">
        <v>501000</v>
      </c>
      <c r="F16" s="17" t="n">
        <v>-320000</v>
      </c>
    </row>
    <row r="17">
      <c r="A17" s="16" t="inlineStr">
        <is>
          <t>Skat af årets resultat</t>
        </is>
      </c>
      <c r="B17" s="17" t="n">
        <v>51000</v>
      </c>
      <c r="C17" s="17" t="n">
        <v>-196000</v>
      </c>
      <c r="D17" s="17" t="n">
        <v>-123000</v>
      </c>
      <c r="E17" s="17" t="n">
        <v>-317000</v>
      </c>
      <c r="F17" s="17" t="n">
        <v>-88000</v>
      </c>
    </row>
    <row r="18">
      <c r="A18" s="15" t="inlineStr">
        <is>
          <t>Årets resultat</t>
        </is>
      </c>
      <c r="B18" s="17" t="n">
        <v>299000</v>
      </c>
      <c r="C18" s="17" t="n">
        <v>-436000</v>
      </c>
      <c r="D18" s="17" t="n">
        <v>-2471000</v>
      </c>
      <c r="E18" s="17" t="n">
        <v>818000</v>
      </c>
      <c r="F18" s="17" t="n">
        <v>-232000</v>
      </c>
    </row>
    <row r="19">
      <c r="A19" s="16" t="inlineStr">
        <is>
          <t>Gns. antal medarbejdere</t>
        </is>
      </c>
      <c r="B19" s="17" t="n">
        <v>10502</v>
      </c>
      <c r="C19" s="17" t="n">
        <v>15782</v>
      </c>
      <c r="D19" s="17" t="n">
        <v>9447</v>
      </c>
      <c r="E19" s="17" t="n">
        <v>8766</v>
      </c>
      <c r="F19" s="17" t="n">
        <v>8351</v>
      </c>
    </row>
    <row r="20">
      <c r="A20" s="16" t="inlineStr">
        <is>
          <t>Investering i materielle anlægsaktiver</t>
        </is>
      </c>
      <c r="B20" s="17" t="n">
        <v>1110000</v>
      </c>
      <c r="C20" s="17" t="n">
        <v>1029000</v>
      </c>
      <c r="D20" s="17" t="n">
        <v>1091000</v>
      </c>
      <c r="E20" s="17" t="n">
        <v>846000</v>
      </c>
      <c r="F20" s="17" t="n">
        <v>575000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Coop Danmark A/S (CVR 26259495)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1377000</v>
      </c>
      <c r="C2" s="17" t="n">
        <v>1615000</v>
      </c>
      <c r="D2" s="17" t="n">
        <v>1006000</v>
      </c>
      <c r="E2" s="17" t="n">
        <v>1410000</v>
      </c>
      <c r="F2" s="17" t="n">
        <v>1206000</v>
      </c>
    </row>
    <row r="3">
      <c r="A3" s="16" t="inlineStr">
        <is>
          <t>Patenter, varemærker mv.</t>
        </is>
      </c>
      <c r="B3" s="17" t="n">
        <v>7000</v>
      </c>
      <c r="C3" s="17" t="n">
        <v>4000</v>
      </c>
      <c r="D3" s="17" t="n">
        <v>0</v>
      </c>
      <c r="E3" s="17" t="n">
        <v>0</v>
      </c>
      <c r="F3" s="17" t="n">
        <v>0</v>
      </c>
    </row>
    <row r="4">
      <c r="A4" s="16" t="inlineStr">
        <is>
          <t>Goodwill</t>
        </is>
      </c>
      <c r="B4" s="17" t="n">
        <v>8000</v>
      </c>
      <c r="C4" s="17" t="n">
        <v>0</v>
      </c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1612000</v>
      </c>
      <c r="C5" s="17" t="n">
        <v>1751000</v>
      </c>
      <c r="D5" s="17" t="n">
        <v>1063000</v>
      </c>
      <c r="E5" s="17" t="n">
        <v>1441000</v>
      </c>
      <c r="F5" s="17" t="n">
        <v>1234000</v>
      </c>
    </row>
    <row r="6">
      <c r="A6" s="16" t="inlineStr">
        <is>
          <t>Grunde og bygninger</t>
        </is>
      </c>
      <c r="B6" s="17" t="n">
        <v>4537000</v>
      </c>
      <c r="C6" s="17" t="n">
        <v>4249000</v>
      </c>
      <c r="D6" s="17" t="n">
        <v>4063000</v>
      </c>
      <c r="E6" s="17" t="n">
        <v>4038000</v>
      </c>
      <c r="F6" s="17" t="n">
        <v>4177000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1071000</v>
      </c>
      <c r="C8" s="17" t="n">
        <v>1258000</v>
      </c>
      <c r="D8" s="17" t="n">
        <v>317000</v>
      </c>
      <c r="E8" s="17" t="n">
        <v>518000</v>
      </c>
      <c r="F8" s="17" t="n">
        <v>563000</v>
      </c>
    </row>
    <row r="9">
      <c r="A9" s="16" t="inlineStr">
        <is>
          <t>Indretning af lejede lokaler</t>
        </is>
      </c>
      <c r="B9" s="17" t="n">
        <v>236000</v>
      </c>
      <c r="C9" s="17" t="n">
        <v>224000</v>
      </c>
      <c r="D9" s="17" t="n">
        <v>172000</v>
      </c>
      <c r="E9" s="17" t="n">
        <v>358000</v>
      </c>
      <c r="F9" s="17" t="n">
        <v>391000</v>
      </c>
    </row>
    <row r="10">
      <c r="A10" s="16" t="inlineStr">
        <is>
          <t>Forudbetaling og anlægsaktiver under opførelse</t>
        </is>
      </c>
      <c r="B10" s="17" t="n">
        <v>62000</v>
      </c>
      <c r="C10" s="17" t="n">
        <v>125000</v>
      </c>
      <c r="D10" s="17" t="n">
        <v>106000</v>
      </c>
      <c r="E10" s="17" t="n">
        <v>110000</v>
      </c>
      <c r="F10" s="17" t="n">
        <v>86000</v>
      </c>
    </row>
    <row r="11">
      <c r="A11" s="15" t="inlineStr">
        <is>
          <t>Materielle anlægsaktiver</t>
        </is>
      </c>
      <c r="B11" s="17" t="n">
        <v>5906000</v>
      </c>
      <c r="C11" s="17" t="n">
        <v>5856000</v>
      </c>
      <c r="D11" s="17" t="n">
        <v>4658000</v>
      </c>
      <c r="E11" s="17" t="n">
        <v>5024000</v>
      </c>
      <c r="F11" s="17" t="n">
        <v>5217000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114000</v>
      </c>
      <c r="C13" s="17" t="n">
        <v>114000</v>
      </c>
      <c r="D13" s="17" t="n">
        <v>120000</v>
      </c>
      <c r="E13" s="17" t="n">
        <v>108000</v>
      </c>
      <c r="F13" s="17" t="n">
        <v>97000</v>
      </c>
    </row>
    <row r="14">
      <c r="A14" s="15" t="inlineStr">
        <is>
          <t>Finansielle anlægsaktiver</t>
        </is>
      </c>
      <c r="B14" s="17" t="n">
        <v>833000</v>
      </c>
      <c r="C14" s="17" t="n">
        <v>1036000</v>
      </c>
      <c r="D14" s="17" t="n">
        <v>261000</v>
      </c>
      <c r="E14" s="17" t="n">
        <v>257000</v>
      </c>
      <c r="F14" s="17" t="n">
        <v>256000</v>
      </c>
    </row>
    <row r="15">
      <c r="A15" s="15" t="inlineStr">
        <is>
          <t>Anlægsaktiver</t>
        </is>
      </c>
      <c r="B15" s="17" t="n">
        <v>8351000</v>
      </c>
      <c r="C15" s="17" t="n">
        <v>8643000</v>
      </c>
      <c r="D15" s="17" t="n">
        <v>5982000</v>
      </c>
      <c r="E15" s="17" t="n">
        <v>6722000</v>
      </c>
      <c r="F15" s="17" t="n">
        <v>6707000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>
        <v>7000</v>
      </c>
      <c r="D17" s="17" t="n">
        <v>5000</v>
      </c>
      <c r="E17" s="17" t="n">
        <v>6000</v>
      </c>
      <c r="F17" s="17" t="n">
        <v>9000</v>
      </c>
    </row>
    <row r="18">
      <c r="A18" s="16" t="inlineStr">
        <is>
          <t>Færdigvarer og handelsvarer</t>
        </is>
      </c>
      <c r="B18" s="17" t="n">
        <v>3115000</v>
      </c>
      <c r="C18" s="17" t="n">
        <v>2850000</v>
      </c>
      <c r="D18" s="17" t="n">
        <v>2553000</v>
      </c>
      <c r="E18" s="17" t="n">
        <v>2340000</v>
      </c>
      <c r="F18" s="17" t="n">
        <v>2228000</v>
      </c>
    </row>
    <row r="19">
      <c r="A19" s="15" t="inlineStr">
        <is>
          <t>Varebeholdninger</t>
        </is>
      </c>
      <c r="B19" s="17" t="n">
        <v>3116000</v>
      </c>
      <c r="C19" s="17" t="n">
        <v>2878000</v>
      </c>
      <c r="D19" s="17" t="n">
        <v>2553000</v>
      </c>
      <c r="E19" s="17" t="n">
        <v>2340000</v>
      </c>
      <c r="F19" s="17" t="n">
        <v>2228000</v>
      </c>
    </row>
    <row r="20">
      <c r="A20" s="16" t="inlineStr">
        <is>
          <t>Tilgodehavender fra salg og tjenesteydelser</t>
        </is>
      </c>
      <c r="B20" s="17" t="n">
        <v>1307000</v>
      </c>
      <c r="C20" s="17" t="n">
        <v>1160000</v>
      </c>
      <c r="D20" s="17" t="n">
        <v>936000</v>
      </c>
      <c r="E20" s="17" t="n">
        <v>948000</v>
      </c>
      <c r="F20" s="17" t="n">
        <v>1186000</v>
      </c>
    </row>
    <row r="21">
      <c r="A21" s="16" t="inlineStr">
        <is>
          <t>Tilgodehavender hos tilknyttede virksomheder</t>
        </is>
      </c>
      <c r="B21" s="17" t="n">
        <v>1000</v>
      </c>
      <c r="C21" s="17" t="n">
        <v>24000</v>
      </c>
      <c r="D21" s="17" t="n">
        <v>5000</v>
      </c>
      <c r="E21" s="17" t="n">
        <v>0</v>
      </c>
      <c r="F21" s="17" t="n">
        <v>0</v>
      </c>
    </row>
    <row r="22">
      <c r="A22" s="16" t="inlineStr">
        <is>
          <t>Andre tilgodehavender</t>
        </is>
      </c>
      <c r="B22" s="17" t="n">
        <v>7000</v>
      </c>
      <c r="C22" s="17" t="n">
        <v>314000</v>
      </c>
      <c r="D22" s="17" t="n">
        <v>143000</v>
      </c>
      <c r="E22" s="17" t="n">
        <v>71000</v>
      </c>
      <c r="F22" s="17" t="n">
        <v>65000</v>
      </c>
    </row>
    <row r="23">
      <c r="A23" s="16" t="inlineStr">
        <is>
          <t>Periodeafgrænsningsposter (aktiver)</t>
        </is>
      </c>
      <c r="B23" s="17" t="n">
        <v>104000</v>
      </c>
      <c r="C23" s="17" t="n">
        <v>125000</v>
      </c>
      <c r="D23" s="17" t="n">
        <v>97000</v>
      </c>
      <c r="E23" s="17" t="n">
        <v>143000</v>
      </c>
      <c r="F23" s="17" t="n">
        <v>88000</v>
      </c>
    </row>
    <row r="24">
      <c r="A24" s="16" t="inlineStr">
        <is>
          <t>Udskudt skatteaktiv</t>
        </is>
      </c>
      <c r="B24" s="17" t="n">
        <v>365000</v>
      </c>
      <c r="C24" s="17" t="n">
        <v>2000</v>
      </c>
      <c r="D24" s="17" t="n">
        <v>2000</v>
      </c>
      <c r="E24" s="17" t="n">
        <v>156000</v>
      </c>
      <c r="F24" s="17" t="n">
        <v>53000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>
        <v>229000</v>
      </c>
    </row>
    <row r="26">
      <c r="A26" s="16" t="inlineStr">
        <is>
          <t>Kortfristede skattetilgodehavender</t>
        </is>
      </c>
      <c r="B26" s="17" t="n"/>
      <c r="C26" s="17" t="n"/>
      <c r="D26" s="17" t="n">
        <v>18000</v>
      </c>
      <c r="E26" s="17" t="n">
        <v>162000</v>
      </c>
      <c r="F26" s="17" t="n"/>
    </row>
    <row r="27">
      <c r="A27" s="15" t="inlineStr">
        <is>
          <t>Tilgodehavender</t>
        </is>
      </c>
      <c r="B27" s="17" t="n">
        <v>1790000</v>
      </c>
      <c r="C27" s="17" t="n">
        <v>1640000</v>
      </c>
      <c r="D27" s="17" t="n">
        <v>1239000</v>
      </c>
      <c r="E27" s="17" t="n">
        <v>1501000</v>
      </c>
      <c r="F27" s="17" t="n">
        <v>1640000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2163000</v>
      </c>
      <c r="C29" s="17" t="n">
        <v>771000</v>
      </c>
      <c r="D29" s="17" t="n">
        <v>1041000</v>
      </c>
      <c r="E29" s="17" t="n">
        <v>1193000</v>
      </c>
      <c r="F29" s="17" t="n">
        <v>1024000</v>
      </c>
    </row>
    <row r="30">
      <c r="A30" s="15" t="inlineStr">
        <is>
          <t>Omsætningsaktiver</t>
        </is>
      </c>
      <c r="B30" s="17" t="n">
        <v>7069000</v>
      </c>
      <c r="C30" s="17" t="n">
        <v>5289000</v>
      </c>
      <c r="D30" s="17" t="n">
        <v>4833000</v>
      </c>
      <c r="E30" s="17" t="n">
        <v>5034000</v>
      </c>
      <c r="F30" s="17" t="n">
        <v>4892000</v>
      </c>
    </row>
    <row r="31">
      <c r="A31" s="15" t="inlineStr">
        <is>
          <t>Aktiver</t>
        </is>
      </c>
      <c r="B31" s="17" t="n">
        <v>15420000</v>
      </c>
      <c r="C31" s="17" t="n">
        <v>13932000</v>
      </c>
      <c r="D31" s="17" t="n">
        <v>10815000</v>
      </c>
      <c r="E31" s="17" t="n">
        <v>11756000</v>
      </c>
      <c r="F31" s="17" t="n">
        <v>11599000</v>
      </c>
    </row>
    <row r="32">
      <c r="A32" s="16" t="inlineStr">
        <is>
          <t>Selskabskapital</t>
        </is>
      </c>
      <c r="B32" s="17" t="n">
        <v>102000</v>
      </c>
      <c r="C32" s="17" t="n">
        <v>102000</v>
      </c>
      <c r="D32" s="17" t="n">
        <v>102000</v>
      </c>
      <c r="E32" s="17" t="n">
        <v>15000</v>
      </c>
      <c r="F32" s="17" t="n">
        <v>15000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>
        <v>11000</v>
      </c>
    </row>
    <row r="36">
      <c r="A36" s="16" t="inlineStr">
        <is>
          <t>Andre reserver</t>
        </is>
      </c>
      <c r="B36" s="17" t="n">
        <v>13000</v>
      </c>
      <c r="C36" s="17" t="n">
        <v>149000</v>
      </c>
      <c r="D36" s="17" t="n">
        <v>34000</v>
      </c>
      <c r="E36" s="17" t="n">
        <v>0</v>
      </c>
      <c r="F36" s="17" t="n"/>
    </row>
    <row r="37">
      <c r="A37" s="16" t="inlineStr">
        <is>
          <t>Overført resultat</t>
        </is>
      </c>
      <c r="B37" s="17" t="n">
        <v>3131000</v>
      </c>
      <c r="C37" s="17" t="n">
        <v>2687000</v>
      </c>
      <c r="D37" s="17" t="n">
        <v>-493000</v>
      </c>
      <c r="E37" s="17" t="n">
        <v>2083000</v>
      </c>
      <c r="F37" s="17" t="n">
        <v>1851000</v>
      </c>
    </row>
    <row r="38">
      <c r="A38" s="15" t="inlineStr">
        <is>
          <t>Egenkapital i alt</t>
        </is>
      </c>
      <c r="B38" s="17" t="n">
        <v>3321000</v>
      </c>
      <c r="C38" s="17" t="n">
        <v>2943000</v>
      </c>
      <c r="D38" s="17" t="n">
        <v>-352000</v>
      </c>
      <c r="E38" s="17" t="n">
        <v>2103000</v>
      </c>
      <c r="F38" s="17" t="n">
        <v>1877000</v>
      </c>
    </row>
    <row r="39">
      <c r="A39" s="16" t="inlineStr">
        <is>
          <t>Hensættelse til udskudt skat</t>
        </is>
      </c>
      <c r="B39" s="17" t="n">
        <v>313000</v>
      </c>
      <c r="C39" s="17" t="n">
        <v>141000</v>
      </c>
      <c r="D39" s="17" t="n">
        <v>5000</v>
      </c>
      <c r="E39" s="17" t="n">
        <v>0</v>
      </c>
      <c r="F39" s="17" t="n">
        <v>0</v>
      </c>
    </row>
    <row r="40">
      <c r="A40" s="15" t="inlineStr">
        <is>
          <t>Hensatte forpligtelser</t>
        </is>
      </c>
      <c r="B40" s="17" t="n">
        <v>390000</v>
      </c>
      <c r="C40" s="17" t="n">
        <v>246000</v>
      </c>
      <c r="D40" s="17" t="n">
        <v>94000</v>
      </c>
      <c r="E40" s="17" t="n">
        <v>301000</v>
      </c>
      <c r="F40" s="17" t="n">
        <v>296000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2202000</v>
      </c>
      <c r="C42" s="17" t="n">
        <v>2284000</v>
      </c>
      <c r="D42" s="17" t="n">
        <v>2060000</v>
      </c>
      <c r="E42" s="17" t="n">
        <v>1841000</v>
      </c>
      <c r="F42" s="17" t="n">
        <v>1756000</v>
      </c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428000</v>
      </c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2635000</v>
      </c>
      <c r="C45" s="17" t="n">
        <v>3025000</v>
      </c>
      <c r="D45" s="17" t="n">
        <v>3261000</v>
      </c>
      <c r="E45" s="17" t="n">
        <v>2341000</v>
      </c>
      <c r="F45" s="17" t="n">
        <v>2258000</v>
      </c>
    </row>
    <row r="46">
      <c r="A46" s="16" t="inlineStr">
        <is>
          <t>Ansvarlig lånekapital (kortfristet)</t>
        </is>
      </c>
      <c r="B46" s="17" t="n">
        <v>237000</v>
      </c>
      <c r="C46" s="17" t="n">
        <v>110000</v>
      </c>
      <c r="D46" s="17" t="n">
        <v>109000</v>
      </c>
      <c r="E46" s="17" t="n">
        <v>62000</v>
      </c>
      <c r="F46" s="17" t="n">
        <v>56000</v>
      </c>
    </row>
    <row r="47">
      <c r="A47" s="16" t="inlineStr">
        <is>
          <t>Kortfristet del af langfristede gældsforpligtelser</t>
        </is>
      </c>
      <c r="B47" s="17" t="n">
        <v>90000</v>
      </c>
      <c r="C47" s="17" t="n">
        <v>53000</v>
      </c>
      <c r="D47" s="17" t="n">
        <v>49000</v>
      </c>
      <c r="E47" s="17" t="n">
        <v>54000</v>
      </c>
      <c r="F47" s="17" t="n">
        <v>58000</v>
      </c>
    </row>
    <row r="48">
      <c r="A48" s="16" t="inlineStr">
        <is>
          <t>Kreditinstitutter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5292000</v>
      </c>
      <c r="C50" s="17" t="n">
        <v>4734000</v>
      </c>
      <c r="D50" s="17" t="n">
        <v>4761000</v>
      </c>
      <c r="E50" s="17" t="n">
        <v>4316000</v>
      </c>
      <c r="F50" s="17" t="n">
        <v>4397000</v>
      </c>
    </row>
    <row r="51">
      <c r="A51" s="16" t="inlineStr">
        <is>
          <t>Gæld til tilknyttede virksomheder</t>
        </is>
      </c>
      <c r="B51" s="17" t="n">
        <v>296000</v>
      </c>
      <c r="C51" s="17" t="n">
        <v>211000</v>
      </c>
      <c r="D51" s="17" t="n">
        <v>402000</v>
      </c>
      <c r="E51" s="17" t="n">
        <v>462000</v>
      </c>
      <c r="F51" s="17" t="n">
        <v>367000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>
        <v>17000</v>
      </c>
    </row>
    <row r="53">
      <c r="A53" s="16" t="inlineStr">
        <is>
          <t>Selskabsskat</t>
        </is>
      </c>
      <c r="B53" s="17" t="n">
        <v>1000</v>
      </c>
      <c r="C53" s="17" t="n">
        <v>9000</v>
      </c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>
        <v>0</v>
      </c>
      <c r="E54" s="17" t="n">
        <v>0</v>
      </c>
      <c r="F54" s="17" t="n">
        <v>0</v>
      </c>
    </row>
    <row r="55">
      <c r="A55" s="16" t="inlineStr">
        <is>
          <t>Anden gæld (kortfristet)</t>
        </is>
      </c>
      <c r="B55" s="17" t="n">
        <v>1308000</v>
      </c>
      <c r="C55" s="17" t="n">
        <v>999000</v>
      </c>
      <c r="D55" s="17" t="n">
        <v>1118000</v>
      </c>
      <c r="E55" s="17" t="n">
        <v>1022000</v>
      </c>
      <c r="F55" s="17" t="n">
        <v>966000</v>
      </c>
    </row>
    <row r="56">
      <c r="A56" s="16" t="inlineStr">
        <is>
          <t>Periodeafgrænsningsposter (passiver)</t>
        </is>
      </c>
      <c r="B56" s="17" t="n">
        <v>3000</v>
      </c>
      <c r="C56" s="17" t="n">
        <v>3000</v>
      </c>
      <c r="D56" s="17" t="n">
        <v>14000</v>
      </c>
      <c r="E56" s="17" t="n">
        <v>18000</v>
      </c>
      <c r="F56" s="17" t="n">
        <v>22000</v>
      </c>
    </row>
    <row r="57">
      <c r="A57" s="15" t="inlineStr">
        <is>
          <t>Kortfristede gældsforpligtelser</t>
        </is>
      </c>
      <c r="B57" s="17" t="n">
        <v>9074000</v>
      </c>
      <c r="C57" s="17" t="n">
        <v>7718000</v>
      </c>
      <c r="D57" s="17" t="n">
        <v>7812000</v>
      </c>
      <c r="E57" s="17" t="n">
        <v>7011000</v>
      </c>
      <c r="F57" s="17" t="n">
        <v>7168000</v>
      </c>
    </row>
    <row r="58">
      <c r="A58" s="15" t="inlineStr">
        <is>
          <t>Gældsforpligtelser</t>
        </is>
      </c>
      <c r="B58" s="17" t="n">
        <v>11709000</v>
      </c>
      <c r="C58" s="17" t="n">
        <v>10743000</v>
      </c>
      <c r="D58" s="17" t="n">
        <v>11073000</v>
      </c>
      <c r="E58" s="17" t="n">
        <v>9352000</v>
      </c>
      <c r="F58" s="17" t="n">
        <v>9426000</v>
      </c>
    </row>
    <row r="59">
      <c r="A59" s="15" t="inlineStr">
        <is>
          <t>Passiver</t>
        </is>
      </c>
      <c r="B59" s="17" t="n">
        <v>15420000</v>
      </c>
      <c r="C59" s="17" t="n">
        <v>13932000</v>
      </c>
      <c r="D59" s="17" t="n">
        <v>10815000</v>
      </c>
      <c r="E59" s="17" t="n">
        <v>11756000</v>
      </c>
      <c r="F59" s="17" t="n">
        <v>11599000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Coop Danmark A/S (CVR 26259495)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785000</v>
      </c>
      <c r="C2" s="17" t="n">
        <v>-689000</v>
      </c>
      <c r="D2" s="17" t="n">
        <v>-111000</v>
      </c>
      <c r="E2" s="17" t="n">
        <v>-491000</v>
      </c>
      <c r="F2" s="17" t="n"/>
    </row>
    <row r="3">
      <c r="A3" s="16" t="inlineStr">
        <is>
          <t>Pengestrømme fra investeringsaktivitet</t>
        </is>
      </c>
      <c r="B3" s="17" t="n">
        <v>-1070000</v>
      </c>
      <c r="C3" s="17" t="n">
        <v>-298000</v>
      </c>
      <c r="D3" s="17" t="n">
        <v>-21000</v>
      </c>
      <c r="E3" s="17" t="n">
        <v>359000</v>
      </c>
      <c r="F3" s="17" t="n">
        <v>-370000</v>
      </c>
    </row>
    <row r="4">
      <c r="A4" s="16" t="inlineStr">
        <is>
          <t>Pengestrømme fra finansieringsaktivitet</t>
        </is>
      </c>
      <c r="B4" s="17" t="n">
        <v>-35000</v>
      </c>
      <c r="C4" s="17" t="n">
        <v>-312000</v>
      </c>
      <c r="D4" s="17" t="n">
        <v>402000</v>
      </c>
      <c r="E4" s="17" t="n">
        <v>284000</v>
      </c>
      <c r="F4" s="17" t="n">
        <v>120000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Coop Danmark A/S (CVR 26259495) — Regnskabs- og nøgletal (CVR: 26259495)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'res_raw_26259495'!$F$2</f>
        <v/>
      </c>
      <c r="C5" s="24">
        <f>'res_raw_26259495'!$E$2</f>
        <v/>
      </c>
      <c r="D5" s="24">
        <f>'res_raw_26259495'!$D$2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'res_raw_26259495'!$F$3</f>
        <v/>
      </c>
      <c r="C6" s="24">
        <f>'res_raw_26259495'!$E$3</f>
        <v/>
      </c>
      <c r="D6" s="24">
        <f>'res_raw_26259495'!$D$3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-'res_raw_26259495'!$F$4</f>
        <v/>
      </c>
      <c r="C7" s="24">
        <f>-'res_raw_26259495'!$E$4</f>
        <v/>
      </c>
      <c r="D7" s="24">
        <f>-'res_raw_26259495'!$D$4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-'res_raw_26259495'!$F$5</f>
        <v/>
      </c>
      <c r="C8" s="24">
        <f>-'res_raw_26259495'!$E$5</f>
        <v/>
      </c>
      <c r="D8" s="24">
        <f>-'res_raw_26259495'!$D$5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IF(ABS((SUM(B5:B8))-'res_raw_26259495'!$F$6)&lt;=2,SUM(B5:B8),'res_raw_26259495'!$F$6)</f>
        <v/>
      </c>
      <c r="C9" s="27">
        <f>IF(ABS((SUM(C5:C8))-'res_raw_26259495'!$E$6)&lt;=2,SUM(C5:C8),'res_raw_26259495'!$E$6)</f>
        <v/>
      </c>
      <c r="D9" s="27">
        <f>IF(ABS((SUM(D5:D8))-'res_raw_26259495'!$D$6)&lt;=2,SUM(D5:D8),'res_raw_26259495'!$D$6)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-'res_raw_26259495'!$F$7</f>
        <v/>
      </c>
      <c r="C10" s="24">
        <f>-'res_raw_26259495'!$E$7</f>
        <v/>
      </c>
      <c r="D10" s="24">
        <f>-'res_raw_26259495'!$D$7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-'res_raw_26259495'!$F$9</f>
        <v/>
      </c>
      <c r="C11" s="24">
        <f>-'res_raw_26259495'!$E$9</f>
        <v/>
      </c>
      <c r="D11" s="24">
        <f>-'res_raw_26259495'!$D$9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-'res_raw_26259495'!$F$10</f>
        <v/>
      </c>
      <c r="C12" s="24">
        <f>-'res_raw_26259495'!$E$10</f>
        <v/>
      </c>
      <c r="D12" s="24">
        <f>-'res_raw_26259495'!$D$10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IF(ABS((SUM(B9:B12))-'res_raw_26259495'!$F$11)&lt;=2,SUM(B9:B12),'res_raw_26259495'!$F$11)</f>
        <v/>
      </c>
      <c r="C13" s="27">
        <f>IF(ABS((SUM(C9:C12))-'res_raw_26259495'!$E$11)&lt;=2,SUM(C9:C12),'res_raw_26259495'!$E$11)</f>
        <v/>
      </c>
      <c r="D13" s="27">
        <f>IF(ABS((SUM(D9:D12))-'res_raw_26259495'!$D$11)&lt;=2,SUM(D9:D12),'res_raw_26259495'!$D$11)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N('res_raw_26259495'!$F$12)+N('res_raw_26259495'!$F$13)</f>
        <v/>
      </c>
      <c r="C14" s="24">
        <f>N('res_raw_26259495'!$E$12)+N('res_raw_26259495'!$E$13)</f>
        <v/>
      </c>
      <c r="D14" s="24">
        <f>N('res_raw_26259495'!$D$12)+N('res_raw_26259495'!$D$13)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-'res_raw_26259495'!$F$14</f>
        <v/>
      </c>
      <c r="C15" s="24">
        <f>-'res_raw_26259495'!$E$14</f>
        <v/>
      </c>
      <c r="D15" s="24">
        <f>-'res_raw_26259495'!$D$14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IF(ABS((SUM(B13:B15))-'res_raw_26259495'!$F$16)&lt;=2,SUM(B13:B15),'res_raw_26259495'!$F$16)</f>
        <v/>
      </c>
      <c r="C16" s="27">
        <f>IF(ABS((SUM(C13:C15))-'res_raw_26259495'!$E$16)&lt;=2,SUM(C13:C15),'res_raw_26259495'!$E$16)</f>
        <v/>
      </c>
      <c r="D16" s="27">
        <f>IF(ABS((SUM(D13:D15))-'res_raw_26259495'!$D$16)&lt;=2,SUM(D13:D15),'res_raw_26259495'!$D$16)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'balance_raw_26259495'!$F$15</f>
        <v/>
      </c>
      <c r="C19" s="24">
        <f>'balance_raw_26259495'!$E$15</f>
        <v/>
      </c>
      <c r="D19" s="24">
        <f>'balance_raw_26259495'!$D$15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'balance_raw_26259495'!$F$30</f>
        <v/>
      </c>
      <c r="C20" s="24">
        <f>'balance_raw_26259495'!$E$30</f>
        <v/>
      </c>
      <c r="D20" s="24">
        <f>'balance_raw_26259495'!$D$30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'balance_raw_26259495'!$F$38</f>
        <v/>
      </c>
      <c r="C23" s="24">
        <f>'balance_raw_26259495'!$E$38</f>
        <v/>
      </c>
      <c r="D23" s="24">
        <f>'balance_raw_26259495'!$D$38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'balance_raw_26259495'!$F$59-'balance_raw_26259495'!$F$38</f>
        <v/>
      </c>
      <c r="C24" s="24">
        <f>'balance_raw_26259495'!$E$59-'balance_raw_26259495'!$E$38</f>
        <v/>
      </c>
      <c r="D24" s="24">
        <f>'balance_raw_26259495'!$D$59-'balance_raw_26259495'!$D$38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'balance_raw_26259495'!$F$19</f>
        <v/>
      </c>
      <c r="C28" s="24">
        <f>'balance_raw_26259495'!$E$19</f>
        <v/>
      </c>
      <c r="D28" s="24">
        <f>'balance_raw_26259495'!$D$19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'balance_raw_26259495'!$F$20</f>
        <v/>
      </c>
      <c r="C29" s="24">
        <f>'balance_raw_26259495'!$E$20</f>
        <v/>
      </c>
      <c r="D29" s="24">
        <f>'balance_raw_26259495'!$D$20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'balance_raw_26259495'!$F$57</f>
        <v/>
      </c>
      <c r="C30" s="24">
        <f>'balance_raw_26259495'!$E$57</f>
        <v/>
      </c>
      <c r="D30" s="24">
        <f>'balance_raw_26259495'!$D$57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IF('balance_raw_26259495'!$F$31="","—",IF(ABS(B21-'balance_raw_26259495'!$F$31)&lt;=1,"✓ OK","❌ "&amp;TEXT(B21-'balance_raw_26259495'!$F$31,"+#,##0;-#,##0")&amp;" t.kr."))</f>
        <v/>
      </c>
      <c r="C61" s="29">
        <f>IF('balance_raw_26259495'!$E$31="","—",IF(ABS(C21-'balance_raw_26259495'!$E$31)&lt;=1,"✓ OK","❌ "&amp;TEXT(C21-'balance_raw_26259495'!$E$31,"+#,##0;-#,##0")&amp;" t.kr."))</f>
        <v/>
      </c>
      <c r="D61" s="29">
        <f>IF('balance_raw_26259495'!$D$31="","—",IF(ABS(D21-'balance_raw_26259495'!$D$31)&lt;=1,"✓ OK","❌ "&amp;TEXT(D21-'balance_raw_26259495'!$D$31,"+#,##0;-#,##0")&amp;"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IF('balance_raw_26259495'!$F$59="","—",IF(ABS(B25-'balance_raw_26259495'!$F$59)&lt;=1,"✓ OK","❌ "&amp;TEXT(B25-'balance_raw_26259495'!$F$59,"+#,##0;-#,##0")&amp;" t.kr."))</f>
        <v/>
      </c>
      <c r="C62" s="29">
        <f>IF('balance_raw_26259495'!$E$59="","—",IF(ABS(C25-'balance_raw_26259495'!$E$59)&lt;=1,"✓ OK","❌ "&amp;TEXT(C25-'balance_raw_26259495'!$E$59,"+#,##0;-#,##0")&amp;" t.kr."))</f>
        <v/>
      </c>
      <c r="D62" s="29">
        <f>IF('balance_raw_26259495'!$D$59="","—",IF(ABS(D25-'balance_raw_26259495'!$D$59)&lt;=1,"✓ OK","❌ "&amp;TEXT(D25-'balance_raw_26259495'!$D$59,"+#,##0;-#,##0")&amp;"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IF('res_raw_26259495'!$F$6="","—",IF(ABS(B9-'res_raw_26259495'!$F$6)&lt;=1,"✓ OK","❌ "&amp;TEXT(B9-'res_raw_26259495'!$F$6,"+#,##0;-#,##0")&amp;" t.kr."))</f>
        <v/>
      </c>
      <c r="C64" s="29">
        <f>IF('res_raw_26259495'!$E$6="","—",IF(ABS(C9-'res_raw_26259495'!$E$6)&lt;=1,"✓ OK","❌ "&amp;TEXT(C9-'res_raw_26259495'!$E$6,"+#,##0;-#,##0")&amp;" t.kr."))</f>
        <v/>
      </c>
      <c r="D64" s="29">
        <f>IF('res_raw_26259495'!$D$6="","—",IF(ABS(D9-'res_raw_26259495'!$D$6)&lt;=1,"✓ OK","❌ "&amp;TEXT(D9-'res_raw_26259495'!$D$6,"+#,##0;-#,##0")&amp;"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IF('res_raw_26259495'!$F$11="","—",IF(ABS(B13-'res_raw_26259495'!$F$11)&lt;=1,"✓ OK","❌ "&amp;TEXT(B13-'res_raw_26259495'!$F$11,"+#,##0;-#,##0")&amp;" t.kr."))</f>
        <v/>
      </c>
      <c r="C65" s="29">
        <f>IF('res_raw_26259495'!$E$11="","—",IF(ABS(C13-'res_raw_26259495'!$E$11)&lt;=1,"✓ OK","❌ "&amp;TEXT(C13-'res_raw_26259495'!$E$11,"+#,##0;-#,##0")&amp;" t.kr."))</f>
        <v/>
      </c>
      <c r="D65" s="29">
        <f>IF('res_raw_26259495'!$D$11="","—",IF(ABS(D13-'res_raw_26259495'!$D$11)&lt;=1,"✓ OK","❌ "&amp;TEXT(D13-'res_raw_26259495'!$D$11,"+#,##0;-#,##0")&amp;"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IF('res_raw_26259495'!$F$16="","—",IF(ABS(B16-'res_raw_26259495'!$F$16)&lt;=1,"✓ OK","❌ "&amp;TEXT(B16-'res_raw_26259495'!$F$16,"+#,##0;-#,##0")&amp;" t.kr."))</f>
        <v/>
      </c>
      <c r="C66" s="29">
        <f>IF('res_raw_26259495'!$E$16="","—",IF(ABS(C16-'res_raw_26259495'!$E$16)&lt;=1,"✓ OK","❌ "&amp;TEXT(C16-'res_raw_26259495'!$E$16,"+#,##0;-#,##0")&amp;" t.kr."))</f>
        <v/>
      </c>
      <c r="D66" s="29">
        <f>IF('res_raw_26259495'!$D$16="","—",IF(ABS(D16-'res_raw_26259495'!$D$16)&lt;=1,"✓ OK","❌ "&amp;TEXT(D16-'res_raw_26259495'!$D$16,"+#,##0;-#,##0")&amp;"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Coop Danmark A/S (CVR 26259495)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fsa:AccumulatedRevaluationsOfInvestments</t>
        </is>
      </c>
      <c r="C3" s="34" t="inlineStr">
        <is>
          <t>fsa:AccumulatedRevaluationsOfInvestments</t>
        </is>
      </c>
      <c r="D3" s="35" t="n"/>
      <c r="E3" s="35" t="n"/>
      <c r="F3" s="35" t="n"/>
      <c r="G3" s="35" t="n">
        <v>-172000</v>
      </c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fsa:AdditionsToInvestments</t>
        </is>
      </c>
      <c r="C4" s="37" t="inlineStr">
        <is>
          <t>fsa:AdditionsToInvestments</t>
        </is>
      </c>
      <c r="D4" s="38" t="n"/>
      <c r="E4" s="38" t="n"/>
      <c r="F4" s="38" t="n"/>
      <c r="G4" s="38" t="n">
        <v>27000</v>
      </c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fsa:AssetsHeldForSaleInventories</t>
        </is>
      </c>
      <c r="C5" s="34" t="inlineStr">
        <is>
          <t>fsa:AssetsHeldForSaleInventories</t>
        </is>
      </c>
      <c r="D5" s="35" t="n">
        <v>1000</v>
      </c>
      <c r="E5" s="35" t="n">
        <v>28000</v>
      </c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fsa:CashCapitalIncrease</t>
        </is>
      </c>
      <c r="C6" s="37" t="inlineStr">
        <is>
          <t>fsa:CashCapitalIncrease</t>
        </is>
      </c>
      <c r="D6" s="38" t="n"/>
      <c r="E6" s="38" t="n"/>
      <c r="F6" s="38" t="n">
        <v>0</v>
      </c>
      <c r="G6" s="38" t="n">
        <v>1100000</v>
      </c>
      <c r="H6" s="38" t="n">
        <v>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fsa:ContributionFromGroup</t>
        </is>
      </c>
      <c r="C7" s="34" t="inlineStr">
        <is>
          <t>fsa:ContributionFromGroup</t>
        </is>
      </c>
      <c r="D7" s="35" t="n"/>
      <c r="E7" s="35" t="n"/>
      <c r="F7" s="35" t="n"/>
      <c r="G7" s="35" t="n">
        <v>220000</v>
      </c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fsa:DebtReliefOrSimilarFinanceExpenses</t>
        </is>
      </c>
      <c r="C8" s="37" t="inlineStr">
        <is>
          <t>fsa:DebtReliefOrSimilarFinanceExpenses</t>
        </is>
      </c>
      <c r="D8" s="38" t="n"/>
      <c r="E8" s="38" t="n"/>
      <c r="F8" s="38" t="n">
        <v>-123000</v>
      </c>
      <c r="G8" s="38" t="n">
        <v>-65000</v>
      </c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fsa:DecreaseOfCapital</t>
        </is>
      </c>
      <c r="C9" s="34" t="inlineStr">
        <is>
          <t>fsa:DecreaseOfCapital</t>
        </is>
      </c>
      <c r="D9" s="35" t="n"/>
      <c r="E9" s="35" t="n"/>
      <c r="F9" s="35" t="n"/>
      <c r="G9" s="35" t="n">
        <v>0</v>
      </c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fsa:DisposalsOfInvestments</t>
        </is>
      </c>
      <c r="C10" s="37" t="inlineStr">
        <is>
          <t>fsa:DisposalsOfInvestments</t>
        </is>
      </c>
      <c r="D10" s="38" t="n"/>
      <c r="E10" s="38" t="n"/>
      <c r="F10" s="38" t="n"/>
      <c r="G10" s="38" t="n">
        <v>30000</v>
      </c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fsa:DividendIncomeRelatedToInvestments</t>
        </is>
      </c>
      <c r="C11" s="34" t="inlineStr">
        <is>
          <t>fsa:DividendIncomeRelatedToInvestments</t>
        </is>
      </c>
      <c r="D11" s="35" t="n"/>
      <c r="E11" s="35" t="n"/>
      <c r="F11" s="35" t="n"/>
      <c r="G11" s="35" t="n">
        <v>0</v>
      </c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fsa:FeesForAuditorsPerformingOtherAssuranceReports</t>
        </is>
      </c>
      <c r="C12" s="37" t="inlineStr">
        <is>
          <t>fsa:FeesForAuditorsPerformingOtherAssuranceReports</t>
        </is>
      </c>
      <c r="D12" s="38" t="n"/>
      <c r="E12" s="38" t="n"/>
      <c r="F12" s="38" t="n">
        <v>-600</v>
      </c>
      <c r="G12" s="38" t="n">
        <v>-1000</v>
      </c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fsa:HolidayAllowanceLiabilitiesLongterm</t>
        </is>
      </c>
      <c r="C13" s="34" t="inlineStr">
        <is>
          <t>fsa:HolidayAllowanceLiabilitiesLongterm</t>
        </is>
      </c>
      <c r="D13" s="35" t="n"/>
      <c r="E13" s="35" t="n"/>
      <c r="F13" s="35" t="n"/>
      <c r="G13" s="35" t="n"/>
      <c r="H13" s="35" t="n">
        <v>436000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fsa:IncomeFromInvestmentsInParticipatingInterests</t>
        </is>
      </c>
      <c r="C14" s="37" t="inlineStr">
        <is>
          <t>fsa:IncomeFromInvestmentsInParticipatingInterests</t>
        </is>
      </c>
      <c r="D14" s="38" t="n"/>
      <c r="E14" s="38" t="n"/>
      <c r="F14" s="38" t="n"/>
      <c r="G14" s="38" t="n"/>
      <c r="H14" s="38" t="n">
        <v>-1000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fsa:InvestmentsGross</t>
        </is>
      </c>
      <c r="C15" s="34" t="inlineStr">
        <is>
          <t>fsa:InvestmentsGross</t>
        </is>
      </c>
      <c r="D15" s="35" t="n"/>
      <c r="E15" s="35" t="n"/>
      <c r="F15" s="35" t="n"/>
      <c r="G15" s="35" t="n">
        <v>429000</v>
      </c>
      <c r="H15" s="35" t="n"/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fsa:LongtermDeferredIncome</t>
        </is>
      </c>
      <c r="C16" s="37" t="inlineStr">
        <is>
          <t>fsa:LongtermDeferredIncome</t>
        </is>
      </c>
      <c r="D16" s="38" t="n">
        <v>5000</v>
      </c>
      <c r="E16" s="38" t="n">
        <v>4000</v>
      </c>
      <c r="F16" s="38" t="n">
        <v>55000</v>
      </c>
      <c r="G16" s="38" t="n">
        <v>57000</v>
      </c>
      <c r="H16" s="38" t="n">
        <v>49000</v>
      </c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fsa:LongtermParticipatingInterests</t>
        </is>
      </c>
      <c r="C17" s="34" t="inlineStr">
        <is>
          <t>fsa:LongtermParticipatingInterests</t>
        </is>
      </c>
      <c r="D17" s="35" t="n"/>
      <c r="E17" s="35" t="n"/>
      <c r="F17" s="35" t="n"/>
      <c r="G17" s="35" t="n"/>
      <c r="H17" s="35" t="n">
        <v>15000</v>
      </c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fsa:OtherAdjustmentsRelatedToInvestments</t>
        </is>
      </c>
      <c r="C18" s="37" t="inlineStr">
        <is>
          <t>fsa:OtherAdjustmentsRelatedToInvestments</t>
        </is>
      </c>
      <c r="D18" s="38" t="n"/>
      <c r="E18" s="38" t="n"/>
      <c r="F18" s="38" t="n"/>
      <c r="G18" s="38" t="n">
        <v>-2000</v>
      </c>
      <c r="H18" s="38" t="n"/>
      <c r="I18" s="39" t="inlineStr">
        <is>
          <t>Ingen forklaring tilgængelig.</t>
        </is>
      </c>
    </row>
    <row r="19" ht="30" customHeight="1">
      <c r="A19" s="34" t="inlineStr">
        <is>
          <t>Øvrige (ukendt)</t>
        </is>
      </c>
      <c r="B19" s="34" t="inlineStr">
        <is>
          <t>fsa:OtherComponentsOfCashFlowsFromUsedInFinancingActivities</t>
        </is>
      </c>
      <c r="C19" s="34" t="inlineStr">
        <is>
          <t>fsa:OtherComponentsOfCashFlowsFromUsedInFinancingActivities</t>
        </is>
      </c>
      <c r="D19" s="35" t="n"/>
      <c r="E19" s="35" t="n"/>
      <c r="F19" s="35" t="n"/>
      <c r="G19" s="35" t="n"/>
      <c r="H19" s="35" t="n">
        <v>213000</v>
      </c>
      <c r="I19" s="36" t="inlineStr">
        <is>
          <t>Ingen forklaring tilgængelig.</t>
        </is>
      </c>
    </row>
    <row r="20" ht="30" customHeight="1">
      <c r="A20" s="37" t="inlineStr">
        <is>
          <t>Øvrige (ukendt)</t>
        </is>
      </c>
      <c r="B20" s="37" t="inlineStr">
        <is>
          <t>fsa:RaisingOfDebtToAssociates</t>
        </is>
      </c>
      <c r="C20" s="37" t="inlineStr">
        <is>
          <t>fsa:RaisingOfDebtToAssociates</t>
        </is>
      </c>
      <c r="D20" s="38" t="n">
        <v>6000</v>
      </c>
      <c r="E20" s="38" t="n"/>
      <c r="F20" s="38" t="n"/>
      <c r="G20" s="38" t="n"/>
      <c r="H20" s="38" t="n"/>
      <c r="I20" s="39" t="inlineStr">
        <is>
          <t>Ingen forklaring tilgængelig.</t>
        </is>
      </c>
    </row>
    <row r="21" ht="30" customHeight="1">
      <c r="A21" s="34" t="inlineStr">
        <is>
          <t>Øvrige (ukendt)</t>
        </is>
      </c>
      <c r="B21" s="34" t="inlineStr">
        <is>
          <t>fsa:RepaymentOfMortgageDebt</t>
        </is>
      </c>
      <c r="C21" s="34" t="inlineStr">
        <is>
          <t>fsa:RepaymentOfMortgageDebt</t>
        </is>
      </c>
      <c r="D21" s="35" t="n"/>
      <c r="E21" s="35" t="n">
        <v>127000</v>
      </c>
      <c r="F21" s="35" t="n"/>
      <c r="G21" s="35" t="n"/>
      <c r="H21" s="35" t="n"/>
      <c r="I21" s="36" t="inlineStr">
        <is>
          <t>Ingen forklaring tilgængelig.</t>
        </is>
      </c>
    </row>
    <row r="22" ht="30" customHeight="1">
      <c r="A22" s="37" t="inlineStr">
        <is>
          <t>Øvrige (ukendt)</t>
        </is>
      </c>
      <c r="B22" s="37" t="inlineStr">
        <is>
          <t>fsa:ReversalsOfImpairmentLossesOfIntangibleAssetsFromPreviousPeriods</t>
        </is>
      </c>
      <c r="C22" s="37" t="inlineStr">
        <is>
          <t>fsa:ReversalsOfImpairmentLossesOfIntangibleAssetsFromPreviousPeriods</t>
        </is>
      </c>
      <c r="D22" s="38" t="n"/>
      <c r="E22" s="38" t="n"/>
      <c r="F22" s="38" t="n"/>
      <c r="G22" s="38" t="n">
        <v>484000</v>
      </c>
      <c r="H22" s="38" t="n"/>
      <c r="I22" s="39" t="inlineStr">
        <is>
          <t>Ingen forklaring tilgængelig.</t>
        </is>
      </c>
    </row>
    <row r="23" ht="30" customHeight="1">
      <c r="A23" s="34" t="inlineStr">
        <is>
          <t>Øvrige (ukendt)</t>
        </is>
      </c>
      <c r="B23" s="34" t="inlineStr">
        <is>
          <t>fsa:ReversalsOfImpairmentLossesOfPropertyPlantAndEquipmentFromPreviousPeriods</t>
        </is>
      </c>
      <c r="C23" s="34" t="inlineStr">
        <is>
          <t>fsa:ReversalsOfImpairmentLossesOfPropertyPlantAndEquipmentFromPreviousPeriods</t>
        </is>
      </c>
      <c r="D23" s="35" t="n"/>
      <c r="E23" s="35" t="n"/>
      <c r="F23" s="35" t="n"/>
      <c r="G23" s="35" t="n">
        <v>149000</v>
      </c>
      <c r="H23" s="35" t="n"/>
      <c r="I23" s="36" t="inlineStr">
        <is>
          <t>Ingen forklaring tilgængelig.</t>
        </is>
      </c>
    </row>
    <row r="24" ht="30" customHeight="1">
      <c r="A24" s="37" t="inlineStr">
        <is>
          <t>Øvrige (ukendt)</t>
        </is>
      </c>
      <c r="B24" s="37" t="inlineStr">
        <is>
          <t>fsa:SaleOfMinorityShares</t>
        </is>
      </c>
      <c r="C24" s="37" t="inlineStr">
        <is>
          <t>fsa:SaleOfMinorityShares</t>
        </is>
      </c>
      <c r="D24" s="38" t="n"/>
      <c r="E24" s="38" t="n"/>
      <c r="F24" s="38" t="n"/>
      <c r="G24" s="38" t="n"/>
      <c r="H24" s="38" t="n">
        <v>-5000</v>
      </c>
      <c r="I24" s="39" t="inlineStr">
        <is>
          <t>Ingen forklaring tilgængelig.</t>
        </is>
      </c>
    </row>
    <row r="25" ht="30" customHeight="1">
      <c r="A25" s="34" t="inlineStr">
        <is>
          <t>Øvrige (ukendt)</t>
        </is>
      </c>
      <c r="B25" s="34" t="inlineStr">
        <is>
          <t>fsa:ShorttermPayablesToAssociates</t>
        </is>
      </c>
      <c r="C25" s="34" t="inlineStr">
        <is>
          <t>fsa:ShorttermPayablesToAssociates</t>
        </is>
      </c>
      <c r="D25" s="35" t="n">
        <v>523000</v>
      </c>
      <c r="E25" s="35" t="n">
        <v>645000</v>
      </c>
      <c r="F25" s="35" t="n">
        <v>370000</v>
      </c>
      <c r="G25" s="35" t="n">
        <v>12000</v>
      </c>
      <c r="H25" s="35" t="n"/>
      <c r="I25" s="36" t="inlineStr">
        <is>
          <t>Ingen forklaring tilgængelig.</t>
        </is>
      </c>
    </row>
    <row r="26" ht="30" customHeight="1">
      <c r="A26" s="37" t="inlineStr">
        <is>
          <t>Øvrige (ukendt)</t>
        </is>
      </c>
      <c r="B26" s="37" t="inlineStr">
        <is>
          <t>fsa:ShorttermPayablesToParticipatingInterest</t>
        </is>
      </c>
      <c r="C26" s="37" t="inlineStr">
        <is>
          <t>fsa:ShorttermPayablesToParticipatingInterest</t>
        </is>
      </c>
      <c r="D26" s="38" t="n"/>
      <c r="E26" s="38" t="n"/>
      <c r="F26" s="38" t="n"/>
      <c r="G26" s="38" t="n"/>
      <c r="H26" s="38" t="n">
        <v>5000</v>
      </c>
      <c r="I26" s="39" t="inlineStr">
        <is>
          <t>Ingen forklaring tilgængelig.</t>
        </is>
      </c>
    </row>
    <row r="27" ht="30" customHeight="1">
      <c r="A27" s="34" t="inlineStr">
        <is>
          <t>Øvrige (ukendt)</t>
        </is>
      </c>
      <c r="B27" s="34" t="inlineStr">
        <is>
          <t>fsa:ShorttermReceivablesFromOwnersAndManagement</t>
        </is>
      </c>
      <c r="C27" s="34" t="inlineStr">
        <is>
          <t>fsa:ShorttermReceivablesFromOwnersAndManagement</t>
        </is>
      </c>
      <c r="D27" s="35" t="n"/>
      <c r="E27" s="35" t="n"/>
      <c r="F27" s="35" t="n">
        <v>0</v>
      </c>
      <c r="G27" s="35" t="n">
        <v>15000</v>
      </c>
      <c r="H27" s="35" t="n">
        <v>1000</v>
      </c>
      <c r="I27" s="36" t="inlineStr">
        <is>
          <t>Ingen forklaring tilgængelig.</t>
        </is>
      </c>
    </row>
    <row r="28" ht="30" customHeight="1">
      <c r="A28" s="37" t="inlineStr">
        <is>
          <t>Øvrige (ukendt)</t>
        </is>
      </c>
      <c r="B28" s="37" t="inlineStr">
        <is>
          <t>fsa:ShorttermReceivablesFromParticipatingInterests</t>
        </is>
      </c>
      <c r="C28" s="37" t="inlineStr">
        <is>
          <t>fsa:ShorttermReceivablesFromParticipatingInterests</t>
        </is>
      </c>
      <c r="D28" s="38" t="n"/>
      <c r="E28" s="38" t="n"/>
      <c r="F28" s="38" t="n"/>
      <c r="G28" s="38" t="n"/>
      <c r="H28" s="38" t="n">
        <v>9000</v>
      </c>
      <c r="I28" s="39" t="inlineStr">
        <is>
          <t>Ingen forklaring tilgængelig.</t>
        </is>
      </c>
    </row>
    <row r="29" ht="30" customHeight="1">
      <c r="A29" s="34" t="inlineStr">
        <is>
          <t>Øvrige (ukendt)</t>
        </is>
      </c>
      <c r="B29" s="34" t="inlineStr">
        <is>
          <t>fsa:TransferredToFromMinorityInterests</t>
        </is>
      </c>
      <c r="C29" s="34" t="inlineStr">
        <is>
          <t>fsa:TransferredToFromMinorityInterests</t>
        </is>
      </c>
      <c r="D29" s="35" t="n"/>
      <c r="E29" s="35" t="n">
        <v>0</v>
      </c>
      <c r="F29" s="35" t="n"/>
      <c r="G29" s="35" t="n"/>
      <c r="H29" s="35" t="n"/>
      <c r="I29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2026-10-02T21:11:50Z</dcterms:created>
  <dcterms:modified xmlns:dcterms="http://purl.org/dc/terms/" xmlns:xsi="http://www.w3.org/2001/XMLSchema-instance" xsi:type="dcterms:W3CDTF">2026-10-02T21:11:50Z</dcterms:modified>
</cp:coreProperties>
</file>