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royaluni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'balance_raw'!$B$9</f>
        <v/>
      </c>
      <c r="C29" s="8">
        <f>'balance_raw'!$C$9</f>
        <v/>
      </c>
      <c r="D29" s="8">
        <f>'balance_raw'!$D$9</f>
        <v/>
      </c>
      <c r="E29" s="8">
        <f>'balance_raw'!$E$9</f>
        <v/>
      </c>
      <c r="F29" s="8">
        <f>'balance_raw'!$F$9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'balance_raw'!$B$10</f>
        <v/>
      </c>
      <c r="C30" s="8">
        <f>'balance_raw'!$C$10</f>
        <v/>
      </c>
      <c r="D30" s="8">
        <f>'balance_raw'!$D$10</f>
        <v/>
      </c>
      <c r="E30" s="8">
        <f>'balance_raw'!$E$10</f>
        <v/>
      </c>
      <c r="F30" s="8">
        <f>'balance_raw'!$F$10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Varebeholdninger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fra salg og tjenesteydelser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Tilgodehavender hos tilknyttede virksomheder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Andre tilgodehavender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Periodeafgrænsningsposter (aktiver)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Udskudt skatteaktiv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 skat hos tilknyttede virksomheder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Kortfristede skattetilgodehavender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Værdipapirer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Likvide beholdninger</t>
        </is>
      </c>
      <c r="B41" s="11">
        <f>'balance_raw'!$B$21</f>
        <v/>
      </c>
      <c r="C41" s="11">
        <f>'balance_raw'!$C$21</f>
        <v/>
      </c>
      <c r="D41" s="11">
        <f>'balance_raw'!$D$21</f>
        <v/>
      </c>
      <c r="E41" s="11">
        <f>'balance_raw'!$E$21</f>
        <v/>
      </c>
      <c r="F41" s="11">
        <f>'balance_raw'!$F$21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Omsætningsaktiver</t>
        </is>
      </c>
      <c r="B42" s="8">
        <f>'balance_raw'!$B$22</f>
        <v/>
      </c>
      <c r="C42" s="8">
        <f>'balance_raw'!$C$22</f>
        <v/>
      </c>
      <c r="D42" s="8">
        <f>'balance_raw'!$D$22</f>
        <v/>
      </c>
      <c r="E42" s="8">
        <f>'balance_raw'!$E$22</f>
        <v/>
      </c>
      <c r="F42" s="8">
        <f>'balance_raw'!$F$22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7" t="inlineStr">
        <is>
          <t>Aktiver</t>
        </is>
      </c>
      <c r="B43" s="8">
        <f>'balance_raw'!$B$23</f>
        <v/>
      </c>
      <c r="C43" s="8">
        <f>'balance_raw'!$C$23</f>
        <v/>
      </c>
      <c r="D43" s="8">
        <f>'balance_raw'!$D$23</f>
        <v/>
      </c>
      <c r="E43" s="8">
        <f>'balance_raw'!$E$23</f>
        <v/>
      </c>
      <c r="F43" s="8">
        <f>'balance_raw'!$F$23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5" ht="22" customHeight="1">
      <c r="A45" s="3" t="inlineStr">
        <is>
          <t>PASSIVER t.kr.</t>
        </is>
      </c>
      <c r="B45" s="3" t="n">
        <v>2021</v>
      </c>
      <c r="C45" s="3" t="n">
        <v>2022</v>
      </c>
      <c r="D45" s="3" t="n">
        <v>2023</v>
      </c>
      <c r="E45" s="3" t="n">
        <v>2024</v>
      </c>
      <c r="F45" s="3" t="n">
        <v>2025</v>
      </c>
      <c r="G45" t="inlineStr"/>
      <c r="H45" s="3" t="n">
        <v>2021</v>
      </c>
      <c r="I45" s="3" t="n">
        <v>2022</v>
      </c>
      <c r="J45" s="3" t="n">
        <v>2023</v>
      </c>
      <c r="K45" s="3" t="n">
        <v>2024</v>
      </c>
      <c r="L45" s="3" t="n">
        <v>2025</v>
      </c>
    </row>
    <row r="46" ht="16" customHeight="1">
      <c r="A46" s="4" t="inlineStr">
        <is>
          <t>Selskabskapital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nettoopskrivning (indre værdis metode)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udviklingsomkostninger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sikringstransaktioner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Andre reserver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Overført resultat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7" t="inlineStr">
        <is>
          <t>Egenkapital i alt</t>
        </is>
      </c>
      <c r="B52" s="8">
        <f>'balance_raw'!$B$30</f>
        <v/>
      </c>
      <c r="C52" s="8">
        <f>'balance_raw'!$C$30</f>
        <v/>
      </c>
      <c r="D52" s="8">
        <f>'balance_raw'!$D$30</f>
        <v/>
      </c>
      <c r="E52" s="8">
        <f>'balance_raw'!$E$30</f>
        <v/>
      </c>
      <c r="F52" s="8">
        <f>'balance_raw'!$F$30</f>
        <v/>
      </c>
      <c r="G52" t="inlineStr"/>
      <c r="H52" s="9">
        <f>IFERROR(B52/$B$52*100,"")</f>
        <v/>
      </c>
      <c r="I52" s="9">
        <f>IFERROR(C52/$B$52*100,"")</f>
        <v/>
      </c>
      <c r="J52" s="9">
        <f>IFERROR(D52/$B$52*100,"")</f>
        <v/>
      </c>
      <c r="K52" s="9">
        <f>IFERROR(E52/$B$52*100,"")</f>
        <v/>
      </c>
      <c r="L52" s="9">
        <f>IFERROR(F52/$B$52*100,"")</f>
        <v/>
      </c>
    </row>
    <row r="53" ht="16" customHeight="1">
      <c r="A53" s="10" t="inlineStr">
        <is>
          <t>Hensættelse til udskudt skat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Hensatte forpligtelser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Langfristede lån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Leasingforpligtelser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gældsforpligtelser</t>
        </is>
      </c>
      <c r="B59" s="8">
        <f>'balance_raw'!$B$37</f>
        <v/>
      </c>
      <c r="C59" s="8">
        <f>'balance_raw'!$C$37</f>
        <v/>
      </c>
      <c r="D59" s="8">
        <f>'balance_raw'!$D$37</f>
        <v/>
      </c>
      <c r="E59" s="8">
        <f>'balance_raw'!$E$37</f>
        <v/>
      </c>
      <c r="F59" s="8">
        <f>'balance_raw'!$F$37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Kortfristet del af langfristede gældsforpligtelser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Kreditinstitutter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(kortfristet)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Selskabsskat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(kortfristet)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Kortfristede gældsforpligtelser</t>
        </is>
      </c>
      <c r="B71" s="8">
        <f>'balance_raw'!$B$49</f>
        <v/>
      </c>
      <c r="C71" s="8">
        <f>'balance_raw'!$C$49</f>
        <v/>
      </c>
      <c r="D71" s="8">
        <f>'balance_raw'!$D$49</f>
        <v/>
      </c>
      <c r="E71" s="8">
        <f>'balance_raw'!$E$49</f>
        <v/>
      </c>
      <c r="F71" s="8">
        <f>'balance_raw'!$F$49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Gældsforpligtelser</t>
        </is>
      </c>
      <c r="B72" s="8">
        <f>'balance_raw'!$B$50</f>
        <v/>
      </c>
      <c r="C72" s="8">
        <f>'balance_raw'!$C$50</f>
        <v/>
      </c>
      <c r="D72" s="8">
        <f>'balance_raw'!$D$50</f>
        <v/>
      </c>
      <c r="E72" s="8">
        <f>'balance_raw'!$E$50</f>
        <v/>
      </c>
      <c r="F72" s="8">
        <f>'balance_raw'!$F$50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Passiver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Investering i materielle anlægsaktiver</t>
        </is>
      </c>
      <c r="B77" s="11">
        <f>'res_raw'!$B$19</f>
        <v/>
      </c>
      <c r="C77" s="11">
        <f>'res_raw'!$C$19</f>
        <v/>
      </c>
      <c r="D77" s="11">
        <f>'res_raw'!$D$19</f>
        <v/>
      </c>
      <c r="E77" s="11">
        <f>'res_raw'!$E$19</f>
        <v/>
      </c>
      <c r="F77" s="11">
        <f>'res_raw'!$F$19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IFERROR(($B$12+$B$14+$B$13)/$B$43*100,"")</f>
        <v/>
      </c>
      <c r="C80" s="13">
        <f>IFERROR(($C$12+$C$14+$C$13)/$C$43*100,"")</f>
        <v/>
      </c>
      <c r="D80" s="13">
        <f>IFERROR(($D$12+$D$14+$D$13)/$D$43*100,"")</f>
        <v/>
      </c>
      <c r="E80" s="13">
        <f>IFERROR(($E$12+$E$14+$E$13)/$E$43*100,"")</f>
        <v/>
      </c>
      <c r="F80" s="13">
        <f>IFERROR(($F$12+$F$14+$F$13)/$F$43*100,"")</f>
        <v/>
      </c>
    </row>
    <row r="81" ht="16" customHeight="1">
      <c r="A81" s="10" t="inlineStr">
        <is>
          <t>Overskudsgrad, %</t>
        </is>
      </c>
      <c r="B81" s="14">
        <f>IFERROR(($B$12+$B$14+$B$13)/$B$4*100,"")</f>
        <v/>
      </c>
      <c r="C81" s="14">
        <f>IFERROR(($C$12+$C$14+$C$13)/$C$4*100,"")</f>
        <v/>
      </c>
      <c r="D81" s="14">
        <f>IFERROR(($D$12+$D$14+$D$13)/$D$4*100,"")</f>
        <v/>
      </c>
      <c r="E81" s="14">
        <f>IFERROR(($E$12+$E$14+$E$13)/$E$4*100,"")</f>
        <v/>
      </c>
      <c r="F81" s="14">
        <f>IFERROR(($F$12+$F$14+$F$13)/$F$4*100,"")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IFERROR($B$4/$B$43,"")</f>
        <v/>
      </c>
      <c r="C82" s="13">
        <f>IFERROR($C$4/$C$43,"")</f>
        <v/>
      </c>
      <c r="D82" s="13">
        <f>IFERROR($D$4/$D$43,"")</f>
        <v/>
      </c>
      <c r="E82" s="13">
        <f>IFERROR($E$4/$E$43,"")</f>
        <v/>
      </c>
      <c r="F82" s="13">
        <f>IFERROR($F$4/$F$43,"")</f>
        <v/>
      </c>
    </row>
    <row r="83" ht="16" customHeight="1">
      <c r="A83" s="10" t="inlineStr">
        <is>
          <t>Egenkapitalens forrentning, %</t>
        </is>
      </c>
      <c r="B83" s="14">
        <f>IFERROR($B$17/$B$52*100,"")</f>
        <v/>
      </c>
      <c r="C83" s="14">
        <f>IFERROR($C$17/$C$52*100,"")</f>
        <v/>
      </c>
      <c r="D83" s="14">
        <f>IFERROR($D$17/$D$52*100,"")</f>
        <v/>
      </c>
      <c r="E83" s="14">
        <f>IFERROR($E$17/$E$52*100,"")</f>
        <v/>
      </c>
      <c r="F83" s="14">
        <f>IFERROR($F$17/$F$52*100,"")</f>
        <v/>
      </c>
    </row>
    <row r="84" ht="16" customHeight="1">
      <c r="A84" s="4" t="inlineStr">
        <is>
          <t>Gældsrente, %</t>
        </is>
      </c>
      <c r="B84" s="13">
        <f>IFERROR($B$15/($B$73-$B$52)*100,"")</f>
        <v/>
      </c>
      <c r="C84" s="13">
        <f>IFERROR($C$15/($C$73-$C$52)*100,"")</f>
        <v/>
      </c>
      <c r="D84" s="13">
        <f>IFERROR($D$15/($D$73-$D$52)*100,"")</f>
        <v/>
      </c>
      <c r="E84" s="13">
        <f>IFERROR($E$15/($E$73-$E$52)*100,"")</f>
        <v/>
      </c>
      <c r="F84" s="13">
        <f>IFERROR($F$15/($F$73-$F$52)*100,"")</f>
        <v/>
      </c>
    </row>
    <row r="85" ht="16" customHeight="1">
      <c r="A85" s="10" t="inlineStr">
        <is>
          <t>Soliditetsgrad, %</t>
        </is>
      </c>
      <c r="B85" s="14">
        <f>IFERROR($B$52/$B$43*100,"")</f>
        <v/>
      </c>
      <c r="C85" s="14">
        <f>IFERROR($C$52/$C$43*100,"")</f>
        <v/>
      </c>
      <c r="D85" s="14">
        <f>IFERROR($D$52/$D$43*100,"")</f>
        <v/>
      </c>
      <c r="E85" s="14">
        <f>IFERROR($E$52/$E$43*100,"")</f>
        <v/>
      </c>
      <c r="F85" s="14">
        <f>IFERROR($F$52/$F$43*100,"")</f>
        <v/>
      </c>
    </row>
    <row r="86" ht="16" customHeight="1">
      <c r="A86" s="4" t="inlineStr">
        <is>
          <t>Gearing</t>
        </is>
      </c>
      <c r="B86" s="13">
        <f>IFERROR(($B$73-$B$52)/$B$52,"")</f>
        <v/>
      </c>
      <c r="C86" s="13">
        <f>IFERROR(($C$73-$C$52)/$C$52,"")</f>
        <v/>
      </c>
      <c r="D86" s="13">
        <f>IFERROR(($D$73-$D$52)/$D$52,"")</f>
        <v/>
      </c>
      <c r="E86" s="13">
        <f>IFERROR(($E$73-$E$52)/$E$52,"")</f>
        <v/>
      </c>
      <c r="F86" s="13">
        <f>IFERROR(($F$73-$F$52)/$F$52,"")</f>
        <v/>
      </c>
    </row>
    <row r="87" ht="16" customHeight="1">
      <c r="A87" s="10" t="inlineStr">
        <is>
          <t>Likviditetsgrad, %</t>
        </is>
      </c>
      <c r="B87" s="14">
        <f>IFERROR($B$42/$B$71*100,"")</f>
        <v/>
      </c>
      <c r="C87" s="14">
        <f>IFERROR($C$42/$C$71*100,"")</f>
        <v/>
      </c>
      <c r="D87" s="14">
        <f>IFERROR($D$42/$D$71*100,"")</f>
        <v/>
      </c>
      <c r="E87" s="14">
        <f>IFERROR($E$42/$E$71*100,"")</f>
        <v/>
      </c>
      <c r="F87" s="14">
        <f>IFERROR($F$42/$F$71*100,"")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10" t="inlineStr">
        <is>
          <t>Gældsandel, %</t>
        </is>
      </c>
      <c r="B89" s="14">
        <f>IFERROR(($B$73-$B$52)/$B$43*100,"")</f>
        <v/>
      </c>
      <c r="C89" s="14">
        <f>IFERROR(($C$73-$C$52)/$C$43*100,"")</f>
        <v/>
      </c>
      <c r="D89" s="14">
        <f>IFERROR(($D$73-$D$52)/$D$43*100,"")</f>
        <v/>
      </c>
      <c r="E89" s="14">
        <f>IFERROR(($E$73-$E$52)/$E$43*100,"")</f>
        <v/>
      </c>
      <c r="F89" s="14">
        <f>IFERROR(($F$73-$F$52)/$F$43*100,"")</f>
        <v/>
      </c>
    </row>
    <row r="90" ht="16" customHeight="1">
      <c r="A90" s="4" t="inlineStr">
        <is>
          <t>Kapitalbindingsgrad, %</t>
        </is>
      </c>
      <c r="B90" s="13">
        <f>IFERROR($B$30/($B$52+$B$59)*100,"")</f>
        <v/>
      </c>
      <c r="C90" s="13">
        <f>IFERROR($C$30/($C$52+$C$59)*100,"")</f>
        <v/>
      </c>
      <c r="D90" s="13">
        <f>IFERROR($D$30/($D$52+$D$59)*100,"")</f>
        <v/>
      </c>
      <c r="E90" s="13">
        <f>IFERROR($E$30/($E$52+$E$59)*100,"")</f>
        <v/>
      </c>
      <c r="F90" s="13">
        <f>IFERROR($F$30/($F$52+$F$59)*100,"")</f>
        <v/>
      </c>
    </row>
    <row r="92">
      <c r="A92" s="15" t="inlineStr">
        <is>
          <t>PENGESTRØMSOPGØRELSE t.kr.</t>
        </is>
      </c>
    </row>
    <row r="93">
      <c r="A93" s="16" t="inlineStr">
        <is>
          <t>Pengestrømme fra driftsaktivitet</t>
        </is>
      </c>
      <c r="B93" s="17">
        <f>'pengestrom_raw'!$B$2</f>
        <v/>
      </c>
      <c r="C93" s="17">
        <f>'pengestrom_raw'!$C$2</f>
        <v/>
      </c>
      <c r="D93" s="17">
        <f>'pengestrom_raw'!$D$2</f>
        <v/>
      </c>
      <c r="E93" s="17">
        <f>'pengestrom_raw'!$E$2</f>
        <v/>
      </c>
      <c r="F93" s="17">
        <f>'pengestrom_raw'!$F$2</f>
        <v/>
      </c>
    </row>
    <row r="94">
      <c r="A94" s="16" t="inlineStr">
        <is>
          <t>Pengestrømme fra investeringsaktivitet</t>
        </is>
      </c>
      <c r="B94" s="17">
        <f>'pengestrom_raw'!$B$3</f>
        <v/>
      </c>
      <c r="C94" s="17">
        <f>'pengestrom_raw'!$C$3</f>
        <v/>
      </c>
      <c r="D94" s="17">
        <f>'pengestrom_raw'!$D$3</f>
        <v/>
      </c>
      <c r="E94" s="17">
        <f>'pengestrom_raw'!$E$3</f>
        <v/>
      </c>
      <c r="F94" s="17">
        <f>'pengestrom_raw'!$F$3</f>
        <v/>
      </c>
    </row>
    <row r="95">
      <c r="A95" s="16" t="inlineStr">
        <is>
          <t>Pengestrømme fra finansieringsaktivitet</t>
        </is>
      </c>
      <c r="B95" s="17">
        <f>'pengestrom_raw'!$B$4</f>
        <v/>
      </c>
      <c r="C95" s="17">
        <f>'pengestrom_raw'!$C$4</f>
        <v/>
      </c>
      <c r="D95" s="17">
        <f>'pengestrom_raw'!$D$4</f>
        <v/>
      </c>
      <c r="E95" s="17">
        <f>'pengestrom_raw'!$E$4</f>
        <v/>
      </c>
      <c r="F95" s="17">
        <f>'pengestrom_raw'!$F$4</f>
        <v/>
      </c>
    </row>
    <row r="96">
      <c r="A96" s="16" t="inlineStr">
        <is>
          <t>Årets pengestrøm (rapporteret)</t>
        </is>
      </c>
      <c r="B96" s="17">
        <f>'pengestrom_raw'!$B$5</f>
        <v/>
      </c>
      <c r="C96" s="17">
        <f>'pengestrom_raw'!$C$5</f>
        <v/>
      </c>
      <c r="D96" s="17">
        <f>'pengestrom_raw'!$D$5</f>
        <v/>
      </c>
      <c r="E96" s="17">
        <f>'pengestrom_raw'!$E$5</f>
        <v/>
      </c>
      <c r="F96" s="17">
        <f>'pengestrom_raw'!$F$5</f>
        <v/>
      </c>
    </row>
    <row r="97">
      <c r="A97" s="16" t="inlineStr">
        <is>
          <t>Krydstjek: drift + inv. + fin. = årets pengestrøm</t>
        </is>
      </c>
      <c r="B97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7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7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7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7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8746000</v>
      </c>
      <c r="C2" s="17" t="n">
        <v>11487000</v>
      </c>
      <c r="D2" s="17" t="n">
        <v>12927000</v>
      </c>
      <c r="E2" s="17" t="n">
        <v>15036000</v>
      </c>
      <c r="F2" s="17" t="n">
        <v>15723000</v>
      </c>
    </row>
    <row r="3">
      <c r="A3" s="16" t="inlineStr">
        <is>
          <t>Produktionsomkostninger</t>
        </is>
      </c>
      <c r="B3" s="17" t="n">
        <v>4490000</v>
      </c>
      <c r="C3" s="17" t="n">
        <v>6618000</v>
      </c>
      <c r="D3" s="17" t="n">
        <v>7533000</v>
      </c>
      <c r="E3" s="17" t="n">
        <v>8648000</v>
      </c>
      <c r="F3" s="17" t="n">
        <v>8957000</v>
      </c>
    </row>
    <row r="4">
      <c r="A4" s="15" t="inlineStr">
        <is>
          <t>Bruttoresultat</t>
        </is>
      </c>
      <c r="B4" s="17" t="n">
        <v>4256000</v>
      </c>
      <c r="C4" s="17" t="n">
        <v>4869000</v>
      </c>
      <c r="D4" s="17" t="n">
        <v>5394000</v>
      </c>
      <c r="E4" s="17" t="n">
        <v>6388000</v>
      </c>
      <c r="F4" s="17" t="n">
        <v>6766000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2189000</v>
      </c>
      <c r="C6" s="17" t="n">
        <v>2926000</v>
      </c>
      <c r="D6" s="17" t="n">
        <v>3158000</v>
      </c>
      <c r="E6" s="17" t="n">
        <v>3626000</v>
      </c>
      <c r="F6" s="17" t="n">
        <v>3638000</v>
      </c>
    </row>
    <row r="7">
      <c r="A7" s="16" t="inlineStr">
        <is>
          <t>Administrationsomkostninger</t>
        </is>
      </c>
      <c r="B7" s="17" t="n">
        <v>415000</v>
      </c>
      <c r="C7" s="17" t="n">
        <v>427000</v>
      </c>
      <c r="D7" s="17" t="n">
        <v>628000</v>
      </c>
      <c r="E7" s="17" t="n">
        <v>794000</v>
      </c>
      <c r="F7" s="17" t="n">
        <v>926000</v>
      </c>
    </row>
    <row r="8">
      <c r="A8" s="16" t="inlineStr">
        <is>
          <t>Andre driftsindtægter</t>
        </is>
      </c>
      <c r="B8" s="17" t="n"/>
      <c r="C8" s="17" t="n"/>
      <c r="D8" s="17" t="n">
        <v>30000</v>
      </c>
      <c r="E8" s="17" t="n">
        <v>0</v>
      </c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1652000</v>
      </c>
      <c r="C10" s="17" t="n">
        <v>1516000</v>
      </c>
      <c r="D10" s="17" t="n">
        <v>1638000</v>
      </c>
      <c r="E10" s="17" t="n">
        <v>1968000</v>
      </c>
      <c r="F10" s="17" t="n">
        <v>2202000</v>
      </c>
    </row>
    <row r="11">
      <c r="A11" s="16" t="inlineStr">
        <is>
          <t>Indtægter af kapitalandele, dattervirksomheder</t>
        </is>
      </c>
      <c r="B11" s="17" t="n">
        <v>37000</v>
      </c>
      <c r="C11" s="17" t="n">
        <v>2000</v>
      </c>
      <c r="D11" s="17" t="n">
        <v>18000</v>
      </c>
      <c r="E11" s="17" t="n">
        <v>-6000</v>
      </c>
      <c r="F11" s="17" t="n">
        <v>18000</v>
      </c>
    </row>
    <row r="12">
      <c r="A12" s="16" t="inlineStr">
        <is>
          <t>Finansielle indtægter</t>
        </is>
      </c>
      <c r="B12" s="17" t="n">
        <v>7000</v>
      </c>
      <c r="C12" s="17" t="n">
        <v>10000</v>
      </c>
      <c r="D12" s="17" t="n">
        <v>10000</v>
      </c>
      <c r="E12" s="17" t="n">
        <v>229000</v>
      </c>
      <c r="F12" s="17" t="n">
        <v>26000</v>
      </c>
    </row>
    <row r="13">
      <c r="A13" s="16" t="inlineStr">
        <is>
          <t>Finansielle omkostninger</t>
        </is>
      </c>
      <c r="B13" s="17" t="n">
        <v>49000</v>
      </c>
      <c r="C13" s="17" t="n">
        <v>103000</v>
      </c>
      <c r="D13" s="17" t="n">
        <v>260000</v>
      </c>
      <c r="E13" s="17" t="n">
        <v>326000</v>
      </c>
      <c r="F13" s="17" t="n">
        <v>280000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1647000</v>
      </c>
      <c r="C15" s="17" t="n">
        <v>1785000</v>
      </c>
      <c r="D15" s="17" t="n">
        <v>1406000</v>
      </c>
      <c r="E15" s="17" t="n">
        <v>1865000</v>
      </c>
      <c r="F15" s="17" t="n">
        <v>1966000</v>
      </c>
    </row>
    <row r="16">
      <c r="A16" s="16" t="inlineStr">
        <is>
          <t>Skat af årets resultat</t>
        </is>
      </c>
      <c r="B16" s="17" t="n">
        <v>349000</v>
      </c>
      <c r="C16" s="17" t="n">
        <v>294000</v>
      </c>
      <c r="D16" s="17" t="n">
        <v>311000</v>
      </c>
      <c r="E16" s="17" t="n">
        <v>401000</v>
      </c>
      <c r="F16" s="17" t="n">
        <v>406000</v>
      </c>
    </row>
    <row r="17">
      <c r="A17" s="15" t="inlineStr">
        <is>
          <t>Årets resultat</t>
        </is>
      </c>
      <c r="B17" s="17" t="n">
        <v>1298000</v>
      </c>
      <c r="C17" s="17" t="n">
        <v>1491000</v>
      </c>
      <c r="D17" s="17" t="n">
        <v>1095000</v>
      </c>
      <c r="E17" s="17" t="n">
        <v>1464000</v>
      </c>
      <c r="F17" s="17" t="n">
        <v>1560000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426000</v>
      </c>
      <c r="C19" s="17" t="n">
        <v>475000</v>
      </c>
      <c r="D19" s="17" t="n">
        <v>602000</v>
      </c>
      <c r="E19" s="17" t="n">
        <v>761000</v>
      </c>
      <c r="F19" s="17" t="n">
        <v>797000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>
        <v>5161000</v>
      </c>
    </row>
    <row r="5">
      <c r="A5" s="15" t="inlineStr">
        <is>
          <t>Immaterielle anlægsaktiver</t>
        </is>
      </c>
      <c r="B5" s="17" t="n">
        <v>5861000</v>
      </c>
      <c r="C5" s="17" t="n">
        <v>7558000</v>
      </c>
      <c r="D5" s="17" t="n">
        <v>9469000</v>
      </c>
      <c r="E5" s="17" t="n">
        <v>9513000</v>
      </c>
      <c r="F5" s="17" t="n">
        <v>4485000</v>
      </c>
    </row>
    <row r="6">
      <c r="A6" s="15" t="inlineStr">
        <is>
          <t>Materielle anlægsaktiver</t>
        </is>
      </c>
      <c r="B6" s="17" t="n">
        <v>2734000</v>
      </c>
      <c r="C6" s="17" t="n">
        <v>3680000</v>
      </c>
      <c r="D6" s="17" t="n">
        <v>4662000</v>
      </c>
      <c r="E6" s="17" t="n">
        <v>4749000</v>
      </c>
      <c r="F6" s="17" t="n">
        <v>5120000</v>
      </c>
    </row>
    <row r="7">
      <c r="A7" s="16" t="inlineStr">
        <is>
          <t>Kapitalandele, dattervirksomheder</t>
        </is>
      </c>
      <c r="B7" s="17" t="n">
        <v>153000</v>
      </c>
      <c r="C7" s="17" t="n">
        <v>99000</v>
      </c>
      <c r="D7" s="17" t="n">
        <v>34000</v>
      </c>
      <c r="E7" s="17" t="n">
        <v>17000</v>
      </c>
      <c r="F7" s="17" t="n"/>
    </row>
    <row r="8">
      <c r="A8" s="16" t="inlineStr">
        <is>
          <t>Deposita</t>
        </is>
      </c>
      <c r="B8" s="17" t="n">
        <v>23000</v>
      </c>
      <c r="C8" s="17" t="n">
        <v>79000</v>
      </c>
      <c r="D8" s="17" t="n">
        <v>89000</v>
      </c>
      <c r="E8" s="17" t="n">
        <v>73000</v>
      </c>
      <c r="F8" s="17" t="n">
        <v>65000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8771000</v>
      </c>
      <c r="C10" s="17" t="n">
        <v>11416000</v>
      </c>
      <c r="D10" s="17" t="n">
        <v>14254000</v>
      </c>
      <c r="E10" s="17" t="n">
        <v>14352000</v>
      </c>
      <c r="F10" s="17" t="n">
        <v>14831000</v>
      </c>
    </row>
    <row r="11">
      <c r="A11" s="15" t="inlineStr">
        <is>
          <t>Varebeholdninger</t>
        </is>
      </c>
      <c r="B11" s="17" t="n">
        <v>780000</v>
      </c>
      <c r="C11" s="17" t="n">
        <v>1213000</v>
      </c>
      <c r="D11" s="17" t="n">
        <v>1401000</v>
      </c>
      <c r="E11" s="17" t="n">
        <v>1340000</v>
      </c>
      <c r="F11" s="17" t="n">
        <v>1286000</v>
      </c>
    </row>
    <row r="12">
      <c r="A12" s="16" t="inlineStr">
        <is>
          <t>Tilgodehavender fra salg og tjenesteydelser</t>
        </is>
      </c>
      <c r="B12" s="17" t="n">
        <v>1188000</v>
      </c>
      <c r="C12" s="17" t="n">
        <v>1500000</v>
      </c>
      <c r="D12" s="17" t="n">
        <v>1901000</v>
      </c>
      <c r="E12" s="17" t="n">
        <v>1944000</v>
      </c>
      <c r="F12" s="17" t="n">
        <v>1918000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>
        <v>89000</v>
      </c>
      <c r="C15" s="17" t="n">
        <v>131000</v>
      </c>
      <c r="D15" s="17" t="n">
        <v>165000</v>
      </c>
      <c r="E15" s="17" t="n">
        <v>147000</v>
      </c>
      <c r="F15" s="17" t="n">
        <v>152000</v>
      </c>
    </row>
    <row r="16">
      <c r="A16" s="16" t="inlineStr">
        <is>
          <t>Udskudt skatteaktiv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86000</v>
      </c>
      <c r="C21" s="17" t="n">
        <v>214000</v>
      </c>
      <c r="D21" s="17" t="n">
        <v>57000</v>
      </c>
      <c r="E21" s="17" t="n">
        <v>103000</v>
      </c>
      <c r="F21" s="17" t="n">
        <v>82000</v>
      </c>
    </row>
    <row r="22">
      <c r="A22" s="15" t="inlineStr">
        <is>
          <t>Omsætningsaktiver</t>
        </is>
      </c>
      <c r="B22" s="17" t="n">
        <v>2143000</v>
      </c>
      <c r="C22" s="17" t="n">
        <v>3058000</v>
      </c>
      <c r="D22" s="17" t="n">
        <v>3524000</v>
      </c>
      <c r="E22" s="17" t="n">
        <v>3534000</v>
      </c>
      <c r="F22" s="17" t="n">
        <v>3438000</v>
      </c>
    </row>
    <row r="23">
      <c r="A23" s="15" t="inlineStr">
        <is>
          <t>Aktiver</t>
        </is>
      </c>
      <c r="B23" s="17" t="n">
        <v>10914000</v>
      </c>
      <c r="C23" s="17" t="n">
        <v>14474000</v>
      </c>
      <c r="D23" s="17" t="n">
        <v>17778000</v>
      </c>
      <c r="E23" s="17" t="n">
        <v>17886000</v>
      </c>
      <c r="F23" s="17" t="n">
        <v>18269000</v>
      </c>
    </row>
    <row r="24">
      <c r="A24" s="16" t="inlineStr">
        <is>
          <t>Selskabskapital</t>
        </is>
      </c>
      <c r="B24" s="17" t="n">
        <v>98000</v>
      </c>
      <c r="C24" s="17" t="n">
        <v>100000</v>
      </c>
      <c r="D24" s="17" t="n">
        <v>100000</v>
      </c>
      <c r="E24" s="17" t="n">
        <v>100000</v>
      </c>
      <c r="F24" s="17" t="n">
        <v>100000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719000</v>
      </c>
      <c r="C28" s="17" t="n">
        <v>1567000</v>
      </c>
      <c r="D28" s="17" t="n">
        <v>1519000</v>
      </c>
      <c r="E28" s="17" t="n">
        <v>1407000</v>
      </c>
      <c r="F28" s="17" t="n">
        <v>1416000</v>
      </c>
    </row>
    <row r="29">
      <c r="A29" s="16" t="inlineStr">
        <is>
          <t>Overført resultat</t>
        </is>
      </c>
      <c r="B29" s="17" t="n">
        <v>1805000</v>
      </c>
      <c r="C29" s="17" t="n">
        <v>2763000</v>
      </c>
      <c r="D29" s="17" t="n">
        <v>4129000</v>
      </c>
      <c r="E29" s="17" t="n">
        <v>4148000</v>
      </c>
      <c r="F29" s="17" t="n">
        <v>4394000</v>
      </c>
    </row>
    <row r="30">
      <c r="A30" s="15" t="inlineStr">
        <is>
          <t>Egenkapital i alt</t>
        </is>
      </c>
      <c r="B30" s="17" t="n">
        <v>3330000</v>
      </c>
      <c r="C30" s="17" t="n">
        <v>5158000</v>
      </c>
      <c r="D30" s="17" t="n">
        <v>5748000</v>
      </c>
      <c r="E30" s="17" t="n">
        <v>6408000</v>
      </c>
      <c r="F30" s="17" t="n">
        <v>6713000</v>
      </c>
    </row>
    <row r="31">
      <c r="A31" s="16" t="inlineStr">
        <is>
          <t>Hensættelse til udskudt skat</t>
        </is>
      </c>
      <c r="B31" s="17" t="n">
        <v>747000</v>
      </c>
      <c r="C31" s="17" t="n">
        <v>1011000</v>
      </c>
      <c r="D31" s="17" t="n">
        <v>1281000</v>
      </c>
      <c r="E31" s="17" t="n">
        <v>1271000</v>
      </c>
      <c r="F31" s="17" t="n">
        <v>1277000</v>
      </c>
    </row>
    <row r="32">
      <c r="A32" s="15" t="inlineStr">
        <is>
          <t>Hensatte forpligtelser</t>
        </is>
      </c>
      <c r="B32" s="17" t="n">
        <v>11000</v>
      </c>
      <c r="C32" s="17" t="n">
        <v>11000</v>
      </c>
      <c r="D32" s="17" t="n">
        <v>11000</v>
      </c>
      <c r="E32" s="17" t="n">
        <v>11000</v>
      </c>
      <c r="F32" s="17" t="n">
        <v>1277000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>
        <v>1003000</v>
      </c>
      <c r="C36" s="17" t="n">
        <v>1009000</v>
      </c>
      <c r="D36" s="17" t="n">
        <v>998000</v>
      </c>
      <c r="E36" s="17" t="n">
        <v>986000</v>
      </c>
      <c r="F36" s="17" t="n">
        <v>1009000</v>
      </c>
    </row>
    <row r="37">
      <c r="A37" s="15" t="inlineStr">
        <is>
          <t>Langfristede gældsforpligtelser</t>
        </is>
      </c>
      <c r="B37" s="17" t="n">
        <v>3771000</v>
      </c>
      <c r="C37" s="17" t="n">
        <v>4706000</v>
      </c>
      <c r="D37" s="17" t="n">
        <v>6786000</v>
      </c>
      <c r="E37" s="17" t="n">
        <v>5968000</v>
      </c>
      <c r="F37" s="17" t="n">
        <v>6710000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14000</v>
      </c>
      <c r="C40" s="17" t="n">
        <v>2000</v>
      </c>
      <c r="D40" s="17" t="n">
        <v>11000</v>
      </c>
      <c r="E40" s="17" t="n">
        <v>19000</v>
      </c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1721000</v>
      </c>
      <c r="C42" s="17" t="n">
        <v>1934000</v>
      </c>
      <c r="D42" s="17" t="n">
        <v>2425000</v>
      </c>
      <c r="E42" s="17" t="n">
        <v>2532000</v>
      </c>
      <c r="F42" s="17" t="n">
        <v>2482000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1427000</v>
      </c>
      <c r="C47" s="17" t="n">
        <v>1669000</v>
      </c>
      <c r="D47" s="17" t="n">
        <v>1785000</v>
      </c>
      <c r="E47" s="17" t="n">
        <v>1806000</v>
      </c>
      <c r="F47" s="17" t="n">
        <v>1950000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3801000</v>
      </c>
      <c r="C49" s="17" t="n">
        <v>4610000</v>
      </c>
      <c r="D49" s="17" t="n">
        <v>5244000</v>
      </c>
      <c r="E49" s="17" t="n">
        <v>5510000</v>
      </c>
      <c r="F49" s="17" t="n">
        <v>4846000</v>
      </c>
    </row>
    <row r="50">
      <c r="A50" s="15" t="inlineStr">
        <is>
          <t>Gældsforpligtelser</t>
        </is>
      </c>
      <c r="B50" s="17" t="n">
        <v>7572000</v>
      </c>
      <c r="C50" s="17" t="n">
        <v>9316000</v>
      </c>
      <c r="D50" s="17" t="n">
        <v>12030000</v>
      </c>
      <c r="E50" s="17" t="n">
        <v>11478000</v>
      </c>
      <c r="F50" s="17" t="n">
        <v>11556000</v>
      </c>
    </row>
    <row r="51">
      <c r="A51" s="15" t="inlineStr">
        <is>
          <t>Passiver</t>
        </is>
      </c>
      <c r="B51" s="17" t="n">
        <v>10914000</v>
      </c>
      <c r="C51" s="17" t="n">
        <v>14474000</v>
      </c>
      <c r="D51" s="17" t="n">
        <v>17778000</v>
      </c>
      <c r="E51" s="17" t="n">
        <v>17886000</v>
      </c>
      <c r="F51" s="17" t="n">
        <v>18269000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royaluni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1753000</v>
      </c>
      <c r="C2" s="17" t="n">
        <v>1135000</v>
      </c>
      <c r="D2" s="17" t="n">
        <v>1777000</v>
      </c>
      <c r="E2" s="17" t="n">
        <v>2189000</v>
      </c>
      <c r="F2" s="17" t="n">
        <v>2385000</v>
      </c>
    </row>
    <row r="3">
      <c r="A3" s="16" t="inlineStr">
        <is>
          <t>Pengestrømme fra investeringsaktivitet</t>
        </is>
      </c>
      <c r="B3" s="17" t="n">
        <v>-1604000</v>
      </c>
      <c r="C3" s="17" t="n">
        <v>-744000</v>
      </c>
      <c r="D3" s="17" t="n">
        <v>-2925000</v>
      </c>
      <c r="E3" s="17" t="n">
        <v>-651000</v>
      </c>
      <c r="F3" s="17" t="n">
        <v>-954000</v>
      </c>
    </row>
    <row r="4">
      <c r="A4" s="16" t="inlineStr">
        <is>
          <t>Pengestrømme fra finansieringsaktivitet</t>
        </is>
      </c>
      <c r="B4" s="17" t="n">
        <v>-146000</v>
      </c>
      <c r="C4" s="17" t="n">
        <v>-252000</v>
      </c>
      <c r="D4" s="17" t="n">
        <v>998000</v>
      </c>
      <c r="E4" s="17" t="n">
        <v>-1491000</v>
      </c>
      <c r="F4" s="17" t="n">
        <v>-1454000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royaluni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'balance_raw'!$F$10</f>
        <v/>
      </c>
      <c r="C19" s="24">
        <f>'balance_raw'!$E$10</f>
        <v/>
      </c>
      <c r="D19" s="24">
        <f>'balance_raw'!$D$10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'balance_raw'!$F$30</f>
        <v/>
      </c>
      <c r="C23" s="24">
        <f>'balance_raw'!$E$30</f>
        <v/>
      </c>
      <c r="D23" s="24">
        <f>'balance_raw'!$D$30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'balance_raw'!$F$51-'balance_raw'!$F$30</f>
        <v/>
      </c>
      <c r="C24" s="24">
        <f>'balance_raw'!$E$51-'balance_raw'!$E$30</f>
        <v/>
      </c>
      <c r="D24" s="24">
        <f>'balance_raw'!$D$51-'balance_raw'!$D$30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'balance_raw'!$F$49</f>
        <v/>
      </c>
      <c r="C30" s="24">
        <f>'balance_raw'!$E$49</f>
        <v/>
      </c>
      <c r="D30" s="24">
        <f>'balance_raw'!$D$49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IF('balance_raw'!$F$23="","—",IF(ABS(B21-'balance_raw'!$F$23)&lt;=1,"✓ OK","❌ "&amp;TEXT(B21-'balance_raw'!$F$23,"+#,##0;-#,##0")&amp;" t.kr."))</f>
        <v/>
      </c>
      <c r="C62" s="31">
        <f>IF('balance_raw'!$E$23="","—",IF(ABS(C21-'balance_raw'!$E$23)&lt;=1,"✓ OK","❌ "&amp;TEXT(C21-'balance_raw'!$E$23,"+#,##0;-#,##0")&amp;" t.kr."))</f>
        <v/>
      </c>
      <c r="D62" s="31">
        <f>IF('balance_raw'!$D$23="","—",IF(ABS(D21-'balance_raw'!$D$23)&lt;=1,"✓ OK","❌ "&amp;TEXT(D21-'balance_raw'!$D$23,"+#,##0;-#,##0")&amp;"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IF('balance_raw'!$F$51="","—",IF(ABS(B25-'balance_raw'!$F$51)&lt;=1,"✓ OK","❌ "&amp;TEXT(B25-'balance_raw'!$F$51,"+#,##0;-#,##0")&amp;" t.kr."))</f>
        <v/>
      </c>
      <c r="C63" s="31">
        <f>IF('balance_raw'!$E$51="","—",IF(ABS(C25-'balance_raw'!$E$51)&lt;=1,"✓ OK","❌ "&amp;TEXT(C25-'balance_raw'!$E$51,"+#,##0;-#,##0")&amp;" t.kr."))</f>
        <v/>
      </c>
      <c r="D63" s="31">
        <f>IF('balance_raw'!$D$51="","—",IF(ABS(D25-'balance_raw'!$D$51)&lt;=1,"✓ OK","❌ "&amp;TEXT(D25-'balance_raw'!$D$51,"+#,##0;-#,##0")&amp;"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2026-09-29T14:48:30Z</dcterms:created>
  <dcterms:modified xmlns:dcterms="http://purl.org/dc/terms/" xmlns:xsi="http://www.w3.org/2001/XMLSchema-instance" xsi:type="dcterms:W3CDTF">2026-09-29T14:48:31Z</dcterms:modified>
</cp:coreProperties>
</file>