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pandora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'res_raw'!$B$5</f>
        <v/>
      </c>
      <c r="C7" s="11">
        <f>'res_raw'!$C$5</f>
        <v/>
      </c>
      <c r="D7" s="11">
        <f>'res_raw'!$D$5</f>
        <v/>
      </c>
      <c r="E7" s="11">
        <f>'res_raw'!$E$5</f>
        <v/>
      </c>
      <c r="F7" s="11">
        <f>'res_raw'!$F$5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'res_raw'!$B$7</f>
        <v/>
      </c>
      <c r="C9" s="8">
        <f>'res_raw'!$C$7</f>
        <v/>
      </c>
      <c r="D9" s="8">
        <f>'res_raw'!$D$7</f>
        <v/>
      </c>
      <c r="E9" s="8">
        <f>'res_raw'!$E$7</f>
        <v/>
      </c>
      <c r="F9" s="8">
        <f>'res_raw'!$F$7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'res_raw'!$B$9</f>
        <v/>
      </c>
      <c r="C11" s="11">
        <f>'res_raw'!$C$9</f>
        <v/>
      </c>
      <c r="D11" s="11">
        <f>'res_raw'!$D$9</f>
        <v/>
      </c>
      <c r="E11" s="11">
        <f>'res_raw'!$E$9</f>
        <v/>
      </c>
      <c r="F11" s="11">
        <f>'res_raw'!$F$9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'res_raw'!$B$10</f>
        <v/>
      </c>
      <c r="C12" s="8">
        <f>'res_raw'!$C$10</f>
        <v/>
      </c>
      <c r="D12" s="8">
        <f>'res_raw'!$D$10</f>
        <v/>
      </c>
      <c r="E12" s="8">
        <f>'res_raw'!$E$10</f>
        <v/>
      </c>
      <c r="F12" s="8">
        <f>'res_raw'!$F$10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'res_raw'!$B$13</f>
        <v/>
      </c>
      <c r="C15" s="11">
        <f>'res_raw'!$C$13</f>
        <v/>
      </c>
      <c r="D15" s="11">
        <f>'res_raw'!$D$13</f>
        <v/>
      </c>
      <c r="E15" s="11">
        <f>'res_raw'!$E$13</f>
        <v/>
      </c>
      <c r="F15" s="11">
        <f>'res_raw'!$F$13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'res_raw'!$B$15</f>
        <v/>
      </c>
      <c r="C17" s="8">
        <f>'res_raw'!$C$15</f>
        <v/>
      </c>
      <c r="D17" s="8">
        <f>'res_raw'!$D$15</f>
        <v/>
      </c>
      <c r="E17" s="8">
        <f>'res_raw'!$E$15</f>
        <v/>
      </c>
      <c r="F17" s="8">
        <f>'res_raw'!$F$15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'res_raw'!$B$16</f>
        <v/>
      </c>
      <c r="C18" s="5">
        <f>'res_raw'!$C$16</f>
        <v/>
      </c>
      <c r="D18" s="5">
        <f>'res_raw'!$D$16</f>
        <v/>
      </c>
      <c r="E18" s="5">
        <f>'res_raw'!$E$16</f>
        <v/>
      </c>
      <c r="F18" s="5">
        <f>'res_raw'!$F$16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'res_raw'!$B$17</f>
        <v/>
      </c>
      <c r="C19" s="8">
        <f>'res_raw'!$C$17</f>
        <v/>
      </c>
      <c r="D19" s="8">
        <f>'res_raw'!$D$17</f>
        <v/>
      </c>
      <c r="E19" s="8">
        <f>'res_raw'!$E$17</f>
        <v/>
      </c>
      <c r="F19" s="8">
        <f>'res_raw'!$F$17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Udviklingsprojekter</t>
        </is>
      </c>
      <c r="B22" s="5">
        <f>'balance_raw'!$B$2</f>
        <v/>
      </c>
      <c r="C22" s="5">
        <f>'balance_raw'!$C$2</f>
        <v/>
      </c>
      <c r="D22" s="5">
        <f>'balance_raw'!$D$2</f>
        <v/>
      </c>
      <c r="E22" s="5">
        <f>'balance_raw'!$E$2</f>
        <v/>
      </c>
      <c r="F22" s="5">
        <f>'balance_raw'!$F$2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Patenter, varemærker mv.</t>
        </is>
      </c>
      <c r="B23" s="11">
        <f>'balance_raw'!$B$3</f>
        <v/>
      </c>
      <c r="C23" s="11">
        <f>'balance_raw'!$C$3</f>
        <v/>
      </c>
      <c r="D23" s="11">
        <f>'balance_raw'!$D$3</f>
        <v/>
      </c>
      <c r="E23" s="11">
        <f>'balance_raw'!$E$3</f>
        <v/>
      </c>
      <c r="F23" s="11">
        <f>'balance_raw'!$F$3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Goodwill</t>
        </is>
      </c>
      <c r="B24" s="5">
        <f>'balance_raw'!$B$4</f>
        <v/>
      </c>
      <c r="C24" s="5">
        <f>'balance_raw'!$C$4</f>
        <v/>
      </c>
      <c r="D24" s="5">
        <f>'balance_raw'!$D$4</f>
        <v/>
      </c>
      <c r="E24" s="5">
        <f>'balance_raw'!$E$4</f>
        <v/>
      </c>
      <c r="F24" s="5">
        <f>'balance_raw'!$F$4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Immaterielle anlægsaktiver</t>
        </is>
      </c>
      <c r="B25" s="8">
        <f>'balance_raw'!$B$5</f>
        <v/>
      </c>
      <c r="C25" s="8">
        <f>'balance_raw'!$C$5</f>
        <v/>
      </c>
      <c r="D25" s="8">
        <f>'balance_raw'!$D$5</f>
        <v/>
      </c>
      <c r="E25" s="8">
        <f>'balance_raw'!$E$5</f>
        <v/>
      </c>
      <c r="F25" s="8">
        <f>'balance_raw'!$F$5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'balance_raw'!$B$6</f>
        <v/>
      </c>
      <c r="C26" s="8">
        <f>'balance_raw'!$C$6</f>
        <v/>
      </c>
      <c r="D26" s="8">
        <f>'balance_raw'!$D$6</f>
        <v/>
      </c>
      <c r="E26" s="8">
        <f>'balance_raw'!$E$6</f>
        <v/>
      </c>
      <c r="F26" s="8">
        <f>'balance_raw'!$F$6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'balance_raw'!$B$7</f>
        <v/>
      </c>
      <c r="C27" s="11">
        <f>'balance_raw'!$C$7</f>
        <v/>
      </c>
      <c r="D27" s="11">
        <f>'balance_raw'!$D$7</f>
        <v/>
      </c>
      <c r="E27" s="11">
        <f>'balance_raw'!$E$7</f>
        <v/>
      </c>
      <c r="F27" s="11">
        <f>'balance_raw'!$F$7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'balance_raw'!$B$8</f>
        <v/>
      </c>
      <c r="C28" s="5">
        <f>'balance_raw'!$C$8</f>
        <v/>
      </c>
      <c r="D28" s="5">
        <f>'balance_raw'!$D$8</f>
        <v/>
      </c>
      <c r="E28" s="5">
        <f>'balance_raw'!$E$8</f>
        <v/>
      </c>
      <c r="F28" s="5">
        <f>'balance_raw'!$F$8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'balance_raw'!$B$9</f>
        <v/>
      </c>
      <c r="C29" s="8">
        <f>'balance_raw'!$C$9</f>
        <v/>
      </c>
      <c r="D29" s="8">
        <f>'balance_raw'!$D$9</f>
        <v/>
      </c>
      <c r="E29" s="8">
        <f>'balance_raw'!$E$9</f>
        <v/>
      </c>
      <c r="F29" s="8">
        <f>'balance_raw'!$F$9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'balance_raw'!$B$10</f>
        <v/>
      </c>
      <c r="C30" s="8">
        <f>'balance_raw'!$C$10</f>
        <v/>
      </c>
      <c r="D30" s="8">
        <f>'balance_raw'!$D$10</f>
        <v/>
      </c>
      <c r="E30" s="8">
        <f>'balance_raw'!$E$10</f>
        <v/>
      </c>
      <c r="F30" s="8">
        <f>'balance_raw'!$F$10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Varebeholdninger</t>
        </is>
      </c>
      <c r="B31" s="8">
        <f>'balance_raw'!$B$11</f>
        <v/>
      </c>
      <c r="C31" s="8">
        <f>'balance_raw'!$C$11</f>
        <v/>
      </c>
      <c r="D31" s="8">
        <f>'balance_raw'!$D$11</f>
        <v/>
      </c>
      <c r="E31" s="8">
        <f>'balance_raw'!$E$11</f>
        <v/>
      </c>
      <c r="F31" s="8">
        <f>'balance_raw'!$F$11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Tilgodehavender fra salg og tjenesteydelser</t>
        </is>
      </c>
      <c r="B32" s="5">
        <f>'balance_raw'!$B$12</f>
        <v/>
      </c>
      <c r="C32" s="5">
        <f>'balance_raw'!$C$12</f>
        <v/>
      </c>
      <c r="D32" s="5">
        <f>'balance_raw'!$D$12</f>
        <v/>
      </c>
      <c r="E32" s="5">
        <f>'balance_raw'!$E$12</f>
        <v/>
      </c>
      <c r="F32" s="5">
        <f>'balance_raw'!$F$12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Tilgodehavender hos tilknyttede virksomheder</t>
        </is>
      </c>
      <c r="B33" s="11">
        <f>'balance_raw'!$B$13</f>
        <v/>
      </c>
      <c r="C33" s="11">
        <f>'balance_raw'!$C$13</f>
        <v/>
      </c>
      <c r="D33" s="11">
        <f>'balance_raw'!$D$13</f>
        <v/>
      </c>
      <c r="E33" s="11">
        <f>'balance_raw'!$E$13</f>
        <v/>
      </c>
      <c r="F33" s="11">
        <f>'balance_raw'!$F$13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Andre tilgodehavender</t>
        </is>
      </c>
      <c r="B34" s="5">
        <f>'balance_raw'!$B$14</f>
        <v/>
      </c>
      <c r="C34" s="5">
        <f>'balance_raw'!$C$14</f>
        <v/>
      </c>
      <c r="D34" s="5">
        <f>'balance_raw'!$D$14</f>
        <v/>
      </c>
      <c r="E34" s="5">
        <f>'balance_raw'!$E$14</f>
        <v/>
      </c>
      <c r="F34" s="5">
        <f>'balance_raw'!$F$14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Periodeafgrænsningsposter (aktiver)</t>
        </is>
      </c>
      <c r="B35" s="11">
        <f>'balance_raw'!$B$15</f>
        <v/>
      </c>
      <c r="C35" s="11">
        <f>'balance_raw'!$C$15</f>
        <v/>
      </c>
      <c r="D35" s="11">
        <f>'balance_raw'!$D$15</f>
        <v/>
      </c>
      <c r="E35" s="11">
        <f>'balance_raw'!$E$15</f>
        <v/>
      </c>
      <c r="F35" s="11">
        <f>'balance_raw'!$F$15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Udskudt skatteaktiv</t>
        </is>
      </c>
      <c r="B36" s="5">
        <f>'balance_raw'!$B$16</f>
        <v/>
      </c>
      <c r="C36" s="5">
        <f>'balance_raw'!$C$16</f>
        <v/>
      </c>
      <c r="D36" s="5">
        <f>'balance_raw'!$D$16</f>
        <v/>
      </c>
      <c r="E36" s="5">
        <f>'balance_raw'!$E$16</f>
        <v/>
      </c>
      <c r="F36" s="5">
        <f>'balance_raw'!$F$16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 skat hos tilknyttede virksomheder</t>
        </is>
      </c>
      <c r="B37" s="11">
        <f>'balance_raw'!$B$17</f>
        <v/>
      </c>
      <c r="C37" s="11">
        <f>'balance_raw'!$C$17</f>
        <v/>
      </c>
      <c r="D37" s="11">
        <f>'balance_raw'!$D$17</f>
        <v/>
      </c>
      <c r="E37" s="11">
        <f>'balance_raw'!$E$17</f>
        <v/>
      </c>
      <c r="F37" s="11">
        <f>'balance_raw'!$F$17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Kortfristede skattetilgodehavender</t>
        </is>
      </c>
      <c r="B38" s="5">
        <f>'balance_raw'!$B$18</f>
        <v/>
      </c>
      <c r="C38" s="5">
        <f>'balance_raw'!$C$18</f>
        <v/>
      </c>
      <c r="D38" s="5">
        <f>'balance_raw'!$D$18</f>
        <v/>
      </c>
      <c r="E38" s="5">
        <f>'balance_raw'!$E$18</f>
        <v/>
      </c>
      <c r="F38" s="5">
        <f>'balance_raw'!$F$18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Tilgodehavender</t>
        </is>
      </c>
      <c r="B39" s="8">
        <f>'balance_raw'!$B$19</f>
        <v/>
      </c>
      <c r="C39" s="8">
        <f>'balance_raw'!$C$19</f>
        <v/>
      </c>
      <c r="D39" s="8">
        <f>'balance_raw'!$D$19</f>
        <v/>
      </c>
      <c r="E39" s="8">
        <f>'balance_raw'!$E$19</f>
        <v/>
      </c>
      <c r="F39" s="8">
        <f>'balance_raw'!$F$19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Værdipapirer</t>
        </is>
      </c>
      <c r="B40" s="5">
        <f>'balance_raw'!$B$20</f>
        <v/>
      </c>
      <c r="C40" s="5">
        <f>'balance_raw'!$C$20</f>
        <v/>
      </c>
      <c r="D40" s="5">
        <f>'balance_raw'!$D$20</f>
        <v/>
      </c>
      <c r="E40" s="5">
        <f>'balance_raw'!$E$20</f>
        <v/>
      </c>
      <c r="F40" s="5">
        <f>'balance_raw'!$F$20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Likvide beholdninger</t>
        </is>
      </c>
      <c r="B41" s="11">
        <f>'balance_raw'!$B$21</f>
        <v/>
      </c>
      <c r="C41" s="11">
        <f>'balance_raw'!$C$21</f>
        <v/>
      </c>
      <c r="D41" s="11">
        <f>'balance_raw'!$D$21</f>
        <v/>
      </c>
      <c r="E41" s="11">
        <f>'balance_raw'!$E$21</f>
        <v/>
      </c>
      <c r="F41" s="11">
        <f>'balance_raw'!$F$21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Omsætningsaktiver</t>
        </is>
      </c>
      <c r="B42" s="8">
        <f>'balance_raw'!$B$22</f>
        <v/>
      </c>
      <c r="C42" s="8">
        <f>'balance_raw'!$C$22</f>
        <v/>
      </c>
      <c r="D42" s="8">
        <f>'balance_raw'!$D$22</f>
        <v/>
      </c>
      <c r="E42" s="8">
        <f>'balance_raw'!$E$22</f>
        <v/>
      </c>
      <c r="F42" s="8">
        <f>'balance_raw'!$F$22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7" t="inlineStr">
        <is>
          <t>Aktiver</t>
        </is>
      </c>
      <c r="B43" s="8">
        <f>'balance_raw'!$B$23</f>
        <v/>
      </c>
      <c r="C43" s="8">
        <f>'balance_raw'!$C$23</f>
        <v/>
      </c>
      <c r="D43" s="8">
        <f>'balance_raw'!$D$23</f>
        <v/>
      </c>
      <c r="E43" s="8">
        <f>'balance_raw'!$E$23</f>
        <v/>
      </c>
      <c r="F43" s="8">
        <f>'balance_raw'!$F$23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5" ht="22" customHeight="1">
      <c r="A45" s="3" t="inlineStr">
        <is>
          <t>PASSIVER t.kr.</t>
        </is>
      </c>
      <c r="B45" s="3" t="n">
        <v>2021</v>
      </c>
      <c r="C45" s="3" t="n">
        <v>2022</v>
      </c>
      <c r="D45" s="3" t="n">
        <v>2023</v>
      </c>
      <c r="E45" s="3" t="n">
        <v>2024</v>
      </c>
      <c r="F45" s="3" t="n">
        <v>2025</v>
      </c>
      <c r="G45" t="inlineStr"/>
      <c r="H45" s="3" t="n">
        <v>2021</v>
      </c>
      <c r="I45" s="3" t="n">
        <v>2022</v>
      </c>
      <c r="J45" s="3" t="n">
        <v>2023</v>
      </c>
      <c r="K45" s="3" t="n">
        <v>2024</v>
      </c>
      <c r="L45" s="3" t="n">
        <v>2025</v>
      </c>
    </row>
    <row r="46" ht="16" customHeight="1">
      <c r="A46" s="4" t="inlineStr">
        <is>
          <t>Selskabskapital</t>
        </is>
      </c>
      <c r="B46" s="5">
        <f>'balance_raw'!$B$24</f>
        <v/>
      </c>
      <c r="C46" s="5">
        <f>'balance_raw'!$C$24</f>
        <v/>
      </c>
      <c r="D46" s="5">
        <f>'balance_raw'!$D$24</f>
        <v/>
      </c>
      <c r="E46" s="5">
        <f>'balance_raw'!$E$24</f>
        <v/>
      </c>
      <c r="F46" s="5">
        <f>'balance_raw'!$F$24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Reserve for nettoopskrivning (indre værdis metode)</t>
        </is>
      </c>
      <c r="B47" s="11">
        <f>'balance_raw'!$B$25</f>
        <v/>
      </c>
      <c r="C47" s="11">
        <f>'balance_raw'!$C$25</f>
        <v/>
      </c>
      <c r="D47" s="11">
        <f>'balance_raw'!$D$25</f>
        <v/>
      </c>
      <c r="E47" s="11">
        <f>'balance_raw'!$E$25</f>
        <v/>
      </c>
      <c r="F47" s="11">
        <f>'balance_raw'!$F$25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Reserve for udviklingsomkostninger</t>
        </is>
      </c>
      <c r="B48" s="5">
        <f>'balance_raw'!$B$26</f>
        <v/>
      </c>
      <c r="C48" s="5">
        <f>'balance_raw'!$C$26</f>
        <v/>
      </c>
      <c r="D48" s="5">
        <f>'balance_raw'!$D$26</f>
        <v/>
      </c>
      <c r="E48" s="5">
        <f>'balance_raw'!$E$26</f>
        <v/>
      </c>
      <c r="F48" s="5">
        <f>'balance_raw'!$F$26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sikringstransaktioner</t>
        </is>
      </c>
      <c r="B49" s="11">
        <f>'balance_raw'!$B$27</f>
        <v/>
      </c>
      <c r="C49" s="11">
        <f>'balance_raw'!$C$27</f>
        <v/>
      </c>
      <c r="D49" s="11">
        <f>'balance_raw'!$D$27</f>
        <v/>
      </c>
      <c r="E49" s="11">
        <f>'balance_raw'!$E$27</f>
        <v/>
      </c>
      <c r="F49" s="11">
        <f>'balance_raw'!$F$27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Andre reserver</t>
        </is>
      </c>
      <c r="B50" s="5">
        <f>'balance_raw'!$B$28</f>
        <v/>
      </c>
      <c r="C50" s="5">
        <f>'balance_raw'!$C$28</f>
        <v/>
      </c>
      <c r="D50" s="5">
        <f>'balance_raw'!$D$28</f>
        <v/>
      </c>
      <c r="E50" s="5">
        <f>'balance_raw'!$E$28</f>
        <v/>
      </c>
      <c r="F50" s="5">
        <f>'balance_raw'!$F$28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Overført resultat</t>
        </is>
      </c>
      <c r="B51" s="11">
        <f>'balance_raw'!$B$29</f>
        <v/>
      </c>
      <c r="C51" s="11">
        <f>'balance_raw'!$C$29</f>
        <v/>
      </c>
      <c r="D51" s="11">
        <f>'balance_raw'!$D$29</f>
        <v/>
      </c>
      <c r="E51" s="11">
        <f>'balance_raw'!$E$29</f>
        <v/>
      </c>
      <c r="F51" s="11">
        <f>'balance_raw'!$F$29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7" t="inlineStr">
        <is>
          <t>Egenkapital i alt</t>
        </is>
      </c>
      <c r="B52" s="8">
        <f>'balance_raw'!$B$30</f>
        <v/>
      </c>
      <c r="C52" s="8">
        <f>'balance_raw'!$C$30</f>
        <v/>
      </c>
      <c r="D52" s="8">
        <f>'balance_raw'!$D$30</f>
        <v/>
      </c>
      <c r="E52" s="8">
        <f>'balance_raw'!$E$30</f>
        <v/>
      </c>
      <c r="F52" s="8">
        <f>'balance_raw'!$F$30</f>
        <v/>
      </c>
      <c r="G52" t="inlineStr"/>
      <c r="H52" s="9">
        <f>IFERROR(B52/$B$52*100,"")</f>
        <v/>
      </c>
      <c r="I52" s="9">
        <f>IFERROR(C52/$B$52*100,"")</f>
        <v/>
      </c>
      <c r="J52" s="9">
        <f>IFERROR(D52/$B$52*100,"")</f>
        <v/>
      </c>
      <c r="K52" s="9">
        <f>IFERROR(E52/$B$52*100,"")</f>
        <v/>
      </c>
      <c r="L52" s="9">
        <f>IFERROR(F52/$B$52*100,"")</f>
        <v/>
      </c>
    </row>
    <row r="53" ht="16" customHeight="1">
      <c r="A53" s="10" t="inlineStr">
        <is>
          <t>Hensættelse til udskudt skat</t>
        </is>
      </c>
      <c r="B53" s="11">
        <f>'balance_raw'!$B$31</f>
        <v/>
      </c>
      <c r="C53" s="11">
        <f>'balance_raw'!$C$31</f>
        <v/>
      </c>
      <c r="D53" s="11">
        <f>'balance_raw'!$D$31</f>
        <v/>
      </c>
      <c r="E53" s="11">
        <f>'balance_raw'!$E$31</f>
        <v/>
      </c>
      <c r="F53" s="11">
        <f>'balance_raw'!$F$31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Hensatte forpligtelser</t>
        </is>
      </c>
      <c r="B54" s="8">
        <f>'balance_raw'!$B$32</f>
        <v/>
      </c>
      <c r="C54" s="8">
        <f>'balance_raw'!$C$32</f>
        <v/>
      </c>
      <c r="D54" s="8">
        <f>'balance_raw'!$D$32</f>
        <v/>
      </c>
      <c r="E54" s="8">
        <f>'balance_raw'!$E$32</f>
        <v/>
      </c>
      <c r="F54" s="8">
        <f>'balance_raw'!$F$32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Ansvarlig lånekapital (langfristet)</t>
        </is>
      </c>
      <c r="B55" s="11">
        <f>'balance_raw'!$B$33</f>
        <v/>
      </c>
      <c r="C55" s="11">
        <f>'balance_raw'!$C$33</f>
        <v/>
      </c>
      <c r="D55" s="11">
        <f>'balance_raw'!$D$33</f>
        <v/>
      </c>
      <c r="E55" s="11">
        <f>'balance_raw'!$E$33</f>
        <v/>
      </c>
      <c r="F55" s="11">
        <f>'balance_raw'!$F$33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Langfristede lån</t>
        </is>
      </c>
      <c r="B56" s="5">
        <f>'balance_raw'!$B$34</f>
        <v/>
      </c>
      <c r="C56" s="5">
        <f>'balance_raw'!$C$34</f>
        <v/>
      </c>
      <c r="D56" s="5">
        <f>'balance_raw'!$D$34</f>
        <v/>
      </c>
      <c r="E56" s="5">
        <f>'balance_raw'!$E$34</f>
        <v/>
      </c>
      <c r="F56" s="5">
        <f>'balance_raw'!$F$34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Leasingforpligtelser (langfristet)</t>
        </is>
      </c>
      <c r="B57" s="11">
        <f>'balance_raw'!$B$35</f>
        <v/>
      </c>
      <c r="C57" s="11">
        <f>'balance_raw'!$C$35</f>
        <v/>
      </c>
      <c r="D57" s="11">
        <f>'balance_raw'!$D$35</f>
        <v/>
      </c>
      <c r="E57" s="11">
        <f>'balance_raw'!$E$35</f>
        <v/>
      </c>
      <c r="F57" s="11">
        <f>'balance_raw'!$F$35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'balance_raw'!$B$36</f>
        <v/>
      </c>
      <c r="C58" s="5">
        <f>'balance_raw'!$C$36</f>
        <v/>
      </c>
      <c r="D58" s="5">
        <f>'balance_raw'!$D$36</f>
        <v/>
      </c>
      <c r="E58" s="5">
        <f>'balance_raw'!$E$36</f>
        <v/>
      </c>
      <c r="F58" s="5">
        <f>'balance_raw'!$F$36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Langfristede gældsforpligtelser</t>
        </is>
      </c>
      <c r="B59" s="8">
        <f>'balance_raw'!$B$37</f>
        <v/>
      </c>
      <c r="C59" s="8">
        <f>'balance_raw'!$C$37</f>
        <v/>
      </c>
      <c r="D59" s="8">
        <f>'balance_raw'!$D$37</f>
        <v/>
      </c>
      <c r="E59" s="8">
        <f>'balance_raw'!$E$37</f>
        <v/>
      </c>
      <c r="F59" s="8">
        <f>'balance_raw'!$F$37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'balance_raw'!$B$38</f>
        <v/>
      </c>
      <c r="C60" s="5">
        <f>'balance_raw'!$C$38</f>
        <v/>
      </c>
      <c r="D60" s="5">
        <f>'balance_raw'!$D$38</f>
        <v/>
      </c>
      <c r="E60" s="5">
        <f>'balance_raw'!$E$38</f>
        <v/>
      </c>
      <c r="F60" s="5">
        <f>'balance_raw'!$F$38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Kortfristet del af langfristede gældsforpligtelser</t>
        </is>
      </c>
      <c r="B61" s="11">
        <f>'balance_raw'!$B$39</f>
        <v/>
      </c>
      <c r="C61" s="11">
        <f>'balance_raw'!$C$39</f>
        <v/>
      </c>
      <c r="D61" s="11">
        <f>'balance_raw'!$D$39</f>
        <v/>
      </c>
      <c r="E61" s="11">
        <f>'balance_raw'!$E$39</f>
        <v/>
      </c>
      <c r="F61" s="11">
        <f>'balance_raw'!$F$39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Kreditinstitutter</t>
        </is>
      </c>
      <c r="B62" s="5">
        <f>'balance_raw'!$B$40</f>
        <v/>
      </c>
      <c r="C62" s="5">
        <f>'balance_raw'!$C$40</f>
        <v/>
      </c>
      <c r="D62" s="5">
        <f>'balance_raw'!$D$40</f>
        <v/>
      </c>
      <c r="E62" s="5">
        <f>'balance_raw'!$E$40</f>
        <v/>
      </c>
      <c r="F62" s="5">
        <f>'balance_raw'!$F$40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Leasingforpligtelser (kortfristet)</t>
        </is>
      </c>
      <c r="B63" s="11">
        <f>'balance_raw'!$B$41</f>
        <v/>
      </c>
      <c r="C63" s="11">
        <f>'balance_raw'!$C$41</f>
        <v/>
      </c>
      <c r="D63" s="11">
        <f>'balance_raw'!$D$41</f>
        <v/>
      </c>
      <c r="E63" s="11">
        <f>'balance_raw'!$E$41</f>
        <v/>
      </c>
      <c r="F63" s="11">
        <f>'balance_raw'!$F$41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'balance_raw'!$B$42</f>
        <v/>
      </c>
      <c r="C64" s="5">
        <f>'balance_raw'!$C$42</f>
        <v/>
      </c>
      <c r="D64" s="5">
        <f>'balance_raw'!$D$42</f>
        <v/>
      </c>
      <c r="E64" s="5">
        <f>'balance_raw'!$E$42</f>
        <v/>
      </c>
      <c r="F64" s="5">
        <f>'balance_raw'!$F$42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</t>
        </is>
      </c>
      <c r="B65" s="11">
        <f>'balance_raw'!$B$43</f>
        <v/>
      </c>
      <c r="C65" s="11">
        <f>'balance_raw'!$C$43</f>
        <v/>
      </c>
      <c r="D65" s="11">
        <f>'balance_raw'!$D$43</f>
        <v/>
      </c>
      <c r="E65" s="11">
        <f>'balance_raw'!$E$43</f>
        <v/>
      </c>
      <c r="F65" s="11">
        <f>'balance_raw'!$F$43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'balance_raw'!$B$44</f>
        <v/>
      </c>
      <c r="C66" s="5">
        <f>'balance_raw'!$C$44</f>
        <v/>
      </c>
      <c r="D66" s="5">
        <f>'balance_raw'!$D$44</f>
        <v/>
      </c>
      <c r="E66" s="5">
        <f>'balance_raw'!$E$44</f>
        <v/>
      </c>
      <c r="F66" s="5">
        <f>'balance_raw'!$F$44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Selskabsskat</t>
        </is>
      </c>
      <c r="B67" s="11">
        <f>'balance_raw'!$B$45</f>
        <v/>
      </c>
      <c r="C67" s="11">
        <f>'balance_raw'!$C$45</f>
        <v/>
      </c>
      <c r="D67" s="11">
        <f>'balance_raw'!$D$45</f>
        <v/>
      </c>
      <c r="E67" s="11">
        <f>'balance_raw'!$E$45</f>
        <v/>
      </c>
      <c r="F67" s="11">
        <f>'balance_raw'!$F$45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'balance_raw'!$B$46</f>
        <v/>
      </c>
      <c r="C68" s="5">
        <f>'balance_raw'!$C$46</f>
        <v/>
      </c>
      <c r="D68" s="5">
        <f>'balance_raw'!$D$46</f>
        <v/>
      </c>
      <c r="E68" s="5">
        <f>'balance_raw'!$E$46</f>
        <v/>
      </c>
      <c r="F68" s="5">
        <f>'balance_raw'!$F$46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Anden gæld (kortfristet)</t>
        </is>
      </c>
      <c r="B69" s="11">
        <f>'balance_raw'!$B$47</f>
        <v/>
      </c>
      <c r="C69" s="11">
        <f>'balance_raw'!$C$47</f>
        <v/>
      </c>
      <c r="D69" s="11">
        <f>'balance_raw'!$D$47</f>
        <v/>
      </c>
      <c r="E69" s="11">
        <f>'balance_raw'!$E$47</f>
        <v/>
      </c>
      <c r="F69" s="11">
        <f>'balance_raw'!$F$47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'balance_raw'!$B$48</f>
        <v/>
      </c>
      <c r="C70" s="5">
        <f>'balance_raw'!$C$48</f>
        <v/>
      </c>
      <c r="D70" s="5">
        <f>'balance_raw'!$D$48</f>
        <v/>
      </c>
      <c r="E70" s="5">
        <f>'balance_raw'!$E$48</f>
        <v/>
      </c>
      <c r="F70" s="5">
        <f>'balance_raw'!$F$48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Kortfristede gældsforpligtelser</t>
        </is>
      </c>
      <c r="B71" s="8">
        <f>'balance_raw'!$B$49</f>
        <v/>
      </c>
      <c r="C71" s="8">
        <f>'balance_raw'!$C$49</f>
        <v/>
      </c>
      <c r="D71" s="8">
        <f>'balance_raw'!$D$49</f>
        <v/>
      </c>
      <c r="E71" s="8">
        <f>'balance_raw'!$E$49</f>
        <v/>
      </c>
      <c r="F71" s="8">
        <f>'balance_raw'!$F$49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Gældsforpligtelser</t>
        </is>
      </c>
      <c r="B72" s="8">
        <f>'balance_raw'!$B$50</f>
        <v/>
      </c>
      <c r="C72" s="8">
        <f>'balance_raw'!$C$50</f>
        <v/>
      </c>
      <c r="D72" s="8">
        <f>'balance_raw'!$D$50</f>
        <v/>
      </c>
      <c r="E72" s="8">
        <f>'balance_raw'!$E$50</f>
        <v/>
      </c>
      <c r="F72" s="8">
        <f>'balance_raw'!$F$50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Passiver</t>
        </is>
      </c>
      <c r="B73" s="8">
        <f>'balance_raw'!$B$51</f>
        <v/>
      </c>
      <c r="C73" s="8">
        <f>'balance_raw'!$C$51</f>
        <v/>
      </c>
      <c r="D73" s="8">
        <f>'balance_raw'!$D$51</f>
        <v/>
      </c>
      <c r="E73" s="8">
        <f>'balance_raw'!$E$51</f>
        <v/>
      </c>
      <c r="F73" s="8">
        <f>'balance_raw'!$F$51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'res_raw'!$B$18</f>
        <v/>
      </c>
      <c r="C76" s="5">
        <f>'res_raw'!$C$18</f>
        <v/>
      </c>
      <c r="D76" s="5">
        <f>'res_raw'!$D$18</f>
        <v/>
      </c>
      <c r="E76" s="5">
        <f>'res_raw'!$E$18</f>
        <v/>
      </c>
      <c r="F76" s="5">
        <f>'res_raw'!$F$18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Investering i materielle anlægsaktiver</t>
        </is>
      </c>
      <c r="B77" s="11">
        <f>'res_raw'!$B$19</f>
        <v/>
      </c>
      <c r="C77" s="11">
        <f>'res_raw'!$C$19</f>
        <v/>
      </c>
      <c r="D77" s="11">
        <f>'res_raw'!$D$19</f>
        <v/>
      </c>
      <c r="E77" s="11">
        <f>'res_raw'!$E$19</f>
        <v/>
      </c>
      <c r="F77" s="11">
        <f>'res_raw'!$F$19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IFERROR(($B$12+$B$14+$B$13)/$B$43*100,"")</f>
        <v/>
      </c>
      <c r="C80" s="13">
        <f>IFERROR(($C$12+$C$14+$C$13)/$C$43*100,"")</f>
        <v/>
      </c>
      <c r="D80" s="13">
        <f>IFERROR(($D$12+$D$14+$D$13)/$D$43*100,"")</f>
        <v/>
      </c>
      <c r="E80" s="13">
        <f>IFERROR(($E$12+$E$14+$E$13)/$E$43*100,"")</f>
        <v/>
      </c>
      <c r="F80" s="13">
        <f>IFERROR(($F$12+$F$14+$F$13)/$F$43*100,"")</f>
        <v/>
      </c>
    </row>
    <row r="81" ht="16" customHeight="1">
      <c r="A81" s="10" t="inlineStr">
        <is>
          <t>Overskudsgrad, %</t>
        </is>
      </c>
      <c r="B81" s="14">
        <f>IFERROR(($B$12+$B$14+$B$13)/$B$4*100,"")</f>
        <v/>
      </c>
      <c r="C81" s="14">
        <f>IFERROR(($C$12+$C$14+$C$13)/$C$4*100,"")</f>
        <v/>
      </c>
      <c r="D81" s="14">
        <f>IFERROR(($D$12+$D$14+$D$13)/$D$4*100,"")</f>
        <v/>
      </c>
      <c r="E81" s="14">
        <f>IFERROR(($E$12+$E$14+$E$13)/$E$4*100,"")</f>
        <v/>
      </c>
      <c r="F81" s="14">
        <f>IFERROR(($F$12+$F$14+$F$13)/$F$4*100,"")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IFERROR($B$4/$B$43,"")</f>
        <v/>
      </c>
      <c r="C82" s="13">
        <f>IFERROR($C$4/$C$43,"")</f>
        <v/>
      </c>
      <c r="D82" s="13">
        <f>IFERROR($D$4/$D$43,"")</f>
        <v/>
      </c>
      <c r="E82" s="13">
        <f>IFERROR($E$4/$E$43,"")</f>
        <v/>
      </c>
      <c r="F82" s="13">
        <f>IFERROR($F$4/$F$43,"")</f>
        <v/>
      </c>
    </row>
    <row r="83" ht="16" customHeight="1">
      <c r="A83" s="10" t="inlineStr">
        <is>
          <t>Egenkapitalens forrentning, %</t>
        </is>
      </c>
      <c r="B83" s="14">
        <f>IFERROR($B$17/$B$52*100,"")</f>
        <v/>
      </c>
      <c r="C83" s="14">
        <f>IFERROR($C$17/$C$52*100,"")</f>
        <v/>
      </c>
      <c r="D83" s="14">
        <f>IFERROR($D$17/$D$52*100,"")</f>
        <v/>
      </c>
      <c r="E83" s="14">
        <f>IFERROR($E$17/$E$52*100,"")</f>
        <v/>
      </c>
      <c r="F83" s="14">
        <f>IFERROR($F$17/$F$52*100,"")</f>
        <v/>
      </c>
    </row>
    <row r="84" ht="16" customHeight="1">
      <c r="A84" s="4" t="inlineStr">
        <is>
          <t>Gældsrente, %</t>
        </is>
      </c>
      <c r="B84" s="13">
        <f>IFERROR($B$15/($B$73-$B$52)*100,"")</f>
        <v/>
      </c>
      <c r="C84" s="13">
        <f>IFERROR($C$15/($C$73-$C$52)*100,"")</f>
        <v/>
      </c>
      <c r="D84" s="13">
        <f>IFERROR($D$15/($D$73-$D$52)*100,"")</f>
        <v/>
      </c>
      <c r="E84" s="13">
        <f>IFERROR($E$15/($E$73-$E$52)*100,"")</f>
        <v/>
      </c>
      <c r="F84" s="13">
        <f>IFERROR($F$15/($F$73-$F$52)*100,"")</f>
        <v/>
      </c>
    </row>
    <row r="85" ht="16" customHeight="1">
      <c r="A85" s="10" t="inlineStr">
        <is>
          <t>Soliditetsgrad, %</t>
        </is>
      </c>
      <c r="B85" s="14">
        <f>IFERROR($B$52/$B$43*100,"")</f>
        <v/>
      </c>
      <c r="C85" s="14">
        <f>IFERROR($C$52/$C$43*100,"")</f>
        <v/>
      </c>
      <c r="D85" s="14">
        <f>IFERROR($D$52/$D$43*100,"")</f>
        <v/>
      </c>
      <c r="E85" s="14">
        <f>IFERROR($E$52/$E$43*100,"")</f>
        <v/>
      </c>
      <c r="F85" s="14">
        <f>IFERROR($F$52/$F$43*100,"")</f>
        <v/>
      </c>
    </row>
    <row r="86" ht="16" customHeight="1">
      <c r="A86" s="4" t="inlineStr">
        <is>
          <t>Gearing</t>
        </is>
      </c>
      <c r="B86" s="13">
        <f>IFERROR(($B$73-$B$52)/$B$52,"")</f>
        <v/>
      </c>
      <c r="C86" s="13">
        <f>IFERROR(($C$73-$C$52)/$C$52,"")</f>
        <v/>
      </c>
      <c r="D86" s="13">
        <f>IFERROR(($D$73-$D$52)/$D$52,"")</f>
        <v/>
      </c>
      <c r="E86" s="13">
        <f>IFERROR(($E$73-$E$52)/$E$52,"")</f>
        <v/>
      </c>
      <c r="F86" s="13">
        <f>IFERROR(($F$73-$F$52)/$F$52,"")</f>
        <v/>
      </c>
    </row>
    <row r="87" ht="16" customHeight="1">
      <c r="A87" s="10" t="inlineStr">
        <is>
          <t>Likviditetsgrad, %</t>
        </is>
      </c>
      <c r="B87" s="14">
        <f>IFERROR($B$42/$B$71*100,"")</f>
        <v/>
      </c>
      <c r="C87" s="14">
        <f>IFERROR($C$42/$C$71*100,"")</f>
        <v/>
      </c>
      <c r="D87" s="14">
        <f>IFERROR($D$42/$D$71*100,"")</f>
        <v/>
      </c>
      <c r="E87" s="14">
        <f>IFERROR($E$42/$E$71*100,"")</f>
        <v/>
      </c>
      <c r="F87" s="14">
        <f>IFERROR($F$42/$F$71*100,"")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10" t="inlineStr">
        <is>
          <t>Gældsandel, %</t>
        </is>
      </c>
      <c r="B89" s="14">
        <f>IFERROR(($B$73-$B$52)/$B$43*100,"")</f>
        <v/>
      </c>
      <c r="C89" s="14">
        <f>IFERROR(($C$73-$C$52)/$C$43*100,"")</f>
        <v/>
      </c>
      <c r="D89" s="14">
        <f>IFERROR(($D$73-$D$52)/$D$43*100,"")</f>
        <v/>
      </c>
      <c r="E89" s="14">
        <f>IFERROR(($E$73-$E$52)/$E$43*100,"")</f>
        <v/>
      </c>
      <c r="F89" s="14">
        <f>IFERROR(($F$73-$F$52)/$F$43*100,"")</f>
        <v/>
      </c>
    </row>
    <row r="90" ht="16" customHeight="1">
      <c r="A90" s="4" t="inlineStr">
        <is>
          <t>Kapitalbindingsgrad, %</t>
        </is>
      </c>
      <c r="B90" s="13">
        <f>IFERROR($B$30/($B$52+$B$59)*100,"")</f>
        <v/>
      </c>
      <c r="C90" s="13">
        <f>IFERROR($C$30/($C$52+$C$59)*100,"")</f>
        <v/>
      </c>
      <c r="D90" s="13">
        <f>IFERROR($D$30/($D$52+$D$59)*100,"")</f>
        <v/>
      </c>
      <c r="E90" s="13">
        <f>IFERROR($E$30/($E$52+$E$59)*100,"")</f>
        <v/>
      </c>
      <c r="F90" s="13">
        <f>IFERROR($F$30/($F$52+$F$59)*100,"")</f>
        <v/>
      </c>
    </row>
    <row r="92">
      <c r="A92" s="15" t="inlineStr">
        <is>
          <t>PENGESTRØMSOPGØRELSE t.kr.</t>
        </is>
      </c>
    </row>
    <row r="93">
      <c r="A93" s="16" t="inlineStr">
        <is>
          <t>Pengestrømme fra driftsaktivitet</t>
        </is>
      </c>
      <c r="B93" s="17">
        <f>'pengestrom_raw'!$B$2</f>
        <v/>
      </c>
      <c r="C93" s="17">
        <f>'pengestrom_raw'!$C$2</f>
        <v/>
      </c>
      <c r="D93" s="17">
        <f>'pengestrom_raw'!$D$2</f>
        <v/>
      </c>
      <c r="E93" s="17">
        <f>'pengestrom_raw'!$E$2</f>
        <v/>
      </c>
      <c r="F93" s="17">
        <f>'pengestrom_raw'!$F$2</f>
        <v/>
      </c>
    </row>
    <row r="94">
      <c r="A94" s="16" t="inlineStr">
        <is>
          <t>Pengestrømme fra investeringsaktivitet</t>
        </is>
      </c>
      <c r="B94" s="17">
        <f>'pengestrom_raw'!$B$3</f>
        <v/>
      </c>
      <c r="C94" s="17">
        <f>'pengestrom_raw'!$C$3</f>
        <v/>
      </c>
      <c r="D94" s="17">
        <f>'pengestrom_raw'!$D$3</f>
        <v/>
      </c>
      <c r="E94" s="17">
        <f>'pengestrom_raw'!$E$3</f>
        <v/>
      </c>
      <c r="F94" s="17">
        <f>'pengestrom_raw'!$F$3</f>
        <v/>
      </c>
    </row>
    <row r="95">
      <c r="A95" s="16" t="inlineStr">
        <is>
          <t>Pengestrømme fra finansieringsaktivitet</t>
        </is>
      </c>
      <c r="B95" s="17">
        <f>'pengestrom_raw'!$B$4</f>
        <v/>
      </c>
      <c r="C95" s="17">
        <f>'pengestrom_raw'!$C$4</f>
        <v/>
      </c>
      <c r="D95" s="17">
        <f>'pengestrom_raw'!$D$4</f>
        <v/>
      </c>
      <c r="E95" s="17">
        <f>'pengestrom_raw'!$E$4</f>
        <v/>
      </c>
      <c r="F95" s="17">
        <f>'pengestrom_raw'!$F$4</f>
        <v/>
      </c>
    </row>
    <row r="96">
      <c r="A96" s="16" t="inlineStr">
        <is>
          <t>Årets pengestrøm (rapporteret)</t>
        </is>
      </c>
      <c r="B96" s="17">
        <f>'pengestrom_raw'!$B$5</f>
        <v/>
      </c>
      <c r="C96" s="17">
        <f>'pengestrom_raw'!$C$5</f>
        <v/>
      </c>
      <c r="D96" s="17">
        <f>'pengestrom_raw'!$D$5</f>
        <v/>
      </c>
      <c r="E96" s="17">
        <f>'pengestrom_raw'!$E$5</f>
        <v/>
      </c>
      <c r="F96" s="17">
        <f>'pengestrom_raw'!$F$5</f>
        <v/>
      </c>
    </row>
    <row r="97">
      <c r="A97" s="16" t="inlineStr">
        <is>
          <t>Krydstjek: drift + inv. + fin. = årets pengestrøm</t>
        </is>
      </c>
      <c r="B97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7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7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7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7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pandora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23394000</v>
      </c>
      <c r="C2" s="17" t="n">
        <v>26463000</v>
      </c>
      <c r="D2" s="17" t="n">
        <v>28136000</v>
      </c>
      <c r="E2" s="17" t="n">
        <v>31680000</v>
      </c>
      <c r="F2" s="17" t="n">
        <v>32549000</v>
      </c>
    </row>
    <row r="3">
      <c r="A3" s="16" t="inlineStr">
        <is>
          <t>Produktionsomkostninger</t>
        </is>
      </c>
      <c r="B3" s="17" t="n">
        <v>5590000</v>
      </c>
      <c r="C3" s="17" t="n">
        <v>6273000</v>
      </c>
      <c r="D3" s="17" t="n">
        <v>6012000</v>
      </c>
      <c r="E3" s="17" t="n">
        <v>6391000</v>
      </c>
      <c r="F3" s="17" t="n">
        <v>6802000</v>
      </c>
    </row>
    <row r="4">
      <c r="A4" s="15" t="inlineStr">
        <is>
          <t>Bruttoresultat</t>
        </is>
      </c>
      <c r="B4" s="17" t="n">
        <v>17803000</v>
      </c>
      <c r="C4" s="17" t="n">
        <v>20190000</v>
      </c>
      <c r="D4" s="17" t="n">
        <v>22125000</v>
      </c>
      <c r="E4" s="17" t="n">
        <v>25289000</v>
      </c>
      <c r="F4" s="17" t="n">
        <v>25747000</v>
      </c>
    </row>
    <row r="5">
      <c r="A5" s="16" t="inlineStr">
        <is>
          <t>Udviklingsomkostninger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Salgs- og distributionsomkostninger</t>
        </is>
      </c>
      <c r="B6" s="17" t="n">
        <v>9939000</v>
      </c>
      <c r="C6" s="17" t="n">
        <v>11322000</v>
      </c>
      <c r="D6" s="17" t="n">
        <v>12707000</v>
      </c>
      <c r="E6" s="17" t="n">
        <v>14844000</v>
      </c>
      <c r="F6" s="17" t="n">
        <v>15469000</v>
      </c>
    </row>
    <row r="7">
      <c r="A7" s="16" t="inlineStr">
        <is>
          <t>Administrationsomkostninger</t>
        </is>
      </c>
      <c r="B7" s="17" t="n">
        <v>2026000</v>
      </c>
      <c r="C7" s="17" t="n">
        <v>2125000</v>
      </c>
      <c r="D7" s="17" t="n">
        <v>2379000</v>
      </c>
      <c r="E7" s="17" t="n">
        <v>2471000</v>
      </c>
      <c r="F7" s="17" t="n">
        <v>2495000</v>
      </c>
    </row>
    <row r="8">
      <c r="A8" s="16" t="inlineStr">
        <is>
          <t>Andre driftsindtægter</t>
        </is>
      </c>
      <c r="B8" s="17" t="n"/>
      <c r="C8" s="17" t="n"/>
      <c r="D8" s="17" t="n"/>
      <c r="E8" s="17" t="n"/>
      <c r="F8" s="17" t="n"/>
    </row>
    <row r="9">
      <c r="A9" s="16" t="inlineStr">
        <is>
          <t>Andre driftsomkostninger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Resultat af primær drift</t>
        </is>
      </c>
      <c r="B10" s="17" t="n">
        <v>5839000</v>
      </c>
      <c r="C10" s="17" t="n">
        <v>6743000</v>
      </c>
      <c r="D10" s="17" t="n">
        <v>7039000</v>
      </c>
      <c r="E10" s="17" t="n">
        <v>7974000</v>
      </c>
      <c r="F10" s="17" t="n">
        <v>7783000</v>
      </c>
    </row>
    <row r="11">
      <c r="A11" s="16" t="inlineStr">
        <is>
          <t>Indtægter af kapitalandele, dattervirksomheder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Finansielle indtægter</t>
        </is>
      </c>
      <c r="B12" s="17" t="n">
        <v>152000</v>
      </c>
      <c r="C12" s="17" t="n">
        <v>412000</v>
      </c>
      <c r="D12" s="17" t="n">
        <v>251000</v>
      </c>
      <c r="E12" s="17" t="n">
        <v>248000</v>
      </c>
      <c r="F12" s="17" t="n">
        <v>279000</v>
      </c>
    </row>
    <row r="13">
      <c r="A13" s="16" t="inlineStr">
        <is>
          <t>Finansielle omkostninger</t>
        </is>
      </c>
      <c r="B13" s="17" t="n">
        <v>613000</v>
      </c>
      <c r="C13" s="17" t="n">
        <v>622000</v>
      </c>
      <c r="D13" s="17" t="n">
        <v>1056000</v>
      </c>
      <c r="E13" s="17" t="n">
        <v>1297000</v>
      </c>
      <c r="F13" s="17" t="n">
        <v>1149000</v>
      </c>
    </row>
    <row r="14">
      <c r="A14" s="15" t="inlineStr">
        <is>
          <t>Finansielle poster, netto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Resultat før skat</t>
        </is>
      </c>
      <c r="B15" s="17" t="n">
        <v>5378000</v>
      </c>
      <c r="C15" s="17" t="n">
        <v>6533000</v>
      </c>
      <c r="D15" s="17" t="n">
        <v>6234000</v>
      </c>
      <c r="E15" s="17" t="n">
        <v>6926000</v>
      </c>
      <c r="F15" s="17" t="n">
        <v>6913000</v>
      </c>
    </row>
    <row r="16">
      <c r="A16" s="16" t="inlineStr">
        <is>
          <t>Skat af årets resultat</t>
        </is>
      </c>
      <c r="B16" s="17" t="n">
        <v>1218000</v>
      </c>
      <c r="C16" s="17" t="n">
        <v>1504000</v>
      </c>
      <c r="D16" s="17" t="n">
        <v>1494000</v>
      </c>
      <c r="E16" s="17" t="n">
        <v>1699000</v>
      </c>
      <c r="F16" s="17" t="n">
        <v>1671000</v>
      </c>
    </row>
    <row r="17">
      <c r="A17" s="15" t="inlineStr">
        <is>
          <t>Årets resultat</t>
        </is>
      </c>
      <c r="B17" s="17" t="n">
        <v>4160000</v>
      </c>
      <c r="C17" s="17" t="n">
        <v>5029000</v>
      </c>
      <c r="D17" s="17" t="n">
        <v>4740000</v>
      </c>
      <c r="E17" s="17" t="n">
        <v>5227000</v>
      </c>
      <c r="F17" s="17" t="n">
        <v>5241000</v>
      </c>
    </row>
    <row r="18">
      <c r="A18" s="16" t="inlineStr">
        <is>
          <t>Gns. antal medarbejdere</t>
        </is>
      </c>
      <c r="B18" s="17" t="n"/>
      <c r="C18" s="17" t="n"/>
      <c r="D18" s="17" t="n"/>
      <c r="E18" s="17" t="n"/>
      <c r="F18" s="17" t="n"/>
    </row>
    <row r="19">
      <c r="A19" s="16" t="inlineStr">
        <is>
          <t>Investering i materielle anlægsaktiver</t>
        </is>
      </c>
      <c r="B19" s="17" t="n">
        <v>296000</v>
      </c>
      <c r="C19" s="17" t="n">
        <v>838000</v>
      </c>
      <c r="D19" s="17" t="n">
        <v>1129000</v>
      </c>
      <c r="E19" s="17" t="n">
        <v>1336000</v>
      </c>
      <c r="F19" s="17" t="n">
        <v>1449000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pandora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538000</v>
      </c>
      <c r="C2" s="17" t="n">
        <v>642000</v>
      </c>
      <c r="D2" s="17" t="n">
        <v>790000</v>
      </c>
      <c r="E2" s="17" t="n">
        <v>1015000</v>
      </c>
      <c r="F2" s="17" t="n">
        <v>1252000</v>
      </c>
    </row>
    <row r="3">
      <c r="A3" s="16" t="inlineStr">
        <is>
          <t>Patenter, varemærker mv.</t>
        </is>
      </c>
      <c r="B3" s="17" t="n">
        <v>1057000</v>
      </c>
      <c r="C3" s="17" t="n">
        <v>1057000</v>
      </c>
      <c r="D3" s="17" t="n">
        <v>1057000</v>
      </c>
      <c r="E3" s="17" t="n">
        <v>1057000</v>
      </c>
      <c r="F3" s="17" t="n">
        <v>1057000</v>
      </c>
    </row>
    <row r="4">
      <c r="A4" s="16" t="inlineStr">
        <is>
          <t>Goodwill</t>
        </is>
      </c>
      <c r="B4" s="17" t="n">
        <v>4418000</v>
      </c>
      <c r="C4" s="17" t="n">
        <v>4822000</v>
      </c>
      <c r="D4" s="17" t="n">
        <v>4914000</v>
      </c>
      <c r="E4" s="17" t="n">
        <v>5126000</v>
      </c>
      <c r="F4" s="17" t="n">
        <v>5020000</v>
      </c>
    </row>
    <row r="5">
      <c r="A5" s="15" t="inlineStr">
        <is>
          <t>Immaterielle anlægsaktiver</t>
        </is>
      </c>
      <c r="B5" s="17" t="n">
        <v>7094000</v>
      </c>
      <c r="C5" s="17" t="n">
        <v>7568000</v>
      </c>
      <c r="D5" s="17" t="n">
        <v>7801000</v>
      </c>
      <c r="E5" s="17" t="n">
        <v>8232000</v>
      </c>
      <c r="F5" s="17" t="n">
        <v>8364000</v>
      </c>
    </row>
    <row r="6">
      <c r="A6" s="15" t="inlineStr">
        <is>
          <t>Materielle anlægsaktiver</t>
        </is>
      </c>
      <c r="B6" s="17" t="n">
        <v>1816000</v>
      </c>
      <c r="C6" s="17" t="n">
        <v>2226000</v>
      </c>
      <c r="D6" s="17" t="n">
        <v>2746000</v>
      </c>
      <c r="E6" s="17" t="n">
        <v>3475000</v>
      </c>
      <c r="F6" s="17" t="n">
        <v>3817000</v>
      </c>
    </row>
    <row r="7">
      <c r="A7" s="16" t="inlineStr">
        <is>
          <t>Kapitalandele, dattervirksomheder</t>
        </is>
      </c>
      <c r="B7" s="17" t="n"/>
      <c r="C7" s="17" t="n"/>
      <c r="D7" s="17" t="n"/>
      <c r="E7" s="17" t="n"/>
      <c r="F7" s="17" t="n"/>
    </row>
    <row r="8">
      <c r="A8" s="16" t="inlineStr">
        <is>
          <t>Deposita</t>
        </is>
      </c>
      <c r="B8" s="17" t="n">
        <v>222000</v>
      </c>
      <c r="C8" s="17" t="n">
        <v>249000</v>
      </c>
      <c r="D8" s="17" t="n">
        <v>215000</v>
      </c>
      <c r="E8" s="17" t="n">
        <v>298000</v>
      </c>
      <c r="F8" s="17" t="n">
        <v>296000</v>
      </c>
    </row>
    <row r="9">
      <c r="A9" s="15" t="inlineStr">
        <is>
          <t>Finansielle anlægsaktiver</t>
        </is>
      </c>
      <c r="B9" s="17" t="n"/>
      <c r="C9" s="17" t="n"/>
      <c r="D9" s="17" t="n"/>
      <c r="E9" s="17" t="n"/>
      <c r="F9" s="17" t="n"/>
    </row>
    <row r="10">
      <c r="A10" s="15" t="inlineStr">
        <is>
          <t>Anlægsaktiver</t>
        </is>
      </c>
      <c r="B10" s="17" t="n">
        <v>12555000</v>
      </c>
      <c r="C10" s="17" t="n">
        <v>14282000</v>
      </c>
      <c r="D10" s="17" t="n">
        <v>15800000</v>
      </c>
      <c r="E10" s="17" t="n">
        <v>18532000</v>
      </c>
      <c r="F10" s="17" t="n">
        <v>19377000</v>
      </c>
    </row>
    <row r="11">
      <c r="A11" s="15" t="inlineStr">
        <is>
          <t>Varebeholdninger</t>
        </is>
      </c>
      <c r="B11" s="17" t="n">
        <v>2991000</v>
      </c>
      <c r="C11" s="17" t="n">
        <v>4211000</v>
      </c>
      <c r="D11" s="17" t="n">
        <v>4166000</v>
      </c>
      <c r="E11" s="17" t="n">
        <v>4426000</v>
      </c>
      <c r="F11" s="17" t="n">
        <v>4883000</v>
      </c>
    </row>
    <row r="12">
      <c r="A12" s="16" t="inlineStr">
        <is>
          <t>Tilgodehavender fra salg og tjenesteydelser</t>
        </is>
      </c>
      <c r="B12" s="17" t="n">
        <v>1009000</v>
      </c>
      <c r="C12" s="17" t="n">
        <v>1262000</v>
      </c>
      <c r="D12" s="17" t="n">
        <v>1342000</v>
      </c>
      <c r="E12" s="17" t="n">
        <v>1217000</v>
      </c>
      <c r="F12" s="17" t="n">
        <v>1163000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>
        <v>69000</v>
      </c>
      <c r="C14" s="17" t="n">
        <v>231000</v>
      </c>
      <c r="D14" s="17" t="n">
        <v>87000</v>
      </c>
      <c r="E14" s="17" t="n">
        <v>162000</v>
      </c>
      <c r="F14" s="17" t="n">
        <v>1709000</v>
      </c>
    </row>
    <row r="15">
      <c r="A15" s="16" t="inlineStr">
        <is>
          <t>Periodeafgrænsningsposter (aktiver)</t>
        </is>
      </c>
      <c r="B15" s="17" t="n"/>
      <c r="C15" s="17" t="n"/>
      <c r="D15" s="17" t="n">
        <v>55000</v>
      </c>
      <c r="E15" s="17" t="n">
        <v>91000</v>
      </c>
      <c r="F15" s="17" t="n">
        <v>72000</v>
      </c>
    </row>
    <row r="16">
      <c r="A16" s="16" t="inlineStr">
        <is>
          <t>Udskudt skatteaktiv</t>
        </is>
      </c>
      <c r="B16" s="17" t="n">
        <v>891000</v>
      </c>
      <c r="C16" s="17" t="n">
        <v>1261000</v>
      </c>
      <c r="D16" s="17" t="n">
        <v>1260000</v>
      </c>
      <c r="E16" s="17" t="n">
        <v>1530000</v>
      </c>
      <c r="F16" s="17" t="n">
        <v>1566000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>
        <v>68000</v>
      </c>
      <c r="C18" s="17" t="n">
        <v>155000</v>
      </c>
      <c r="D18" s="17" t="n">
        <v>103000</v>
      </c>
      <c r="E18" s="17" t="n">
        <v>153000</v>
      </c>
      <c r="F18" s="17" t="n">
        <v>158000</v>
      </c>
    </row>
    <row r="19">
      <c r="A19" s="15" t="inlineStr">
        <is>
          <t>Tilgodehavender</t>
        </is>
      </c>
      <c r="B19" s="17" t="n">
        <v>738000</v>
      </c>
      <c r="C19" s="17" t="n">
        <v>1024000</v>
      </c>
      <c r="D19" s="17" t="n">
        <v>849000</v>
      </c>
      <c r="E19" s="17" t="n">
        <v>782000</v>
      </c>
      <c r="F19" s="17" t="n">
        <v>936000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1043000</v>
      </c>
      <c r="C21" s="17" t="n">
        <v>794000</v>
      </c>
      <c r="D21" s="17" t="n">
        <v>1397000</v>
      </c>
      <c r="E21" s="17" t="n">
        <v>2394000</v>
      </c>
      <c r="F21" s="17" t="n">
        <v>1305000</v>
      </c>
    </row>
    <row r="22">
      <c r="A22" s="15" t="inlineStr">
        <is>
          <t>Omsætningsaktiver</t>
        </is>
      </c>
      <c r="B22" s="17" t="n">
        <v>5988000</v>
      </c>
      <c r="C22" s="17" t="n">
        <v>7731000</v>
      </c>
      <c r="D22" s="17" t="n">
        <v>7998000</v>
      </c>
      <c r="E22" s="17" t="n">
        <v>9226000</v>
      </c>
      <c r="F22" s="17" t="n">
        <v>10226000</v>
      </c>
    </row>
    <row r="23">
      <c r="A23" s="15" t="inlineStr">
        <is>
          <t>Aktiver</t>
        </is>
      </c>
      <c r="B23" s="17" t="n">
        <v>18542000</v>
      </c>
      <c r="C23" s="17" t="n">
        <v>22013000</v>
      </c>
      <c r="D23" s="17" t="n">
        <v>23798000</v>
      </c>
      <c r="E23" s="17" t="n">
        <v>27758000</v>
      </c>
      <c r="F23" s="17" t="n">
        <v>29603000</v>
      </c>
    </row>
    <row r="24">
      <c r="A24" s="16" t="inlineStr">
        <is>
          <t>Selskabskapital</t>
        </is>
      </c>
      <c r="B24" s="17" t="n">
        <v>100000</v>
      </c>
      <c r="C24" s="17" t="n">
        <v>96000</v>
      </c>
      <c r="D24" s="17" t="n">
        <v>89000</v>
      </c>
      <c r="E24" s="17" t="n">
        <v>82000</v>
      </c>
      <c r="F24" s="17" t="n">
        <v>79000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795000</v>
      </c>
      <c r="C28" s="17" t="n">
        <v>918000</v>
      </c>
      <c r="D28" s="17" t="n">
        <v>610000</v>
      </c>
      <c r="E28" s="17" t="n">
        <v>858000</v>
      </c>
      <c r="F28" s="17" t="n">
        <v>1263000</v>
      </c>
    </row>
    <row r="29">
      <c r="A29" s="16" t="inlineStr">
        <is>
          <t>Overført resultat</t>
        </is>
      </c>
      <c r="B29" s="17" t="n">
        <v>3416000</v>
      </c>
      <c r="C29" s="17" t="n">
        <v>3320000</v>
      </c>
      <c r="D29" s="17" t="n">
        <v>4353000</v>
      </c>
      <c r="E29" s="17" t="n">
        <v>3228000</v>
      </c>
      <c r="F29" s="17" t="n">
        <v>4236000</v>
      </c>
    </row>
    <row r="30">
      <c r="A30" s="15" t="inlineStr">
        <is>
          <t>Egenkapital i alt</t>
        </is>
      </c>
      <c r="B30" s="17" t="n">
        <v>7001000</v>
      </c>
      <c r="C30" s="17" t="n">
        <v>7167000</v>
      </c>
      <c r="D30" s="17" t="n">
        <v>5355000</v>
      </c>
      <c r="E30" s="17" t="n">
        <v>5508000</v>
      </c>
      <c r="F30" s="17" t="n">
        <v>5282000</v>
      </c>
    </row>
    <row r="31">
      <c r="A31" s="16" t="inlineStr">
        <is>
          <t>Hensættelse til udskudt skat</t>
        </is>
      </c>
      <c r="B31" s="17" t="n">
        <v>113000</v>
      </c>
      <c r="C31" s="17" t="n">
        <v>172000</v>
      </c>
      <c r="D31" s="17" t="n">
        <v>164000</v>
      </c>
      <c r="E31" s="17" t="n">
        <v>102000</v>
      </c>
      <c r="F31" s="17" t="n">
        <v>462000</v>
      </c>
    </row>
    <row r="32">
      <c r="A32" s="15" t="inlineStr">
        <is>
          <t>Hensatte forpligtelser</t>
        </is>
      </c>
      <c r="B32" s="17" t="n">
        <v>416000</v>
      </c>
      <c r="C32" s="17" t="n">
        <v>363000</v>
      </c>
      <c r="D32" s="17" t="n">
        <v>408000</v>
      </c>
      <c r="E32" s="17" t="n">
        <v>494000</v>
      </c>
      <c r="F32" s="17" t="n">
        <v>558000</v>
      </c>
    </row>
    <row r="33">
      <c r="A33" s="16" t="inlineStr">
        <is>
          <t>Ansvarlig lånekapital (langfristet)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Langfristede lån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Leasingforpligtelser (langfristet)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Anden gæld (langfristet)</t>
        </is>
      </c>
      <c r="B36" s="17" t="n"/>
      <c r="C36" s="17" t="n"/>
      <c r="D36" s="17" t="n">
        <v>80000</v>
      </c>
      <c r="E36" s="17" t="n">
        <v>152000</v>
      </c>
      <c r="F36" s="17" t="n">
        <v>128000</v>
      </c>
    </row>
    <row r="37">
      <c r="A37" s="15" t="inlineStr">
        <is>
          <t>Langfristede gældsforpligtelser</t>
        </is>
      </c>
      <c r="B37" s="17" t="n">
        <v>2765000</v>
      </c>
      <c r="C37" s="17" t="n">
        <v>3130000</v>
      </c>
      <c r="D37" s="17" t="n">
        <v>9737000</v>
      </c>
      <c r="E37" s="17" t="n">
        <v>11625000</v>
      </c>
      <c r="F37" s="17" t="n">
        <v>11922000</v>
      </c>
    </row>
    <row r="38">
      <c r="A38" s="16" t="inlineStr">
        <is>
          <t>Ansvarlig lånekapital (kortfristet)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Kortfristet del af langfristede gældsforpligtelser</t>
        </is>
      </c>
      <c r="B39" s="17" t="n"/>
      <c r="C39" s="17" t="n"/>
      <c r="D39" s="17" t="n"/>
      <c r="E39" s="17" t="n"/>
      <c r="F39" s="17" t="n"/>
    </row>
    <row r="40">
      <c r="A40" s="16" t="inlineStr">
        <is>
          <t>Kreditinstitutter</t>
        </is>
      </c>
      <c r="B40" s="17" t="n">
        <v>1161000</v>
      </c>
      <c r="C40" s="17" t="n">
        <v>4458000</v>
      </c>
      <c r="D40" s="17" t="n">
        <v>1430000</v>
      </c>
      <c r="E40" s="17" t="n">
        <v>1776000</v>
      </c>
      <c r="F40" s="17" t="n">
        <v>3102000</v>
      </c>
    </row>
    <row r="41">
      <c r="A41" s="16" t="inlineStr">
        <is>
          <t>Leasingforpligtelser (kortfristet)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Leverandører af varer og tjenesteydelser</t>
        </is>
      </c>
      <c r="B42" s="17" t="n">
        <v>3267000</v>
      </c>
      <c r="C42" s="17" t="n">
        <v>3131000</v>
      </c>
      <c r="D42" s="17" t="n">
        <v>3211000</v>
      </c>
      <c r="E42" s="17" t="n">
        <v>3894000</v>
      </c>
      <c r="F42" s="17" t="n">
        <v>4623000</v>
      </c>
    </row>
    <row r="43">
      <c r="A43" s="16" t="inlineStr">
        <is>
          <t>Gæld til tilknyttede virksomheder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Gæld til selskabsdeltagere og ledelse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Gæld til tilknyttede virksomheder vedr. selskabsskat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Anden gæld (kortfristet)</t>
        </is>
      </c>
      <c r="B47" s="17" t="n">
        <v>1694000</v>
      </c>
      <c r="C47" s="17" t="n">
        <v>1666000</v>
      </c>
      <c r="D47" s="17" t="n">
        <v>1773000</v>
      </c>
      <c r="E47" s="17" t="n">
        <v>2057000</v>
      </c>
      <c r="F47" s="17" t="n">
        <v>1710000</v>
      </c>
    </row>
    <row r="48">
      <c r="A48" s="16" t="inlineStr">
        <is>
          <t>Periodeafgrænsningsposter (passiver)</t>
        </is>
      </c>
      <c r="B48" s="17" t="n">
        <v>163000</v>
      </c>
      <c r="C48" s="17" t="n">
        <v>136000</v>
      </c>
      <c r="D48" s="17" t="n">
        <v>185000</v>
      </c>
      <c r="E48" s="17" t="n">
        <v>237000</v>
      </c>
      <c r="F48" s="17" t="n">
        <v>271000</v>
      </c>
    </row>
    <row r="49">
      <c r="A49" s="15" t="inlineStr">
        <is>
          <t>Kortfristede gældsforpligtelser</t>
        </is>
      </c>
      <c r="B49" s="17" t="n">
        <v>8246000</v>
      </c>
      <c r="C49" s="17" t="n">
        <v>11181000</v>
      </c>
      <c r="D49" s="17" t="n">
        <v>8053000</v>
      </c>
      <c r="E49" s="17" t="n">
        <v>9877000</v>
      </c>
      <c r="F49" s="17" t="n">
        <v>11252000</v>
      </c>
    </row>
    <row r="50">
      <c r="A50" s="15" t="inlineStr">
        <is>
          <t>Gældsforpligtelser</t>
        </is>
      </c>
      <c r="B50" s="17" t="n">
        <v>11541000</v>
      </c>
      <c r="C50" s="17" t="n">
        <v>14846000</v>
      </c>
      <c r="D50" s="17" t="n">
        <v>18443000</v>
      </c>
      <c r="E50" s="17" t="n">
        <v>22250000</v>
      </c>
      <c r="F50" s="17" t="n">
        <v>24321000</v>
      </c>
    </row>
    <row r="51">
      <c r="A51" s="15" t="inlineStr">
        <is>
          <t>Passiver</t>
        </is>
      </c>
      <c r="B51" s="17" t="n">
        <v>18542000</v>
      </c>
      <c r="C51" s="17" t="n">
        <v>22013000</v>
      </c>
      <c r="D51" s="17" t="n">
        <v>23798000</v>
      </c>
      <c r="E51" s="17" t="n">
        <v>27758000</v>
      </c>
      <c r="F51" s="17" t="n">
        <v>29603000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pandora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6228000</v>
      </c>
      <c r="C2" s="17" t="n">
        <v>4434000</v>
      </c>
      <c r="D2" s="17" t="n">
        <v>7384000</v>
      </c>
      <c r="E2" s="17" t="n">
        <v>8721000</v>
      </c>
      <c r="F2" s="17" t="n">
        <v>7361000</v>
      </c>
    </row>
    <row r="3">
      <c r="A3" s="16" t="inlineStr">
        <is>
          <t>Pengestrømme fra investeringsaktivitet</t>
        </is>
      </c>
      <c r="B3" s="17" t="n">
        <v>-631000</v>
      </c>
      <c r="C3" s="17" t="n">
        <v>-1785000</v>
      </c>
      <c r="D3" s="17" t="n">
        <v>-1800000</v>
      </c>
      <c r="E3" s="17" t="n">
        <v>-1889000</v>
      </c>
      <c r="F3" s="17" t="n">
        <v>-2286000</v>
      </c>
    </row>
    <row r="4">
      <c r="A4" s="16" t="inlineStr">
        <is>
          <t>Pengestrømme fra finansieringsaktivitet</t>
        </is>
      </c>
      <c r="B4" s="17" t="n">
        <v>-7484000</v>
      </c>
      <c r="C4" s="17" t="n">
        <v>-3100000</v>
      </c>
      <c r="D4" s="17" t="n">
        <v>-4935000</v>
      </c>
      <c r="E4" s="17" t="n">
        <v>-5701000</v>
      </c>
      <c r="F4" s="17" t="n">
        <v>-6119000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pandora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IF(ABS((SUM(B5:B6))-'res_raw'!$F$4)&lt;=2,SUM(B5:B6),'res_raw'!$F$4)</f>
        <v/>
      </c>
      <c r="C7" s="27">
        <f>IF(ABS((SUM(C5:C6))-'res_raw'!$E$4)&lt;=2,SUM(C5:C6),'res_raw'!$E$4)</f>
        <v/>
      </c>
      <c r="D7" s="27">
        <f>IF(ABS((SUM(D5:D6))-'res_raw'!$D$4)&lt;=2,SUM(D5:D6),'res_raw'!$D$4)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-'res_raw'!$F$7</f>
        <v/>
      </c>
      <c r="C10" s="24">
        <f>-'res_raw'!$E$7</f>
        <v/>
      </c>
      <c r="D10" s="24">
        <f>-'res_raw'!$D$7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'res_raw'!$F$8</f>
        <v/>
      </c>
      <c r="C11" s="24">
        <f>'res_raw'!$E$8</f>
        <v/>
      </c>
      <c r="D11" s="24">
        <f>'res_raw'!$D$8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-'res_raw'!$F$9</f>
        <v/>
      </c>
      <c r="C12" s="27">
        <f>-'res_raw'!$E$9</f>
        <v/>
      </c>
      <c r="D12" s="27">
        <f>-'res_raw'!$D$9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IF(ABS((SUM(B7:B12))-'res_raw'!$F$10)&lt;=2,SUM(B7:B12),'res_raw'!$F$10)</f>
        <v/>
      </c>
      <c r="C13" s="30">
        <f>IF(ABS((SUM(C7:C12))-'res_raw'!$E$10)&lt;=2,SUM(C7:C12),'res_raw'!$E$10)</f>
        <v/>
      </c>
      <c r="D13" s="30">
        <f>IF(ABS((SUM(D7:D12))-'res_raw'!$D$10)&lt;=2,SUM(D7:D12),'res_raw'!$D$10)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N('res_raw'!$F$11)+N('res_raw'!$F$12)</f>
        <v/>
      </c>
      <c r="C14" s="24">
        <f>N('res_raw'!$E$11)+N('res_raw'!$E$12)</f>
        <v/>
      </c>
      <c r="D14" s="24">
        <f>N('res_raw'!$D$11)+N('res_raw'!$D$12)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-'res_raw'!$F$13</f>
        <v/>
      </c>
      <c r="C15" s="27">
        <f>-'res_raw'!$E$13</f>
        <v/>
      </c>
      <c r="D15" s="27">
        <f>-'res_raw'!$D$13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IF(ABS((SUM(B13:B15))-'res_raw'!$F$15)&lt;=2,SUM(B13:B15),'res_raw'!$F$15)</f>
        <v/>
      </c>
      <c r="C16" s="30">
        <f>IF(ABS((SUM(C13:C15))-'res_raw'!$E$15)&lt;=2,SUM(C13:C15),'res_raw'!$E$15)</f>
        <v/>
      </c>
      <c r="D16" s="30">
        <f>IF(ABS((SUM(D13:D15))-'res_raw'!$D$15)&lt;=2,SUM(D13:D15),'res_raw'!$D$15)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'balance_raw'!$F$10</f>
        <v/>
      </c>
      <c r="C19" s="24">
        <f>'balance_raw'!$E$10</f>
        <v/>
      </c>
      <c r="D19" s="24">
        <f>'balance_raw'!$D$10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'balance_raw'!$F$22</f>
        <v/>
      </c>
      <c r="C20" s="24">
        <f>'balance_raw'!$E$22</f>
        <v/>
      </c>
      <c r="D20" s="24">
        <f>'balance_raw'!$D$22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'balance_raw'!$F$30</f>
        <v/>
      </c>
      <c r="C23" s="24">
        <f>'balance_raw'!$E$30</f>
        <v/>
      </c>
      <c r="D23" s="24">
        <f>'balance_raw'!$D$30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'balance_raw'!$F$51-'balance_raw'!$F$30</f>
        <v/>
      </c>
      <c r="C24" s="24">
        <f>'balance_raw'!$E$51-'balance_raw'!$E$30</f>
        <v/>
      </c>
      <c r="D24" s="24">
        <f>'balance_raw'!$D$51-'balance_raw'!$D$30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'balance_raw'!$F$11</f>
        <v/>
      </c>
      <c r="C28" s="24">
        <f>'balance_raw'!$E$11</f>
        <v/>
      </c>
      <c r="D28" s="24">
        <f>'balance_raw'!$D$11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'balance_raw'!$F$12</f>
        <v/>
      </c>
      <c r="C29" s="24">
        <f>'balance_raw'!$E$12</f>
        <v/>
      </c>
      <c r="D29" s="24">
        <f>'balance_raw'!$D$12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'balance_raw'!$F$49</f>
        <v/>
      </c>
      <c r="C30" s="24">
        <f>'balance_raw'!$E$49</f>
        <v/>
      </c>
      <c r="D30" s="24">
        <f>'balance_raw'!$D$49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IF('balance_raw'!$F$23="","—",IF(ABS(B21-'balance_raw'!$F$23)&lt;=1,"✓ OK","❌ "&amp;TEXT(B21-'balance_raw'!$F$23,"+#,##0;-#,##0")&amp;" t.kr."))</f>
        <v/>
      </c>
      <c r="C62" s="31">
        <f>IF('balance_raw'!$E$23="","—",IF(ABS(C21-'balance_raw'!$E$23)&lt;=1,"✓ OK","❌ "&amp;TEXT(C21-'balance_raw'!$E$23,"+#,##0;-#,##0")&amp;" t.kr."))</f>
        <v/>
      </c>
      <c r="D62" s="31">
        <f>IF('balance_raw'!$D$23="","—",IF(ABS(D21-'balance_raw'!$D$23)&lt;=1,"✓ OK","❌ "&amp;TEXT(D21-'balance_raw'!$D$23,"+#,##0;-#,##0")&amp;"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IF('balance_raw'!$F$51="","—",IF(ABS(B25-'balance_raw'!$F$51)&lt;=1,"✓ OK","❌ "&amp;TEXT(B25-'balance_raw'!$F$51,"+#,##0;-#,##0")&amp;" t.kr."))</f>
        <v/>
      </c>
      <c r="C63" s="31">
        <f>IF('balance_raw'!$E$51="","—",IF(ABS(C25-'balance_raw'!$E$51)&lt;=1,"✓ OK","❌ "&amp;TEXT(C25-'balance_raw'!$E$51,"+#,##0;-#,##0")&amp;" t.kr."))</f>
        <v/>
      </c>
      <c r="D63" s="31">
        <f>IF('balance_raw'!$D$51="","—",IF(ABS(D25-'balance_raw'!$D$51)&lt;=1,"✓ OK","❌ "&amp;TEXT(D25-'balance_raw'!$D$51,"+#,##0;-#,##0")&amp;"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IF('res_raw'!$F$4="","—",IF(ABS(B7-'res_raw'!$F$4)&lt;=1,"✓ OK","❌ "&amp;TEXT(B7-'res_raw'!$F$4,"+#,##0;-#,##0")&amp;" t.kr."))</f>
        <v/>
      </c>
      <c r="C65" s="31">
        <f>IF('res_raw'!$E$4="","—",IF(ABS(C7-'res_raw'!$E$4)&lt;=1,"✓ OK","❌ "&amp;TEXT(C7-'res_raw'!$E$4,"+#,##0;-#,##0")&amp;" t.kr."))</f>
        <v/>
      </c>
      <c r="D65" s="31">
        <f>IF('res_raw'!$D$4="","—",IF(ABS(D7-'res_raw'!$D$4)&lt;=1,"✓ OK","❌ "&amp;TEXT(D7-'res_raw'!$D$4,"+#,##0;-#,##0")&amp;"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IF('res_raw'!$F$10="","—",IF(ABS(B13-'res_raw'!$F$10)&lt;=1,"✓ OK","❌ "&amp;TEXT(B13-'res_raw'!$F$10,"+#,##0;-#,##0")&amp;" t.kr."))</f>
        <v/>
      </c>
      <c r="C66" s="31">
        <f>IF('res_raw'!$E$10="","—",IF(ABS(C13-'res_raw'!$E$10)&lt;=1,"✓ OK","❌ "&amp;TEXT(C13-'res_raw'!$E$10,"+#,##0;-#,##0")&amp;" t.kr."))</f>
        <v/>
      </c>
      <c r="D66" s="31">
        <f>IF('res_raw'!$D$10="","—",IF(ABS(D13-'res_raw'!$D$10)&lt;=1,"✓ OK","❌ "&amp;TEXT(D13-'res_raw'!$D$10,"+#,##0;-#,##0")&amp;"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IF('res_raw'!$F$15="","—",IF(ABS(B16-'res_raw'!$F$15)&lt;=1,"✓ OK","❌ "&amp;TEXT(B16-'res_raw'!$F$15,"+#,##0;-#,##0")&amp;" t.kr."))</f>
        <v/>
      </c>
      <c r="C67" s="31">
        <f>IF('res_raw'!$E$15="","—",IF(ABS(C16-'res_raw'!$E$15)&lt;=1,"✓ OK","❌ "&amp;TEXT(C16-'res_raw'!$E$15,"+#,##0;-#,##0")&amp;" t.kr."))</f>
        <v/>
      </c>
      <c r="D67" s="31">
        <f>IF('res_raw'!$D$15="","—",IF(ABS(D16-'res_raw'!$D$15)&lt;=1,"✓ OK","❌ "&amp;TEXT(D16-'res_raw'!$D$15,"+#,##0;-#,##0")&amp;"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pandora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ifrs-full:AdjustmentsForSharebasedPayments</t>
        </is>
      </c>
      <c r="C3" s="36" t="inlineStr">
        <is>
          <t>ifrs-full:AdjustmentsForSharebasedPayments</t>
        </is>
      </c>
      <c r="D3" s="37" t="n">
        <v>166000</v>
      </c>
      <c r="E3" s="37" t="n">
        <v>87000</v>
      </c>
      <c r="F3" s="37" t="n">
        <v>105000</v>
      </c>
      <c r="G3" s="37" t="n">
        <v>166000</v>
      </c>
      <c r="H3" s="37" t="n">
        <v>103000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ifrs-full:BankOverdraftsClassifiedAsCashEquivalents</t>
        </is>
      </c>
      <c r="C4" s="39" t="inlineStr">
        <is>
          <t>ifrs-full:BankOverdraftsClassifiedAsCashEquivalents</t>
        </is>
      </c>
      <c r="D4" s="40" t="n">
        <v>0</v>
      </c>
      <c r="E4" s="40" t="n">
        <v>199000</v>
      </c>
      <c r="F4" s="40" t="n">
        <v>214000</v>
      </c>
      <c r="G4" s="40" t="n">
        <v>90000</v>
      </c>
      <c r="H4" s="40" t="n">
        <v>111000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ifrs-full:CurrentRefundsProvision</t>
        </is>
      </c>
      <c r="C5" s="36" t="inlineStr">
        <is>
          <t>ifrs-full:CurrentRefundsProvision</t>
        </is>
      </c>
      <c r="D5" s="37" t="n">
        <v>724000</v>
      </c>
      <c r="E5" s="37" t="n">
        <v>628000</v>
      </c>
      <c r="F5" s="37" t="n">
        <v>721000</v>
      </c>
      <c r="G5" s="37" t="n">
        <v>840000</v>
      </c>
      <c r="H5" s="37" t="n">
        <v>793000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ifrs-full:DividendsRecognisedAsDistributionsToOwnersPerShare</t>
        </is>
      </c>
      <c r="C6" s="39" t="inlineStr">
        <is>
          <t>ifrs-full:DividendsRecognisedAsDistributionsToOwnersPerShare</t>
        </is>
      </c>
      <c r="D6" s="40" t="n"/>
      <c r="E6" s="40" t="n">
        <v>0</v>
      </c>
      <c r="F6" s="40" t="n"/>
      <c r="G6" s="40" t="n"/>
      <c r="H6" s="40" t="n"/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ifrs-full:GainsLossesOnChangeInValueOfForwardElementsOfForwardContractsBeforeTax</t>
        </is>
      </c>
      <c r="C7" s="36" t="inlineStr">
        <is>
          <t>ifrs-full:GainsLossesOnChangeInValueOfForwardElementsOfForwardContractsBeforeTax</t>
        </is>
      </c>
      <c r="D7" s="37" t="n"/>
      <c r="E7" s="37" t="n"/>
      <c r="F7" s="37" t="n">
        <v>0</v>
      </c>
      <c r="G7" s="37" t="n">
        <v>7000</v>
      </c>
      <c r="H7" s="37" t="n">
        <v>50000</v>
      </c>
      <c r="I7" s="38" t="inlineStr">
        <is>
          <t>Ingen forklaring tilgængelig.</t>
        </is>
      </c>
    </row>
    <row r="8" ht="30" customHeight="1">
      <c r="A8" s="39" t="inlineStr">
        <is>
          <t>Øvrige (ukendt)</t>
        </is>
      </c>
      <c r="B8" s="39" t="inlineStr">
        <is>
          <t>ifrs-full:GainsLossesOnHedgesOfNetInvestmentsInForeignOperationsBeforeTax</t>
        </is>
      </c>
      <c r="C8" s="39" t="inlineStr">
        <is>
          <t>ifrs-full:GainsLossesOnHedgesOfNetInvestmentsInForeignOperationsBeforeTax</t>
        </is>
      </c>
      <c r="D8" s="40" t="n">
        <v>-287000</v>
      </c>
      <c r="E8" s="40" t="n">
        <v>-61000</v>
      </c>
      <c r="F8" s="40" t="n">
        <v>-151000</v>
      </c>
      <c r="G8" s="40" t="n">
        <v>-70000</v>
      </c>
      <c r="H8" s="40" t="n"/>
      <c r="I8" s="41" t="inlineStr">
        <is>
          <t>Ingen forklaring tilgængelig.</t>
        </is>
      </c>
    </row>
    <row r="9" ht="30" customHeight="1">
      <c r="A9" s="36" t="inlineStr">
        <is>
          <t>Øvrige (ukendt)</t>
        </is>
      </c>
      <c r="B9" s="36" t="inlineStr">
        <is>
          <t>ifrs-full:OtherComprehensiveIncomeNetOfTaxGainsLossesOnRemeasurementsOfDefinedBenefitPlans</t>
        </is>
      </c>
      <c r="C9" s="36" t="inlineStr">
        <is>
          <t>ifrs-full:OtherComprehensiveIncomeNetOfTaxGainsLossesOnRemeasurementsOfDefinedBenefitPlans</t>
        </is>
      </c>
      <c r="D9" s="37" t="n">
        <v>10000</v>
      </c>
      <c r="E9" s="37" t="n">
        <v>12000</v>
      </c>
      <c r="F9" s="37" t="n">
        <v>-9000</v>
      </c>
      <c r="G9" s="37" t="n">
        <v>-12000</v>
      </c>
      <c r="H9" s="37" t="n">
        <v>-23000</v>
      </c>
      <c r="I9" s="38" t="inlineStr">
        <is>
          <t>Ingen forklaring tilgængelig.</t>
        </is>
      </c>
    </row>
    <row r="10" ht="30" customHeight="1">
      <c r="A10" s="39" t="inlineStr">
        <is>
          <t>Øvrige (ukendt)</t>
        </is>
      </c>
      <c r="B10" s="39" t="inlineStr">
        <is>
          <t>ifrs-full:PaymentsFromChangesInOwnershipInterestsInSubsidiaries</t>
        </is>
      </c>
      <c r="C10" s="39" t="inlineStr">
        <is>
          <t>ifrs-full:PaymentsFromChangesInOwnershipInterestsInSubsidiaries</t>
        </is>
      </c>
      <c r="D10" s="40" t="n"/>
      <c r="E10" s="40" t="n"/>
      <c r="F10" s="40" t="n"/>
      <c r="G10" s="40" t="n"/>
      <c r="H10" s="40" t="n"/>
      <c r="I10" s="41" t="inlineStr">
        <is>
          <t>Ingen forklaring tilgængelig.</t>
        </is>
      </c>
    </row>
    <row r="11" ht="30" customHeight="1">
      <c r="A11" s="36" t="inlineStr">
        <is>
          <t>Øvrige (ukendt)</t>
        </is>
      </c>
      <c r="B11" s="36" t="inlineStr">
        <is>
          <t>ifrs-full:ReclassificationAdjustmentsOnChangeInValueOfForwardElementsOfForwardContractsBeforeTax</t>
        </is>
      </c>
      <c r="C11" s="36" t="inlineStr">
        <is>
          <t>ifrs-full:ReclassificationAdjustmentsOnChangeInValueOfForwardElementsOfForwardContractsBeforeTax</t>
        </is>
      </c>
      <c r="D11" s="37" t="n"/>
      <c r="E11" s="37" t="n"/>
      <c r="F11" s="37" t="n"/>
      <c r="G11" s="37" t="n"/>
      <c r="H11" s="37" t="n">
        <v>115000</v>
      </c>
      <c r="I11" s="38" t="inlineStr">
        <is>
          <t>Ingen forklaring tilgængelig.</t>
        </is>
      </c>
    </row>
    <row r="12" ht="30" customHeight="1">
      <c r="A12" s="39" t="inlineStr">
        <is>
          <t>Øvrige (ukendt)</t>
        </is>
      </c>
      <c r="B12" s="39" t="inlineStr">
        <is>
          <t>ifrs-full:UndrawnBorrowingFacilities</t>
        </is>
      </c>
      <c r="C12" s="39" t="inlineStr">
        <is>
          <t>ifrs-full:UndrawnBorrowingFacilities</t>
        </is>
      </c>
      <c r="D12" s="40" t="n">
        <v>6023000</v>
      </c>
      <c r="E12" s="40" t="n">
        <v>6693000</v>
      </c>
      <c r="F12" s="40" t="n">
        <v>4472000</v>
      </c>
      <c r="G12" s="40" t="n">
        <v>7087000</v>
      </c>
      <c r="H12" s="40" t="n">
        <v>7095000</v>
      </c>
      <c r="I12" s="41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2026-09-29T14:48:16Z</dcterms:created>
  <dcterms:modified xmlns:dcterms="http://purl.org/dc/terms/" xmlns:xsi="http://www.w3.org/2001/XMLSchema-instance" xsi:type="dcterms:W3CDTF">2026-09-29T14:48:17Z</dcterms:modified>
</cp:coreProperties>
</file>