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9939000</v>
      </c>
      <c r="C6" s="17" t="n">
        <v>11322000</v>
      </c>
      <c r="D6" s="17" t="n">
        <v>12707000</v>
      </c>
      <c r="E6" s="17" t="n">
        <v>14844000</v>
      </c>
      <c r="F6" s="17" t="n">
        <v>15469000</v>
      </c>
    </row>
    <row r="7">
      <c r="A7" s="16" t="inlineStr">
        <is>
          <t>Administrationsomkostninger</t>
        </is>
      </c>
      <c r="B7" s="17" t="n">
        <v>2026000</v>
      </c>
      <c r="C7" s="17" t="n">
        <v>2125000</v>
      </c>
      <c r="D7" s="17" t="n">
        <v>2379000</v>
      </c>
      <c r="E7" s="17" t="n">
        <v>2471000</v>
      </c>
      <c r="F7" s="17" t="n">
        <v>2495000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5839000</v>
      </c>
      <c r="C10" s="17" t="n">
        <v>6743000</v>
      </c>
      <c r="D10" s="17" t="n">
        <v>7039000</v>
      </c>
      <c r="E10" s="17" t="n">
        <v>7974000</v>
      </c>
      <c r="F10" s="17" t="n">
        <v>7783000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152000</v>
      </c>
      <c r="C12" s="17" t="n">
        <v>412000</v>
      </c>
      <c r="D12" s="17" t="n">
        <v>251000</v>
      </c>
      <c r="E12" s="17" t="n">
        <v>248000</v>
      </c>
      <c r="F12" s="17" t="n">
        <v>279000</v>
      </c>
    </row>
    <row r="13">
      <c r="A13" s="16" t="inlineStr">
        <is>
          <t>Finansielle omkostninger</t>
        </is>
      </c>
      <c r="B13" s="17" t="n">
        <v>613000</v>
      </c>
      <c r="C13" s="17" t="n">
        <v>622000</v>
      </c>
      <c r="D13" s="17" t="n">
        <v>1056000</v>
      </c>
      <c r="E13" s="17" t="n">
        <v>1297000</v>
      </c>
      <c r="F13" s="17" t="n">
        <v>1149000</v>
      </c>
    </row>
    <row r="14">
      <c r="A14" s="15" t="inlineStr">
        <is>
          <t>Finansielle poster, netto</t>
        </is>
      </c>
      <c r="B14" s="17" t="n">
        <v>-461000</v>
      </c>
      <c r="C14" s="17" t="n">
        <v>-210000</v>
      </c>
      <c r="D14" s="17" t="n">
        <v>-805000</v>
      </c>
      <c r="E14" s="17" t="n">
        <v>-1049000</v>
      </c>
      <c r="F14" s="17" t="n">
        <v>-870000</v>
      </c>
    </row>
    <row r="15">
      <c r="A15" s="15" t="inlineStr">
        <is>
          <t>Resultat før skat</t>
        </is>
      </c>
      <c r="B15" s="17" t="n">
        <v>5378000</v>
      </c>
      <c r="C15" s="17" t="n">
        <v>6533000</v>
      </c>
      <c r="D15" s="17" t="n">
        <v>6234000</v>
      </c>
      <c r="E15" s="17" t="n">
        <v>6926000</v>
      </c>
      <c r="F15" s="17" t="n">
        <v>6913000</v>
      </c>
    </row>
    <row r="16">
      <c r="A16" s="16" t="inlineStr">
        <is>
          <t>Skat af årets resultat</t>
        </is>
      </c>
      <c r="B16" s="17" t="n">
        <v>1218000</v>
      </c>
      <c r="C16" s="17" t="n">
        <v>1504000</v>
      </c>
      <c r="D16" s="17" t="n">
        <v>1494000</v>
      </c>
      <c r="E16" s="17" t="n">
        <v>1699000</v>
      </c>
      <c r="F16" s="17" t="n">
        <v>1671000</v>
      </c>
    </row>
    <row r="17">
      <c r="A17" s="15" t="inlineStr">
        <is>
          <t>Årets resultat</t>
        </is>
      </c>
      <c r="B17" s="17" t="n">
        <v>4160000</v>
      </c>
      <c r="C17" s="17" t="n">
        <v>5029000</v>
      </c>
      <c r="D17" s="17" t="n">
        <v>4740000</v>
      </c>
      <c r="E17" s="17" t="n">
        <v>5227000</v>
      </c>
      <c r="F17" s="17" t="n">
        <v>5241000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296000</v>
      </c>
      <c r="C19" s="17" t="n">
        <v>838000</v>
      </c>
      <c r="D19" s="17" t="n">
        <v>1129000</v>
      </c>
      <c r="E19" s="17" t="n">
        <v>1336000</v>
      </c>
      <c r="F19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pandora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ifrs-full:AdjustmentsForSharebasedPayments</t>
        </is>
      </c>
      <c r="C3" s="36" t="inlineStr">
        <is>
          <t>ifrs-full:AdjustmentsForSharebasedPayments</t>
        </is>
      </c>
      <c r="D3" s="37" t="n">
        <v>166000</v>
      </c>
      <c r="E3" s="37" t="n">
        <v>87000</v>
      </c>
      <c r="F3" s="37" t="n">
        <v>105000</v>
      </c>
      <c r="G3" s="37" t="n">
        <v>166000</v>
      </c>
      <c r="H3" s="37" t="n">
        <v>103000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ifrs-full:BankOverdraftsClassifiedAsCashEquivalents</t>
        </is>
      </c>
      <c r="C4" s="39" t="inlineStr">
        <is>
          <t>ifrs-full:BankOverdraftsClassifiedAsCashEquivalents</t>
        </is>
      </c>
      <c r="D4" s="40" t="n">
        <v>0</v>
      </c>
      <c r="E4" s="40" t="n">
        <v>199000</v>
      </c>
      <c r="F4" s="40" t="n">
        <v>214000</v>
      </c>
      <c r="G4" s="40" t="n">
        <v>90000</v>
      </c>
      <c r="H4" s="40" t="n">
        <v>111000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ifrs-full:CurrentRefundsProvision</t>
        </is>
      </c>
      <c r="C5" s="36" t="inlineStr">
        <is>
          <t>ifrs-full:CurrentRefundsProvision</t>
        </is>
      </c>
      <c r="D5" s="37" t="n">
        <v>724000</v>
      </c>
      <c r="E5" s="37" t="n">
        <v>628000</v>
      </c>
      <c r="F5" s="37" t="n">
        <v>721000</v>
      </c>
      <c r="G5" s="37" t="n">
        <v>840000</v>
      </c>
      <c r="H5" s="37" t="n">
        <v>793000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ifrs-full:DividendsRecognisedAsDistributionsToOwnersPerShare</t>
        </is>
      </c>
      <c r="C6" s="39" t="inlineStr">
        <is>
          <t>ifrs-full:DividendsRecognisedAsDistributionsToOwnersPerShare</t>
        </is>
      </c>
      <c r="D6" s="40" t="n"/>
      <c r="E6" s="40" t="n">
        <v>0</v>
      </c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ifrs-full:GainsLossesOnChangeInValueOfForwardElementsOfForwardContractsBeforeTax</t>
        </is>
      </c>
      <c r="C7" s="36" t="inlineStr">
        <is>
          <t>ifrs-full:GainsLossesOnChangeInValueOfForwardElementsOfForwardContractsBeforeTax</t>
        </is>
      </c>
      <c r="D7" s="37" t="n"/>
      <c r="E7" s="37" t="n"/>
      <c r="F7" s="37" t="n">
        <v>0</v>
      </c>
      <c r="G7" s="37" t="n">
        <v>7000</v>
      </c>
      <c r="H7" s="37" t="n">
        <v>50000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ifrs-full:GainsLossesOnHedgesOfNetInvestmentsInForeignOperationsBeforeTax</t>
        </is>
      </c>
      <c r="C8" s="39" t="inlineStr">
        <is>
          <t>ifrs-full:GainsLossesOnHedgesOfNetInvestmentsInForeignOperationsBeforeTax</t>
        </is>
      </c>
      <c r="D8" s="40" t="n">
        <v>-287000</v>
      </c>
      <c r="E8" s="40" t="n">
        <v>-61000</v>
      </c>
      <c r="F8" s="40" t="n">
        <v>-151000</v>
      </c>
      <c r="G8" s="40" t="n">
        <v>-70000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ifrs-full:OtherComprehensiveIncomeNetOfTaxGainsLossesOnRemeasurementsOfDefinedBenefitPlans</t>
        </is>
      </c>
      <c r="C9" s="36" t="inlineStr">
        <is>
          <t>ifrs-full:OtherComprehensiveIncomeNetOfTaxGainsLossesOnRemeasurementsOfDefinedBenefitPlans</t>
        </is>
      </c>
      <c r="D9" s="37" t="n">
        <v>10000</v>
      </c>
      <c r="E9" s="37" t="n">
        <v>12000</v>
      </c>
      <c r="F9" s="37" t="n">
        <v>-9000</v>
      </c>
      <c r="G9" s="37" t="n">
        <v>-12000</v>
      </c>
      <c r="H9" s="37" t="n">
        <v>-23000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ifrs-full:PaymentsFromChangesInOwnershipInterestsInSubsidiaries</t>
        </is>
      </c>
      <c r="C10" s="39" t="inlineStr">
        <is>
          <t>ifrs-full:PaymentsFromChangesInOwnershipInterestsInSubsidiaries</t>
        </is>
      </c>
      <c r="D10" s="40" t="n"/>
      <c r="E10" s="40" t="n"/>
      <c r="F10" s="40" t="n"/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ifrs-full:ReclassificationAdjustmentsOnChangeInValueOfForwardElementsOfForwardContractsBeforeTax</t>
        </is>
      </c>
      <c r="C11" s="36" t="inlineStr">
        <is>
          <t>ifrs-full:ReclassificationAdjustmentsOnChangeInValueOfForwardElementsOfForwardContractsBeforeTax</t>
        </is>
      </c>
      <c r="D11" s="37" t="n"/>
      <c r="E11" s="37" t="n"/>
      <c r="F11" s="37" t="n"/>
      <c r="G11" s="37" t="n"/>
      <c r="H11" s="37" t="n">
        <v>115000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ifrs-full:UndrawnBorrowingFacilities</t>
        </is>
      </c>
      <c r="C12" s="39" t="inlineStr">
        <is>
          <t>ifrs-full:UndrawnBorrowingFacilities</t>
        </is>
      </c>
      <c r="D12" s="40" t="n">
        <v>6023000</v>
      </c>
      <c r="E12" s="40" t="n">
        <v>6693000</v>
      </c>
      <c r="F12" s="40" t="n">
        <v>4472000</v>
      </c>
      <c r="G12" s="40" t="n">
        <v>7087000</v>
      </c>
      <c r="H12" s="40" t="n">
        <v>7095000</v>
      </c>
      <c r="I1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2026-10-01T22:19:09Z</dcterms:created>
  <dcterms:modified xmlns:dcterms="http://purl.org/dc/terms/" xmlns:xsi="http://www.w3.org/2001/XMLSchema-instance" xsi:type="dcterms:W3CDTF">2026-10-01T22:19:11Z</dcterms:modified>
</cp:coreProperties>
</file>