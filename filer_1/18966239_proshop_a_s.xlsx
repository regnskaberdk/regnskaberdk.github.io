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8966239" sheetId="1" state="visible" r:id="rId1"/>
    <sheet xmlns:r="http://schemas.openxmlformats.org/officeDocument/2006/relationships" name="res_raw_18966239" sheetId="2" state="visible" r:id="rId2"/>
    <sheet xmlns:r="http://schemas.openxmlformats.org/officeDocument/2006/relationships" name="balance_raw_189662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Proshop a/s (CVR 18966239)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'res_raw_18966239'!$B$2</f>
        <v/>
      </c>
      <c r="C4" s="5">
        <f>'res_raw_18966239'!$C$2</f>
        <v/>
      </c>
      <c r="D4" s="5">
        <f>'res_raw_18966239'!$D$2</f>
        <v/>
      </c>
      <c r="E4" s="5">
        <f>'res_raw_18966239'!$E$2</f>
        <v/>
      </c>
      <c r="F4" s="5">
        <f>'res_raw_18966239'!$F$2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'res_raw_18966239'!$B$3</f>
        <v/>
      </c>
      <c r="C5" s="8">
        <f>'res_raw_18966239'!$C$3</f>
        <v/>
      </c>
      <c r="D5" s="8">
        <f>'res_raw_18966239'!$D$3</f>
        <v/>
      </c>
      <c r="E5" s="8">
        <f>'res_raw_18966239'!$E$3</f>
        <v/>
      </c>
      <c r="F5" s="8">
        <f>'res_raw_18966239'!$F$3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'res_raw_18966239'!$B$4</f>
        <v/>
      </c>
      <c r="C6" s="5">
        <f>'res_raw_18966239'!$C$4</f>
        <v/>
      </c>
      <c r="D6" s="5">
        <f>'res_raw_18966239'!$D$4</f>
        <v/>
      </c>
      <c r="E6" s="5">
        <f>'res_raw_18966239'!$E$4</f>
        <v/>
      </c>
      <c r="F6" s="5">
        <f>'res_raw_18966239'!$F$4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'res_raw_18966239'!$B$5</f>
        <v/>
      </c>
      <c r="C7" s="8">
        <f>'res_raw_18966239'!$C$5</f>
        <v/>
      </c>
      <c r="D7" s="8">
        <f>'res_raw_18966239'!$D$5</f>
        <v/>
      </c>
      <c r="E7" s="8">
        <f>'res_raw_18966239'!$E$5</f>
        <v/>
      </c>
      <c r="F7" s="8">
        <f>'res_raw_18966239'!$F$5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'res_raw_18966239'!$B$6</f>
        <v/>
      </c>
      <c r="C8" s="11">
        <f>'res_raw_18966239'!$C$6</f>
        <v/>
      </c>
      <c r="D8" s="11">
        <f>'res_raw_18966239'!$D$6</f>
        <v/>
      </c>
      <c r="E8" s="11">
        <f>'res_raw_18966239'!$E$6</f>
        <v/>
      </c>
      <c r="F8" s="11">
        <f>'res_raw_18966239'!$F$6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'res_raw_18966239'!$B$7</f>
        <v/>
      </c>
      <c r="C9" s="8">
        <f>'res_raw_18966239'!$C$7</f>
        <v/>
      </c>
      <c r="D9" s="8">
        <f>'res_raw_18966239'!$D$7</f>
        <v/>
      </c>
      <c r="E9" s="8">
        <f>'res_raw_18966239'!$E$7</f>
        <v/>
      </c>
      <c r="F9" s="8">
        <f>'res_raw_18966239'!$F$7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'res_raw_18966239'!$B$9</f>
        <v/>
      </c>
      <c r="C11" s="8">
        <f>'res_raw_18966239'!$C$9</f>
        <v/>
      </c>
      <c r="D11" s="8">
        <f>'res_raw_18966239'!$D$9</f>
        <v/>
      </c>
      <c r="E11" s="8">
        <f>'res_raw_18966239'!$E$9</f>
        <v/>
      </c>
      <c r="F11" s="8">
        <f>'res_raw_18966239'!$F$9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'res_raw_18966239'!$B$10</f>
        <v/>
      </c>
      <c r="C12" s="5">
        <f>'res_raw_18966239'!$C$10</f>
        <v/>
      </c>
      <c r="D12" s="5">
        <f>'res_raw_18966239'!$D$10</f>
        <v/>
      </c>
      <c r="E12" s="5">
        <f>'res_raw_18966239'!$E$10</f>
        <v/>
      </c>
      <c r="F12" s="5">
        <f>'res_raw_18966239'!$F$10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'res_raw_18966239'!$B$11</f>
        <v/>
      </c>
      <c r="C13" s="11">
        <f>'res_raw_18966239'!$C$11</f>
        <v/>
      </c>
      <c r="D13" s="11">
        <f>'res_raw_18966239'!$D$11</f>
        <v/>
      </c>
      <c r="E13" s="11">
        <f>'res_raw_18966239'!$E$11</f>
        <v/>
      </c>
      <c r="F13" s="11">
        <f>'res_raw_18966239'!$F$11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'res_raw_18966239'!$B$12</f>
        <v/>
      </c>
      <c r="C14" s="5">
        <f>'res_raw_18966239'!$C$12</f>
        <v/>
      </c>
      <c r="D14" s="5">
        <f>'res_raw_18966239'!$D$12</f>
        <v/>
      </c>
      <c r="E14" s="5">
        <f>'res_raw_18966239'!$E$12</f>
        <v/>
      </c>
      <c r="F14" s="5">
        <f>'res_raw_18966239'!$F$12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'res_raw_18966239'!$B$13</f>
        <v/>
      </c>
      <c r="C15" s="8">
        <f>'res_raw_18966239'!$C$13</f>
        <v/>
      </c>
      <c r="D15" s="8">
        <f>'res_raw_18966239'!$D$13</f>
        <v/>
      </c>
      <c r="E15" s="8">
        <f>'res_raw_18966239'!$E$13</f>
        <v/>
      </c>
      <c r="F15" s="8">
        <f>'res_raw_18966239'!$F$13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'res_raw_18966239'!$B$14</f>
        <v/>
      </c>
      <c r="C16" s="5">
        <f>'res_raw_18966239'!$C$14</f>
        <v/>
      </c>
      <c r="D16" s="5">
        <f>'res_raw_18966239'!$D$14</f>
        <v/>
      </c>
      <c r="E16" s="5">
        <f>'res_raw_18966239'!$E$14</f>
        <v/>
      </c>
      <c r="F16" s="5">
        <f>'res_raw_18966239'!$F$14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'res_raw_18966239'!$B$15</f>
        <v/>
      </c>
      <c r="C17" s="11">
        <f>'res_raw_18966239'!$C$15</f>
        <v/>
      </c>
      <c r="D17" s="11">
        <f>'res_raw_18966239'!$D$15</f>
        <v/>
      </c>
      <c r="E17" s="11">
        <f>'res_raw_18966239'!$E$15</f>
        <v/>
      </c>
      <c r="F17" s="11">
        <f>'res_raw_18966239'!$F$15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'res_raw_18966239'!$B$16</f>
        <v/>
      </c>
      <c r="C18" s="11">
        <f>'res_raw_18966239'!$C$16</f>
        <v/>
      </c>
      <c r="D18" s="11">
        <f>'res_raw_18966239'!$D$16</f>
        <v/>
      </c>
      <c r="E18" s="11">
        <f>'res_raw_18966239'!$E$16</f>
        <v/>
      </c>
      <c r="F18" s="11">
        <f>'res_raw_18966239'!$F$16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'res_raw_18966239'!$B$17</f>
        <v/>
      </c>
      <c r="C19" s="8">
        <f>'res_raw_18966239'!$C$17</f>
        <v/>
      </c>
      <c r="D19" s="8">
        <f>'res_raw_18966239'!$D$17</f>
        <v/>
      </c>
      <c r="E19" s="8">
        <f>'res_raw_18966239'!$E$17</f>
        <v/>
      </c>
      <c r="F19" s="8">
        <f>'res_raw_18966239'!$F$17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'res_raw_18966239'!$B$18</f>
        <v/>
      </c>
      <c r="C20" s="11">
        <f>'res_raw_18966239'!$C$18</f>
        <v/>
      </c>
      <c r="D20" s="11">
        <f>'res_raw_18966239'!$D$18</f>
        <v/>
      </c>
      <c r="E20" s="11">
        <f>'res_raw_18966239'!$E$18</f>
        <v/>
      </c>
      <c r="F20" s="11">
        <f>'res_raw_18966239'!$F$18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'balance_raw_18966239'!$B$2</f>
        <v/>
      </c>
      <c r="C23" s="8">
        <f>'balance_raw_18966239'!$C$2</f>
        <v/>
      </c>
      <c r="D23" s="8">
        <f>'balance_raw_18966239'!$D$2</f>
        <v/>
      </c>
      <c r="E23" s="8">
        <f>'balance_raw_18966239'!$E$2</f>
        <v/>
      </c>
      <c r="F23" s="8">
        <f>'balance_raw_18966239'!$F$2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'balance_raw_18966239'!$B$3</f>
        <v/>
      </c>
      <c r="C24" s="5">
        <f>'balance_raw_18966239'!$C$3</f>
        <v/>
      </c>
      <c r="D24" s="5">
        <f>'balance_raw_18966239'!$D$3</f>
        <v/>
      </c>
      <c r="E24" s="5">
        <f>'balance_raw_18966239'!$E$3</f>
        <v/>
      </c>
      <c r="F24" s="5">
        <f>'balance_raw_18966239'!$F$3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'balance_raw_18966239'!$B$4</f>
        <v/>
      </c>
      <c r="C25" s="8">
        <f>'balance_raw_18966239'!$C$4</f>
        <v/>
      </c>
      <c r="D25" s="8">
        <f>'balance_raw_18966239'!$D$4</f>
        <v/>
      </c>
      <c r="E25" s="8">
        <f>'balance_raw_18966239'!$E$4</f>
        <v/>
      </c>
      <c r="F25" s="8">
        <f>'balance_raw_18966239'!$F$4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'balance_raw_18966239'!$B$5</f>
        <v/>
      </c>
      <c r="C26" s="11">
        <f>'balance_raw_18966239'!$C$5</f>
        <v/>
      </c>
      <c r="D26" s="11">
        <f>'balance_raw_18966239'!$D$5</f>
        <v/>
      </c>
      <c r="E26" s="11">
        <f>'balance_raw_18966239'!$E$5</f>
        <v/>
      </c>
      <c r="F26" s="11">
        <f>'balance_raw_18966239'!$F$5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'balance_raw_18966239'!$B$6</f>
        <v/>
      </c>
      <c r="C27" s="8">
        <f>'balance_raw_18966239'!$C$6</f>
        <v/>
      </c>
      <c r="D27" s="8">
        <f>'balance_raw_18966239'!$D$6</f>
        <v/>
      </c>
      <c r="E27" s="8">
        <f>'balance_raw_18966239'!$E$6</f>
        <v/>
      </c>
      <c r="F27" s="8">
        <f>'balance_raw_18966239'!$F$6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'balance_raw_18966239'!$B$7</f>
        <v/>
      </c>
      <c r="C28" s="5">
        <f>'balance_raw_18966239'!$C$7</f>
        <v/>
      </c>
      <c r="D28" s="5">
        <f>'balance_raw_18966239'!$D$7</f>
        <v/>
      </c>
      <c r="E28" s="5">
        <f>'balance_raw_18966239'!$E$7</f>
        <v/>
      </c>
      <c r="F28" s="5">
        <f>'balance_raw_18966239'!$F$7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'balance_raw_18966239'!$B$8</f>
        <v/>
      </c>
      <c r="C29" s="8">
        <f>'balance_raw_18966239'!$C$8</f>
        <v/>
      </c>
      <c r="D29" s="8">
        <f>'balance_raw_18966239'!$D$8</f>
        <v/>
      </c>
      <c r="E29" s="8">
        <f>'balance_raw_18966239'!$E$8</f>
        <v/>
      </c>
      <c r="F29" s="8">
        <f>'balance_raw_18966239'!$F$8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'balance_raw_18966239'!$B$9</f>
        <v/>
      </c>
      <c r="C30" s="5">
        <f>'balance_raw_18966239'!$C$9</f>
        <v/>
      </c>
      <c r="D30" s="5">
        <f>'balance_raw_18966239'!$D$9</f>
        <v/>
      </c>
      <c r="E30" s="5">
        <f>'balance_raw_18966239'!$E$9</f>
        <v/>
      </c>
      <c r="F30" s="5">
        <f>'balance_raw_18966239'!$F$9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'balance_raw_18966239'!$B$10</f>
        <v/>
      </c>
      <c r="C31" s="8">
        <f>'balance_raw_18966239'!$C$10</f>
        <v/>
      </c>
      <c r="D31" s="8">
        <f>'balance_raw_18966239'!$D$10</f>
        <v/>
      </c>
      <c r="E31" s="8">
        <f>'balance_raw_18966239'!$E$10</f>
        <v/>
      </c>
      <c r="F31" s="8">
        <f>'balance_raw_18966239'!$F$10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'balance_raw_18966239'!$B$11</f>
        <v/>
      </c>
      <c r="C32" s="11">
        <f>'balance_raw_18966239'!$C$11</f>
        <v/>
      </c>
      <c r="D32" s="11">
        <f>'balance_raw_18966239'!$D$11</f>
        <v/>
      </c>
      <c r="E32" s="11">
        <f>'balance_raw_18966239'!$E$11</f>
        <v/>
      </c>
      <c r="F32" s="11">
        <f>'balance_raw_18966239'!$F$11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'balance_raw_18966239'!$B$12</f>
        <v/>
      </c>
      <c r="C33" s="8">
        <f>'balance_raw_18966239'!$C$12</f>
        <v/>
      </c>
      <c r="D33" s="8">
        <f>'balance_raw_18966239'!$D$12</f>
        <v/>
      </c>
      <c r="E33" s="8">
        <f>'balance_raw_18966239'!$E$12</f>
        <v/>
      </c>
      <c r="F33" s="8">
        <f>'balance_raw_18966239'!$F$12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'balance_raw_18966239'!$B$13</f>
        <v/>
      </c>
      <c r="C34" s="5">
        <f>'balance_raw_18966239'!$C$13</f>
        <v/>
      </c>
      <c r="D34" s="5">
        <f>'balance_raw_18966239'!$D$13</f>
        <v/>
      </c>
      <c r="E34" s="5">
        <f>'balance_raw_18966239'!$E$13</f>
        <v/>
      </c>
      <c r="F34" s="5">
        <f>'balance_raw_18966239'!$F$13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'balance_raw_18966239'!$B$14</f>
        <v/>
      </c>
      <c r="C35" s="11">
        <f>'balance_raw_18966239'!$C$14</f>
        <v/>
      </c>
      <c r="D35" s="11">
        <f>'balance_raw_18966239'!$D$14</f>
        <v/>
      </c>
      <c r="E35" s="11">
        <f>'balance_raw_18966239'!$E$14</f>
        <v/>
      </c>
      <c r="F35" s="11">
        <f>'balance_raw_18966239'!$F$14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'balance_raw_18966239'!$B$15</f>
        <v/>
      </c>
      <c r="C36" s="11">
        <f>'balance_raw_18966239'!$C$15</f>
        <v/>
      </c>
      <c r="D36" s="11">
        <f>'balance_raw_18966239'!$D$15</f>
        <v/>
      </c>
      <c r="E36" s="11">
        <f>'balance_raw_18966239'!$E$15</f>
        <v/>
      </c>
      <c r="F36" s="11">
        <f>'balance_raw_18966239'!$F$15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'balance_raw_18966239'!$B$16</f>
        <v/>
      </c>
      <c r="C37" s="8">
        <f>'balance_raw_18966239'!$C$16</f>
        <v/>
      </c>
      <c r="D37" s="8">
        <f>'balance_raw_18966239'!$D$16</f>
        <v/>
      </c>
      <c r="E37" s="8">
        <f>'balance_raw_18966239'!$E$16</f>
        <v/>
      </c>
      <c r="F37" s="8">
        <f>'balance_raw_18966239'!$F$16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'balance_raw_18966239'!$B$17</f>
        <v/>
      </c>
      <c r="C38" s="5">
        <f>'balance_raw_18966239'!$C$17</f>
        <v/>
      </c>
      <c r="D38" s="5">
        <f>'balance_raw_18966239'!$D$17</f>
        <v/>
      </c>
      <c r="E38" s="5">
        <f>'balance_raw_18966239'!$E$17</f>
        <v/>
      </c>
      <c r="F38" s="5">
        <f>'balance_raw_18966239'!$F$17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'balance_raw_18966239'!$B$18</f>
        <v/>
      </c>
      <c r="C39" s="8">
        <f>'balance_raw_18966239'!$C$18</f>
        <v/>
      </c>
      <c r="D39" s="8">
        <f>'balance_raw_18966239'!$D$18</f>
        <v/>
      </c>
      <c r="E39" s="8">
        <f>'balance_raw_18966239'!$E$18</f>
        <v/>
      </c>
      <c r="F39" s="8">
        <f>'balance_raw_18966239'!$F$18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'balance_raw_18966239'!$B$19</f>
        <v/>
      </c>
      <c r="C40" s="11">
        <f>'balance_raw_18966239'!$C$19</f>
        <v/>
      </c>
      <c r="D40" s="11">
        <f>'balance_raw_18966239'!$D$19</f>
        <v/>
      </c>
      <c r="E40" s="11">
        <f>'balance_raw_18966239'!$E$19</f>
        <v/>
      </c>
      <c r="F40" s="11">
        <f>'balance_raw_18966239'!$F$19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'balance_raw_18966239'!$B$20</f>
        <v/>
      </c>
      <c r="C41" s="8">
        <f>'balance_raw_18966239'!$C$20</f>
        <v/>
      </c>
      <c r="D41" s="8">
        <f>'balance_raw_18966239'!$D$20</f>
        <v/>
      </c>
      <c r="E41" s="8">
        <f>'balance_raw_18966239'!$E$20</f>
        <v/>
      </c>
      <c r="F41" s="8">
        <f>'balance_raw_18966239'!$F$20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'balance_raw_18966239'!$B$21</f>
        <v/>
      </c>
      <c r="C42" s="5">
        <f>'balance_raw_18966239'!$C$21</f>
        <v/>
      </c>
      <c r="D42" s="5">
        <f>'balance_raw_18966239'!$D$21</f>
        <v/>
      </c>
      <c r="E42" s="5">
        <f>'balance_raw_18966239'!$E$21</f>
        <v/>
      </c>
      <c r="F42" s="5">
        <f>'balance_raw_18966239'!$F$21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'balance_raw_18966239'!$B$22</f>
        <v/>
      </c>
      <c r="C43" s="8">
        <f>'balance_raw_18966239'!$C$22</f>
        <v/>
      </c>
      <c r="D43" s="8">
        <f>'balance_raw_18966239'!$D$22</f>
        <v/>
      </c>
      <c r="E43" s="8">
        <f>'balance_raw_18966239'!$E$22</f>
        <v/>
      </c>
      <c r="F43" s="8">
        <f>'balance_raw_18966239'!$F$22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'balance_raw_18966239'!$B$23</f>
        <v/>
      </c>
      <c r="C44" s="5">
        <f>'balance_raw_18966239'!$C$23</f>
        <v/>
      </c>
      <c r="D44" s="5">
        <f>'balance_raw_18966239'!$D$23</f>
        <v/>
      </c>
      <c r="E44" s="5">
        <f>'balance_raw_18966239'!$E$23</f>
        <v/>
      </c>
      <c r="F44" s="5">
        <f>'balance_raw_18966239'!$F$23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'balance_raw_18966239'!$B$24</f>
        <v/>
      </c>
      <c r="C45" s="8">
        <f>'balance_raw_18966239'!$C$24</f>
        <v/>
      </c>
      <c r="D45" s="8">
        <f>'balance_raw_18966239'!$D$24</f>
        <v/>
      </c>
      <c r="E45" s="8">
        <f>'balance_raw_18966239'!$E$24</f>
        <v/>
      </c>
      <c r="F45" s="8">
        <f>'balance_raw_18966239'!$F$24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'balance_raw_18966239'!$B$25</f>
        <v/>
      </c>
      <c r="C46" s="5">
        <f>'balance_raw_18966239'!$C$25</f>
        <v/>
      </c>
      <c r="D46" s="5">
        <f>'balance_raw_18966239'!$D$25</f>
        <v/>
      </c>
      <c r="E46" s="5">
        <f>'balance_raw_18966239'!$E$25</f>
        <v/>
      </c>
      <c r="F46" s="5">
        <f>'balance_raw_18966239'!$F$25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'balance_raw_18966239'!$B$26</f>
        <v/>
      </c>
      <c r="C47" s="8">
        <f>'balance_raw_18966239'!$C$26</f>
        <v/>
      </c>
      <c r="D47" s="8">
        <f>'balance_raw_18966239'!$D$26</f>
        <v/>
      </c>
      <c r="E47" s="8">
        <f>'balance_raw_18966239'!$E$26</f>
        <v/>
      </c>
      <c r="F47" s="8">
        <f>'balance_raw_18966239'!$F$26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'balance_raw_18966239'!$B$27</f>
        <v/>
      </c>
      <c r="C48" s="11">
        <f>'balance_raw_18966239'!$C$27</f>
        <v/>
      </c>
      <c r="D48" s="11">
        <f>'balance_raw_18966239'!$D$27</f>
        <v/>
      </c>
      <c r="E48" s="11">
        <f>'balance_raw_18966239'!$E$27</f>
        <v/>
      </c>
      <c r="F48" s="11">
        <f>'balance_raw_18966239'!$F$27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'balance_raw_18966239'!$B$28</f>
        <v/>
      </c>
      <c r="C49" s="8">
        <f>'balance_raw_18966239'!$C$28</f>
        <v/>
      </c>
      <c r="D49" s="8">
        <f>'balance_raw_18966239'!$D$28</f>
        <v/>
      </c>
      <c r="E49" s="8">
        <f>'balance_raw_18966239'!$E$28</f>
        <v/>
      </c>
      <c r="F49" s="8">
        <f>'balance_raw_18966239'!$F$28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'balance_raw_18966239'!$B$29</f>
        <v/>
      </c>
      <c r="C50" s="5">
        <f>'balance_raw_18966239'!$C$29</f>
        <v/>
      </c>
      <c r="D50" s="5">
        <f>'balance_raw_18966239'!$D$29</f>
        <v/>
      </c>
      <c r="E50" s="5">
        <f>'balance_raw_18966239'!$E$29</f>
        <v/>
      </c>
      <c r="F50" s="5">
        <f>'balance_raw_18966239'!$F$29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'balance_raw_18966239'!$B$30</f>
        <v/>
      </c>
      <c r="C51" s="11">
        <f>'balance_raw_18966239'!$C$30</f>
        <v/>
      </c>
      <c r="D51" s="11">
        <f>'balance_raw_18966239'!$D$30</f>
        <v/>
      </c>
      <c r="E51" s="11">
        <f>'balance_raw_18966239'!$E$30</f>
        <v/>
      </c>
      <c r="F51" s="11">
        <f>'balance_raw_18966239'!$F$30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'balance_raw_18966239'!$B$31</f>
        <v/>
      </c>
      <c r="C52" s="11">
        <f>'balance_raw_18966239'!$C$31</f>
        <v/>
      </c>
      <c r="D52" s="11">
        <f>'balance_raw_18966239'!$D$31</f>
        <v/>
      </c>
      <c r="E52" s="11">
        <f>'balance_raw_18966239'!$E$31</f>
        <v/>
      </c>
      <c r="F52" s="11">
        <f>'balance_raw_18966239'!$F$31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'balance_raw_18966239'!$B$32</f>
        <v/>
      </c>
      <c r="C55" s="8">
        <f>'balance_raw_18966239'!$C$32</f>
        <v/>
      </c>
      <c r="D55" s="8">
        <f>'balance_raw_18966239'!$D$32</f>
        <v/>
      </c>
      <c r="E55" s="8">
        <f>'balance_raw_18966239'!$E$32</f>
        <v/>
      </c>
      <c r="F55" s="8">
        <f>'balance_raw_18966239'!$F$32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'balance_raw_18966239'!$B$33</f>
        <v/>
      </c>
      <c r="C56" s="5">
        <f>'balance_raw_18966239'!$C$33</f>
        <v/>
      </c>
      <c r="D56" s="5">
        <f>'balance_raw_18966239'!$D$33</f>
        <v/>
      </c>
      <c r="E56" s="5">
        <f>'balance_raw_18966239'!$E$33</f>
        <v/>
      </c>
      <c r="F56" s="5">
        <f>'balance_raw_18966239'!$F$33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'balance_raw_18966239'!$B$34</f>
        <v/>
      </c>
      <c r="C57" s="8">
        <f>'balance_raw_18966239'!$C$34</f>
        <v/>
      </c>
      <c r="D57" s="8">
        <f>'balance_raw_18966239'!$D$34</f>
        <v/>
      </c>
      <c r="E57" s="8">
        <f>'balance_raw_18966239'!$E$34</f>
        <v/>
      </c>
      <c r="F57" s="8">
        <f>'balance_raw_18966239'!$F$34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'balance_raw_18966239'!$B$35</f>
        <v/>
      </c>
      <c r="C58" s="5">
        <f>'balance_raw_18966239'!$C$35</f>
        <v/>
      </c>
      <c r="D58" s="5">
        <f>'balance_raw_18966239'!$D$35</f>
        <v/>
      </c>
      <c r="E58" s="5">
        <f>'balance_raw_18966239'!$E$35</f>
        <v/>
      </c>
      <c r="F58" s="5">
        <f>'balance_raw_18966239'!$F$35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'balance_raw_18966239'!$B$36</f>
        <v/>
      </c>
      <c r="C59" s="8">
        <f>'balance_raw_18966239'!$C$36</f>
        <v/>
      </c>
      <c r="D59" s="8">
        <f>'balance_raw_18966239'!$D$36</f>
        <v/>
      </c>
      <c r="E59" s="8">
        <f>'balance_raw_18966239'!$E$36</f>
        <v/>
      </c>
      <c r="F59" s="8">
        <f>'balance_raw_18966239'!$F$36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'balance_raw_18966239'!$B$37</f>
        <v/>
      </c>
      <c r="C60" s="5">
        <f>'balance_raw_18966239'!$C$37</f>
        <v/>
      </c>
      <c r="D60" s="5">
        <f>'balance_raw_18966239'!$D$37</f>
        <v/>
      </c>
      <c r="E60" s="5">
        <f>'balance_raw_18966239'!$E$37</f>
        <v/>
      </c>
      <c r="F60" s="5">
        <f>'balance_raw_18966239'!$F$37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'balance_raw_18966239'!$B$38</f>
        <v/>
      </c>
      <c r="C61" s="11">
        <f>'balance_raw_18966239'!$C$38</f>
        <v/>
      </c>
      <c r="D61" s="11">
        <f>'balance_raw_18966239'!$D$38</f>
        <v/>
      </c>
      <c r="E61" s="11">
        <f>'balance_raw_18966239'!$E$38</f>
        <v/>
      </c>
      <c r="F61" s="11">
        <f>'balance_raw_18966239'!$F$38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'balance_raw_18966239'!$B$39</f>
        <v/>
      </c>
      <c r="C62" s="5">
        <f>'balance_raw_18966239'!$C$39</f>
        <v/>
      </c>
      <c r="D62" s="5">
        <f>'balance_raw_18966239'!$D$39</f>
        <v/>
      </c>
      <c r="E62" s="5">
        <f>'balance_raw_18966239'!$E$39</f>
        <v/>
      </c>
      <c r="F62" s="5">
        <f>'balance_raw_18966239'!$F$39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'balance_raw_18966239'!$B$40</f>
        <v/>
      </c>
      <c r="C63" s="11">
        <f>'balance_raw_18966239'!$C$40</f>
        <v/>
      </c>
      <c r="D63" s="11">
        <f>'balance_raw_18966239'!$D$40</f>
        <v/>
      </c>
      <c r="E63" s="11">
        <f>'balance_raw_18966239'!$E$40</f>
        <v/>
      </c>
      <c r="F63" s="11">
        <f>'balance_raw_18966239'!$F$40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'balance_raw_18966239'!$B$41</f>
        <v/>
      </c>
      <c r="C64" s="5">
        <f>'balance_raw_18966239'!$C$41</f>
        <v/>
      </c>
      <c r="D64" s="5">
        <f>'balance_raw_18966239'!$D$41</f>
        <v/>
      </c>
      <c r="E64" s="5">
        <f>'balance_raw_18966239'!$E$41</f>
        <v/>
      </c>
      <c r="F64" s="5">
        <f>'balance_raw_18966239'!$F$41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'balance_raw_18966239'!$B$42</f>
        <v/>
      </c>
      <c r="C65" s="8">
        <f>'balance_raw_18966239'!$C$42</f>
        <v/>
      </c>
      <c r="D65" s="8">
        <f>'balance_raw_18966239'!$D$42</f>
        <v/>
      </c>
      <c r="E65" s="8">
        <f>'balance_raw_18966239'!$E$42</f>
        <v/>
      </c>
      <c r="F65" s="8">
        <f>'balance_raw_18966239'!$F$42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'balance_raw_18966239'!$B$43</f>
        <v/>
      </c>
      <c r="C66" s="5">
        <f>'balance_raw_18966239'!$C$43</f>
        <v/>
      </c>
      <c r="D66" s="5">
        <f>'balance_raw_18966239'!$D$43</f>
        <v/>
      </c>
      <c r="E66" s="5">
        <f>'balance_raw_18966239'!$E$43</f>
        <v/>
      </c>
      <c r="F66" s="5">
        <f>'balance_raw_18966239'!$F$43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'balance_raw_18966239'!$B$44</f>
        <v/>
      </c>
      <c r="C67" s="8">
        <f>'balance_raw_18966239'!$C$44</f>
        <v/>
      </c>
      <c r="D67" s="8">
        <f>'balance_raw_18966239'!$D$44</f>
        <v/>
      </c>
      <c r="E67" s="8">
        <f>'balance_raw_18966239'!$E$44</f>
        <v/>
      </c>
      <c r="F67" s="8">
        <f>'balance_raw_18966239'!$F$44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'balance_raw_18966239'!$B$45</f>
        <v/>
      </c>
      <c r="C68" s="5">
        <f>'balance_raw_18966239'!$C$45</f>
        <v/>
      </c>
      <c r="D68" s="5">
        <f>'balance_raw_18966239'!$D$45</f>
        <v/>
      </c>
      <c r="E68" s="5">
        <f>'balance_raw_18966239'!$E$45</f>
        <v/>
      </c>
      <c r="F68" s="5">
        <f>'balance_raw_18966239'!$F$45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'balance_raw_18966239'!$B$46</f>
        <v/>
      </c>
      <c r="C69" s="8">
        <f>'balance_raw_18966239'!$C$46</f>
        <v/>
      </c>
      <c r="D69" s="8">
        <f>'balance_raw_18966239'!$D$46</f>
        <v/>
      </c>
      <c r="E69" s="8">
        <f>'balance_raw_18966239'!$E$46</f>
        <v/>
      </c>
      <c r="F69" s="8">
        <f>'balance_raw_18966239'!$F$46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'balance_raw_18966239'!$B$47</f>
        <v/>
      </c>
      <c r="C70" s="5">
        <f>'balance_raw_18966239'!$C$47</f>
        <v/>
      </c>
      <c r="D70" s="5">
        <f>'balance_raw_18966239'!$D$47</f>
        <v/>
      </c>
      <c r="E70" s="5">
        <f>'balance_raw_18966239'!$E$47</f>
        <v/>
      </c>
      <c r="F70" s="5">
        <f>'balance_raw_18966239'!$F$47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'balance_raw_18966239'!$B$48</f>
        <v/>
      </c>
      <c r="C71" s="8">
        <f>'balance_raw_18966239'!$C$48</f>
        <v/>
      </c>
      <c r="D71" s="8">
        <f>'balance_raw_18966239'!$D$48</f>
        <v/>
      </c>
      <c r="E71" s="8">
        <f>'balance_raw_18966239'!$E$48</f>
        <v/>
      </c>
      <c r="F71" s="8">
        <f>'balance_raw_18966239'!$F$48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'balance_raw_18966239'!$B$49</f>
        <v/>
      </c>
      <c r="C72" s="5">
        <f>'balance_raw_18966239'!$C$49</f>
        <v/>
      </c>
      <c r="D72" s="5">
        <f>'balance_raw_18966239'!$D$49</f>
        <v/>
      </c>
      <c r="E72" s="5">
        <f>'balance_raw_18966239'!$E$49</f>
        <v/>
      </c>
      <c r="F72" s="5">
        <f>'balance_raw_18966239'!$F$49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'balance_raw_18966239'!$B$50</f>
        <v/>
      </c>
      <c r="C73" s="8">
        <f>'balance_raw_18966239'!$C$50</f>
        <v/>
      </c>
      <c r="D73" s="8">
        <f>'balance_raw_18966239'!$D$50</f>
        <v/>
      </c>
      <c r="E73" s="8">
        <f>'balance_raw_18966239'!$E$50</f>
        <v/>
      </c>
      <c r="F73" s="8">
        <f>'balance_raw_18966239'!$F$50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'balance_raw_18966239'!$B$51</f>
        <v/>
      </c>
      <c r="C74" s="5">
        <f>'balance_raw_18966239'!$C$51</f>
        <v/>
      </c>
      <c r="D74" s="5">
        <f>'balance_raw_18966239'!$D$51</f>
        <v/>
      </c>
      <c r="E74" s="5">
        <f>'balance_raw_18966239'!$E$51</f>
        <v/>
      </c>
      <c r="F74" s="5">
        <f>'balance_raw_18966239'!$F$51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'balance_raw_18966239'!$B$52</f>
        <v/>
      </c>
      <c r="C75" s="11">
        <f>'balance_raw_18966239'!$C$52</f>
        <v/>
      </c>
      <c r="D75" s="11">
        <f>'balance_raw_18966239'!$D$52</f>
        <v/>
      </c>
      <c r="E75" s="11">
        <f>'balance_raw_18966239'!$E$52</f>
        <v/>
      </c>
      <c r="F75" s="11">
        <f>'balance_raw_18966239'!$F$52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'balance_raw_18966239'!$B$53</f>
        <v/>
      </c>
      <c r="C76" s="11">
        <f>'balance_raw_18966239'!$C$53</f>
        <v/>
      </c>
      <c r="D76" s="11">
        <f>'balance_raw_18966239'!$D$53</f>
        <v/>
      </c>
      <c r="E76" s="11">
        <f>'balance_raw_18966239'!$E$53</f>
        <v/>
      </c>
      <c r="F76" s="11">
        <f>'balance_raw_18966239'!$F$53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'balance_raw_18966239'!$B$54</f>
        <v/>
      </c>
      <c r="C77" s="11">
        <f>'balance_raw_18966239'!$C$54</f>
        <v/>
      </c>
      <c r="D77" s="11">
        <f>'balance_raw_18966239'!$D$54</f>
        <v/>
      </c>
      <c r="E77" s="11">
        <f>'balance_raw_18966239'!$E$54</f>
        <v/>
      </c>
      <c r="F77" s="11">
        <f>'balance_raw_18966239'!$F$54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'res_raw_18966239'!$B$19</f>
        <v/>
      </c>
      <c r="C80" s="5">
        <f>'res_raw_18966239'!$C$19</f>
        <v/>
      </c>
      <c r="D80" s="5">
        <f>'res_raw_18966239'!$D$19</f>
        <v/>
      </c>
      <c r="E80" s="5">
        <f>'res_raw_18966239'!$E$19</f>
        <v/>
      </c>
      <c r="F80" s="5">
        <f>'res_raw_18966239'!$F$19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'res_raw_18966239'!$B$20</f>
        <v/>
      </c>
      <c r="C81" s="8">
        <f>'res_raw_18966239'!$C$20</f>
        <v/>
      </c>
      <c r="D81" s="8">
        <f>'res_raw_18966239'!$D$20</f>
        <v/>
      </c>
      <c r="E81" s="8">
        <f>'res_raw_18966239'!$E$20</f>
        <v/>
      </c>
      <c r="F81" s="8">
        <f>'res_raw_18966239'!$F$20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Proshop a/s (CVR 18966239)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2710507</v>
      </c>
      <c r="C2" s="16" t="n">
        <v>2688496</v>
      </c>
      <c r="D2" s="16" t="n">
        <v>2958885</v>
      </c>
      <c r="E2" s="16" t="n">
        <v>3350760</v>
      </c>
      <c r="F2" s="16" t="n">
        <v>4462586</v>
      </c>
    </row>
    <row r="3">
      <c r="A3" s="15" t="inlineStr">
        <is>
          <t>Andre driftsindtægter</t>
        </is>
      </c>
      <c r="B3" s="16" t="n">
        <v>3509</v>
      </c>
      <c r="C3" s="16" t="n">
        <v>5843</v>
      </c>
      <c r="D3" s="16" t="n">
        <v>5149</v>
      </c>
      <c r="E3" s="16" t="n">
        <v>7371</v>
      </c>
      <c r="F3" s="16" t="n">
        <v>10229</v>
      </c>
    </row>
    <row r="4">
      <c r="A4" s="15" t="inlineStr">
        <is>
          <t>Vareforbrug</t>
        </is>
      </c>
      <c r="B4" s="16" t="n">
        <v>2420795</v>
      </c>
      <c r="C4" s="16" t="n">
        <v>2440090</v>
      </c>
      <c r="D4" s="16" t="n">
        <v>2679225</v>
      </c>
      <c r="E4" s="16" t="n">
        <v>3002722</v>
      </c>
      <c r="F4" s="16" t="n">
        <v>3980926</v>
      </c>
    </row>
    <row r="5">
      <c r="A5" s="15" t="inlineStr">
        <is>
          <t>Andre eksterne omkostninger</t>
        </is>
      </c>
      <c r="B5" s="16" t="n">
        <v>119219</v>
      </c>
      <c r="C5" s="16" t="n">
        <v>131986</v>
      </c>
      <c r="D5" s="16" t="n">
        <v>152523</v>
      </c>
      <c r="E5" s="16" t="n">
        <v>190656</v>
      </c>
      <c r="F5" s="16" t="n">
        <v>252753</v>
      </c>
    </row>
    <row r="6">
      <c r="A6" s="17" t="inlineStr">
        <is>
          <t>Bruttoresultat</t>
        </is>
      </c>
      <c r="B6" s="16" t="n">
        <v>177956</v>
      </c>
      <c r="C6" s="16" t="n">
        <v>126740</v>
      </c>
      <c r="D6" s="16" t="n">
        <v>136834</v>
      </c>
      <c r="E6" s="16" t="n">
        <v>170956</v>
      </c>
      <c r="F6" s="16" t="n">
        <v>244732</v>
      </c>
    </row>
    <row r="7">
      <c r="A7" s="15" t="inlineStr">
        <is>
          <t>Personaleomkostninger</t>
        </is>
      </c>
      <c r="B7" s="16" t="n">
        <v>75701</v>
      </c>
      <c r="C7" s="16" t="n">
        <v>79848</v>
      </c>
      <c r="D7" s="16" t="n">
        <v>85704</v>
      </c>
      <c r="E7" s="16" t="n">
        <v>102797</v>
      </c>
      <c r="F7" s="16" t="n">
        <v>122567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12263</v>
      </c>
      <c r="C9" s="16" t="n">
        <v>16274</v>
      </c>
      <c r="D9" s="16" t="n">
        <v>16761</v>
      </c>
      <c r="E9" s="16" t="n">
        <v>16784</v>
      </c>
      <c r="F9" s="16" t="n">
        <v>18814</v>
      </c>
    </row>
    <row r="10">
      <c r="A10" s="15" t="inlineStr">
        <is>
          <t>Andre driftsomkostninger</t>
        </is>
      </c>
      <c r="B10" s="16" t="n">
        <v>97</v>
      </c>
      <c r="C10" s="16" t="n">
        <v>13</v>
      </c>
      <c r="D10" s="16" t="n">
        <v>0</v>
      </c>
      <c r="E10" s="16" t="n"/>
      <c r="F10" s="16" t="n"/>
    </row>
    <row r="11">
      <c r="A11" s="17" t="inlineStr">
        <is>
          <t>Resultat af primær drift</t>
        </is>
      </c>
      <c r="B11" s="16" t="n">
        <v>89895</v>
      </c>
      <c r="C11" s="16" t="n">
        <v>30605</v>
      </c>
      <c r="D11" s="16" t="n">
        <v>34369</v>
      </c>
      <c r="E11" s="16" t="n">
        <v>51375</v>
      </c>
      <c r="F11" s="16" t="n">
        <v>103351</v>
      </c>
    </row>
    <row r="12">
      <c r="A12" s="15" t="inlineStr">
        <is>
          <t>Indtægter af kapitalandele, dattervirksomheder</t>
        </is>
      </c>
      <c r="B12" s="16" t="n">
        <v>13449</v>
      </c>
      <c r="C12" s="16" t="n">
        <v>7701</v>
      </c>
      <c r="D12" s="16" t="n">
        <v>6599</v>
      </c>
      <c r="E12" s="16" t="n">
        <v>9311</v>
      </c>
      <c r="F12" s="16" t="n">
        <v>14778</v>
      </c>
    </row>
    <row r="13">
      <c r="A13" s="15" t="inlineStr">
        <is>
          <t>Finansielle indtægter</t>
        </is>
      </c>
      <c r="B13" s="16" t="n">
        <v>2856</v>
      </c>
      <c r="C13" s="16" t="n">
        <v>5128</v>
      </c>
      <c r="D13" s="16" t="n">
        <v>19062</v>
      </c>
      <c r="E13" s="16" t="n">
        <v>10116</v>
      </c>
      <c r="F13" s="16" t="n">
        <v>11464</v>
      </c>
    </row>
    <row r="14">
      <c r="A14" s="15" t="inlineStr">
        <is>
          <t>Finansielle omkostninger</t>
        </is>
      </c>
      <c r="B14" s="16" t="n">
        <v>2835</v>
      </c>
      <c r="C14" s="16" t="n">
        <v>4054</v>
      </c>
      <c r="D14" s="16" t="n">
        <v>14783</v>
      </c>
      <c r="E14" s="16" t="n">
        <v>4201</v>
      </c>
      <c r="F14" s="16" t="n">
        <v>5718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103440</v>
      </c>
      <c r="C16" s="16" t="n">
        <v>39440</v>
      </c>
      <c r="D16" s="16" t="n">
        <v>45292</v>
      </c>
      <c r="E16" s="16" t="n">
        <v>66631</v>
      </c>
      <c r="F16" s="16" t="n">
        <v>123890</v>
      </c>
    </row>
    <row r="17">
      <c r="A17" s="15" t="inlineStr">
        <is>
          <t>Skat af årets resultat</t>
        </is>
      </c>
      <c r="B17" s="16" t="n">
        <v>19495</v>
      </c>
      <c r="C17" s="16" t="n">
        <v>6758</v>
      </c>
      <c r="D17" s="16" t="n">
        <v>8324</v>
      </c>
      <c r="E17" s="16" t="n">
        <v>12472</v>
      </c>
      <c r="F17" s="16" t="n">
        <v>23865</v>
      </c>
    </row>
    <row r="18">
      <c r="A18" s="17" t="inlineStr">
        <is>
          <t>Årets resultat</t>
        </is>
      </c>
      <c r="B18" s="16" t="n">
        <v>83945</v>
      </c>
      <c r="C18" s="16" t="n">
        <v>32682</v>
      </c>
      <c r="D18" s="16" t="n">
        <v>36968</v>
      </c>
      <c r="E18" s="16" t="n">
        <v>54159</v>
      </c>
      <c r="F18" s="16" t="n">
        <v>100025</v>
      </c>
    </row>
    <row r="19">
      <c r="A19" s="15" t="inlineStr">
        <is>
          <t>Gns. antal medarbejdere</t>
        </is>
      </c>
      <c r="B19" s="16" t="n">
        <v>183</v>
      </c>
      <c r="C19" s="16" t="n">
        <v>186</v>
      </c>
      <c r="D19" s="16" t="n">
        <v>183</v>
      </c>
      <c r="E19" s="16" t="n">
        <v>206</v>
      </c>
      <c r="F19" s="16" t="n">
        <v>238</v>
      </c>
    </row>
    <row r="20">
      <c r="A20" s="15" t="inlineStr">
        <is>
          <t>Investering i materielle anlægsaktiver</t>
        </is>
      </c>
      <c r="B20" s="16" t="n">
        <v>34354</v>
      </c>
      <c r="C20" s="16" t="n">
        <v>1102</v>
      </c>
      <c r="D20" s="16" t="n">
        <v>1251</v>
      </c>
      <c r="E20" s="16" t="n">
        <v>23390</v>
      </c>
      <c r="F20" s="16" t="n">
        <v>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Proshop a/s (CVR 18966239)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5206</v>
      </c>
      <c r="C2" s="16" t="n">
        <v>6130</v>
      </c>
      <c r="D2" s="16" t="n">
        <v>6555</v>
      </c>
      <c r="E2" s="16" t="n">
        <v>6087</v>
      </c>
      <c r="F2" s="16" t="n">
        <v>5766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6129</v>
      </c>
      <c r="C5" s="16" t="n">
        <v>6880</v>
      </c>
      <c r="D5" s="16" t="n">
        <v>7132</v>
      </c>
      <c r="E5" s="16" t="n">
        <v>10042</v>
      </c>
      <c r="F5" s="16" t="n">
        <v>13571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78446</v>
      </c>
      <c r="C8" s="16" t="n">
        <v>67015</v>
      </c>
      <c r="D8" s="16" t="n">
        <v>55823</v>
      </c>
      <c r="E8" s="16" t="n">
        <v>66978</v>
      </c>
      <c r="F8" s="16" t="n">
        <v>60757</v>
      </c>
    </row>
    <row r="9">
      <c r="A9" s="15" t="inlineStr">
        <is>
          <t>Indretning af lejede lokaler</t>
        </is>
      </c>
      <c r="B9" s="16" t="n">
        <v>73</v>
      </c>
      <c r="C9" s="16" t="n">
        <v>52</v>
      </c>
      <c r="D9" s="16" t="n">
        <v>30</v>
      </c>
      <c r="E9" s="16" t="n">
        <v>8</v>
      </c>
      <c r="F9" s="16" t="n">
        <v>0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78519</v>
      </c>
      <c r="C11" s="16" t="n">
        <v>67067</v>
      </c>
      <c r="D11" s="16" t="n">
        <v>55853</v>
      </c>
      <c r="E11" s="16" t="n">
        <v>66986</v>
      </c>
      <c r="F11" s="16" t="n">
        <v>60757</v>
      </c>
    </row>
    <row r="12">
      <c r="A12" s="15" t="inlineStr">
        <is>
          <t>Kapitalandele, dattervirksomheder</t>
        </is>
      </c>
      <c r="B12" s="16" t="n">
        <v>14764</v>
      </c>
      <c r="C12" s="16" t="n">
        <v>8788</v>
      </c>
      <c r="D12" s="16" t="n">
        <v>8014</v>
      </c>
      <c r="E12" s="16" t="n">
        <v>10383</v>
      </c>
      <c r="F12" s="16" t="n">
        <v>15900</v>
      </c>
    </row>
    <row r="13">
      <c r="A13" s="15" t="inlineStr">
        <is>
          <t>Deposita</t>
        </is>
      </c>
      <c r="B13" s="16" t="n">
        <v>2737</v>
      </c>
      <c r="C13" s="16" t="n">
        <v>2480</v>
      </c>
      <c r="D13" s="16" t="n">
        <v>2494</v>
      </c>
      <c r="E13" s="16" t="n">
        <v>2514</v>
      </c>
      <c r="F13" s="16" t="n">
        <v>2545</v>
      </c>
    </row>
    <row r="14">
      <c r="A14" s="17" t="inlineStr">
        <is>
          <t>Finansielle anlægsaktiver</t>
        </is>
      </c>
      <c r="B14" s="16" t="n">
        <v>19501</v>
      </c>
      <c r="C14" s="16" t="n">
        <v>12768</v>
      </c>
      <c r="D14" s="16" t="n">
        <v>12008</v>
      </c>
      <c r="E14" s="16" t="n">
        <v>13897</v>
      </c>
      <c r="F14" s="16" t="n">
        <v>18945</v>
      </c>
    </row>
    <row r="15">
      <c r="A15" s="17" t="inlineStr">
        <is>
          <t>Anlægsaktiver</t>
        </is>
      </c>
      <c r="B15" s="16" t="n">
        <v>104149</v>
      </c>
      <c r="C15" s="16" t="n">
        <v>86715</v>
      </c>
      <c r="D15" s="16" t="n">
        <v>74993</v>
      </c>
      <c r="E15" s="16" t="n">
        <v>90925</v>
      </c>
      <c r="F15" s="16" t="n">
        <v>93273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326493</v>
      </c>
      <c r="C18" s="16" t="n">
        <v>301933</v>
      </c>
      <c r="D18" s="16" t="n">
        <v>293922</v>
      </c>
      <c r="E18" s="16" t="n">
        <v>338571</v>
      </c>
      <c r="F18" s="16" t="n">
        <v>513307</v>
      </c>
    </row>
    <row r="19">
      <c r="A19" s="17" t="inlineStr">
        <is>
          <t>Varebeholdninger</t>
        </is>
      </c>
      <c r="B19" s="16" t="n">
        <v>338174</v>
      </c>
      <c r="C19" s="16" t="n">
        <v>315647</v>
      </c>
      <c r="D19" s="16" t="n">
        <v>311848</v>
      </c>
      <c r="E19" s="16" t="n">
        <v>364466</v>
      </c>
      <c r="F19" s="16" t="n">
        <v>544659</v>
      </c>
    </row>
    <row r="20">
      <c r="A20" s="15" t="inlineStr">
        <is>
          <t>Tilgodehavender fra salg og tjenesteydelser</t>
        </is>
      </c>
      <c r="B20" s="16" t="n">
        <v>45544</v>
      </c>
      <c r="C20" s="16" t="n">
        <v>43784</v>
      </c>
      <c r="D20" s="16" t="n">
        <v>47750</v>
      </c>
      <c r="E20" s="16" t="n">
        <v>60820</v>
      </c>
      <c r="F20" s="16" t="n">
        <v>56487</v>
      </c>
    </row>
    <row r="21">
      <c r="A21" s="15" t="inlineStr">
        <is>
          <t>Tilgodehavender hos tilknyttede virksomheder</t>
        </is>
      </c>
      <c r="B21" s="16" t="n">
        <v>14968</v>
      </c>
      <c r="C21" s="16" t="n">
        <v>591</v>
      </c>
      <c r="D21" s="16" t="n">
        <v>29955</v>
      </c>
      <c r="E21" s="16" t="n">
        <v>20331</v>
      </c>
      <c r="F21" s="16" t="n">
        <v>39312</v>
      </c>
    </row>
    <row r="22">
      <c r="A22" s="15" t="inlineStr">
        <is>
          <t>Andre tilgodehavender</t>
        </is>
      </c>
      <c r="B22" s="16" t="n">
        <v>36434</v>
      </c>
      <c r="C22" s="16" t="n">
        <v>52732</v>
      </c>
      <c r="D22" s="16" t="n">
        <v>60756</v>
      </c>
      <c r="E22" s="16" t="n">
        <v>80533</v>
      </c>
      <c r="F22" s="16" t="n">
        <v>97061</v>
      </c>
    </row>
    <row r="23">
      <c r="A23" s="15" t="inlineStr">
        <is>
          <t>Periodeafgrænsningsposter (aktiver)</t>
        </is>
      </c>
      <c r="B23" s="16" t="n">
        <v>1669</v>
      </c>
      <c r="C23" s="16" t="n">
        <v>269</v>
      </c>
      <c r="D23" s="16" t="n">
        <v>239</v>
      </c>
      <c r="E23" s="16" t="n">
        <v>1993</v>
      </c>
      <c r="F23" s="16" t="n">
        <v>320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379</v>
      </c>
      <c r="C26" s="16" t="n">
        <v>0</v>
      </c>
      <c r="D26" s="16" t="n"/>
      <c r="E26" s="16" t="n"/>
      <c r="F26" s="16" t="n"/>
    </row>
    <row r="27">
      <c r="A27" s="17" t="inlineStr">
        <is>
          <t>Tilgodehavender</t>
        </is>
      </c>
      <c r="B27" s="16" t="n">
        <v>98994</v>
      </c>
      <c r="C27" s="16" t="n">
        <v>97376</v>
      </c>
      <c r="D27" s="16" t="n">
        <v>138700</v>
      </c>
      <c r="E27" s="16" t="n">
        <v>163677</v>
      </c>
      <c r="F27" s="16" t="n">
        <v>193180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145212</v>
      </c>
      <c r="C29" s="16" t="n">
        <v>168424</v>
      </c>
      <c r="D29" s="16" t="n">
        <v>251519</v>
      </c>
      <c r="E29" s="16" t="n">
        <v>321737</v>
      </c>
      <c r="F29" s="16" t="n">
        <v>403090</v>
      </c>
    </row>
    <row r="30">
      <c r="A30" s="17" t="inlineStr">
        <is>
          <t>Omsætningsaktiver</t>
        </is>
      </c>
      <c r="B30" s="16" t="n">
        <v>582380</v>
      </c>
      <c r="C30" s="16" t="n">
        <v>581447</v>
      </c>
      <c r="D30" s="16" t="n">
        <v>702067</v>
      </c>
      <c r="E30" s="16" t="n">
        <v>849880</v>
      </c>
      <c r="F30" s="16" t="n">
        <v>1140929</v>
      </c>
    </row>
    <row r="31">
      <c r="A31" s="17" t="inlineStr">
        <is>
          <t>Aktiver</t>
        </is>
      </c>
      <c r="B31" s="16" t="n">
        <v>686529</v>
      </c>
      <c r="C31" s="16" t="n">
        <v>668162</v>
      </c>
      <c r="D31" s="16" t="n">
        <v>777060</v>
      </c>
      <c r="E31" s="16" t="n">
        <v>940805</v>
      </c>
      <c r="F31" s="16" t="n">
        <v>1234202</v>
      </c>
    </row>
    <row r="32">
      <c r="A32" s="15" t="inlineStr">
        <is>
          <t>Selskabskapital</t>
        </is>
      </c>
      <c r="B32" s="16" t="n">
        <v>500</v>
      </c>
      <c r="C32" s="16" t="n">
        <v>500</v>
      </c>
      <c r="D32" s="16" t="n">
        <v>500</v>
      </c>
      <c r="E32" s="16" t="n">
        <v>500</v>
      </c>
      <c r="F32" s="16" t="n">
        <v>500</v>
      </c>
    </row>
    <row r="33">
      <c r="A33" s="15" t="inlineStr">
        <is>
          <t>Reserve for nettoopskrivning (indre værdis metode)</t>
        </is>
      </c>
      <c r="B33" s="16" t="n">
        <v>14764</v>
      </c>
      <c r="C33" s="16" t="n">
        <v>8788</v>
      </c>
      <c r="D33" s="16" t="n">
        <v>8014</v>
      </c>
      <c r="E33" s="16" t="n">
        <v>10383</v>
      </c>
      <c r="F33" s="16" t="n">
        <v>15900</v>
      </c>
    </row>
    <row r="34">
      <c r="A34" s="15" t="inlineStr">
        <is>
          <t>Reserve for udviklingsomkostninger</t>
        </is>
      </c>
      <c r="B34" s="16" t="n">
        <v>4061</v>
      </c>
      <c r="C34" s="16" t="n">
        <v>4781</v>
      </c>
      <c r="D34" s="16" t="n">
        <v>5112</v>
      </c>
      <c r="E34" s="16" t="n">
        <v>7518</v>
      </c>
      <c r="F34" s="16" t="n">
        <v>10407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65015</v>
      </c>
      <c r="C37" s="16" t="n">
        <v>92305</v>
      </c>
      <c r="D37" s="16" t="n">
        <v>118043</v>
      </c>
      <c r="E37" s="16" t="n">
        <v>142082</v>
      </c>
      <c r="F37" s="16" t="n">
        <v>198751</v>
      </c>
    </row>
    <row r="38">
      <c r="A38" s="17" t="inlineStr">
        <is>
          <t>Egenkapital i alt</t>
        </is>
      </c>
      <c r="B38" s="16" t="n">
        <v>134340</v>
      </c>
      <c r="C38" s="16" t="n">
        <v>116374</v>
      </c>
      <c r="D38" s="16" t="n">
        <v>143669</v>
      </c>
      <c r="E38" s="16" t="n">
        <v>185483</v>
      </c>
      <c r="F38" s="16" t="n">
        <v>260558</v>
      </c>
    </row>
    <row r="39">
      <c r="A39" s="15" t="inlineStr">
        <is>
          <t>Hensættelse til udskudt skat</t>
        </is>
      </c>
      <c r="B39" s="16" t="n">
        <v>6665</v>
      </c>
      <c r="C39" s="16" t="n">
        <v>7169</v>
      </c>
      <c r="D39" s="16" t="n">
        <v>6874</v>
      </c>
      <c r="E39" s="16" t="n">
        <v>8288</v>
      </c>
      <c r="F39" s="16" t="n">
        <v>6939</v>
      </c>
    </row>
    <row r="40">
      <c r="A40" s="17" t="inlineStr">
        <is>
          <t>Hensatte forpligtelser</t>
        </is>
      </c>
      <c r="B40" s="16" t="n">
        <v>8065</v>
      </c>
      <c r="C40" s="16" t="n">
        <v>8769</v>
      </c>
      <c r="D40" s="16" t="n">
        <v>8474</v>
      </c>
      <c r="E40" s="16" t="n">
        <v>10288</v>
      </c>
      <c r="F40" s="16" t="n">
        <v>8939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78</v>
      </c>
      <c r="C43" s="16" t="n">
        <v>36</v>
      </c>
      <c r="D43" s="16" t="n">
        <v>0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454956</v>
      </c>
      <c r="C45" s="16" t="n">
        <v>441175</v>
      </c>
      <c r="D45" s="16" t="n">
        <v>490914</v>
      </c>
      <c r="E45" s="16" t="n">
        <v>592997</v>
      </c>
      <c r="F45" s="16" t="n">
        <v>789914</v>
      </c>
    </row>
    <row r="46">
      <c r="A46" s="15" t="inlineStr">
        <is>
          <t>Gæld til tilknyttede virksomheder</t>
        </is>
      </c>
      <c r="B46" s="16" t="n">
        <v>1938</v>
      </c>
      <c r="C46" s="16" t="n">
        <v>5730</v>
      </c>
      <c r="D46" s="16" t="n">
        <v>11294</v>
      </c>
      <c r="E46" s="16" t="n">
        <v>7954</v>
      </c>
      <c r="F46" s="16" t="n">
        <v>3517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0</v>
      </c>
      <c r="C48" s="16" t="n">
        <v>6254</v>
      </c>
      <c r="D48" s="16" t="n">
        <v>8619</v>
      </c>
      <c r="E48" s="16" t="n">
        <v>11057</v>
      </c>
      <c r="F48" s="16" t="n">
        <v>25214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80083</v>
      </c>
      <c r="C50" s="16" t="n">
        <v>80436</v>
      </c>
      <c r="D50" s="16" t="n">
        <v>100572</v>
      </c>
      <c r="E50" s="16" t="n">
        <v>105961</v>
      </c>
      <c r="F50" s="16" t="n">
        <v>130730</v>
      </c>
    </row>
    <row r="51">
      <c r="A51" s="15" t="inlineStr">
        <is>
          <t>Periodeafgrænsningsposter (passiver)</t>
        </is>
      </c>
      <c r="B51" s="16" t="n">
        <v>0</v>
      </c>
      <c r="C51" s="16" t="n">
        <v>9388</v>
      </c>
      <c r="D51" s="16" t="n">
        <v>13518</v>
      </c>
      <c r="E51" s="16" t="n">
        <v>27065</v>
      </c>
      <c r="F51" s="16" t="n">
        <v>15330</v>
      </c>
    </row>
    <row r="52">
      <c r="A52" s="17" t="inlineStr">
        <is>
          <t>Kortfristede gældsforpligtelser</t>
        </is>
      </c>
      <c r="B52" s="16" t="n">
        <v>544124</v>
      </c>
      <c r="C52" s="16" t="n">
        <v>543019</v>
      </c>
      <c r="D52" s="16" t="n">
        <v>624917</v>
      </c>
      <c r="E52" s="16" t="n">
        <v>745034</v>
      </c>
      <c r="F52" s="16" t="n">
        <v>964705</v>
      </c>
    </row>
    <row r="53">
      <c r="A53" s="17" t="inlineStr">
        <is>
          <t>Gældsforpligtelser</t>
        </is>
      </c>
      <c r="B53" s="16" t="n">
        <v>544124</v>
      </c>
      <c r="C53" s="16" t="n">
        <v>543019</v>
      </c>
      <c r="D53" s="16" t="n">
        <v>624917</v>
      </c>
      <c r="E53" s="16" t="n">
        <v>745034</v>
      </c>
      <c r="F53" s="16" t="n">
        <v>964705</v>
      </c>
    </row>
    <row r="54">
      <c r="A54" s="17" t="inlineStr">
        <is>
          <t>Passiver</t>
        </is>
      </c>
      <c r="B54" s="16" t="n">
        <v>686529</v>
      </c>
      <c r="C54" s="16" t="n">
        <v>668162</v>
      </c>
      <c r="D54" s="16" t="n">
        <v>777060</v>
      </c>
      <c r="E54" s="16" t="n">
        <v>940805</v>
      </c>
      <c r="F54" s="16" t="n">
        <v>1234202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Proshop a/s (CVR 18966239) — Regnskabs- og nøgletal (CVR: 18966239)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'res_raw_18966239'!$F$2</f>
        <v/>
      </c>
      <c r="C5" s="24">
        <f>'res_raw_18966239'!$E$2</f>
        <v/>
      </c>
      <c r="D5" s="24">
        <f>'res_raw_18966239'!$D$2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'res_raw_18966239'!$F$3</f>
        <v/>
      </c>
      <c r="C6" s="24">
        <f>'res_raw_18966239'!$E$3</f>
        <v/>
      </c>
      <c r="D6" s="24">
        <f>'res_raw_18966239'!$D$3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-'res_raw_18966239'!$F$4</f>
        <v/>
      </c>
      <c r="C7" s="24">
        <f>-'res_raw_18966239'!$E$4</f>
        <v/>
      </c>
      <c r="D7" s="24">
        <f>-'res_raw_18966239'!$D$4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-'res_raw_18966239'!$F$5</f>
        <v/>
      </c>
      <c r="C8" s="24">
        <f>-'res_raw_18966239'!$E$5</f>
        <v/>
      </c>
      <c r="D8" s="24">
        <f>-'res_raw_18966239'!$D$5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IF(COUNT('res_raw_18966239'!$F$2,'res_raw_18966239'!$F$3,'res_raw_18966239'!$F$4,'res_raw_18966239'!$F$5)=0,'res_raw_18966239'!$F$6,SUM(B5:B8))</f>
        <v/>
      </c>
      <c r="C9" s="27">
        <f>IF(COUNT('res_raw_18966239'!$E$2,'res_raw_18966239'!$E$3,'res_raw_18966239'!$E$4,'res_raw_18966239'!$E$5)=0,'res_raw_18966239'!$E$6,SUM(C5:C8))</f>
        <v/>
      </c>
      <c r="D9" s="27">
        <f>IF(COUNT('res_raw_18966239'!$D$2,'res_raw_18966239'!$D$3,'res_raw_18966239'!$D$4,'res_raw_18966239'!$D$5)=0,'res_raw_18966239'!$D$6,SUM(D5:D8))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-'res_raw_18966239'!$F$7</f>
        <v/>
      </c>
      <c r="C10" s="24">
        <f>-'res_raw_18966239'!$E$7</f>
        <v/>
      </c>
      <c r="D10" s="24">
        <f>-'res_raw_18966239'!$D$7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-'res_raw_18966239'!$F$9</f>
        <v/>
      </c>
      <c r="C11" s="24">
        <f>-'res_raw_18966239'!$E$9</f>
        <v/>
      </c>
      <c r="D11" s="24">
        <f>-'res_raw_18966239'!$D$9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-'res_raw_18966239'!$F$10</f>
        <v/>
      </c>
      <c r="C12" s="24">
        <f>-'res_raw_18966239'!$E$10</f>
        <v/>
      </c>
      <c r="D12" s="24">
        <f>-'res_raw_18966239'!$D$10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N('res_raw_18966239'!$F$12)+N('res_raw_18966239'!$F$13)</f>
        <v/>
      </c>
      <c r="C14" s="24">
        <f>N('res_raw_18966239'!$E$12)+N('res_raw_18966239'!$E$13)</f>
        <v/>
      </c>
      <c r="D14" s="24">
        <f>N('res_raw_18966239'!$D$12)+N('res_raw_18966239'!$D$13)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-'res_raw_18966239'!$F$14</f>
        <v/>
      </c>
      <c r="C15" s="24">
        <f>-'res_raw_18966239'!$E$14</f>
        <v/>
      </c>
      <c r="D15" s="24">
        <f>-'res_raw_18966239'!$D$14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'balance_raw_18966239'!$F$15</f>
        <v/>
      </c>
      <c r="C19" s="24">
        <f>'balance_raw_18966239'!$E$15</f>
        <v/>
      </c>
      <c r="D19" s="24">
        <f>'balance_raw_18966239'!$D$15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'balance_raw_18966239'!$F$30</f>
        <v/>
      </c>
      <c r="C20" s="24">
        <f>'balance_raw_18966239'!$E$30</f>
        <v/>
      </c>
      <c r="D20" s="24">
        <f>'balance_raw_18966239'!$D$30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'balance_raw_18966239'!$F$38</f>
        <v/>
      </c>
      <c r="C23" s="24">
        <f>'balance_raw_18966239'!$E$38</f>
        <v/>
      </c>
      <c r="D23" s="24">
        <f>'balance_raw_18966239'!$D$38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'balance_raw_18966239'!$F$54-'balance_raw_18966239'!$F$38</f>
        <v/>
      </c>
      <c r="C24" s="24">
        <f>'balance_raw_18966239'!$E$54-'balance_raw_18966239'!$E$38</f>
        <v/>
      </c>
      <c r="D24" s="24">
        <f>'balance_raw_18966239'!$D$54-'balance_raw_18966239'!$D$38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'balance_raw_18966239'!$F$19</f>
        <v/>
      </c>
      <c r="C28" s="24">
        <f>'balance_raw_18966239'!$E$19</f>
        <v/>
      </c>
      <c r="D28" s="24">
        <f>'balance_raw_18966239'!$D$19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'balance_raw_18966239'!$F$20</f>
        <v/>
      </c>
      <c r="C29" s="24">
        <f>'balance_raw_18966239'!$E$20</f>
        <v/>
      </c>
      <c r="D29" s="24">
        <f>'balance_raw_18966239'!$D$20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'balance_raw_18966239'!$F$52</f>
        <v/>
      </c>
      <c r="C30" s="24">
        <f>'balance_raw_18966239'!$E$52</f>
        <v/>
      </c>
      <c r="D30" s="24">
        <f>'balance_raw_18966239'!$D$52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IF('balance_raw_18966239'!$F$31="","—",IF(ABS(B21-'balance_raw_18966239'!$F$31)&lt;=1,"✓ OK","❌ "&amp;TEXT(B21-'balance_raw_18966239'!$F$31,"+#,##0;-#,##0")&amp;" t.kr."))</f>
        <v/>
      </c>
      <c r="C61" s="29">
        <f>IF('balance_raw_18966239'!$E$31="","—",IF(ABS(C21-'balance_raw_18966239'!$E$31)&lt;=1,"✓ OK","❌ "&amp;TEXT(C21-'balance_raw_18966239'!$E$31,"+#,##0;-#,##0")&amp;" t.kr."))</f>
        <v/>
      </c>
      <c r="D61" s="29">
        <f>IF('balance_raw_18966239'!$D$31="","—",IF(ABS(D21-'balance_raw_18966239'!$D$31)&lt;=1,"✓ OK","❌ "&amp;TEXT(D21-'balance_raw_18966239'!$D$31,"+#,##0;-#,##0")&amp;"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IF('balance_raw_18966239'!$F$54="","—",IF(ABS(B25-'balance_raw_18966239'!$F$54)&lt;=1,"✓ OK","❌ "&amp;TEXT(B25-'balance_raw_18966239'!$F$54,"+#,##0;-#,##0")&amp;" t.kr."))</f>
        <v/>
      </c>
      <c r="C62" s="29">
        <f>IF('balance_raw_18966239'!$E$54="","—",IF(ABS(C25-'balance_raw_18966239'!$E$54)&lt;=1,"✓ OK","❌ "&amp;TEXT(C25-'balance_raw_18966239'!$E$54,"+#,##0;-#,##0")&amp;" t.kr."))</f>
        <v/>
      </c>
      <c r="D62" s="29">
        <f>IF('balance_raw_18966239'!$D$54="","—",IF(ABS(D25-'balance_raw_18966239'!$D$54)&lt;=1,"✓ OK","❌ "&amp;TEXT(D25-'balance_raw_18966239'!$D$54,"+#,##0;-#,##0")&amp;"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IF('res_raw_18966239'!$F$6="","—",IF(ABS(B9-'res_raw_18966239'!$F$6)&lt;=1,"✓ OK","❌ "&amp;TEXT(B9-'res_raw_18966239'!$F$6,"+#,##0;-#,##0")&amp;" t.kr."))</f>
        <v/>
      </c>
      <c r="C64" s="29">
        <f>IF('res_raw_18966239'!$E$6="","—",IF(ABS(C9-'res_raw_18966239'!$E$6)&lt;=1,"✓ OK","❌ "&amp;TEXT(C9-'res_raw_18966239'!$E$6,"+#,##0;-#,##0")&amp;" t.kr."))</f>
        <v/>
      </c>
      <c r="D64" s="29">
        <f>IF('res_raw_18966239'!$D$6="","—",IF(ABS(D9-'res_raw_18966239'!$D$6)&lt;=1,"✓ OK","❌ "&amp;TEXT(D9-'res_raw_18966239'!$D$6,"+#,##0;-#,##0")&amp;"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IF('res_raw_18966239'!$F$11="","—",IF(ABS(B13-'res_raw_18966239'!$F$11)&lt;=1,"✓ OK","❌ "&amp;TEXT(B13-'res_raw_18966239'!$F$11,"+#,##0;-#,##0")&amp;" t.kr."))</f>
        <v/>
      </c>
      <c r="C65" s="29">
        <f>IF('res_raw_18966239'!$E$11="","—",IF(ABS(C13-'res_raw_18966239'!$E$11)&lt;=1,"✓ OK","❌ "&amp;TEXT(C13-'res_raw_18966239'!$E$11,"+#,##0;-#,##0")&amp;" t.kr."))</f>
        <v/>
      </c>
      <c r="D65" s="29">
        <f>IF('res_raw_18966239'!$D$11="","—",IF(ABS(D13-'res_raw_18966239'!$D$11)&lt;=1,"✓ OK","❌ "&amp;TEXT(D13-'res_raw_18966239'!$D$11,"+#,##0;-#,##0")&amp;"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IF('res_raw_18966239'!$F$16="","—",IF(ABS(B16-'res_raw_18966239'!$F$16)&lt;=1,"✓ OK","❌ "&amp;TEXT(B16-'res_raw_18966239'!$F$16,"+#,##0;-#,##0")&amp;" t.kr."))</f>
        <v/>
      </c>
      <c r="C66" s="29">
        <f>IF('res_raw_18966239'!$E$16="","—",IF(ABS(C16-'res_raw_18966239'!$E$16)&lt;=1,"✓ OK","❌ "&amp;TEXT(C16-'res_raw_18966239'!$E$16,"+#,##0;-#,##0")&amp;" t.kr."))</f>
        <v/>
      </c>
      <c r="D66" s="29">
        <f>IF('res_raw_18966239'!$D$16="","—",IF(ABS(D16-'res_raw_18966239'!$D$16)&lt;=1,"✓ OK","❌ "&amp;TEXT(D16-'res_raw_18966239'!$D$16,"+#,##0;-#,##0")&amp;"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Proshop a/s (CVR 18966239)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75</v>
      </c>
      <c r="E3" s="35" t="n">
        <v>60</v>
      </c>
      <c r="F3" s="35" t="n">
        <v>45</v>
      </c>
      <c r="G3" s="35" t="n">
        <v>30</v>
      </c>
      <c r="H3" s="35" t="n">
        <v>15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fsa:WorkPerformedByEntityAndCapitalised</t>
        </is>
      </c>
      <c r="C4" s="37" t="inlineStr">
        <is>
          <t>fsa:WorkPerformedByEntityAndCapitalised</t>
        </is>
      </c>
      <c r="D4" s="38" t="n">
        <v>-3954</v>
      </c>
      <c r="E4" s="38" t="n">
        <v>-4477</v>
      </c>
      <c r="F4" s="38" t="n">
        <v>-4548</v>
      </c>
      <c r="G4" s="38" t="n">
        <v>-6203</v>
      </c>
      <c r="H4" s="38" t="n">
        <v>-5596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2026-09-27T21:19:17Z</dcterms:created>
  <dcterms:modified xmlns:dcterms="http://purl.org/dc/terms/" xmlns:xsi="http://www.w3.org/2001/XMLSchema-instance" xsi:type="dcterms:W3CDTF">2026-09-27T21:19:18Z</dcterms:modified>
</cp:coreProperties>
</file>