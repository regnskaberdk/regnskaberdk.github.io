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novo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7" t="inlineStr">
        <is>
          <t>Materielle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Kapitalandele, dattervirksomheder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Deposita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Finansielle anlægsaktiver</t>
        </is>
      </c>
      <c r="B28" s="8">
        <f>'balance_raw'!$B$9</f>
        <v/>
      </c>
      <c r="C28" s="8">
        <f>'balance_raw'!$C$9</f>
        <v/>
      </c>
      <c r="D28" s="8">
        <f>'balance_raw'!$D$9</f>
        <v/>
      </c>
      <c r="E28" s="8">
        <f>'balance_raw'!$E$9</f>
        <v/>
      </c>
      <c r="F28" s="8">
        <f>'balance_raw'!$F$9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7" t="inlineStr">
        <is>
          <t>Anlægsaktiver</t>
        </is>
      </c>
      <c r="B29" s="8">
        <f>'balance_raw'!$B$10</f>
        <v/>
      </c>
      <c r="C29" s="8">
        <f>'balance_raw'!$C$10</f>
        <v/>
      </c>
      <c r="D29" s="8">
        <f>'balance_raw'!$D$10</f>
        <v/>
      </c>
      <c r="E29" s="8">
        <f>'balance_raw'!$E$10</f>
        <v/>
      </c>
      <c r="F29" s="8">
        <f>'balance_raw'!$F$10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Varebeholdninger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Tilgodehavender fra salg og tjenesteydelser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Andre tilgodehavender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Udskudt skatteaktiv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Kortfristede skattetilgodehavender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Tilgodehavender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Værdipapirer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Omsætningsaktiver</t>
        </is>
      </c>
      <c r="B41" s="8">
        <f>'balance_raw'!$B$22</f>
        <v/>
      </c>
      <c r="C41" s="8">
        <f>'balance_raw'!$C$22</f>
        <v/>
      </c>
      <c r="D41" s="8">
        <f>'balance_raw'!$D$22</f>
        <v/>
      </c>
      <c r="E41" s="8">
        <f>'balance_raw'!$E$22</f>
        <v/>
      </c>
      <c r="F41" s="8">
        <f>'balance_raw'!$F$22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7" t="inlineStr">
        <is>
          <t>Aktiver</t>
        </is>
      </c>
      <c r="B42" s="8">
        <f>'balance_raw'!$B$23</f>
        <v/>
      </c>
      <c r="C42" s="8">
        <f>'balance_raw'!$C$23</f>
        <v/>
      </c>
      <c r="D42" s="8">
        <f>'balance_raw'!$D$23</f>
        <v/>
      </c>
      <c r="E42" s="8">
        <f>'balance_raw'!$E$23</f>
        <v/>
      </c>
      <c r="F42" s="8">
        <f>'balance_raw'!$F$23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4" ht="22" customHeight="1">
      <c r="A44" s="3" t="inlineStr">
        <is>
          <t>PASSIVER t.kr.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10" t="inlineStr">
        <is>
          <t>Selskabskapital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udviklingsomkostninger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'balance_raw'!$B$27</f>
        <v/>
      </c>
      <c r="C48" s="5">
        <f>'balance_raw'!$C$27</f>
        <v/>
      </c>
      <c r="D48" s="5">
        <f>'balance_raw'!$D$27</f>
        <v/>
      </c>
      <c r="E48" s="5">
        <f>'balance_raw'!$E$27</f>
        <v/>
      </c>
      <c r="F48" s="5">
        <f>'balance_raw'!$F$27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Andre reserver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Egenkapital i alt</t>
        </is>
      </c>
      <c r="B51" s="8">
        <f>'balance_raw'!$B$30</f>
        <v/>
      </c>
      <c r="C51" s="8">
        <f>'balance_raw'!$C$30</f>
        <v/>
      </c>
      <c r="D51" s="8">
        <f>'balance_raw'!$D$30</f>
        <v/>
      </c>
      <c r="E51" s="8">
        <f>'balance_raw'!$E$30</f>
        <v/>
      </c>
      <c r="F51" s="8">
        <f>'balance_raw'!$F$30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Hensættelse til udskudt skat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Hensatte forpligtelser</t>
        </is>
      </c>
      <c r="B53" s="8">
        <f>'balance_raw'!$B$32</f>
        <v/>
      </c>
      <c r="C53" s="8">
        <f>'balance_raw'!$C$32</f>
        <v/>
      </c>
      <c r="D53" s="8">
        <f>'balance_raw'!$D$32</f>
        <v/>
      </c>
      <c r="E53" s="8">
        <f>'balance_raw'!$E$32</f>
        <v/>
      </c>
      <c r="F53" s="8">
        <f>'balance_raw'!$F$32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Ansvarlig lånekapital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Langfristede lån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Leasingforpligtelser (langfristet)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Anden gæld (langfristet)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Langfristede gældsforpligtelser</t>
        </is>
      </c>
      <c r="B58" s="8">
        <f>'balance_raw'!$B$37</f>
        <v/>
      </c>
      <c r="C58" s="8">
        <f>'balance_raw'!$C$37</f>
        <v/>
      </c>
      <c r="D58" s="8">
        <f>'balance_raw'!$D$37</f>
        <v/>
      </c>
      <c r="E58" s="8">
        <f>'balance_raw'!$E$37</f>
        <v/>
      </c>
      <c r="F58" s="8">
        <f>'balance_raw'!$F$37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Kortfristet del af langfristede gældsforpligtelser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Kreditinstitutter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Leasingforpligtelser (kortfristet)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Leverandører af varer og tjenesteydelser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selskabsdeltagere og ledelse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Selskabsskat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 vedr. selskabsskat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Anden gæld (kortfristet)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Periodeafgrænsningsposter (passiver)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7" t="inlineStr">
        <is>
          <t>Kortfristede gældsforpligtelser</t>
        </is>
      </c>
      <c r="B70" s="8">
        <f>'balance_raw'!$B$49</f>
        <v/>
      </c>
      <c r="C70" s="8">
        <f>'balance_raw'!$C$49</f>
        <v/>
      </c>
      <c r="D70" s="8">
        <f>'balance_raw'!$D$49</f>
        <v/>
      </c>
      <c r="E70" s="8">
        <f>'balance_raw'!$E$49</f>
        <v/>
      </c>
      <c r="F70" s="8">
        <f>'balance_raw'!$F$49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1" ht="16" customHeight="1">
      <c r="A71" s="7" t="inlineStr">
        <is>
          <t>Gældsforpligtelser</t>
        </is>
      </c>
      <c r="B71" s="8">
        <f>'balance_raw'!$B$50</f>
        <v/>
      </c>
      <c r="C71" s="8">
        <f>'balance_raw'!$C$50</f>
        <v/>
      </c>
      <c r="D71" s="8">
        <f>'balance_raw'!$D$50</f>
        <v/>
      </c>
      <c r="E71" s="8">
        <f>'balance_raw'!$E$50</f>
        <v/>
      </c>
      <c r="F71" s="8">
        <f>'balance_raw'!$F$50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7" t="inlineStr">
        <is>
          <t>Passiver</t>
        </is>
      </c>
      <c r="B72" s="8">
        <f>'balance_raw'!$B$51</f>
        <v/>
      </c>
      <c r="C72" s="8">
        <f>'balance_raw'!$C$51</f>
        <v/>
      </c>
      <c r="D72" s="8">
        <f>'balance_raw'!$D$51</f>
        <v/>
      </c>
      <c r="E72" s="8">
        <f>'balance_raw'!$E$51</f>
        <v/>
      </c>
      <c r="F72" s="8">
        <f>'balance_raw'!$F$51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4" ht="22" customHeight="1">
      <c r="A74" s="3" t="inlineStr">
        <is>
          <t>NØGLEOPLYSNINGER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10" t="inlineStr">
        <is>
          <t>Gns. antal medarbejdere</t>
        </is>
      </c>
      <c r="B75" s="11">
        <f>'res_raw'!$B$17</f>
        <v/>
      </c>
      <c r="C75" s="11">
        <f>'res_raw'!$C$17</f>
        <v/>
      </c>
      <c r="D75" s="11">
        <f>'res_raw'!$D$17</f>
        <v/>
      </c>
      <c r="E75" s="11">
        <f>'res_raw'!$E$17</f>
        <v/>
      </c>
      <c r="F75" s="11">
        <f>'res_raw'!$F$17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Investering i materielle anlægsaktiver</t>
        </is>
      </c>
      <c r="B76" s="5">
        <f>'res_raw'!$B$18</f>
        <v/>
      </c>
      <c r="C76" s="5">
        <f>'res_raw'!$C$18</f>
        <v/>
      </c>
      <c r="D76" s="5">
        <f>'res_raw'!$D$18</f>
        <v/>
      </c>
      <c r="E76" s="5">
        <f>'res_raw'!$E$18</f>
        <v/>
      </c>
      <c r="F76" s="5">
        <f>'res_raw'!$F$18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8" ht="22" customHeight="1">
      <c r="A78" s="3" t="inlineStr">
        <is>
          <t>NØGLETAL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10" t="inlineStr">
        <is>
          <t>Afkastningsgrad, %</t>
        </is>
      </c>
      <c r="B79" s="13">
        <f>IFERROR(($B$11+$B$13+$B$12)/$B$42*100,"")</f>
        <v/>
      </c>
      <c r="C79" s="13">
        <f>IFERROR(($C$11+$C$13+$C$12)/$C$42*100,"")</f>
        <v/>
      </c>
      <c r="D79" s="13">
        <f>IFERROR(($D$11+$D$13+$D$12)/$D$42*100,"")</f>
        <v/>
      </c>
      <c r="E79" s="13">
        <f>IFERROR(($E$11+$E$13+$E$12)/$E$42*100,"")</f>
        <v/>
      </c>
      <c r="F79" s="13">
        <f>IFERROR(($F$11+$F$13+$F$12)/$F$42*100,"")</f>
        <v/>
      </c>
    </row>
    <row r="80" ht="16" customHeight="1">
      <c r="A80" s="4" t="inlineStr">
        <is>
          <t>Overskudsgrad, %</t>
        </is>
      </c>
      <c r="B80" s="14">
        <f>IFERROR(($B$11+$B$13+$B$12)/$B$4*100,"")</f>
        <v/>
      </c>
      <c r="C80" s="14">
        <f>IFERROR(($C$11+$C$13+$C$12)/$C$4*100,"")</f>
        <v/>
      </c>
      <c r="D80" s="14">
        <f>IFERROR(($D$11+$D$13+$D$12)/$D$4*100,"")</f>
        <v/>
      </c>
      <c r="E80" s="14">
        <f>IFERROR(($E$11+$E$13+$E$12)/$E$4*100,"")</f>
        <v/>
      </c>
      <c r="F80" s="14">
        <f>IFERROR(($F$11+$F$13+$F$12)/$F$4*100,"")</f>
        <v/>
      </c>
    </row>
    <row r="81" ht="16" customHeight="1">
      <c r="A81" s="10" t="inlineStr">
        <is>
          <t>Aktivernes omsætningshastighed, gange</t>
        </is>
      </c>
      <c r="B81" s="13">
        <f>IFERROR($B$4/$B$42,"")</f>
        <v/>
      </c>
      <c r="C81" s="13">
        <f>IFERROR($C$4/$C$42,"")</f>
        <v/>
      </c>
      <c r="D81" s="13">
        <f>IFERROR($D$4/$D$42,"")</f>
        <v/>
      </c>
      <c r="E81" s="13">
        <f>IFERROR($E$4/$E$42,"")</f>
        <v/>
      </c>
      <c r="F81" s="13">
        <f>IFERROR($F$4/$F$42,"")</f>
        <v/>
      </c>
    </row>
    <row r="82" ht="16" customHeight="1">
      <c r="A82" s="4" t="inlineStr">
        <is>
          <t>Egenkapitalens forrentning, %</t>
        </is>
      </c>
      <c r="B82" s="14">
        <f>IFERROR($B$16/$B$51*100,"")</f>
        <v/>
      </c>
      <c r="C82" s="14">
        <f>IFERROR($C$16/$C$51*100,"")</f>
        <v/>
      </c>
      <c r="D82" s="14">
        <f>IFERROR($D$16/$D$51*100,"")</f>
        <v/>
      </c>
      <c r="E82" s="14">
        <f>IFERROR($E$16/$E$51*100,"")</f>
        <v/>
      </c>
      <c r="F82" s="14">
        <f>IFERROR($F$16/$F$51*100,"")</f>
        <v/>
      </c>
    </row>
    <row r="83" ht="16" customHeight="1">
      <c r="A83" s="10" t="inlineStr">
        <is>
          <t>Gældsrente, %</t>
        </is>
      </c>
      <c r="B83" s="13">
        <f>IFERROR($B$14/($B$72-$B$51)*100,"")</f>
        <v/>
      </c>
      <c r="C83" s="13">
        <f>IFERROR($C$14/($C$72-$C$51)*100,"")</f>
        <v/>
      </c>
      <c r="D83" s="13">
        <f>IFERROR($D$14/($D$72-$D$51)*100,"")</f>
        <v/>
      </c>
      <c r="E83" s="13">
        <f>IFERROR($E$14/($E$72-$E$51)*100,"")</f>
        <v/>
      </c>
      <c r="F83" s="13">
        <f>IFERROR($F$14/($F$72-$F$51)*100,"")</f>
        <v/>
      </c>
    </row>
    <row r="84" ht="16" customHeight="1">
      <c r="A84" s="4" t="inlineStr">
        <is>
          <t>Soliditetsgrad, %</t>
        </is>
      </c>
      <c r="B84" s="14">
        <f>IFERROR($B$51/$B$42*100,"")</f>
        <v/>
      </c>
      <c r="C84" s="14">
        <f>IFERROR($C$51/$C$42*100,"")</f>
        <v/>
      </c>
      <c r="D84" s="14">
        <f>IFERROR($D$51/$D$42*100,"")</f>
        <v/>
      </c>
      <c r="E84" s="14">
        <f>IFERROR($E$51/$E$42*100,"")</f>
        <v/>
      </c>
      <c r="F84" s="14">
        <f>IFERROR($F$51/$F$42*100,"")</f>
        <v/>
      </c>
    </row>
    <row r="85" ht="16" customHeight="1">
      <c r="A85" s="10" t="inlineStr">
        <is>
          <t>Gearing</t>
        </is>
      </c>
      <c r="B85" s="13">
        <f>IFERROR(($B$72-$B$51)/$B$51,"")</f>
        <v/>
      </c>
      <c r="C85" s="13">
        <f>IFERROR(($C$72-$C$51)/$C$51,"")</f>
        <v/>
      </c>
      <c r="D85" s="13">
        <f>IFERROR(($D$72-$D$51)/$D$51,"")</f>
        <v/>
      </c>
      <c r="E85" s="13">
        <f>IFERROR(($E$72-$E$51)/$E$51,"")</f>
        <v/>
      </c>
      <c r="F85" s="13">
        <f>IFERROR(($F$72-$F$51)/$F$51,"")</f>
        <v/>
      </c>
    </row>
    <row r="86" ht="16" customHeight="1">
      <c r="A86" s="4" t="inlineStr">
        <is>
          <t>Likviditetsgrad, %</t>
        </is>
      </c>
      <c r="B86" s="14">
        <f>IFERROR($B$41/$B$70*100,"")</f>
        <v/>
      </c>
      <c r="C86" s="14">
        <f>IFERROR($C$41/$C$70*100,"")</f>
        <v/>
      </c>
      <c r="D86" s="14">
        <f>IFERROR($D$41/$D$70*100,"")</f>
        <v/>
      </c>
      <c r="E86" s="14">
        <f>IFERROR($E$41/$E$70*100,"")</f>
        <v/>
      </c>
      <c r="F86" s="14">
        <f>IFERROR($F$41/$F$70*100,"")</f>
        <v/>
      </c>
    </row>
    <row r="87" ht="16" customHeight="1">
      <c r="A87" s="10" t="inlineStr">
        <is>
          <t>Rentemarginal, %</t>
        </is>
      </c>
      <c r="B87" s="13">
        <f>IFERROR(B79-B83,"")</f>
        <v/>
      </c>
      <c r="C87" s="13">
        <f>IFERROR(C79-C83,"")</f>
        <v/>
      </c>
      <c r="D87" s="13">
        <f>IFERROR(D79-D83,"")</f>
        <v/>
      </c>
      <c r="E87" s="13">
        <f>IFERROR(E79-E83,"")</f>
        <v/>
      </c>
      <c r="F87" s="13">
        <f>IFERROR(F79-F83,"")</f>
        <v/>
      </c>
    </row>
    <row r="88" ht="16" customHeight="1">
      <c r="A88" s="4" t="inlineStr">
        <is>
          <t>Gældsandel, %</t>
        </is>
      </c>
      <c r="B88" s="14">
        <f>IFERROR(($B$72-$B$51)/$B$42*100,"")</f>
        <v/>
      </c>
      <c r="C88" s="14">
        <f>IFERROR(($C$72-$C$51)/$C$42*100,"")</f>
        <v/>
      </c>
      <c r="D88" s="14">
        <f>IFERROR(($D$72-$D$51)/$D$42*100,"")</f>
        <v/>
      </c>
      <c r="E88" s="14">
        <f>IFERROR(($E$72-$E$51)/$E$42*100,"")</f>
        <v/>
      </c>
      <c r="F88" s="14">
        <f>IFERROR(($F$72-$F$51)/$F$42*100,"")</f>
        <v/>
      </c>
    </row>
    <row r="89" ht="16" customHeight="1">
      <c r="A89" s="10" t="inlineStr">
        <is>
          <t>Kapitalbindingsgrad, %</t>
        </is>
      </c>
      <c r="B89" s="13">
        <f>IFERROR($B$29/($B$51+$B$58)*100,"")</f>
        <v/>
      </c>
      <c r="C89" s="13">
        <f>IFERROR($C$29/($C$51+$C$58)*100,"")</f>
        <v/>
      </c>
      <c r="D89" s="13">
        <f>IFERROR($D$29/($D$51+$D$58)*100,"")</f>
        <v/>
      </c>
      <c r="E89" s="13">
        <f>IFERROR($E$29/($E$51+$E$58)*100,"")</f>
        <v/>
      </c>
      <c r="F89" s="13">
        <f>IFERROR($F$29/($F$51+$F$58)*100,"")</f>
        <v/>
      </c>
    </row>
    <row r="91">
      <c r="A91" s="15" t="inlineStr">
        <is>
          <t>PENGESTRØMSOPGØRELSE t.kr.</t>
        </is>
      </c>
    </row>
    <row r="92">
      <c r="A92" s="16" t="inlineStr">
        <is>
          <t>Pengestrømme fra driftsaktivitet</t>
        </is>
      </c>
      <c r="B92" s="17">
        <f>'pengestrom_raw'!$B$2</f>
        <v/>
      </c>
      <c r="C92" s="17">
        <f>'pengestrom_raw'!$C$2</f>
        <v/>
      </c>
      <c r="D92" s="17">
        <f>'pengestrom_raw'!$D$2</f>
        <v/>
      </c>
      <c r="E92" s="17">
        <f>'pengestrom_raw'!$E$2</f>
        <v/>
      </c>
      <c r="F92" s="17">
        <f>'pengestrom_raw'!$F$2</f>
        <v/>
      </c>
    </row>
    <row r="93">
      <c r="A93" s="16" t="inlineStr">
        <is>
          <t>Pengestrømme fra investeringsaktivitet</t>
        </is>
      </c>
      <c r="B93" s="17">
        <f>'pengestrom_raw'!$B$3</f>
        <v/>
      </c>
      <c r="C93" s="17">
        <f>'pengestrom_raw'!$C$3</f>
        <v/>
      </c>
      <c r="D93" s="17">
        <f>'pengestrom_raw'!$D$3</f>
        <v/>
      </c>
      <c r="E93" s="17">
        <f>'pengestrom_raw'!$E$3</f>
        <v/>
      </c>
      <c r="F93" s="17">
        <f>'pengestrom_raw'!$F$3</f>
        <v/>
      </c>
    </row>
    <row r="94">
      <c r="A94" s="16" t="inlineStr">
        <is>
          <t>Pengestrømme fra finansieringsaktivitet</t>
        </is>
      </c>
      <c r="B94" s="17">
        <f>'pengestrom_raw'!$B$4</f>
        <v/>
      </c>
      <c r="C94" s="17">
        <f>'pengestrom_raw'!$C$4</f>
        <v/>
      </c>
      <c r="D94" s="17">
        <f>'pengestrom_raw'!$D$4</f>
        <v/>
      </c>
      <c r="E94" s="17">
        <f>'pengestrom_raw'!$E$4</f>
        <v/>
      </c>
      <c r="F94" s="17">
        <f>'pengestrom_raw'!$F$4</f>
        <v/>
      </c>
    </row>
    <row r="95">
      <c r="A95" s="16" t="inlineStr">
        <is>
          <t>Årets pengestrøm (rapporteret)</t>
        </is>
      </c>
      <c r="B95" s="17">
        <f>'pengestrom_raw'!$B$5</f>
        <v/>
      </c>
      <c r="C95" s="17">
        <f>'pengestrom_raw'!$C$5</f>
        <v/>
      </c>
      <c r="D95" s="17">
        <f>'pengestrom_raw'!$D$5</f>
        <v/>
      </c>
      <c r="E95" s="17">
        <f>'pengestrom_raw'!$E$5</f>
        <v/>
      </c>
      <c r="F95" s="17">
        <f>'pengestrom_raw'!$F$5</f>
        <v/>
      </c>
    </row>
    <row r="96">
      <c r="A96" s="16" t="inlineStr">
        <is>
          <t>Krydstjek: drift + inv. + fin. = årets pengestrøm</t>
        </is>
      </c>
      <c r="B96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6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6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6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6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novo (CVR None)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140800000</v>
      </c>
      <c r="C2" s="17" t="n">
        <v>176954000</v>
      </c>
      <c r="D2" s="17" t="n">
        <v>232261000</v>
      </c>
      <c r="E2" s="17" t="n">
        <v>290403000</v>
      </c>
      <c r="F2" s="17" t="n">
        <v>309064000</v>
      </c>
    </row>
    <row r="3">
      <c r="A3" s="16" t="inlineStr">
        <is>
          <t>Produktionsomkostninger</t>
        </is>
      </c>
      <c r="B3" s="17" t="n">
        <v>23658000</v>
      </c>
      <c r="C3" s="17" t="n">
        <v>28448000</v>
      </c>
      <c r="D3" s="17" t="n">
        <v>35765000</v>
      </c>
      <c r="E3" s="17" t="n">
        <v>44522000</v>
      </c>
      <c r="F3" s="17" t="n">
        <v>58788000</v>
      </c>
    </row>
    <row r="4">
      <c r="A4" s="15" t="inlineStr">
        <is>
          <t>Bruttoresultat</t>
        </is>
      </c>
      <c r="B4" s="17" t="n">
        <v>117142000</v>
      </c>
      <c r="C4" s="17" t="n">
        <v>148506000</v>
      </c>
      <c r="D4" s="17" t="n">
        <v>196496000</v>
      </c>
      <c r="E4" s="17" t="n">
        <v>245881000</v>
      </c>
      <c r="F4" s="17" t="n">
        <v>250276000</v>
      </c>
    </row>
    <row r="5">
      <c r="A5" s="16" t="inlineStr">
        <is>
          <t>Salgs- og distributionsomkostninger</t>
        </is>
      </c>
      <c r="B5" s="17" t="n">
        <v>37008000</v>
      </c>
      <c r="C5" s="17" t="n">
        <v>46217000</v>
      </c>
      <c r="D5" s="17" t="n">
        <v>56743000</v>
      </c>
      <c r="E5" s="17" t="n">
        <v>62101000</v>
      </c>
      <c r="F5" s="17" t="n">
        <v>64310000</v>
      </c>
    </row>
    <row r="6">
      <c r="A6" s="16" t="inlineStr">
        <is>
          <t>Administrationsomkostninger</t>
        </is>
      </c>
      <c r="B6" s="17" t="n">
        <v>4050000</v>
      </c>
      <c r="C6" s="17" t="n">
        <v>4467000</v>
      </c>
      <c r="D6" s="17" t="n">
        <v>4855000</v>
      </c>
      <c r="E6" s="17" t="n">
        <v>5276000</v>
      </c>
      <c r="F6" s="17" t="n">
        <v>5969000</v>
      </c>
    </row>
    <row r="7">
      <c r="A7" s="16" t="inlineStr">
        <is>
          <t>Andre driftsindtægter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58644000</v>
      </c>
      <c r="C9" s="17" t="n">
        <v>74809000</v>
      </c>
      <c r="D9" s="17" t="n">
        <v>102574000</v>
      </c>
      <c r="E9" s="17" t="n">
        <v>128339000</v>
      </c>
      <c r="F9" s="17" t="n">
        <v>127658000</v>
      </c>
    </row>
    <row r="10">
      <c r="A10" s="16" t="inlineStr">
        <is>
          <t>Indtægter af kapitalandele, dattervirksomheder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Finansielle indtægter</t>
        </is>
      </c>
      <c r="B11" s="17" t="n">
        <v>2887000</v>
      </c>
      <c r="C11" s="17" t="n">
        <v>239000</v>
      </c>
      <c r="D11" s="17" t="n">
        <v>2945000</v>
      </c>
      <c r="E11" s="17" t="n">
        <v>6198000</v>
      </c>
      <c r="F11" s="17" t="n">
        <v>9660000</v>
      </c>
    </row>
    <row r="12">
      <c r="A12" s="16" t="inlineStr">
        <is>
          <t>Finansielle omkostninger</t>
        </is>
      </c>
      <c r="B12" s="17" t="n">
        <v>2451000</v>
      </c>
      <c r="C12" s="17" t="n">
        <v>5986000</v>
      </c>
      <c r="D12" s="17" t="n">
        <v>845000</v>
      </c>
      <c r="E12" s="17" t="n">
        <v>7346000</v>
      </c>
      <c r="F12" s="17" t="n">
        <v>6778000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59080000</v>
      </c>
      <c r="C14" s="17" t="n">
        <v>69062000</v>
      </c>
      <c r="D14" s="17" t="n">
        <v>104674000</v>
      </c>
      <c r="E14" s="17" t="n">
        <v>127191000</v>
      </c>
      <c r="F14" s="17" t="n">
        <v>130540000</v>
      </c>
    </row>
    <row r="15">
      <c r="A15" s="16" t="inlineStr">
        <is>
          <t>Skat af årets resultat</t>
        </is>
      </c>
      <c r="B15" s="17" t="n">
        <v>11323000</v>
      </c>
      <c r="C15" s="17" t="n">
        <v>13537000</v>
      </c>
      <c r="D15" s="17" t="n">
        <v>20991000</v>
      </c>
      <c r="E15" s="17" t="n">
        <v>26203000</v>
      </c>
      <c r="F15" s="17" t="n">
        <v>28106000</v>
      </c>
    </row>
    <row r="16">
      <c r="A16" s="15" t="inlineStr">
        <is>
          <t>Årets resultat</t>
        </is>
      </c>
      <c r="B16" s="17" t="n">
        <v>47757000</v>
      </c>
      <c r="C16" s="17" t="n">
        <v>55525000</v>
      </c>
      <c r="D16" s="17" t="n">
        <v>83683000</v>
      </c>
      <c r="E16" s="17" t="n">
        <v>100988000</v>
      </c>
      <c r="F16" s="17" t="n">
        <v>102434000</v>
      </c>
    </row>
    <row r="17">
      <c r="A17" s="16" t="inlineStr">
        <is>
          <t>Gns. antal medarbejdere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6335000</v>
      </c>
      <c r="C18" s="17" t="n">
        <v>12146000</v>
      </c>
      <c r="D18" s="17" t="n">
        <v>25806000</v>
      </c>
      <c r="E18" s="17" t="n">
        <v>47164000</v>
      </c>
      <c r="F18" s="17" t="n">
        <v>60140000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novo (CVR None)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>
        <v>19845000</v>
      </c>
    </row>
    <row r="5">
      <c r="A5" s="15" t="inlineStr">
        <is>
          <t>Immaterielle anlægsaktiver</t>
        </is>
      </c>
      <c r="B5" s="17" t="n">
        <v>43171000</v>
      </c>
      <c r="C5" s="17" t="n">
        <v>51416000</v>
      </c>
      <c r="D5" s="17" t="n">
        <v>60406000</v>
      </c>
      <c r="E5" s="17" t="n">
        <v>111090000</v>
      </c>
      <c r="F5" s="17" t="n">
        <v>110208000</v>
      </c>
    </row>
    <row r="6">
      <c r="A6" s="15" t="inlineStr">
        <is>
          <t>Materielle anlægsaktiver</t>
        </is>
      </c>
      <c r="B6" s="17" t="n">
        <v>55362000</v>
      </c>
      <c r="C6" s="17" t="n">
        <v>66671000</v>
      </c>
      <c r="D6" s="17" t="n">
        <v>90961000</v>
      </c>
      <c r="E6" s="17" t="n">
        <v>162488000</v>
      </c>
      <c r="F6" s="17" t="n">
        <v>208378000</v>
      </c>
    </row>
    <row r="7">
      <c r="A7" s="16" t="inlineStr">
        <is>
          <t>Kapitalandele, dattervirksomheder</t>
        </is>
      </c>
      <c r="B7" s="17" t="n">
        <v>525000</v>
      </c>
      <c r="C7" s="17" t="n">
        <v>327000</v>
      </c>
      <c r="D7" s="17" t="n">
        <v>410000</v>
      </c>
      <c r="E7" s="17" t="n">
        <v>400000</v>
      </c>
      <c r="F7" s="17" t="n">
        <v>366000</v>
      </c>
    </row>
    <row r="8">
      <c r="A8" s="16" t="inlineStr">
        <is>
          <t>Deposita</t>
        </is>
      </c>
      <c r="B8" s="17" t="n">
        <v>916000</v>
      </c>
      <c r="C8" s="17" t="n">
        <v>1016000</v>
      </c>
      <c r="D8" s="17" t="n">
        <v>1253000</v>
      </c>
      <c r="E8" s="17" t="n">
        <v>2277000</v>
      </c>
      <c r="F8" s="17" t="n">
        <v>2141000</v>
      </c>
    </row>
    <row r="9">
      <c r="A9" s="15" t="inlineStr">
        <is>
          <t>Finansielle anlægsaktiver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Anlægsaktiver</t>
        </is>
      </c>
      <c r="B10" s="17" t="n">
        <v>108913000</v>
      </c>
      <c r="C10" s="17" t="n">
        <v>133063000</v>
      </c>
      <c r="D10" s="17" t="n">
        <v>174840000</v>
      </c>
      <c r="E10" s="17" t="n">
        <v>304898000</v>
      </c>
      <c r="F10" s="17" t="n">
        <v>370449000</v>
      </c>
    </row>
    <row r="11">
      <c r="A11" s="15" t="inlineStr">
        <is>
          <t>Varebeholdninger</t>
        </is>
      </c>
      <c r="B11" s="17" t="n">
        <v>19621000</v>
      </c>
      <c r="C11" s="17" t="n">
        <v>24388000</v>
      </c>
      <c r="D11" s="17" t="n">
        <v>31811000</v>
      </c>
      <c r="E11" s="17" t="n">
        <v>40849000</v>
      </c>
      <c r="F11" s="17" t="n">
        <v>49623000</v>
      </c>
    </row>
    <row r="12">
      <c r="A12" s="16" t="inlineStr">
        <is>
          <t>Tilgodehavender fra salg og tjenesteydelser</t>
        </is>
      </c>
      <c r="B12" s="17" t="n">
        <v>40643000</v>
      </c>
      <c r="C12" s="17" t="n">
        <v>50560000</v>
      </c>
      <c r="D12" s="17" t="n">
        <v>64770000</v>
      </c>
      <c r="E12" s="17" t="n">
        <v>71949000</v>
      </c>
      <c r="F12" s="17" t="n">
        <v>70856000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>
        <v>1690000</v>
      </c>
      <c r="C14" s="17" t="n">
        <v>2727000</v>
      </c>
      <c r="D14" s="17" t="n">
        <v>2344000</v>
      </c>
      <c r="E14" s="17" t="n">
        <v>6326000</v>
      </c>
      <c r="F14" s="17" t="n">
        <v>6682000</v>
      </c>
    </row>
    <row r="15">
      <c r="A15" s="16" t="inlineStr">
        <is>
          <t>Periodeafgrænsningsposter (aktiver)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Udskudt skatteaktiv</t>
        </is>
      </c>
      <c r="B16" s="17" t="n">
        <v>8672000</v>
      </c>
      <c r="C16" s="17" t="n">
        <v>13427000</v>
      </c>
      <c r="D16" s="17" t="n">
        <v>20380000</v>
      </c>
      <c r="E16" s="17" t="n">
        <v>24627000</v>
      </c>
      <c r="F16" s="17" t="n">
        <v>23647000</v>
      </c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>
        <v>1119000</v>
      </c>
      <c r="C18" s="17" t="n">
        <v>940000</v>
      </c>
      <c r="D18" s="17" t="n">
        <v>2423000</v>
      </c>
      <c r="E18" s="17" t="n">
        <v>2853000</v>
      </c>
      <c r="F18" s="17" t="n">
        <v>4848000</v>
      </c>
    </row>
    <row r="19">
      <c r="A19" s="15" t="inlineStr">
        <is>
          <t>Tilgodehavender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21439000</v>
      </c>
      <c r="C21" s="17" t="n">
        <v>12653000</v>
      </c>
      <c r="D21" s="17" t="n">
        <v>14392000</v>
      </c>
      <c r="E21" s="17" t="n">
        <v>15655000</v>
      </c>
      <c r="F21" s="17" t="n">
        <v>26464000</v>
      </c>
    </row>
    <row r="22">
      <c r="A22" s="15" t="inlineStr">
        <is>
          <t>Omsætningsaktiver</t>
        </is>
      </c>
      <c r="B22" s="17" t="n">
        <v>85595000</v>
      </c>
      <c r="C22" s="17" t="n">
        <v>108194000</v>
      </c>
      <c r="D22" s="17" t="n">
        <v>139646000</v>
      </c>
      <c r="E22" s="17" t="n">
        <v>160897000</v>
      </c>
      <c r="F22" s="17" t="n">
        <v>172453000</v>
      </c>
    </row>
    <row r="23">
      <c r="A23" s="15" t="inlineStr">
        <is>
          <t>Aktiver</t>
        </is>
      </c>
      <c r="B23" s="17" t="n">
        <v>194508000</v>
      </c>
      <c r="C23" s="17" t="n">
        <v>241257000</v>
      </c>
      <c r="D23" s="17" t="n">
        <v>314486000</v>
      </c>
      <c r="E23" s="17" t="n">
        <v>465795000</v>
      </c>
      <c r="F23" s="17" t="n">
        <v>542902000</v>
      </c>
    </row>
    <row r="24">
      <c r="A24" s="16" t="inlineStr">
        <is>
          <t>Selskabskapital</t>
        </is>
      </c>
      <c r="B24" s="17" t="n">
        <v>462000</v>
      </c>
      <c r="C24" s="17" t="n">
        <v>456000</v>
      </c>
      <c r="D24" s="17" t="n">
        <v>451000</v>
      </c>
      <c r="E24" s="17" t="n">
        <v>446000</v>
      </c>
      <c r="F24" s="17" t="n">
        <v>446000</v>
      </c>
    </row>
    <row r="25">
      <c r="A25" s="16" t="inlineStr">
        <is>
          <t>Reserve for nettoopskrivning (indre værdis metode)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Reserve for udviklingsomkostninger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sikringstransaktioner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Andre reserver</t>
        </is>
      </c>
      <c r="B28" s="17" t="n">
        <v>-1714000</v>
      </c>
      <c r="C28" s="17" t="n">
        <v>2449000</v>
      </c>
      <c r="D28" s="17" t="n">
        <v>1276000</v>
      </c>
      <c r="E28" s="17" t="n">
        <v>-1406000</v>
      </c>
      <c r="F28" s="17" t="n">
        <v>-1695000</v>
      </c>
    </row>
    <row r="29">
      <c r="A29" s="16" t="inlineStr">
        <is>
          <t>Overført resultat</t>
        </is>
      </c>
      <c r="B29" s="17" t="n">
        <v>6000</v>
      </c>
      <c r="C29" s="17" t="n">
        <v>6000</v>
      </c>
      <c r="D29" s="17" t="n">
        <v>5000</v>
      </c>
      <c r="E29" s="17" t="n">
        <v>2000</v>
      </c>
      <c r="F29" s="17" t="n">
        <v>2000</v>
      </c>
    </row>
    <row r="30">
      <c r="A30" s="15" t="inlineStr">
        <is>
          <t>Egenkapital i alt</t>
        </is>
      </c>
      <c r="B30" s="17" t="n">
        <v>70746000</v>
      </c>
      <c r="C30" s="17" t="n">
        <v>83486000</v>
      </c>
      <c r="D30" s="17" t="n">
        <v>106561000</v>
      </c>
      <c r="E30" s="17" t="n">
        <v>143486000</v>
      </c>
      <c r="F30" s="17" t="n">
        <v>194047000</v>
      </c>
    </row>
    <row r="31">
      <c r="A31" s="16" t="inlineStr">
        <is>
          <t>Hensættelse til udskudt skat</t>
        </is>
      </c>
      <c r="B31" s="17" t="n">
        <v>5271000</v>
      </c>
      <c r="C31" s="17" t="n">
        <v>7061000</v>
      </c>
      <c r="D31" s="17" t="n">
        <v>10162000</v>
      </c>
      <c r="E31" s="17" t="n">
        <v>5426000</v>
      </c>
      <c r="F31" s="17" t="n">
        <v>6611000</v>
      </c>
    </row>
    <row r="32">
      <c r="A32" s="15" t="inlineStr">
        <is>
          <t>Hensatte forpligtelser</t>
        </is>
      </c>
      <c r="B32" s="17" t="n">
        <v>1280000</v>
      </c>
      <c r="C32" s="17" t="n">
        <v>762000</v>
      </c>
      <c r="D32" s="17" t="n">
        <v>742000</v>
      </c>
      <c r="E32" s="17" t="n">
        <v>903000</v>
      </c>
      <c r="F32" s="17" t="n">
        <v>861000</v>
      </c>
    </row>
    <row r="33">
      <c r="A33" s="16" t="inlineStr">
        <is>
          <t>Ansvarlig lånekapital (langfristet)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Langfristede lån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Leasingforpligtelser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Anden gæld (langfristet)</t>
        </is>
      </c>
      <c r="B36" s="17" t="n">
        <v>360000</v>
      </c>
      <c r="C36" s="17" t="n">
        <v>100000</v>
      </c>
      <c r="D36" s="17" t="n">
        <v>189000</v>
      </c>
      <c r="E36" s="17" t="n">
        <v>23000</v>
      </c>
      <c r="F36" s="17" t="n"/>
    </row>
    <row r="37">
      <c r="A37" s="15" t="inlineStr">
        <is>
          <t>Langfristede gældsforpligtelser</t>
        </is>
      </c>
      <c r="B37" s="17" t="n">
        <v>12961000</v>
      </c>
      <c r="C37" s="17" t="n">
        <v>24318000</v>
      </c>
      <c r="D37" s="17" t="n">
        <v>20528000</v>
      </c>
      <c r="E37" s="17" t="n">
        <v>89674000</v>
      </c>
      <c r="F37" s="17" t="n">
        <v>118941000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Kreditinstitutter</t>
        </is>
      </c>
      <c r="B40" s="17" t="n">
        <v>13684000</v>
      </c>
      <c r="C40" s="17" t="n">
        <v>1466000</v>
      </c>
      <c r="D40" s="17" t="n">
        <v>6478000</v>
      </c>
      <c r="E40" s="17" t="n">
        <v>13113000</v>
      </c>
      <c r="F40" s="17" t="n">
        <v>12017000</v>
      </c>
    </row>
    <row r="41">
      <c r="A41" s="16" t="inlineStr">
        <is>
          <t>Leasingforpligtelser (kortfristet)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Leverandører af varer og tjenesteydelser</t>
        </is>
      </c>
      <c r="B42" s="17" t="n">
        <v>8870000</v>
      </c>
      <c r="C42" s="17" t="n">
        <v>15587000</v>
      </c>
      <c r="D42" s="17" t="n">
        <v>25606000</v>
      </c>
      <c r="E42" s="17" t="n">
        <v>28846000</v>
      </c>
      <c r="F42" s="17" t="n">
        <v>19758000</v>
      </c>
    </row>
    <row r="43">
      <c r="A43" s="16" t="inlineStr">
        <is>
          <t>Gæld til tilknyttede virksomheder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tilknyttede virksomheder vedr. 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Anden gæld (kortfristet)</t>
        </is>
      </c>
      <c r="B47" s="17" t="n">
        <v>19600000</v>
      </c>
      <c r="C47" s="17" t="n">
        <v>23606000</v>
      </c>
      <c r="D47" s="17" t="n">
        <v>28705000</v>
      </c>
      <c r="E47" s="17" t="n">
        <v>37993000</v>
      </c>
      <c r="F47" s="17" t="n">
        <v>39721000</v>
      </c>
    </row>
    <row r="48">
      <c r="A48" s="16" t="inlineStr">
        <is>
          <t>Periodeafgrænsningsposter (passiver)</t>
        </is>
      </c>
      <c r="B48" s="17" t="n"/>
      <c r="C48" s="17" t="n"/>
      <c r="D48" s="17" t="n"/>
      <c r="E48" s="17" t="n"/>
      <c r="F48" s="17" t="n"/>
    </row>
    <row r="49">
      <c r="A49" s="15" t="inlineStr">
        <is>
          <t>Kortfristede gældsforpligtelser</t>
        </is>
      </c>
      <c r="B49" s="17" t="n">
        <v>99516000</v>
      </c>
      <c r="C49" s="17" t="n">
        <v>120940000</v>
      </c>
      <c r="D49" s="17" t="n">
        <v>169655000</v>
      </c>
      <c r="E49" s="17" t="n">
        <v>217528000</v>
      </c>
      <c r="F49" s="17" t="n">
        <v>215661000</v>
      </c>
    </row>
    <row r="50">
      <c r="A50" s="15" t="inlineStr">
        <is>
          <t>Gældsforpligtelser</t>
        </is>
      </c>
      <c r="B50" s="17" t="n">
        <v>123762000</v>
      </c>
      <c r="C50" s="17" t="n">
        <v>157771000</v>
      </c>
      <c r="D50" s="17" t="n">
        <v>207925000</v>
      </c>
      <c r="E50" s="17" t="n">
        <v>322309000</v>
      </c>
      <c r="F50" s="17" t="n">
        <v>348855000</v>
      </c>
    </row>
    <row r="51">
      <c r="A51" s="15" t="inlineStr">
        <is>
          <t>Passiver</t>
        </is>
      </c>
      <c r="B51" s="17" t="n">
        <v>194508000</v>
      </c>
      <c r="C51" s="17" t="n">
        <v>241257000</v>
      </c>
      <c r="D51" s="17" t="n">
        <v>314486000</v>
      </c>
      <c r="E51" s="17" t="n">
        <v>465795000</v>
      </c>
      <c r="F51" s="17" t="n">
        <v>542902000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novo (CVR None)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55000000</v>
      </c>
      <c r="C2" s="17" t="n">
        <v>78887000</v>
      </c>
      <c r="D2" s="17" t="n">
        <v>108908000</v>
      </c>
      <c r="E2" s="17" t="n">
        <v>120968000</v>
      </c>
      <c r="F2" s="17" t="n">
        <v>119102000</v>
      </c>
    </row>
    <row r="3">
      <c r="A3" s="16" t="inlineStr">
        <is>
          <t>Pengestrømme fra investeringsaktivitet</t>
        </is>
      </c>
      <c r="B3" s="17" t="n">
        <v>-31605000</v>
      </c>
      <c r="C3" s="17" t="n">
        <v>-24918000</v>
      </c>
      <c r="D3" s="17" t="n">
        <v>-43892000</v>
      </c>
      <c r="E3" s="17" t="n">
        <v>-128895000</v>
      </c>
      <c r="F3" s="17" t="n">
        <v>-79158000</v>
      </c>
    </row>
    <row r="4">
      <c r="A4" s="16" t="inlineStr">
        <is>
          <t>Pengestrømme fra finansieringsaktivitet</t>
        </is>
      </c>
      <c r="B4" s="17" t="n">
        <v>-25493000</v>
      </c>
      <c r="C4" s="17" t="n">
        <v>-51797000</v>
      </c>
      <c r="D4" s="17" t="n">
        <v>-63158000</v>
      </c>
      <c r="E4" s="17" t="n">
        <v>8735000</v>
      </c>
      <c r="F4" s="17" t="n">
        <v>-28408000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novo (CVR None)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IF(COUNT('res_raw'!$F$2,'res_raw'!$F$3)=0,'res_raw'!$F$4,SUM(B5:B6))</f>
        <v/>
      </c>
      <c r="C7" s="27">
        <f>IF(COUNT('res_raw'!$E$2,'res_raw'!$E$3)=0,'res_raw'!$E$4,SUM(C5:C6))</f>
        <v/>
      </c>
      <c r="D7" s="27">
        <f>IF(COUNT('res_raw'!$D$2,'res_raw'!$D$3)=0,'res_raw'!$D$4,SUM(D5:D6))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'balance_raw'!$F$10</f>
        <v/>
      </c>
      <c r="C18" s="24">
        <f>'balance_raw'!$E$10</f>
        <v/>
      </c>
      <c r="D18" s="24">
        <f>'balance_raw'!$D$10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'balance_raw'!$F$22</f>
        <v/>
      </c>
      <c r="C19" s="24">
        <f>'balance_raw'!$E$22</f>
        <v/>
      </c>
      <c r="D19" s="24">
        <f>'balance_raw'!$D$22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'balance_raw'!$F$30</f>
        <v/>
      </c>
      <c r="C22" s="24">
        <f>'balance_raw'!$E$30</f>
        <v/>
      </c>
      <c r="D22" s="24">
        <f>'balance_raw'!$D$30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'balance_raw'!$F$51-'balance_raw'!$F$30</f>
        <v/>
      </c>
      <c r="C23" s="24">
        <f>'balance_raw'!$E$51-'balance_raw'!$E$30</f>
        <v/>
      </c>
      <c r="D23" s="24">
        <f>'balance_raw'!$D$51-'balance_raw'!$D$30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'balance_raw'!$F$11</f>
        <v/>
      </c>
      <c r="C27" s="24">
        <f>'balance_raw'!$E$11</f>
        <v/>
      </c>
      <c r="D27" s="24">
        <f>'balance_raw'!$D$11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'balance_raw'!$F$12</f>
        <v/>
      </c>
      <c r="C28" s="24">
        <f>'balance_raw'!$E$12</f>
        <v/>
      </c>
      <c r="D28" s="24">
        <f>'balance_raw'!$D$12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'balance_raw'!$F$49</f>
        <v/>
      </c>
      <c r="C29" s="24">
        <f>'balance_raw'!$E$49</f>
        <v/>
      </c>
      <c r="D29" s="24">
        <f>'balance_raw'!$D$49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IF('balance_raw'!$F$23="","—",IF(ABS(B20-'balance_raw'!$F$23)&lt;=1,"✓ OK","❌ "&amp;TEXT(B20-'balance_raw'!$F$23,"+#,##0;-#,##0")&amp;" t.kr."))</f>
        <v/>
      </c>
      <c r="C60" s="29">
        <f>IF('balance_raw'!$E$23="","—",IF(ABS(C20-'balance_raw'!$E$23)&lt;=1,"✓ OK","❌ "&amp;TEXT(C20-'balance_raw'!$E$23,"+#,##0;-#,##0")&amp;" t.kr."))</f>
        <v/>
      </c>
      <c r="D60" s="29">
        <f>IF('balance_raw'!$D$23="","—",IF(ABS(D20-'balance_raw'!$D$23)&lt;=1,"✓ OK","❌ "&amp;TEXT(D20-'balance_raw'!$D$23,"+#,##0;-#,##0")&amp;"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IF('balance_raw'!$F$51="","—",IF(ABS(B24-'balance_raw'!$F$51)&lt;=1,"✓ OK","❌ "&amp;TEXT(B24-'balance_raw'!$F$51,"+#,##0;-#,##0")&amp;" t.kr."))</f>
        <v/>
      </c>
      <c r="C61" s="29">
        <f>IF('balance_raw'!$E$51="","—",IF(ABS(C24-'balance_raw'!$E$51)&lt;=1,"✓ OK","❌ "&amp;TEXT(C24-'balance_raw'!$E$51,"+#,##0;-#,##0")&amp;" t.kr."))</f>
        <v/>
      </c>
      <c r="D61" s="29">
        <f>IF('balance_raw'!$D$51="","—",IF(ABS(D24-'balance_raw'!$D$51)&lt;=1,"✓ OK","❌ "&amp;TEXT(D24-'balance_raw'!$D$51,"+#,##0;-#,##0")&amp;"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novo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ifrs-full:AdjustmentsForIncomeTaxExpense</t>
        </is>
      </c>
      <c r="C3" s="34" t="inlineStr">
        <is>
          <t>ifrs-full:AdjustmentsForIncomeTaxExpense</t>
        </is>
      </c>
      <c r="D3" s="35" t="n">
        <v>11323000</v>
      </c>
      <c r="E3" s="35" t="n">
        <v>13537000</v>
      </c>
      <c r="F3" s="35" t="n">
        <v>20991000</v>
      </c>
      <c r="G3" s="35" t="n">
        <v>26203000</v>
      </c>
      <c r="H3" s="35" t="n">
        <v>28106000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ifrs-full:CurrentFinancialAssetsAtFairValueThroughProfitOrLoss</t>
        </is>
      </c>
      <c r="C4" s="37" t="inlineStr">
        <is>
          <t>ifrs-full:CurrentFinancialAssetsAtFairValueThroughProfitOrLoss</t>
        </is>
      </c>
      <c r="D4" s="38" t="n"/>
      <c r="E4" s="38" t="n"/>
      <c r="F4" s="38" t="n"/>
      <c r="G4" s="38" t="n">
        <v>10653000</v>
      </c>
      <c r="H4" s="38" t="n">
        <v>498000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ifrs-full:CurrentInvestments</t>
        </is>
      </c>
      <c r="C5" s="34" t="inlineStr">
        <is>
          <t>ifrs-full:CurrentInvestments</t>
        </is>
      </c>
      <c r="D5" s="35" t="n">
        <v>6765000</v>
      </c>
      <c r="E5" s="35" t="n">
        <v>10921000</v>
      </c>
      <c r="F5" s="35" t="n">
        <v>15838000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ifrs-full:OtherComprehensiveIncomeThatWillNotBeReclassifiedToProfitOrLossBeforeTax</t>
        </is>
      </c>
      <c r="C6" s="37" t="inlineStr">
        <is>
          <t>ifrs-full:OtherComprehensiveIncomeThatWillNotBeReclassifiedToProfitOrLossBeforeTax</t>
        </is>
      </c>
      <c r="D6" s="38" t="n"/>
      <c r="E6" s="38" t="n"/>
      <c r="F6" s="38" t="n">
        <v>13000</v>
      </c>
      <c r="G6" s="38" t="n">
        <v>-119000</v>
      </c>
      <c r="H6" s="38" t="n">
        <v>26000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ifrs-full:OtherIndividuallyImmaterialComponentsOfOtherComprehensiveIncomeBeforeTax</t>
        </is>
      </c>
      <c r="C7" s="34" t="inlineStr">
        <is>
          <t>ifrs-full:OtherIndividuallyImmaterialComponentsOfOtherComprehensiveIncomeBeforeTax</t>
        </is>
      </c>
      <c r="D7" s="35" t="n">
        <v>112000</v>
      </c>
      <c r="E7" s="35" t="n">
        <v>-3000</v>
      </c>
      <c r="F7" s="35" t="n">
        <v>4000</v>
      </c>
      <c r="G7" s="35" t="n"/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ifrs-full:ProceedsFromSalesOrMaturityOfFinancialInstrumentsClassifiedAsInvestingActivities</t>
        </is>
      </c>
      <c r="C8" s="37" t="inlineStr">
        <is>
          <t>ifrs-full:ProceedsFromSalesOrMaturityOfFinancialInstrumentsClassifiedAsInvestingActivities</t>
        </is>
      </c>
      <c r="D8" s="38" t="n"/>
      <c r="E8" s="38" t="n"/>
      <c r="F8" s="38" t="n"/>
      <c r="G8" s="38" t="n">
        <v>24391000</v>
      </c>
      <c r="H8" s="38" t="n">
        <v>10644000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ifrs-full:ResearchAndDevelopmentExpense</t>
        </is>
      </c>
      <c r="C9" s="34" t="inlineStr">
        <is>
          <t>ifrs-full:ResearchAndDevelopmentExpense</t>
        </is>
      </c>
      <c r="D9" s="35" t="n">
        <v>17772000</v>
      </c>
      <c r="E9" s="35" t="n">
        <v>24047000</v>
      </c>
      <c r="F9" s="35" t="n">
        <v>32443000</v>
      </c>
      <c r="G9" s="35" t="n">
        <v>48062000</v>
      </c>
      <c r="H9" s="35" t="n">
        <v>52039000</v>
      </c>
      <c r="I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2026-09-27T21:19:04Z</dcterms:created>
  <dcterms:modified xmlns:dcterms="http://purl.org/dc/terms/" xmlns:xsi="http://www.w3.org/2001/XMLSchema-instance" xsi:type="dcterms:W3CDTF">2026-09-27T21:19:05Z</dcterms:modified>
</cp:coreProperties>
</file>