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807786</v>
      </c>
      <c r="C6" s="17" t="n">
        <v>851496</v>
      </c>
      <c r="D6" s="17" t="n">
        <v>859672</v>
      </c>
      <c r="E6" s="17" t="n">
        <v>871546</v>
      </c>
      <c r="F6" s="17" t="n">
        <v>915000</v>
      </c>
    </row>
    <row r="7">
      <c r="A7" s="16" t="inlineStr">
        <is>
          <t>Administrationsomkostninger</t>
        </is>
      </c>
      <c r="B7" s="17" t="n">
        <v>184583</v>
      </c>
      <c r="C7" s="17" t="n">
        <v>195090</v>
      </c>
      <c r="D7" s="17" t="n">
        <v>183690</v>
      </c>
      <c r="E7" s="17" t="n">
        <v>197758</v>
      </c>
      <c r="F7" s="17" t="n">
        <v>209000</v>
      </c>
    </row>
    <row r="8">
      <c r="A8" s="16" t="inlineStr">
        <is>
          <t>Andre driftsindtægter</t>
        </is>
      </c>
      <c r="B8" s="17" t="n">
        <v>6719</v>
      </c>
      <c r="C8" s="17" t="n">
        <v>15775</v>
      </c>
      <c r="D8" s="17" t="n">
        <v>6089</v>
      </c>
      <c r="E8" s="17" t="n">
        <v>6147</v>
      </c>
      <c r="F8" s="17" t="n">
        <v>5000</v>
      </c>
    </row>
    <row r="9">
      <c r="A9" s="16" t="inlineStr">
        <is>
          <t>Andre driftsomkostninger</t>
        </is>
      </c>
      <c r="B9" s="17" t="n">
        <v>1077</v>
      </c>
      <c r="C9" s="17" t="n">
        <v>5518</v>
      </c>
      <c r="D9" s="17" t="n">
        <v>2258</v>
      </c>
      <c r="E9" s="17" t="n">
        <v>3974</v>
      </c>
      <c r="F9" s="17" t="n">
        <v>4000</v>
      </c>
    </row>
    <row r="10">
      <c r="A10" s="15" t="inlineStr">
        <is>
          <t>Resultat af primær drift</t>
        </is>
      </c>
      <c r="B10" s="17" t="n">
        <v>228120</v>
      </c>
      <c r="C10" s="17" t="n">
        <v>99323</v>
      </c>
      <c r="D10" s="17" t="n">
        <v>-7612</v>
      </c>
      <c r="E10" s="17" t="n">
        <v>67952</v>
      </c>
      <c r="F10" s="17" t="n">
        <v>94000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19242</v>
      </c>
      <c r="C12" s="17" t="n">
        <v>28525</v>
      </c>
      <c r="D12" s="17" t="n">
        <v>39620</v>
      </c>
      <c r="E12" s="17" t="n">
        <v>20996</v>
      </c>
      <c r="F12" s="17" t="n">
        <v>22000</v>
      </c>
    </row>
    <row r="13">
      <c r="A13" s="16" t="inlineStr">
        <is>
          <t>Finansielle omkostninger</t>
        </is>
      </c>
      <c r="B13" s="17" t="n">
        <v>27173</v>
      </c>
      <c r="C13" s="17" t="n">
        <v>48449</v>
      </c>
      <c r="D13" s="17" t="n">
        <v>48753</v>
      </c>
      <c r="E13" s="17" t="n">
        <v>42623</v>
      </c>
      <c r="F13" s="17" t="n">
        <v>34000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220189</v>
      </c>
      <c r="C15" s="17" t="n">
        <v>79399</v>
      </c>
      <c r="D15" s="17" t="n">
        <v>-16745</v>
      </c>
      <c r="E15" s="17" t="n">
        <v>46325</v>
      </c>
      <c r="F15" s="17" t="n">
        <v>82000</v>
      </c>
    </row>
    <row r="16">
      <c r="A16" s="16" t="inlineStr">
        <is>
          <t>Skat af årets resultat</t>
        </is>
      </c>
      <c r="B16" s="17" t="n">
        <v>40208</v>
      </c>
      <c r="C16" s="17" t="n">
        <v>36357</v>
      </c>
      <c r="D16" s="17" t="n">
        <v>-8151</v>
      </c>
      <c r="E16" s="17" t="n">
        <v>21057</v>
      </c>
      <c r="F16" s="17" t="n">
        <v>19000</v>
      </c>
    </row>
    <row r="17">
      <c r="A17" s="15" t="inlineStr">
        <is>
          <t>Årets resultat</t>
        </is>
      </c>
      <c r="B17" s="17" t="n">
        <v>179981</v>
      </c>
      <c r="C17" s="17" t="n">
        <v>43042</v>
      </c>
      <c r="D17" s="17" t="n">
        <v>-8594</v>
      </c>
      <c r="E17" s="17" t="n">
        <v>25268</v>
      </c>
      <c r="F17" s="17" t="n">
        <v>63000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120693</v>
      </c>
      <c r="C19" s="17" t="n">
        <v>185904</v>
      </c>
      <c r="D19" s="17" t="n">
        <v>72468</v>
      </c>
      <c r="E19" s="17" t="n">
        <v>53845</v>
      </c>
      <c r="F19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flugger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>
        <v>717</v>
      </c>
      <c r="E3" s="37" t="n">
        <v>41</v>
      </c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ifrs-full:AdjustmentsForIncreaseDecreaseInTradeAccountPayable</t>
        </is>
      </c>
      <c r="C4" s="39" t="inlineStr">
        <is>
          <t>ifrs-full:AdjustmentsForIncreaseDecreaseInTradeAccountPayable</t>
        </is>
      </c>
      <c r="D4" s="40" t="n">
        <v>26602</v>
      </c>
      <c r="E4" s="40" t="n">
        <v>-59608</v>
      </c>
      <c r="F4" s="40" t="n">
        <v>-40050</v>
      </c>
      <c r="G4" s="40" t="n">
        <v>-23930</v>
      </c>
      <c r="H4" s="40" t="n">
        <v>14000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ifrs-full:CashFlowsFromUsedInFinancingActivitiesDiscontinuedOperations</t>
        </is>
      </c>
      <c r="C5" s="36" t="inlineStr">
        <is>
          <t>ifrs-full:CashFlowsFromUsedInFinancingActivitiesDiscontinuedOperations</t>
        </is>
      </c>
      <c r="D5" s="37" t="n"/>
      <c r="E5" s="37" t="n"/>
      <c r="F5" s="37" t="n">
        <v>-5428</v>
      </c>
      <c r="G5" s="37" t="n">
        <v>6556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ifrs-full:CashFlowsFromUsedInInvestingActivitiesDiscontinuedOperations</t>
        </is>
      </c>
      <c r="C6" s="39" t="inlineStr">
        <is>
          <t>ifrs-full:CashFlowsFromUsedInInvestingActivitiesDiscontinuedOperations</t>
        </is>
      </c>
      <c r="D6" s="40" t="n"/>
      <c r="E6" s="40" t="n"/>
      <c r="F6" s="40" t="n">
        <v>-500</v>
      </c>
      <c r="G6" s="40" t="n">
        <v>-4911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ifrs-full:ComprehensiveIncomeFromContinuingOperationsAttributableToNoncontrollingInterests</t>
        </is>
      </c>
      <c r="C7" s="36" t="inlineStr">
        <is>
          <t>ifrs-full:ComprehensiveIncomeFromContinuingOperationsAttributableToNoncontrollingInterests</t>
        </is>
      </c>
      <c r="D7" s="37" t="n"/>
      <c r="E7" s="37" t="n"/>
      <c r="F7" s="37" t="n">
        <v>11552</v>
      </c>
      <c r="G7" s="37" t="n">
        <v>6636</v>
      </c>
      <c r="H7" s="37" t="n">
        <v>6000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ifrs-full:ComprehensiveIncomeFromContinuingOperationsAttributableToOwnersOfParent</t>
        </is>
      </c>
      <c r="C8" s="39" t="inlineStr">
        <is>
          <t>ifrs-full:ComprehensiveIncomeFromContinuingOperationsAttributableToOwnersOfParent</t>
        </is>
      </c>
      <c r="D8" s="40" t="n"/>
      <c r="E8" s="40" t="n"/>
      <c r="F8" s="40" t="n">
        <v>-93940</v>
      </c>
      <c r="G8" s="40" t="n">
        <v>31937</v>
      </c>
      <c r="H8" s="40" t="n">
        <v>74000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ifrs-full:ComputerSoftware</t>
        </is>
      </c>
      <c r="C9" s="36" t="inlineStr">
        <is>
          <t>ifrs-full:ComputerSoftware</t>
        </is>
      </c>
      <c r="D9" s="37" t="n"/>
      <c r="E9" s="37" t="n"/>
      <c r="F9" s="37" t="n">
        <v>41245</v>
      </c>
      <c r="G9" s="37" t="n">
        <v>27670</v>
      </c>
      <c r="H9" s="37" t="n">
        <v>36000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ifrs-full:CurrentInvestments</t>
        </is>
      </c>
      <c r="C10" s="39" t="inlineStr">
        <is>
          <t>ifrs-full:CurrentInvestments</t>
        </is>
      </c>
      <c r="D10" s="40" t="n">
        <v>63</v>
      </c>
      <c r="E10" s="40" t="n">
        <v>62</v>
      </c>
      <c r="F10" s="40" t="n">
        <v>56</v>
      </c>
      <c r="G10" s="40" t="n">
        <v>54</v>
      </c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ifrs-full:ImpairmentLossReversalOfImpairmentLossRecognisedInProfitOrLoss</t>
        </is>
      </c>
      <c r="C11" s="36" t="inlineStr">
        <is>
          <t>ifrs-full:ImpairmentLossReversalOfImpairmentLossRecognisedInProfitOrLoss</t>
        </is>
      </c>
      <c r="D11" s="37" t="n">
        <v>0</v>
      </c>
      <c r="E11" s="37" t="n">
        <v>73726</v>
      </c>
      <c r="F11" s="37" t="n">
        <v>-4188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ifrs-full:IncomeFromContinuingOperationsAttributableToOwnersOfParent</t>
        </is>
      </c>
      <c r="C12" s="39" t="inlineStr">
        <is>
          <t>ifrs-full:IncomeFromContinuingOperationsAttributableToOwnersOfParent</t>
        </is>
      </c>
      <c r="D12" s="40" t="n">
        <v>170837</v>
      </c>
      <c r="E12" s="40" t="n">
        <v>52921</v>
      </c>
      <c r="F12" s="40" t="n">
        <v>-20146</v>
      </c>
      <c r="G12" s="40" t="n">
        <v>18632</v>
      </c>
      <c r="H12" s="40" t="n">
        <v>58000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ifrs-full:ReclassificationAdjustmentsOnExchangeDifferencesOnTranslationBeforeTax</t>
        </is>
      </c>
      <c r="C13" s="36" t="inlineStr">
        <is>
          <t>ifrs-full:ReclassificationAdjustmentsOnExchangeDifferencesOnTranslationBeforeTax</t>
        </is>
      </c>
      <c r="D13" s="37" t="n"/>
      <c r="E13" s="37" t="n"/>
      <c r="F13" s="37" t="n"/>
      <c r="G13" s="37" t="n">
        <v>0</v>
      </c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ifrs-full:ReserveOfExchangeDifferencesOnTranslation</t>
        </is>
      </c>
      <c r="C14" s="39" t="inlineStr">
        <is>
          <t>ifrs-full:ReserveOfExchangeDifferencesOnTranslation</t>
        </is>
      </c>
      <c r="D14" s="40" t="n">
        <v>-93493</v>
      </c>
      <c r="E14" s="40" t="n">
        <v>-93493</v>
      </c>
      <c r="F14" s="40" t="n">
        <v>-156176</v>
      </c>
      <c r="G14" s="40" t="n">
        <v>-146633</v>
      </c>
      <c r="H14" s="40" t="n">
        <v>-110000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ifrs-full:RestrictedCashAndCashEquivalents</t>
        </is>
      </c>
      <c r="C15" s="36" t="inlineStr">
        <is>
          <t>ifrs-full:RestrictedCashAndCashEquivalents</t>
        </is>
      </c>
      <c r="D15" s="37" t="n"/>
      <c r="E15" s="37" t="n"/>
      <c r="F15" s="37" t="n"/>
      <c r="G15" s="37" t="n"/>
      <c r="H15" s="37" t="n"/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2026-09-29T14:46:56Z</dcterms:created>
  <dcterms:modified xmlns:dcterms="http://purl.org/dc/terms/" xmlns:xsi="http://www.w3.org/2001/XMLSchema-instance" xsi:type="dcterms:W3CDTF">2026-09-29T14:46:57Z</dcterms:modified>
</cp:coreProperties>
</file>