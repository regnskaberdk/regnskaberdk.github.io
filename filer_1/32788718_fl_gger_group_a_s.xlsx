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flugger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'balance_raw'!$B$2</f>
        <v/>
      </c>
      <c r="C22" s="5">
        <f>'balance_raw'!$C$2</f>
        <v/>
      </c>
      <c r="D22" s="5">
        <f>'balance_raw'!$D$2</f>
        <v/>
      </c>
      <c r="E22" s="5">
        <f>'balance_raw'!$E$2</f>
        <v/>
      </c>
      <c r="F22" s="5">
        <f>'balance_raw'!$F$2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'balance_raw'!$B$3</f>
        <v/>
      </c>
      <c r="C23" s="11">
        <f>'balance_raw'!$C$3</f>
        <v/>
      </c>
      <c r="D23" s="11">
        <f>'balance_raw'!$D$3</f>
        <v/>
      </c>
      <c r="E23" s="11">
        <f>'balance_raw'!$E$3</f>
        <v/>
      </c>
      <c r="F23" s="11">
        <f>'balance_raw'!$F$3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'balance_raw'!$B$5</f>
        <v/>
      </c>
      <c r="C25" s="8">
        <f>'balance_raw'!$C$5</f>
        <v/>
      </c>
      <c r="D25" s="8">
        <f>'balance_raw'!$D$5</f>
        <v/>
      </c>
      <c r="E25" s="8">
        <f>'balance_raw'!$E$5</f>
        <v/>
      </c>
      <c r="F25" s="8">
        <f>'balance_raw'!$F$5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Grunde og bygninger</t>
        </is>
      </c>
      <c r="B26" s="5">
        <f>'balance_raw'!$B$6</f>
        <v/>
      </c>
      <c r="C26" s="5">
        <f>'balance_raw'!$C$6</f>
        <v/>
      </c>
      <c r="D26" s="5">
        <f>'balance_raw'!$D$6</f>
        <v/>
      </c>
      <c r="E26" s="5">
        <f>'balance_raw'!$E$6</f>
        <v/>
      </c>
      <c r="F26" s="5">
        <f>'balance_raw'!$F$6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Produktionsanlæg og maskiner</t>
        </is>
      </c>
      <c r="B27" s="11">
        <f>'balance_raw'!$B$7</f>
        <v/>
      </c>
      <c r="C27" s="11">
        <f>'balance_raw'!$C$7</f>
        <v/>
      </c>
      <c r="D27" s="11">
        <f>'balance_raw'!$D$7</f>
        <v/>
      </c>
      <c r="E27" s="11">
        <f>'balance_raw'!$E$7</f>
        <v/>
      </c>
      <c r="F27" s="11">
        <f>'balance_raw'!$F$7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Driftsmateriel og inventar</t>
        </is>
      </c>
      <c r="B28" s="5">
        <f>'balance_raw'!$B$8</f>
        <v/>
      </c>
      <c r="C28" s="5">
        <f>'balance_raw'!$C$8</f>
        <v/>
      </c>
      <c r="D28" s="5">
        <f>'balance_raw'!$D$8</f>
        <v/>
      </c>
      <c r="E28" s="5">
        <f>'balance_raw'!$E$8</f>
        <v/>
      </c>
      <c r="F28" s="5">
        <f>'balance_raw'!$F$8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Indretning af lejede lokaler</t>
        </is>
      </c>
      <c r="B29" s="11">
        <f>'balance_raw'!$B$9</f>
        <v/>
      </c>
      <c r="C29" s="11">
        <f>'balance_raw'!$C$9</f>
        <v/>
      </c>
      <c r="D29" s="11">
        <f>'balance_raw'!$D$9</f>
        <v/>
      </c>
      <c r="E29" s="11">
        <f>'balance_raw'!$E$9</f>
        <v/>
      </c>
      <c r="F29" s="11">
        <f>'balance_raw'!$F$9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Forudbetaling og anlægsaktiver under opførelse</t>
        </is>
      </c>
      <c r="B30" s="5">
        <f>'balance_raw'!$B$10</f>
        <v/>
      </c>
      <c r="C30" s="5">
        <f>'balance_raw'!$C$10</f>
        <v/>
      </c>
      <c r="D30" s="5">
        <f>'balance_raw'!$D$10</f>
        <v/>
      </c>
      <c r="E30" s="5">
        <f>'balance_raw'!$E$10</f>
        <v/>
      </c>
      <c r="F30" s="5">
        <f>'balance_raw'!$F$10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Materielle anlægsaktiver</t>
        </is>
      </c>
      <c r="B31" s="8">
        <f>'balance_raw'!$B$11</f>
        <v/>
      </c>
      <c r="C31" s="8">
        <f>'balance_raw'!$C$11</f>
        <v/>
      </c>
      <c r="D31" s="8">
        <f>'balance_raw'!$D$11</f>
        <v/>
      </c>
      <c r="E31" s="8">
        <f>'balance_raw'!$E$11</f>
        <v/>
      </c>
      <c r="F31" s="8">
        <f>'balance_raw'!$F$11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Anlægsaktiver</t>
        </is>
      </c>
      <c r="B32" s="8">
        <f>'balance_raw'!$B$12</f>
        <v/>
      </c>
      <c r="C32" s="8">
        <f>'balance_raw'!$C$12</f>
        <v/>
      </c>
      <c r="D32" s="8">
        <f>'balance_raw'!$D$12</f>
        <v/>
      </c>
      <c r="E32" s="8">
        <f>'balance_raw'!$E$12</f>
        <v/>
      </c>
      <c r="F32" s="8">
        <f>'balance_raw'!$F$12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7" t="inlineStr">
        <is>
          <t>Varebeholdninger</t>
        </is>
      </c>
      <c r="B33" s="8">
        <f>'balance_raw'!$B$13</f>
        <v/>
      </c>
      <c r="C33" s="8">
        <f>'balance_raw'!$C$13</f>
        <v/>
      </c>
      <c r="D33" s="8">
        <f>'balance_raw'!$D$13</f>
        <v/>
      </c>
      <c r="E33" s="8">
        <f>'balance_raw'!$E$13</f>
        <v/>
      </c>
      <c r="F33" s="8">
        <f>'balance_raw'!$F$13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 hos tilknyttede virksomheder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'balance_raw'!$B$16</f>
        <v/>
      </c>
      <c r="C36" s="5">
        <f>'balance_raw'!$C$16</f>
        <v/>
      </c>
      <c r="D36" s="5">
        <f>'balance_raw'!$D$16</f>
        <v/>
      </c>
      <c r="E36" s="5">
        <f>'balance_raw'!$E$16</f>
        <v/>
      </c>
      <c r="F36" s="5">
        <f>'balance_raw'!$F$16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Periodeafgrænsningsposter (aktiver)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Tilgodehavende skat hos tilknyttede virksomheder</t>
        </is>
      </c>
      <c r="B39" s="11">
        <f>'balance_raw'!$B$19</f>
        <v/>
      </c>
      <c r="C39" s="11">
        <f>'balance_raw'!$C$19</f>
        <v/>
      </c>
      <c r="D39" s="11">
        <f>'balance_raw'!$D$19</f>
        <v/>
      </c>
      <c r="E39" s="11">
        <f>'balance_raw'!$E$19</f>
        <v/>
      </c>
      <c r="F39" s="11">
        <f>'balance_raw'!$F$19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'balance_raw'!$B$20</f>
        <v/>
      </c>
      <c r="C40" s="5">
        <f>'balance_raw'!$C$20</f>
        <v/>
      </c>
      <c r="D40" s="5">
        <f>'balance_raw'!$D$20</f>
        <v/>
      </c>
      <c r="E40" s="5">
        <f>'balance_raw'!$E$20</f>
        <v/>
      </c>
      <c r="F40" s="5">
        <f>'balance_raw'!$F$20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Tilgodehavender</t>
        </is>
      </c>
      <c r="B41" s="8">
        <f>'balance_raw'!$B$21</f>
        <v/>
      </c>
      <c r="C41" s="8">
        <f>'balance_raw'!$C$21</f>
        <v/>
      </c>
      <c r="D41" s="8">
        <f>'balance_raw'!$D$21</f>
        <v/>
      </c>
      <c r="E41" s="8">
        <f>'balance_raw'!$E$21</f>
        <v/>
      </c>
      <c r="F41" s="8">
        <f>'balance_raw'!$F$21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Værdipapirer</t>
        </is>
      </c>
      <c r="B42" s="5">
        <f>'balance_raw'!$B$22</f>
        <v/>
      </c>
      <c r="C42" s="5">
        <f>'balance_raw'!$C$22</f>
        <v/>
      </c>
      <c r="D42" s="5">
        <f>'balance_raw'!$D$22</f>
        <v/>
      </c>
      <c r="E42" s="5">
        <f>'balance_raw'!$E$22</f>
        <v/>
      </c>
      <c r="F42" s="5">
        <f>'balance_raw'!$F$22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Likvide beholdninger</t>
        </is>
      </c>
      <c r="B43" s="11">
        <f>'balance_raw'!$B$23</f>
        <v/>
      </c>
      <c r="C43" s="11">
        <f>'balance_raw'!$C$23</f>
        <v/>
      </c>
      <c r="D43" s="11">
        <f>'balance_raw'!$D$23</f>
        <v/>
      </c>
      <c r="E43" s="11">
        <f>'balance_raw'!$E$23</f>
        <v/>
      </c>
      <c r="F43" s="11">
        <f>'balance_raw'!$F$23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Omsætningsaktiver</t>
        </is>
      </c>
      <c r="B44" s="8">
        <f>'balance_raw'!$B$24</f>
        <v/>
      </c>
      <c r="C44" s="8">
        <f>'balance_raw'!$C$24</f>
        <v/>
      </c>
      <c r="D44" s="8">
        <f>'balance_raw'!$D$24</f>
        <v/>
      </c>
      <c r="E44" s="8">
        <f>'balance_raw'!$E$24</f>
        <v/>
      </c>
      <c r="F44" s="8">
        <f>'balance_raw'!$F$24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7" t="inlineStr">
        <is>
          <t>Aktiver</t>
        </is>
      </c>
      <c r="B45" s="8">
        <f>'balance_raw'!$B$25</f>
        <v/>
      </c>
      <c r="C45" s="8">
        <f>'balance_raw'!$C$25</f>
        <v/>
      </c>
      <c r="D45" s="8">
        <f>'balance_raw'!$D$25</f>
        <v/>
      </c>
      <c r="E45" s="8">
        <f>'balance_raw'!$E$25</f>
        <v/>
      </c>
      <c r="F45" s="8">
        <f>'balance_raw'!$F$25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nettoopskrivning (indre værdis metode)</t>
        </is>
      </c>
      <c r="B49" s="11">
        <f>'balance_raw'!$B$27</f>
        <v/>
      </c>
      <c r="C49" s="11">
        <f>'balance_raw'!$C$27</f>
        <v/>
      </c>
      <c r="D49" s="11">
        <f>'balance_raw'!$D$27</f>
        <v/>
      </c>
      <c r="E49" s="11">
        <f>'balance_raw'!$E$27</f>
        <v/>
      </c>
      <c r="F49" s="11">
        <f>'balance_raw'!$F$27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sikringstransaktioner</t>
        </is>
      </c>
      <c r="B51" s="11">
        <f>'balance_raw'!$B$29</f>
        <v/>
      </c>
      <c r="C51" s="11">
        <f>'balance_raw'!$C$29</f>
        <v/>
      </c>
      <c r="D51" s="11">
        <f>'balance_raw'!$D$29</f>
        <v/>
      </c>
      <c r="E51" s="11">
        <f>'balance_raw'!$E$29</f>
        <v/>
      </c>
      <c r="F51" s="11">
        <f>'balance_raw'!$F$29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Andre reserver</t>
        </is>
      </c>
      <c r="B52" s="5">
        <f>'balance_raw'!$B$30</f>
        <v/>
      </c>
      <c r="C52" s="5">
        <f>'balance_raw'!$C$30</f>
        <v/>
      </c>
      <c r="D52" s="5">
        <f>'balance_raw'!$D$30</f>
        <v/>
      </c>
      <c r="E52" s="5">
        <f>'balance_raw'!$E$30</f>
        <v/>
      </c>
      <c r="F52" s="5">
        <f>'balance_raw'!$F$30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Overført resultat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Egenkapital i alt</t>
        </is>
      </c>
      <c r="B54" s="8">
        <f>'balance_raw'!$B$32</f>
        <v/>
      </c>
      <c r="C54" s="8">
        <f>'balance_raw'!$C$32</f>
        <v/>
      </c>
      <c r="D54" s="8">
        <f>'balance_raw'!$D$32</f>
        <v/>
      </c>
      <c r="E54" s="8">
        <f>'balance_raw'!$E$32</f>
        <v/>
      </c>
      <c r="F54" s="8">
        <f>'balance_raw'!$F$32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Hensættelse til udskudt skat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Hensatte forpligtelser</t>
        </is>
      </c>
      <c r="B56" s="8">
        <f>'balance_raw'!$B$34</f>
        <v/>
      </c>
      <c r="C56" s="8">
        <f>'balance_raw'!$C$34</f>
        <v/>
      </c>
      <c r="D56" s="8">
        <f>'balance_raw'!$D$34</f>
        <v/>
      </c>
      <c r="E56" s="8">
        <f>'balance_raw'!$E$34</f>
        <v/>
      </c>
      <c r="F56" s="8">
        <f>'balance_raw'!$F$34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(langfristet)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Langfristede lån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(langfristet)</t>
        </is>
      </c>
      <c r="B59" s="11">
        <f>'balance_raw'!$B$37</f>
        <v/>
      </c>
      <c r="C59" s="11">
        <f>'balance_raw'!$C$37</f>
        <v/>
      </c>
      <c r="D59" s="11">
        <f>'balance_raw'!$D$37</f>
        <v/>
      </c>
      <c r="E59" s="11">
        <f>'balance_raw'!$E$37</f>
        <v/>
      </c>
      <c r="F59" s="11">
        <f>'balance_raw'!$F$37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gældsforpligtelser</t>
        </is>
      </c>
      <c r="B61" s="8">
        <f>'balance_raw'!$B$39</f>
        <v/>
      </c>
      <c r="C61" s="8">
        <f>'balance_raw'!$C$39</f>
        <v/>
      </c>
      <c r="D61" s="8">
        <f>'balance_raw'!$D$39</f>
        <v/>
      </c>
      <c r="E61" s="8">
        <f>'balance_raw'!$E$39</f>
        <v/>
      </c>
      <c r="F61" s="8">
        <f>'balance_raw'!$F$39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Kortfristet del af langfristede gældsforpligtelser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Kreditinstitutter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(kortfristet)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'balance_raw'!$B$46</f>
        <v/>
      </c>
      <c r="C68" s="5">
        <f>'balance_raw'!$C$46</f>
        <v/>
      </c>
      <c r="D68" s="5">
        <f>'balance_raw'!$D$46</f>
        <v/>
      </c>
      <c r="E68" s="5">
        <f>'balance_raw'!$E$46</f>
        <v/>
      </c>
      <c r="F68" s="5">
        <f>'balance_raw'!$F$46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Selskabsskat</t>
        </is>
      </c>
      <c r="B69" s="11">
        <f>'balance_raw'!$B$47</f>
        <v/>
      </c>
      <c r="C69" s="11">
        <f>'balance_raw'!$C$47</f>
        <v/>
      </c>
      <c r="D69" s="11">
        <f>'balance_raw'!$D$47</f>
        <v/>
      </c>
      <c r="E69" s="11">
        <f>'balance_raw'!$E$47</f>
        <v/>
      </c>
      <c r="F69" s="11">
        <f>'balance_raw'!$F$47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'balance_raw'!$B$48</f>
        <v/>
      </c>
      <c r="C70" s="5">
        <f>'balance_raw'!$C$48</f>
        <v/>
      </c>
      <c r="D70" s="5">
        <f>'balance_raw'!$D$48</f>
        <v/>
      </c>
      <c r="E70" s="5">
        <f>'balance_raw'!$E$48</f>
        <v/>
      </c>
      <c r="F70" s="5">
        <f>'balance_raw'!$F$48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Anden gæld (kortfristet)</t>
        </is>
      </c>
      <c r="B71" s="11">
        <f>'balance_raw'!$B$49</f>
        <v/>
      </c>
      <c r="C71" s="11">
        <f>'balance_raw'!$C$49</f>
        <v/>
      </c>
      <c r="D71" s="11">
        <f>'balance_raw'!$D$49</f>
        <v/>
      </c>
      <c r="E71" s="11">
        <f>'balance_raw'!$E$49</f>
        <v/>
      </c>
      <c r="F71" s="11">
        <f>'balance_raw'!$F$49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'balance_raw'!$B$50</f>
        <v/>
      </c>
      <c r="C72" s="5">
        <f>'balance_raw'!$C$50</f>
        <v/>
      </c>
      <c r="D72" s="5">
        <f>'balance_raw'!$D$50</f>
        <v/>
      </c>
      <c r="E72" s="5">
        <f>'balance_raw'!$E$50</f>
        <v/>
      </c>
      <c r="F72" s="5">
        <f>'balance_raw'!$F$50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Kortfristede gældsforpligtelser</t>
        </is>
      </c>
      <c r="B73" s="8">
        <f>'balance_raw'!$B$51</f>
        <v/>
      </c>
      <c r="C73" s="8">
        <f>'balance_raw'!$C$51</f>
        <v/>
      </c>
      <c r="D73" s="8">
        <f>'balance_raw'!$D$51</f>
        <v/>
      </c>
      <c r="E73" s="8">
        <f>'balance_raw'!$E$51</f>
        <v/>
      </c>
      <c r="F73" s="8">
        <f>'balance_raw'!$F$51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Gældsforpligtelser</t>
        </is>
      </c>
      <c r="B74" s="8">
        <f>'balance_raw'!$B$52</f>
        <v/>
      </c>
      <c r="C74" s="8">
        <f>'balance_raw'!$C$52</f>
        <v/>
      </c>
      <c r="D74" s="8">
        <f>'balance_raw'!$D$52</f>
        <v/>
      </c>
      <c r="E74" s="8">
        <f>'balance_raw'!$E$52</f>
        <v/>
      </c>
      <c r="F74" s="8">
        <f>'balance_raw'!$F$52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Passiver</t>
        </is>
      </c>
      <c r="B75" s="8">
        <f>'balance_raw'!$B$53</f>
        <v/>
      </c>
      <c r="C75" s="8">
        <f>'balance_raw'!$C$53</f>
        <v/>
      </c>
      <c r="D75" s="8">
        <f>'balance_raw'!$D$53</f>
        <v/>
      </c>
      <c r="E75" s="8">
        <f>'balance_raw'!$E$53</f>
        <v/>
      </c>
      <c r="F75" s="8">
        <f>'balance_raw'!$F$53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'res_raw'!$B$18</f>
        <v/>
      </c>
      <c r="C78" s="5">
        <f>'res_raw'!$C$18</f>
        <v/>
      </c>
      <c r="D78" s="5">
        <f>'res_raw'!$D$18</f>
        <v/>
      </c>
      <c r="E78" s="5">
        <f>'res_raw'!$E$18</f>
        <v/>
      </c>
      <c r="F78" s="5">
        <f>'res_raw'!$F$18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Investering i materielle anlægsaktiver</t>
        </is>
      </c>
      <c r="B79" s="11">
        <f>'res_raw'!$B$19</f>
        <v/>
      </c>
      <c r="C79" s="11">
        <f>'res_raw'!$C$19</f>
        <v/>
      </c>
      <c r="D79" s="11">
        <f>'res_raw'!$D$19</f>
        <v/>
      </c>
      <c r="E79" s="11">
        <f>'res_raw'!$E$19</f>
        <v/>
      </c>
      <c r="F79" s="11">
        <f>'res_raw'!$F$19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IFERROR(($B$12+$B$14+$B$13)/$B$45*100,"")</f>
        <v/>
      </c>
      <c r="C82" s="13">
        <f>IFERROR(($C$12+$C$14+$C$13)/$C$45*100,"")</f>
        <v/>
      </c>
      <c r="D82" s="13">
        <f>IFERROR(($D$12+$D$14+$D$13)/$D$45*100,"")</f>
        <v/>
      </c>
      <c r="E82" s="13">
        <f>IFERROR(($E$12+$E$14+$E$13)/$E$45*100,"")</f>
        <v/>
      </c>
      <c r="F82" s="13">
        <f>IFERROR(($F$12+$F$14+$F$13)/$F$45*100,"")</f>
        <v/>
      </c>
    </row>
    <row r="83" ht="16" customHeight="1">
      <c r="A83" s="10" t="inlineStr">
        <is>
          <t>Overskudsgrad, %</t>
        </is>
      </c>
      <c r="B83" s="14">
        <f>IFERROR(($B$12+$B$14+$B$13)/$B$4*100,"")</f>
        <v/>
      </c>
      <c r="C83" s="14">
        <f>IFERROR(($C$12+$C$14+$C$13)/$C$4*100,"")</f>
        <v/>
      </c>
      <c r="D83" s="14">
        <f>IFERROR(($D$12+$D$14+$D$13)/$D$4*100,"")</f>
        <v/>
      </c>
      <c r="E83" s="14">
        <f>IFERROR(($E$12+$E$14+$E$13)/$E$4*100,"")</f>
        <v/>
      </c>
      <c r="F83" s="14">
        <f>IFERROR(($F$12+$F$14+$F$13)/$F$4*100,"")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10" t="inlineStr">
        <is>
          <t>Egenkapitalens forrentning, %</t>
        </is>
      </c>
      <c r="B85" s="14">
        <f>IFERROR($B$17/$B$54*100,"")</f>
        <v/>
      </c>
      <c r="C85" s="14">
        <f>IFERROR($C$17/$C$54*100,"")</f>
        <v/>
      </c>
      <c r="D85" s="14">
        <f>IFERROR($D$17/$D$54*100,"")</f>
        <v/>
      </c>
      <c r="E85" s="14">
        <f>IFERROR($E$17/$E$54*100,"")</f>
        <v/>
      </c>
      <c r="F85" s="14">
        <f>IFERROR($F$17/$F$54*100,"")</f>
        <v/>
      </c>
    </row>
    <row r="86" ht="16" customHeight="1">
      <c r="A86" s="4" t="inlineStr">
        <is>
          <t>Gældsrente, %</t>
        </is>
      </c>
      <c r="B86" s="13">
        <f>IFERROR($B$15/($B$75-$B$54)*100,"")</f>
        <v/>
      </c>
      <c r="C86" s="13">
        <f>IFERROR($C$15/($C$75-$C$54)*100,"")</f>
        <v/>
      </c>
      <c r="D86" s="13">
        <f>IFERROR($D$15/($D$75-$D$54)*100,"")</f>
        <v/>
      </c>
      <c r="E86" s="13">
        <f>IFERROR($E$15/($E$75-$E$54)*100,"")</f>
        <v/>
      </c>
      <c r="F86" s="13">
        <f>IFERROR($F$15/($F$75-$F$54)*100,"")</f>
        <v/>
      </c>
    </row>
    <row r="87" ht="16" customHeight="1">
      <c r="A87" s="10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10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10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IFERROR($B$32/($B$54+$B$61)*100,"")</f>
        <v/>
      </c>
      <c r="C92" s="13">
        <f>IFERROR($C$32/($C$54+$C$61)*100,"")</f>
        <v/>
      </c>
      <c r="D92" s="13">
        <f>IFERROR($D$32/($D$54+$D$61)*100,"")</f>
        <v/>
      </c>
      <c r="E92" s="13">
        <f>IFERROR($E$32/($E$54+$E$61)*100,"")</f>
        <v/>
      </c>
      <c r="F92" s="13">
        <f>IFERROR($F$32/($F$54+$F$61)*100,"")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'pengestrom_raw'!$B$2</f>
        <v/>
      </c>
      <c r="C95" s="17">
        <f>'pengestrom_raw'!$C$2</f>
        <v/>
      </c>
      <c r="D95" s="17">
        <f>'pengestrom_raw'!$D$2</f>
        <v/>
      </c>
      <c r="E95" s="17">
        <f>'pengestrom_raw'!$E$2</f>
        <v/>
      </c>
      <c r="F95" s="17">
        <f>'pengestrom_raw'!$F$2</f>
        <v/>
      </c>
    </row>
    <row r="96">
      <c r="A96" s="16" t="inlineStr">
        <is>
          <t>Pengestrømme fra investeringsaktivitet</t>
        </is>
      </c>
      <c r="B96" s="17">
        <f>'pengestrom_raw'!$B$3</f>
        <v/>
      </c>
      <c r="C96" s="17">
        <f>'pengestrom_raw'!$C$3</f>
        <v/>
      </c>
      <c r="D96" s="17">
        <f>'pengestrom_raw'!$D$3</f>
        <v/>
      </c>
      <c r="E96" s="17">
        <f>'pengestrom_raw'!$E$3</f>
        <v/>
      </c>
      <c r="F96" s="17">
        <f>'pengestrom_raw'!$F$3</f>
        <v/>
      </c>
    </row>
    <row r="97">
      <c r="A97" s="16" t="inlineStr">
        <is>
          <t>Pengestrømme fra finansieringsaktivitet</t>
        </is>
      </c>
      <c r="B97" s="17">
        <f>'pengestrom_raw'!$B$4</f>
        <v/>
      </c>
      <c r="C97" s="17">
        <f>'pengestrom_raw'!$C$4</f>
        <v/>
      </c>
      <c r="D97" s="17">
        <f>'pengestrom_raw'!$D$4</f>
        <v/>
      </c>
      <c r="E97" s="17">
        <f>'pengestrom_raw'!$E$4</f>
        <v/>
      </c>
      <c r="F97" s="17">
        <f>'pengestrom_raw'!$F$4</f>
        <v/>
      </c>
    </row>
    <row r="98">
      <c r="A98" s="16" t="inlineStr">
        <is>
          <t>Årets pengestrøm (rapporteret)</t>
        </is>
      </c>
      <c r="B98" s="17">
        <f>'pengestrom_raw'!$B$5</f>
        <v/>
      </c>
      <c r="C98" s="17">
        <f>'pengestrom_raw'!$C$5</f>
        <v/>
      </c>
      <c r="D98" s="17">
        <f>'pengestrom_raw'!$D$5</f>
        <v/>
      </c>
      <c r="E98" s="17">
        <f>'pengestrom_raw'!$E$5</f>
        <v/>
      </c>
      <c r="F98" s="17">
        <f>'pengestrom_raw'!$F$5</f>
        <v/>
      </c>
    </row>
    <row r="99">
      <c r="A99" s="16" t="inlineStr">
        <is>
          <t>Krydstjek: drift + inv. + fin. = årets pengestrøm</t>
        </is>
      </c>
      <c r="B99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9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9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9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9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flugger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2161640</v>
      </c>
      <c r="C2" s="17" t="n">
        <v>2321548</v>
      </c>
      <c r="D2" s="17" t="n">
        <v>2130156</v>
      </c>
      <c r="E2" s="17" t="n">
        <v>2208344</v>
      </c>
      <c r="F2" s="17" t="n">
        <v>2272000</v>
      </c>
    </row>
    <row r="3">
      <c r="A3" s="16" t="inlineStr">
        <is>
          <t>Produktionsomkostninger</t>
        </is>
      </c>
      <c r="B3" s="17" t="n">
        <v>946793</v>
      </c>
      <c r="C3" s="17" t="n">
        <v>1112170</v>
      </c>
      <c r="D3" s="17" t="n">
        <v>1102425</v>
      </c>
      <c r="E3" s="17" t="n">
        <v>1073261</v>
      </c>
      <c r="F3" s="17" t="n">
        <v>1055000</v>
      </c>
    </row>
    <row r="4">
      <c r="A4" s="15" t="inlineStr">
        <is>
          <t>Bruttoresultat</t>
        </is>
      </c>
      <c r="B4" s="17" t="n">
        <v>1214847</v>
      </c>
      <c r="C4" s="17" t="n">
        <v>1209378</v>
      </c>
      <c r="D4" s="17" t="n">
        <v>1027731</v>
      </c>
      <c r="E4" s="17" t="n">
        <v>1135083</v>
      </c>
      <c r="F4" s="17" t="n">
        <v>1217000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807786</v>
      </c>
      <c r="C6" s="17" t="n">
        <v>851496</v>
      </c>
      <c r="D6" s="17" t="n">
        <v>859672</v>
      </c>
      <c r="E6" s="17" t="n">
        <v>871546</v>
      </c>
      <c r="F6" s="17" t="n">
        <v>915000</v>
      </c>
    </row>
    <row r="7">
      <c r="A7" s="16" t="inlineStr">
        <is>
          <t>Administrationsomkostninger</t>
        </is>
      </c>
      <c r="B7" s="17" t="n">
        <v>184583</v>
      </c>
      <c r="C7" s="17" t="n">
        <v>195090</v>
      </c>
      <c r="D7" s="17" t="n">
        <v>183690</v>
      </c>
      <c r="E7" s="17" t="n">
        <v>197758</v>
      </c>
      <c r="F7" s="17" t="n">
        <v>209000</v>
      </c>
    </row>
    <row r="8">
      <c r="A8" s="16" t="inlineStr">
        <is>
          <t>Andre driftsindtægter</t>
        </is>
      </c>
      <c r="B8" s="17" t="n">
        <v>6719</v>
      </c>
      <c r="C8" s="17" t="n">
        <v>15775</v>
      </c>
      <c r="D8" s="17" t="n">
        <v>6089</v>
      </c>
      <c r="E8" s="17" t="n">
        <v>6147</v>
      </c>
      <c r="F8" s="17" t="n">
        <v>5000</v>
      </c>
    </row>
    <row r="9">
      <c r="A9" s="16" t="inlineStr">
        <is>
          <t>Andre driftsomkostninger</t>
        </is>
      </c>
      <c r="B9" s="17" t="n">
        <v>1077</v>
      </c>
      <c r="C9" s="17" t="n">
        <v>5518</v>
      </c>
      <c r="D9" s="17" t="n">
        <v>2258</v>
      </c>
      <c r="E9" s="17" t="n">
        <v>3974</v>
      </c>
      <c r="F9" s="17" t="n">
        <v>4000</v>
      </c>
    </row>
    <row r="10">
      <c r="A10" s="15" t="inlineStr">
        <is>
          <t>Resultat af primær drift</t>
        </is>
      </c>
      <c r="B10" s="17" t="n">
        <v>228120</v>
      </c>
      <c r="C10" s="17" t="n">
        <v>99323</v>
      </c>
      <c r="D10" s="17" t="n">
        <v>-7612</v>
      </c>
      <c r="E10" s="17" t="n">
        <v>67952</v>
      </c>
      <c r="F10" s="17" t="n">
        <v>94000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19242</v>
      </c>
      <c r="C12" s="17" t="n">
        <v>28525</v>
      </c>
      <c r="D12" s="17" t="n">
        <v>39620</v>
      </c>
      <c r="E12" s="17" t="n">
        <v>20996</v>
      </c>
      <c r="F12" s="17" t="n">
        <v>22000</v>
      </c>
    </row>
    <row r="13">
      <c r="A13" s="16" t="inlineStr">
        <is>
          <t>Finansielle omkostninger</t>
        </is>
      </c>
      <c r="B13" s="17" t="n">
        <v>27173</v>
      </c>
      <c r="C13" s="17" t="n">
        <v>48449</v>
      </c>
      <c r="D13" s="17" t="n">
        <v>48753</v>
      </c>
      <c r="E13" s="17" t="n">
        <v>42623</v>
      </c>
      <c r="F13" s="17" t="n">
        <v>34000</v>
      </c>
    </row>
    <row r="14">
      <c r="A14" s="15" t="inlineStr">
        <is>
          <t>Finansielle poster, netto</t>
        </is>
      </c>
      <c r="B14" s="17" t="n">
        <v>-7931</v>
      </c>
      <c r="C14" s="17" t="n">
        <v>-19924</v>
      </c>
      <c r="D14" s="17" t="n">
        <v>-9133</v>
      </c>
      <c r="E14" s="17" t="n">
        <v>-21627</v>
      </c>
      <c r="F14" s="17" t="n">
        <v>-12000</v>
      </c>
    </row>
    <row r="15">
      <c r="A15" s="15" t="inlineStr">
        <is>
          <t>Resultat før skat</t>
        </is>
      </c>
      <c r="B15" s="17" t="n">
        <v>220189</v>
      </c>
      <c r="C15" s="17" t="n">
        <v>79399</v>
      </c>
      <c r="D15" s="17" t="n">
        <v>-16745</v>
      </c>
      <c r="E15" s="17" t="n">
        <v>46325</v>
      </c>
      <c r="F15" s="17" t="n">
        <v>82000</v>
      </c>
    </row>
    <row r="16">
      <c r="A16" s="16" t="inlineStr">
        <is>
          <t>Skat af årets resultat</t>
        </is>
      </c>
      <c r="B16" s="17" t="n">
        <v>40208</v>
      </c>
      <c r="C16" s="17" t="n">
        <v>36357</v>
      </c>
      <c r="D16" s="17" t="n">
        <v>-8151</v>
      </c>
      <c r="E16" s="17" t="n">
        <v>21057</v>
      </c>
      <c r="F16" s="17" t="n">
        <v>19000</v>
      </c>
    </row>
    <row r="17">
      <c r="A17" s="15" t="inlineStr">
        <is>
          <t>Årets resultat</t>
        </is>
      </c>
      <c r="B17" s="17" t="n">
        <v>179981</v>
      </c>
      <c r="C17" s="17" t="n">
        <v>43042</v>
      </c>
      <c r="D17" s="17" t="n">
        <v>-8594</v>
      </c>
      <c r="E17" s="17" t="n">
        <v>25268</v>
      </c>
      <c r="F17" s="17" t="n">
        <v>63000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120693</v>
      </c>
      <c r="C19" s="17" t="n">
        <v>185904</v>
      </c>
      <c r="D19" s="17" t="n">
        <v>72468</v>
      </c>
      <c r="E19" s="17" t="n">
        <v>53845</v>
      </c>
      <c r="F19" s="17" t="n">
        <v>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flugger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42933</v>
      </c>
      <c r="C2" s="17" t="n">
        <v>88376</v>
      </c>
      <c r="D2" s="17" t="n">
        <v>30975</v>
      </c>
      <c r="E2" s="17" t="n">
        <v>28929</v>
      </c>
      <c r="F2" s="17" t="n">
        <v>23000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119329</v>
      </c>
      <c r="C4" s="17" t="n">
        <v>159020</v>
      </c>
      <c r="D4" s="17" t="n">
        <v>145122</v>
      </c>
      <c r="E4" s="17" t="n">
        <v>147099</v>
      </c>
      <c r="F4" s="17" t="n">
        <v>149000</v>
      </c>
    </row>
    <row r="5">
      <c r="A5" s="15" t="inlineStr">
        <is>
          <t>Immaterielle anlægsaktiver</t>
        </is>
      </c>
      <c r="B5" s="17" t="n">
        <v>175270</v>
      </c>
      <c r="C5" s="17" t="n">
        <v>272792</v>
      </c>
      <c r="D5" s="17" t="n">
        <v>240723</v>
      </c>
      <c r="E5" s="17" t="n">
        <v>227575</v>
      </c>
      <c r="F5" s="17" t="n">
        <v>217000</v>
      </c>
    </row>
    <row r="6">
      <c r="A6" s="16" t="inlineStr">
        <is>
          <t>Grunde og bygninger</t>
        </is>
      </c>
      <c r="B6" s="17" t="n">
        <v>161275</v>
      </c>
      <c r="C6" s="17" t="n">
        <v>250518</v>
      </c>
      <c r="D6" s="17" t="n">
        <v>296843</v>
      </c>
      <c r="E6" s="17" t="n">
        <v>272551</v>
      </c>
      <c r="F6" s="17" t="n">
        <v>270000</v>
      </c>
    </row>
    <row r="7">
      <c r="A7" s="16" t="inlineStr">
        <is>
          <t>Produktionsanlæg og maskiner</t>
        </is>
      </c>
      <c r="B7" s="17" t="n">
        <v>76626</v>
      </c>
      <c r="C7" s="17" t="n">
        <v>103993</v>
      </c>
      <c r="D7" s="17" t="n">
        <v>94327</v>
      </c>
      <c r="E7" s="17" t="n">
        <v>135939</v>
      </c>
      <c r="F7" s="17" t="n">
        <v>120000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115659</v>
      </c>
      <c r="C10" s="17" t="n">
        <v>135820</v>
      </c>
      <c r="D10" s="17" t="n">
        <v>108640</v>
      </c>
      <c r="E10" s="17" t="n">
        <v>24633</v>
      </c>
      <c r="F10" s="17" t="n">
        <v>23000</v>
      </c>
    </row>
    <row r="11">
      <c r="A11" s="15" t="inlineStr">
        <is>
          <t>Materielle anlægsaktiver</t>
        </is>
      </c>
      <c r="B11" s="17" t="n">
        <v>23941</v>
      </c>
      <c r="C11" s="17" t="n">
        <v>70704</v>
      </c>
      <c r="D11" s="17" t="n">
        <v>85000</v>
      </c>
      <c r="E11" s="17" t="n">
        <v>81790</v>
      </c>
      <c r="F11" s="17" t="n">
        <v>91000</v>
      </c>
    </row>
    <row r="12">
      <c r="A12" s="15" t="inlineStr">
        <is>
          <t>Anlægsaktiver</t>
        </is>
      </c>
      <c r="B12" s="17" t="n">
        <v>973064</v>
      </c>
      <c r="C12" s="17" t="n">
        <v>1219724</v>
      </c>
      <c r="D12" s="17" t="n">
        <v>1193815</v>
      </c>
      <c r="E12" s="17" t="n">
        <v>1087709</v>
      </c>
      <c r="F12" s="17" t="n">
        <v>1089000</v>
      </c>
    </row>
    <row r="13">
      <c r="A13" s="15" t="inlineStr">
        <is>
          <t>Varebeholdninger</t>
        </is>
      </c>
      <c r="B13" s="17" t="n">
        <v>344048</v>
      </c>
      <c r="C13" s="17" t="n">
        <v>462082</v>
      </c>
      <c r="D13" s="17" t="n">
        <v>468557</v>
      </c>
      <c r="E13" s="17" t="n">
        <v>362131</v>
      </c>
      <c r="F13" s="17" t="n">
        <v>375000</v>
      </c>
    </row>
    <row r="14">
      <c r="A14" s="16" t="inlineStr">
        <is>
          <t>Tilgodehavender fra salg og tjenesteydelser</t>
        </is>
      </c>
      <c r="B14" s="17" t="n">
        <v>368550</v>
      </c>
      <c r="C14" s="17" t="n">
        <v>384186</v>
      </c>
      <c r="D14" s="17" t="n">
        <v>451735</v>
      </c>
      <c r="E14" s="17" t="n">
        <v>470825</v>
      </c>
      <c r="F14" s="17" t="n">
        <v>432000</v>
      </c>
    </row>
    <row r="15">
      <c r="A15" s="16" t="inlineStr">
        <is>
          <t>Tilgodehavender hos tilknyttede virksomheder</t>
        </is>
      </c>
      <c r="B15" s="17" t="n"/>
      <c r="C15" s="17" t="n"/>
      <c r="D15" s="17" t="n"/>
      <c r="E15" s="17" t="n"/>
      <c r="F15" s="17" t="n"/>
    </row>
    <row r="16">
      <c r="A16" s="16" t="inlineStr">
        <is>
          <t>Andre tilgodehavender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Periodeafgrænsningsposter (aktiver)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Udskudt skatteaktiv</t>
        </is>
      </c>
      <c r="B18" s="17" t="n">
        <v>13280</v>
      </c>
      <c r="C18" s="17" t="n">
        <v>12807</v>
      </c>
      <c r="D18" s="17" t="n">
        <v>39547</v>
      </c>
      <c r="E18" s="17" t="n">
        <v>23656</v>
      </c>
      <c r="F18" s="17" t="n">
        <v>11000</v>
      </c>
    </row>
    <row r="19">
      <c r="A19" s="16" t="inlineStr">
        <is>
          <t>Tilgodehavende skat hos tilknyttede virksomheder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Kortfristede skattetilgodehavender</t>
        </is>
      </c>
      <c r="B20" s="17" t="n"/>
      <c r="C20" s="17" t="n"/>
      <c r="D20" s="17" t="n"/>
      <c r="E20" s="17" t="n"/>
      <c r="F20" s="17" t="n"/>
    </row>
    <row r="21">
      <c r="A21" s="15" t="inlineStr">
        <is>
          <t>Tilgodehavender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Værdipapirer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Likvide beholdninger</t>
        </is>
      </c>
      <c r="B23" s="17" t="n">
        <v>156682</v>
      </c>
      <c r="C23" s="17" t="n">
        <v>28748</v>
      </c>
      <c r="D23" s="17" t="n">
        <v>17674</v>
      </c>
      <c r="E23" s="17" t="n">
        <v>18084</v>
      </c>
      <c r="F23" s="17" t="n">
        <v>24000</v>
      </c>
    </row>
    <row r="24">
      <c r="A24" s="15" t="inlineStr">
        <is>
          <t>Omsætningsaktiver</t>
        </is>
      </c>
      <c r="B24" s="17" t="n">
        <v>869343</v>
      </c>
      <c r="C24" s="17" t="n">
        <v>1005785</v>
      </c>
      <c r="D24" s="17" t="n">
        <v>938022</v>
      </c>
      <c r="E24" s="17" t="n">
        <v>851094</v>
      </c>
      <c r="F24" s="17" t="n">
        <v>831000</v>
      </c>
    </row>
    <row r="25">
      <c r="A25" s="15" t="inlineStr">
        <is>
          <t>Aktiver</t>
        </is>
      </c>
      <c r="B25" s="17" t="n">
        <v>1842407</v>
      </c>
      <c r="C25" s="17" t="n">
        <v>2225509</v>
      </c>
      <c r="D25" s="17" t="n">
        <v>2131837</v>
      </c>
      <c r="E25" s="17" t="n">
        <v>1938803</v>
      </c>
      <c r="F25" s="17" t="n">
        <v>1920000</v>
      </c>
    </row>
    <row r="26">
      <c r="A26" s="16" t="inlineStr">
        <is>
          <t>Selskabskapital</t>
        </is>
      </c>
      <c r="B26" s="17" t="n">
        <v>60000</v>
      </c>
      <c r="C26" s="17" t="n">
        <v>60000</v>
      </c>
      <c r="D26" s="17" t="n">
        <v>60000</v>
      </c>
      <c r="E26" s="17" t="n">
        <v>60000</v>
      </c>
      <c r="F26" s="17" t="n">
        <v>60000</v>
      </c>
    </row>
    <row r="27">
      <c r="A27" s="16" t="inlineStr">
        <is>
          <t>Reserve for nettoopskrivning (indre værdis metode)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udviklingsomkostninger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Reserve for sikringstransaktioner</t>
        </is>
      </c>
      <c r="B29" s="17" t="n"/>
      <c r="C29" s="17" t="n"/>
      <c r="D29" s="17" t="n"/>
      <c r="E29" s="17" t="n"/>
      <c r="F29" s="17" t="n"/>
    </row>
    <row r="30">
      <c r="A30" s="16" t="inlineStr">
        <is>
          <t>Andre reserver</t>
        </is>
      </c>
      <c r="B30" s="17" t="n">
        <v>-213</v>
      </c>
      <c r="C30" s="17" t="n">
        <v>-1</v>
      </c>
      <c r="D30" s="17" t="n"/>
      <c r="E30" s="17" t="n"/>
      <c r="F30" s="17" t="n"/>
    </row>
    <row r="31">
      <c r="A31" s="16" t="inlineStr">
        <is>
          <t>Overført resultat</t>
        </is>
      </c>
      <c r="B31" s="17" t="n">
        <v>899788</v>
      </c>
      <c r="C31" s="17" t="n">
        <v>910939</v>
      </c>
      <c r="D31" s="17" t="n">
        <v>776121</v>
      </c>
      <c r="E31" s="17" t="n">
        <v>820674</v>
      </c>
      <c r="F31" s="17" t="n">
        <v>815000</v>
      </c>
    </row>
    <row r="32">
      <c r="A32" s="15" t="inlineStr">
        <is>
          <t>Egenkapital i alt</t>
        </is>
      </c>
      <c r="B32" s="17" t="n">
        <v>950890</v>
      </c>
      <c r="C32" s="17" t="n">
        <v>918945</v>
      </c>
      <c r="D32" s="17" t="n">
        <v>773591</v>
      </c>
      <c r="E32" s="17" t="n">
        <v>820766</v>
      </c>
      <c r="F32" s="17" t="n">
        <v>870000</v>
      </c>
    </row>
    <row r="33">
      <c r="A33" s="16" t="inlineStr">
        <is>
          <t>Hensættelse til udskudt skat</t>
        </is>
      </c>
      <c r="B33" s="17" t="n">
        <v>9309</v>
      </c>
      <c r="C33" s="17" t="n">
        <v>22990</v>
      </c>
      <c r="D33" s="17" t="n">
        <v>28957</v>
      </c>
      <c r="E33" s="17" t="n">
        <v>27143</v>
      </c>
      <c r="F33" s="17" t="n">
        <v>21000</v>
      </c>
    </row>
    <row r="34">
      <c r="A34" s="15" t="inlineStr">
        <is>
          <t>Hensatte forpligtelser</t>
        </is>
      </c>
      <c r="B34" s="17" t="n">
        <v>9309</v>
      </c>
      <c r="C34" s="17" t="n">
        <v>22990</v>
      </c>
      <c r="D34" s="17" t="n">
        <v>28957</v>
      </c>
      <c r="E34" s="17" t="n">
        <v>27143</v>
      </c>
      <c r="F34" s="17" t="n">
        <v>21000</v>
      </c>
    </row>
    <row r="35">
      <c r="A35" s="16" t="inlineStr">
        <is>
          <t>Ansvarlig lånekapital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Langfristede lån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Leasingforpligtelser (langfristet)</t>
        </is>
      </c>
      <c r="B37" s="17" t="n">
        <v>307195</v>
      </c>
      <c r="C37" s="17" t="n">
        <v>298540</v>
      </c>
      <c r="D37" s="17" t="n">
        <v>250879</v>
      </c>
      <c r="E37" s="17" t="n">
        <v>264450</v>
      </c>
      <c r="F37" s="17" t="n">
        <v>284000</v>
      </c>
    </row>
    <row r="38">
      <c r="A38" s="16" t="inlineStr">
        <is>
          <t>Anden gæld (langfristet)</t>
        </is>
      </c>
      <c r="B38" s="17" t="n">
        <v>0</v>
      </c>
      <c r="C38" s="17" t="n">
        <v>112710</v>
      </c>
      <c r="D38" s="17" t="n">
        <v>112710</v>
      </c>
      <c r="E38" s="17" t="n">
        <v>112710</v>
      </c>
      <c r="F38" s="17" t="n">
        <v>104000</v>
      </c>
    </row>
    <row r="39">
      <c r="A39" s="15" t="inlineStr">
        <is>
          <t>Langfristede gældsforpligtelser</t>
        </is>
      </c>
      <c r="B39" s="17" t="n">
        <v>321753</v>
      </c>
      <c r="C39" s="17" t="n">
        <v>450240</v>
      </c>
      <c r="D39" s="17" t="n">
        <v>453788</v>
      </c>
      <c r="E39" s="17" t="n">
        <v>410329</v>
      </c>
      <c r="F39" s="17" t="n">
        <v>418000</v>
      </c>
    </row>
    <row r="40">
      <c r="A40" s="16" t="inlineStr">
        <is>
          <t>Ansvarlig lånekapital (kortfristet)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Kortfristet del af langfristede gældsforpligtelser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Kreditinstitutter</t>
        </is>
      </c>
      <c r="B42" s="17" t="n"/>
      <c r="C42" s="17" t="n"/>
      <c r="D42" s="17" t="n"/>
      <c r="E42" s="17" t="n"/>
      <c r="F42" s="17" t="n">
        <v>9000</v>
      </c>
    </row>
    <row r="43">
      <c r="A43" s="16" t="inlineStr">
        <is>
          <t>Leasingforpligtelser (kortfristet)</t>
        </is>
      </c>
      <c r="B43" s="17" t="n">
        <v>78866</v>
      </c>
      <c r="C43" s="17" t="n">
        <v>85739</v>
      </c>
      <c r="D43" s="17" t="n">
        <v>88368</v>
      </c>
      <c r="E43" s="17" t="n">
        <v>69658</v>
      </c>
      <c r="F43" s="17" t="n">
        <v>87000</v>
      </c>
    </row>
    <row r="44">
      <c r="A44" s="16" t="inlineStr">
        <is>
          <t>Leverandører af varer og tjenesteydelser</t>
        </is>
      </c>
      <c r="B44" s="17" t="n">
        <v>219797</v>
      </c>
      <c r="C44" s="17" t="n">
        <v>259121</v>
      </c>
      <c r="D44" s="17" t="n">
        <v>252660</v>
      </c>
      <c r="E44" s="17" t="n">
        <v>191689</v>
      </c>
      <c r="F44" s="17" t="n">
        <v>206000</v>
      </c>
    </row>
    <row r="45">
      <c r="A45" s="16" t="inlineStr">
        <is>
          <t>Gæld til tilknyttede virksomheder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selskabsdeltagere og ledelse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Gæld til tilknyttede virksomheder vedr. selskabsskat</t>
        </is>
      </c>
      <c r="B48" s="17" t="n"/>
      <c r="C48" s="17" t="n"/>
      <c r="D48" s="17" t="n"/>
      <c r="E48" s="17" t="n"/>
      <c r="F48" s="17" t="n"/>
    </row>
    <row r="49">
      <c r="A49" s="16" t="inlineStr">
        <is>
          <t>Anden gæld (kortfristet)</t>
        </is>
      </c>
      <c r="B49" s="17" t="n">
        <v>215516</v>
      </c>
      <c r="C49" s="17" t="n">
        <v>168756</v>
      </c>
      <c r="D49" s="17" t="n">
        <v>162979</v>
      </c>
      <c r="E49" s="17" t="n">
        <v>162294</v>
      </c>
      <c r="F49" s="17" t="n">
        <v>170000</v>
      </c>
    </row>
    <row r="50">
      <c r="A50" s="16" t="inlineStr">
        <is>
          <t>Periodeafgrænsningsposter (passiver)</t>
        </is>
      </c>
      <c r="B50" s="17" t="n"/>
      <c r="C50" s="17" t="n"/>
      <c r="D50" s="17" t="n">
        <v>32</v>
      </c>
      <c r="E50" s="17" t="n">
        <v>20</v>
      </c>
      <c r="F50" s="17" t="n"/>
    </row>
    <row r="51">
      <c r="A51" s="15" t="inlineStr">
        <is>
          <t>Kortfristede gældsforpligtelser</t>
        </is>
      </c>
      <c r="B51" s="17" t="n">
        <v>569764</v>
      </c>
      <c r="C51" s="17" t="n">
        <v>856324</v>
      </c>
      <c r="D51" s="17" t="n">
        <v>904458</v>
      </c>
      <c r="E51" s="17" t="n">
        <v>707708</v>
      </c>
      <c r="F51" s="17" t="n">
        <v>632000</v>
      </c>
    </row>
    <row r="52">
      <c r="A52" s="15" t="inlineStr">
        <is>
          <t>Gældsforpligtelser</t>
        </is>
      </c>
      <c r="B52" s="17" t="n">
        <v>891517</v>
      </c>
      <c r="C52" s="17" t="n">
        <v>1306564</v>
      </c>
      <c r="D52" s="17" t="n">
        <v>1358246</v>
      </c>
      <c r="E52" s="17" t="n">
        <v>1118037</v>
      </c>
      <c r="F52" s="17" t="n">
        <v>1050000</v>
      </c>
    </row>
    <row r="53">
      <c r="A53" s="15" t="inlineStr">
        <is>
          <t>Passiver</t>
        </is>
      </c>
      <c r="B53" s="17" t="n">
        <v>1842407</v>
      </c>
      <c r="C53" s="17" t="n">
        <v>2225509</v>
      </c>
      <c r="D53" s="17" t="n">
        <v>2131837</v>
      </c>
      <c r="E53" s="17" t="n">
        <v>1938803</v>
      </c>
      <c r="F53" s="17" t="n">
        <v>1920000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flugger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313069</v>
      </c>
      <c r="C2" s="17" t="n">
        <v>96761</v>
      </c>
      <c r="D2" s="17" t="n">
        <v>88473</v>
      </c>
      <c r="E2" s="17" t="n">
        <v>194178</v>
      </c>
      <c r="F2" s="17" t="n">
        <v>256000</v>
      </c>
    </row>
    <row r="3">
      <c r="A3" s="16" t="inlineStr">
        <is>
          <t>Pengestrømme fra investeringsaktivitet</t>
        </is>
      </c>
      <c r="B3" s="17" t="n">
        <v>-164802</v>
      </c>
      <c r="C3" s="17" t="n">
        <v>-264585</v>
      </c>
      <c r="D3" s="17" t="n">
        <v>-84083</v>
      </c>
      <c r="E3" s="17" t="n">
        <v>-66410</v>
      </c>
      <c r="F3" s="17" t="n">
        <v>-13000</v>
      </c>
    </row>
    <row r="4">
      <c r="A4" s="16" t="inlineStr">
        <is>
          <t>Pengestrømme fra finansieringsaktivitet</t>
        </is>
      </c>
      <c r="B4" s="17" t="n">
        <v>-128580</v>
      </c>
      <c r="C4" s="17" t="n">
        <v>38794</v>
      </c>
      <c r="D4" s="17" t="n">
        <v>-23479</v>
      </c>
      <c r="E4" s="17" t="n">
        <v>-129719</v>
      </c>
      <c r="F4" s="17" t="n">
        <v>-237000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flugger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'balance_raw'!$F$12</f>
        <v/>
      </c>
      <c r="C19" s="24">
        <f>'balance_raw'!$E$12</f>
        <v/>
      </c>
      <c r="D19" s="24">
        <f>'balance_raw'!$D$12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'balance_raw'!$F$24</f>
        <v/>
      </c>
      <c r="C20" s="24">
        <f>'balance_raw'!$E$24</f>
        <v/>
      </c>
      <c r="D20" s="24">
        <f>'balance_raw'!$D$24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'balance_raw'!$F$32</f>
        <v/>
      </c>
      <c r="C23" s="24">
        <f>'balance_raw'!$E$32</f>
        <v/>
      </c>
      <c r="D23" s="24">
        <f>'balance_raw'!$D$32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'balance_raw'!$F$53-'balance_raw'!$F$32</f>
        <v/>
      </c>
      <c r="C24" s="24">
        <f>'balance_raw'!$E$53-'balance_raw'!$E$32</f>
        <v/>
      </c>
      <c r="D24" s="24">
        <f>'balance_raw'!$D$53-'balance_raw'!$D$32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'balance_raw'!$F$13</f>
        <v/>
      </c>
      <c r="C28" s="24">
        <f>'balance_raw'!$E$13</f>
        <v/>
      </c>
      <c r="D28" s="24">
        <f>'balance_raw'!$D$13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'balance_raw'!$F$14</f>
        <v/>
      </c>
      <c r="C29" s="24">
        <f>'balance_raw'!$E$14</f>
        <v/>
      </c>
      <c r="D29" s="24">
        <f>'balance_raw'!$D$14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'balance_raw'!$F$51</f>
        <v/>
      </c>
      <c r="C30" s="24">
        <f>'balance_raw'!$E$51</f>
        <v/>
      </c>
      <c r="D30" s="24">
        <f>'balance_raw'!$D$51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IF('balance_raw'!$F$25="","—",IF(ABS(B21-'balance_raw'!$F$25)&lt;=1,"✓ OK","❌ "&amp;TEXT(B21-'balance_raw'!$F$25,"+#,##0;-#,##0")&amp;" t.kr."))</f>
        <v/>
      </c>
      <c r="C62" s="31">
        <f>IF('balance_raw'!$E$25="","—",IF(ABS(C21-'balance_raw'!$E$25)&lt;=1,"✓ OK","❌ "&amp;TEXT(C21-'balance_raw'!$E$25,"+#,##0;-#,##0")&amp;" t.kr."))</f>
        <v/>
      </c>
      <c r="D62" s="31">
        <f>IF('balance_raw'!$D$25="","—",IF(ABS(D21-'balance_raw'!$D$25)&lt;=1,"✓ OK","❌ "&amp;TEXT(D21-'balance_raw'!$D$25,"+#,##0;-#,##0")&amp;"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IF('balance_raw'!$F$53="","—",IF(ABS(B25-'balance_raw'!$F$53)&lt;=1,"✓ OK","❌ "&amp;TEXT(B25-'balance_raw'!$F$53,"+#,##0;-#,##0")&amp;" t.kr."))</f>
        <v/>
      </c>
      <c r="C63" s="31">
        <f>IF('balance_raw'!$E$53="","—",IF(ABS(C25-'balance_raw'!$E$53)&lt;=1,"✓ OK","❌ "&amp;TEXT(C25-'balance_raw'!$E$53,"+#,##0;-#,##0")&amp;" t.kr."))</f>
        <v/>
      </c>
      <c r="D63" s="31">
        <f>IF('balance_raw'!$D$53="","—",IF(ABS(D25-'balance_raw'!$D$53)&lt;=1,"✓ OK","❌ "&amp;TEXT(D25-'balance_raw'!$D$53,"+#,##0;-#,##0")&amp;"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flugger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ifrs-full:AccrualsAndDeferredIncomeClassifiedAsCurrent</t>
        </is>
      </c>
      <c r="C3" s="36" t="inlineStr">
        <is>
          <t>ifrs-full:AccrualsAndDeferredIncomeClassifiedAsCurrent</t>
        </is>
      </c>
      <c r="D3" s="37" t="n">
        <v>717</v>
      </c>
      <c r="E3" s="37" t="n">
        <v>41</v>
      </c>
      <c r="F3" s="37" t="n"/>
      <c r="G3" s="37" t="n"/>
      <c r="H3" s="37" t="n"/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ifrs-full:AdjustmentsForIncreaseDecreaseInTradeAccountPayable</t>
        </is>
      </c>
      <c r="C4" s="39" t="inlineStr">
        <is>
          <t>ifrs-full:AdjustmentsForIncreaseDecreaseInTradeAccountPayable</t>
        </is>
      </c>
      <c r="D4" s="40" t="n">
        <v>26602</v>
      </c>
      <c r="E4" s="40" t="n">
        <v>-59608</v>
      </c>
      <c r="F4" s="40" t="n">
        <v>-40050</v>
      </c>
      <c r="G4" s="40" t="n">
        <v>-23930</v>
      </c>
      <c r="H4" s="40" t="n">
        <v>14000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ifrs-full:CashFlowsFromUsedInFinancingActivitiesDiscontinuedOperations</t>
        </is>
      </c>
      <c r="C5" s="36" t="inlineStr">
        <is>
          <t>ifrs-full:CashFlowsFromUsedInFinancingActivitiesDiscontinuedOperations</t>
        </is>
      </c>
      <c r="D5" s="37" t="n"/>
      <c r="E5" s="37" t="n"/>
      <c r="F5" s="37" t="n">
        <v>-5428</v>
      </c>
      <c r="G5" s="37" t="n">
        <v>6556</v>
      </c>
      <c r="H5" s="37" t="n">
        <v>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ifrs-full:CashFlowsFromUsedInInvestingActivitiesDiscontinuedOperations</t>
        </is>
      </c>
      <c r="C6" s="39" t="inlineStr">
        <is>
          <t>ifrs-full:CashFlowsFromUsedInInvestingActivitiesDiscontinuedOperations</t>
        </is>
      </c>
      <c r="D6" s="40" t="n"/>
      <c r="E6" s="40" t="n"/>
      <c r="F6" s="40" t="n">
        <v>-500</v>
      </c>
      <c r="G6" s="40" t="n">
        <v>-4911</v>
      </c>
      <c r="H6" s="40" t="n">
        <v>0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ifrs-full:ComprehensiveIncomeFromContinuingOperationsAttributableToNoncontrollingInterests</t>
        </is>
      </c>
      <c r="C7" s="36" t="inlineStr">
        <is>
          <t>ifrs-full:ComprehensiveIncomeFromContinuingOperationsAttributableToNoncontrollingInterests</t>
        </is>
      </c>
      <c r="D7" s="37" t="n"/>
      <c r="E7" s="37" t="n"/>
      <c r="F7" s="37" t="n">
        <v>11552</v>
      </c>
      <c r="G7" s="37" t="n">
        <v>6636</v>
      </c>
      <c r="H7" s="37" t="n">
        <v>6000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ifrs-full:ComprehensiveIncomeFromContinuingOperationsAttributableToOwnersOfParent</t>
        </is>
      </c>
      <c r="C8" s="39" t="inlineStr">
        <is>
          <t>ifrs-full:ComprehensiveIncomeFromContinuingOperationsAttributableToOwnersOfParent</t>
        </is>
      </c>
      <c r="D8" s="40" t="n"/>
      <c r="E8" s="40" t="n"/>
      <c r="F8" s="40" t="n">
        <v>-93940</v>
      </c>
      <c r="G8" s="40" t="n">
        <v>31937</v>
      </c>
      <c r="H8" s="40" t="n">
        <v>74000</v>
      </c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ifrs-full:ComputerSoftware</t>
        </is>
      </c>
      <c r="C9" s="36" t="inlineStr">
        <is>
          <t>ifrs-full:ComputerSoftware</t>
        </is>
      </c>
      <c r="D9" s="37" t="n"/>
      <c r="E9" s="37" t="n"/>
      <c r="F9" s="37" t="n">
        <v>41245</v>
      </c>
      <c r="G9" s="37" t="n">
        <v>27670</v>
      </c>
      <c r="H9" s="37" t="n">
        <v>36000</v>
      </c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ifrs-full:CurrentInvestments</t>
        </is>
      </c>
      <c r="C10" s="39" t="inlineStr">
        <is>
          <t>ifrs-full:CurrentInvestments</t>
        </is>
      </c>
      <c r="D10" s="40" t="n">
        <v>63</v>
      </c>
      <c r="E10" s="40" t="n">
        <v>62</v>
      </c>
      <c r="F10" s="40" t="n">
        <v>56</v>
      </c>
      <c r="G10" s="40" t="n">
        <v>54</v>
      </c>
      <c r="H10" s="40" t="n"/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ifrs-full:ImpairmentLossReversalOfImpairmentLossRecognisedInProfitOrLoss</t>
        </is>
      </c>
      <c r="C11" s="36" t="inlineStr">
        <is>
          <t>ifrs-full:ImpairmentLossReversalOfImpairmentLossRecognisedInProfitOrLoss</t>
        </is>
      </c>
      <c r="D11" s="37" t="n">
        <v>0</v>
      </c>
      <c r="E11" s="37" t="n">
        <v>73726</v>
      </c>
      <c r="F11" s="37" t="n">
        <v>-4188</v>
      </c>
      <c r="G11" s="37" t="n">
        <v>0</v>
      </c>
      <c r="H11" s="37" t="n"/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ifrs-full:IncomeFromContinuingOperationsAttributableToOwnersOfParent</t>
        </is>
      </c>
      <c r="C12" s="39" t="inlineStr">
        <is>
          <t>ifrs-full:IncomeFromContinuingOperationsAttributableToOwnersOfParent</t>
        </is>
      </c>
      <c r="D12" s="40" t="n">
        <v>170837</v>
      </c>
      <c r="E12" s="40" t="n">
        <v>52921</v>
      </c>
      <c r="F12" s="40" t="n">
        <v>-20146</v>
      </c>
      <c r="G12" s="40" t="n">
        <v>18632</v>
      </c>
      <c r="H12" s="40" t="n">
        <v>58000</v>
      </c>
      <c r="I12" s="41" t="inlineStr">
        <is>
          <t>Ingen forklaring tilgængelig.</t>
        </is>
      </c>
    </row>
    <row r="13" ht="30" customHeight="1">
      <c r="A13" s="36" t="inlineStr">
        <is>
          <t>Øvrige (ukendt)</t>
        </is>
      </c>
      <c r="B13" s="36" t="inlineStr">
        <is>
          <t>ifrs-full:ReclassificationAdjustmentsOnExchangeDifferencesOnTranslationBeforeTax</t>
        </is>
      </c>
      <c r="C13" s="36" t="inlineStr">
        <is>
          <t>ifrs-full:ReclassificationAdjustmentsOnExchangeDifferencesOnTranslationBeforeTax</t>
        </is>
      </c>
      <c r="D13" s="37" t="n"/>
      <c r="E13" s="37" t="n"/>
      <c r="F13" s="37" t="n"/>
      <c r="G13" s="37" t="n">
        <v>0</v>
      </c>
      <c r="H13" s="37" t="n"/>
      <c r="I13" s="38" t="inlineStr">
        <is>
          <t>Ingen forklaring tilgængelig.</t>
        </is>
      </c>
    </row>
    <row r="14" ht="30" customHeight="1">
      <c r="A14" s="39" t="inlineStr">
        <is>
          <t>Øvrige (ukendt)</t>
        </is>
      </c>
      <c r="B14" s="39" t="inlineStr">
        <is>
          <t>ifrs-full:ReserveOfExchangeDifferencesOnTranslation</t>
        </is>
      </c>
      <c r="C14" s="39" t="inlineStr">
        <is>
          <t>ifrs-full:ReserveOfExchangeDifferencesOnTranslation</t>
        </is>
      </c>
      <c r="D14" s="40" t="n">
        <v>-93493</v>
      </c>
      <c r="E14" s="40" t="n">
        <v>-93493</v>
      </c>
      <c r="F14" s="40" t="n">
        <v>-156176</v>
      </c>
      <c r="G14" s="40" t="n">
        <v>-146633</v>
      </c>
      <c r="H14" s="40" t="n">
        <v>-110000</v>
      </c>
      <c r="I14" s="41" t="inlineStr">
        <is>
          <t>Ingen forklaring tilgængelig.</t>
        </is>
      </c>
    </row>
    <row r="15" ht="30" customHeight="1">
      <c r="A15" s="36" t="inlineStr">
        <is>
          <t>Øvrige (ukendt)</t>
        </is>
      </c>
      <c r="B15" s="36" t="inlineStr">
        <is>
          <t>ifrs-full:RestrictedCashAndCashEquivalents</t>
        </is>
      </c>
      <c r="C15" s="36" t="inlineStr">
        <is>
          <t>ifrs-full:RestrictedCashAndCashEquivalents</t>
        </is>
      </c>
      <c r="D15" s="37" t="n"/>
      <c r="E15" s="37" t="n"/>
      <c r="F15" s="37" t="n"/>
      <c r="G15" s="37" t="n"/>
      <c r="H15" s="37" t="n"/>
      <c r="I15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2026-10-02T21:56:28Z</dcterms:created>
  <dcterms:modified xmlns:dcterms="http://purl.org/dc/terms/" xmlns:xsi="http://www.w3.org/2001/XMLSchema-instance" xsi:type="dcterms:W3CDTF">2026-10-02T21:56:29Z</dcterms:modified>
</cp:coreProperties>
</file>