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iss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  <row r="83">
      <c r="A83" s="15" t="inlineStr">
        <is>
          <t>PENGESTRØMSOPGØRELSE t.kr.</t>
        </is>
      </c>
    </row>
    <row r="84">
      <c r="A84" s="16" t="inlineStr">
        <is>
          <t>Pengestrømme fra driftsaktivitet</t>
        </is>
      </c>
      <c r="B84" s="17">
        <f>'pengestrom_raw'!$B$2</f>
        <v/>
      </c>
      <c r="C84" s="17">
        <f>'pengestrom_raw'!$C$2</f>
        <v/>
      </c>
      <c r="D84" s="17">
        <f>'pengestrom_raw'!$D$2</f>
        <v/>
      </c>
      <c r="E84" s="17">
        <f>'pengestrom_raw'!$E$2</f>
        <v/>
      </c>
      <c r="F84" s="17">
        <f>'pengestrom_raw'!$F$2</f>
        <v/>
      </c>
    </row>
    <row r="85">
      <c r="A85" s="16" t="inlineStr">
        <is>
          <t>Pengestrømme fra investeringsaktivitet</t>
        </is>
      </c>
      <c r="B85" s="17">
        <f>'pengestrom_raw'!$B$3</f>
        <v/>
      </c>
      <c r="C85" s="17">
        <f>'pengestrom_raw'!$C$3</f>
        <v/>
      </c>
      <c r="D85" s="17">
        <f>'pengestrom_raw'!$D$3</f>
        <v/>
      </c>
      <c r="E85" s="17">
        <f>'pengestrom_raw'!$E$3</f>
        <v/>
      </c>
      <c r="F85" s="17">
        <f>'pengestrom_raw'!$F$3</f>
        <v/>
      </c>
    </row>
    <row r="86">
      <c r="A86" s="16" t="inlineStr">
        <is>
          <t>Pengestrømme fra finansieringsaktivitet</t>
        </is>
      </c>
      <c r="B86" s="17">
        <f>'pengestrom_raw'!$B$4</f>
        <v/>
      </c>
      <c r="C86" s="17">
        <f>'pengestrom_raw'!$C$4</f>
        <v/>
      </c>
      <c r="D86" s="17">
        <f>'pengestrom_raw'!$D$4</f>
        <v/>
      </c>
      <c r="E86" s="17">
        <f>'pengestrom_raw'!$E$4</f>
        <v/>
      </c>
      <c r="F86" s="17">
        <f>'pengestrom_raw'!$F$4</f>
        <v/>
      </c>
    </row>
    <row r="87">
      <c r="A87" s="16" t="inlineStr">
        <is>
          <t>Årets pengestrøm (rapporteret)</t>
        </is>
      </c>
      <c r="B87" s="17">
        <f>'pengestrom_raw'!$B$5</f>
        <v/>
      </c>
      <c r="C87" s="17">
        <f>'pengestrom_raw'!$C$5</f>
        <v/>
      </c>
      <c r="D87" s="17">
        <f>'pengestrom_raw'!$D$5</f>
        <v/>
      </c>
      <c r="E87" s="17">
        <f>'pengestrom_raw'!$E$5</f>
        <v/>
      </c>
      <c r="F87" s="17">
        <f>'pengestrom_raw'!$F$5</f>
        <v/>
      </c>
    </row>
    <row r="88">
      <c r="A88" s="16" t="inlineStr">
        <is>
          <t>Krydstjek: drift + inv. + fin. = årets pengestrøm</t>
        </is>
      </c>
      <c r="B8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8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8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8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8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71363000</v>
      </c>
      <c r="C2" s="17" t="n">
        <v>76538000</v>
      </c>
      <c r="D2" s="17" t="n">
        <v>78681000</v>
      </c>
      <c r="E2" s="17" t="n">
        <v>83761000</v>
      </c>
      <c r="F2" s="17" t="n">
        <v>84684000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46369000</v>
      </c>
      <c r="C7" s="17" t="n">
        <v>48329000</v>
      </c>
      <c r="D7" s="17" t="n">
        <v>49607000</v>
      </c>
      <c r="E7" s="17" t="n">
        <v>52822000</v>
      </c>
      <c r="F7" s="17" t="n">
        <v>53888000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1760000</v>
      </c>
      <c r="C9" s="17" t="n">
        <v>1517000</v>
      </c>
      <c r="D9" s="17" t="n">
        <v>1464000</v>
      </c>
      <c r="E9" s="17" t="n">
        <v>1469000</v>
      </c>
      <c r="F9" s="17" t="n">
        <v>1555000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1701000</v>
      </c>
      <c r="C11" s="17" t="n">
        <v>2835000</v>
      </c>
      <c r="D11" s="17" t="n">
        <v>3138000</v>
      </c>
      <c r="E11" s="17" t="n">
        <v>3889000</v>
      </c>
      <c r="F11" s="17" t="n">
        <v>3950000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41000</v>
      </c>
      <c r="C13" s="17" t="n">
        <v>207000</v>
      </c>
      <c r="D13" s="17" t="n">
        <v>185000</v>
      </c>
      <c r="E13" s="17" t="n">
        <v>314000</v>
      </c>
      <c r="F13" s="17" t="n">
        <v>258000</v>
      </c>
    </row>
    <row r="14">
      <c r="A14" s="16" t="inlineStr">
        <is>
          <t>Finansielle omkostninger</t>
        </is>
      </c>
      <c r="B14" s="17" t="n">
        <v>697000</v>
      </c>
      <c r="C14" s="17" t="n">
        <v>596000</v>
      </c>
      <c r="D14" s="17" t="n">
        <v>792000</v>
      </c>
      <c r="E14" s="17" t="n">
        <v>904000</v>
      </c>
      <c r="F14" s="17" t="n">
        <v>919000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1045000</v>
      </c>
      <c r="C16" s="17" t="n">
        <v>2446000</v>
      </c>
      <c r="D16" s="17" t="n">
        <v>2531000</v>
      </c>
      <c r="E16" s="17" t="n">
        <v>3299000</v>
      </c>
      <c r="F16" s="17" t="n">
        <v>3289000</v>
      </c>
    </row>
    <row r="17">
      <c r="A17" s="16" t="inlineStr">
        <is>
          <t>Skat af årets resultat</t>
        </is>
      </c>
      <c r="B17" s="17" t="n">
        <v>509000</v>
      </c>
      <c r="C17" s="17" t="n">
        <v>441000</v>
      </c>
      <c r="D17" s="17" t="n">
        <v>554000</v>
      </c>
      <c r="E17" s="17" t="n">
        <v>658000</v>
      </c>
      <c r="F17" s="17" t="n">
        <v>676000</v>
      </c>
    </row>
    <row r="18">
      <c r="A18" s="15" t="inlineStr">
        <is>
          <t>Årets resultat</t>
        </is>
      </c>
      <c r="B18" s="17" t="n">
        <v>536000</v>
      </c>
      <c r="C18" s="17" t="n">
        <v>2005000</v>
      </c>
      <c r="D18" s="17" t="n">
        <v>1977000</v>
      </c>
      <c r="E18" s="17" t="n">
        <v>2641000</v>
      </c>
      <c r="F18" s="17" t="n">
        <v>2613000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22739000</v>
      </c>
      <c r="C2" s="17" t="n">
        <v>23920000</v>
      </c>
      <c r="D2" s="17" t="n">
        <v>23272000</v>
      </c>
      <c r="E2" s="17" t="n">
        <v>24359000</v>
      </c>
      <c r="F2" s="17" t="n">
        <v>24208000</v>
      </c>
    </row>
    <row r="3">
      <c r="A3" s="15" t="inlineStr">
        <is>
          <t>Materielle anlægsaktiver</t>
        </is>
      </c>
      <c r="B3" s="17" t="n">
        <v>2445000</v>
      </c>
      <c r="C3" s="17" t="n">
        <v>2403000</v>
      </c>
      <c r="D3" s="17" t="n">
        <v>2200000</v>
      </c>
      <c r="E3" s="17" t="n">
        <v>2424000</v>
      </c>
      <c r="F3" s="17" t="n">
        <v>2229000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457000</v>
      </c>
      <c r="C5" s="17" t="n">
        <v>512000</v>
      </c>
      <c r="D5" s="17" t="n">
        <v>195000</v>
      </c>
      <c r="E5" s="17" t="n">
        <v>605000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27362000</v>
      </c>
      <c r="C7" s="17" t="n">
        <v>28664000</v>
      </c>
      <c r="D7" s="17" t="n">
        <v>27555000</v>
      </c>
      <c r="E7" s="17" t="n">
        <v>29271000</v>
      </c>
      <c r="F7" s="17" t="n">
        <v>29017000</v>
      </c>
    </row>
    <row r="8">
      <c r="A8" s="16" t="inlineStr">
        <is>
          <t>Råvarer og hjælpematerialer</t>
        </is>
      </c>
      <c r="B8" s="17" t="n">
        <v>5020000</v>
      </c>
      <c r="C8" s="17" t="n">
        <v>6598000</v>
      </c>
      <c r="D8" s="17" t="n">
        <v>7323000</v>
      </c>
      <c r="E8" s="17" t="n">
        <v>7519000</v>
      </c>
      <c r="F8" s="17" t="n">
        <v>7170000</v>
      </c>
    </row>
    <row r="9">
      <c r="A9" s="16" t="inlineStr">
        <is>
          <t>Varer under fremstilling</t>
        </is>
      </c>
      <c r="B9" s="17" t="n"/>
      <c r="C9" s="17" t="n"/>
      <c r="D9" s="17" t="n"/>
      <c r="E9" s="17" t="n"/>
      <c r="F9" s="17" t="n"/>
    </row>
    <row r="10">
      <c r="A10" s="16" t="inlineStr">
        <is>
          <t>Færdigvarer og handelsvarer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Varebeholdninger</t>
        </is>
      </c>
      <c r="B11" s="17" t="n">
        <v>177000</v>
      </c>
      <c r="C11" s="17" t="n">
        <v>231000</v>
      </c>
      <c r="D11" s="17" t="n">
        <v>239000</v>
      </c>
      <c r="E11" s="17" t="n">
        <v>251000</v>
      </c>
      <c r="F11" s="17" t="n">
        <v>245000</v>
      </c>
    </row>
    <row r="12">
      <c r="A12" s="16" t="inlineStr">
        <is>
          <t>Tilgodehavender fra salg og tjenesteydelser</t>
        </is>
      </c>
      <c r="B12" s="17" t="n">
        <v>10406000</v>
      </c>
      <c r="C12" s="17" t="n">
        <v>10996000</v>
      </c>
      <c r="D12" s="17" t="n">
        <v>11354000</v>
      </c>
      <c r="E12" s="17" t="n">
        <v>12449000</v>
      </c>
      <c r="F12" s="17" t="n">
        <v>12872000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790000</v>
      </c>
      <c r="C16" s="17" t="n">
        <v>912000</v>
      </c>
      <c r="D16" s="17" t="n">
        <v>962000</v>
      </c>
      <c r="E16" s="17" t="n">
        <v>885000</v>
      </c>
      <c r="F16" s="17" t="n">
        <v>822000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185000</v>
      </c>
      <c r="C18" s="17" t="n">
        <v>173000</v>
      </c>
      <c r="D18" s="17" t="n">
        <v>126000</v>
      </c>
      <c r="E18" s="17" t="n">
        <v>120000</v>
      </c>
      <c r="F18" s="17" t="n">
        <v>115000</v>
      </c>
    </row>
    <row r="19">
      <c r="A19" s="15" t="inlineStr">
        <is>
          <t>Tilgodehavender</t>
        </is>
      </c>
      <c r="B19" s="17" t="n">
        <v>1582000</v>
      </c>
      <c r="C19" s="17" t="n">
        <v>1695000</v>
      </c>
      <c r="D19" s="17" t="n">
        <v>1628000</v>
      </c>
      <c r="E19" s="17" t="n">
        <v>1721000</v>
      </c>
      <c r="F19" s="17" t="n">
        <v>1623000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3428000</v>
      </c>
      <c r="C21" s="17" t="n">
        <v>5214000</v>
      </c>
      <c r="D21" s="17" t="n">
        <v>6093000</v>
      </c>
      <c r="E21" s="17" t="n">
        <v>6829000</v>
      </c>
      <c r="F21" s="17" t="n">
        <v>1729000</v>
      </c>
    </row>
    <row r="22">
      <c r="A22" s="15" t="inlineStr">
        <is>
          <t>Omsætningsaktiver</t>
        </is>
      </c>
      <c r="B22" s="17" t="n">
        <v>16293000</v>
      </c>
      <c r="C22" s="17" t="n">
        <v>18341000</v>
      </c>
      <c r="D22" s="17" t="n">
        <v>20138000</v>
      </c>
      <c r="E22" s="17" t="n">
        <v>21370000</v>
      </c>
      <c r="F22" s="17" t="n">
        <v>16584000</v>
      </c>
    </row>
    <row r="23">
      <c r="A23" s="15" t="inlineStr">
        <is>
          <t>Aktiver</t>
        </is>
      </c>
      <c r="B23" s="17" t="n">
        <v>43655000</v>
      </c>
      <c r="C23" s="17" t="n">
        <v>47005000</v>
      </c>
      <c r="D23" s="17" t="n">
        <v>47693000</v>
      </c>
      <c r="E23" s="17" t="n">
        <v>50641000</v>
      </c>
      <c r="F23" s="17" t="n">
        <v>45601000</v>
      </c>
    </row>
    <row r="24">
      <c r="A24" s="15" t="inlineStr">
        <is>
          <t>Egenkapital i alt</t>
        </is>
      </c>
      <c r="B24" s="17" t="n">
        <v>7583000</v>
      </c>
      <c r="C24" s="17" t="n">
        <v>10156000</v>
      </c>
      <c r="D24" s="17" t="n">
        <v>9893000</v>
      </c>
      <c r="E24" s="17" t="n">
        <v>11143000</v>
      </c>
      <c r="F24" s="17" t="n">
        <v>9776000</v>
      </c>
    </row>
    <row r="25">
      <c r="A25" s="16" t="inlineStr">
        <is>
          <t>Hensættelse til udskudt skat</t>
        </is>
      </c>
      <c r="B25" s="17" t="n">
        <v>976000</v>
      </c>
      <c r="C25" s="17" t="n">
        <v>1178000</v>
      </c>
      <c r="D25" s="17" t="n">
        <v>1320000</v>
      </c>
      <c r="E25" s="17" t="n">
        <v>1156000</v>
      </c>
      <c r="F25" s="17" t="n">
        <v>1143000</v>
      </c>
    </row>
    <row r="26">
      <c r="A26" s="15" t="inlineStr">
        <is>
          <t>Hensatte forpligtelser</t>
        </is>
      </c>
      <c r="B26" s="17" t="n">
        <v>1351000</v>
      </c>
      <c r="C26" s="17" t="n">
        <v>1185000</v>
      </c>
      <c r="D26" s="17" t="n">
        <v>1135000</v>
      </c>
      <c r="E26" s="17" t="n">
        <v>1316000</v>
      </c>
      <c r="F26" s="17" t="n">
        <v>1104000</v>
      </c>
    </row>
    <row r="27">
      <c r="A27" s="15" t="inlineStr">
        <is>
          <t>Langfristede gældsforpligtelser</t>
        </is>
      </c>
      <c r="B27" s="17" t="n">
        <v>16094000</v>
      </c>
      <c r="C27" s="17" t="n">
        <v>15945000</v>
      </c>
      <c r="D27" s="17" t="n">
        <v>13427000</v>
      </c>
      <c r="E27" s="17" t="n">
        <v>13584000</v>
      </c>
      <c r="F27" s="17" t="n">
        <v>9762000</v>
      </c>
    </row>
    <row r="28">
      <c r="A28" s="16" t="inlineStr">
        <is>
          <t>Ansvarlig lånekapital (kortfristet)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Kortfristet del af langfristede gældsforpligtelser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Kreditinstitutter</t>
        </is>
      </c>
      <c r="B30" s="17" t="n">
        <v>888000</v>
      </c>
      <c r="C30" s="17" t="n">
        <v>963000</v>
      </c>
      <c r="D30" s="17" t="n">
        <v>3292000</v>
      </c>
      <c r="E30" s="17" t="n">
        <v>4757000</v>
      </c>
      <c r="F30" s="17" t="n">
        <v>5315000</v>
      </c>
    </row>
    <row r="31">
      <c r="A31" s="16" t="inlineStr">
        <is>
          <t>Leasingforpligtelser (kortfristet)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Leverandører af varer og tjenesteydelser</t>
        </is>
      </c>
      <c r="B32" s="17" t="n">
        <v>5657000</v>
      </c>
      <c r="C32" s="17" t="n">
        <v>6952000</v>
      </c>
      <c r="D32" s="17" t="n">
        <v>7259000</v>
      </c>
      <c r="E32" s="17" t="n">
        <v>7387000</v>
      </c>
      <c r="F32" s="17" t="n">
        <v>6955000</v>
      </c>
    </row>
    <row r="33">
      <c r="A33" s="16" t="inlineStr">
        <is>
          <t>Gæld til tilknyttede virksomheder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Gæld til selskabsdeltagere og ledelse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Selskabsskat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Gæld til tilknyttede virksomheder vedr. selskabsskat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(kortfristet)</t>
        </is>
      </c>
      <c r="B37" s="17" t="n">
        <v>8730000</v>
      </c>
      <c r="C37" s="17" t="n">
        <v>8714000</v>
      </c>
      <c r="D37" s="17" t="n">
        <v>8482000</v>
      </c>
      <c r="E37" s="17" t="n">
        <v>9505000</v>
      </c>
      <c r="F37" s="17" t="n">
        <v>9735000</v>
      </c>
    </row>
    <row r="38">
      <c r="A38" s="16" t="inlineStr">
        <is>
          <t>Periodeafgrænsningsposter (passiver)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Kortfristede gældsforpligtelser</t>
        </is>
      </c>
      <c r="B39" s="17" t="n">
        <v>16690000</v>
      </c>
      <c r="C39" s="17" t="n">
        <v>17417000</v>
      </c>
      <c r="D39" s="17" t="n">
        <v>20902000</v>
      </c>
      <c r="E39" s="17" t="n">
        <v>22300000</v>
      </c>
      <c r="F39" s="17" t="n">
        <v>22741000</v>
      </c>
    </row>
    <row r="40">
      <c r="A40" s="15" t="inlineStr">
        <is>
          <t>Gældsforpligtelser</t>
        </is>
      </c>
      <c r="B40" s="17" t="n">
        <v>35866000</v>
      </c>
      <c r="C40" s="17" t="n">
        <v>36190000</v>
      </c>
      <c r="D40" s="17" t="n">
        <v>37171000</v>
      </c>
      <c r="E40" s="17" t="n">
        <v>38728000</v>
      </c>
      <c r="F40" s="17" t="n">
        <v>35061000</v>
      </c>
    </row>
    <row r="41">
      <c r="A41" s="15" t="inlineStr">
        <is>
          <t>Passiver</t>
        </is>
      </c>
      <c r="B41" s="17" t="n">
        <v>43655000</v>
      </c>
      <c r="C41" s="17" t="n">
        <v>47005000</v>
      </c>
      <c r="D41" s="17" t="n">
        <v>47693000</v>
      </c>
      <c r="E41" s="17" t="n">
        <v>50641000</v>
      </c>
      <c r="F41" s="17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3221000</v>
      </c>
      <c r="C2" s="17" t="n">
        <v>3333000</v>
      </c>
      <c r="D2" s="17" t="n">
        <v>3392000</v>
      </c>
      <c r="E2" s="17" t="n">
        <v>3727000</v>
      </c>
      <c r="F2" s="17" t="n">
        <v>3989000</v>
      </c>
    </row>
    <row r="3">
      <c r="A3" s="16" t="inlineStr">
        <is>
          <t>Pengestrømme fra investeringsaktivitet</t>
        </is>
      </c>
      <c r="B3" s="17" t="n">
        <v>73000</v>
      </c>
      <c r="C3" s="17" t="n">
        <v>-546000</v>
      </c>
      <c r="D3" s="17" t="n">
        <v>-1042000</v>
      </c>
      <c r="E3" s="17" t="n">
        <v>-1536000</v>
      </c>
      <c r="F3" s="17" t="n">
        <v>-1184000</v>
      </c>
    </row>
    <row r="4">
      <c r="A4" s="16" t="inlineStr">
        <is>
          <t>Pengestrømme fra finansieringsaktivitet</t>
        </is>
      </c>
      <c r="B4" s="17" t="n">
        <v>-2832000</v>
      </c>
      <c r="C4" s="17" t="n">
        <v>-930000</v>
      </c>
      <c r="D4" s="17" t="n">
        <v>-1334000</v>
      </c>
      <c r="E4" s="17" t="n">
        <v>-1405000</v>
      </c>
      <c r="F4" s="17" t="n">
        <v>-7638000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iss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iss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2026-09-13T19:39:36Z</dcterms:created>
  <dcterms:modified xmlns:dcterms="http://purl.org/dc/terms/" xmlns:xsi="http://www.w3.org/2001/XMLSchema-instance" xsi:type="dcterms:W3CDTF">2026-09-13T19:39:37Z</dcterms:modified>
</cp:coreProperties>
</file>