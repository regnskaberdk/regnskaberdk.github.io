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TN Udvikling A/S (CVR 35478205)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'balance_raw_35478205'!$B$36</f>
        <v/>
      </c>
      <c r="C59" s="11">
        <f>'balance_raw_35478205'!$C$36</f>
        <v/>
      </c>
      <c r="D59" s="11">
        <f>'balance_raw_35478205'!$D$36</f>
        <v/>
      </c>
      <c r="E59" s="11">
        <f>'balance_raw_35478205'!$E$36</f>
        <v/>
      </c>
      <c r="F59" s="11">
        <f>'balance_raw_35478205'!$F$36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'balance_raw_35478205'!$B$40</f>
        <v/>
      </c>
      <c r="C63" s="8">
        <f>'balance_raw_35478205'!$C$40</f>
        <v/>
      </c>
      <c r="D63" s="8">
        <f>'balance_raw_35478205'!$D$40</f>
        <v/>
      </c>
      <c r="E63" s="8">
        <f>'balance_raw_35478205'!$E$40</f>
        <v/>
      </c>
      <c r="F63" s="8">
        <f>'balance_raw_35478205'!$F$40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'balance_raw_35478205'!$B$48</f>
        <v/>
      </c>
      <c r="C71" s="11">
        <f>'balance_raw_35478205'!$C$48</f>
        <v/>
      </c>
      <c r="D71" s="11">
        <f>'balance_raw_35478205'!$D$48</f>
        <v/>
      </c>
      <c r="E71" s="11">
        <f>'balance_raw_35478205'!$E$48</f>
        <v/>
      </c>
      <c r="F71" s="11">
        <f>'balance_raw_35478205'!$F$48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'balance_raw_35478205'!$B$49</f>
        <v/>
      </c>
      <c r="C72" s="11">
        <f>'balance_raw_35478205'!$C$49</f>
        <v/>
      </c>
      <c r="D72" s="11">
        <f>'balance_raw_35478205'!$D$49</f>
        <v/>
      </c>
      <c r="E72" s="11">
        <f>'balance_raw_35478205'!$E$49</f>
        <v/>
      </c>
      <c r="F72" s="11">
        <f>'balance_raw_35478205'!$F$49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'balance_raw_35478205'!$B$50</f>
        <v/>
      </c>
      <c r="C73" s="11">
        <f>'balance_raw_35478205'!$C$50</f>
        <v/>
      </c>
      <c r="D73" s="11">
        <f>'balance_raw_35478205'!$D$50</f>
        <v/>
      </c>
      <c r="E73" s="11">
        <f>'balance_raw_35478205'!$E$50</f>
        <v/>
      </c>
      <c r="F73" s="11">
        <f>'balance_raw_35478205'!$F$50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'res_raw_35478205'!$B$19</f>
        <v/>
      </c>
      <c r="C76" s="5">
        <f>'res_raw_35478205'!$C$19</f>
        <v/>
      </c>
      <c r="D76" s="5">
        <f>'res_raw_35478205'!$D$19</f>
        <v/>
      </c>
      <c r="E76" s="5">
        <f>'res_raw_35478205'!$E$19</f>
        <v/>
      </c>
      <c r="F76" s="5">
        <f>'res_raw_35478205'!$F$19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'res_raw_35478205'!$B$20</f>
        <v/>
      </c>
      <c r="C77" s="8">
        <f>'res_raw_35478205'!$C$20</f>
        <v/>
      </c>
      <c r="D77" s="8">
        <f>'res_raw_35478205'!$D$20</f>
        <v/>
      </c>
      <c r="E77" s="8">
        <f>'res_raw_35478205'!$E$20</f>
        <v/>
      </c>
      <c r="F77" s="8">
        <f>'res_raw_35478205'!$F$20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IFERROR($B$8/$B$48,"")</f>
        <v/>
      </c>
      <c r="C82" s="13">
        <f>IFERROR($C$8/$C$48,"")</f>
        <v/>
      </c>
      <c r="D82" s="13">
        <f>IFERROR($D$8/$D$48,"")</f>
        <v/>
      </c>
      <c r="E82" s="13">
        <f>IFERROR($E$8/$E$48,"")</f>
        <v/>
      </c>
      <c r="F82" s="13">
        <f>IFERROR($F$8/$F$48,"")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IFERROR($B$32/($B$57+$B$59)*100,"")</f>
        <v/>
      </c>
      <c r="C90" s="13">
        <f>IFERROR($C$32/($C$57+$C$59)*100,"")</f>
        <v/>
      </c>
      <c r="D90" s="13">
        <f>IFERROR($D$32/($D$57+$D$59)*100,"")</f>
        <v/>
      </c>
      <c r="E90" s="13">
        <f>IFERROR($E$32/($E$57+$E$59)*100,"")</f>
        <v/>
      </c>
      <c r="F90" s="13">
        <f>IFERROR($F$32/($F$57+$F$59)*100,"")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7432</v>
      </c>
      <c r="C6" s="16" t="n">
        <v>-1808</v>
      </c>
      <c r="D6" s="16" t="n">
        <v>-1635</v>
      </c>
      <c r="E6" s="16" t="n">
        <v>2980</v>
      </c>
      <c r="F6" s="16" t="n">
        <v>-2748</v>
      </c>
    </row>
    <row r="7">
      <c r="A7" s="15" t="inlineStr">
        <is>
          <t>Personaleomkostninger</t>
        </is>
      </c>
      <c r="B7" s="16" t="n">
        <v>3090</v>
      </c>
      <c r="C7" s="16" t="n">
        <v>2923</v>
      </c>
      <c r="D7" s="16" t="n">
        <v>3042</v>
      </c>
      <c r="E7" s="16" t="n">
        <v>3374</v>
      </c>
      <c r="F7" s="16" t="n">
        <v>4017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63</v>
      </c>
      <c r="C9" s="16" t="n">
        <v>50</v>
      </c>
      <c r="D9" s="16" t="n">
        <v>66</v>
      </c>
      <c r="E9" s="16" t="n">
        <v>52</v>
      </c>
      <c r="F9" s="16" t="n">
        <v>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4279</v>
      </c>
      <c r="C11" s="16" t="n">
        <v>-4782</v>
      </c>
      <c r="D11" s="16" t="n">
        <v>-4743</v>
      </c>
      <c r="E11" s="16" t="n">
        <v>-446</v>
      </c>
      <c r="F11" s="16" t="n">
        <v>-6831</v>
      </c>
    </row>
    <row r="12">
      <c r="A12" s="15" t="inlineStr">
        <is>
          <t>Indtægter af kapitalandele, dattervirksomheder</t>
        </is>
      </c>
      <c r="B12" s="16" t="n">
        <v>110</v>
      </c>
      <c r="C12" s="16" t="n">
        <v>8369</v>
      </c>
      <c r="D12" s="16" t="n">
        <v>5900</v>
      </c>
      <c r="E12" s="16" t="n">
        <v>377</v>
      </c>
      <c r="F12" s="16" t="n">
        <v>-1834</v>
      </c>
    </row>
    <row r="13">
      <c r="A13" s="15" t="inlineStr">
        <is>
          <t>Finansielle indtægter</t>
        </is>
      </c>
      <c r="B13" s="16" t="n">
        <v>58</v>
      </c>
      <c r="C13" s="16" t="n">
        <v>130</v>
      </c>
      <c r="D13" s="16" t="n">
        <v>160</v>
      </c>
      <c r="E13" s="16" t="n">
        <v>2032</v>
      </c>
      <c r="F13" s="16" t="n">
        <v>408</v>
      </c>
    </row>
    <row r="14">
      <c r="A14" s="15" t="inlineStr">
        <is>
          <t>Finansielle omkostninger</t>
        </is>
      </c>
      <c r="B14" s="16" t="n">
        <v>110</v>
      </c>
      <c r="C14" s="16" t="n">
        <v>53</v>
      </c>
      <c r="D14" s="16" t="n">
        <v>281</v>
      </c>
      <c r="E14" s="16" t="n">
        <v>986</v>
      </c>
      <c r="F14" s="16" t="n">
        <v>670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</v>
      </c>
      <c r="C16" s="16" t="n">
        <v>3595</v>
      </c>
      <c r="D16" s="16" t="n">
        <v>1101</v>
      </c>
      <c r="E16" s="16" t="n">
        <v>998</v>
      </c>
      <c r="F16" s="16" t="n">
        <v>-10289</v>
      </c>
    </row>
    <row r="17">
      <c r="A17" s="15" t="inlineStr">
        <is>
          <t>Skat af årets resultat</t>
        </is>
      </c>
      <c r="B17" s="16" t="n">
        <v>941</v>
      </c>
      <c r="C17" s="16" t="n">
        <v>534</v>
      </c>
      <c r="D17" s="16" t="n">
        <v>-2947</v>
      </c>
      <c r="E17" s="16" t="n">
        <v>-488</v>
      </c>
      <c r="F17" s="16" t="n">
        <v>-839</v>
      </c>
    </row>
    <row r="18">
      <c r="A18" s="17" t="inlineStr">
        <is>
          <t>Årets resultat</t>
        </is>
      </c>
      <c r="B18" s="16" t="n">
        <v>3862</v>
      </c>
      <c r="C18" s="16" t="n">
        <v>3061</v>
      </c>
      <c r="D18" s="16" t="n">
        <v>4049</v>
      </c>
      <c r="E18" s="16" t="n">
        <v>1486</v>
      </c>
      <c r="F18" s="16" t="n">
        <v>-9450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</v>
      </c>
      <c r="C4" s="16" t="n">
        <v>239</v>
      </c>
      <c r="D4" s="16" t="n">
        <v>188</v>
      </c>
      <c r="E4" s="16" t="n">
        <v>151</v>
      </c>
      <c r="F4" s="16" t="n">
        <v>539</v>
      </c>
    </row>
    <row r="5">
      <c r="A5" s="15" t="inlineStr">
        <is>
          <t>Indretning af lejede lokaler</t>
        </is>
      </c>
      <c r="B5" s="16" t="n">
        <v>71</v>
      </c>
      <c r="C5" s="16" t="n">
        <v>56</v>
      </c>
      <c r="D5" s="16" t="n">
        <v>41</v>
      </c>
      <c r="E5" s="16" t="n">
        <v>26</v>
      </c>
      <c r="F5" s="16" t="n">
        <v>11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185</v>
      </c>
      <c r="C7" s="16" t="n">
        <v>294</v>
      </c>
      <c r="D7" s="16" t="n">
        <v>229</v>
      </c>
      <c r="E7" s="16" t="n">
        <v>176</v>
      </c>
      <c r="F7" s="16" t="n">
        <v>550</v>
      </c>
    </row>
    <row r="8">
      <c r="A8" s="15" t="inlineStr">
        <is>
          <t>Kapitalandele, dattervirksomheder</t>
        </is>
      </c>
      <c r="B8" s="16" t="n">
        <v>3128</v>
      </c>
      <c r="C8" s="16" t="n">
        <v>2640</v>
      </c>
      <c r="D8" s="16" t="n">
        <v>7745</v>
      </c>
      <c r="E8" s="16" t="n">
        <v>12703</v>
      </c>
      <c r="F8" s="16" t="n">
        <v>9485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0</v>
      </c>
      <c r="E9" s="16" t="n">
        <v>3436</v>
      </c>
      <c r="F9" s="16" t="n">
        <v>0</v>
      </c>
    </row>
    <row r="10">
      <c r="A10" s="17" t="inlineStr">
        <is>
          <t>Finansielle anlægsaktiver</t>
        </is>
      </c>
      <c r="B10" s="16" t="n">
        <v>7286</v>
      </c>
      <c r="C10" s="16" t="n">
        <v>12478</v>
      </c>
      <c r="D10" s="16" t="n">
        <v>20879</v>
      </c>
      <c r="E10" s="16" t="n">
        <v>26223</v>
      </c>
      <c r="F10" s="16" t="n">
        <v>14079</v>
      </c>
    </row>
    <row r="11">
      <c r="A11" s="17" t="inlineStr">
        <is>
          <t>Anlægsaktiver</t>
        </is>
      </c>
      <c r="B11" s="16" t="n">
        <v>7471</v>
      </c>
      <c r="C11" s="16" t="n">
        <v>12773</v>
      </c>
      <c r="D11" s="16" t="n">
        <v>21108</v>
      </c>
      <c r="E11" s="16" t="n">
        <v>26400</v>
      </c>
      <c r="F11" s="16" t="n">
        <v>14629</v>
      </c>
    </row>
    <row r="12">
      <c r="A12" s="15" t="inlineStr">
        <is>
          <t>Råvarer og hjælpematerialer</t>
        </is>
      </c>
      <c r="B12" s="16" t="n">
        <v>248</v>
      </c>
      <c r="C12" s="16" t="n">
        <v>116</v>
      </c>
      <c r="D12" s="16" t="n">
        <v>520</v>
      </c>
      <c r="E12" s="16" t="n">
        <v>400</v>
      </c>
      <c r="F12" s="16" t="n">
        <v>1973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248</v>
      </c>
      <c r="C15" s="16" t="n">
        <v>116</v>
      </c>
      <c r="D15" s="16" t="n">
        <v>520</v>
      </c>
      <c r="E15" s="16" t="n">
        <v>400</v>
      </c>
      <c r="F15" s="16" t="n">
        <v>1973</v>
      </c>
    </row>
    <row r="16">
      <c r="A16" s="15" t="inlineStr">
        <is>
          <t>Tilgodehavender fra salg og tjenesteydelser</t>
        </is>
      </c>
      <c r="B16" s="16" t="n"/>
      <c r="C16" s="16" t="n">
        <v>1633</v>
      </c>
      <c r="D16" s="16" t="n">
        <v>14</v>
      </c>
      <c r="E16" s="16" t="n">
        <v>5063</v>
      </c>
      <c r="F16" s="16" t="n">
        <v>0</v>
      </c>
    </row>
    <row r="17">
      <c r="A17" s="15" t="inlineStr">
        <is>
          <t>Tilgodehavender hos tilknyttede virksomheder</t>
        </is>
      </c>
      <c r="B17" s="16" t="n">
        <v>438</v>
      </c>
      <c r="C17" s="16" t="n">
        <v>459</v>
      </c>
      <c r="D17" s="16" t="n">
        <v>7108</v>
      </c>
      <c r="E17" s="16" t="n">
        <v>7386</v>
      </c>
      <c r="F17" s="16" t="n">
        <v>9765</v>
      </c>
    </row>
    <row r="18">
      <c r="A18" s="15" t="inlineStr">
        <is>
          <t>Andre tilgodehavender</t>
        </is>
      </c>
      <c r="B18" s="16" t="n">
        <v>14233</v>
      </c>
      <c r="C18" s="16" t="n">
        <v>3262</v>
      </c>
      <c r="D18" s="16" t="n">
        <v>3373</v>
      </c>
      <c r="E18" s="16" t="n">
        <v>8115</v>
      </c>
      <c r="F18" s="16" t="n">
        <v>4723</v>
      </c>
    </row>
    <row r="19">
      <c r="A19" s="15" t="inlineStr">
        <is>
          <t>Periodeafgrænsningsposter (aktiver)</t>
        </is>
      </c>
      <c r="B19" s="16" t="n">
        <v>89</v>
      </c>
      <c r="C19" s="16" t="n">
        <v>226</v>
      </c>
      <c r="D19" s="16" t="n">
        <v>1113</v>
      </c>
      <c r="E19" s="16" t="n">
        <v>141</v>
      </c>
      <c r="F19" s="16" t="n">
        <v>207</v>
      </c>
    </row>
    <row r="20">
      <c r="A20" s="15" t="inlineStr">
        <is>
          <t>Udskudt skatteaktiv</t>
        </is>
      </c>
      <c r="B20" s="16" t="n">
        <v>534</v>
      </c>
      <c r="C20" s="16" t="n">
        <v>0</v>
      </c>
      <c r="D20" s="16" t="n">
        <v>2814</v>
      </c>
      <c r="E20" s="16" t="n">
        <v>2778</v>
      </c>
      <c r="F20" s="16" t="n">
        <v>3616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15893</v>
      </c>
      <c r="C23" s="16" t="n">
        <v>18257</v>
      </c>
      <c r="D23" s="16" t="n">
        <v>14422</v>
      </c>
      <c r="E23" s="16" t="n">
        <v>23482</v>
      </c>
      <c r="F23" s="16" t="n">
        <v>24968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5997</v>
      </c>
      <c r="C25" s="16" t="n">
        <v>301</v>
      </c>
      <c r="D25" s="16" t="n">
        <v>224</v>
      </c>
      <c r="E25" s="16" t="n">
        <v>146</v>
      </c>
      <c r="F25" s="16" t="n">
        <v>176</v>
      </c>
    </row>
    <row r="26">
      <c r="A26" s="17" t="inlineStr">
        <is>
          <t>Omsætningsaktiver</t>
        </is>
      </c>
      <c r="B26" s="16" t="n">
        <v>22139</v>
      </c>
      <c r="C26" s="16" t="n">
        <v>18674</v>
      </c>
      <c r="D26" s="16" t="n">
        <v>15166</v>
      </c>
      <c r="E26" s="16" t="n">
        <v>24028</v>
      </c>
      <c r="F26" s="16" t="n">
        <v>27117</v>
      </c>
    </row>
    <row r="27">
      <c r="A27" s="17" t="inlineStr">
        <is>
          <t>Aktiver</t>
        </is>
      </c>
      <c r="B27" s="16" t="n">
        <v>29609</v>
      </c>
      <c r="C27" s="16" t="n">
        <v>31447</v>
      </c>
      <c r="D27" s="16" t="n">
        <v>36273</v>
      </c>
      <c r="E27" s="16" t="n">
        <v>50428</v>
      </c>
      <c r="F27" s="16" t="n">
        <v>41746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3190</v>
      </c>
      <c r="C29" s="16" t="n">
        <v>8381</v>
      </c>
      <c r="D29" s="16" t="n">
        <v>8381</v>
      </c>
      <c r="E29" s="16" t="n">
        <v>11068</v>
      </c>
      <c r="F29" s="16" t="n">
        <v>3393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23474</v>
      </c>
      <c r="C33" s="16" t="n">
        <v>21344</v>
      </c>
      <c r="D33" s="16" t="n">
        <v>11392</v>
      </c>
      <c r="E33" s="16" t="n">
        <v>10192</v>
      </c>
      <c r="F33" s="16" t="n">
        <v>8417</v>
      </c>
    </row>
    <row r="34">
      <c r="A34" s="17" t="inlineStr">
        <is>
          <t>Egenkapital i alt</t>
        </is>
      </c>
      <c r="B34" s="16" t="n">
        <v>28165</v>
      </c>
      <c r="C34" s="16" t="n">
        <v>30225</v>
      </c>
      <c r="D34" s="16" t="n">
        <v>20774</v>
      </c>
      <c r="E34" s="16" t="n">
        <v>22260</v>
      </c>
      <c r="F34" s="16" t="n">
        <v>12810</v>
      </c>
    </row>
    <row r="35">
      <c r="A35" s="17" t="inlineStr">
        <is>
          <t>Hensatte forpligtelser</t>
        </is>
      </c>
      <c r="B35" s="16" t="n"/>
      <c r="C35" s="16" t="n">
        <v>325</v>
      </c>
      <c r="D35" s="16" t="n">
        <v>250</v>
      </c>
      <c r="E35" s="16" t="n">
        <v>250</v>
      </c>
      <c r="F35" s="16" t="n">
        <v>0</v>
      </c>
    </row>
    <row r="36">
      <c r="A36" s="17" t="inlineStr">
        <is>
          <t>Langfristede gældsforpligtelser</t>
        </is>
      </c>
      <c r="B36" s="16" t="n">
        <v>0</v>
      </c>
      <c r="C36" s="16" t="n">
        <v>0</v>
      </c>
      <c r="D36" s="16" t="n">
        <v>7030</v>
      </c>
      <c r="E36" s="16" t="n">
        <v>0</v>
      </c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>
        <v>3</v>
      </c>
      <c r="C39" s="16" t="n">
        <v>8</v>
      </c>
      <c r="D39" s="16" t="n">
        <v>40</v>
      </c>
      <c r="E39" s="16" t="n">
        <v>79</v>
      </c>
      <c r="F39" s="16" t="n">
        <v>17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1068</v>
      </c>
      <c r="C41" s="16" t="n">
        <v>290</v>
      </c>
      <c r="D41" s="16" t="n">
        <v>366</v>
      </c>
      <c r="E41" s="16" t="n">
        <v>298</v>
      </c>
      <c r="F41" s="16" t="n">
        <v>121</v>
      </c>
    </row>
    <row r="42">
      <c r="A42" s="15" t="inlineStr">
        <is>
          <t>Gæld til tilknyttede virksomheder</t>
        </is>
      </c>
      <c r="B42" s="16" t="n">
        <v>1</v>
      </c>
      <c r="C42" s="16" t="n">
        <v>500</v>
      </c>
      <c r="D42" s="16" t="n">
        <v>7650</v>
      </c>
      <c r="E42" s="16" t="n">
        <v>14450</v>
      </c>
      <c r="F42" s="16" t="n">
        <v>28506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373</v>
      </c>
      <c r="C46" s="16" t="n">
        <v>99</v>
      </c>
      <c r="D46" s="16" t="n">
        <v>163</v>
      </c>
      <c r="E46" s="16" t="n">
        <v>13092</v>
      </c>
      <c r="F46" s="16" t="n">
        <v>291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1445</v>
      </c>
      <c r="C48" s="16" t="n">
        <v>897</v>
      </c>
      <c r="D48" s="16" t="n">
        <v>8219</v>
      </c>
      <c r="E48" s="16" t="n">
        <v>27918</v>
      </c>
      <c r="F48" s="16" t="n">
        <v>28937</v>
      </c>
    </row>
    <row r="49">
      <c r="A49" s="17" t="inlineStr">
        <is>
          <t>Gældsforpligtelser</t>
        </is>
      </c>
      <c r="B49" s="16" t="n">
        <v>1445</v>
      </c>
      <c r="C49" s="16" t="n">
        <v>897</v>
      </c>
      <c r="D49" s="16" t="n">
        <v>15250</v>
      </c>
      <c r="E49" s="16" t="n">
        <v>27918</v>
      </c>
      <c r="F49" s="16" t="n">
        <v>28937</v>
      </c>
    </row>
    <row r="50">
      <c r="A50" s="17" t="inlineStr">
        <is>
          <t>Passiver</t>
        </is>
      </c>
      <c r="B50" s="16" t="n">
        <v>29609</v>
      </c>
      <c r="C50" s="16" t="n">
        <v>31447</v>
      </c>
      <c r="D50" s="16" t="n">
        <v>36273</v>
      </c>
      <c r="E50" s="16" t="n">
        <v>50428</v>
      </c>
      <c r="F50" s="16" t="n">
        <v>41746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TN Udvikling A/S (CVR 35478205) — Regnskabs- og nøgletal (CVR: 35478205)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IF(ABS((SUM(B5:B8))-'res_raw_35478205'!$F$6)&lt;=2,SUM(B5:B8),'res_raw_35478205'!$F$6)</f>
        <v/>
      </c>
      <c r="C9" s="27">
        <f>IF(ABS((SUM(C5:C8))-'res_raw_35478205'!$E$6)&lt;=2,SUM(C5:C8),'res_raw_35478205'!$E$6)</f>
        <v/>
      </c>
      <c r="D9" s="27">
        <f>IF(ABS((SUM(D5:D8))-'res_raw_35478205'!$D$6)&lt;=2,SUM(D5:D8),'res_raw_35478205'!$D$6)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IF(ABS((SUM(B9:B12))-'res_raw_35478205'!$F$11)&lt;=2,SUM(B9:B12),'res_raw_35478205'!$F$11)</f>
        <v/>
      </c>
      <c r="C13" s="27">
        <f>IF(ABS((SUM(C9:C12))-'res_raw_35478205'!$E$11)&lt;=2,SUM(C9:C12),'res_raw_35478205'!$E$11)</f>
        <v/>
      </c>
      <c r="D13" s="27">
        <f>IF(ABS((SUM(D9:D12))-'res_raw_35478205'!$D$11)&lt;=2,SUM(D9:D12),'res_raw_35478205'!$D$11)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IF(ABS((SUM(B13:B15))-'res_raw_35478205'!$F$16)&lt;=2,SUM(B13:B15),'res_raw_35478205'!$F$16)</f>
        <v/>
      </c>
      <c r="C16" s="27">
        <f>IF(ABS((SUM(C13:C15))-'res_raw_35478205'!$E$16)&lt;=2,SUM(C13:C15),'res_raw_35478205'!$E$16)</f>
        <v/>
      </c>
      <c r="D16" s="27">
        <f>IF(ABS((SUM(D13:D15))-'res_raw_35478205'!$D$16)&lt;=2,SUM(D13:D15),'res_raw_35478205'!$D$16)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'balance_raw_35478205'!$F$50-'balance_raw_35478205'!$F$34</f>
        <v/>
      </c>
      <c r="C24" s="24">
        <f>'balance_raw_35478205'!$E$50-'balance_raw_35478205'!$E$34</f>
        <v/>
      </c>
      <c r="D24" s="24">
        <f>'balance_raw_35478205'!$D$50-'balance_raw_35478205'!$D$34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'balance_raw_35478205'!$F$48</f>
        <v/>
      </c>
      <c r="C30" s="24">
        <f>'balance_raw_35478205'!$E$48</f>
        <v/>
      </c>
      <c r="D30" s="24">
        <f>'balance_raw_35478205'!$D$48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IF('balance_raw_35478205'!$F$50="","—",IF(ABS(B25-'balance_raw_35478205'!$F$50)&lt;=1,"✓ OK","❌ "&amp;TEXT(B25-'balance_raw_35478205'!$F$50,"+#,##0;-#,##0")&amp;" t.kr."))</f>
        <v/>
      </c>
      <c r="C62" s="29">
        <f>IF('balance_raw_35478205'!$E$50="","—",IF(ABS(C25-'balance_raw_35478205'!$E$50)&lt;=1,"✓ OK","❌ "&amp;TEXT(C25-'balance_raw_35478205'!$E$50,"+#,##0;-#,##0")&amp;" t.kr."))</f>
        <v/>
      </c>
      <c r="D62" s="29">
        <f>IF('balance_raw_35478205'!$D$50="","—",IF(ABS(D25-'balance_raw_35478205'!$D$50)&lt;=1,"✓ OK","❌ "&amp;TEXT(D25-'balance_raw_35478205'!$D$50,"+#,##0;-#,##0")&amp;"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TN Udvikling A/S (CVR 35478205)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0</v>
      </c>
      <c r="E3" s="35" t="n"/>
      <c r="F3" s="35" t="n"/>
      <c r="G3" s="35" t="n"/>
      <c r="H3" s="35" t="n">
        <v>170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2026-09-29T14:47:01Z</dcterms:created>
  <dcterms:modified xmlns:dcterms="http://purl.org/dc/terms/" xmlns:xsi="http://www.w3.org/2001/XMLSchema-instance" xsi:type="dcterms:W3CDTF">2026-09-29T14:47:01Z</dcterms:modified>
</cp:coreProperties>
</file>