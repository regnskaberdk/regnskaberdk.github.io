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527990" sheetId="1" state="visible" r:id="rId1"/>
    <sheet xmlns:r="http://schemas.openxmlformats.org/officeDocument/2006/relationships" name="res_raw_35527990" sheetId="2" state="visible" r:id="rId2"/>
    <sheet xmlns:r="http://schemas.openxmlformats.org/officeDocument/2006/relationships" name="balance_raw_35527990" sheetId="3" state="visible" r:id="rId3"/>
    <sheet xmlns:r="http://schemas.openxmlformats.org/officeDocument/2006/relationships" name="pengestrom_raw_35527990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Joe &amp; The Juice Holding A/S (CVR 35527990)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'res_raw_35527990'!$B$2</f>
        <v/>
      </c>
      <c r="C4" s="5">
        <f>'res_raw_35527990'!$C$2</f>
        <v/>
      </c>
      <c r="D4" s="5">
        <f>'res_raw_35527990'!$D$2</f>
        <v/>
      </c>
      <c r="E4" s="5">
        <f>'res_raw_35527990'!$E$2</f>
        <v/>
      </c>
      <c r="F4" s="5">
        <f>'res_raw_35527990'!$F$2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'res_raw_35527990'!$B$3</f>
        <v/>
      </c>
      <c r="C5" s="8">
        <f>'res_raw_35527990'!$C$3</f>
        <v/>
      </c>
      <c r="D5" s="8">
        <f>'res_raw_35527990'!$D$3</f>
        <v/>
      </c>
      <c r="E5" s="8">
        <f>'res_raw_35527990'!$E$3</f>
        <v/>
      </c>
      <c r="F5" s="8">
        <f>'res_raw_35527990'!$F$3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'res_raw_35527990'!$B$4</f>
        <v/>
      </c>
      <c r="C6" s="5">
        <f>'res_raw_35527990'!$C$4</f>
        <v/>
      </c>
      <c r="D6" s="5">
        <f>'res_raw_35527990'!$D$4</f>
        <v/>
      </c>
      <c r="E6" s="5">
        <f>'res_raw_35527990'!$E$4</f>
        <v/>
      </c>
      <c r="F6" s="5">
        <f>'res_raw_35527990'!$F$4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'res_raw_35527990'!$B$5</f>
        <v/>
      </c>
      <c r="C7" s="8">
        <f>'res_raw_35527990'!$C$5</f>
        <v/>
      </c>
      <c r="D7" s="8">
        <f>'res_raw_35527990'!$D$5</f>
        <v/>
      </c>
      <c r="E7" s="8">
        <f>'res_raw_35527990'!$E$5</f>
        <v/>
      </c>
      <c r="F7" s="8">
        <f>'res_raw_35527990'!$F$5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'res_raw_35527990'!$B$6</f>
        <v/>
      </c>
      <c r="C8" s="11">
        <f>'res_raw_35527990'!$C$6</f>
        <v/>
      </c>
      <c r="D8" s="11">
        <f>'res_raw_35527990'!$D$6</f>
        <v/>
      </c>
      <c r="E8" s="11">
        <f>'res_raw_35527990'!$E$6</f>
        <v/>
      </c>
      <c r="F8" s="11">
        <f>'res_raw_35527990'!$F$6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'res_raw_35527990'!$B$7</f>
        <v/>
      </c>
      <c r="C9" s="8">
        <f>'res_raw_35527990'!$C$7</f>
        <v/>
      </c>
      <c r="D9" s="8">
        <f>'res_raw_35527990'!$D$7</f>
        <v/>
      </c>
      <c r="E9" s="8">
        <f>'res_raw_35527990'!$E$7</f>
        <v/>
      </c>
      <c r="F9" s="8">
        <f>'res_raw_35527990'!$F$7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'res_raw_35527990'!$B$9</f>
        <v/>
      </c>
      <c r="C11" s="8">
        <f>'res_raw_35527990'!$C$9</f>
        <v/>
      </c>
      <c r="D11" s="8">
        <f>'res_raw_35527990'!$D$9</f>
        <v/>
      </c>
      <c r="E11" s="8">
        <f>'res_raw_35527990'!$E$9</f>
        <v/>
      </c>
      <c r="F11" s="8">
        <f>'res_raw_35527990'!$F$9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'res_raw_35527990'!$B$10</f>
        <v/>
      </c>
      <c r="C12" s="5">
        <f>'res_raw_35527990'!$C$10</f>
        <v/>
      </c>
      <c r="D12" s="5">
        <f>'res_raw_35527990'!$D$10</f>
        <v/>
      </c>
      <c r="E12" s="5">
        <f>'res_raw_35527990'!$E$10</f>
        <v/>
      </c>
      <c r="F12" s="5">
        <f>'res_raw_35527990'!$F$10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'res_raw_35527990'!$B$11</f>
        <v/>
      </c>
      <c r="C13" s="11">
        <f>'res_raw_35527990'!$C$11</f>
        <v/>
      </c>
      <c r="D13" s="11">
        <f>'res_raw_35527990'!$D$11</f>
        <v/>
      </c>
      <c r="E13" s="11">
        <f>'res_raw_35527990'!$E$11</f>
        <v/>
      </c>
      <c r="F13" s="11">
        <f>'res_raw_35527990'!$F$11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'res_raw_35527990'!$B$12</f>
        <v/>
      </c>
      <c r="C14" s="5">
        <f>'res_raw_35527990'!$C$12</f>
        <v/>
      </c>
      <c r="D14" s="5">
        <f>'res_raw_35527990'!$D$12</f>
        <v/>
      </c>
      <c r="E14" s="5">
        <f>'res_raw_35527990'!$E$12</f>
        <v/>
      </c>
      <c r="F14" s="5">
        <f>'res_raw_35527990'!$F$12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'res_raw_35527990'!$B$13</f>
        <v/>
      </c>
      <c r="C15" s="8">
        <f>'res_raw_35527990'!$C$13</f>
        <v/>
      </c>
      <c r="D15" s="8">
        <f>'res_raw_35527990'!$D$13</f>
        <v/>
      </c>
      <c r="E15" s="8">
        <f>'res_raw_35527990'!$E$13</f>
        <v/>
      </c>
      <c r="F15" s="8">
        <f>'res_raw_35527990'!$F$13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'res_raw_35527990'!$B$14</f>
        <v/>
      </c>
      <c r="C16" s="5">
        <f>'res_raw_35527990'!$C$14</f>
        <v/>
      </c>
      <c r="D16" s="5">
        <f>'res_raw_35527990'!$D$14</f>
        <v/>
      </c>
      <c r="E16" s="5">
        <f>'res_raw_35527990'!$E$14</f>
        <v/>
      </c>
      <c r="F16" s="5">
        <f>'res_raw_35527990'!$F$14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'res_raw_35527990'!$B$15</f>
        <v/>
      </c>
      <c r="C17" s="11">
        <f>'res_raw_35527990'!$C$15</f>
        <v/>
      </c>
      <c r="D17" s="11">
        <f>'res_raw_35527990'!$D$15</f>
        <v/>
      </c>
      <c r="E17" s="11">
        <f>'res_raw_35527990'!$E$15</f>
        <v/>
      </c>
      <c r="F17" s="11">
        <f>'res_raw_35527990'!$F$15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'res_raw_35527990'!$B$16</f>
        <v/>
      </c>
      <c r="C18" s="11">
        <f>'res_raw_35527990'!$C$16</f>
        <v/>
      </c>
      <c r="D18" s="11">
        <f>'res_raw_35527990'!$D$16</f>
        <v/>
      </c>
      <c r="E18" s="11">
        <f>'res_raw_35527990'!$E$16</f>
        <v/>
      </c>
      <c r="F18" s="11">
        <f>'res_raw_35527990'!$F$16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'res_raw_35527990'!$B$17</f>
        <v/>
      </c>
      <c r="C19" s="8">
        <f>'res_raw_35527990'!$C$17</f>
        <v/>
      </c>
      <c r="D19" s="8">
        <f>'res_raw_35527990'!$D$17</f>
        <v/>
      </c>
      <c r="E19" s="8">
        <f>'res_raw_35527990'!$E$17</f>
        <v/>
      </c>
      <c r="F19" s="8">
        <f>'res_raw_35527990'!$F$17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'res_raw_35527990'!$B$18</f>
        <v/>
      </c>
      <c r="C20" s="11">
        <f>'res_raw_35527990'!$C$18</f>
        <v/>
      </c>
      <c r="D20" s="11">
        <f>'res_raw_35527990'!$D$18</f>
        <v/>
      </c>
      <c r="E20" s="11">
        <f>'res_raw_35527990'!$E$18</f>
        <v/>
      </c>
      <c r="F20" s="11">
        <f>'res_raw_35527990'!$F$18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'balance_raw_35527990'!$B$2</f>
        <v/>
      </c>
      <c r="C23" s="8">
        <f>'balance_raw_35527990'!$C$2</f>
        <v/>
      </c>
      <c r="D23" s="8">
        <f>'balance_raw_35527990'!$D$2</f>
        <v/>
      </c>
      <c r="E23" s="8">
        <f>'balance_raw_35527990'!$E$2</f>
        <v/>
      </c>
      <c r="F23" s="8">
        <f>'balance_raw_35527990'!$F$2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'balance_raw_35527990'!$B$3</f>
        <v/>
      </c>
      <c r="C24" s="5">
        <f>'balance_raw_35527990'!$C$3</f>
        <v/>
      </c>
      <c r="D24" s="5">
        <f>'balance_raw_35527990'!$D$3</f>
        <v/>
      </c>
      <c r="E24" s="5">
        <f>'balance_raw_35527990'!$E$3</f>
        <v/>
      </c>
      <c r="F24" s="5">
        <f>'balance_raw_35527990'!$F$3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'balance_raw_35527990'!$B$4</f>
        <v/>
      </c>
      <c r="C25" s="8">
        <f>'balance_raw_35527990'!$C$4</f>
        <v/>
      </c>
      <c r="D25" s="8">
        <f>'balance_raw_35527990'!$D$4</f>
        <v/>
      </c>
      <c r="E25" s="8">
        <f>'balance_raw_35527990'!$E$4</f>
        <v/>
      </c>
      <c r="F25" s="8">
        <f>'balance_raw_35527990'!$F$4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'balance_raw_35527990'!$B$5</f>
        <v/>
      </c>
      <c r="C26" s="11">
        <f>'balance_raw_35527990'!$C$5</f>
        <v/>
      </c>
      <c r="D26" s="11">
        <f>'balance_raw_35527990'!$D$5</f>
        <v/>
      </c>
      <c r="E26" s="11">
        <f>'balance_raw_35527990'!$E$5</f>
        <v/>
      </c>
      <c r="F26" s="11">
        <f>'balance_raw_35527990'!$F$5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10" t="inlineStr">
        <is>
          <t>Materielle anlægsaktiver</t>
        </is>
      </c>
      <c r="B27" s="11">
        <f>'balance_raw_35527990'!$B$6</f>
        <v/>
      </c>
      <c r="C27" s="11">
        <f>'balance_raw_35527990'!$C$6</f>
        <v/>
      </c>
      <c r="D27" s="11">
        <f>'balance_raw_35527990'!$D$6</f>
        <v/>
      </c>
      <c r="E27" s="11">
        <f>'balance_raw_35527990'!$E$6</f>
        <v/>
      </c>
      <c r="F27" s="11">
        <f>'balance_raw_35527990'!$F$6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10" t="inlineStr">
        <is>
          <t>Anlægsaktiver</t>
        </is>
      </c>
      <c r="B28" s="11">
        <f>'balance_raw_35527990'!$B$7</f>
        <v/>
      </c>
      <c r="C28" s="11">
        <f>'balance_raw_35527990'!$C$7</f>
        <v/>
      </c>
      <c r="D28" s="11">
        <f>'balance_raw_35527990'!$D$7</f>
        <v/>
      </c>
      <c r="E28" s="11">
        <f>'balance_raw_35527990'!$E$7</f>
        <v/>
      </c>
      <c r="F28" s="11">
        <f>'balance_raw_35527990'!$F$7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Råvarer og hjælpematerialer</t>
        </is>
      </c>
      <c r="B29" s="8">
        <f>'balance_raw_35527990'!$B$8</f>
        <v/>
      </c>
      <c r="C29" s="8">
        <f>'balance_raw_35527990'!$C$8</f>
        <v/>
      </c>
      <c r="D29" s="8">
        <f>'balance_raw_35527990'!$D$8</f>
        <v/>
      </c>
      <c r="E29" s="8">
        <f>'balance_raw_35527990'!$E$8</f>
        <v/>
      </c>
      <c r="F29" s="8">
        <f>'balance_raw_35527990'!$F$8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Varer under fremstilling</t>
        </is>
      </c>
      <c r="B30" s="5">
        <f>'balance_raw_35527990'!$B$9</f>
        <v/>
      </c>
      <c r="C30" s="5">
        <f>'balance_raw_35527990'!$C$9</f>
        <v/>
      </c>
      <c r="D30" s="5">
        <f>'balance_raw_35527990'!$D$9</f>
        <v/>
      </c>
      <c r="E30" s="5">
        <f>'balance_raw_35527990'!$E$9</f>
        <v/>
      </c>
      <c r="F30" s="5">
        <f>'balance_raw_35527990'!$F$9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Færdigvarer og handelsvarer</t>
        </is>
      </c>
      <c r="B31" s="8">
        <f>'balance_raw_35527990'!$B$10</f>
        <v/>
      </c>
      <c r="C31" s="8">
        <f>'balance_raw_35527990'!$C$10</f>
        <v/>
      </c>
      <c r="D31" s="8">
        <f>'balance_raw_35527990'!$D$10</f>
        <v/>
      </c>
      <c r="E31" s="8">
        <f>'balance_raw_35527990'!$E$10</f>
        <v/>
      </c>
      <c r="F31" s="8">
        <f>'balance_raw_35527990'!$F$10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Varebeholdninger</t>
        </is>
      </c>
      <c r="B32" s="11">
        <f>'balance_raw_35527990'!$B$11</f>
        <v/>
      </c>
      <c r="C32" s="11">
        <f>'balance_raw_35527990'!$C$11</f>
        <v/>
      </c>
      <c r="D32" s="11">
        <f>'balance_raw_35527990'!$D$11</f>
        <v/>
      </c>
      <c r="E32" s="11">
        <f>'balance_raw_35527990'!$E$11</f>
        <v/>
      </c>
      <c r="F32" s="11">
        <f>'balance_raw_35527990'!$F$11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Tilgodehavender fra salg og tjenesteydelser</t>
        </is>
      </c>
      <c r="B33" s="8">
        <f>'balance_raw_35527990'!$B$12</f>
        <v/>
      </c>
      <c r="C33" s="8">
        <f>'balance_raw_35527990'!$C$12</f>
        <v/>
      </c>
      <c r="D33" s="8">
        <f>'balance_raw_35527990'!$D$12</f>
        <v/>
      </c>
      <c r="E33" s="8">
        <f>'balance_raw_35527990'!$E$12</f>
        <v/>
      </c>
      <c r="F33" s="8">
        <f>'balance_raw_35527990'!$F$12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hos tilknyttede virksomheder</t>
        </is>
      </c>
      <c r="B34" s="5">
        <f>'balance_raw_35527990'!$B$13</f>
        <v/>
      </c>
      <c r="C34" s="5">
        <f>'balance_raw_35527990'!$C$13</f>
        <v/>
      </c>
      <c r="D34" s="5">
        <f>'balance_raw_35527990'!$D$13</f>
        <v/>
      </c>
      <c r="E34" s="5">
        <f>'balance_raw_35527990'!$E$13</f>
        <v/>
      </c>
      <c r="F34" s="5">
        <f>'balance_raw_35527990'!$F$13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Andre tilgodehavender</t>
        </is>
      </c>
      <c r="B35" s="8">
        <f>'balance_raw_35527990'!$B$14</f>
        <v/>
      </c>
      <c r="C35" s="8">
        <f>'balance_raw_35527990'!$C$14</f>
        <v/>
      </c>
      <c r="D35" s="8">
        <f>'balance_raw_35527990'!$D$14</f>
        <v/>
      </c>
      <c r="E35" s="8">
        <f>'balance_raw_35527990'!$E$14</f>
        <v/>
      </c>
      <c r="F35" s="8">
        <f>'balance_raw_35527990'!$F$14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Periodeafgrænsningsposter (aktiver)</t>
        </is>
      </c>
      <c r="B36" s="5">
        <f>'balance_raw_35527990'!$B$15</f>
        <v/>
      </c>
      <c r="C36" s="5">
        <f>'balance_raw_35527990'!$C$15</f>
        <v/>
      </c>
      <c r="D36" s="5">
        <f>'balance_raw_35527990'!$D$15</f>
        <v/>
      </c>
      <c r="E36" s="5">
        <f>'balance_raw_35527990'!$E$15</f>
        <v/>
      </c>
      <c r="F36" s="5">
        <f>'balance_raw_35527990'!$F$15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7" t="inlineStr">
        <is>
          <t>Udskudt skatteaktiv</t>
        </is>
      </c>
      <c r="B37" s="8">
        <f>'balance_raw_35527990'!$B$16</f>
        <v/>
      </c>
      <c r="C37" s="8">
        <f>'balance_raw_35527990'!$C$16</f>
        <v/>
      </c>
      <c r="D37" s="8">
        <f>'balance_raw_35527990'!$D$16</f>
        <v/>
      </c>
      <c r="E37" s="8">
        <f>'balance_raw_35527990'!$E$16</f>
        <v/>
      </c>
      <c r="F37" s="8">
        <f>'balance_raw_35527990'!$F$16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 skat hos tilknyttede virksomheder</t>
        </is>
      </c>
      <c r="B38" s="5">
        <f>'balance_raw_35527990'!$B$17</f>
        <v/>
      </c>
      <c r="C38" s="5">
        <f>'balance_raw_35527990'!$C$17</f>
        <v/>
      </c>
      <c r="D38" s="5">
        <f>'balance_raw_35527990'!$D$17</f>
        <v/>
      </c>
      <c r="E38" s="5">
        <f>'balance_raw_35527990'!$E$17</f>
        <v/>
      </c>
      <c r="F38" s="5">
        <f>'balance_raw_35527990'!$F$17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Kortfristede skattetilgodehavender</t>
        </is>
      </c>
      <c r="B39" s="8">
        <f>'balance_raw_35527990'!$B$18</f>
        <v/>
      </c>
      <c r="C39" s="8">
        <f>'balance_raw_35527990'!$C$18</f>
        <v/>
      </c>
      <c r="D39" s="8">
        <f>'balance_raw_35527990'!$D$18</f>
        <v/>
      </c>
      <c r="E39" s="8">
        <f>'balance_raw_35527990'!$E$18</f>
        <v/>
      </c>
      <c r="F39" s="8">
        <f>'balance_raw_35527990'!$F$18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Tilgodehavender</t>
        </is>
      </c>
      <c r="B40" s="11">
        <f>'balance_raw_35527990'!$B$19</f>
        <v/>
      </c>
      <c r="C40" s="11">
        <f>'balance_raw_35527990'!$C$19</f>
        <v/>
      </c>
      <c r="D40" s="11">
        <f>'balance_raw_35527990'!$D$19</f>
        <v/>
      </c>
      <c r="E40" s="11">
        <f>'balance_raw_35527990'!$E$19</f>
        <v/>
      </c>
      <c r="F40" s="11">
        <f>'balance_raw_35527990'!$F$19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Værdipapirer</t>
        </is>
      </c>
      <c r="B41" s="8">
        <f>'balance_raw_35527990'!$B$20</f>
        <v/>
      </c>
      <c r="C41" s="8">
        <f>'balance_raw_35527990'!$C$20</f>
        <v/>
      </c>
      <c r="D41" s="8">
        <f>'balance_raw_35527990'!$D$20</f>
        <v/>
      </c>
      <c r="E41" s="8">
        <f>'balance_raw_35527990'!$E$20</f>
        <v/>
      </c>
      <c r="F41" s="8">
        <f>'balance_raw_35527990'!$F$20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Likvide beholdninger</t>
        </is>
      </c>
      <c r="B42" s="5">
        <f>'balance_raw_35527990'!$B$21</f>
        <v/>
      </c>
      <c r="C42" s="5">
        <f>'balance_raw_35527990'!$C$21</f>
        <v/>
      </c>
      <c r="D42" s="5">
        <f>'balance_raw_35527990'!$D$21</f>
        <v/>
      </c>
      <c r="E42" s="5">
        <f>'balance_raw_35527990'!$E$21</f>
        <v/>
      </c>
      <c r="F42" s="5">
        <f>'balance_raw_35527990'!$F$21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Omsætningsaktiver</t>
        </is>
      </c>
      <c r="B43" s="11">
        <f>'balance_raw_35527990'!$B$22</f>
        <v/>
      </c>
      <c r="C43" s="11">
        <f>'balance_raw_35527990'!$C$22</f>
        <v/>
      </c>
      <c r="D43" s="11">
        <f>'balance_raw_35527990'!$D$22</f>
        <v/>
      </c>
      <c r="E43" s="11">
        <f>'balance_raw_35527990'!$E$22</f>
        <v/>
      </c>
      <c r="F43" s="11">
        <f>'balance_raw_35527990'!$F$22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10" t="inlineStr">
        <is>
          <t>Aktiver</t>
        </is>
      </c>
      <c r="B44" s="11">
        <f>'balance_raw_35527990'!$B$23</f>
        <v/>
      </c>
      <c r="C44" s="11">
        <f>'balance_raw_35527990'!$C$23</f>
        <v/>
      </c>
      <c r="D44" s="11">
        <f>'balance_raw_35527990'!$D$23</f>
        <v/>
      </c>
      <c r="E44" s="11">
        <f>'balance_raw_35527990'!$E$23</f>
        <v/>
      </c>
      <c r="F44" s="11">
        <f>'balance_raw_35527990'!$F$23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6" ht="22" customHeight="1">
      <c r="A46" s="3" t="inlineStr">
        <is>
          <t>PASSIVER t.kr.</t>
        </is>
      </c>
      <c r="B46" s="3" t="n">
        <v>2021</v>
      </c>
      <c r="C46" s="3" t="n">
        <v>2022</v>
      </c>
      <c r="D46" s="3" t="n">
        <v>2023</v>
      </c>
      <c r="E46" s="3" t="n">
        <v>2024</v>
      </c>
      <c r="F46" s="3" t="n">
        <v>2025</v>
      </c>
      <c r="G46" t="inlineStr"/>
      <c r="H46" s="3" t="n">
        <v>2021</v>
      </c>
      <c r="I46" s="3" t="n">
        <v>2022</v>
      </c>
      <c r="J46" s="3" t="n">
        <v>2023</v>
      </c>
      <c r="K46" s="3" t="n">
        <v>2024</v>
      </c>
      <c r="L46" s="3" t="n">
        <v>2025</v>
      </c>
    </row>
    <row r="47" ht="16" customHeight="1">
      <c r="A47" s="7" t="inlineStr">
        <is>
          <t>Selskabskapital</t>
        </is>
      </c>
      <c r="B47" s="8">
        <f>'balance_raw_35527990'!$B$24</f>
        <v/>
      </c>
      <c r="C47" s="8">
        <f>'balance_raw_35527990'!$C$24</f>
        <v/>
      </c>
      <c r="D47" s="8">
        <f>'balance_raw_35527990'!$D$24</f>
        <v/>
      </c>
      <c r="E47" s="8">
        <f>'balance_raw_35527990'!$E$24</f>
        <v/>
      </c>
      <c r="F47" s="8">
        <f>'balance_raw_35527990'!$F$24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4" t="inlineStr">
        <is>
          <t>Reserve for nettoopskrivning (indre værdis metode)</t>
        </is>
      </c>
      <c r="B48" s="5">
        <f>'balance_raw_35527990'!$B$25</f>
        <v/>
      </c>
      <c r="C48" s="5">
        <f>'balance_raw_35527990'!$C$25</f>
        <v/>
      </c>
      <c r="D48" s="5">
        <f>'balance_raw_35527990'!$D$25</f>
        <v/>
      </c>
      <c r="E48" s="5">
        <f>'balance_raw_35527990'!$E$25</f>
        <v/>
      </c>
      <c r="F48" s="5">
        <f>'balance_raw_35527990'!$F$25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Reserve for udviklingsomkostninger</t>
        </is>
      </c>
      <c r="B49" s="8">
        <f>'balance_raw_35527990'!$B$26</f>
        <v/>
      </c>
      <c r="C49" s="8">
        <f>'balance_raw_35527990'!$C$26</f>
        <v/>
      </c>
      <c r="D49" s="8">
        <f>'balance_raw_35527990'!$D$26</f>
        <v/>
      </c>
      <c r="E49" s="8">
        <f>'balance_raw_35527990'!$E$26</f>
        <v/>
      </c>
      <c r="F49" s="8">
        <f>'balance_raw_35527990'!$F$26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Reserve for sikringstransaktioner</t>
        </is>
      </c>
      <c r="B50" s="5">
        <f>'balance_raw_35527990'!$B$27</f>
        <v/>
      </c>
      <c r="C50" s="5">
        <f>'balance_raw_35527990'!$C$27</f>
        <v/>
      </c>
      <c r="D50" s="5">
        <f>'balance_raw_35527990'!$D$27</f>
        <v/>
      </c>
      <c r="E50" s="5">
        <f>'balance_raw_35527990'!$E$27</f>
        <v/>
      </c>
      <c r="F50" s="5">
        <f>'balance_raw_35527990'!$F$27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7" t="inlineStr">
        <is>
          <t>Andre reserver</t>
        </is>
      </c>
      <c r="B51" s="8">
        <f>'balance_raw_35527990'!$B$28</f>
        <v/>
      </c>
      <c r="C51" s="8">
        <f>'balance_raw_35527990'!$C$28</f>
        <v/>
      </c>
      <c r="D51" s="8">
        <f>'balance_raw_35527990'!$D$28</f>
        <v/>
      </c>
      <c r="E51" s="8">
        <f>'balance_raw_35527990'!$E$28</f>
        <v/>
      </c>
      <c r="F51" s="8">
        <f>'balance_raw_35527990'!$F$28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Overført resultat</t>
        </is>
      </c>
      <c r="B52" s="5">
        <f>'balance_raw_35527990'!$B$29</f>
        <v/>
      </c>
      <c r="C52" s="5">
        <f>'balance_raw_35527990'!$C$29</f>
        <v/>
      </c>
      <c r="D52" s="5">
        <f>'balance_raw_35527990'!$D$29</f>
        <v/>
      </c>
      <c r="E52" s="5">
        <f>'balance_raw_35527990'!$E$29</f>
        <v/>
      </c>
      <c r="F52" s="5">
        <f>'balance_raw_35527990'!$F$29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Egenkapital i alt</t>
        </is>
      </c>
      <c r="B53" s="11">
        <f>'balance_raw_35527990'!$B$30</f>
        <v/>
      </c>
      <c r="C53" s="11">
        <f>'balance_raw_35527990'!$C$30</f>
        <v/>
      </c>
      <c r="D53" s="11">
        <f>'balance_raw_35527990'!$D$30</f>
        <v/>
      </c>
      <c r="E53" s="11">
        <f>'balance_raw_35527990'!$E$30</f>
        <v/>
      </c>
      <c r="F53" s="11">
        <f>'balance_raw_35527990'!$F$30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10" t="inlineStr">
        <is>
          <t>Hensatte forpligtelser</t>
        </is>
      </c>
      <c r="B54" s="11">
        <f>'balance_raw_35527990'!$B$31</f>
        <v/>
      </c>
      <c r="C54" s="11">
        <f>'balance_raw_35527990'!$C$31</f>
        <v/>
      </c>
      <c r="D54" s="11">
        <f>'balance_raw_35527990'!$D$31</f>
        <v/>
      </c>
      <c r="E54" s="11">
        <f>'balance_raw_35527990'!$E$31</f>
        <v/>
      </c>
      <c r="F54" s="11">
        <f>'balance_raw_35527990'!$F$31</f>
        <v/>
      </c>
      <c r="G54" t="inlineStr"/>
      <c r="H54" s="12">
        <f>IFERROR(B54/$B$54*100,"")</f>
        <v/>
      </c>
      <c r="I54" s="12">
        <f>IFERROR(C54/$B$54*100,"")</f>
        <v/>
      </c>
      <c r="J54" s="12">
        <f>IFERROR(D54/$B$54*100,"")</f>
        <v/>
      </c>
      <c r="K54" s="12">
        <f>IFERROR(E54/$B$54*100,"")</f>
        <v/>
      </c>
      <c r="L54" s="12">
        <f>IFERROR(F54/$B$54*100,"")</f>
        <v/>
      </c>
    </row>
    <row r="55" ht="16" customHeight="1">
      <c r="A55" s="7" t="inlineStr">
        <is>
          <t>Ansvarlig lånekapital (langfristet)</t>
        </is>
      </c>
      <c r="B55" s="8">
        <f>'balance_raw_35527990'!$B$32</f>
        <v/>
      </c>
      <c r="C55" s="8">
        <f>'balance_raw_35527990'!$C$32</f>
        <v/>
      </c>
      <c r="D55" s="8">
        <f>'balance_raw_35527990'!$D$32</f>
        <v/>
      </c>
      <c r="E55" s="8">
        <f>'balance_raw_35527990'!$E$32</f>
        <v/>
      </c>
      <c r="F55" s="8">
        <f>'balance_raw_35527990'!$F$32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Langfristede lån</t>
        </is>
      </c>
      <c r="B56" s="5">
        <f>'balance_raw_35527990'!$B$33</f>
        <v/>
      </c>
      <c r="C56" s="5">
        <f>'balance_raw_35527990'!$C$33</f>
        <v/>
      </c>
      <c r="D56" s="5">
        <f>'balance_raw_35527990'!$D$33</f>
        <v/>
      </c>
      <c r="E56" s="5">
        <f>'balance_raw_35527990'!$E$33</f>
        <v/>
      </c>
      <c r="F56" s="5">
        <f>'balance_raw_35527990'!$F$33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Leasingforpligtelser (langfristet)</t>
        </is>
      </c>
      <c r="B57" s="8">
        <f>'balance_raw_35527990'!$B$34</f>
        <v/>
      </c>
      <c r="C57" s="8">
        <f>'balance_raw_35527990'!$C$34</f>
        <v/>
      </c>
      <c r="D57" s="8">
        <f>'balance_raw_35527990'!$D$34</f>
        <v/>
      </c>
      <c r="E57" s="8">
        <f>'balance_raw_35527990'!$E$34</f>
        <v/>
      </c>
      <c r="F57" s="8">
        <f>'balance_raw_35527990'!$F$34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Anden gæld (langfristet)</t>
        </is>
      </c>
      <c r="B58" s="5">
        <f>'balance_raw_35527990'!$B$35</f>
        <v/>
      </c>
      <c r="C58" s="5">
        <f>'balance_raw_35527990'!$C$35</f>
        <v/>
      </c>
      <c r="D58" s="5">
        <f>'balance_raw_35527990'!$D$35</f>
        <v/>
      </c>
      <c r="E58" s="5">
        <f>'balance_raw_35527990'!$E$35</f>
        <v/>
      </c>
      <c r="F58" s="5">
        <f>'balance_raw_35527990'!$F$35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gældsforpligtelser</t>
        </is>
      </c>
      <c r="B59" s="11">
        <f>'balance_raw_35527990'!$B$36</f>
        <v/>
      </c>
      <c r="C59" s="11">
        <f>'balance_raw_35527990'!$C$36</f>
        <v/>
      </c>
      <c r="D59" s="11">
        <f>'balance_raw_35527990'!$D$36</f>
        <v/>
      </c>
      <c r="E59" s="11">
        <f>'balance_raw_35527990'!$E$36</f>
        <v/>
      </c>
      <c r="F59" s="11">
        <f>'balance_raw_35527990'!$F$36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'balance_raw_35527990'!$B$37</f>
        <v/>
      </c>
      <c r="C60" s="5">
        <f>'balance_raw_35527990'!$C$37</f>
        <v/>
      </c>
      <c r="D60" s="5">
        <f>'balance_raw_35527990'!$D$37</f>
        <v/>
      </c>
      <c r="E60" s="5">
        <f>'balance_raw_35527990'!$E$37</f>
        <v/>
      </c>
      <c r="F60" s="5">
        <f>'balance_raw_35527990'!$F$37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Kortfristet del af langfristede gældsforpligtelser</t>
        </is>
      </c>
      <c r="B61" s="8">
        <f>'balance_raw_35527990'!$B$38</f>
        <v/>
      </c>
      <c r="C61" s="8">
        <f>'balance_raw_35527990'!$C$38</f>
        <v/>
      </c>
      <c r="D61" s="8">
        <f>'balance_raw_35527990'!$D$38</f>
        <v/>
      </c>
      <c r="E61" s="8">
        <f>'balance_raw_35527990'!$E$38</f>
        <v/>
      </c>
      <c r="F61" s="8">
        <f>'balance_raw_35527990'!$F$38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'balance_raw_35527990'!$B$39</f>
        <v/>
      </c>
      <c r="C62" s="5">
        <f>'balance_raw_35527990'!$C$39</f>
        <v/>
      </c>
      <c r="D62" s="5">
        <f>'balance_raw_35527990'!$D$39</f>
        <v/>
      </c>
      <c r="E62" s="5">
        <f>'balance_raw_35527990'!$E$39</f>
        <v/>
      </c>
      <c r="F62" s="5">
        <f>'balance_raw_35527990'!$F$39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Leasingforpligtelser (kortfristet)</t>
        </is>
      </c>
      <c r="B63" s="8">
        <f>'balance_raw_35527990'!$B$40</f>
        <v/>
      </c>
      <c r="C63" s="8">
        <f>'balance_raw_35527990'!$C$40</f>
        <v/>
      </c>
      <c r="D63" s="8">
        <f>'balance_raw_35527990'!$D$40</f>
        <v/>
      </c>
      <c r="E63" s="8">
        <f>'balance_raw_35527990'!$E$40</f>
        <v/>
      </c>
      <c r="F63" s="8">
        <f>'balance_raw_35527990'!$F$40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'balance_raw_35527990'!$B$41</f>
        <v/>
      </c>
      <c r="C64" s="5">
        <f>'balance_raw_35527990'!$C$41</f>
        <v/>
      </c>
      <c r="D64" s="5">
        <f>'balance_raw_35527990'!$D$41</f>
        <v/>
      </c>
      <c r="E64" s="5">
        <f>'balance_raw_35527990'!$E$41</f>
        <v/>
      </c>
      <c r="F64" s="5">
        <f>'balance_raw_35527990'!$F$41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Gæld til tilknyttede virksomheder</t>
        </is>
      </c>
      <c r="B65" s="8">
        <f>'balance_raw_35527990'!$B$42</f>
        <v/>
      </c>
      <c r="C65" s="8">
        <f>'balance_raw_35527990'!$C$42</f>
        <v/>
      </c>
      <c r="D65" s="8">
        <f>'balance_raw_35527990'!$D$42</f>
        <v/>
      </c>
      <c r="E65" s="8">
        <f>'balance_raw_35527990'!$E$42</f>
        <v/>
      </c>
      <c r="F65" s="8">
        <f>'balance_raw_35527990'!$F$42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'balance_raw_35527990'!$B$43</f>
        <v/>
      </c>
      <c r="C66" s="5">
        <f>'balance_raw_35527990'!$C$43</f>
        <v/>
      </c>
      <c r="D66" s="5">
        <f>'balance_raw_35527990'!$D$43</f>
        <v/>
      </c>
      <c r="E66" s="5">
        <f>'balance_raw_35527990'!$E$43</f>
        <v/>
      </c>
      <c r="F66" s="5">
        <f>'balance_raw_35527990'!$F$43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Selskabsskat</t>
        </is>
      </c>
      <c r="B67" s="8">
        <f>'balance_raw_35527990'!$B$44</f>
        <v/>
      </c>
      <c r="C67" s="8">
        <f>'balance_raw_35527990'!$C$44</f>
        <v/>
      </c>
      <c r="D67" s="8">
        <f>'balance_raw_35527990'!$D$44</f>
        <v/>
      </c>
      <c r="E67" s="8">
        <f>'balance_raw_35527990'!$E$44</f>
        <v/>
      </c>
      <c r="F67" s="8">
        <f>'balance_raw_35527990'!$F$44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'balance_raw_35527990'!$B$45</f>
        <v/>
      </c>
      <c r="C68" s="5">
        <f>'balance_raw_35527990'!$C$45</f>
        <v/>
      </c>
      <c r="D68" s="5">
        <f>'balance_raw_35527990'!$D$45</f>
        <v/>
      </c>
      <c r="E68" s="5">
        <f>'balance_raw_35527990'!$E$45</f>
        <v/>
      </c>
      <c r="F68" s="5">
        <f>'balance_raw_35527990'!$F$45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7" t="inlineStr">
        <is>
          <t>Anden gæld (kortfristet)</t>
        </is>
      </c>
      <c r="B69" s="8">
        <f>'balance_raw_35527990'!$B$46</f>
        <v/>
      </c>
      <c r="C69" s="8">
        <f>'balance_raw_35527990'!$C$46</f>
        <v/>
      </c>
      <c r="D69" s="8">
        <f>'balance_raw_35527990'!$D$46</f>
        <v/>
      </c>
      <c r="E69" s="8">
        <f>'balance_raw_35527990'!$E$46</f>
        <v/>
      </c>
      <c r="F69" s="8">
        <f>'balance_raw_35527990'!$F$46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'balance_raw_35527990'!$B$47</f>
        <v/>
      </c>
      <c r="C70" s="5">
        <f>'balance_raw_35527990'!$C$47</f>
        <v/>
      </c>
      <c r="D70" s="5">
        <f>'balance_raw_35527990'!$D$47</f>
        <v/>
      </c>
      <c r="E70" s="5">
        <f>'balance_raw_35527990'!$E$47</f>
        <v/>
      </c>
      <c r="F70" s="5">
        <f>'balance_raw_35527990'!$F$47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Kortfristede gældsforpligtelser</t>
        </is>
      </c>
      <c r="B71" s="11">
        <f>'balance_raw_35527990'!$B$48</f>
        <v/>
      </c>
      <c r="C71" s="11">
        <f>'balance_raw_35527990'!$C$48</f>
        <v/>
      </c>
      <c r="D71" s="11">
        <f>'balance_raw_35527990'!$D$48</f>
        <v/>
      </c>
      <c r="E71" s="11">
        <f>'balance_raw_35527990'!$E$48</f>
        <v/>
      </c>
      <c r="F71" s="11">
        <f>'balance_raw_35527990'!$F$48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10" t="inlineStr">
        <is>
          <t>Gældsforpligtelser</t>
        </is>
      </c>
      <c r="B72" s="11">
        <f>'balance_raw_35527990'!$B$49</f>
        <v/>
      </c>
      <c r="C72" s="11">
        <f>'balance_raw_35527990'!$C$49</f>
        <v/>
      </c>
      <c r="D72" s="11">
        <f>'balance_raw_35527990'!$D$49</f>
        <v/>
      </c>
      <c r="E72" s="11">
        <f>'balance_raw_35527990'!$E$49</f>
        <v/>
      </c>
      <c r="F72" s="11">
        <f>'balance_raw_35527990'!$F$49</f>
        <v/>
      </c>
      <c r="G72" t="inlineStr"/>
      <c r="H72" s="12">
        <f>IFERROR(B72/$B$72*100,"")</f>
        <v/>
      </c>
      <c r="I72" s="12">
        <f>IFERROR(C72/$B$72*100,"")</f>
        <v/>
      </c>
      <c r="J72" s="12">
        <f>IFERROR(D72/$B$72*100,"")</f>
        <v/>
      </c>
      <c r="K72" s="12">
        <f>IFERROR(E72/$B$72*100,"")</f>
        <v/>
      </c>
      <c r="L72" s="12">
        <f>IFERROR(F72/$B$72*100,"")</f>
        <v/>
      </c>
    </row>
    <row r="73" ht="16" customHeight="1">
      <c r="A73" s="10" t="inlineStr">
        <is>
          <t>Passiver</t>
        </is>
      </c>
      <c r="B73" s="11">
        <f>'balance_raw_35527990'!$B$50</f>
        <v/>
      </c>
      <c r="C73" s="11">
        <f>'balance_raw_35527990'!$C$50</f>
        <v/>
      </c>
      <c r="D73" s="11">
        <f>'balance_raw_35527990'!$D$50</f>
        <v/>
      </c>
      <c r="E73" s="11">
        <f>'balance_raw_35527990'!$E$50</f>
        <v/>
      </c>
      <c r="F73" s="11">
        <f>'balance_raw_35527990'!$F$50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'res_raw_35527990'!$B$19</f>
        <v/>
      </c>
      <c r="C76" s="5">
        <f>'res_raw_35527990'!$C$19</f>
        <v/>
      </c>
      <c r="D76" s="5">
        <f>'res_raw_35527990'!$D$19</f>
        <v/>
      </c>
      <c r="E76" s="5">
        <f>'res_raw_35527990'!$E$19</f>
        <v/>
      </c>
      <c r="F76" s="5">
        <f>'res_raw_35527990'!$F$19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Investering i materielle anlægsaktiver</t>
        </is>
      </c>
      <c r="B77" s="8">
        <f>'res_raw_35527990'!$B$20</f>
        <v/>
      </c>
      <c r="C77" s="8">
        <f>'res_raw_35527990'!$C$20</f>
        <v/>
      </c>
      <c r="D77" s="8">
        <f>'res_raw_35527990'!$D$20</f>
        <v/>
      </c>
      <c r="E77" s="8">
        <f>'res_raw_35527990'!$E$20</f>
        <v/>
      </c>
      <c r="F77" s="8">
        <f>'res_raw_35527990'!$F$20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IFERROR(($B$13+$B$15+$B$14)/$B$44*100,"")</f>
        <v/>
      </c>
      <c r="C80" s="13">
        <f>IFERROR(($C$13+$C$15+$C$14)/$C$44*100,"")</f>
        <v/>
      </c>
      <c r="D80" s="13">
        <f>IFERROR(($D$13+$D$15+$D$14)/$D$44*100,"")</f>
        <v/>
      </c>
      <c r="E80" s="13">
        <f>IFERROR(($E$13+$E$15+$E$14)/$E$44*100,"")</f>
        <v/>
      </c>
      <c r="F80" s="13">
        <f>IFERROR(($F$13+$F$15+$F$14)/$F$44*100,"")</f>
        <v/>
      </c>
    </row>
    <row r="81" ht="16" customHeight="1">
      <c r="A81" s="7" t="inlineStr">
        <is>
          <t>Overskudsgrad, %</t>
        </is>
      </c>
      <c r="B81" s="14">
        <f>IFERROR(($B$13+$B$15+$B$14)/$B$4*100,"")</f>
        <v/>
      </c>
      <c r="C81" s="14">
        <f>IFERROR(($C$13+$C$15+$C$14)/$C$4*100,"")</f>
        <v/>
      </c>
      <c r="D81" s="14">
        <f>IFERROR(($D$13+$D$15+$D$14)/$D$4*100,"")</f>
        <v/>
      </c>
      <c r="E81" s="14">
        <f>IFERROR(($E$13+$E$15+$E$14)/$E$4*100,"")</f>
        <v/>
      </c>
      <c r="F81" s="14">
        <f>IFERROR(($F$13+$F$15+$F$14)/$F$4*100,"")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IFERROR($B$4/$B$44,"")</f>
        <v/>
      </c>
      <c r="C82" s="13">
        <f>IFERROR($C$4/$C$44,"")</f>
        <v/>
      </c>
      <c r="D82" s="13">
        <f>IFERROR($D$4/$D$44,"")</f>
        <v/>
      </c>
      <c r="E82" s="13">
        <f>IFERROR($E$4/$E$44,"")</f>
        <v/>
      </c>
      <c r="F82" s="13">
        <f>IFERROR($F$4/$F$44,"")</f>
        <v/>
      </c>
    </row>
    <row r="83" ht="16" customHeight="1">
      <c r="A83" s="7" t="inlineStr">
        <is>
          <t>Egenkapitalens forrentning, %</t>
        </is>
      </c>
      <c r="B83" s="14">
        <f>IFERROR($B$18/$B$53*100,"")</f>
        <v/>
      </c>
      <c r="C83" s="14">
        <f>IFERROR($C$18/$C$53*100,"")</f>
        <v/>
      </c>
      <c r="D83" s="14">
        <f>IFERROR($D$18/$D$53*100,"")</f>
        <v/>
      </c>
      <c r="E83" s="14">
        <f>IFERROR($E$18/$E$53*100,"")</f>
        <v/>
      </c>
      <c r="F83" s="14">
        <f>IFERROR($F$18/$F$53*100,"")</f>
        <v/>
      </c>
    </row>
    <row r="84" ht="16" customHeight="1">
      <c r="A84" s="4" t="inlineStr">
        <is>
          <t>Gældsrente, %</t>
        </is>
      </c>
      <c r="B84" s="13">
        <f>IFERROR($B$16/($B$73-$B$53)*100,"")</f>
        <v/>
      </c>
      <c r="C84" s="13">
        <f>IFERROR($C$16/($C$73-$C$53)*100,"")</f>
        <v/>
      </c>
      <c r="D84" s="13">
        <f>IFERROR($D$16/($D$73-$D$53)*100,"")</f>
        <v/>
      </c>
      <c r="E84" s="13">
        <f>IFERROR($E$16/($E$73-$E$53)*100,"")</f>
        <v/>
      </c>
      <c r="F84" s="13">
        <f>IFERROR($F$16/($F$73-$F$53)*100,"")</f>
        <v/>
      </c>
    </row>
    <row r="85" ht="16" customHeight="1">
      <c r="A85" s="7" t="inlineStr">
        <is>
          <t>Soliditetsgrad, %</t>
        </is>
      </c>
      <c r="B85" s="14">
        <f>IFERROR($B$53/$B$44*100,"")</f>
        <v/>
      </c>
      <c r="C85" s="14">
        <f>IFERROR($C$53/$C$44*100,"")</f>
        <v/>
      </c>
      <c r="D85" s="14">
        <f>IFERROR($D$53/$D$44*100,"")</f>
        <v/>
      </c>
      <c r="E85" s="14">
        <f>IFERROR($E$53/$E$44*100,"")</f>
        <v/>
      </c>
      <c r="F85" s="14">
        <f>IFERROR($F$53/$F$44*100,"")</f>
        <v/>
      </c>
    </row>
    <row r="86" ht="16" customHeight="1">
      <c r="A86" s="4" t="inlineStr">
        <is>
          <t>Gearing</t>
        </is>
      </c>
      <c r="B86" s="13">
        <f>IFERROR(($B$73-$B$53)/$B$53,"")</f>
        <v/>
      </c>
      <c r="C86" s="13">
        <f>IFERROR(($C$73-$C$53)/$C$53,"")</f>
        <v/>
      </c>
      <c r="D86" s="13">
        <f>IFERROR(($D$73-$D$53)/$D$53,"")</f>
        <v/>
      </c>
      <c r="E86" s="13">
        <f>IFERROR(($E$73-$E$53)/$E$53,"")</f>
        <v/>
      </c>
      <c r="F86" s="13">
        <f>IFERROR(($F$73-$F$53)/$F$53,"")</f>
        <v/>
      </c>
    </row>
    <row r="87" ht="16" customHeight="1">
      <c r="A87" s="7" t="inlineStr">
        <is>
          <t>Likviditetsgrad, %</t>
        </is>
      </c>
      <c r="B87" s="14">
        <f>IFERROR($B$43/$B$71*100,"")</f>
        <v/>
      </c>
      <c r="C87" s="14">
        <f>IFERROR($C$43/$C$71*100,"")</f>
        <v/>
      </c>
      <c r="D87" s="14">
        <f>IFERROR($D$43/$D$71*100,"")</f>
        <v/>
      </c>
      <c r="E87" s="14">
        <f>IFERROR($E$43/$E$71*100,"")</f>
        <v/>
      </c>
      <c r="F87" s="14">
        <f>IFERROR($F$43/$F$71*100,"")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7" t="inlineStr">
        <is>
          <t>Gældsandel, %</t>
        </is>
      </c>
      <c r="B89" s="14">
        <f>IFERROR(($B$73-$B$53)/$B$44*100,"")</f>
        <v/>
      </c>
      <c r="C89" s="14">
        <f>IFERROR(($C$73-$C$53)/$C$44*100,"")</f>
        <v/>
      </c>
      <c r="D89" s="14">
        <f>IFERROR(($D$73-$D$53)/$D$44*100,"")</f>
        <v/>
      </c>
      <c r="E89" s="14">
        <f>IFERROR(($E$73-$E$53)/$E$44*100,"")</f>
        <v/>
      </c>
      <c r="F89" s="14">
        <f>IFERROR(($F$73-$F$53)/$F$44*100,"")</f>
        <v/>
      </c>
    </row>
    <row r="90" ht="16" customHeight="1">
      <c r="A90" s="4" t="inlineStr">
        <is>
          <t>Kapitalbindingsgrad, %</t>
        </is>
      </c>
      <c r="B90" s="13">
        <f>IFERROR($B$28/($B$53+$B$59)*100,"")</f>
        <v/>
      </c>
      <c r="C90" s="13">
        <f>IFERROR($C$28/($C$53+$C$59)*100,"")</f>
        <v/>
      </c>
      <c r="D90" s="13">
        <f>IFERROR($D$28/($D$53+$D$59)*100,"")</f>
        <v/>
      </c>
      <c r="E90" s="13">
        <f>IFERROR($E$28/($E$53+$E$59)*100,"")</f>
        <v/>
      </c>
      <c r="F90" s="13">
        <f>IFERROR($F$28/($F$53+$F$59)*100,"")</f>
        <v/>
      </c>
    </row>
    <row r="92">
      <c r="A92" s="15" t="inlineStr">
        <is>
          <t>PENGESTRØMSOPGØRELSE t.kr.</t>
        </is>
      </c>
    </row>
    <row r="93">
      <c r="A93" s="16" t="inlineStr">
        <is>
          <t>Pengestrømme fra driftsaktivitet</t>
        </is>
      </c>
      <c r="B93" s="17">
        <f>'pengestrom_raw_35527990'!$B$2</f>
        <v/>
      </c>
      <c r="C93" s="17">
        <f>'pengestrom_raw_35527990'!$C$2</f>
        <v/>
      </c>
      <c r="D93" s="17">
        <f>'pengestrom_raw_35527990'!$D$2</f>
        <v/>
      </c>
      <c r="E93" s="17">
        <f>'pengestrom_raw_35527990'!$E$2</f>
        <v/>
      </c>
      <c r="F93" s="17">
        <f>'pengestrom_raw_35527990'!$F$2</f>
        <v/>
      </c>
    </row>
    <row r="94">
      <c r="A94" s="16" t="inlineStr">
        <is>
          <t>Pengestrømme fra investeringsaktivitet</t>
        </is>
      </c>
      <c r="B94" s="17">
        <f>'pengestrom_raw_35527990'!$B$3</f>
        <v/>
      </c>
      <c r="C94" s="17">
        <f>'pengestrom_raw_35527990'!$C$3</f>
        <v/>
      </c>
      <c r="D94" s="17">
        <f>'pengestrom_raw_35527990'!$D$3</f>
        <v/>
      </c>
      <c r="E94" s="17">
        <f>'pengestrom_raw_35527990'!$E$3</f>
        <v/>
      </c>
      <c r="F94" s="17">
        <f>'pengestrom_raw_35527990'!$F$3</f>
        <v/>
      </c>
    </row>
    <row r="95">
      <c r="A95" s="16" t="inlineStr">
        <is>
          <t>Pengestrømme fra finansieringsaktivitet</t>
        </is>
      </c>
      <c r="B95" s="17">
        <f>'pengestrom_raw_35527990'!$B$4</f>
        <v/>
      </c>
      <c r="C95" s="17">
        <f>'pengestrom_raw_35527990'!$C$4</f>
        <v/>
      </c>
      <c r="D95" s="17">
        <f>'pengestrom_raw_35527990'!$D$4</f>
        <v/>
      </c>
      <c r="E95" s="17">
        <f>'pengestrom_raw_35527990'!$E$4</f>
        <v/>
      </c>
      <c r="F95" s="17">
        <f>'pengestrom_raw_35527990'!$F$4</f>
        <v/>
      </c>
    </row>
    <row r="96">
      <c r="A96" s="16" t="inlineStr">
        <is>
          <t>Årets pengestrøm (rapporteret)</t>
        </is>
      </c>
      <c r="B96" s="17">
        <f>'pengestrom_raw_35527990'!$B$5</f>
        <v/>
      </c>
      <c r="C96" s="17">
        <f>'pengestrom_raw_35527990'!$C$5</f>
        <v/>
      </c>
      <c r="D96" s="17">
        <f>'pengestrom_raw_35527990'!$D$5</f>
        <v/>
      </c>
      <c r="E96" s="17">
        <f>'pengestrom_raw_35527990'!$E$5</f>
        <v/>
      </c>
      <c r="F96" s="17">
        <f>'pengestrom_raw_35527990'!$F$5</f>
        <v/>
      </c>
    </row>
    <row r="97">
      <c r="A97" s="16" t="inlineStr">
        <is>
          <t>Krydstjek: drift + inv. + fin. = årets pengestrøm</t>
        </is>
      </c>
      <c r="B97">
        <f>IF(ABS(('pengestrom_raw_35527990'!$B$2+'pengestrom_raw_35527990'!$B$3+'pengestrom_raw_35527990'!$B$4)-'pengestrom_raw_35527990'!$B$5)&lt;=2,"✓","⚠ "&amp;TEXT(('pengestrom_raw_35527990'!$B$2+'pengestrom_raw_35527990'!$B$3+'pengestrom_raw_35527990'!$B$4)-'pengestrom_raw_35527990'!$B$5,"+#,##0;-#,##0"))</f>
        <v/>
      </c>
      <c r="C97">
        <f>IF(ABS(('pengestrom_raw_35527990'!$C$2+'pengestrom_raw_35527990'!$C$3+'pengestrom_raw_35527990'!$C$4)-'pengestrom_raw_35527990'!$C$5)&lt;=2,"✓","⚠ "&amp;TEXT(('pengestrom_raw_35527990'!$C$2+'pengestrom_raw_35527990'!$C$3+'pengestrom_raw_35527990'!$C$4)-'pengestrom_raw_35527990'!$C$5,"+#,##0;-#,##0"))</f>
        <v/>
      </c>
      <c r="D97">
        <f>IF(ABS(('pengestrom_raw_35527990'!$D$2+'pengestrom_raw_35527990'!$D$3+'pengestrom_raw_35527990'!$D$4)-'pengestrom_raw_35527990'!$D$5)&lt;=2,"✓","⚠ "&amp;TEXT(('pengestrom_raw_35527990'!$D$2+'pengestrom_raw_35527990'!$D$3+'pengestrom_raw_35527990'!$D$4)-'pengestrom_raw_35527990'!$D$5,"+#,##0;-#,##0"))</f>
        <v/>
      </c>
      <c r="E97">
        <f>IF(ABS(('pengestrom_raw_35527990'!$E$2+'pengestrom_raw_35527990'!$E$3+'pengestrom_raw_35527990'!$E$4)-'pengestrom_raw_35527990'!$E$5)&lt;=2,"✓","⚠ "&amp;TEXT(('pengestrom_raw_35527990'!$E$2+'pengestrom_raw_35527990'!$E$3+'pengestrom_raw_35527990'!$E$4)-'pengestrom_raw_35527990'!$E$5,"+#,##0;-#,##0"))</f>
        <v/>
      </c>
      <c r="F97">
        <f>IF(ABS(('pengestrom_raw_35527990'!$F$2+'pengestrom_raw_35527990'!$F$3+'pengestrom_raw_35527990'!$F$4)-'pengestrom_raw_35527990'!$F$5)&lt;=2,"✓","⚠ "&amp;TEXT(('pengestrom_raw_35527990'!$F$2+'pengestrom_raw_35527990'!$F$3+'pengestrom_raw_35527990'!$F$4)-'pengestrom_raw_35527990'!$F$5,"+#,##0;-#,##0"))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Joe &amp; The Juice Holding A/S (CVR 35527990)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1150805</v>
      </c>
      <c r="C2" s="17" t="n">
        <v>1709637</v>
      </c>
      <c r="D2" s="17" t="n">
        <v>2424303</v>
      </c>
      <c r="E2" s="17" t="n">
        <v>2836376</v>
      </c>
      <c r="F2" s="17" t="n">
        <v>3303193</v>
      </c>
    </row>
    <row r="3">
      <c r="A3" s="16" t="inlineStr">
        <is>
          <t>Andre driftsindtægter</t>
        </is>
      </c>
      <c r="B3" s="17" t="n">
        <v>67757</v>
      </c>
      <c r="C3" s="17" t="n">
        <v>25723</v>
      </c>
      <c r="D3" s="17" t="n"/>
      <c r="E3" s="17" t="n"/>
      <c r="F3" s="17" t="n"/>
    </row>
    <row r="4">
      <c r="A4" s="16" t="inlineStr">
        <is>
          <t>Vareforbrug</t>
        </is>
      </c>
      <c r="B4" s="17" t="n"/>
      <c r="C4" s="17" t="n"/>
      <c r="D4" s="17" t="n"/>
      <c r="E4" s="17" t="n"/>
      <c r="F4" s="17" t="n"/>
    </row>
    <row r="5">
      <c r="A5" s="16" t="inlineStr">
        <is>
          <t>Andre eksterne omkostninger</t>
        </is>
      </c>
      <c r="B5" s="17" t="n">
        <v>330641</v>
      </c>
      <c r="C5" s="17" t="n">
        <v>505296</v>
      </c>
      <c r="D5" s="17" t="n">
        <v>649256</v>
      </c>
      <c r="E5" s="17" t="n">
        <v>778412</v>
      </c>
      <c r="F5" s="17" t="n">
        <v>858772</v>
      </c>
    </row>
    <row r="6">
      <c r="A6" s="15" t="inlineStr">
        <is>
          <t>Bruttoresultat</t>
        </is>
      </c>
      <c r="B6" s="17" t="n"/>
      <c r="C6" s="17" t="n"/>
      <c r="D6" s="17" t="n"/>
      <c r="E6" s="17" t="n"/>
      <c r="F6" s="17" t="n"/>
    </row>
    <row r="7">
      <c r="A7" s="16" t="inlineStr">
        <is>
          <t>Personaleomkostninger</t>
        </is>
      </c>
      <c r="B7" s="17" t="n">
        <v>387348</v>
      </c>
      <c r="C7" s="17" t="n">
        <v>598120</v>
      </c>
      <c r="D7" s="17" t="n">
        <v>794222</v>
      </c>
      <c r="E7" s="17" t="n">
        <v>964662</v>
      </c>
      <c r="F7" s="17" t="n">
        <v>1171232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321824</v>
      </c>
      <c r="C9" s="17" t="n">
        <v>324012</v>
      </c>
      <c r="D9" s="17" t="n">
        <v>319474</v>
      </c>
      <c r="E9" s="17" t="n">
        <v>388577</v>
      </c>
      <c r="F9" s="17" t="n">
        <v>415695</v>
      </c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-49882</v>
      </c>
      <c r="C11" s="17" t="n">
        <v>-47138</v>
      </c>
      <c r="D11" s="17" t="n">
        <v>178113</v>
      </c>
      <c r="E11" s="17" t="n">
        <v>171512</v>
      </c>
      <c r="F11" s="17" t="n">
        <v>204629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53116</v>
      </c>
      <c r="C13" s="17" t="n">
        <v>26725</v>
      </c>
      <c r="D13" s="17" t="n">
        <v>0</v>
      </c>
      <c r="E13" s="17" t="n">
        <v>18168</v>
      </c>
      <c r="F13" s="17" t="n">
        <v>6371</v>
      </c>
    </row>
    <row r="14">
      <c r="A14" s="16" t="inlineStr">
        <is>
          <t>Finansielle omkostninger</t>
        </is>
      </c>
      <c r="B14" s="17" t="n">
        <v>208814</v>
      </c>
      <c r="C14" s="17" t="n">
        <v>238989</v>
      </c>
      <c r="D14" s="17" t="n">
        <v>279048</v>
      </c>
      <c r="E14" s="17" t="n">
        <v>140571</v>
      </c>
      <c r="F14" s="17" t="n">
        <v>193657</v>
      </c>
    </row>
    <row r="15">
      <c r="A15" s="15" t="inlineStr">
        <is>
          <t>Finansielle poster, netto</t>
        </is>
      </c>
      <c r="B15" s="17" t="n">
        <v>-155698</v>
      </c>
      <c r="C15" s="17" t="n">
        <v>-212264</v>
      </c>
      <c r="D15" s="17" t="n">
        <v>-279048</v>
      </c>
      <c r="E15" s="17" t="n">
        <v>-122403</v>
      </c>
      <c r="F15" s="17" t="n">
        <v>-187286</v>
      </c>
    </row>
    <row r="16">
      <c r="A16" s="15" t="inlineStr">
        <is>
          <t>Resultat før skat</t>
        </is>
      </c>
      <c r="B16" s="17" t="n">
        <v>-205580</v>
      </c>
      <c r="C16" s="17" t="n">
        <v>-259402</v>
      </c>
      <c r="D16" s="17" t="n">
        <v>-100935</v>
      </c>
      <c r="E16" s="17" t="n">
        <v>49109</v>
      </c>
      <c r="F16" s="17" t="n">
        <v>17343</v>
      </c>
    </row>
    <row r="17">
      <c r="A17" s="16" t="inlineStr">
        <is>
          <t>Skat af årets resultat</t>
        </is>
      </c>
      <c r="B17" s="17" t="n">
        <v>26931</v>
      </c>
      <c r="C17" s="17" t="n">
        <v>689</v>
      </c>
      <c r="D17" s="17" t="n">
        <v>6905</v>
      </c>
      <c r="E17" s="17" t="n">
        <v>-94180</v>
      </c>
      <c r="F17" s="17" t="n">
        <v>58808</v>
      </c>
    </row>
    <row r="18">
      <c r="A18" s="15" t="inlineStr">
        <is>
          <t>Årets resultat</t>
        </is>
      </c>
      <c r="B18" s="17" t="n">
        <v>-232511</v>
      </c>
      <c r="C18" s="17" t="n">
        <v>-260091</v>
      </c>
      <c r="D18" s="17" t="n">
        <v>-107840</v>
      </c>
      <c r="E18" s="17" t="n">
        <v>143289</v>
      </c>
      <c r="F18" s="17" t="n">
        <v>-41465</v>
      </c>
    </row>
    <row r="19">
      <c r="A19" s="16" t="inlineStr">
        <is>
          <t>Gns. antal medarbejdere</t>
        </is>
      </c>
      <c r="B19" s="17" t="n">
        <v>2120</v>
      </c>
      <c r="C19" s="17" t="n"/>
      <c r="D19" s="17" t="n"/>
      <c r="E19" s="17" t="n"/>
      <c r="F19" s="17" t="n"/>
    </row>
    <row r="20">
      <c r="A20" s="16" t="inlineStr">
        <is>
          <t>Investering i materielle anlægsaktiver</t>
        </is>
      </c>
      <c r="B20" s="17" t="n">
        <v>63855</v>
      </c>
      <c r="C20" s="17" t="n">
        <v>123989</v>
      </c>
      <c r="D20" s="17" t="n">
        <v>185885</v>
      </c>
      <c r="E20" s="17" t="n">
        <v>169183</v>
      </c>
      <c r="F20" s="17" t="n">
        <v>434623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Joe &amp; The Juice Holding A/S (CVR 35527990)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/>
      <c r="F2" s="17" t="n"/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181235</v>
      </c>
      <c r="C4" s="17" t="n">
        <v>181235</v>
      </c>
      <c r="D4" s="17" t="n">
        <v>181235</v>
      </c>
      <c r="E4" s="17" t="n">
        <v>181235</v>
      </c>
      <c r="F4" s="17" t="n">
        <v>181235</v>
      </c>
    </row>
    <row r="5">
      <c r="A5" s="15" t="inlineStr">
        <is>
          <t>Immaterielle anlægsaktiver</t>
        </is>
      </c>
      <c r="B5" s="17" t="n">
        <v>32949</v>
      </c>
      <c r="C5" s="17" t="n">
        <v>32776</v>
      </c>
      <c r="D5" s="17" t="n">
        <v>27172</v>
      </c>
      <c r="E5" s="17" t="n">
        <v>35869</v>
      </c>
      <c r="F5" s="17" t="n">
        <v>73976</v>
      </c>
    </row>
    <row r="6">
      <c r="A6" s="15" t="inlineStr">
        <is>
          <t>Materielle anlægsaktiver</t>
        </is>
      </c>
      <c r="B6" s="17" t="n">
        <v>289283</v>
      </c>
      <c r="C6" s="17" t="n">
        <v>333985</v>
      </c>
      <c r="D6" s="17" t="n">
        <v>385470</v>
      </c>
      <c r="E6" s="17" t="n">
        <v>427643</v>
      </c>
      <c r="F6" s="17" t="n">
        <v>716221</v>
      </c>
    </row>
    <row r="7">
      <c r="A7" s="15" t="inlineStr">
        <is>
          <t>Anlægsaktiver</t>
        </is>
      </c>
      <c r="B7" s="17" t="n">
        <v>1930223</v>
      </c>
      <c r="C7" s="17" t="n">
        <v>1932088</v>
      </c>
      <c r="D7" s="17" t="n">
        <v>1883121</v>
      </c>
      <c r="E7" s="17" t="n">
        <v>2016389</v>
      </c>
      <c r="F7" s="17" t="n">
        <v>2509758</v>
      </c>
    </row>
    <row r="8">
      <c r="A8" s="16" t="inlineStr">
        <is>
          <t>Råvarer og hjælpematerialer</t>
        </is>
      </c>
      <c r="B8" s="17" t="n">
        <v>228631</v>
      </c>
      <c r="C8" s="17" t="n">
        <v>355070</v>
      </c>
      <c r="D8" s="17" t="n">
        <v>483238</v>
      </c>
      <c r="E8" s="17" t="n">
        <v>533213</v>
      </c>
      <c r="F8" s="17" t="n">
        <v>652865</v>
      </c>
    </row>
    <row r="9">
      <c r="A9" s="16" t="inlineStr">
        <is>
          <t>Varer under fremstilling</t>
        </is>
      </c>
      <c r="B9" s="17" t="n"/>
      <c r="C9" s="17" t="n"/>
      <c r="D9" s="17" t="n"/>
      <c r="E9" s="17" t="n"/>
      <c r="F9" s="17" t="n"/>
    </row>
    <row r="10">
      <c r="A10" s="16" t="inlineStr">
        <is>
          <t>Færdigvarer og handelsvarer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Varebeholdninger</t>
        </is>
      </c>
      <c r="B11" s="17" t="n">
        <v>16843</v>
      </c>
      <c r="C11" s="17" t="n">
        <v>16812</v>
      </c>
      <c r="D11" s="17" t="n">
        <v>21929</v>
      </c>
      <c r="E11" s="17" t="n">
        <v>26685</v>
      </c>
      <c r="F11" s="17" t="n">
        <v>37604</v>
      </c>
    </row>
    <row r="12">
      <c r="A12" s="16" t="inlineStr">
        <is>
          <t>Tilgodehavender fra salg og tjenesteydelser</t>
        </is>
      </c>
      <c r="B12" s="17" t="n">
        <v>25781</v>
      </c>
      <c r="C12" s="17" t="n">
        <v>29548</v>
      </c>
      <c r="D12" s="17" t="n">
        <v>47470</v>
      </c>
      <c r="E12" s="17" t="n">
        <v>66441</v>
      </c>
      <c r="F12" s="17" t="n">
        <v>86545</v>
      </c>
    </row>
    <row r="13">
      <c r="A13" s="16" t="inlineStr">
        <is>
          <t>Tilgodehavender hos tilknyttede virksomheder</t>
        </is>
      </c>
      <c r="B13" s="17" t="n"/>
      <c r="C13" s="17" t="n"/>
      <c r="D13" s="17" t="n"/>
      <c r="E13" s="17" t="n"/>
      <c r="F13" s="17" t="n"/>
    </row>
    <row r="14">
      <c r="A14" s="16" t="inlineStr">
        <is>
          <t>Andre tilgodehavender</t>
        </is>
      </c>
      <c r="B14" s="17" t="n"/>
      <c r="C14" s="17" t="n"/>
      <c r="D14" s="17" t="n"/>
      <c r="E14" s="17" t="n"/>
      <c r="F14" s="17" t="n"/>
    </row>
    <row r="15">
      <c r="A15" s="16" t="inlineStr">
        <is>
          <t>Periodeafgrænsningsposter (aktiver)</t>
        </is>
      </c>
      <c r="B15" s="17" t="n">
        <v>16277</v>
      </c>
      <c r="C15" s="17" t="n">
        <v>26769</v>
      </c>
      <c r="D15" s="17" t="n">
        <v>40656</v>
      </c>
      <c r="E15" s="17" t="n">
        <v>36462</v>
      </c>
      <c r="F15" s="17" t="n">
        <v>66728</v>
      </c>
    </row>
    <row r="16">
      <c r="A16" s="16" t="inlineStr">
        <is>
          <t>Udskudt skatteaktiv</t>
        </is>
      </c>
      <c r="B16" s="17" t="n">
        <v>14032</v>
      </c>
      <c r="C16" s="17" t="n">
        <v>17931</v>
      </c>
      <c r="D16" s="17" t="n">
        <v>30756</v>
      </c>
      <c r="E16" s="17" t="n">
        <v>141581</v>
      </c>
      <c r="F16" s="17" t="n">
        <v>143437</v>
      </c>
    </row>
    <row r="17">
      <c r="A17" s="16" t="inlineStr">
        <is>
          <t>Tilgodehavende skat hos tilknyttede virksomheder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Kortfristede skattetilgodehavender</t>
        </is>
      </c>
      <c r="B18" s="17" t="n"/>
      <c r="C18" s="17" t="n"/>
      <c r="D18" s="17" t="n">
        <v>0</v>
      </c>
      <c r="E18" s="17" t="n">
        <v>12674</v>
      </c>
      <c r="F18" s="17" t="n">
        <v>2377</v>
      </c>
    </row>
    <row r="19">
      <c r="A19" s="15" t="inlineStr">
        <is>
          <t>Tilgodehavender</t>
        </is>
      </c>
      <c r="B19" s="17" t="n">
        <v>10115</v>
      </c>
      <c r="C19" s="17" t="n">
        <v>41357</v>
      </c>
      <c r="D19" s="17" t="n">
        <v>32029</v>
      </c>
      <c r="E19" s="17" t="n">
        <v>36390</v>
      </c>
      <c r="F19" s="17" t="n">
        <v>47355</v>
      </c>
    </row>
    <row r="20">
      <c r="A20" s="16" t="inlineStr">
        <is>
          <t>Værdipapirer</t>
        </is>
      </c>
      <c r="B20" s="17" t="n"/>
      <c r="C20" s="17" t="n"/>
      <c r="D20" s="17" t="n"/>
      <c r="E20" s="17" t="n"/>
      <c r="F20" s="17" t="n"/>
    </row>
    <row r="21">
      <c r="A21" s="16" t="inlineStr">
        <is>
          <t>Likvide beholdninger</t>
        </is>
      </c>
      <c r="B21" s="17" t="n">
        <v>258247</v>
      </c>
      <c r="C21" s="17" t="n">
        <v>67364</v>
      </c>
      <c r="D21" s="17" t="n">
        <v>127971</v>
      </c>
      <c r="E21" s="17" t="n">
        <v>143948</v>
      </c>
      <c r="F21" s="17" t="n">
        <v>-90</v>
      </c>
    </row>
    <row r="22">
      <c r="A22" s="15" t="inlineStr">
        <is>
          <t>Omsætningsaktiver</t>
        </is>
      </c>
      <c r="B22" s="17" t="n">
        <v>327263</v>
      </c>
      <c r="C22" s="17" t="n">
        <v>181850</v>
      </c>
      <c r="D22" s="17" t="n">
        <v>270055</v>
      </c>
      <c r="E22" s="17" t="n">
        <v>322600</v>
      </c>
      <c r="F22" s="17" t="n">
        <v>240610</v>
      </c>
    </row>
    <row r="23">
      <c r="A23" s="15" t="inlineStr">
        <is>
          <t>Aktiver</t>
        </is>
      </c>
      <c r="B23" s="17" t="n">
        <v>2257486</v>
      </c>
      <c r="C23" s="17" t="n">
        <v>2113938</v>
      </c>
      <c r="D23" s="17" t="n">
        <v>2153176</v>
      </c>
      <c r="E23" s="17" t="n">
        <v>2338989</v>
      </c>
      <c r="F23" s="17" t="n">
        <v>2750368</v>
      </c>
    </row>
    <row r="24">
      <c r="A24" s="16" t="inlineStr">
        <is>
          <t>Selskabskapital</t>
        </is>
      </c>
      <c r="B24" s="17" t="n">
        <v>64557</v>
      </c>
      <c r="C24" s="17" t="n">
        <v>64557</v>
      </c>
      <c r="D24" s="17" t="n">
        <v>86591</v>
      </c>
      <c r="E24" s="17" t="n">
        <v>87366</v>
      </c>
      <c r="F24" s="17" t="n">
        <v>87814</v>
      </c>
    </row>
    <row r="25">
      <c r="A25" s="16" t="inlineStr">
        <is>
          <t>Reserve for nettoopskrivning (indre værdis metode)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Reserve for udviklingsomkostninger</t>
        </is>
      </c>
      <c r="B26" s="17" t="n"/>
      <c r="C26" s="17" t="n"/>
      <c r="D26" s="17" t="n"/>
      <c r="E26" s="17" t="n"/>
      <c r="F26" s="17" t="n"/>
    </row>
    <row r="27">
      <c r="A27" s="16" t="inlineStr">
        <is>
          <t>Reserve for sikringstransaktioner</t>
        </is>
      </c>
      <c r="B27" s="17" t="n"/>
      <c r="C27" s="17" t="n"/>
      <c r="D27" s="17" t="n"/>
      <c r="E27" s="17" t="n"/>
      <c r="F27" s="17" t="n"/>
    </row>
    <row r="28">
      <c r="A28" s="16" t="inlineStr">
        <is>
          <t>Andre reserver</t>
        </is>
      </c>
      <c r="B28" s="17" t="n">
        <v>-12169</v>
      </c>
      <c r="C28" s="17" t="n">
        <v>-22237</v>
      </c>
      <c r="D28" s="17" t="n">
        <v>-21653</v>
      </c>
      <c r="E28" s="17" t="n">
        <v>-43523</v>
      </c>
      <c r="F28" s="17" t="n">
        <v>4416</v>
      </c>
    </row>
    <row r="29">
      <c r="A29" s="16" t="inlineStr">
        <is>
          <t>Overført resultat</t>
        </is>
      </c>
      <c r="B29" s="17" t="n">
        <v>-826886</v>
      </c>
      <c r="C29" s="17" t="n">
        <v>-1087558</v>
      </c>
      <c r="D29" s="17" t="n">
        <v>-205961</v>
      </c>
      <c r="E29" s="17" t="n">
        <v>-28256</v>
      </c>
      <c r="F29" s="17" t="n">
        <v>-39023</v>
      </c>
    </row>
    <row r="30">
      <c r="A30" s="15" t="inlineStr">
        <is>
          <t>Egenkapital i alt</t>
        </is>
      </c>
      <c r="B30" s="17" t="n">
        <v>-774498</v>
      </c>
      <c r="C30" s="17" t="n">
        <v>-1045238</v>
      </c>
      <c r="D30" s="17" t="n">
        <v>-141023</v>
      </c>
      <c r="E30" s="17" t="n">
        <v>15587</v>
      </c>
      <c r="F30" s="17" t="n">
        <v>53207</v>
      </c>
    </row>
    <row r="31">
      <c r="A31" s="15" t="inlineStr">
        <is>
          <t>Hensatte forpligtelser</t>
        </is>
      </c>
      <c r="B31" s="17" t="n">
        <v>60843</v>
      </c>
      <c r="C31" s="17" t="n">
        <v>62769</v>
      </c>
      <c r="D31" s="17" t="n">
        <v>71427</v>
      </c>
      <c r="E31" s="17" t="n">
        <v>79797</v>
      </c>
      <c r="F31" s="17" t="n">
        <v>89414</v>
      </c>
    </row>
    <row r="32">
      <c r="A32" s="16" t="inlineStr">
        <is>
          <t>Ansvarlig lånekapital (langfristet)</t>
        </is>
      </c>
      <c r="B32" s="17" t="n"/>
      <c r="C32" s="17" t="n"/>
      <c r="D32" s="17" t="n"/>
      <c r="E32" s="17" t="n"/>
      <c r="F32" s="17" t="n"/>
    </row>
    <row r="33">
      <c r="A33" s="16" t="inlineStr">
        <is>
          <t>Langfristede lån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Leasingforpligtelser (langfristet)</t>
        </is>
      </c>
      <c r="B34" s="17" t="n">
        <v>1408822</v>
      </c>
      <c r="C34" s="17" t="n">
        <v>1375790</v>
      </c>
      <c r="D34" s="17" t="n">
        <v>1239135</v>
      </c>
      <c r="E34" s="17" t="n">
        <v>1186718</v>
      </c>
      <c r="F34" s="17" t="n">
        <v>1251732</v>
      </c>
    </row>
    <row r="35">
      <c r="A35" s="16" t="inlineStr">
        <is>
          <t>Anden gæld (langfristet)</t>
        </is>
      </c>
      <c r="B35" s="17" t="n">
        <v>3444</v>
      </c>
      <c r="C35" s="17" t="n">
        <v>2383</v>
      </c>
      <c r="D35" s="17" t="n">
        <v>2383</v>
      </c>
      <c r="E35" s="17" t="n">
        <v>4006</v>
      </c>
      <c r="F35" s="17" t="n">
        <v>2932</v>
      </c>
    </row>
    <row r="36">
      <c r="A36" s="15" t="inlineStr">
        <is>
          <t>Langfristede gældsforpligtelser</t>
        </is>
      </c>
      <c r="B36" s="17" t="n">
        <v>967817</v>
      </c>
      <c r="C36" s="17" t="n">
        <v>0</v>
      </c>
      <c r="D36" s="17" t="n">
        <v>332010</v>
      </c>
      <c r="E36" s="17" t="n">
        <v>338144</v>
      </c>
      <c r="F36" s="17" t="n">
        <v>339267</v>
      </c>
    </row>
    <row r="37">
      <c r="A37" s="16" t="inlineStr">
        <is>
          <t>Ansvarlig lånekapital (kortfristet)</t>
        </is>
      </c>
      <c r="B37" s="17" t="n"/>
      <c r="C37" s="17" t="n"/>
      <c r="D37" s="17" t="n"/>
      <c r="E37" s="17" t="n"/>
      <c r="F37" s="17" t="n"/>
    </row>
    <row r="38">
      <c r="A38" s="16" t="inlineStr">
        <is>
          <t>Kortfristet del af langfristede gældsforpligtelser</t>
        </is>
      </c>
      <c r="B38" s="17" t="n"/>
      <c r="C38" s="17" t="n"/>
      <c r="D38" s="17" t="n"/>
      <c r="E38" s="17" t="n"/>
      <c r="F38" s="17" t="n"/>
    </row>
    <row r="39">
      <c r="A39" s="16" t="inlineStr">
        <is>
          <t>Kreditinstitutter</t>
        </is>
      </c>
      <c r="B39" s="17" t="n">
        <v>0</v>
      </c>
      <c r="C39" s="17" t="n">
        <v>1005482</v>
      </c>
      <c r="D39" s="17" t="n">
        <v>12773</v>
      </c>
      <c r="E39" s="17" t="n"/>
      <c r="F39" s="17" t="n"/>
    </row>
    <row r="40">
      <c r="A40" s="16" t="inlineStr">
        <is>
          <t>Leasingforpligtelser (kortfristet)</t>
        </is>
      </c>
      <c r="B40" s="17" t="n">
        <v>140000</v>
      </c>
      <c r="C40" s="17" t="n">
        <v>163019</v>
      </c>
      <c r="D40" s="17" t="n">
        <v>198415</v>
      </c>
      <c r="E40" s="17" t="n">
        <v>239901</v>
      </c>
      <c r="F40" s="17" t="n">
        <v>354338</v>
      </c>
    </row>
    <row r="41">
      <c r="A41" s="16" t="inlineStr">
        <is>
          <t>Leverandører af varer og tjenesteydelser</t>
        </is>
      </c>
      <c r="B41" s="17" t="n">
        <v>189134</v>
      </c>
      <c r="C41" s="17" t="n">
        <v>226374</v>
      </c>
      <c r="D41" s="17" t="n">
        <v>130198</v>
      </c>
      <c r="E41" s="17" t="n">
        <v>236402</v>
      </c>
      <c r="F41" s="17" t="n">
        <v>315895</v>
      </c>
    </row>
    <row r="42">
      <c r="A42" s="16" t="inlineStr">
        <is>
          <t>Gæld til tilknyttede virksomheder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Gæld til selskabsdeltagere og ledelse</t>
        </is>
      </c>
      <c r="B43" s="17" t="n"/>
      <c r="C43" s="17" t="n"/>
      <c r="D43" s="17" t="n"/>
      <c r="E43" s="17" t="n"/>
      <c r="F43" s="17" t="n"/>
    </row>
    <row r="44">
      <c r="A44" s="16" t="inlineStr">
        <is>
          <t>Selskabsskat</t>
        </is>
      </c>
      <c r="B44" s="17" t="n"/>
      <c r="C44" s="17" t="n"/>
      <c r="D44" s="17" t="n"/>
      <c r="E44" s="17" t="n"/>
      <c r="F44" s="17" t="n"/>
    </row>
    <row r="45">
      <c r="A45" s="16" t="inlineStr">
        <is>
          <t>Gæld til tilknyttede virksomheder vedr. selskabsskat</t>
        </is>
      </c>
      <c r="B45" s="17" t="n"/>
      <c r="C45" s="17" t="n"/>
      <c r="D45" s="17" t="n"/>
      <c r="E45" s="17" t="n"/>
      <c r="F45" s="17" t="n"/>
    </row>
    <row r="46">
      <c r="A46" s="16" t="inlineStr">
        <is>
          <t>Anden gæld (kortfristet)</t>
        </is>
      </c>
      <c r="B46" s="17" t="n">
        <v>93895</v>
      </c>
      <c r="C46" s="17" t="n">
        <v>100318</v>
      </c>
      <c r="D46" s="17" t="n"/>
      <c r="E46" s="17" t="n">
        <v>100938</v>
      </c>
      <c r="F46" s="17" t="n">
        <v>106163</v>
      </c>
    </row>
    <row r="47">
      <c r="A47" s="16" t="inlineStr">
        <is>
          <t>Periodeafgrænsningsposter (passiver)</t>
        </is>
      </c>
      <c r="B47" s="17" t="n">
        <v>11421</v>
      </c>
      <c r="C47" s="17" t="n">
        <v>25486</v>
      </c>
      <c r="D47" s="17" t="n">
        <v>20644</v>
      </c>
      <c r="E47" s="17" t="n">
        <v>28042</v>
      </c>
      <c r="F47" s="17" t="n">
        <v>34041</v>
      </c>
    </row>
    <row r="48">
      <c r="A48" s="15" t="inlineStr">
        <is>
          <t>Kortfristede gældsforpligtelser</t>
        </is>
      </c>
      <c r="B48" s="17" t="n">
        <v>445373</v>
      </c>
      <c r="C48" s="17" t="n">
        <v>1538048</v>
      </c>
      <c r="D48" s="17" t="n">
        <v>564617</v>
      </c>
      <c r="E48" s="17" t="n">
        <v>627439</v>
      </c>
      <c r="F48" s="17" t="n">
        <v>877976</v>
      </c>
    </row>
    <row r="49">
      <c r="A49" s="15" t="inlineStr">
        <is>
          <t>Gældsforpligtelser</t>
        </is>
      </c>
      <c r="B49" s="17" t="n">
        <v>3031711</v>
      </c>
      <c r="C49" s="17" t="n">
        <v>3159050</v>
      </c>
      <c r="D49" s="17" t="n">
        <v>2293880</v>
      </c>
      <c r="E49" s="17" t="n">
        <v>2323134</v>
      </c>
      <c r="F49" s="17" t="n">
        <v>2696913</v>
      </c>
    </row>
    <row r="50">
      <c r="A50" s="15" t="inlineStr">
        <is>
          <t>Passiver</t>
        </is>
      </c>
      <c r="B50" s="17" t="n">
        <v>2257486</v>
      </c>
      <c r="C50" s="17" t="n">
        <v>2113938</v>
      </c>
      <c r="D50" s="17" t="n">
        <v>2153176</v>
      </c>
      <c r="E50" s="17" t="n">
        <v>2338989</v>
      </c>
      <c r="F50" s="17" t="n">
        <v>2750368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Joe &amp; The Juice Holding A/S (CVR 35527990)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115255</v>
      </c>
      <c r="C2" s="17" t="n">
        <v>152653</v>
      </c>
      <c r="D2" s="17" t="n">
        <v>288878</v>
      </c>
      <c r="E2" s="17" t="n">
        <v>385285</v>
      </c>
      <c r="F2" s="17" t="n">
        <v>478969</v>
      </c>
    </row>
    <row r="3">
      <c r="A3" s="16" t="inlineStr">
        <is>
          <t>Pengestrømme fra investeringsaktivitet</t>
        </is>
      </c>
      <c r="B3" s="17" t="n">
        <v>-77491</v>
      </c>
      <c r="C3" s="17" t="n">
        <v>-136683</v>
      </c>
      <c r="D3" s="17" t="n">
        <v>-194234</v>
      </c>
      <c r="E3" s="17" t="n">
        <v>-186853</v>
      </c>
      <c r="F3" s="17" t="n">
        <v>-492844</v>
      </c>
    </row>
    <row r="4">
      <c r="A4" s="16" t="inlineStr">
        <is>
          <t>Pengestrømme fra finansieringsaktivitet</t>
        </is>
      </c>
      <c r="B4" s="17" t="n">
        <v>149635</v>
      </c>
      <c r="C4" s="17" t="n">
        <v>-207165</v>
      </c>
      <c r="D4" s="17" t="n">
        <v>-35524</v>
      </c>
      <c r="E4" s="17" t="n">
        <v>-168730</v>
      </c>
      <c r="F4" s="17" t="n">
        <v>-181096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Joe &amp; The Juice Holding A/S (CVR 35527990) — Regnskabs- og nøgletal (CVR: 35527990)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'res_raw_35527990'!$F$2</f>
        <v/>
      </c>
      <c r="C5" s="24">
        <f>'res_raw_35527990'!$E$2</f>
        <v/>
      </c>
      <c r="D5" s="24">
        <f>'res_raw_35527990'!$D$2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'res_raw_35527990'!$F$3</f>
        <v/>
      </c>
      <c r="C6" s="24">
        <f>'res_raw_35527990'!$E$3</f>
        <v/>
      </c>
      <c r="D6" s="24">
        <f>'res_raw_35527990'!$D$3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-'res_raw_35527990'!$F$4</f>
        <v/>
      </c>
      <c r="C7" s="24">
        <f>-'res_raw_35527990'!$E$4</f>
        <v/>
      </c>
      <c r="D7" s="24">
        <f>-'res_raw_35527990'!$D$4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-'res_raw_35527990'!$F$5</f>
        <v/>
      </c>
      <c r="C8" s="24">
        <f>-'res_raw_35527990'!$E$5</f>
        <v/>
      </c>
      <c r="D8" s="24">
        <f>-'res_raw_35527990'!$D$5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IF(ABS((SUM(B5:B8))-'res_raw_35527990'!$F$6)&lt;=2,SUM(B5:B8),'res_raw_35527990'!$F$6)</f>
        <v/>
      </c>
      <c r="C9" s="27">
        <f>IF(ABS((SUM(C5:C8))-'res_raw_35527990'!$E$6)&lt;=2,SUM(C5:C8),'res_raw_35527990'!$E$6)</f>
        <v/>
      </c>
      <c r="D9" s="27">
        <f>IF(ABS((SUM(D5:D8))-'res_raw_35527990'!$D$6)&lt;=2,SUM(D5:D8),'res_raw_35527990'!$D$6)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-'res_raw_35527990'!$F$7</f>
        <v/>
      </c>
      <c r="C10" s="24">
        <f>-'res_raw_35527990'!$E$7</f>
        <v/>
      </c>
      <c r="D10" s="24">
        <f>-'res_raw_35527990'!$D$7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-'res_raw_35527990'!$F$9</f>
        <v/>
      </c>
      <c r="C11" s="24">
        <f>-'res_raw_35527990'!$E$9</f>
        <v/>
      </c>
      <c r="D11" s="24">
        <f>-'res_raw_35527990'!$D$9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-'res_raw_35527990'!$F$10</f>
        <v/>
      </c>
      <c r="C12" s="24">
        <f>-'res_raw_35527990'!$E$10</f>
        <v/>
      </c>
      <c r="D12" s="24">
        <f>-'res_raw_35527990'!$D$10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IF(ABS((SUM(B9:B12))-'res_raw_35527990'!$F$11)&lt;=2,SUM(B9:B12),'res_raw_35527990'!$F$11)</f>
        <v/>
      </c>
      <c r="C13" s="27">
        <f>IF(ABS((SUM(C9:C12))-'res_raw_35527990'!$E$11)&lt;=2,SUM(C9:C12),'res_raw_35527990'!$E$11)</f>
        <v/>
      </c>
      <c r="D13" s="27">
        <f>IF(ABS((SUM(D9:D12))-'res_raw_35527990'!$D$11)&lt;=2,SUM(D9:D12),'res_raw_35527990'!$D$11)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N('res_raw_35527990'!$F$12)+N('res_raw_35527990'!$F$13)</f>
        <v/>
      </c>
      <c r="C14" s="24">
        <f>N('res_raw_35527990'!$E$12)+N('res_raw_35527990'!$E$13)</f>
        <v/>
      </c>
      <c r="D14" s="24">
        <f>N('res_raw_35527990'!$D$12)+N('res_raw_35527990'!$D$13)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-'res_raw_35527990'!$F$14</f>
        <v/>
      </c>
      <c r="C15" s="24">
        <f>-'res_raw_35527990'!$E$14</f>
        <v/>
      </c>
      <c r="D15" s="24">
        <f>-'res_raw_35527990'!$D$14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IF(ABS((SUM(B13:B15))-'res_raw_35527990'!$F$16)&lt;=2,SUM(B13:B15),'res_raw_35527990'!$F$16)</f>
        <v/>
      </c>
      <c r="C16" s="27">
        <f>IF(ABS((SUM(C13:C15))-'res_raw_35527990'!$E$16)&lt;=2,SUM(C13:C15),'res_raw_35527990'!$E$16)</f>
        <v/>
      </c>
      <c r="D16" s="27">
        <f>IF(ABS((SUM(D13:D15))-'res_raw_35527990'!$D$16)&lt;=2,SUM(D13:D15),'res_raw_35527990'!$D$16)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'balance_raw_35527990'!$F$7</f>
        <v/>
      </c>
      <c r="C19" s="24">
        <f>'balance_raw_35527990'!$E$7</f>
        <v/>
      </c>
      <c r="D19" s="24">
        <f>'balance_raw_35527990'!$D$7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'balance_raw_35527990'!$F$22</f>
        <v/>
      </c>
      <c r="C20" s="24">
        <f>'balance_raw_35527990'!$E$22</f>
        <v/>
      </c>
      <c r="D20" s="24">
        <f>'balance_raw_35527990'!$D$22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'balance_raw_35527990'!$F$30</f>
        <v/>
      </c>
      <c r="C23" s="24">
        <f>'balance_raw_35527990'!$E$30</f>
        <v/>
      </c>
      <c r="D23" s="24">
        <f>'balance_raw_35527990'!$D$30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'balance_raw_35527990'!$F$50-'balance_raw_35527990'!$F$30</f>
        <v/>
      </c>
      <c r="C24" s="24">
        <f>'balance_raw_35527990'!$E$50-'balance_raw_35527990'!$E$30</f>
        <v/>
      </c>
      <c r="D24" s="24">
        <f>'balance_raw_35527990'!$D$50-'balance_raw_35527990'!$D$30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'balance_raw_35527990'!$F$11</f>
        <v/>
      </c>
      <c r="C28" s="24">
        <f>'balance_raw_35527990'!$E$11</f>
        <v/>
      </c>
      <c r="D28" s="24">
        <f>'balance_raw_35527990'!$D$11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'balance_raw_35527990'!$F$12</f>
        <v/>
      </c>
      <c r="C29" s="24">
        <f>'balance_raw_35527990'!$E$12</f>
        <v/>
      </c>
      <c r="D29" s="24">
        <f>'balance_raw_35527990'!$D$12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'balance_raw_35527990'!$F$48</f>
        <v/>
      </c>
      <c r="C30" s="24">
        <f>'balance_raw_35527990'!$E$48</f>
        <v/>
      </c>
      <c r="D30" s="24">
        <f>'balance_raw_35527990'!$D$48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IF('balance_raw_35527990'!$F$23="","—",IF(ABS(B21-'balance_raw_35527990'!$F$23)&lt;=1,"✓ OK","❌ "&amp;TEXT(B21-'balance_raw_35527990'!$F$23,"+#,##0;-#,##0")&amp;" t.kr."))</f>
        <v/>
      </c>
      <c r="C61" s="29">
        <f>IF('balance_raw_35527990'!$E$23="","—",IF(ABS(C21-'balance_raw_35527990'!$E$23)&lt;=1,"✓ OK","❌ "&amp;TEXT(C21-'balance_raw_35527990'!$E$23,"+#,##0;-#,##0")&amp;" t.kr."))</f>
        <v/>
      </c>
      <c r="D61" s="29">
        <f>IF('balance_raw_35527990'!$D$23="","—",IF(ABS(D21-'balance_raw_35527990'!$D$23)&lt;=1,"✓ OK","❌ "&amp;TEXT(D21-'balance_raw_35527990'!$D$23,"+#,##0;-#,##0")&amp;"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IF('balance_raw_35527990'!$F$50="","—",IF(ABS(B25-'balance_raw_35527990'!$F$50)&lt;=1,"✓ OK","❌ "&amp;TEXT(B25-'balance_raw_35527990'!$F$50,"+#,##0;-#,##0")&amp;" t.kr."))</f>
        <v/>
      </c>
      <c r="C62" s="29">
        <f>IF('balance_raw_35527990'!$E$50="","—",IF(ABS(C25-'balance_raw_35527990'!$E$50)&lt;=1,"✓ OK","❌ "&amp;TEXT(C25-'balance_raw_35527990'!$E$50,"+#,##0;-#,##0")&amp;" t.kr."))</f>
        <v/>
      </c>
      <c r="D62" s="29">
        <f>IF('balance_raw_35527990'!$D$50="","—",IF(ABS(D25-'balance_raw_35527990'!$D$50)&lt;=1,"✓ OK","❌ "&amp;TEXT(D25-'balance_raw_35527990'!$D$50,"+#,##0;-#,##0")&amp;"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IF('res_raw_35527990'!$F$6="","—",IF(ABS(B9-'res_raw_35527990'!$F$6)&lt;=1,"✓ OK","❌ "&amp;TEXT(B9-'res_raw_35527990'!$F$6,"+#,##0;-#,##0")&amp;" t.kr."))</f>
        <v/>
      </c>
      <c r="C64" s="29">
        <f>IF('res_raw_35527990'!$E$6="","—",IF(ABS(C9-'res_raw_35527990'!$E$6)&lt;=1,"✓ OK","❌ "&amp;TEXT(C9-'res_raw_35527990'!$E$6,"+#,##0;-#,##0")&amp;" t.kr."))</f>
        <v/>
      </c>
      <c r="D64" s="29">
        <f>IF('res_raw_35527990'!$D$6="","—",IF(ABS(D9-'res_raw_35527990'!$D$6)&lt;=1,"✓ OK","❌ "&amp;TEXT(D9-'res_raw_35527990'!$D$6,"+#,##0;-#,##0")&amp;"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IF('res_raw_35527990'!$F$11="","—",IF(ABS(B13-'res_raw_35527990'!$F$11)&lt;=1,"✓ OK","❌ "&amp;TEXT(B13-'res_raw_35527990'!$F$11,"+#,##0;-#,##0")&amp;" t.kr."))</f>
        <v/>
      </c>
      <c r="C65" s="29">
        <f>IF('res_raw_35527990'!$E$11="","—",IF(ABS(C13-'res_raw_35527990'!$E$11)&lt;=1,"✓ OK","❌ "&amp;TEXT(C13-'res_raw_35527990'!$E$11,"+#,##0;-#,##0")&amp;" t.kr."))</f>
        <v/>
      </c>
      <c r="D65" s="29">
        <f>IF('res_raw_35527990'!$D$11="","—",IF(ABS(D13-'res_raw_35527990'!$D$11)&lt;=1,"✓ OK","❌ "&amp;TEXT(D13-'res_raw_35527990'!$D$11,"+#,##0;-#,##0")&amp;"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IF('res_raw_35527990'!$F$16="","—",IF(ABS(B16-'res_raw_35527990'!$F$16)&lt;=1,"✓ OK","❌ "&amp;TEXT(B16-'res_raw_35527990'!$F$16,"+#,##0;-#,##0")&amp;" t.kr."))</f>
        <v/>
      </c>
      <c r="C66" s="29">
        <f>IF('res_raw_35527990'!$E$16="","—",IF(ABS(C16-'res_raw_35527990'!$E$16)&lt;=1,"✓ OK","❌ "&amp;TEXT(C16-'res_raw_35527990'!$E$16,"+#,##0;-#,##0")&amp;" t.kr."))</f>
        <v/>
      </c>
      <c r="D66" s="29">
        <f>IF('res_raw_35527990'!$D$16="","—",IF(ABS(D16-'res_raw_35527990'!$D$16)&lt;=1,"✓ OK","❌ "&amp;TEXT(D16-'res_raw_35527990'!$D$16,"+#,##0;-#,##0")&amp;"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Joe &amp; The Juice Holding A/S (CVR 35527990)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ifrs-full:AdjustmentsForDecreaseIncreaseInTradeAccountReceivable</t>
        </is>
      </c>
      <c r="C3" s="34" t="inlineStr">
        <is>
          <t>ifrs-full:AdjustmentsForDecreaseIncreaseInTradeAccountReceivable</t>
        </is>
      </c>
      <c r="D3" s="35" t="n"/>
      <c r="E3" s="35" t="n"/>
      <c r="F3" s="35" t="n"/>
      <c r="G3" s="35" t="n">
        <v>-23332</v>
      </c>
      <c r="H3" s="35" t="n">
        <v>-31069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ifrs-full:AdjustmentsForGainLossOnDisposalsPropertyPlantAndEquipment</t>
        </is>
      </c>
      <c r="C4" s="37" t="inlineStr">
        <is>
          <t>ifrs-full:AdjustmentsForGainLossOnDisposalsPropertyPlantAndEquipment</t>
        </is>
      </c>
      <c r="D4" s="38" t="n"/>
      <c r="E4" s="38" t="n"/>
      <c r="F4" s="38" t="n">
        <v>-3057</v>
      </c>
      <c r="G4" s="38" t="n">
        <v>-42274</v>
      </c>
      <c r="H4" s="38" t="n">
        <v>-11575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ifrs-full:AdjustmentsForIncreaseDecreaseInTradeAccountPayable</t>
        </is>
      </c>
      <c r="C5" s="34" t="inlineStr">
        <is>
          <t>ifrs-full:AdjustmentsForIncreaseDecreaseInTradeAccountPayable</t>
        </is>
      </c>
      <c r="D5" s="35" t="n"/>
      <c r="E5" s="35" t="n"/>
      <c r="F5" s="35" t="n"/>
      <c r="G5" s="35" t="n">
        <v>15291</v>
      </c>
      <c r="H5" s="35" t="n">
        <v>115310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ifrs-full:AdjustmentsForSharebasedPayments</t>
        </is>
      </c>
      <c r="C6" s="37" t="inlineStr">
        <is>
          <t>ifrs-full:AdjustmentsForSharebasedPayments</t>
        </is>
      </c>
      <c r="D6" s="38" t="n">
        <v>-446</v>
      </c>
      <c r="E6" s="38" t="n">
        <v>300</v>
      </c>
      <c r="F6" s="38" t="n">
        <v>-14294</v>
      </c>
      <c r="G6" s="38" t="n">
        <v>4685</v>
      </c>
      <c r="H6" s="38" t="n">
        <v>10805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ifrs-full:BankOverdraftsClassifiedAsCashEquivalents</t>
        </is>
      </c>
      <c r="C7" s="34" t="inlineStr">
        <is>
          <t>ifrs-full:BankOverdraftsClassifiedAsCashEquivalents</t>
        </is>
      </c>
      <c r="D7" s="35" t="n"/>
      <c r="E7" s="35" t="n"/>
      <c r="F7" s="35" t="n"/>
      <c r="G7" s="35" t="n">
        <v>0</v>
      </c>
      <c r="H7" s="35" t="n">
        <v>90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ifrs-full:NoncurrentPayablesToTradeSuppliers</t>
        </is>
      </c>
      <c r="C8" s="37" t="inlineStr">
        <is>
          <t>ifrs-full:NoncurrentPayablesToTradeSuppliers</t>
        </is>
      </c>
      <c r="D8" s="38" t="n"/>
      <c r="E8" s="38" t="n"/>
      <c r="F8" s="38" t="n"/>
      <c r="G8" s="38" t="n"/>
      <c r="H8" s="38" t="n"/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ifrs-full:OtherComprehensiveIncomeNetOfTaxCashFlowHedges</t>
        </is>
      </c>
      <c r="C9" s="34" t="inlineStr">
        <is>
          <t>ifrs-full:OtherComprehensiveIncomeNetOfTaxCashFlowHedges</t>
        </is>
      </c>
      <c r="D9" s="35" t="n">
        <v>4582</v>
      </c>
      <c r="E9" s="35" t="n">
        <v>3104</v>
      </c>
      <c r="F9" s="35" t="n"/>
      <c r="G9" s="35" t="n"/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ifrs-full:PaymentsForShareIssueCosts</t>
        </is>
      </c>
      <c r="C10" s="37" t="inlineStr">
        <is>
          <t>ifrs-full:PaymentsForShareIssueCosts</t>
        </is>
      </c>
      <c r="D10" s="38" t="n">
        <v>1107</v>
      </c>
      <c r="E10" s="38" t="n">
        <v>0</v>
      </c>
      <c r="F10" s="38" t="n">
        <v>2369</v>
      </c>
      <c r="G10" s="38" t="n"/>
      <c r="H10" s="38" t="n"/>
      <c r="I1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2026-10-02T21:57:10Z</dcterms:created>
  <dcterms:modified xmlns:dcterms="http://purl.org/dc/terms/" xmlns:xsi="http://www.w3.org/2001/XMLSchema-instance" xsi:type="dcterms:W3CDTF">2026-10-02T21:57:11Z</dcterms:modified>
</cp:coreProperties>
</file>