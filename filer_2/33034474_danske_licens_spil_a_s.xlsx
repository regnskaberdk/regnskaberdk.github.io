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3034474" sheetId="1" state="visible" r:id="rId1"/>
    <sheet xmlns:r="http://schemas.openxmlformats.org/officeDocument/2006/relationships" name="res_raw_33034474" sheetId="2" state="visible" r:id="rId2"/>
    <sheet xmlns:r="http://schemas.openxmlformats.org/officeDocument/2006/relationships" name="balance_raw_33034474" sheetId="3" state="visible" r:id="rId3"/>
    <sheet xmlns:r="http://schemas.openxmlformats.org/officeDocument/2006/relationships" name="pengestrom_raw_33034474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Danske Licens Spil A/S (CVR 33034474) — Regnskabsanalyse – Resultatopgørelse &amp; Balance (t.kr.)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'res_raw_33034474'!$B$2</f>
        <v/>
      </c>
      <c r="C4" s="5">
        <f>'res_raw_33034474'!$C$2</f>
        <v/>
      </c>
      <c r="D4" s="5">
        <f>'res_raw_33034474'!$D$2</f>
        <v/>
      </c>
      <c r="E4" s="5">
        <f>'res_raw_33034474'!$E$2</f>
        <v/>
      </c>
      <c r="F4" s="5">
        <f>'res_raw_33034474'!$F$2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'res_raw_33034474'!$B$3</f>
        <v/>
      </c>
      <c r="C5" s="8">
        <f>'res_raw_33034474'!$C$3</f>
        <v/>
      </c>
      <c r="D5" s="8">
        <f>'res_raw_33034474'!$D$3</f>
        <v/>
      </c>
      <c r="E5" s="8">
        <f>'res_raw_33034474'!$E$3</f>
        <v/>
      </c>
      <c r="F5" s="8">
        <f>'res_raw_33034474'!$F$3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'res_raw_33034474'!$B$4</f>
        <v/>
      </c>
      <c r="C6" s="5">
        <f>'res_raw_33034474'!$C$4</f>
        <v/>
      </c>
      <c r="D6" s="5">
        <f>'res_raw_33034474'!$D$4</f>
        <v/>
      </c>
      <c r="E6" s="5">
        <f>'res_raw_33034474'!$E$4</f>
        <v/>
      </c>
      <c r="F6" s="5">
        <f>'res_raw_33034474'!$F$4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'res_raw_33034474'!$B$5</f>
        <v/>
      </c>
      <c r="C7" s="8">
        <f>'res_raw_33034474'!$C$5</f>
        <v/>
      </c>
      <c r="D7" s="8">
        <f>'res_raw_33034474'!$D$5</f>
        <v/>
      </c>
      <c r="E7" s="8">
        <f>'res_raw_33034474'!$E$5</f>
        <v/>
      </c>
      <c r="F7" s="8">
        <f>'res_raw_33034474'!$F$5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'res_raw_33034474'!$B$6</f>
        <v/>
      </c>
      <c r="C8" s="11">
        <f>'res_raw_33034474'!$C$6</f>
        <v/>
      </c>
      <c r="D8" s="11">
        <f>'res_raw_33034474'!$D$6</f>
        <v/>
      </c>
      <c r="E8" s="11">
        <f>'res_raw_33034474'!$E$6</f>
        <v/>
      </c>
      <c r="F8" s="11">
        <f>'res_raw_33034474'!$F$6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'res_raw_33034474'!$B$7</f>
        <v/>
      </c>
      <c r="C9" s="8">
        <f>'res_raw_33034474'!$C$7</f>
        <v/>
      </c>
      <c r="D9" s="8">
        <f>'res_raw_33034474'!$D$7</f>
        <v/>
      </c>
      <c r="E9" s="8">
        <f>'res_raw_33034474'!$E$7</f>
        <v/>
      </c>
      <c r="F9" s="8">
        <f>'res_raw_33034474'!$F$7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'res_raw_33034474'!$B$9</f>
        <v/>
      </c>
      <c r="C11" s="8">
        <f>'res_raw_33034474'!$C$9</f>
        <v/>
      </c>
      <c r="D11" s="8">
        <f>'res_raw_33034474'!$D$9</f>
        <v/>
      </c>
      <c r="E11" s="8">
        <f>'res_raw_33034474'!$E$9</f>
        <v/>
      </c>
      <c r="F11" s="8">
        <f>'res_raw_33034474'!$F$9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'res_raw_33034474'!$B$10</f>
        <v/>
      </c>
      <c r="C12" s="5">
        <f>'res_raw_33034474'!$C$10</f>
        <v/>
      </c>
      <c r="D12" s="5">
        <f>'res_raw_33034474'!$D$10</f>
        <v/>
      </c>
      <c r="E12" s="5">
        <f>'res_raw_33034474'!$E$10</f>
        <v/>
      </c>
      <c r="F12" s="5">
        <f>'res_raw_33034474'!$F$10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'res_raw_33034474'!$B$11</f>
        <v/>
      </c>
      <c r="C13" s="11">
        <f>'res_raw_33034474'!$C$11</f>
        <v/>
      </c>
      <c r="D13" s="11">
        <f>'res_raw_33034474'!$D$11</f>
        <v/>
      </c>
      <c r="E13" s="11">
        <f>'res_raw_33034474'!$E$11</f>
        <v/>
      </c>
      <c r="F13" s="11">
        <f>'res_raw_33034474'!$F$11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'res_raw_33034474'!$B$12</f>
        <v/>
      </c>
      <c r="C14" s="5">
        <f>'res_raw_33034474'!$C$12</f>
        <v/>
      </c>
      <c r="D14" s="5">
        <f>'res_raw_33034474'!$D$12</f>
        <v/>
      </c>
      <c r="E14" s="5">
        <f>'res_raw_33034474'!$E$12</f>
        <v/>
      </c>
      <c r="F14" s="5">
        <f>'res_raw_33034474'!$F$12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'res_raw_33034474'!$B$13</f>
        <v/>
      </c>
      <c r="C15" s="8">
        <f>'res_raw_33034474'!$C$13</f>
        <v/>
      </c>
      <c r="D15" s="8">
        <f>'res_raw_33034474'!$D$13</f>
        <v/>
      </c>
      <c r="E15" s="8">
        <f>'res_raw_33034474'!$E$13</f>
        <v/>
      </c>
      <c r="F15" s="8">
        <f>'res_raw_33034474'!$F$13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'res_raw_33034474'!$B$14</f>
        <v/>
      </c>
      <c r="C16" s="5">
        <f>'res_raw_33034474'!$C$14</f>
        <v/>
      </c>
      <c r="D16" s="5">
        <f>'res_raw_33034474'!$D$14</f>
        <v/>
      </c>
      <c r="E16" s="5">
        <f>'res_raw_33034474'!$E$14</f>
        <v/>
      </c>
      <c r="F16" s="5">
        <f>'res_raw_33034474'!$F$14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'res_raw_33034474'!$B$15</f>
        <v/>
      </c>
      <c r="C17" s="11">
        <f>'res_raw_33034474'!$C$15</f>
        <v/>
      </c>
      <c r="D17" s="11">
        <f>'res_raw_33034474'!$D$15</f>
        <v/>
      </c>
      <c r="E17" s="11">
        <f>'res_raw_33034474'!$E$15</f>
        <v/>
      </c>
      <c r="F17" s="11">
        <f>'res_raw_33034474'!$F$15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'res_raw_33034474'!$B$16</f>
        <v/>
      </c>
      <c r="C18" s="11">
        <f>'res_raw_33034474'!$C$16</f>
        <v/>
      </c>
      <c r="D18" s="11">
        <f>'res_raw_33034474'!$D$16</f>
        <v/>
      </c>
      <c r="E18" s="11">
        <f>'res_raw_33034474'!$E$16</f>
        <v/>
      </c>
      <c r="F18" s="11">
        <f>'res_raw_33034474'!$F$16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'res_raw_33034474'!$B$17</f>
        <v/>
      </c>
      <c r="C19" s="8">
        <f>'res_raw_33034474'!$C$17</f>
        <v/>
      </c>
      <c r="D19" s="8">
        <f>'res_raw_33034474'!$D$17</f>
        <v/>
      </c>
      <c r="E19" s="8">
        <f>'res_raw_33034474'!$E$17</f>
        <v/>
      </c>
      <c r="F19" s="8">
        <f>'res_raw_33034474'!$F$17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'res_raw_33034474'!$B$18</f>
        <v/>
      </c>
      <c r="C20" s="11">
        <f>'res_raw_33034474'!$C$18</f>
        <v/>
      </c>
      <c r="D20" s="11">
        <f>'res_raw_33034474'!$D$18</f>
        <v/>
      </c>
      <c r="E20" s="11">
        <f>'res_raw_33034474'!$E$18</f>
        <v/>
      </c>
      <c r="F20" s="11">
        <f>'res_raw_33034474'!$F$18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'balance_raw_33034474'!$B$2</f>
        <v/>
      </c>
      <c r="C23" s="8">
        <f>'balance_raw_33034474'!$C$2</f>
        <v/>
      </c>
      <c r="D23" s="8">
        <f>'balance_raw_33034474'!$D$2</f>
        <v/>
      </c>
      <c r="E23" s="8">
        <f>'balance_raw_33034474'!$E$2</f>
        <v/>
      </c>
      <c r="F23" s="8">
        <f>'balance_raw_33034474'!$F$2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'balance_raw_33034474'!$B$3</f>
        <v/>
      </c>
      <c r="C24" s="5">
        <f>'balance_raw_33034474'!$C$3</f>
        <v/>
      </c>
      <c r="D24" s="5">
        <f>'balance_raw_33034474'!$D$3</f>
        <v/>
      </c>
      <c r="E24" s="5">
        <f>'balance_raw_33034474'!$E$3</f>
        <v/>
      </c>
      <c r="F24" s="5">
        <f>'balance_raw_33034474'!$F$3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'balance_raw_33034474'!$B$4</f>
        <v/>
      </c>
      <c r="C25" s="8">
        <f>'balance_raw_33034474'!$C$4</f>
        <v/>
      </c>
      <c r="D25" s="8">
        <f>'balance_raw_33034474'!$D$4</f>
        <v/>
      </c>
      <c r="E25" s="8">
        <f>'balance_raw_33034474'!$E$4</f>
        <v/>
      </c>
      <c r="F25" s="8">
        <f>'balance_raw_33034474'!$F$4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'balance_raw_33034474'!$B$5</f>
        <v/>
      </c>
      <c r="C26" s="11">
        <f>'balance_raw_33034474'!$C$5</f>
        <v/>
      </c>
      <c r="D26" s="11">
        <f>'balance_raw_33034474'!$D$5</f>
        <v/>
      </c>
      <c r="E26" s="11">
        <f>'balance_raw_33034474'!$E$5</f>
        <v/>
      </c>
      <c r="F26" s="11">
        <f>'balance_raw_33034474'!$F$5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10" t="inlineStr">
        <is>
          <t>Materielle anlægsaktiver</t>
        </is>
      </c>
      <c r="B27" s="11">
        <f>'balance_raw_33034474'!$B$6</f>
        <v/>
      </c>
      <c r="C27" s="11">
        <f>'balance_raw_33034474'!$C$6</f>
        <v/>
      </c>
      <c r="D27" s="11">
        <f>'balance_raw_33034474'!$D$6</f>
        <v/>
      </c>
      <c r="E27" s="11">
        <f>'balance_raw_33034474'!$E$6</f>
        <v/>
      </c>
      <c r="F27" s="11">
        <f>'balance_raw_33034474'!$F$6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10" t="inlineStr">
        <is>
          <t>Anlægsaktiver</t>
        </is>
      </c>
      <c r="B28" s="11">
        <f>'balance_raw_33034474'!$B$7</f>
        <v/>
      </c>
      <c r="C28" s="11">
        <f>'balance_raw_33034474'!$C$7</f>
        <v/>
      </c>
      <c r="D28" s="11">
        <f>'balance_raw_33034474'!$D$7</f>
        <v/>
      </c>
      <c r="E28" s="11">
        <f>'balance_raw_33034474'!$E$7</f>
        <v/>
      </c>
      <c r="F28" s="11">
        <f>'balance_raw_33034474'!$F$7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Tilgodehavender fra salg og tjenesteydelser</t>
        </is>
      </c>
      <c r="B29" s="8">
        <f>'balance_raw_33034474'!$B$8</f>
        <v/>
      </c>
      <c r="C29" s="8">
        <f>'balance_raw_33034474'!$C$8</f>
        <v/>
      </c>
      <c r="D29" s="8">
        <f>'balance_raw_33034474'!$D$8</f>
        <v/>
      </c>
      <c r="E29" s="8">
        <f>'balance_raw_33034474'!$E$8</f>
        <v/>
      </c>
      <c r="F29" s="8">
        <f>'balance_raw_33034474'!$F$8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Tilgodehavender hos tilknyttede virksomheder</t>
        </is>
      </c>
      <c r="B30" s="5">
        <f>'balance_raw_33034474'!$B$9</f>
        <v/>
      </c>
      <c r="C30" s="5">
        <f>'balance_raw_33034474'!$C$9</f>
        <v/>
      </c>
      <c r="D30" s="5">
        <f>'balance_raw_33034474'!$D$9</f>
        <v/>
      </c>
      <c r="E30" s="5">
        <f>'balance_raw_33034474'!$E$9</f>
        <v/>
      </c>
      <c r="F30" s="5">
        <f>'balance_raw_33034474'!$F$9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Andre tilgodehavender</t>
        </is>
      </c>
      <c r="B31" s="8">
        <f>'balance_raw_33034474'!$B$10</f>
        <v/>
      </c>
      <c r="C31" s="8">
        <f>'balance_raw_33034474'!$C$10</f>
        <v/>
      </c>
      <c r="D31" s="8">
        <f>'balance_raw_33034474'!$D$10</f>
        <v/>
      </c>
      <c r="E31" s="8">
        <f>'balance_raw_33034474'!$E$10</f>
        <v/>
      </c>
      <c r="F31" s="8">
        <f>'balance_raw_33034474'!$F$10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Periodeafgrænsningsposter (aktiver)</t>
        </is>
      </c>
      <c r="B32" s="5">
        <f>'balance_raw_33034474'!$B$11</f>
        <v/>
      </c>
      <c r="C32" s="5">
        <f>'balance_raw_33034474'!$C$11</f>
        <v/>
      </c>
      <c r="D32" s="5">
        <f>'balance_raw_33034474'!$D$11</f>
        <v/>
      </c>
      <c r="E32" s="5">
        <f>'balance_raw_33034474'!$E$11</f>
        <v/>
      </c>
      <c r="F32" s="5">
        <f>'balance_raw_33034474'!$F$11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Udskudt skatteaktiv</t>
        </is>
      </c>
      <c r="B33" s="8">
        <f>'balance_raw_33034474'!$B$12</f>
        <v/>
      </c>
      <c r="C33" s="8">
        <f>'balance_raw_33034474'!$C$12</f>
        <v/>
      </c>
      <c r="D33" s="8">
        <f>'balance_raw_33034474'!$D$12</f>
        <v/>
      </c>
      <c r="E33" s="8">
        <f>'balance_raw_33034474'!$E$12</f>
        <v/>
      </c>
      <c r="F33" s="8">
        <f>'balance_raw_33034474'!$F$12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 skat hos tilknyttede virksomheder</t>
        </is>
      </c>
      <c r="B34" s="5">
        <f>'balance_raw_33034474'!$B$13</f>
        <v/>
      </c>
      <c r="C34" s="5">
        <f>'balance_raw_33034474'!$C$13</f>
        <v/>
      </c>
      <c r="D34" s="5">
        <f>'balance_raw_33034474'!$D$13</f>
        <v/>
      </c>
      <c r="E34" s="5">
        <f>'balance_raw_33034474'!$E$13</f>
        <v/>
      </c>
      <c r="F34" s="5">
        <f>'balance_raw_33034474'!$F$13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Kortfristede skattetilgodehavender</t>
        </is>
      </c>
      <c r="B35" s="8">
        <f>'balance_raw_33034474'!$B$14</f>
        <v/>
      </c>
      <c r="C35" s="8">
        <f>'balance_raw_33034474'!$C$14</f>
        <v/>
      </c>
      <c r="D35" s="8">
        <f>'balance_raw_33034474'!$D$14</f>
        <v/>
      </c>
      <c r="E35" s="8">
        <f>'balance_raw_33034474'!$E$14</f>
        <v/>
      </c>
      <c r="F35" s="8">
        <f>'balance_raw_33034474'!$F$14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Tilgodehavender</t>
        </is>
      </c>
      <c r="B36" s="11">
        <f>'balance_raw_33034474'!$B$15</f>
        <v/>
      </c>
      <c r="C36" s="11">
        <f>'balance_raw_33034474'!$C$15</f>
        <v/>
      </c>
      <c r="D36" s="11">
        <f>'balance_raw_33034474'!$D$15</f>
        <v/>
      </c>
      <c r="E36" s="11">
        <f>'balance_raw_33034474'!$E$15</f>
        <v/>
      </c>
      <c r="F36" s="11">
        <f>'balance_raw_33034474'!$F$15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Værdipapirer</t>
        </is>
      </c>
      <c r="B37" s="8">
        <f>'balance_raw_33034474'!$B$16</f>
        <v/>
      </c>
      <c r="C37" s="8">
        <f>'balance_raw_33034474'!$C$16</f>
        <v/>
      </c>
      <c r="D37" s="8">
        <f>'balance_raw_33034474'!$D$16</f>
        <v/>
      </c>
      <c r="E37" s="8">
        <f>'balance_raw_33034474'!$E$16</f>
        <v/>
      </c>
      <c r="F37" s="8">
        <f>'balance_raw_33034474'!$F$16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Likvide beholdninger</t>
        </is>
      </c>
      <c r="B38" s="5">
        <f>'balance_raw_33034474'!$B$17</f>
        <v/>
      </c>
      <c r="C38" s="5">
        <f>'balance_raw_33034474'!$C$17</f>
        <v/>
      </c>
      <c r="D38" s="5">
        <f>'balance_raw_33034474'!$D$17</f>
        <v/>
      </c>
      <c r="E38" s="5">
        <f>'balance_raw_33034474'!$E$17</f>
        <v/>
      </c>
      <c r="F38" s="5">
        <f>'balance_raw_33034474'!$F$17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Omsætningsaktiver</t>
        </is>
      </c>
      <c r="B39" s="11">
        <f>'balance_raw_33034474'!$B$18</f>
        <v/>
      </c>
      <c r="C39" s="11">
        <f>'balance_raw_33034474'!$C$18</f>
        <v/>
      </c>
      <c r="D39" s="11">
        <f>'balance_raw_33034474'!$D$18</f>
        <v/>
      </c>
      <c r="E39" s="11">
        <f>'balance_raw_33034474'!$E$18</f>
        <v/>
      </c>
      <c r="F39" s="11">
        <f>'balance_raw_33034474'!$F$18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10" t="inlineStr">
        <is>
          <t>Aktiver</t>
        </is>
      </c>
      <c r="B40" s="11">
        <f>'balance_raw_33034474'!$B$19</f>
        <v/>
      </c>
      <c r="C40" s="11">
        <f>'balance_raw_33034474'!$C$19</f>
        <v/>
      </c>
      <c r="D40" s="11">
        <f>'balance_raw_33034474'!$D$19</f>
        <v/>
      </c>
      <c r="E40" s="11">
        <f>'balance_raw_33034474'!$E$19</f>
        <v/>
      </c>
      <c r="F40" s="11">
        <f>'balance_raw_33034474'!$F$19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2" ht="22" customHeight="1">
      <c r="A42" s="3" t="inlineStr">
        <is>
          <t>PASSIVER t.kr.</t>
        </is>
      </c>
      <c r="B42" s="3" t="n">
        <v>2021</v>
      </c>
      <c r="C42" s="3" t="n">
        <v>2022</v>
      </c>
      <c r="D42" s="3" t="n">
        <v>2023</v>
      </c>
      <c r="E42" s="3" t="n">
        <v>2024</v>
      </c>
      <c r="F42" s="3" t="n">
        <v>2025</v>
      </c>
      <c r="G42" t="inlineStr"/>
      <c r="H42" s="3" t="n">
        <v>2021</v>
      </c>
      <c r="I42" s="3" t="n">
        <v>2022</v>
      </c>
      <c r="J42" s="3" t="n">
        <v>2023</v>
      </c>
      <c r="K42" s="3" t="n">
        <v>2024</v>
      </c>
      <c r="L42" s="3" t="n">
        <v>2025</v>
      </c>
    </row>
    <row r="43" ht="16" customHeight="1">
      <c r="A43" s="7" t="inlineStr">
        <is>
          <t>Selskabskapital</t>
        </is>
      </c>
      <c r="B43" s="8">
        <f>'balance_raw_33034474'!$B$20</f>
        <v/>
      </c>
      <c r="C43" s="8">
        <f>'balance_raw_33034474'!$C$20</f>
        <v/>
      </c>
      <c r="D43" s="8">
        <f>'balance_raw_33034474'!$D$20</f>
        <v/>
      </c>
      <c r="E43" s="8">
        <f>'balance_raw_33034474'!$E$20</f>
        <v/>
      </c>
      <c r="F43" s="8">
        <f>'balance_raw_33034474'!$F$20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Reserve for nettoopskrivning (indre værdis metode)</t>
        </is>
      </c>
      <c r="B44" s="5">
        <f>'balance_raw_33034474'!$B$21</f>
        <v/>
      </c>
      <c r="C44" s="5">
        <f>'balance_raw_33034474'!$C$21</f>
        <v/>
      </c>
      <c r="D44" s="5">
        <f>'balance_raw_33034474'!$D$21</f>
        <v/>
      </c>
      <c r="E44" s="5">
        <f>'balance_raw_33034474'!$E$21</f>
        <v/>
      </c>
      <c r="F44" s="5">
        <f>'balance_raw_33034474'!$F$21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Reserve for udviklingsomkostninger</t>
        </is>
      </c>
      <c r="B45" s="8">
        <f>'balance_raw_33034474'!$B$22</f>
        <v/>
      </c>
      <c r="C45" s="8">
        <f>'balance_raw_33034474'!$C$22</f>
        <v/>
      </c>
      <c r="D45" s="8">
        <f>'balance_raw_33034474'!$D$22</f>
        <v/>
      </c>
      <c r="E45" s="8">
        <f>'balance_raw_33034474'!$E$22</f>
        <v/>
      </c>
      <c r="F45" s="8">
        <f>'balance_raw_33034474'!$F$22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Reserve for sikringstransaktioner</t>
        </is>
      </c>
      <c r="B46" s="5">
        <f>'balance_raw_33034474'!$B$23</f>
        <v/>
      </c>
      <c r="C46" s="5">
        <f>'balance_raw_33034474'!$C$23</f>
        <v/>
      </c>
      <c r="D46" s="5">
        <f>'balance_raw_33034474'!$D$23</f>
        <v/>
      </c>
      <c r="E46" s="5">
        <f>'balance_raw_33034474'!$E$23</f>
        <v/>
      </c>
      <c r="F46" s="5">
        <f>'balance_raw_33034474'!$F$23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Andre reserver</t>
        </is>
      </c>
      <c r="B47" s="8">
        <f>'balance_raw_33034474'!$B$24</f>
        <v/>
      </c>
      <c r="C47" s="8">
        <f>'balance_raw_33034474'!$C$24</f>
        <v/>
      </c>
      <c r="D47" s="8">
        <f>'balance_raw_33034474'!$D$24</f>
        <v/>
      </c>
      <c r="E47" s="8">
        <f>'balance_raw_33034474'!$E$24</f>
        <v/>
      </c>
      <c r="F47" s="8">
        <f>'balance_raw_33034474'!$F$24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Overført resultat</t>
        </is>
      </c>
      <c r="B48" s="5">
        <f>'balance_raw_33034474'!$B$25</f>
        <v/>
      </c>
      <c r="C48" s="5">
        <f>'balance_raw_33034474'!$C$25</f>
        <v/>
      </c>
      <c r="D48" s="5">
        <f>'balance_raw_33034474'!$D$25</f>
        <v/>
      </c>
      <c r="E48" s="5">
        <f>'balance_raw_33034474'!$E$25</f>
        <v/>
      </c>
      <c r="F48" s="5">
        <f>'balance_raw_33034474'!$F$25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Egenkapital i alt</t>
        </is>
      </c>
      <c r="B49" s="11">
        <f>'balance_raw_33034474'!$B$26</f>
        <v/>
      </c>
      <c r="C49" s="11">
        <f>'balance_raw_33034474'!$C$26</f>
        <v/>
      </c>
      <c r="D49" s="11">
        <f>'balance_raw_33034474'!$D$26</f>
        <v/>
      </c>
      <c r="E49" s="11">
        <f>'balance_raw_33034474'!$E$26</f>
        <v/>
      </c>
      <c r="F49" s="11">
        <f>'balance_raw_33034474'!$F$26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Hensættelse til udskudt skat</t>
        </is>
      </c>
      <c r="B50" s="5">
        <f>'balance_raw_33034474'!$B$27</f>
        <v/>
      </c>
      <c r="C50" s="5">
        <f>'balance_raw_33034474'!$C$27</f>
        <v/>
      </c>
      <c r="D50" s="5">
        <f>'balance_raw_33034474'!$D$27</f>
        <v/>
      </c>
      <c r="E50" s="5">
        <f>'balance_raw_33034474'!$E$27</f>
        <v/>
      </c>
      <c r="F50" s="5">
        <f>'balance_raw_33034474'!$F$27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Hensatte forpligtelser</t>
        </is>
      </c>
      <c r="B51" s="11">
        <f>'balance_raw_33034474'!$B$28</f>
        <v/>
      </c>
      <c r="C51" s="11">
        <f>'balance_raw_33034474'!$C$28</f>
        <v/>
      </c>
      <c r="D51" s="11">
        <f>'balance_raw_33034474'!$D$28</f>
        <v/>
      </c>
      <c r="E51" s="11">
        <f>'balance_raw_33034474'!$E$28</f>
        <v/>
      </c>
      <c r="F51" s="11">
        <f>'balance_raw_33034474'!$F$28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Langfristede gældsforpligtelser</t>
        </is>
      </c>
      <c r="B52" s="11">
        <f>'balance_raw_33034474'!$B$29</f>
        <v/>
      </c>
      <c r="C52" s="11">
        <f>'balance_raw_33034474'!$C$29</f>
        <v/>
      </c>
      <c r="D52" s="11">
        <f>'balance_raw_33034474'!$D$29</f>
        <v/>
      </c>
      <c r="E52" s="11">
        <f>'balance_raw_33034474'!$E$29</f>
        <v/>
      </c>
      <c r="F52" s="11">
        <f>'balance_raw_33034474'!$F$29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3" ht="16" customHeight="1">
      <c r="A53" s="7" t="inlineStr">
        <is>
          <t>Ansvarlig lånekapital (kortfristet)</t>
        </is>
      </c>
      <c r="B53" s="8">
        <f>'balance_raw_33034474'!$B$30</f>
        <v/>
      </c>
      <c r="C53" s="8">
        <f>'balance_raw_33034474'!$C$30</f>
        <v/>
      </c>
      <c r="D53" s="8">
        <f>'balance_raw_33034474'!$D$30</f>
        <v/>
      </c>
      <c r="E53" s="8">
        <f>'balance_raw_33034474'!$E$30</f>
        <v/>
      </c>
      <c r="F53" s="8">
        <f>'balance_raw_33034474'!$F$30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Kortfristet del af langfristede gældsforpligtelser</t>
        </is>
      </c>
      <c r="B54" s="5">
        <f>'balance_raw_33034474'!$B$31</f>
        <v/>
      </c>
      <c r="C54" s="5">
        <f>'balance_raw_33034474'!$C$31</f>
        <v/>
      </c>
      <c r="D54" s="5">
        <f>'balance_raw_33034474'!$D$31</f>
        <v/>
      </c>
      <c r="E54" s="5">
        <f>'balance_raw_33034474'!$E$31</f>
        <v/>
      </c>
      <c r="F54" s="5">
        <f>'balance_raw_33034474'!$F$31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Kreditinstitutter</t>
        </is>
      </c>
      <c r="B55" s="8">
        <f>'balance_raw_33034474'!$B$32</f>
        <v/>
      </c>
      <c r="C55" s="8">
        <f>'balance_raw_33034474'!$C$32</f>
        <v/>
      </c>
      <c r="D55" s="8">
        <f>'balance_raw_33034474'!$D$32</f>
        <v/>
      </c>
      <c r="E55" s="8">
        <f>'balance_raw_33034474'!$E$32</f>
        <v/>
      </c>
      <c r="F55" s="8">
        <f>'balance_raw_33034474'!$F$32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Leasingforpligtelser (kortfristet)</t>
        </is>
      </c>
      <c r="B56" s="5">
        <f>'balance_raw_33034474'!$B$33</f>
        <v/>
      </c>
      <c r="C56" s="5">
        <f>'balance_raw_33034474'!$C$33</f>
        <v/>
      </c>
      <c r="D56" s="5">
        <f>'balance_raw_33034474'!$D$33</f>
        <v/>
      </c>
      <c r="E56" s="5">
        <f>'balance_raw_33034474'!$E$33</f>
        <v/>
      </c>
      <c r="F56" s="5">
        <f>'balance_raw_33034474'!$F$33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Leverandører af varer og tjenesteydelser</t>
        </is>
      </c>
      <c r="B57" s="8">
        <f>'balance_raw_33034474'!$B$34</f>
        <v/>
      </c>
      <c r="C57" s="8">
        <f>'balance_raw_33034474'!$C$34</f>
        <v/>
      </c>
      <c r="D57" s="8">
        <f>'balance_raw_33034474'!$D$34</f>
        <v/>
      </c>
      <c r="E57" s="8">
        <f>'balance_raw_33034474'!$E$34</f>
        <v/>
      </c>
      <c r="F57" s="8">
        <f>'balance_raw_33034474'!$F$34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Gæld til tilknyttede virksomheder</t>
        </is>
      </c>
      <c r="B58" s="5">
        <f>'balance_raw_33034474'!$B$35</f>
        <v/>
      </c>
      <c r="C58" s="5">
        <f>'balance_raw_33034474'!$C$35</f>
        <v/>
      </c>
      <c r="D58" s="5">
        <f>'balance_raw_33034474'!$D$35</f>
        <v/>
      </c>
      <c r="E58" s="5">
        <f>'balance_raw_33034474'!$E$35</f>
        <v/>
      </c>
      <c r="F58" s="5">
        <f>'balance_raw_33034474'!$F$35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Gæld til selskabsdeltagere og ledelse</t>
        </is>
      </c>
      <c r="B59" s="8">
        <f>'balance_raw_33034474'!$B$36</f>
        <v/>
      </c>
      <c r="C59" s="8">
        <f>'balance_raw_33034474'!$C$36</f>
        <v/>
      </c>
      <c r="D59" s="8">
        <f>'balance_raw_33034474'!$D$36</f>
        <v/>
      </c>
      <c r="E59" s="8">
        <f>'balance_raw_33034474'!$E$36</f>
        <v/>
      </c>
      <c r="F59" s="8">
        <f>'balance_raw_33034474'!$F$36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Selskabsskat</t>
        </is>
      </c>
      <c r="B60" s="5">
        <f>'balance_raw_33034474'!$B$37</f>
        <v/>
      </c>
      <c r="C60" s="5">
        <f>'balance_raw_33034474'!$C$37</f>
        <v/>
      </c>
      <c r="D60" s="5">
        <f>'balance_raw_33034474'!$D$37</f>
        <v/>
      </c>
      <c r="E60" s="5">
        <f>'balance_raw_33034474'!$E$37</f>
        <v/>
      </c>
      <c r="F60" s="5">
        <f>'balance_raw_33034474'!$F$37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Gæld til tilknyttede virksomheder vedr. selskabsskat</t>
        </is>
      </c>
      <c r="B61" s="8">
        <f>'balance_raw_33034474'!$B$38</f>
        <v/>
      </c>
      <c r="C61" s="8">
        <f>'balance_raw_33034474'!$C$38</f>
        <v/>
      </c>
      <c r="D61" s="8">
        <f>'balance_raw_33034474'!$D$38</f>
        <v/>
      </c>
      <c r="E61" s="8">
        <f>'balance_raw_33034474'!$E$38</f>
        <v/>
      </c>
      <c r="F61" s="8">
        <f>'balance_raw_33034474'!$F$38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Anden gæld (kortfristet)</t>
        </is>
      </c>
      <c r="B62" s="5">
        <f>'balance_raw_33034474'!$B$39</f>
        <v/>
      </c>
      <c r="C62" s="5">
        <f>'balance_raw_33034474'!$C$39</f>
        <v/>
      </c>
      <c r="D62" s="5">
        <f>'balance_raw_33034474'!$D$39</f>
        <v/>
      </c>
      <c r="E62" s="5">
        <f>'balance_raw_33034474'!$E$39</f>
        <v/>
      </c>
      <c r="F62" s="5">
        <f>'balance_raw_33034474'!$F$39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Periodeafgrænsningsposter (passiver)</t>
        </is>
      </c>
      <c r="B63" s="8">
        <f>'balance_raw_33034474'!$B$40</f>
        <v/>
      </c>
      <c r="C63" s="8">
        <f>'balance_raw_33034474'!$C$40</f>
        <v/>
      </c>
      <c r="D63" s="8">
        <f>'balance_raw_33034474'!$D$40</f>
        <v/>
      </c>
      <c r="E63" s="8">
        <f>'balance_raw_33034474'!$E$40</f>
        <v/>
      </c>
      <c r="F63" s="8">
        <f>'balance_raw_33034474'!$F$40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Kortfristede gældsforpligtelser</t>
        </is>
      </c>
      <c r="B64" s="11">
        <f>'balance_raw_33034474'!$B$41</f>
        <v/>
      </c>
      <c r="C64" s="11">
        <f>'balance_raw_33034474'!$C$41</f>
        <v/>
      </c>
      <c r="D64" s="11">
        <f>'balance_raw_33034474'!$D$41</f>
        <v/>
      </c>
      <c r="E64" s="11">
        <f>'balance_raw_33034474'!$E$41</f>
        <v/>
      </c>
      <c r="F64" s="11">
        <f>'balance_raw_33034474'!$F$41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10" t="inlineStr">
        <is>
          <t>Gældsforpligtelser</t>
        </is>
      </c>
      <c r="B65" s="11">
        <f>'balance_raw_33034474'!$B$42</f>
        <v/>
      </c>
      <c r="C65" s="11">
        <f>'balance_raw_33034474'!$C$42</f>
        <v/>
      </c>
      <c r="D65" s="11">
        <f>'balance_raw_33034474'!$D$42</f>
        <v/>
      </c>
      <c r="E65" s="11">
        <f>'balance_raw_33034474'!$E$42</f>
        <v/>
      </c>
      <c r="F65" s="11">
        <f>'balance_raw_33034474'!$F$42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10" t="inlineStr">
        <is>
          <t>Passiver</t>
        </is>
      </c>
      <c r="B66" s="11">
        <f>'balance_raw_33034474'!$B$43</f>
        <v/>
      </c>
      <c r="C66" s="11">
        <f>'balance_raw_33034474'!$C$43</f>
        <v/>
      </c>
      <c r="D66" s="11">
        <f>'balance_raw_33034474'!$D$43</f>
        <v/>
      </c>
      <c r="E66" s="11">
        <f>'balance_raw_33034474'!$E$43</f>
        <v/>
      </c>
      <c r="F66" s="11">
        <f>'balance_raw_33034474'!$F$43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8" ht="22" customHeight="1">
      <c r="A68" s="3" t="inlineStr">
        <is>
          <t>NØGLEOPLYSNINGER</t>
        </is>
      </c>
      <c r="B68" s="3" t="n">
        <v>2021</v>
      </c>
      <c r="C68" s="3" t="n">
        <v>2022</v>
      </c>
      <c r="D68" s="3" t="n">
        <v>2023</v>
      </c>
      <c r="E68" s="3" t="n">
        <v>2024</v>
      </c>
      <c r="F68" s="3" t="n">
        <v>2025</v>
      </c>
    </row>
    <row r="69" ht="16" customHeight="1">
      <c r="A69" s="7" t="inlineStr">
        <is>
          <t>Gns. antal medarbejdere</t>
        </is>
      </c>
      <c r="B69" s="8">
        <f>'res_raw_33034474'!$B$19</f>
        <v/>
      </c>
      <c r="C69" s="8">
        <f>'res_raw_33034474'!$C$19</f>
        <v/>
      </c>
      <c r="D69" s="8">
        <f>'res_raw_33034474'!$D$19</f>
        <v/>
      </c>
      <c r="E69" s="8">
        <f>'res_raw_33034474'!$E$19</f>
        <v/>
      </c>
      <c r="F69" s="8">
        <f>'res_raw_33034474'!$F$19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Investering i materielle anlægsaktiver</t>
        </is>
      </c>
      <c r="B70" s="5">
        <f>'res_raw_33034474'!$B$20</f>
        <v/>
      </c>
      <c r="C70" s="5">
        <f>'res_raw_33034474'!$C$20</f>
        <v/>
      </c>
      <c r="D70" s="5">
        <f>'res_raw_33034474'!$D$20</f>
        <v/>
      </c>
      <c r="E70" s="5">
        <f>'res_raw_33034474'!$E$20</f>
        <v/>
      </c>
      <c r="F70" s="5">
        <f>'res_raw_33034474'!$F$20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2" ht="22" customHeight="1">
      <c r="A72" s="3" t="inlineStr">
        <is>
          <t>NØGLETAL</t>
        </is>
      </c>
      <c r="B72" s="3" t="n">
        <v>2021</v>
      </c>
      <c r="C72" s="3" t="n">
        <v>2022</v>
      </c>
      <c r="D72" s="3" t="n">
        <v>2023</v>
      </c>
      <c r="E72" s="3" t="n">
        <v>2024</v>
      </c>
      <c r="F72" s="3" t="n">
        <v>2025</v>
      </c>
    </row>
    <row r="73" ht="16" customHeight="1">
      <c r="A73" s="7" t="inlineStr">
        <is>
          <t>Afkastningsgrad, %</t>
        </is>
      </c>
      <c r="B73" s="13">
        <f>IFERROR(($B$13+$B$15+$B$14)/$B$40*100,"")</f>
        <v/>
      </c>
      <c r="C73" s="13">
        <f>IFERROR(($C$13+$C$15+$C$14)/$C$40*100,"")</f>
        <v/>
      </c>
      <c r="D73" s="13">
        <f>IFERROR(($D$13+$D$15+$D$14)/$D$40*100,"")</f>
        <v/>
      </c>
      <c r="E73" s="13">
        <f>IFERROR(($E$13+$E$15+$E$14)/$E$40*100,"")</f>
        <v/>
      </c>
      <c r="F73" s="13">
        <f>IFERROR(($F$13+$F$15+$F$14)/$F$40*100,"")</f>
        <v/>
      </c>
    </row>
    <row r="74" ht="16" customHeight="1">
      <c r="A74" s="4" t="inlineStr">
        <is>
          <t>Overskudsgrad, %</t>
        </is>
      </c>
      <c r="B74" s="14">
        <f>IFERROR(($B$13+$B$15+$B$14)/$B$4*100,"")</f>
        <v/>
      </c>
      <c r="C74" s="14">
        <f>IFERROR(($C$13+$C$15+$C$14)/$C$4*100,"")</f>
        <v/>
      </c>
      <c r="D74" s="14">
        <f>IFERROR(($D$13+$D$15+$D$14)/$D$4*100,"")</f>
        <v/>
      </c>
      <c r="E74" s="14">
        <f>IFERROR(($E$13+$E$15+$E$14)/$E$4*100,"")</f>
        <v/>
      </c>
      <c r="F74" s="14">
        <f>IFERROR(($F$13+$F$15+$F$14)/$F$4*100,"")</f>
        <v/>
      </c>
    </row>
    <row r="75" ht="16" customHeight="1">
      <c r="A75" s="7" t="inlineStr">
        <is>
          <t>Aktivernes omsætningshastighed, gange</t>
        </is>
      </c>
      <c r="B75" s="13">
        <f>IFERROR($B$4/$B$40,"")</f>
        <v/>
      </c>
      <c r="C75" s="13">
        <f>IFERROR($C$4/$C$40,"")</f>
        <v/>
      </c>
      <c r="D75" s="13">
        <f>IFERROR($D$4/$D$40,"")</f>
        <v/>
      </c>
      <c r="E75" s="13">
        <f>IFERROR($E$4/$E$40,"")</f>
        <v/>
      </c>
      <c r="F75" s="13">
        <f>IFERROR($F$4/$F$40,"")</f>
        <v/>
      </c>
    </row>
    <row r="76" ht="16" customHeight="1">
      <c r="A76" s="4" t="inlineStr">
        <is>
          <t>Egenkapitalens forrentning, %</t>
        </is>
      </c>
      <c r="B76" s="14">
        <f>IFERROR($B$18/$B$49*100,"")</f>
        <v/>
      </c>
      <c r="C76" s="14">
        <f>IFERROR($C$18/$C$49*100,"")</f>
        <v/>
      </c>
      <c r="D76" s="14">
        <f>IFERROR($D$18/$D$49*100,"")</f>
        <v/>
      </c>
      <c r="E76" s="14">
        <f>IFERROR($E$18/$E$49*100,"")</f>
        <v/>
      </c>
      <c r="F76" s="14">
        <f>IFERROR($F$18/$F$49*100,"")</f>
        <v/>
      </c>
    </row>
    <row r="77" ht="16" customHeight="1">
      <c r="A77" s="7" t="inlineStr">
        <is>
          <t>Gældsrente, %</t>
        </is>
      </c>
      <c r="B77" s="13">
        <f>IFERROR($B$16/($B$66-$B$49)*100,"")</f>
        <v/>
      </c>
      <c r="C77" s="13">
        <f>IFERROR($C$16/($C$66-$C$49)*100,"")</f>
        <v/>
      </c>
      <c r="D77" s="13">
        <f>IFERROR($D$16/($D$66-$D$49)*100,"")</f>
        <v/>
      </c>
      <c r="E77" s="13">
        <f>IFERROR($E$16/($E$66-$E$49)*100,"")</f>
        <v/>
      </c>
      <c r="F77" s="13">
        <f>IFERROR($F$16/($F$66-$F$49)*100,"")</f>
        <v/>
      </c>
    </row>
    <row r="78" ht="16" customHeight="1">
      <c r="A78" s="4" t="inlineStr">
        <is>
          <t>Soliditetsgrad, %</t>
        </is>
      </c>
      <c r="B78" s="14">
        <f>IFERROR($B$49/$B$40*100,"")</f>
        <v/>
      </c>
      <c r="C78" s="14">
        <f>IFERROR($C$49/$C$40*100,"")</f>
        <v/>
      </c>
      <c r="D78" s="14">
        <f>IFERROR($D$49/$D$40*100,"")</f>
        <v/>
      </c>
      <c r="E78" s="14">
        <f>IFERROR($E$49/$E$40*100,"")</f>
        <v/>
      </c>
      <c r="F78" s="14">
        <f>IFERROR($F$49/$F$40*100,"")</f>
        <v/>
      </c>
    </row>
    <row r="79" ht="16" customHeight="1">
      <c r="A79" s="7" t="inlineStr">
        <is>
          <t>Gearing</t>
        </is>
      </c>
      <c r="B79" s="13">
        <f>IFERROR(($B$66-$B$49)/$B$49,"")</f>
        <v/>
      </c>
      <c r="C79" s="13">
        <f>IFERROR(($C$66-$C$49)/$C$49,"")</f>
        <v/>
      </c>
      <c r="D79" s="13">
        <f>IFERROR(($D$66-$D$49)/$D$49,"")</f>
        <v/>
      </c>
      <c r="E79" s="13">
        <f>IFERROR(($E$66-$E$49)/$E$49,"")</f>
        <v/>
      </c>
      <c r="F79" s="13">
        <f>IFERROR(($F$66-$F$49)/$F$49,"")</f>
        <v/>
      </c>
    </row>
    <row r="80" ht="16" customHeight="1">
      <c r="A80" s="4" t="inlineStr">
        <is>
          <t>Likviditetsgrad, %</t>
        </is>
      </c>
      <c r="B80" s="14">
        <f>IFERROR($B$39/$B$64*100,"")</f>
        <v/>
      </c>
      <c r="C80" s="14">
        <f>IFERROR($C$39/$C$64*100,"")</f>
        <v/>
      </c>
      <c r="D80" s="14">
        <f>IFERROR($D$39/$D$64*100,"")</f>
        <v/>
      </c>
      <c r="E80" s="14">
        <f>IFERROR($E$39/$E$64*100,"")</f>
        <v/>
      </c>
      <c r="F80" s="14">
        <f>IFERROR($F$39/$F$64*100,"")</f>
        <v/>
      </c>
    </row>
    <row r="81" ht="16" customHeight="1">
      <c r="A81" s="7" t="inlineStr">
        <is>
          <t>Rentemarginal, %</t>
        </is>
      </c>
      <c r="B81" s="13">
        <f>IFERROR(B73-B77,"")</f>
        <v/>
      </c>
      <c r="C81" s="13">
        <f>IFERROR(C73-C77,"")</f>
        <v/>
      </c>
      <c r="D81" s="13">
        <f>IFERROR(D73-D77,"")</f>
        <v/>
      </c>
      <c r="E81" s="13">
        <f>IFERROR(E73-E77,"")</f>
        <v/>
      </c>
      <c r="F81" s="13">
        <f>IFERROR(F73-F77,"")</f>
        <v/>
      </c>
    </row>
    <row r="82" ht="16" customHeight="1">
      <c r="A82" s="4" t="inlineStr">
        <is>
          <t>Gældsandel, %</t>
        </is>
      </c>
      <c r="B82" s="14">
        <f>IFERROR(($B$66-$B$49)/$B$40*100,"")</f>
        <v/>
      </c>
      <c r="C82" s="14">
        <f>IFERROR(($C$66-$C$49)/$C$40*100,"")</f>
        <v/>
      </c>
      <c r="D82" s="14">
        <f>IFERROR(($D$66-$D$49)/$D$40*100,"")</f>
        <v/>
      </c>
      <c r="E82" s="14">
        <f>IFERROR(($E$66-$E$49)/$E$40*100,"")</f>
        <v/>
      </c>
      <c r="F82" s="14">
        <f>IFERROR(($F$66-$F$49)/$F$40*100,"")</f>
        <v/>
      </c>
    </row>
    <row r="83" ht="16" customHeight="1">
      <c r="A83" s="7" t="inlineStr">
        <is>
          <t>Kapitalbindingsgrad, %</t>
        </is>
      </c>
      <c r="B83" s="13">
        <f>IFERROR($B$28/($B$49+$B$52)*100,"")</f>
        <v/>
      </c>
      <c r="C83" s="13">
        <f>IFERROR($C$28/($C$49+$C$52)*100,"")</f>
        <v/>
      </c>
      <c r="D83" s="13">
        <f>IFERROR($D$28/($D$49+$D$52)*100,"")</f>
        <v/>
      </c>
      <c r="E83" s="13">
        <f>IFERROR($E$28/($E$49+$E$52)*100,"")</f>
        <v/>
      </c>
      <c r="F83" s="13">
        <f>IFERROR($F$28/($F$49+$F$52)*100,"")</f>
        <v/>
      </c>
    </row>
    <row r="85">
      <c r="A85" s="15" t="inlineStr">
        <is>
          <t>PENGESTRØMSOPGØRELSE t.kr.</t>
        </is>
      </c>
    </row>
    <row r="86">
      <c r="A86" s="16" t="inlineStr">
        <is>
          <t>Pengestrømme fra driftsaktivitet</t>
        </is>
      </c>
      <c r="B86" s="17">
        <f>'pengestrom_raw_33034474'!$B$2</f>
        <v/>
      </c>
      <c r="C86" s="17">
        <f>'pengestrom_raw_33034474'!$C$2</f>
        <v/>
      </c>
      <c r="D86" s="17">
        <f>'pengestrom_raw_33034474'!$D$2</f>
        <v/>
      </c>
      <c r="E86" s="17">
        <f>'pengestrom_raw_33034474'!$E$2</f>
        <v/>
      </c>
      <c r="F86" s="17">
        <f>'pengestrom_raw_33034474'!$F$2</f>
        <v/>
      </c>
    </row>
    <row r="87">
      <c r="A87" s="16" t="inlineStr">
        <is>
          <t>Pengestrømme fra investeringsaktivitet</t>
        </is>
      </c>
      <c r="B87" s="17">
        <f>'pengestrom_raw_33034474'!$B$3</f>
        <v/>
      </c>
      <c r="C87" s="17">
        <f>'pengestrom_raw_33034474'!$C$3</f>
        <v/>
      </c>
      <c r="D87" s="17">
        <f>'pengestrom_raw_33034474'!$D$3</f>
        <v/>
      </c>
      <c r="E87" s="17">
        <f>'pengestrom_raw_33034474'!$E$3</f>
        <v/>
      </c>
      <c r="F87" s="17">
        <f>'pengestrom_raw_33034474'!$F$3</f>
        <v/>
      </c>
    </row>
    <row r="88">
      <c r="A88" s="16" t="inlineStr">
        <is>
          <t>Pengestrømme fra finansieringsaktivitet</t>
        </is>
      </c>
      <c r="B88" s="17">
        <f>'pengestrom_raw_33034474'!$B$4</f>
        <v/>
      </c>
      <c r="C88" s="17">
        <f>'pengestrom_raw_33034474'!$C$4</f>
        <v/>
      </c>
      <c r="D88" s="17">
        <f>'pengestrom_raw_33034474'!$D$4</f>
        <v/>
      </c>
      <c r="E88" s="17">
        <f>'pengestrom_raw_33034474'!$E$4</f>
        <v/>
      </c>
      <c r="F88" s="17">
        <f>'pengestrom_raw_33034474'!$F$4</f>
        <v/>
      </c>
    </row>
    <row r="89">
      <c r="A89" s="16" t="inlineStr">
        <is>
          <t>Årets pengestrøm (rapporteret)</t>
        </is>
      </c>
      <c r="B89" s="17">
        <f>'pengestrom_raw_33034474'!$B$5</f>
        <v/>
      </c>
      <c r="C89" s="17">
        <f>'pengestrom_raw_33034474'!$C$5</f>
        <v/>
      </c>
      <c r="D89" s="17">
        <f>'pengestrom_raw_33034474'!$D$5</f>
        <v/>
      </c>
      <c r="E89" s="17">
        <f>'pengestrom_raw_33034474'!$E$5</f>
        <v/>
      </c>
      <c r="F89" s="17">
        <f>'pengestrom_raw_33034474'!$F$5</f>
        <v/>
      </c>
    </row>
    <row r="90">
      <c r="A90" s="16" t="inlineStr">
        <is>
          <t>Krydstjek: drift + inv. + fin. = årets pengestrøm</t>
        </is>
      </c>
      <c r="B90">
        <f>IF(ABS(('pengestrom_raw_33034474'!$B$2+'pengestrom_raw_33034474'!$B$3+'pengestrom_raw_33034474'!$B$4)-'pengestrom_raw_33034474'!$B$5)&lt;=2,"✓","⚠ "&amp;TEXT(('pengestrom_raw_33034474'!$B$2+'pengestrom_raw_33034474'!$B$3+'pengestrom_raw_33034474'!$B$4)-'pengestrom_raw_33034474'!$B$5,"+#,##0;-#,##0"))</f>
        <v/>
      </c>
      <c r="C90">
        <f>IF(ABS(('pengestrom_raw_33034474'!$C$2+'pengestrom_raw_33034474'!$C$3+'pengestrom_raw_33034474'!$C$4)-'pengestrom_raw_33034474'!$C$5)&lt;=2,"✓","⚠ "&amp;TEXT(('pengestrom_raw_33034474'!$C$2+'pengestrom_raw_33034474'!$C$3+'pengestrom_raw_33034474'!$C$4)-'pengestrom_raw_33034474'!$C$5,"+#,##0;-#,##0"))</f>
        <v/>
      </c>
      <c r="D90">
        <f>IF(ABS(('pengestrom_raw_33034474'!$D$2+'pengestrom_raw_33034474'!$D$3+'pengestrom_raw_33034474'!$D$4)-'pengestrom_raw_33034474'!$D$5)&lt;=2,"✓","⚠ "&amp;TEXT(('pengestrom_raw_33034474'!$D$2+'pengestrom_raw_33034474'!$D$3+'pengestrom_raw_33034474'!$D$4)-'pengestrom_raw_33034474'!$D$5,"+#,##0;-#,##0"))</f>
        <v/>
      </c>
      <c r="E90">
        <f>IF(ABS(('pengestrom_raw_33034474'!$E$2+'pengestrom_raw_33034474'!$E$3+'pengestrom_raw_33034474'!$E$4)-'pengestrom_raw_33034474'!$E$5)&lt;=2,"✓","⚠ "&amp;TEXT(('pengestrom_raw_33034474'!$E$2+'pengestrom_raw_33034474'!$E$3+'pengestrom_raw_33034474'!$E$4)-'pengestrom_raw_33034474'!$E$5,"+#,##0;-#,##0"))</f>
        <v/>
      </c>
      <c r="F90">
        <f>IF(ABS(('pengestrom_raw_33034474'!$F$2+'pengestrom_raw_33034474'!$F$3+'pengestrom_raw_33034474'!$F$4)-'pengestrom_raw_33034474'!$F$5)&lt;=2,"✓","⚠ "&amp;TEXT(('pengestrom_raw_33034474'!$F$2+'pengestrom_raw_33034474'!$F$3+'pengestrom_raw_33034474'!$F$4)-'pengestrom_raw_33034474'!$F$5,"+#,##0;-#,##0"))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Danske Licens Spil A/S (CVR 33034474)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1819679</v>
      </c>
      <c r="C2" s="17" t="n">
        <v>1661743</v>
      </c>
      <c r="D2" s="17" t="n">
        <v>1613015</v>
      </c>
      <c r="E2" s="17" t="n">
        <v>1631692</v>
      </c>
      <c r="F2" s="17" t="n">
        <v>1584199</v>
      </c>
    </row>
    <row r="3">
      <c r="A3" s="16" t="inlineStr">
        <is>
          <t>Andre driftsindtægter</t>
        </is>
      </c>
      <c r="B3" s="17" t="n">
        <v>1759</v>
      </c>
      <c r="C3" s="17" t="n">
        <v>1286</v>
      </c>
      <c r="D3" s="17" t="n">
        <v>1325</v>
      </c>
      <c r="E3" s="17" t="n">
        <v>2182</v>
      </c>
      <c r="F3" s="17" t="n">
        <v>3287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>
        <v>478810</v>
      </c>
      <c r="C5" s="17" t="n">
        <v>450044</v>
      </c>
      <c r="D5" s="17" t="n">
        <v>479777</v>
      </c>
      <c r="E5" s="17" t="n">
        <v>475311</v>
      </c>
      <c r="F5" s="17" t="n">
        <v>461234</v>
      </c>
    </row>
    <row r="6">
      <c r="A6" s="15" t="inlineStr">
        <is>
          <t>Bruttoresultat</t>
        </is>
      </c>
      <c r="B6" s="17" t="n">
        <v>952955</v>
      </c>
      <c r="C6" s="17" t="n">
        <v>896248</v>
      </c>
      <c r="D6" s="17" t="n">
        <v>887375</v>
      </c>
      <c r="E6" s="17" t="n">
        <v>915715</v>
      </c>
      <c r="F6" s="17" t="n">
        <v>896244</v>
      </c>
    </row>
    <row r="7">
      <c r="A7" s="16" t="inlineStr">
        <is>
          <t>Personaleomkostninger</t>
        </is>
      </c>
      <c r="B7" s="17" t="n">
        <v>88174</v>
      </c>
      <c r="C7" s="17" t="n">
        <v>95574</v>
      </c>
      <c r="D7" s="17" t="n">
        <v>105338</v>
      </c>
      <c r="E7" s="17" t="n">
        <v>104250</v>
      </c>
      <c r="F7" s="17" t="n">
        <v>102133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146823</v>
      </c>
      <c r="C9" s="17" t="n">
        <v>91597</v>
      </c>
      <c r="D9" s="17" t="n">
        <v>95595</v>
      </c>
      <c r="E9" s="17" t="n">
        <v>130005</v>
      </c>
      <c r="F9" s="17" t="n">
        <v>88977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241941</v>
      </c>
      <c r="C11" s="17" t="n">
        <v>263518</v>
      </c>
      <c r="D11" s="17" t="n">
        <v>211627</v>
      </c>
      <c r="E11" s="17" t="n">
        <v>237618</v>
      </c>
      <c r="F11" s="17" t="n">
        <v>247187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0</v>
      </c>
      <c r="C13" s="17" t="n">
        <v>1837</v>
      </c>
      <c r="D13" s="17" t="n">
        <v>19273</v>
      </c>
      <c r="E13" s="17" t="n">
        <v>23559</v>
      </c>
      <c r="F13" s="17" t="n">
        <v>13053</v>
      </c>
    </row>
    <row r="14">
      <c r="A14" s="16" t="inlineStr">
        <is>
          <t>Finansielle omkostninger</t>
        </is>
      </c>
      <c r="B14" s="17" t="n">
        <v>41435</v>
      </c>
      <c r="C14" s="17" t="n">
        <v>45878</v>
      </c>
      <c r="D14" s="17" t="n">
        <v>43140</v>
      </c>
      <c r="E14" s="17" t="n">
        <v>45308</v>
      </c>
      <c r="F14" s="17" t="n">
        <v>42165</v>
      </c>
    </row>
    <row r="15">
      <c r="A15" s="15" t="inlineStr">
        <is>
          <t>Finansielle poster, netto</t>
        </is>
      </c>
      <c r="B15" s="17" t="n">
        <v>-41435</v>
      </c>
      <c r="C15" s="17" t="n">
        <v>-44041</v>
      </c>
      <c r="D15" s="17" t="n">
        <v>-23867</v>
      </c>
      <c r="E15" s="17" t="n">
        <v>-21749</v>
      </c>
      <c r="F15" s="17" t="n">
        <v>-29112</v>
      </c>
    </row>
    <row r="16">
      <c r="A16" s="15" t="inlineStr">
        <is>
          <t>Resultat før skat</t>
        </is>
      </c>
      <c r="B16" s="17" t="n">
        <v>200507</v>
      </c>
      <c r="C16" s="17" t="n">
        <v>219477</v>
      </c>
      <c r="D16" s="17" t="n">
        <v>187759</v>
      </c>
      <c r="E16" s="17" t="n">
        <v>215869</v>
      </c>
      <c r="F16" s="17" t="n">
        <v>218075</v>
      </c>
    </row>
    <row r="17">
      <c r="A17" s="16" t="inlineStr">
        <is>
          <t>Skat af årets resultat</t>
        </is>
      </c>
      <c r="B17" s="17" t="n">
        <v>37208</v>
      </c>
      <c r="C17" s="17" t="n">
        <v>48521</v>
      </c>
      <c r="D17" s="17" t="n">
        <v>40993</v>
      </c>
      <c r="E17" s="17" t="n">
        <v>40488</v>
      </c>
      <c r="F17" s="17" t="n">
        <v>47426</v>
      </c>
    </row>
    <row r="18">
      <c r="A18" s="15" t="inlineStr">
        <is>
          <t>Årets resultat</t>
        </is>
      </c>
      <c r="B18" s="17" t="n">
        <v>163299</v>
      </c>
      <c r="C18" s="17" t="n">
        <v>170956</v>
      </c>
      <c r="D18" s="17" t="n">
        <v>146766</v>
      </c>
      <c r="E18" s="17" t="n">
        <v>175381</v>
      </c>
      <c r="F18" s="17" t="n">
        <v>170649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0</v>
      </c>
      <c r="C20" s="17" t="n">
        <v>0</v>
      </c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Danske Licens Spil A/S (CVR 33034474)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209037</v>
      </c>
      <c r="C2" s="17" t="n">
        <v>177842</v>
      </c>
      <c r="D2" s="17" t="n">
        <v>137084</v>
      </c>
      <c r="E2" s="17" t="n">
        <v>118491</v>
      </c>
      <c r="F2" s="17" t="n">
        <v>91734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71253</v>
      </c>
      <c r="C4" s="17" t="n">
        <v>71253</v>
      </c>
      <c r="D4" s="17" t="n">
        <v>71253</v>
      </c>
      <c r="E4" s="17" t="n">
        <v>71253</v>
      </c>
      <c r="F4" s="17" t="n">
        <v>71253</v>
      </c>
    </row>
    <row r="5">
      <c r="A5" s="15" t="inlineStr">
        <is>
          <t>Immaterielle anlægsaktiver</t>
        </is>
      </c>
      <c r="B5" s="17" t="n">
        <v>369182</v>
      </c>
      <c r="C5" s="17" t="n">
        <v>338547</v>
      </c>
      <c r="D5" s="17" t="n">
        <v>314912</v>
      </c>
      <c r="E5" s="17" t="n">
        <v>244619</v>
      </c>
      <c r="F5" s="17" t="n">
        <v>199128</v>
      </c>
    </row>
    <row r="6">
      <c r="A6" s="15" t="inlineStr">
        <is>
          <t>Materielle anlægsaktiver</t>
        </is>
      </c>
      <c r="B6" s="17" t="n">
        <v>7988</v>
      </c>
      <c r="C6" s="17" t="n">
        <v>3637</v>
      </c>
      <c r="D6" s="17" t="n">
        <v>4267</v>
      </c>
      <c r="E6" s="17" t="n">
        <v>655</v>
      </c>
      <c r="F6" s="17" t="n">
        <v>48</v>
      </c>
    </row>
    <row r="7">
      <c r="A7" s="15" t="inlineStr">
        <is>
          <t>Anlægsaktiver</t>
        </is>
      </c>
      <c r="B7" s="17" t="n">
        <v>389731</v>
      </c>
      <c r="C7" s="17" t="n">
        <v>354746</v>
      </c>
      <c r="D7" s="17" t="n">
        <v>331741</v>
      </c>
      <c r="E7" s="17" t="n">
        <v>245274</v>
      </c>
      <c r="F7" s="17" t="n">
        <v>199576</v>
      </c>
    </row>
    <row r="8">
      <c r="A8" s="16" t="inlineStr">
        <is>
          <t>Tilgodehavender fra salg og tjenesteydelser</t>
        </is>
      </c>
      <c r="B8" s="17" t="n">
        <v>113981</v>
      </c>
      <c r="C8" s="17" t="n">
        <v>151632</v>
      </c>
      <c r="D8" s="17" t="n">
        <v>50648</v>
      </c>
      <c r="E8" s="17" t="n">
        <v>65190</v>
      </c>
      <c r="F8" s="17" t="n">
        <v>70429</v>
      </c>
    </row>
    <row r="9">
      <c r="A9" s="16" t="inlineStr">
        <is>
          <t>Tilgodehavender hos tilknyttede virksomheder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Andre tilgodehavender</t>
        </is>
      </c>
      <c r="B10" s="17" t="n">
        <v>1776</v>
      </c>
      <c r="C10" s="17" t="n">
        <v>2369</v>
      </c>
      <c r="D10" s="17" t="n">
        <v>5892</v>
      </c>
      <c r="E10" s="17" t="n">
        <v>5031</v>
      </c>
      <c r="F10" s="17" t="n">
        <v>5187</v>
      </c>
    </row>
    <row r="11">
      <c r="A11" s="16" t="inlineStr">
        <is>
          <t>Periodeafgrænsningsposter (aktiver)</t>
        </is>
      </c>
      <c r="B11" s="17" t="n">
        <v>3343</v>
      </c>
      <c r="C11" s="17" t="n">
        <v>7317</v>
      </c>
      <c r="D11" s="17" t="n">
        <v>5564</v>
      </c>
      <c r="E11" s="17" t="n">
        <v>9486</v>
      </c>
      <c r="F11" s="17" t="n">
        <v>7971</v>
      </c>
    </row>
    <row r="12">
      <c r="A12" s="16" t="inlineStr">
        <is>
          <t>Udskudt skatteaktiv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Tilgodehavende skat hos tilknyttede virksomheder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Kortfristede skattetilgodehavender</t>
        </is>
      </c>
      <c r="B14" s="17" t="n">
        <v>0</v>
      </c>
      <c r="C14" s="17" t="n">
        <v>15909</v>
      </c>
      <c r="D14" s="17" t="n">
        <v>14307</v>
      </c>
      <c r="E14" s="17" t="n">
        <v>22259</v>
      </c>
      <c r="F14" s="17" t="n">
        <v>354</v>
      </c>
    </row>
    <row r="15">
      <c r="A15" s="15" t="inlineStr">
        <is>
          <t>Tilgodehavender</t>
        </is>
      </c>
      <c r="B15" s="17" t="n">
        <v>544</v>
      </c>
      <c r="C15" s="17" t="n">
        <v>5071</v>
      </c>
      <c r="D15" s="17" t="n">
        <v>5517</v>
      </c>
      <c r="E15" s="17" t="n">
        <v>6240</v>
      </c>
      <c r="F15" s="17" t="n">
        <v>4268</v>
      </c>
    </row>
    <row r="16">
      <c r="A16" s="16" t="inlineStr">
        <is>
          <t>Værdipapirer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Likvide beholdninger</t>
        </is>
      </c>
      <c r="B17" s="17" t="n">
        <v>462488</v>
      </c>
      <c r="C17" s="17" t="n">
        <v>461072</v>
      </c>
      <c r="D17" s="17" t="n">
        <v>310052</v>
      </c>
      <c r="E17" s="17" t="n">
        <v>412020</v>
      </c>
      <c r="F17" s="17" t="n">
        <v>421887</v>
      </c>
    </row>
    <row r="18">
      <c r="A18" s="15" t="inlineStr">
        <is>
          <t>Omsætningsaktiver</t>
        </is>
      </c>
      <c r="B18" s="17" t="n">
        <v>702851</v>
      </c>
      <c r="C18" s="17" t="n">
        <v>801545</v>
      </c>
      <c r="D18" s="17" t="n">
        <v>739811</v>
      </c>
      <c r="E18" s="17" t="n">
        <v>867114</v>
      </c>
      <c r="F18" s="17" t="n">
        <v>787889</v>
      </c>
    </row>
    <row r="19">
      <c r="A19" s="15" t="inlineStr">
        <is>
          <t>Aktiver</t>
        </is>
      </c>
      <c r="B19" s="17" t="n">
        <v>1092583</v>
      </c>
      <c r="C19" s="17" t="n">
        <v>1156291</v>
      </c>
      <c r="D19" s="17" t="n">
        <v>1071552</v>
      </c>
      <c r="E19" s="17" t="n">
        <v>1112387</v>
      </c>
      <c r="F19" s="17" t="n">
        <v>987465</v>
      </c>
    </row>
    <row r="20">
      <c r="A20" s="16" t="inlineStr">
        <is>
          <t>Selskabskapital</t>
        </is>
      </c>
      <c r="B20" s="17" t="n">
        <v>10000</v>
      </c>
      <c r="C20" s="17" t="n">
        <v>10000</v>
      </c>
      <c r="D20" s="17" t="n">
        <v>10000</v>
      </c>
      <c r="E20" s="17" t="n">
        <v>10000</v>
      </c>
      <c r="F20" s="17" t="n">
        <v>10000</v>
      </c>
    </row>
    <row r="21">
      <c r="A21" s="16" t="inlineStr">
        <is>
          <t>Reserve for nettoopskrivning (indre værdis metode)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Reserve for udviklingsomkostninger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Reserve for sikringstransaktioner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Andre reserver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Overført resultat</t>
        </is>
      </c>
      <c r="B25" s="17" t="n">
        <v>314582</v>
      </c>
      <c r="C25" s="17" t="n">
        <v>334066</v>
      </c>
      <c r="D25" s="17" t="n">
        <v>351302</v>
      </c>
      <c r="E25" s="17" t="n">
        <v>340726</v>
      </c>
      <c r="F25" s="17" t="n">
        <v>385684</v>
      </c>
    </row>
    <row r="26">
      <c r="A26" s="15" t="inlineStr">
        <is>
          <t>Egenkapital i alt</t>
        </is>
      </c>
      <c r="B26" s="17" t="n">
        <v>771677</v>
      </c>
      <c r="C26" s="17" t="n">
        <v>783701</v>
      </c>
      <c r="D26" s="17" t="n">
        <v>764424</v>
      </c>
      <c r="E26" s="17" t="n">
        <v>800373</v>
      </c>
      <c r="F26" s="17" t="n">
        <v>725548</v>
      </c>
    </row>
    <row r="27">
      <c r="A27" s="16" t="inlineStr">
        <is>
          <t>Hensættelse til udskudt skat</t>
        </is>
      </c>
      <c r="B27" s="17" t="n">
        <v>42962</v>
      </c>
      <c r="C27" s="17" t="n">
        <v>40732</v>
      </c>
      <c r="D27" s="17" t="n">
        <v>36619</v>
      </c>
      <c r="E27" s="17" t="n">
        <v>37777</v>
      </c>
      <c r="F27" s="17" t="n">
        <v>27870</v>
      </c>
    </row>
    <row r="28">
      <c r="A28" s="15" t="inlineStr">
        <is>
          <t>Hensatte forpligtelser</t>
        </is>
      </c>
      <c r="B28" s="17" t="n">
        <v>0</v>
      </c>
      <c r="C28" s="17" t="n">
        <v>0</v>
      </c>
      <c r="D28" s="17" t="n">
        <v>36619</v>
      </c>
      <c r="E28" s="17" t="n">
        <v>37777</v>
      </c>
      <c r="F28" s="17" t="n">
        <v>27870</v>
      </c>
    </row>
    <row r="29">
      <c r="A29" s="15" t="inlineStr">
        <is>
          <t>Langfristede gældsforpligtelser</t>
        </is>
      </c>
      <c r="B29" s="17" t="n">
        <v>51842</v>
      </c>
      <c r="C29" s="17" t="n">
        <v>47289</v>
      </c>
      <c r="D29" s="17" t="n">
        <v>39224</v>
      </c>
      <c r="E29" s="17" t="n">
        <v>37777</v>
      </c>
      <c r="F29" s="17" t="n">
        <v>27870</v>
      </c>
    </row>
    <row r="30">
      <c r="A30" s="16" t="inlineStr">
        <is>
          <t>Ansvarlig lånekapital (kortfristet)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Kortfristet del af langfristede gældsforpligtelser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Kreditinstitutter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Leasingforpligtelser (kortfristet)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Leverandører af varer og tjenesteydelser</t>
        </is>
      </c>
      <c r="B34" s="17" t="n">
        <v>29601</v>
      </c>
      <c r="C34" s="17" t="n">
        <v>48473</v>
      </c>
      <c r="D34" s="17" t="n">
        <v>30514</v>
      </c>
      <c r="E34" s="17" t="n">
        <v>38688</v>
      </c>
      <c r="F34" s="17" t="n">
        <v>31687</v>
      </c>
    </row>
    <row r="35">
      <c r="A35" s="16" t="inlineStr">
        <is>
          <t>Gæld til tilknyttede virksomheder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Gæld til selskabsdeltagere og ledelse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Selskabsskat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Gæld til tilknyttede virksomheder vedr. selskabsskat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Anden gæld (kortfristet)</t>
        </is>
      </c>
      <c r="B39" s="17" t="n">
        <v>175863</v>
      </c>
      <c r="C39" s="17" t="n">
        <v>171753</v>
      </c>
      <c r="D39" s="17" t="n">
        <v>185734</v>
      </c>
      <c r="E39" s="17" t="n">
        <v>184368</v>
      </c>
      <c r="F39" s="17" t="n">
        <v>175560</v>
      </c>
    </row>
    <row r="40">
      <c r="A40" s="16" t="inlineStr">
        <is>
          <t>Periodeafgrænsningsposter (passiver)</t>
        </is>
      </c>
      <c r="B40" s="17" t="n"/>
      <c r="C40" s="17" t="n"/>
      <c r="D40" s="17" t="n"/>
      <c r="E40" s="17" t="n"/>
      <c r="F40" s="17" t="n"/>
    </row>
    <row r="41">
      <c r="A41" s="15" t="inlineStr">
        <is>
          <t>Kortfristede gældsforpligtelser</t>
        </is>
      </c>
      <c r="B41" s="17" t="n">
        <v>269064</v>
      </c>
      <c r="C41" s="17" t="n">
        <v>325301</v>
      </c>
      <c r="D41" s="17" t="n">
        <v>267905</v>
      </c>
      <c r="E41" s="17" t="n">
        <v>274237</v>
      </c>
      <c r="F41" s="17" t="n">
        <v>234047</v>
      </c>
    </row>
    <row r="42">
      <c r="A42" s="15" t="inlineStr">
        <is>
          <t>Gældsforpligtelser</t>
        </is>
      </c>
      <c r="B42" s="17" t="n">
        <v>320905</v>
      </c>
      <c r="C42" s="17" t="n">
        <v>372590</v>
      </c>
      <c r="D42" s="17" t="n">
        <v>307129</v>
      </c>
      <c r="E42" s="17" t="n">
        <v>312014</v>
      </c>
      <c r="F42" s="17" t="n">
        <v>261917</v>
      </c>
    </row>
    <row r="43">
      <c r="A43" s="15" t="inlineStr">
        <is>
          <t>Passiver</t>
        </is>
      </c>
      <c r="B43" s="17" t="n">
        <v>1092583</v>
      </c>
      <c r="C43" s="17" t="n">
        <v>1156291</v>
      </c>
      <c r="D43" s="17" t="n">
        <v>1071552</v>
      </c>
      <c r="E43" s="17" t="n">
        <v>1112387</v>
      </c>
      <c r="F43" s="17" t="n">
        <v>987465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Danske Licens Spil A/S (CVR 33034474)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234464</v>
      </c>
      <c r="C2" s="17" t="n">
        <v>214592</v>
      </c>
      <c r="D2" s="17" t="n">
        <v>87091</v>
      </c>
      <c r="E2" s="17" t="n">
        <v>254314</v>
      </c>
      <c r="F2" s="17" t="n">
        <v>298131</v>
      </c>
    </row>
    <row r="3">
      <c r="A3" s="16" t="inlineStr">
        <is>
          <t>Pengestrømme fra investeringsaktivitet</t>
        </is>
      </c>
      <c r="B3" s="17" t="n">
        <v>-30817</v>
      </c>
      <c r="C3" s="17" t="n">
        <v>-56609</v>
      </c>
      <c r="D3" s="17" t="n">
        <v>-71944</v>
      </c>
      <c r="E3" s="17" t="n">
        <v>-14469</v>
      </c>
      <c r="F3" s="17" t="n">
        <v>-43280</v>
      </c>
    </row>
    <row r="4">
      <c r="A4" s="16" t="inlineStr">
        <is>
          <t>Pengestrømme fra finansieringsaktivitet</t>
        </is>
      </c>
      <c r="B4" s="17" t="n">
        <v>-123518</v>
      </c>
      <c r="C4" s="17" t="n">
        <v>-159399</v>
      </c>
      <c r="D4" s="17" t="n">
        <v>-166167</v>
      </c>
      <c r="E4" s="17" t="n">
        <v>-137877</v>
      </c>
      <c r="F4" s="17" t="n">
        <v>-244984</v>
      </c>
    </row>
    <row r="5">
      <c r="A5" s="16" t="inlineStr">
        <is>
          <t>Årets pengestrøm</t>
        </is>
      </c>
      <c r="B5" s="17" t="n">
        <v>80129</v>
      </c>
      <c r="C5" s="17" t="n">
        <v>-1416</v>
      </c>
      <c r="D5" s="17" t="n">
        <v>-151020</v>
      </c>
      <c r="E5" s="17" t="n">
        <v>101968</v>
      </c>
      <c r="F5" s="17" t="n">
        <v>9867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Danske Licens Spil A/S (CVR 33034474) — Regnskabs- og nøgletal (CVR: 33034474)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'res_raw_33034474'!$F$2</f>
        <v/>
      </c>
      <c r="C5" s="24">
        <f>'res_raw_33034474'!$E$2</f>
        <v/>
      </c>
      <c r="D5" s="24">
        <f>'res_raw_33034474'!$D$2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'res_raw_33034474'!$F$3</f>
        <v/>
      </c>
      <c r="C6" s="24">
        <f>'res_raw_33034474'!$E$3</f>
        <v/>
      </c>
      <c r="D6" s="24">
        <f>'res_raw_33034474'!$D$3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-'res_raw_33034474'!$F$4</f>
        <v/>
      </c>
      <c r="C7" s="24">
        <f>-'res_raw_33034474'!$E$4</f>
        <v/>
      </c>
      <c r="D7" s="24">
        <f>-'res_raw_33034474'!$D$4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-'res_raw_33034474'!$F$5</f>
        <v/>
      </c>
      <c r="C8" s="24">
        <f>-'res_raw_33034474'!$E$5</f>
        <v/>
      </c>
      <c r="D8" s="24">
        <f>-'res_raw_33034474'!$D$5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IF(ABS((SUM(B5:B8))-'res_raw_33034474'!$F$6)&lt;=2,SUM(B5:B8),'res_raw_33034474'!$F$6)</f>
        <v/>
      </c>
      <c r="C9" s="27">
        <f>IF(ABS((SUM(C5:C8))-'res_raw_33034474'!$E$6)&lt;=2,SUM(C5:C8),'res_raw_33034474'!$E$6)</f>
        <v/>
      </c>
      <c r="D9" s="27">
        <f>IF(ABS((SUM(D5:D8))-'res_raw_33034474'!$D$6)&lt;=2,SUM(D5:D8),'res_raw_33034474'!$D$6)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-'res_raw_33034474'!$F$7</f>
        <v/>
      </c>
      <c r="C10" s="24">
        <f>-'res_raw_33034474'!$E$7</f>
        <v/>
      </c>
      <c r="D10" s="24">
        <f>-'res_raw_33034474'!$D$7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-'res_raw_33034474'!$F$9</f>
        <v/>
      </c>
      <c r="C11" s="24">
        <f>-'res_raw_33034474'!$E$9</f>
        <v/>
      </c>
      <c r="D11" s="24">
        <f>-'res_raw_33034474'!$D$9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-'res_raw_33034474'!$F$10</f>
        <v/>
      </c>
      <c r="C12" s="24">
        <f>-'res_raw_33034474'!$E$10</f>
        <v/>
      </c>
      <c r="D12" s="24">
        <f>-'res_raw_33034474'!$D$10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IF(ABS((SUM(B9:B12))-'res_raw_33034474'!$F$11)&lt;=2,SUM(B9:B12),'res_raw_33034474'!$F$11)</f>
        <v/>
      </c>
      <c r="C13" s="27">
        <f>IF(ABS((SUM(C9:C12))-'res_raw_33034474'!$E$11)&lt;=2,SUM(C9:C12),'res_raw_33034474'!$E$11)</f>
        <v/>
      </c>
      <c r="D13" s="27">
        <f>IF(ABS((SUM(D9:D12))-'res_raw_33034474'!$D$11)&lt;=2,SUM(D9:D12),'res_raw_33034474'!$D$11)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N('res_raw_33034474'!$F$12)+N('res_raw_33034474'!$F$13)</f>
        <v/>
      </c>
      <c r="C14" s="24">
        <f>N('res_raw_33034474'!$E$12)+N('res_raw_33034474'!$E$13)</f>
        <v/>
      </c>
      <c r="D14" s="24">
        <f>N('res_raw_33034474'!$D$12)+N('res_raw_33034474'!$D$13)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-'res_raw_33034474'!$F$14</f>
        <v/>
      </c>
      <c r="C15" s="24">
        <f>-'res_raw_33034474'!$E$14</f>
        <v/>
      </c>
      <c r="D15" s="24">
        <f>-'res_raw_33034474'!$D$14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IF(ABS((SUM(B13:B15))-'res_raw_33034474'!$F$16)&lt;=2,SUM(B13:B15),'res_raw_33034474'!$F$16)</f>
        <v/>
      </c>
      <c r="C16" s="27">
        <f>IF(ABS((SUM(C13:C15))-'res_raw_33034474'!$E$16)&lt;=2,SUM(C13:C15),'res_raw_33034474'!$E$16)</f>
        <v/>
      </c>
      <c r="D16" s="27">
        <f>IF(ABS((SUM(D13:D15))-'res_raw_33034474'!$D$16)&lt;=2,SUM(D13:D15),'res_raw_33034474'!$D$16)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'balance_raw_33034474'!$F$7</f>
        <v/>
      </c>
      <c r="C19" s="24">
        <f>'balance_raw_33034474'!$E$7</f>
        <v/>
      </c>
      <c r="D19" s="24">
        <f>'balance_raw_33034474'!$D$7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'balance_raw_33034474'!$F$18</f>
        <v/>
      </c>
      <c r="C20" s="24">
        <f>'balance_raw_33034474'!$E$18</f>
        <v/>
      </c>
      <c r="D20" s="24">
        <f>'balance_raw_33034474'!$D$18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'balance_raw_33034474'!$F$26</f>
        <v/>
      </c>
      <c r="C23" s="24">
        <f>'balance_raw_33034474'!$E$26</f>
        <v/>
      </c>
      <c r="D23" s="24">
        <f>'balance_raw_33034474'!$D$26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'balance_raw_33034474'!$F$43-'balance_raw_33034474'!$F$26</f>
        <v/>
      </c>
      <c r="C24" s="24">
        <f>'balance_raw_33034474'!$E$43-'balance_raw_33034474'!$E$26</f>
        <v/>
      </c>
      <c r="D24" s="24">
        <f>'balance_raw_33034474'!$D$43-'balance_raw_33034474'!$D$26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'balance_raw_33034474'!$F$8</f>
        <v/>
      </c>
      <c r="C29" s="24">
        <f>'balance_raw_33034474'!$E$8</f>
        <v/>
      </c>
      <c r="D29" s="24">
        <f>'balance_raw_33034474'!$D$8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'balance_raw_33034474'!$F$41</f>
        <v/>
      </c>
      <c r="C30" s="24">
        <f>'balance_raw_33034474'!$E$41</f>
        <v/>
      </c>
      <c r="D30" s="24">
        <f>'balance_raw_33034474'!$D$41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IF('balance_raw_33034474'!$F$19="","—",IF(ABS(B21-'balance_raw_33034474'!$F$19)&lt;=1,"✓ OK","❌ "&amp;TEXT(B21-'balance_raw_33034474'!$F$19,"+#,##0;-#,##0")&amp;" t.kr."))</f>
        <v/>
      </c>
      <c r="C61" s="29">
        <f>IF('balance_raw_33034474'!$E$19="","—",IF(ABS(C21-'balance_raw_33034474'!$E$19)&lt;=1,"✓ OK","❌ "&amp;TEXT(C21-'balance_raw_33034474'!$E$19,"+#,##0;-#,##0")&amp;" t.kr."))</f>
        <v/>
      </c>
      <c r="D61" s="29">
        <f>IF('balance_raw_33034474'!$D$19="","—",IF(ABS(D21-'balance_raw_33034474'!$D$19)&lt;=1,"✓ OK","❌ "&amp;TEXT(D21-'balance_raw_33034474'!$D$19,"+#,##0;-#,##0")&amp;"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IF('balance_raw_33034474'!$F$43="","—",IF(ABS(B25-'balance_raw_33034474'!$F$43)&lt;=1,"✓ OK","❌ "&amp;TEXT(B25-'balance_raw_33034474'!$F$43,"+#,##0;-#,##0")&amp;" t.kr."))</f>
        <v/>
      </c>
      <c r="C62" s="29">
        <f>IF('balance_raw_33034474'!$E$43="","—",IF(ABS(C25-'balance_raw_33034474'!$E$43)&lt;=1,"✓ OK","❌ "&amp;TEXT(C25-'balance_raw_33034474'!$E$43,"+#,##0;-#,##0")&amp;" t.kr."))</f>
        <v/>
      </c>
      <c r="D62" s="29">
        <f>IF('balance_raw_33034474'!$D$43="","—",IF(ABS(D25-'balance_raw_33034474'!$D$43)&lt;=1,"✓ OK","❌ "&amp;TEXT(D25-'balance_raw_33034474'!$D$43,"+#,##0;-#,##0")&amp;"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IF('res_raw_33034474'!$F$6="","—",IF(ABS(B9-'res_raw_33034474'!$F$6)&lt;=1,"✓ OK","❌ "&amp;TEXT(B9-'res_raw_33034474'!$F$6,"+#,##0;-#,##0")&amp;" t.kr."))</f>
        <v/>
      </c>
      <c r="C64" s="29">
        <f>IF('res_raw_33034474'!$E$6="","—",IF(ABS(C9-'res_raw_33034474'!$E$6)&lt;=1,"✓ OK","❌ "&amp;TEXT(C9-'res_raw_33034474'!$E$6,"+#,##0;-#,##0")&amp;" t.kr."))</f>
        <v/>
      </c>
      <c r="D64" s="29">
        <f>IF('res_raw_33034474'!$D$6="","—",IF(ABS(D9-'res_raw_33034474'!$D$6)&lt;=1,"✓ OK","❌ "&amp;TEXT(D9-'res_raw_33034474'!$D$6,"+#,##0;-#,##0")&amp;"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IF('res_raw_33034474'!$F$11="","—",IF(ABS(B13-'res_raw_33034474'!$F$11)&lt;=1,"✓ OK","❌ "&amp;TEXT(B13-'res_raw_33034474'!$F$11,"+#,##0;-#,##0")&amp;" t.kr."))</f>
        <v/>
      </c>
      <c r="C65" s="29">
        <f>IF('res_raw_33034474'!$E$11="","—",IF(ABS(C13-'res_raw_33034474'!$E$11)&lt;=1,"✓ OK","❌ "&amp;TEXT(C13-'res_raw_33034474'!$E$11,"+#,##0;-#,##0")&amp;" t.kr."))</f>
        <v/>
      </c>
      <c r="D65" s="29">
        <f>IF('res_raw_33034474'!$D$11="","—",IF(ABS(D13-'res_raw_33034474'!$D$11)&lt;=1,"✓ OK","❌ "&amp;TEXT(D13-'res_raw_33034474'!$D$11,"+#,##0;-#,##0")&amp;"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IF('res_raw_33034474'!$F$16="","—",IF(ABS(B16-'res_raw_33034474'!$F$16)&lt;=1,"✓ OK","❌ "&amp;TEXT(B16-'res_raw_33034474'!$F$16,"+#,##0;-#,##0")&amp;" t.kr."))</f>
        <v/>
      </c>
      <c r="C66" s="29">
        <f>IF('res_raw_33034474'!$E$16="","—",IF(ABS(C16-'res_raw_33034474'!$E$16)&lt;=1,"✓ OK","❌ "&amp;TEXT(C16-'res_raw_33034474'!$E$16,"+#,##0;-#,##0")&amp;" t.kr."))</f>
        <v/>
      </c>
      <c r="D66" s="29">
        <f>IF('res_raw_33034474'!$D$16="","—",IF(ABS(D16-'res_raw_33034474'!$D$16)&lt;=1,"✓ OK","❌ "&amp;TEXT(D16-'res_raw_33034474'!$D$16,"+#,##0;-#,##0")&amp;"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Danske Licens Spil A/S (CVR 33034474)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ifrs-full:AdjustmentsForFinanceCosts</t>
        </is>
      </c>
      <c r="C3" s="34" t="inlineStr">
        <is>
          <t>ifrs-full:AdjustmentsForFinanceCosts</t>
        </is>
      </c>
      <c r="D3" s="35" t="n"/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ifrs-full:AdjustmentsForFinanceIncome</t>
        </is>
      </c>
      <c r="C4" s="37" t="inlineStr">
        <is>
          <t>ifrs-full:AdjustmentsForFinanceIncome</t>
        </is>
      </c>
      <c r="D4" s="38" t="n"/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ifrs-full:AdjustmentsForGainLossOnDisposalOfInvestmentsInSubsidiariesJointVenturesAndAssociates</t>
        </is>
      </c>
      <c r="C5" s="34" t="inlineStr">
        <is>
          <t>ifrs-full:AdjustmentsForGainLossOnDisposalOfInvestmentsInSubsidiariesJointVenturesAndAssociates</t>
        </is>
      </c>
      <c r="D5" s="35" t="n"/>
      <c r="E5" s="35" t="n"/>
      <c r="F5" s="35" t="n">
        <v>0</v>
      </c>
      <c r="G5" s="35" t="n">
        <v>29287</v>
      </c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ifrs-full:AdjustmentsForIncomeTaxExpense</t>
        </is>
      </c>
      <c r="C6" s="37" t="inlineStr">
        <is>
          <t>ifrs-full:AdjustmentsForIncomeTaxExpense</t>
        </is>
      </c>
      <c r="D6" s="38" t="n">
        <v>37208</v>
      </c>
      <c r="E6" s="38" t="n">
        <v>48521</v>
      </c>
      <c r="F6" s="38" t="n">
        <v>40993</v>
      </c>
      <c r="G6" s="38" t="n">
        <v>40488</v>
      </c>
      <c r="H6" s="38" t="n">
        <v>47426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ifrs-full:AdjustmentsForInterestExpense</t>
        </is>
      </c>
      <c r="C7" s="34" t="inlineStr">
        <is>
          <t>ifrs-full:AdjustmentsForInterestExpense</t>
        </is>
      </c>
      <c r="D7" s="35" t="n">
        <v>41435</v>
      </c>
      <c r="E7" s="35" t="n">
        <v>45878</v>
      </c>
      <c r="F7" s="35" t="n">
        <v>43140</v>
      </c>
      <c r="G7" s="35" t="n">
        <v>45308</v>
      </c>
      <c r="H7" s="35" t="n">
        <v>42165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ifrs-full:AdjustmentsForInterestIncome</t>
        </is>
      </c>
      <c r="C8" s="37" t="inlineStr">
        <is>
          <t>ifrs-full:AdjustmentsForInterestIncome</t>
        </is>
      </c>
      <c r="D8" s="38" t="n">
        <v>0</v>
      </c>
      <c r="E8" s="38" t="n">
        <v>1837</v>
      </c>
      <c r="F8" s="38" t="n">
        <v>19273</v>
      </c>
      <c r="G8" s="38" t="n">
        <v>23559</v>
      </c>
      <c r="H8" s="38" t="n">
        <v>13053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ifrs-full:ComputerSoftware</t>
        </is>
      </c>
      <c r="C9" s="34" t="inlineStr">
        <is>
          <t>ifrs-full:ComputerSoftware</t>
        </is>
      </c>
      <c r="D9" s="35" t="n">
        <v>24669</v>
      </c>
      <c r="E9" s="35" t="n">
        <v>21489</v>
      </c>
      <c r="F9" s="35" t="n">
        <v>18309</v>
      </c>
      <c r="G9" s="35" t="n">
        <v>15128</v>
      </c>
      <c r="H9" s="35" t="n">
        <v>11948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ifrs-full:CurrentDividendPayables</t>
        </is>
      </c>
      <c r="C10" s="37" t="inlineStr">
        <is>
          <t>ifrs-full:CurrentDividendPayables</t>
        </is>
      </c>
      <c r="D10" s="38" t="n">
        <v>2436</v>
      </c>
      <c r="E10" s="38" t="n">
        <v>1969</v>
      </c>
      <c r="F10" s="38" t="n">
        <v>1845</v>
      </c>
      <c r="G10" s="38" t="n">
        <v>3398</v>
      </c>
      <c r="H10" s="38" t="n">
        <v>3890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ifrs-full:CurrentFinancialLiabilitiesAtFairValueThroughProfitOrLoss</t>
        </is>
      </c>
      <c r="C11" s="34" t="inlineStr">
        <is>
          <t>ifrs-full:CurrentFinancialLiabilitiesAtFairValueThroughProfitOrLoss</t>
        </is>
      </c>
      <c r="D11" s="35" t="n">
        <v>1776</v>
      </c>
      <c r="E11" s="35" t="n">
        <v>2369</v>
      </c>
      <c r="F11" s="35" t="n">
        <v>5892</v>
      </c>
      <c r="G11" s="35" t="n">
        <v>5031</v>
      </c>
      <c r="H11" s="35" t="n">
        <v>5187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ifrs-full:CustomerrelatedIntangibleAssetsRecognisedAsOfAcquisitionDate</t>
        </is>
      </c>
      <c r="C12" s="37" t="inlineStr">
        <is>
          <t>ifrs-full:CustomerrelatedIntangibleAssetsRecognisedAsOfAcquisitionDate</t>
        </is>
      </c>
      <c r="D12" s="38" t="n">
        <v>8004</v>
      </c>
      <c r="E12" s="38" t="n">
        <v>5090</v>
      </c>
      <c r="F12" s="38" t="n">
        <v>2176</v>
      </c>
      <c r="G12" s="38" t="n">
        <v>0</v>
      </c>
      <c r="H12" s="38" t="n">
        <v>0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ifrs-full:FeeAndCommissionExpense</t>
        </is>
      </c>
      <c r="C13" s="34" t="inlineStr">
        <is>
          <t>ifrs-full:FeeAndCommissionExpense</t>
        </is>
      </c>
      <c r="D13" s="35" t="n">
        <v>125671</v>
      </c>
      <c r="E13" s="35" t="n">
        <v>94867</v>
      </c>
      <c r="F13" s="35" t="n">
        <v>81860</v>
      </c>
      <c r="G13" s="35" t="n">
        <v>56607</v>
      </c>
      <c r="H13" s="35" t="n">
        <v>45362</v>
      </c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ifrs-full:GainsLossesOnDisposalsOfInvestments</t>
        </is>
      </c>
      <c r="C14" s="37" t="inlineStr">
        <is>
          <t>ifrs-full:GainsLossesOnDisposalsOfInvestments</t>
        </is>
      </c>
      <c r="D14" s="38" t="n"/>
      <c r="E14" s="38" t="n"/>
      <c r="F14" s="38" t="n">
        <v>0</v>
      </c>
      <c r="G14" s="38" t="n">
        <v>29287</v>
      </c>
      <c r="H14" s="38" t="n">
        <v>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ifrs-full:InvestmentsInSubsidiariesJointVenturesAndAssociates</t>
        </is>
      </c>
      <c r="C15" s="34" t="inlineStr">
        <is>
          <t>ifrs-full:InvestmentsInSubsidiariesJointVenturesAndAssociates</t>
        </is>
      </c>
      <c r="D15" s="35" t="n">
        <v>12562</v>
      </c>
      <c r="E15" s="35" t="n">
        <v>12562</v>
      </c>
      <c r="F15" s="35" t="n">
        <v>12562</v>
      </c>
      <c r="G15" s="35" t="n">
        <v>0</v>
      </c>
      <c r="H15" s="35" t="n">
        <v>400</v>
      </c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ifrs-full:OtherIncomeExpenseFromSubsidiariesJointlyControlledEntitiesAndAssociates</t>
        </is>
      </c>
      <c r="C16" s="37" t="inlineStr">
        <is>
          <t>ifrs-full:OtherIncomeExpenseFromSubsidiariesJointlyControlledEntitiesAndAssociates</t>
        </is>
      </c>
      <c r="D16" s="38" t="n">
        <v>1034</v>
      </c>
      <c r="E16" s="38" t="n">
        <v>3199</v>
      </c>
      <c r="F16" s="38" t="n">
        <v>3637</v>
      </c>
      <c r="G16" s="38" t="n">
        <v>0</v>
      </c>
      <c r="H16" s="38" t="n"/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ifrs-full:OtherLiabilities</t>
        </is>
      </c>
      <c r="C17" s="34" t="inlineStr">
        <is>
          <t>ifrs-full:OtherLiabilities</t>
        </is>
      </c>
      <c r="D17" s="35" t="n"/>
      <c r="E17" s="35" t="n"/>
      <c r="F17" s="35" t="n"/>
      <c r="G17" s="35" t="n"/>
      <c r="H17" s="35" t="n">
        <v>0</v>
      </c>
      <c r="I17" s="36" t="inlineStr">
        <is>
          <t>Ingen forklaring tilgængelig.</t>
        </is>
      </c>
    </row>
    <row r="18" ht="30" customHeight="1">
      <c r="A18" s="37" t="inlineStr">
        <is>
          <t>Øvrige (ukendt)</t>
        </is>
      </c>
      <c r="B18" s="37" t="inlineStr">
        <is>
          <t>ifrs-full:TaxExpenseOtherThanIncomeTaxExpense</t>
        </is>
      </c>
      <c r="C18" s="37" t="inlineStr">
        <is>
          <t>ifrs-full:TaxExpenseOtherThanIncomeTaxExpense</t>
        </is>
      </c>
      <c r="D18" s="38" t="n">
        <v>513868</v>
      </c>
      <c r="E18" s="38" t="n">
        <v>471559</v>
      </c>
      <c r="F18" s="38" t="n">
        <v>456874</v>
      </c>
      <c r="G18" s="38" t="n">
        <v>466806</v>
      </c>
      <c r="H18" s="38" t="n">
        <v>450699</v>
      </c>
      <c r="I18" s="39" t="inlineStr">
        <is>
          <t>Ingen forklaring tilgængelig.</t>
        </is>
      </c>
    </row>
    <row r="19" ht="30" customHeight="1">
      <c r="A19" s="34" t="inlineStr">
        <is>
          <t>Øvrige (ukendt)</t>
        </is>
      </c>
      <c r="B19" s="34" t="inlineStr">
        <is>
          <t>ifrs-full:TradeAndOtherCurrentReceivablesDueFromRelatedParties</t>
        </is>
      </c>
      <c r="C19" s="34" t="inlineStr">
        <is>
          <t>ifrs-full:TradeAndOtherCurrentReceivablesDueFromRelatedParties</t>
        </is>
      </c>
      <c r="D19" s="35" t="n">
        <v>122495</v>
      </c>
      <c r="E19" s="35" t="n">
        <v>160543</v>
      </c>
      <c r="F19" s="35" t="n"/>
      <c r="G19" s="35" t="n"/>
      <c r="H19" s="35" t="n">
        <v>282980</v>
      </c>
      <c r="I19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2026-10-02T21:55:40Z</dcterms:created>
  <dcterms:modified xmlns:dcterms="http://purl.org/dc/terms/" xmlns:xsi="http://www.w3.org/2001/XMLSchema-instance" xsi:type="dcterms:W3CDTF">2026-10-02T21:55:41Z</dcterms:modified>
</cp:coreProperties>
</file>