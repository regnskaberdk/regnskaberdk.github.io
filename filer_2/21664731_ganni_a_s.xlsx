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1664731" sheetId="1" state="visible" r:id="rId1"/>
    <sheet xmlns:r="http://schemas.openxmlformats.org/officeDocument/2006/relationships" name="res_raw_21664731" sheetId="2" state="visible" r:id="rId2"/>
    <sheet xmlns:r="http://schemas.openxmlformats.org/officeDocument/2006/relationships" name="balance_raw_2166473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Ganni A/S (CVR 21664731)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'res_raw_21664731'!$B$2</f>
        <v/>
      </c>
      <c r="C4" s="5">
        <f>'res_raw_21664731'!$C$2</f>
        <v/>
      </c>
      <c r="D4" s="5">
        <f>'res_raw_21664731'!$D$2</f>
        <v/>
      </c>
      <c r="E4" s="5">
        <f>'res_raw_21664731'!$E$2</f>
        <v/>
      </c>
      <c r="F4" s="5">
        <f>'res_raw_21664731'!$F$2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'res_raw_21664731'!$B$3</f>
        <v/>
      </c>
      <c r="C5" s="8">
        <f>'res_raw_21664731'!$C$3</f>
        <v/>
      </c>
      <c r="D5" s="8">
        <f>'res_raw_21664731'!$D$3</f>
        <v/>
      </c>
      <c r="E5" s="8">
        <f>'res_raw_21664731'!$E$3</f>
        <v/>
      </c>
      <c r="F5" s="8">
        <f>'res_raw_21664731'!$F$3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'res_raw_21664731'!$B$4</f>
        <v/>
      </c>
      <c r="C6" s="5">
        <f>'res_raw_21664731'!$C$4</f>
        <v/>
      </c>
      <c r="D6" s="5">
        <f>'res_raw_21664731'!$D$4</f>
        <v/>
      </c>
      <c r="E6" s="5">
        <f>'res_raw_21664731'!$E$4</f>
        <v/>
      </c>
      <c r="F6" s="5">
        <f>'res_raw_21664731'!$F$4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'res_raw_21664731'!$B$5</f>
        <v/>
      </c>
      <c r="C7" s="8">
        <f>'res_raw_21664731'!$C$5</f>
        <v/>
      </c>
      <c r="D7" s="8">
        <f>'res_raw_21664731'!$D$5</f>
        <v/>
      </c>
      <c r="E7" s="8">
        <f>'res_raw_21664731'!$E$5</f>
        <v/>
      </c>
      <c r="F7" s="8">
        <f>'res_raw_21664731'!$F$5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'res_raw_21664731'!$B$6</f>
        <v/>
      </c>
      <c r="C8" s="11">
        <f>'res_raw_21664731'!$C$6</f>
        <v/>
      </c>
      <c r="D8" s="11">
        <f>'res_raw_21664731'!$D$6</f>
        <v/>
      </c>
      <c r="E8" s="11">
        <f>'res_raw_21664731'!$E$6</f>
        <v/>
      </c>
      <c r="F8" s="11">
        <f>'res_raw_21664731'!$F$6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'res_raw_21664731'!$B$7</f>
        <v/>
      </c>
      <c r="C9" s="8">
        <f>'res_raw_21664731'!$C$7</f>
        <v/>
      </c>
      <c r="D9" s="8">
        <f>'res_raw_21664731'!$D$7</f>
        <v/>
      </c>
      <c r="E9" s="8">
        <f>'res_raw_21664731'!$E$7</f>
        <v/>
      </c>
      <c r="F9" s="8">
        <f>'res_raw_21664731'!$F$7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'res_raw_21664731'!$B$9</f>
        <v/>
      </c>
      <c r="C11" s="8">
        <f>'res_raw_21664731'!$C$9</f>
        <v/>
      </c>
      <c r="D11" s="8">
        <f>'res_raw_21664731'!$D$9</f>
        <v/>
      </c>
      <c r="E11" s="8">
        <f>'res_raw_21664731'!$E$9</f>
        <v/>
      </c>
      <c r="F11" s="8">
        <f>'res_raw_21664731'!$F$9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'res_raw_21664731'!$B$10</f>
        <v/>
      </c>
      <c r="C12" s="5">
        <f>'res_raw_21664731'!$C$10</f>
        <v/>
      </c>
      <c r="D12" s="5">
        <f>'res_raw_21664731'!$D$10</f>
        <v/>
      </c>
      <c r="E12" s="5">
        <f>'res_raw_21664731'!$E$10</f>
        <v/>
      </c>
      <c r="F12" s="5">
        <f>'res_raw_21664731'!$F$10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'res_raw_21664731'!$B$11</f>
        <v/>
      </c>
      <c r="C13" s="11">
        <f>'res_raw_21664731'!$C$11</f>
        <v/>
      </c>
      <c r="D13" s="11">
        <f>'res_raw_21664731'!$D$11</f>
        <v/>
      </c>
      <c r="E13" s="11">
        <f>'res_raw_21664731'!$E$11</f>
        <v/>
      </c>
      <c r="F13" s="11">
        <f>'res_raw_21664731'!$F$11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'res_raw_21664731'!$B$12</f>
        <v/>
      </c>
      <c r="C14" s="5">
        <f>'res_raw_21664731'!$C$12</f>
        <v/>
      </c>
      <c r="D14" s="5">
        <f>'res_raw_21664731'!$D$12</f>
        <v/>
      </c>
      <c r="E14" s="5">
        <f>'res_raw_21664731'!$E$12</f>
        <v/>
      </c>
      <c r="F14" s="5">
        <f>'res_raw_21664731'!$F$12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'res_raw_21664731'!$B$13</f>
        <v/>
      </c>
      <c r="C15" s="8">
        <f>'res_raw_21664731'!$C$13</f>
        <v/>
      </c>
      <c r="D15" s="8">
        <f>'res_raw_21664731'!$D$13</f>
        <v/>
      </c>
      <c r="E15" s="8">
        <f>'res_raw_21664731'!$E$13</f>
        <v/>
      </c>
      <c r="F15" s="8">
        <f>'res_raw_21664731'!$F$13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'res_raw_21664731'!$B$14</f>
        <v/>
      </c>
      <c r="C16" s="5">
        <f>'res_raw_21664731'!$C$14</f>
        <v/>
      </c>
      <c r="D16" s="5">
        <f>'res_raw_21664731'!$D$14</f>
        <v/>
      </c>
      <c r="E16" s="5">
        <f>'res_raw_21664731'!$E$14</f>
        <v/>
      </c>
      <c r="F16" s="5">
        <f>'res_raw_21664731'!$F$14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'res_raw_21664731'!$B$15</f>
        <v/>
      </c>
      <c r="C17" s="11">
        <f>'res_raw_21664731'!$C$15</f>
        <v/>
      </c>
      <c r="D17" s="11">
        <f>'res_raw_21664731'!$D$15</f>
        <v/>
      </c>
      <c r="E17" s="11">
        <f>'res_raw_21664731'!$E$15</f>
        <v/>
      </c>
      <c r="F17" s="11">
        <f>'res_raw_21664731'!$F$15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'res_raw_21664731'!$B$16</f>
        <v/>
      </c>
      <c r="C18" s="11">
        <f>'res_raw_21664731'!$C$16</f>
        <v/>
      </c>
      <c r="D18" s="11">
        <f>'res_raw_21664731'!$D$16</f>
        <v/>
      </c>
      <c r="E18" s="11">
        <f>'res_raw_21664731'!$E$16</f>
        <v/>
      </c>
      <c r="F18" s="11">
        <f>'res_raw_21664731'!$F$16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'res_raw_21664731'!$B$17</f>
        <v/>
      </c>
      <c r="C19" s="8">
        <f>'res_raw_21664731'!$C$17</f>
        <v/>
      </c>
      <c r="D19" s="8">
        <f>'res_raw_21664731'!$D$17</f>
        <v/>
      </c>
      <c r="E19" s="8">
        <f>'res_raw_21664731'!$E$17</f>
        <v/>
      </c>
      <c r="F19" s="8">
        <f>'res_raw_21664731'!$F$17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'res_raw_21664731'!$B$18</f>
        <v/>
      </c>
      <c r="C20" s="11">
        <f>'res_raw_21664731'!$C$18</f>
        <v/>
      </c>
      <c r="D20" s="11">
        <f>'res_raw_21664731'!$D$18</f>
        <v/>
      </c>
      <c r="E20" s="11">
        <f>'res_raw_21664731'!$E$18</f>
        <v/>
      </c>
      <c r="F20" s="11">
        <f>'res_raw_21664731'!$F$18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'balance_raw_21664731'!$B$2</f>
        <v/>
      </c>
      <c r="C23" s="8">
        <f>'balance_raw_21664731'!$C$2</f>
        <v/>
      </c>
      <c r="D23" s="8">
        <f>'balance_raw_21664731'!$D$2</f>
        <v/>
      </c>
      <c r="E23" s="8">
        <f>'balance_raw_21664731'!$E$2</f>
        <v/>
      </c>
      <c r="F23" s="8">
        <f>'balance_raw_21664731'!$F$2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'balance_raw_21664731'!$B$3</f>
        <v/>
      </c>
      <c r="C24" s="5">
        <f>'balance_raw_21664731'!$C$3</f>
        <v/>
      </c>
      <c r="D24" s="5">
        <f>'balance_raw_21664731'!$D$3</f>
        <v/>
      </c>
      <c r="E24" s="5">
        <f>'balance_raw_21664731'!$E$3</f>
        <v/>
      </c>
      <c r="F24" s="5">
        <f>'balance_raw_21664731'!$F$3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'balance_raw_21664731'!$B$4</f>
        <v/>
      </c>
      <c r="C25" s="8">
        <f>'balance_raw_21664731'!$C$4</f>
        <v/>
      </c>
      <c r="D25" s="8">
        <f>'balance_raw_21664731'!$D$4</f>
        <v/>
      </c>
      <c r="E25" s="8">
        <f>'balance_raw_21664731'!$E$4</f>
        <v/>
      </c>
      <c r="F25" s="8">
        <f>'balance_raw_21664731'!$F$4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'balance_raw_21664731'!$B$5</f>
        <v/>
      </c>
      <c r="C26" s="11">
        <f>'balance_raw_21664731'!$C$5</f>
        <v/>
      </c>
      <c r="D26" s="11">
        <f>'balance_raw_21664731'!$D$5</f>
        <v/>
      </c>
      <c r="E26" s="11">
        <f>'balance_raw_21664731'!$E$5</f>
        <v/>
      </c>
      <c r="F26" s="11">
        <f>'balance_raw_21664731'!$F$5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'balance_raw_21664731'!$B$6</f>
        <v/>
      </c>
      <c r="C27" s="8">
        <f>'balance_raw_21664731'!$C$6</f>
        <v/>
      </c>
      <c r="D27" s="8">
        <f>'balance_raw_21664731'!$D$6</f>
        <v/>
      </c>
      <c r="E27" s="8">
        <f>'balance_raw_21664731'!$E$6</f>
        <v/>
      </c>
      <c r="F27" s="8">
        <f>'balance_raw_21664731'!$F$6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'balance_raw_21664731'!$B$7</f>
        <v/>
      </c>
      <c r="C28" s="5">
        <f>'balance_raw_21664731'!$C$7</f>
        <v/>
      </c>
      <c r="D28" s="5">
        <f>'balance_raw_21664731'!$D$7</f>
        <v/>
      </c>
      <c r="E28" s="5">
        <f>'balance_raw_21664731'!$E$7</f>
        <v/>
      </c>
      <c r="F28" s="5">
        <f>'balance_raw_21664731'!$F$7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'balance_raw_21664731'!$B$8</f>
        <v/>
      </c>
      <c r="C29" s="8">
        <f>'balance_raw_21664731'!$C$8</f>
        <v/>
      </c>
      <c r="D29" s="8">
        <f>'balance_raw_21664731'!$D$8</f>
        <v/>
      </c>
      <c r="E29" s="8">
        <f>'balance_raw_21664731'!$E$8</f>
        <v/>
      </c>
      <c r="F29" s="8">
        <f>'balance_raw_21664731'!$F$8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'balance_raw_21664731'!$B$9</f>
        <v/>
      </c>
      <c r="C30" s="5">
        <f>'balance_raw_21664731'!$C$9</f>
        <v/>
      </c>
      <c r="D30" s="5">
        <f>'balance_raw_21664731'!$D$9</f>
        <v/>
      </c>
      <c r="E30" s="5">
        <f>'balance_raw_21664731'!$E$9</f>
        <v/>
      </c>
      <c r="F30" s="5">
        <f>'balance_raw_21664731'!$F$9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'balance_raw_21664731'!$B$10</f>
        <v/>
      </c>
      <c r="C31" s="8">
        <f>'balance_raw_21664731'!$C$10</f>
        <v/>
      </c>
      <c r="D31" s="8">
        <f>'balance_raw_21664731'!$D$10</f>
        <v/>
      </c>
      <c r="E31" s="8">
        <f>'balance_raw_21664731'!$E$10</f>
        <v/>
      </c>
      <c r="F31" s="8">
        <f>'balance_raw_21664731'!$F$10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'balance_raw_21664731'!$B$11</f>
        <v/>
      </c>
      <c r="C32" s="11">
        <f>'balance_raw_21664731'!$C$11</f>
        <v/>
      </c>
      <c r="D32" s="11">
        <f>'balance_raw_21664731'!$D$11</f>
        <v/>
      </c>
      <c r="E32" s="11">
        <f>'balance_raw_21664731'!$E$11</f>
        <v/>
      </c>
      <c r="F32" s="11">
        <f>'balance_raw_21664731'!$F$11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'balance_raw_21664731'!$B$12</f>
        <v/>
      </c>
      <c r="C33" s="8">
        <f>'balance_raw_21664731'!$C$12</f>
        <v/>
      </c>
      <c r="D33" s="8">
        <f>'balance_raw_21664731'!$D$12</f>
        <v/>
      </c>
      <c r="E33" s="8">
        <f>'balance_raw_21664731'!$E$12</f>
        <v/>
      </c>
      <c r="F33" s="8">
        <f>'balance_raw_21664731'!$F$12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'balance_raw_21664731'!$B$13</f>
        <v/>
      </c>
      <c r="C34" s="5">
        <f>'balance_raw_21664731'!$C$13</f>
        <v/>
      </c>
      <c r="D34" s="5">
        <f>'balance_raw_21664731'!$D$13</f>
        <v/>
      </c>
      <c r="E34" s="5">
        <f>'balance_raw_21664731'!$E$13</f>
        <v/>
      </c>
      <c r="F34" s="5">
        <f>'balance_raw_21664731'!$F$13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'balance_raw_21664731'!$B$14</f>
        <v/>
      </c>
      <c r="C35" s="11">
        <f>'balance_raw_21664731'!$C$14</f>
        <v/>
      </c>
      <c r="D35" s="11">
        <f>'balance_raw_21664731'!$D$14</f>
        <v/>
      </c>
      <c r="E35" s="11">
        <f>'balance_raw_21664731'!$E$14</f>
        <v/>
      </c>
      <c r="F35" s="11">
        <f>'balance_raw_21664731'!$F$14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'balance_raw_21664731'!$B$15</f>
        <v/>
      </c>
      <c r="C36" s="11">
        <f>'balance_raw_21664731'!$C$15</f>
        <v/>
      </c>
      <c r="D36" s="11">
        <f>'balance_raw_21664731'!$D$15</f>
        <v/>
      </c>
      <c r="E36" s="11">
        <f>'balance_raw_21664731'!$E$15</f>
        <v/>
      </c>
      <c r="F36" s="11">
        <f>'balance_raw_21664731'!$F$15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'balance_raw_21664731'!$B$16</f>
        <v/>
      </c>
      <c r="C37" s="8">
        <f>'balance_raw_21664731'!$C$16</f>
        <v/>
      </c>
      <c r="D37" s="8">
        <f>'balance_raw_21664731'!$D$16</f>
        <v/>
      </c>
      <c r="E37" s="8">
        <f>'balance_raw_21664731'!$E$16</f>
        <v/>
      </c>
      <c r="F37" s="8">
        <f>'balance_raw_21664731'!$F$16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'balance_raw_21664731'!$B$17</f>
        <v/>
      </c>
      <c r="C38" s="5">
        <f>'balance_raw_21664731'!$C$17</f>
        <v/>
      </c>
      <c r="D38" s="5">
        <f>'balance_raw_21664731'!$D$17</f>
        <v/>
      </c>
      <c r="E38" s="5">
        <f>'balance_raw_21664731'!$E$17</f>
        <v/>
      </c>
      <c r="F38" s="5">
        <f>'balance_raw_21664731'!$F$17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'balance_raw_21664731'!$B$18</f>
        <v/>
      </c>
      <c r="C39" s="8">
        <f>'balance_raw_21664731'!$C$18</f>
        <v/>
      </c>
      <c r="D39" s="8">
        <f>'balance_raw_21664731'!$D$18</f>
        <v/>
      </c>
      <c r="E39" s="8">
        <f>'balance_raw_21664731'!$E$18</f>
        <v/>
      </c>
      <c r="F39" s="8">
        <f>'balance_raw_21664731'!$F$18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'balance_raw_21664731'!$B$19</f>
        <v/>
      </c>
      <c r="C40" s="11">
        <f>'balance_raw_21664731'!$C$19</f>
        <v/>
      </c>
      <c r="D40" s="11">
        <f>'balance_raw_21664731'!$D$19</f>
        <v/>
      </c>
      <c r="E40" s="11">
        <f>'balance_raw_21664731'!$E$19</f>
        <v/>
      </c>
      <c r="F40" s="11">
        <f>'balance_raw_21664731'!$F$19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'balance_raw_21664731'!$B$20</f>
        <v/>
      </c>
      <c r="C41" s="8">
        <f>'balance_raw_21664731'!$C$20</f>
        <v/>
      </c>
      <c r="D41" s="8">
        <f>'balance_raw_21664731'!$D$20</f>
        <v/>
      </c>
      <c r="E41" s="8">
        <f>'balance_raw_21664731'!$E$20</f>
        <v/>
      </c>
      <c r="F41" s="8">
        <f>'balance_raw_21664731'!$F$20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'balance_raw_21664731'!$B$21</f>
        <v/>
      </c>
      <c r="C42" s="5">
        <f>'balance_raw_21664731'!$C$21</f>
        <v/>
      </c>
      <c r="D42" s="5">
        <f>'balance_raw_21664731'!$D$21</f>
        <v/>
      </c>
      <c r="E42" s="5">
        <f>'balance_raw_21664731'!$E$21</f>
        <v/>
      </c>
      <c r="F42" s="5">
        <f>'balance_raw_21664731'!$F$21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'balance_raw_21664731'!$B$22</f>
        <v/>
      </c>
      <c r="C43" s="8">
        <f>'balance_raw_21664731'!$C$22</f>
        <v/>
      </c>
      <c r="D43" s="8">
        <f>'balance_raw_21664731'!$D$22</f>
        <v/>
      </c>
      <c r="E43" s="8">
        <f>'balance_raw_21664731'!$E$22</f>
        <v/>
      </c>
      <c r="F43" s="8">
        <f>'balance_raw_21664731'!$F$22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'balance_raw_21664731'!$B$23</f>
        <v/>
      </c>
      <c r="C44" s="5">
        <f>'balance_raw_21664731'!$C$23</f>
        <v/>
      </c>
      <c r="D44" s="5">
        <f>'balance_raw_21664731'!$D$23</f>
        <v/>
      </c>
      <c r="E44" s="5">
        <f>'balance_raw_21664731'!$E$23</f>
        <v/>
      </c>
      <c r="F44" s="5">
        <f>'balance_raw_21664731'!$F$23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'balance_raw_21664731'!$B$24</f>
        <v/>
      </c>
      <c r="C45" s="8">
        <f>'balance_raw_21664731'!$C$24</f>
        <v/>
      </c>
      <c r="D45" s="8">
        <f>'balance_raw_21664731'!$D$24</f>
        <v/>
      </c>
      <c r="E45" s="8">
        <f>'balance_raw_21664731'!$E$24</f>
        <v/>
      </c>
      <c r="F45" s="8">
        <f>'balance_raw_21664731'!$F$24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'balance_raw_21664731'!$B$25</f>
        <v/>
      </c>
      <c r="C46" s="5">
        <f>'balance_raw_21664731'!$C$25</f>
        <v/>
      </c>
      <c r="D46" s="5">
        <f>'balance_raw_21664731'!$D$25</f>
        <v/>
      </c>
      <c r="E46" s="5">
        <f>'balance_raw_21664731'!$E$25</f>
        <v/>
      </c>
      <c r="F46" s="5">
        <f>'balance_raw_21664731'!$F$25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'balance_raw_21664731'!$B$26</f>
        <v/>
      </c>
      <c r="C47" s="8">
        <f>'balance_raw_21664731'!$C$26</f>
        <v/>
      </c>
      <c r="D47" s="8">
        <f>'balance_raw_21664731'!$D$26</f>
        <v/>
      </c>
      <c r="E47" s="8">
        <f>'balance_raw_21664731'!$E$26</f>
        <v/>
      </c>
      <c r="F47" s="8">
        <f>'balance_raw_21664731'!$F$26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'balance_raw_21664731'!$B$27</f>
        <v/>
      </c>
      <c r="C48" s="11">
        <f>'balance_raw_21664731'!$C$27</f>
        <v/>
      </c>
      <c r="D48" s="11">
        <f>'balance_raw_21664731'!$D$27</f>
        <v/>
      </c>
      <c r="E48" s="11">
        <f>'balance_raw_21664731'!$E$27</f>
        <v/>
      </c>
      <c r="F48" s="11">
        <f>'balance_raw_21664731'!$F$27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'balance_raw_21664731'!$B$28</f>
        <v/>
      </c>
      <c r="C49" s="8">
        <f>'balance_raw_21664731'!$C$28</f>
        <v/>
      </c>
      <c r="D49" s="8">
        <f>'balance_raw_21664731'!$D$28</f>
        <v/>
      </c>
      <c r="E49" s="8">
        <f>'balance_raw_21664731'!$E$28</f>
        <v/>
      </c>
      <c r="F49" s="8">
        <f>'balance_raw_21664731'!$F$28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'balance_raw_21664731'!$B$29</f>
        <v/>
      </c>
      <c r="C50" s="5">
        <f>'balance_raw_21664731'!$C$29</f>
        <v/>
      </c>
      <c r="D50" s="5">
        <f>'balance_raw_21664731'!$D$29</f>
        <v/>
      </c>
      <c r="E50" s="5">
        <f>'balance_raw_21664731'!$E$29</f>
        <v/>
      </c>
      <c r="F50" s="5">
        <f>'balance_raw_21664731'!$F$29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'balance_raw_21664731'!$B$30</f>
        <v/>
      </c>
      <c r="C51" s="11">
        <f>'balance_raw_21664731'!$C$30</f>
        <v/>
      </c>
      <c r="D51" s="11">
        <f>'balance_raw_21664731'!$D$30</f>
        <v/>
      </c>
      <c r="E51" s="11">
        <f>'balance_raw_21664731'!$E$30</f>
        <v/>
      </c>
      <c r="F51" s="11">
        <f>'balance_raw_21664731'!$F$30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'balance_raw_21664731'!$B$31</f>
        <v/>
      </c>
      <c r="C52" s="11">
        <f>'balance_raw_21664731'!$C$31</f>
        <v/>
      </c>
      <c r="D52" s="11">
        <f>'balance_raw_21664731'!$D$31</f>
        <v/>
      </c>
      <c r="E52" s="11">
        <f>'balance_raw_21664731'!$E$31</f>
        <v/>
      </c>
      <c r="F52" s="11">
        <f>'balance_raw_21664731'!$F$31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'balance_raw_21664731'!$B$32</f>
        <v/>
      </c>
      <c r="C55" s="8">
        <f>'balance_raw_21664731'!$C$32</f>
        <v/>
      </c>
      <c r="D55" s="8">
        <f>'balance_raw_21664731'!$D$32</f>
        <v/>
      </c>
      <c r="E55" s="8">
        <f>'balance_raw_21664731'!$E$32</f>
        <v/>
      </c>
      <c r="F55" s="8">
        <f>'balance_raw_21664731'!$F$32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'balance_raw_21664731'!$B$33</f>
        <v/>
      </c>
      <c r="C56" s="5">
        <f>'balance_raw_21664731'!$C$33</f>
        <v/>
      </c>
      <c r="D56" s="5">
        <f>'balance_raw_21664731'!$D$33</f>
        <v/>
      </c>
      <c r="E56" s="5">
        <f>'balance_raw_21664731'!$E$33</f>
        <v/>
      </c>
      <c r="F56" s="5">
        <f>'balance_raw_21664731'!$F$33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'balance_raw_21664731'!$B$34</f>
        <v/>
      </c>
      <c r="C57" s="8">
        <f>'balance_raw_21664731'!$C$34</f>
        <v/>
      </c>
      <c r="D57" s="8">
        <f>'balance_raw_21664731'!$D$34</f>
        <v/>
      </c>
      <c r="E57" s="8">
        <f>'balance_raw_21664731'!$E$34</f>
        <v/>
      </c>
      <c r="F57" s="8">
        <f>'balance_raw_21664731'!$F$34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'balance_raw_21664731'!$B$35</f>
        <v/>
      </c>
      <c r="C58" s="5">
        <f>'balance_raw_21664731'!$C$35</f>
        <v/>
      </c>
      <c r="D58" s="5">
        <f>'balance_raw_21664731'!$D$35</f>
        <v/>
      </c>
      <c r="E58" s="5">
        <f>'balance_raw_21664731'!$E$35</f>
        <v/>
      </c>
      <c r="F58" s="5">
        <f>'balance_raw_21664731'!$F$35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'balance_raw_21664731'!$B$36</f>
        <v/>
      </c>
      <c r="C59" s="8">
        <f>'balance_raw_21664731'!$C$36</f>
        <v/>
      </c>
      <c r="D59" s="8">
        <f>'balance_raw_21664731'!$D$36</f>
        <v/>
      </c>
      <c r="E59" s="8">
        <f>'balance_raw_21664731'!$E$36</f>
        <v/>
      </c>
      <c r="F59" s="8">
        <f>'balance_raw_21664731'!$F$36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'balance_raw_21664731'!$B$37</f>
        <v/>
      </c>
      <c r="C60" s="5">
        <f>'balance_raw_21664731'!$C$37</f>
        <v/>
      </c>
      <c r="D60" s="5">
        <f>'balance_raw_21664731'!$D$37</f>
        <v/>
      </c>
      <c r="E60" s="5">
        <f>'balance_raw_21664731'!$E$37</f>
        <v/>
      </c>
      <c r="F60" s="5">
        <f>'balance_raw_21664731'!$F$37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'balance_raw_21664731'!$B$38</f>
        <v/>
      </c>
      <c r="C61" s="11">
        <f>'balance_raw_21664731'!$C$38</f>
        <v/>
      </c>
      <c r="D61" s="11">
        <f>'balance_raw_21664731'!$D$38</f>
        <v/>
      </c>
      <c r="E61" s="11">
        <f>'balance_raw_21664731'!$E$38</f>
        <v/>
      </c>
      <c r="F61" s="11">
        <f>'balance_raw_21664731'!$F$38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'balance_raw_21664731'!$B$39</f>
        <v/>
      </c>
      <c r="C62" s="5">
        <f>'balance_raw_21664731'!$C$39</f>
        <v/>
      </c>
      <c r="D62" s="5">
        <f>'balance_raw_21664731'!$D$39</f>
        <v/>
      </c>
      <c r="E62" s="5">
        <f>'balance_raw_21664731'!$E$39</f>
        <v/>
      </c>
      <c r="F62" s="5">
        <f>'balance_raw_21664731'!$F$39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'balance_raw_21664731'!$B$40</f>
        <v/>
      </c>
      <c r="C63" s="11">
        <f>'balance_raw_21664731'!$C$40</f>
        <v/>
      </c>
      <c r="D63" s="11">
        <f>'balance_raw_21664731'!$D$40</f>
        <v/>
      </c>
      <c r="E63" s="11">
        <f>'balance_raw_21664731'!$E$40</f>
        <v/>
      </c>
      <c r="F63" s="11">
        <f>'balance_raw_21664731'!$F$40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'balance_raw_21664731'!$B$41</f>
        <v/>
      </c>
      <c r="C64" s="5">
        <f>'balance_raw_21664731'!$C$41</f>
        <v/>
      </c>
      <c r="D64" s="5">
        <f>'balance_raw_21664731'!$D$41</f>
        <v/>
      </c>
      <c r="E64" s="5">
        <f>'balance_raw_21664731'!$E$41</f>
        <v/>
      </c>
      <c r="F64" s="5">
        <f>'balance_raw_21664731'!$F$41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'balance_raw_21664731'!$B$42</f>
        <v/>
      </c>
      <c r="C65" s="8">
        <f>'balance_raw_21664731'!$C$42</f>
        <v/>
      </c>
      <c r="D65" s="8">
        <f>'balance_raw_21664731'!$D$42</f>
        <v/>
      </c>
      <c r="E65" s="8">
        <f>'balance_raw_21664731'!$E$42</f>
        <v/>
      </c>
      <c r="F65" s="8">
        <f>'balance_raw_21664731'!$F$42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'balance_raw_21664731'!$B$43</f>
        <v/>
      </c>
      <c r="C66" s="5">
        <f>'balance_raw_21664731'!$C$43</f>
        <v/>
      </c>
      <c r="D66" s="5">
        <f>'balance_raw_21664731'!$D$43</f>
        <v/>
      </c>
      <c r="E66" s="5">
        <f>'balance_raw_21664731'!$E$43</f>
        <v/>
      </c>
      <c r="F66" s="5">
        <f>'balance_raw_21664731'!$F$43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'balance_raw_21664731'!$B$44</f>
        <v/>
      </c>
      <c r="C67" s="8">
        <f>'balance_raw_21664731'!$C$44</f>
        <v/>
      </c>
      <c r="D67" s="8">
        <f>'balance_raw_21664731'!$D$44</f>
        <v/>
      </c>
      <c r="E67" s="8">
        <f>'balance_raw_21664731'!$E$44</f>
        <v/>
      </c>
      <c r="F67" s="8">
        <f>'balance_raw_21664731'!$F$44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'balance_raw_21664731'!$B$45</f>
        <v/>
      </c>
      <c r="C68" s="5">
        <f>'balance_raw_21664731'!$C$45</f>
        <v/>
      </c>
      <c r="D68" s="5">
        <f>'balance_raw_21664731'!$D$45</f>
        <v/>
      </c>
      <c r="E68" s="5">
        <f>'balance_raw_21664731'!$E$45</f>
        <v/>
      </c>
      <c r="F68" s="5">
        <f>'balance_raw_21664731'!$F$45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'balance_raw_21664731'!$B$46</f>
        <v/>
      </c>
      <c r="C69" s="8">
        <f>'balance_raw_21664731'!$C$46</f>
        <v/>
      </c>
      <c r="D69" s="8">
        <f>'balance_raw_21664731'!$D$46</f>
        <v/>
      </c>
      <c r="E69" s="8">
        <f>'balance_raw_21664731'!$E$46</f>
        <v/>
      </c>
      <c r="F69" s="8">
        <f>'balance_raw_21664731'!$F$46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'balance_raw_21664731'!$B$47</f>
        <v/>
      </c>
      <c r="C70" s="5">
        <f>'balance_raw_21664731'!$C$47</f>
        <v/>
      </c>
      <c r="D70" s="5">
        <f>'balance_raw_21664731'!$D$47</f>
        <v/>
      </c>
      <c r="E70" s="5">
        <f>'balance_raw_21664731'!$E$47</f>
        <v/>
      </c>
      <c r="F70" s="5">
        <f>'balance_raw_21664731'!$F$47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'balance_raw_21664731'!$B$48</f>
        <v/>
      </c>
      <c r="C71" s="8">
        <f>'balance_raw_21664731'!$C$48</f>
        <v/>
      </c>
      <c r="D71" s="8">
        <f>'balance_raw_21664731'!$D$48</f>
        <v/>
      </c>
      <c r="E71" s="8">
        <f>'balance_raw_21664731'!$E$48</f>
        <v/>
      </c>
      <c r="F71" s="8">
        <f>'balance_raw_21664731'!$F$48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'balance_raw_21664731'!$B$49</f>
        <v/>
      </c>
      <c r="C72" s="5">
        <f>'balance_raw_21664731'!$C$49</f>
        <v/>
      </c>
      <c r="D72" s="5">
        <f>'balance_raw_21664731'!$D$49</f>
        <v/>
      </c>
      <c r="E72" s="5">
        <f>'balance_raw_21664731'!$E$49</f>
        <v/>
      </c>
      <c r="F72" s="5">
        <f>'balance_raw_21664731'!$F$49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'balance_raw_21664731'!$B$50</f>
        <v/>
      </c>
      <c r="C73" s="8">
        <f>'balance_raw_21664731'!$C$50</f>
        <v/>
      </c>
      <c r="D73" s="8">
        <f>'balance_raw_21664731'!$D$50</f>
        <v/>
      </c>
      <c r="E73" s="8">
        <f>'balance_raw_21664731'!$E$50</f>
        <v/>
      </c>
      <c r="F73" s="8">
        <f>'balance_raw_21664731'!$F$50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'balance_raw_21664731'!$B$51</f>
        <v/>
      </c>
      <c r="C74" s="5">
        <f>'balance_raw_21664731'!$C$51</f>
        <v/>
      </c>
      <c r="D74" s="5">
        <f>'balance_raw_21664731'!$D$51</f>
        <v/>
      </c>
      <c r="E74" s="5">
        <f>'balance_raw_21664731'!$E$51</f>
        <v/>
      </c>
      <c r="F74" s="5">
        <f>'balance_raw_21664731'!$F$51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'balance_raw_21664731'!$B$52</f>
        <v/>
      </c>
      <c r="C75" s="11">
        <f>'balance_raw_21664731'!$C$52</f>
        <v/>
      </c>
      <c r="D75" s="11">
        <f>'balance_raw_21664731'!$D$52</f>
        <v/>
      </c>
      <c r="E75" s="11">
        <f>'balance_raw_21664731'!$E$52</f>
        <v/>
      </c>
      <c r="F75" s="11">
        <f>'balance_raw_21664731'!$F$52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'balance_raw_21664731'!$B$53</f>
        <v/>
      </c>
      <c r="C76" s="11">
        <f>'balance_raw_21664731'!$C$53</f>
        <v/>
      </c>
      <c r="D76" s="11">
        <f>'balance_raw_21664731'!$D$53</f>
        <v/>
      </c>
      <c r="E76" s="11">
        <f>'balance_raw_21664731'!$E$53</f>
        <v/>
      </c>
      <c r="F76" s="11">
        <f>'balance_raw_21664731'!$F$53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'balance_raw_21664731'!$B$54</f>
        <v/>
      </c>
      <c r="C77" s="11">
        <f>'balance_raw_21664731'!$C$54</f>
        <v/>
      </c>
      <c r="D77" s="11">
        <f>'balance_raw_21664731'!$D$54</f>
        <v/>
      </c>
      <c r="E77" s="11">
        <f>'balance_raw_21664731'!$E$54</f>
        <v/>
      </c>
      <c r="F77" s="11">
        <f>'balance_raw_21664731'!$F$54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'res_raw_21664731'!$B$19</f>
        <v/>
      </c>
      <c r="C80" s="5">
        <f>'res_raw_21664731'!$C$19</f>
        <v/>
      </c>
      <c r="D80" s="5">
        <f>'res_raw_21664731'!$D$19</f>
        <v/>
      </c>
      <c r="E80" s="5">
        <f>'res_raw_21664731'!$E$19</f>
        <v/>
      </c>
      <c r="F80" s="5">
        <f>'res_raw_21664731'!$F$19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'res_raw_21664731'!$B$20</f>
        <v/>
      </c>
      <c r="C81" s="8">
        <f>'res_raw_21664731'!$C$20</f>
        <v/>
      </c>
      <c r="D81" s="8">
        <f>'res_raw_21664731'!$D$20</f>
        <v/>
      </c>
      <c r="E81" s="8">
        <f>'res_raw_21664731'!$E$20</f>
        <v/>
      </c>
      <c r="F81" s="8">
        <f>'res_raw_21664731'!$F$20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IFERROR($B$4/$B$52,"")</f>
        <v/>
      </c>
      <c r="C86" s="13">
        <f>IFERROR($C$4/$C$52,"")</f>
        <v/>
      </c>
      <c r="D86" s="13">
        <f>IFERROR($D$4/$D$52,"")</f>
        <v/>
      </c>
      <c r="E86" s="13">
        <f>IFERROR($E$4/$E$52,"")</f>
        <v/>
      </c>
      <c r="F86" s="13">
        <f>IFERROR($F$4/$F$52,"")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Ganni A/S (CVR 21664731)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648451</v>
      </c>
      <c r="C2" s="16" t="n">
        <v>807888</v>
      </c>
      <c r="D2" s="16" t="n">
        <v>851580</v>
      </c>
      <c r="E2" s="16" t="n">
        <v>901891</v>
      </c>
      <c r="F2" s="16" t="n">
        <v>842834</v>
      </c>
    </row>
    <row r="3">
      <c r="A3" s="15" t="inlineStr">
        <is>
          <t>Andre driftsindtægter</t>
        </is>
      </c>
      <c r="B3" s="16" t="n">
        <v>2060</v>
      </c>
      <c r="C3" s="16" t="n">
        <v>1613</v>
      </c>
      <c r="D3" s="16" t="n">
        <v>1388</v>
      </c>
      <c r="E3" s="16" t="n">
        <v>2461</v>
      </c>
      <c r="F3" s="16" t="n">
        <v>2686</v>
      </c>
    </row>
    <row r="4">
      <c r="A4" s="15" t="inlineStr">
        <is>
          <t>Vareforbrug</t>
        </is>
      </c>
      <c r="B4" s="16" t="n">
        <v>303690</v>
      </c>
      <c r="C4" s="16" t="n">
        <v>425743</v>
      </c>
      <c r="D4" s="16" t="n">
        <v>439205</v>
      </c>
      <c r="E4" s="16" t="n">
        <v>452889</v>
      </c>
      <c r="F4" s="16" t="n">
        <v>410626</v>
      </c>
    </row>
    <row r="5">
      <c r="A5" s="15" t="inlineStr">
        <is>
          <t>Andre eksterne omkostninger</t>
        </is>
      </c>
      <c r="B5" s="16" t="n">
        <v>137702</v>
      </c>
      <c r="C5" s="16" t="n">
        <v>168712</v>
      </c>
      <c r="D5" s="16" t="n">
        <v>209762</v>
      </c>
      <c r="E5" s="16" t="n">
        <v>251586</v>
      </c>
      <c r="F5" s="16" t="n">
        <v>294907</v>
      </c>
    </row>
    <row r="6">
      <c r="A6" s="17" t="inlineStr">
        <is>
          <t>Bruttoresultat</t>
        </is>
      </c>
      <c r="B6" s="16" t="n">
        <v>209118</v>
      </c>
      <c r="C6" s="16" t="n">
        <v>220163</v>
      </c>
      <c r="D6" s="16" t="n">
        <v>213144</v>
      </c>
      <c r="E6" s="16" t="n">
        <v>210226</v>
      </c>
      <c r="F6" s="16" t="n">
        <v>149202</v>
      </c>
    </row>
    <row r="7">
      <c r="A7" s="15" t="inlineStr">
        <is>
          <t>Personaleomkostninger</t>
        </is>
      </c>
      <c r="B7" s="16" t="n">
        <v>68702</v>
      </c>
      <c r="C7" s="16" t="n">
        <v>93300</v>
      </c>
      <c r="D7" s="16" t="n">
        <v>96861</v>
      </c>
      <c r="E7" s="16" t="n">
        <v>106638</v>
      </c>
      <c r="F7" s="16" t="n">
        <v>92948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16771</v>
      </c>
      <c r="C9" s="16" t="n">
        <v>24670</v>
      </c>
      <c r="D9" s="16" t="n">
        <v>39257</v>
      </c>
      <c r="E9" s="16" t="n">
        <v>44722</v>
      </c>
      <c r="F9" s="16" t="n">
        <v>42362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123645</v>
      </c>
      <c r="C11" s="16" t="n">
        <v>102193</v>
      </c>
      <c r="D11" s="16" t="n">
        <v>77026</v>
      </c>
      <c r="E11" s="16" t="n">
        <v>58866</v>
      </c>
      <c r="F11" s="16" t="n">
        <v>13892</v>
      </c>
    </row>
    <row r="12">
      <c r="A12" s="15" t="inlineStr">
        <is>
          <t>Indtægter af kapitalandele, dattervirksomheder</t>
        </is>
      </c>
      <c r="B12" s="16" t="n">
        <v>20299</v>
      </c>
      <c r="C12" s="16" t="n">
        <v>13186</v>
      </c>
      <c r="D12" s="16" t="n">
        <v>-8512</v>
      </c>
      <c r="E12" s="16" t="n">
        <v>797</v>
      </c>
      <c r="F12" s="16" t="n">
        <v>-56290</v>
      </c>
    </row>
    <row r="13">
      <c r="A13" s="15" t="inlineStr">
        <is>
          <t>Finansielle indtægter</t>
        </is>
      </c>
      <c r="B13" s="16" t="n">
        <v>5641</v>
      </c>
      <c r="C13" s="16" t="n">
        <v>3510</v>
      </c>
      <c r="D13" s="16" t="n">
        <v>3795</v>
      </c>
      <c r="E13" s="16" t="n">
        <v>4533</v>
      </c>
      <c r="F13" s="16" t="n">
        <v>5840</v>
      </c>
    </row>
    <row r="14">
      <c r="A14" s="15" t="inlineStr">
        <is>
          <t>Finansielle omkostninger</t>
        </is>
      </c>
      <c r="B14" s="16" t="n">
        <v>889</v>
      </c>
      <c r="C14" s="16" t="n">
        <v>631</v>
      </c>
      <c r="D14" s="16" t="n">
        <v>6768</v>
      </c>
      <c r="E14" s="16" t="n">
        <v>3246</v>
      </c>
      <c r="F14" s="16" t="n">
        <v>8771</v>
      </c>
    </row>
    <row r="15">
      <c r="A15" s="17" t="inlineStr">
        <is>
          <t>Finansielle poster, netto</t>
        </is>
      </c>
      <c r="B15" s="16" t="n">
        <v>-7384</v>
      </c>
      <c r="C15" s="16" t="n">
        <v>-2879</v>
      </c>
      <c r="D15" s="16" t="n">
        <v>2973</v>
      </c>
      <c r="E15" s="16" t="n">
        <v>7384</v>
      </c>
      <c r="F15" s="16" t="n">
        <v>-59221</v>
      </c>
    </row>
    <row r="16">
      <c r="A16" s="17" t="inlineStr">
        <is>
          <t>Resultat før skat</t>
        </is>
      </c>
      <c r="B16" s="16" t="n">
        <v>151328</v>
      </c>
      <c r="C16" s="16" t="n">
        <v>118258</v>
      </c>
      <c r="D16" s="16" t="n">
        <v>65541</v>
      </c>
      <c r="E16" s="16" t="n">
        <v>60950</v>
      </c>
      <c r="F16" s="16" t="n">
        <v>-45329</v>
      </c>
    </row>
    <row r="17">
      <c r="A17" s="15" t="inlineStr">
        <is>
          <t>Skat af årets resultat</t>
        </is>
      </c>
      <c r="B17" s="16" t="n">
        <v>28980</v>
      </c>
      <c r="C17" s="16" t="n">
        <v>23479</v>
      </c>
      <c r="D17" s="16" t="n">
        <v>19283</v>
      </c>
      <c r="E17" s="16" t="n">
        <v>13413</v>
      </c>
      <c r="F17" s="16" t="n">
        <v>4006</v>
      </c>
    </row>
    <row r="18">
      <c r="A18" s="17" t="inlineStr">
        <is>
          <t>Årets resultat</t>
        </is>
      </c>
      <c r="B18" s="16" t="n">
        <v>122348</v>
      </c>
      <c r="C18" s="16" t="n">
        <v>94778</v>
      </c>
      <c r="D18" s="16" t="n">
        <v>46258</v>
      </c>
      <c r="E18" s="16" t="n">
        <v>47537</v>
      </c>
      <c r="F18" s="16" t="n">
        <v>-49335</v>
      </c>
    </row>
    <row r="19">
      <c r="A19" s="15" t="inlineStr">
        <is>
          <t>Gns. antal medarbejdere</t>
        </is>
      </c>
      <c r="B19" s="16" t="n">
        <v>135</v>
      </c>
      <c r="C19" s="16" t="n">
        <v>171</v>
      </c>
      <c r="D19" s="16" t="n">
        <v>172</v>
      </c>
      <c r="E19" s="16" t="n">
        <v>174</v>
      </c>
      <c r="F19" s="16" t="n">
        <v>161</v>
      </c>
    </row>
    <row r="20">
      <c r="A20" s="15" t="inlineStr">
        <is>
          <t>Investering i materielle anlægsaktiver</t>
        </is>
      </c>
      <c r="B20" s="16" t="n">
        <v>5122</v>
      </c>
      <c r="C20" s="16" t="n">
        <v>4164</v>
      </c>
      <c r="D20" s="16" t="n">
        <v>6042</v>
      </c>
      <c r="E20" s="16" t="n">
        <v>7161</v>
      </c>
      <c r="F20" s="16" t="n">
        <v>2580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Ganni A/S (CVR 21664731)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1127</v>
      </c>
      <c r="C2" s="16" t="n">
        <v>7519</v>
      </c>
      <c r="D2" s="16" t="n">
        <v>12957</v>
      </c>
      <c r="E2" s="16" t="n">
        <v>15586</v>
      </c>
      <c r="F2" s="16" t="n">
        <v>14779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27060</v>
      </c>
      <c r="C5" s="16" t="n">
        <v>46359</v>
      </c>
      <c r="D5" s="16" t="n">
        <v>54572</v>
      </c>
      <c r="E5" s="16" t="n">
        <v>68497</v>
      </c>
      <c r="F5" s="16" t="n">
        <v>70963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2091</v>
      </c>
      <c r="C8" s="16" t="n">
        <v>2028</v>
      </c>
      <c r="D8" s="16" t="n">
        <v>1695</v>
      </c>
      <c r="E8" s="16" t="n">
        <v>1279</v>
      </c>
      <c r="F8" s="16" t="n">
        <v>1016</v>
      </c>
    </row>
    <row r="9">
      <c r="A9" s="15" t="inlineStr">
        <is>
          <t>Indretning af lejede lokaler</t>
        </is>
      </c>
      <c r="B9" s="16" t="n">
        <v>12535</v>
      </c>
      <c r="C9" s="16" t="n">
        <v>11401</v>
      </c>
      <c r="D9" s="16" t="n">
        <v>11332</v>
      </c>
      <c r="E9" s="16" t="n">
        <v>11976</v>
      </c>
      <c r="F9" s="16" t="n">
        <v>8234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14626</v>
      </c>
      <c r="C11" s="16" t="n">
        <v>13429</v>
      </c>
      <c r="D11" s="16" t="n">
        <v>13027</v>
      </c>
      <c r="E11" s="16" t="n">
        <v>13255</v>
      </c>
      <c r="F11" s="16" t="n">
        <v>9250</v>
      </c>
    </row>
    <row r="12">
      <c r="A12" s="15" t="inlineStr">
        <is>
          <t>Kapitalandele, dattervirksomheder</t>
        </is>
      </c>
      <c r="B12" s="16" t="n">
        <v>70389</v>
      </c>
      <c r="C12" s="16" t="n">
        <v>87601</v>
      </c>
      <c r="D12" s="16" t="n">
        <v>108379</v>
      </c>
      <c r="E12" s="16" t="n">
        <v>148314</v>
      </c>
      <c r="F12" s="16" t="n">
        <v>121915</v>
      </c>
    </row>
    <row r="13">
      <c r="A13" s="15" t="inlineStr">
        <is>
          <t>Deposita</t>
        </is>
      </c>
      <c r="B13" s="16" t="n">
        <v>4096</v>
      </c>
      <c r="C13" s="16" t="n">
        <v>4181</v>
      </c>
      <c r="D13" s="16" t="n">
        <v>4561</v>
      </c>
      <c r="E13" s="16" t="n">
        <v>1616</v>
      </c>
      <c r="F13" s="16" t="n">
        <v>1615</v>
      </c>
    </row>
    <row r="14">
      <c r="A14" s="17" t="inlineStr">
        <is>
          <t>Finansielle anlægsaktiver</t>
        </is>
      </c>
      <c r="B14" s="16" t="n">
        <v>74485</v>
      </c>
      <c r="C14" s="16" t="n">
        <v>91782</v>
      </c>
      <c r="D14" s="16" t="n">
        <v>112940</v>
      </c>
      <c r="E14" s="16" t="n">
        <v>149930</v>
      </c>
      <c r="F14" s="16" t="n">
        <v>123530</v>
      </c>
    </row>
    <row r="15">
      <c r="A15" s="17" t="inlineStr">
        <is>
          <t>Anlægsaktiver</t>
        </is>
      </c>
      <c r="B15" s="16" t="n">
        <v>116172</v>
      </c>
      <c r="C15" s="16" t="n">
        <v>151570</v>
      </c>
      <c r="D15" s="16" t="n">
        <v>180539</v>
      </c>
      <c r="E15" s="16" t="n">
        <v>231682</v>
      </c>
      <c r="F15" s="16" t="n">
        <v>203743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76343</v>
      </c>
      <c r="C18" s="16" t="n">
        <v>99780</v>
      </c>
      <c r="D18" s="16" t="n">
        <v>109132</v>
      </c>
      <c r="E18" s="16" t="n">
        <v>123136</v>
      </c>
      <c r="F18" s="16" t="n">
        <v>119899</v>
      </c>
    </row>
    <row r="19">
      <c r="A19" s="17" t="inlineStr">
        <is>
          <t>Varebeholdninger</t>
        </is>
      </c>
      <c r="B19" s="16" t="n">
        <v>79085</v>
      </c>
      <c r="C19" s="16" t="n">
        <v>102595</v>
      </c>
      <c r="D19" s="16" t="n">
        <v>120712</v>
      </c>
      <c r="E19" s="16" t="n">
        <v>133108</v>
      </c>
      <c r="F19" s="16" t="n">
        <v>127006</v>
      </c>
    </row>
    <row r="20">
      <c r="A20" s="15" t="inlineStr">
        <is>
          <t>Tilgodehavender fra salg og tjenesteydelser</t>
        </is>
      </c>
      <c r="B20" s="16" t="n">
        <v>68525</v>
      </c>
      <c r="C20" s="16" t="n">
        <v>105942</v>
      </c>
      <c r="D20" s="16" t="n">
        <v>77531</v>
      </c>
      <c r="E20" s="16" t="n">
        <v>64080</v>
      </c>
      <c r="F20" s="16" t="n">
        <v>115760</v>
      </c>
    </row>
    <row r="21">
      <c r="A21" s="15" t="inlineStr">
        <is>
          <t>Tilgodehavender hos tilknyttede virksomheder</t>
        </is>
      </c>
      <c r="B21" s="16" t="n">
        <v>94006</v>
      </c>
      <c r="C21" s="16" t="n">
        <v>102918</v>
      </c>
      <c r="D21" s="16" t="n">
        <v>109532</v>
      </c>
      <c r="E21" s="16" t="n">
        <v>102800</v>
      </c>
      <c r="F21" s="16" t="n">
        <v>121056</v>
      </c>
    </row>
    <row r="22">
      <c r="A22" s="15" t="inlineStr">
        <is>
          <t>Andre tilgodehavender</t>
        </is>
      </c>
      <c r="B22" s="16" t="n">
        <v>8979</v>
      </c>
      <c r="C22" s="16" t="n">
        <v>4032</v>
      </c>
      <c r="D22" s="16" t="n">
        <v>741</v>
      </c>
      <c r="E22" s="16" t="n">
        <v>2912</v>
      </c>
      <c r="F22" s="16" t="n">
        <v>2111</v>
      </c>
    </row>
    <row r="23">
      <c r="A23" s="15" t="inlineStr">
        <is>
          <t>Periodeafgrænsningsposter (aktiver)</t>
        </is>
      </c>
      <c r="B23" s="16" t="n">
        <v>5465</v>
      </c>
      <c r="C23" s="16" t="n">
        <v>12560</v>
      </c>
      <c r="D23" s="16" t="n">
        <v>6163</v>
      </c>
      <c r="E23" s="16" t="n">
        <v>6625</v>
      </c>
      <c r="F23" s="16" t="n">
        <v>7078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176975</v>
      </c>
      <c r="C27" s="16" t="n">
        <v>225453</v>
      </c>
      <c r="D27" s="16" t="n">
        <v>193967</v>
      </c>
      <c r="E27" s="16" t="n">
        <v>176417</v>
      </c>
      <c r="F27" s="16" t="n">
        <v>246005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41368</v>
      </c>
      <c r="C29" s="16" t="n">
        <v>55971</v>
      </c>
      <c r="D29" s="16" t="n">
        <v>53409</v>
      </c>
      <c r="E29" s="16" t="n">
        <v>32459</v>
      </c>
      <c r="F29" s="16" t="n">
        <v>1526</v>
      </c>
    </row>
    <row r="30">
      <c r="A30" s="17" t="inlineStr">
        <is>
          <t>Omsætningsaktiver</t>
        </is>
      </c>
      <c r="B30" s="16" t="n">
        <v>297428</v>
      </c>
      <c r="C30" s="16" t="n">
        <v>384019</v>
      </c>
      <c r="D30" s="16" t="n">
        <v>368088</v>
      </c>
      <c r="E30" s="16" t="n">
        <v>341984</v>
      </c>
      <c r="F30" s="16" t="n">
        <v>374537</v>
      </c>
    </row>
    <row r="31">
      <c r="A31" s="17" t="inlineStr">
        <is>
          <t>Aktiver</t>
        </is>
      </c>
      <c r="B31" s="16" t="n">
        <v>413600</v>
      </c>
      <c r="C31" s="16" t="n">
        <v>535589</v>
      </c>
      <c r="D31" s="16" t="n">
        <v>548627</v>
      </c>
      <c r="E31" s="16" t="n">
        <v>573666</v>
      </c>
      <c r="F31" s="16" t="n">
        <v>578280</v>
      </c>
    </row>
    <row r="32">
      <c r="A32" s="15" t="inlineStr">
        <is>
          <t>Selskabskapital</t>
        </is>
      </c>
      <c r="B32" s="16" t="n">
        <v>1572</v>
      </c>
      <c r="C32" s="16" t="n">
        <v>1572</v>
      </c>
      <c r="D32" s="16" t="n">
        <v>1572</v>
      </c>
      <c r="E32" s="16" t="n">
        <v>1572</v>
      </c>
      <c r="F32" s="16" t="n">
        <v>1572</v>
      </c>
    </row>
    <row r="33">
      <c r="A33" s="15" t="inlineStr">
        <is>
          <t>Reserve for nettoopskrivning (indre værdis metode)</t>
        </is>
      </c>
      <c r="B33" s="16" t="n">
        <v>39445</v>
      </c>
      <c r="C33" s="16" t="n">
        <v>54570</v>
      </c>
      <c r="D33" s="16" t="n">
        <v>44273</v>
      </c>
      <c r="E33" s="16" t="n">
        <v>50180</v>
      </c>
      <c r="F33" s="16" t="n">
        <v>0</v>
      </c>
    </row>
    <row r="34">
      <c r="A34" s="15" t="inlineStr">
        <is>
          <t>Reserve for udviklingsomkostninger</t>
        </is>
      </c>
      <c r="B34" s="16" t="n">
        <v>879</v>
      </c>
      <c r="C34" s="16" t="n">
        <v>5865</v>
      </c>
      <c r="D34" s="16" t="n">
        <v>10106</v>
      </c>
      <c r="E34" s="16" t="n">
        <v>12157</v>
      </c>
      <c r="F34" s="16" t="n">
        <v>11528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251848</v>
      </c>
      <c r="C37" s="16" t="n">
        <v>306515</v>
      </c>
      <c r="D37" s="16" t="n">
        <v>309444</v>
      </c>
      <c r="E37" s="16" t="n">
        <v>319133</v>
      </c>
      <c r="F37" s="16" t="n">
        <v>312899</v>
      </c>
    </row>
    <row r="38">
      <c r="A38" s="17" t="inlineStr">
        <is>
          <t>Egenkapital i alt</t>
        </is>
      </c>
      <c r="B38" s="16" t="n">
        <v>314203</v>
      </c>
      <c r="C38" s="16" t="n">
        <v>390921</v>
      </c>
      <c r="D38" s="16" t="n">
        <v>415395</v>
      </c>
      <c r="E38" s="16" t="n">
        <v>418042</v>
      </c>
      <c r="F38" s="16" t="n">
        <v>325999</v>
      </c>
    </row>
    <row r="39">
      <c r="A39" s="15" t="inlineStr">
        <is>
          <t>Hensættelse til udskudt skat</t>
        </is>
      </c>
      <c r="B39" s="16" t="n">
        <v>6412</v>
      </c>
      <c r="C39" s="16" t="n">
        <v>10439</v>
      </c>
      <c r="D39" s="16" t="n">
        <v>11926</v>
      </c>
      <c r="E39" s="16" t="n">
        <v>15080</v>
      </c>
      <c r="F39" s="16" t="n">
        <v>8510</v>
      </c>
    </row>
    <row r="40">
      <c r="A40" s="17" t="inlineStr">
        <is>
          <t>Hensatte forpligtelser</t>
        </is>
      </c>
      <c r="B40" s="16" t="n">
        <v>6412</v>
      </c>
      <c r="C40" s="16" t="n">
        <v>10439</v>
      </c>
      <c r="D40" s="16" t="n">
        <v>11926</v>
      </c>
      <c r="E40" s="16" t="n">
        <v>15080</v>
      </c>
      <c r="F40" s="16" t="n">
        <v>8510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>
        <v>575</v>
      </c>
      <c r="C43" s="16" t="n">
        <v>7822</v>
      </c>
      <c r="D43" s="16" t="n">
        <v>71</v>
      </c>
      <c r="E43" s="16" t="n">
        <v>19</v>
      </c>
      <c r="F43" s="16" t="n">
        <v>58865</v>
      </c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33217</v>
      </c>
      <c r="C45" s="16" t="n">
        <v>75963</v>
      </c>
      <c r="D45" s="16" t="n">
        <v>84579</v>
      </c>
      <c r="E45" s="16" t="n">
        <v>101334</v>
      </c>
      <c r="F45" s="16" t="n">
        <v>100862</v>
      </c>
    </row>
    <row r="46">
      <c r="A46" s="15" t="inlineStr">
        <is>
          <t>Gæld til tilknyttede virksomheder</t>
        </is>
      </c>
      <c r="B46" s="16" t="n">
        <v>15125</v>
      </c>
      <c r="C46" s="16" t="n">
        <v>9806</v>
      </c>
      <c r="D46" s="16" t="n">
        <v>0</v>
      </c>
      <c r="E46" s="16" t="n">
        <v>5348</v>
      </c>
      <c r="F46" s="16" t="n">
        <v>44292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>
        <v>10081</v>
      </c>
      <c r="C48" s="16" t="n">
        <v>13875</v>
      </c>
      <c r="D48" s="16" t="n">
        <v>13062</v>
      </c>
      <c r="E48" s="16" t="n">
        <v>6323</v>
      </c>
      <c r="F48" s="16" t="n">
        <v>10558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28073</v>
      </c>
      <c r="C50" s="16" t="n">
        <v>26763</v>
      </c>
      <c r="D50" s="16" t="n">
        <v>23594</v>
      </c>
      <c r="E50" s="16" t="n">
        <v>27520</v>
      </c>
      <c r="F50" s="16" t="n">
        <v>29194</v>
      </c>
    </row>
    <row r="51">
      <c r="A51" s="15" t="inlineStr">
        <is>
          <t>Periodeafgrænsningsposter (passiver)</t>
        </is>
      </c>
      <c r="B51" s="16" t="n">
        <v>5913</v>
      </c>
      <c r="C51" s="16" t="n">
        <v>0</v>
      </c>
      <c r="D51" s="16" t="n"/>
      <c r="E51" s="16" t="n"/>
      <c r="F51" s="16" t="n"/>
    </row>
    <row r="52">
      <c r="A52" s="17" t="inlineStr">
        <is>
          <t>Kortfristede gældsforpligtelser</t>
        </is>
      </c>
      <c r="B52" s="16" t="n">
        <v>92985</v>
      </c>
      <c r="C52" s="16" t="n">
        <v>134229</v>
      </c>
      <c r="D52" s="16" t="n">
        <v>121306</v>
      </c>
      <c r="E52" s="16" t="n">
        <v>140544</v>
      </c>
      <c r="F52" s="16" t="n">
        <v>243771</v>
      </c>
    </row>
    <row r="53">
      <c r="A53" s="17" t="inlineStr">
        <is>
          <t>Gældsforpligtelser</t>
        </is>
      </c>
      <c r="B53" s="16" t="n">
        <v>92985</v>
      </c>
      <c r="C53" s="16" t="n">
        <v>134229</v>
      </c>
      <c r="D53" s="16" t="n">
        <v>121306</v>
      </c>
      <c r="E53" s="16" t="n">
        <v>140544</v>
      </c>
      <c r="F53" s="16" t="n">
        <v>243771</v>
      </c>
    </row>
    <row r="54">
      <c r="A54" s="17" t="inlineStr">
        <is>
          <t>Passiver</t>
        </is>
      </c>
      <c r="B54" s="16" t="n">
        <v>413600</v>
      </c>
      <c r="C54" s="16" t="n">
        <v>535589</v>
      </c>
      <c r="D54" s="16" t="n">
        <v>548627</v>
      </c>
      <c r="E54" s="16" t="n">
        <v>573666</v>
      </c>
      <c r="F54" s="16" t="n">
        <v>578280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Ganni A/S (CVR 21664731) — Regnskabs- og nøgletal (CVR: 21664731)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'res_raw_21664731'!$F$2</f>
        <v/>
      </c>
      <c r="C5" s="24">
        <f>'res_raw_21664731'!$E$2</f>
        <v/>
      </c>
      <c r="D5" s="24">
        <f>'res_raw_21664731'!$D$2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'res_raw_21664731'!$F$3</f>
        <v/>
      </c>
      <c r="C6" s="24">
        <f>'res_raw_21664731'!$E$3</f>
        <v/>
      </c>
      <c r="D6" s="24">
        <f>'res_raw_21664731'!$D$3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-'res_raw_21664731'!$F$4</f>
        <v/>
      </c>
      <c r="C7" s="24">
        <f>-'res_raw_21664731'!$E$4</f>
        <v/>
      </c>
      <c r="D7" s="24">
        <f>-'res_raw_21664731'!$D$4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-'res_raw_21664731'!$F$5</f>
        <v/>
      </c>
      <c r="C8" s="24">
        <f>-'res_raw_21664731'!$E$5</f>
        <v/>
      </c>
      <c r="D8" s="24">
        <f>-'res_raw_21664731'!$D$5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IF(ABS((SUM(B5:B8))-'res_raw_21664731'!$F$6)&lt;=2,SUM(B5:B8),'res_raw_21664731'!$F$6)</f>
        <v/>
      </c>
      <c r="C9" s="27">
        <f>IF(ABS((SUM(C5:C8))-'res_raw_21664731'!$E$6)&lt;=2,SUM(C5:C8),'res_raw_21664731'!$E$6)</f>
        <v/>
      </c>
      <c r="D9" s="27">
        <f>IF(ABS((SUM(D5:D8))-'res_raw_21664731'!$D$6)&lt;=2,SUM(D5:D8),'res_raw_21664731'!$D$6)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-'res_raw_21664731'!$F$7</f>
        <v/>
      </c>
      <c r="C10" s="24">
        <f>-'res_raw_21664731'!$E$7</f>
        <v/>
      </c>
      <c r="D10" s="24">
        <f>-'res_raw_21664731'!$D$7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-'res_raw_21664731'!$F$9</f>
        <v/>
      </c>
      <c r="C11" s="24">
        <f>-'res_raw_21664731'!$E$9</f>
        <v/>
      </c>
      <c r="D11" s="24">
        <f>-'res_raw_21664731'!$D$9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-'res_raw_21664731'!$F$10</f>
        <v/>
      </c>
      <c r="C12" s="24">
        <f>-'res_raw_21664731'!$E$10</f>
        <v/>
      </c>
      <c r="D12" s="24">
        <f>-'res_raw_21664731'!$D$10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IF(ABS((SUM(B9:B12))-'res_raw_21664731'!$F$11)&lt;=2,SUM(B9:B12),'res_raw_21664731'!$F$11)</f>
        <v/>
      </c>
      <c r="C13" s="27">
        <f>IF(ABS((SUM(C9:C12))-'res_raw_21664731'!$E$11)&lt;=2,SUM(C9:C12),'res_raw_21664731'!$E$11)</f>
        <v/>
      </c>
      <c r="D13" s="27">
        <f>IF(ABS((SUM(D9:D12))-'res_raw_21664731'!$D$11)&lt;=2,SUM(D9:D12),'res_raw_21664731'!$D$11)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N('res_raw_21664731'!$F$12)+N('res_raw_21664731'!$F$13)</f>
        <v/>
      </c>
      <c r="C14" s="24">
        <f>N('res_raw_21664731'!$E$12)+N('res_raw_21664731'!$E$13)</f>
        <v/>
      </c>
      <c r="D14" s="24">
        <f>N('res_raw_21664731'!$D$12)+N('res_raw_21664731'!$D$13)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-'res_raw_21664731'!$F$14</f>
        <v/>
      </c>
      <c r="C15" s="24">
        <f>-'res_raw_21664731'!$E$14</f>
        <v/>
      </c>
      <c r="D15" s="24">
        <f>-'res_raw_21664731'!$D$14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IF(ABS((SUM(B13:B15))-'res_raw_21664731'!$F$16)&lt;=2,SUM(B13:B15),'res_raw_21664731'!$F$16)</f>
        <v/>
      </c>
      <c r="C16" s="27">
        <f>IF(ABS((SUM(C13:C15))-'res_raw_21664731'!$E$16)&lt;=2,SUM(C13:C15),'res_raw_21664731'!$E$16)</f>
        <v/>
      </c>
      <c r="D16" s="27">
        <f>IF(ABS((SUM(D13:D15))-'res_raw_21664731'!$D$16)&lt;=2,SUM(D13:D15),'res_raw_21664731'!$D$16)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'balance_raw_21664731'!$F$15</f>
        <v/>
      </c>
      <c r="C19" s="24">
        <f>'balance_raw_21664731'!$E$15</f>
        <v/>
      </c>
      <c r="D19" s="24">
        <f>'balance_raw_21664731'!$D$15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'balance_raw_21664731'!$F$30</f>
        <v/>
      </c>
      <c r="C20" s="24">
        <f>'balance_raw_21664731'!$E$30</f>
        <v/>
      </c>
      <c r="D20" s="24">
        <f>'balance_raw_21664731'!$D$30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'balance_raw_21664731'!$F$38</f>
        <v/>
      </c>
      <c r="C23" s="24">
        <f>'balance_raw_21664731'!$E$38</f>
        <v/>
      </c>
      <c r="D23" s="24">
        <f>'balance_raw_21664731'!$D$38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'balance_raw_21664731'!$F$54-'balance_raw_21664731'!$F$38</f>
        <v/>
      </c>
      <c r="C24" s="24">
        <f>'balance_raw_21664731'!$E$54-'balance_raw_21664731'!$E$38</f>
        <v/>
      </c>
      <c r="D24" s="24">
        <f>'balance_raw_21664731'!$D$54-'balance_raw_21664731'!$D$38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'balance_raw_21664731'!$F$19</f>
        <v/>
      </c>
      <c r="C28" s="24">
        <f>'balance_raw_21664731'!$E$19</f>
        <v/>
      </c>
      <c r="D28" s="24">
        <f>'balance_raw_21664731'!$D$19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'balance_raw_21664731'!$F$20</f>
        <v/>
      </c>
      <c r="C29" s="24">
        <f>'balance_raw_21664731'!$E$20</f>
        <v/>
      </c>
      <c r="D29" s="24">
        <f>'balance_raw_21664731'!$D$20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'balance_raw_21664731'!$F$52</f>
        <v/>
      </c>
      <c r="C30" s="24">
        <f>'balance_raw_21664731'!$E$52</f>
        <v/>
      </c>
      <c r="D30" s="24">
        <f>'balance_raw_21664731'!$D$52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IF('balance_raw_21664731'!$F$31="","—",IF(ABS(B21-'balance_raw_21664731'!$F$31)&lt;=1,"✓ OK","❌ "&amp;TEXT(B21-'balance_raw_21664731'!$F$31,"+#,##0;-#,##0")&amp;" t.kr."))</f>
        <v/>
      </c>
      <c r="C61" s="29">
        <f>IF('balance_raw_21664731'!$E$31="","—",IF(ABS(C21-'balance_raw_21664731'!$E$31)&lt;=1,"✓ OK","❌ "&amp;TEXT(C21-'balance_raw_21664731'!$E$31,"+#,##0;-#,##0")&amp;" t.kr."))</f>
        <v/>
      </c>
      <c r="D61" s="29">
        <f>IF('balance_raw_21664731'!$D$31="","—",IF(ABS(D21-'balance_raw_21664731'!$D$31)&lt;=1,"✓ OK","❌ "&amp;TEXT(D21-'balance_raw_21664731'!$D$31,"+#,##0;-#,##0")&amp;"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IF('balance_raw_21664731'!$F$54="","—",IF(ABS(B25-'balance_raw_21664731'!$F$54)&lt;=1,"✓ OK","❌ "&amp;TEXT(B25-'balance_raw_21664731'!$F$54,"+#,##0;-#,##0")&amp;" t.kr."))</f>
        <v/>
      </c>
      <c r="C62" s="29">
        <f>IF('balance_raw_21664731'!$E$54="","—",IF(ABS(C25-'balance_raw_21664731'!$E$54)&lt;=1,"✓ OK","❌ "&amp;TEXT(C25-'balance_raw_21664731'!$E$54,"+#,##0;-#,##0")&amp;" t.kr."))</f>
        <v/>
      </c>
      <c r="D62" s="29">
        <f>IF('balance_raw_21664731'!$D$54="","—",IF(ABS(D25-'balance_raw_21664731'!$D$54)&lt;=1,"✓ OK","❌ "&amp;TEXT(D25-'balance_raw_21664731'!$D$54,"+#,##0;-#,##0")&amp;"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IF('res_raw_21664731'!$F$6="","—",IF(ABS(B9-'res_raw_21664731'!$F$6)&lt;=1,"✓ OK","❌ "&amp;TEXT(B9-'res_raw_21664731'!$F$6,"+#,##0;-#,##0")&amp;" t.kr."))</f>
        <v/>
      </c>
      <c r="C64" s="29">
        <f>IF('res_raw_21664731'!$E$6="","—",IF(ABS(C9-'res_raw_21664731'!$E$6)&lt;=1,"✓ OK","❌ "&amp;TEXT(C9-'res_raw_21664731'!$E$6,"+#,##0;-#,##0")&amp;" t.kr."))</f>
        <v/>
      </c>
      <c r="D64" s="29">
        <f>IF('res_raw_21664731'!$D$6="","—",IF(ABS(D9-'res_raw_21664731'!$D$6)&lt;=1,"✓ OK","❌ "&amp;TEXT(D9-'res_raw_21664731'!$D$6,"+#,##0;-#,##0")&amp;"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IF('res_raw_21664731'!$F$11="","—",IF(ABS(B13-'res_raw_21664731'!$F$11)&lt;=1,"✓ OK","❌ "&amp;TEXT(B13-'res_raw_21664731'!$F$11,"+#,##0;-#,##0")&amp;" t.kr."))</f>
        <v/>
      </c>
      <c r="C65" s="29">
        <f>IF('res_raw_21664731'!$E$11="","—",IF(ABS(C13-'res_raw_21664731'!$E$11)&lt;=1,"✓ OK","❌ "&amp;TEXT(C13-'res_raw_21664731'!$E$11,"+#,##0;-#,##0")&amp;" t.kr."))</f>
        <v/>
      </c>
      <c r="D65" s="29">
        <f>IF('res_raw_21664731'!$D$11="","—",IF(ABS(D13-'res_raw_21664731'!$D$11)&lt;=1,"✓ OK","❌ "&amp;TEXT(D13-'res_raw_21664731'!$D$11,"+#,##0;-#,##0")&amp;"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IF('res_raw_21664731'!$F$16="","—",IF(ABS(B16-'res_raw_21664731'!$F$16)&lt;=1,"✓ OK","❌ "&amp;TEXT(B16-'res_raw_21664731'!$F$16,"+#,##0;-#,##0")&amp;" t.kr."))</f>
        <v/>
      </c>
      <c r="C66" s="29">
        <f>IF('res_raw_21664731'!$E$16="","—",IF(ABS(C16-'res_raw_21664731'!$E$16)&lt;=1,"✓ OK","❌ "&amp;TEXT(C16-'res_raw_21664731'!$E$16,"+#,##0;-#,##0")&amp;" t.kr."))</f>
        <v/>
      </c>
      <c r="D66" s="29">
        <f>IF('res_raw_21664731'!$D$16="","—",IF(ABS(D16-'res_raw_21664731'!$D$16)&lt;=1,"✓ OK","❌ "&amp;TEXT(D16-'res_raw_21664731'!$D$16,"+#,##0;-#,##0")&amp;"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Ganni A/S (CVR 21664731)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fsa:AssetsMeantForSale</t>
        </is>
      </c>
      <c r="C3" s="34" t="inlineStr">
        <is>
          <t>fsa:AssetsMeantForSale</t>
        </is>
      </c>
      <c r="D3" s="35" t="n"/>
      <c r="E3" s="35" t="n"/>
      <c r="F3" s="35" t="n">
        <v>5898</v>
      </c>
      <c r="G3" s="35" t="n">
        <v>6048</v>
      </c>
      <c r="H3" s="35" t="n">
        <v>4235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fsa:ReserveForCurrentValueAdjustmentsOfCurrencyGains</t>
        </is>
      </c>
      <c r="C4" s="37" t="inlineStr">
        <is>
          <t>fsa:ReserveForCurrentValueAdjustmentsOfCurrencyGains</t>
        </is>
      </c>
      <c r="D4" s="38" t="n">
        <v>460</v>
      </c>
      <c r="E4" s="38" t="n">
        <v>2399</v>
      </c>
      <c r="F4" s="38" t="n">
        <v>0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fsa:TransferredToReserveForEntrepreneurialCompany</t>
        </is>
      </c>
      <c r="C5" s="34" t="inlineStr">
        <is>
          <t>fsa:TransferredToReserveForEntrepreneurialCompany</t>
        </is>
      </c>
      <c r="D5" s="35" t="n"/>
      <c r="E5" s="35" t="n"/>
      <c r="F5" s="35" t="n">
        <v>4241</v>
      </c>
      <c r="G5" s="35" t="n">
        <v>2051</v>
      </c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fsa:WorkPerformedByEntityAndCapitalised</t>
        </is>
      </c>
      <c r="C6" s="37" t="inlineStr">
        <is>
          <t>fsa:WorkPerformedByEntityAndCapitalised</t>
        </is>
      </c>
      <c r="D6" s="38" t="n"/>
      <c r="E6" s="38" t="n">
        <v>5117</v>
      </c>
      <c r="F6" s="38" t="n">
        <v>9143</v>
      </c>
      <c r="G6" s="38" t="n">
        <v>10349</v>
      </c>
      <c r="H6" s="38" t="n">
        <v>9215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2026-10-02T21:12:55Z</dcterms:created>
  <dcterms:modified xmlns:dcterms="http://purl.org/dc/terms/" xmlns:xsi="http://www.w3.org/2001/XMLSchema-instance" xsi:type="dcterms:W3CDTF">2026-10-02T21:12:55Z</dcterms:modified>
</cp:coreProperties>
</file>