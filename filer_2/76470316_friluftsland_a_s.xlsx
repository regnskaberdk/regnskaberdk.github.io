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76470316" sheetId="1" state="visible" r:id="rId1"/>
    <sheet xmlns:r="http://schemas.openxmlformats.org/officeDocument/2006/relationships" name="res_raw_76470316" sheetId="2" state="visible" r:id="rId2"/>
    <sheet xmlns:r="http://schemas.openxmlformats.org/officeDocument/2006/relationships" name="balance_raw_76470316" sheetId="3" state="visible" r:id="rId3"/>
    <sheet xmlns:r="http://schemas.openxmlformats.org/officeDocument/2006/relationships" name="pengestrom_raw_76470316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Friluftsland A/S (CVR 76470316)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'res_raw_76470316'!$B$2</f>
        <v/>
      </c>
      <c r="C4" s="5">
        <f>'res_raw_76470316'!$C$2</f>
        <v/>
      </c>
      <c r="D4" s="5">
        <f>'res_raw_76470316'!$D$2</f>
        <v/>
      </c>
      <c r="E4" s="5">
        <f>'res_raw_76470316'!$E$2</f>
        <v/>
      </c>
      <c r="F4" s="5">
        <f>'res_raw_76470316'!$F$2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'res_raw_76470316'!$B$3</f>
        <v/>
      </c>
      <c r="C5" s="8">
        <f>'res_raw_76470316'!$C$3</f>
        <v/>
      </c>
      <c r="D5" s="8">
        <f>'res_raw_76470316'!$D$3</f>
        <v/>
      </c>
      <c r="E5" s="8">
        <f>'res_raw_76470316'!$E$3</f>
        <v/>
      </c>
      <c r="F5" s="8">
        <f>'res_raw_76470316'!$F$3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'res_raw_76470316'!$B$4</f>
        <v/>
      </c>
      <c r="C6" s="5">
        <f>'res_raw_76470316'!$C$4</f>
        <v/>
      </c>
      <c r="D6" s="5">
        <f>'res_raw_76470316'!$D$4</f>
        <v/>
      </c>
      <c r="E6" s="5">
        <f>'res_raw_76470316'!$E$4</f>
        <v/>
      </c>
      <c r="F6" s="5">
        <f>'res_raw_76470316'!$F$4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'res_raw_76470316'!$B$5</f>
        <v/>
      </c>
      <c r="C7" s="8">
        <f>'res_raw_76470316'!$C$5</f>
        <v/>
      </c>
      <c r="D7" s="8">
        <f>'res_raw_76470316'!$D$5</f>
        <v/>
      </c>
      <c r="E7" s="8">
        <f>'res_raw_76470316'!$E$5</f>
        <v/>
      </c>
      <c r="F7" s="8">
        <f>'res_raw_76470316'!$F$5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'res_raw_76470316'!$B$6</f>
        <v/>
      </c>
      <c r="C8" s="11">
        <f>'res_raw_76470316'!$C$6</f>
        <v/>
      </c>
      <c r="D8" s="11">
        <f>'res_raw_76470316'!$D$6</f>
        <v/>
      </c>
      <c r="E8" s="11">
        <f>'res_raw_76470316'!$E$6</f>
        <v/>
      </c>
      <c r="F8" s="11">
        <f>'res_raw_76470316'!$F$6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'res_raw_76470316'!$B$7</f>
        <v/>
      </c>
      <c r="C9" s="8">
        <f>'res_raw_76470316'!$C$7</f>
        <v/>
      </c>
      <c r="D9" s="8">
        <f>'res_raw_76470316'!$D$7</f>
        <v/>
      </c>
      <c r="E9" s="8">
        <f>'res_raw_76470316'!$E$7</f>
        <v/>
      </c>
      <c r="F9" s="8">
        <f>'res_raw_76470316'!$F$7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'res_raw_76470316'!$B$9</f>
        <v/>
      </c>
      <c r="C11" s="8">
        <f>'res_raw_76470316'!$C$9</f>
        <v/>
      </c>
      <c r="D11" s="8">
        <f>'res_raw_76470316'!$D$9</f>
        <v/>
      </c>
      <c r="E11" s="8">
        <f>'res_raw_76470316'!$E$9</f>
        <v/>
      </c>
      <c r="F11" s="8">
        <f>'res_raw_76470316'!$F$9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'res_raw_76470316'!$B$10</f>
        <v/>
      </c>
      <c r="C12" s="5">
        <f>'res_raw_76470316'!$C$10</f>
        <v/>
      </c>
      <c r="D12" s="5">
        <f>'res_raw_76470316'!$D$10</f>
        <v/>
      </c>
      <c r="E12" s="5">
        <f>'res_raw_76470316'!$E$10</f>
        <v/>
      </c>
      <c r="F12" s="5">
        <f>'res_raw_76470316'!$F$10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'res_raw_76470316'!$B$11</f>
        <v/>
      </c>
      <c r="C13" s="11">
        <f>'res_raw_76470316'!$C$11</f>
        <v/>
      </c>
      <c r="D13" s="11">
        <f>'res_raw_76470316'!$D$11</f>
        <v/>
      </c>
      <c r="E13" s="11">
        <f>'res_raw_76470316'!$E$11</f>
        <v/>
      </c>
      <c r="F13" s="11">
        <f>'res_raw_76470316'!$F$11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'res_raw_76470316'!$B$12</f>
        <v/>
      </c>
      <c r="C14" s="5">
        <f>'res_raw_76470316'!$C$12</f>
        <v/>
      </c>
      <c r="D14" s="5">
        <f>'res_raw_76470316'!$D$12</f>
        <v/>
      </c>
      <c r="E14" s="5">
        <f>'res_raw_76470316'!$E$12</f>
        <v/>
      </c>
      <c r="F14" s="5">
        <f>'res_raw_76470316'!$F$12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'res_raw_76470316'!$B$13</f>
        <v/>
      </c>
      <c r="C15" s="8">
        <f>'res_raw_76470316'!$C$13</f>
        <v/>
      </c>
      <c r="D15" s="8">
        <f>'res_raw_76470316'!$D$13</f>
        <v/>
      </c>
      <c r="E15" s="8">
        <f>'res_raw_76470316'!$E$13</f>
        <v/>
      </c>
      <c r="F15" s="8">
        <f>'res_raw_76470316'!$F$13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'res_raw_76470316'!$B$14</f>
        <v/>
      </c>
      <c r="C16" s="5">
        <f>'res_raw_76470316'!$C$14</f>
        <v/>
      </c>
      <c r="D16" s="5">
        <f>'res_raw_76470316'!$D$14</f>
        <v/>
      </c>
      <c r="E16" s="5">
        <f>'res_raw_76470316'!$E$14</f>
        <v/>
      </c>
      <c r="F16" s="5">
        <f>'res_raw_76470316'!$F$14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'res_raw_76470316'!$B$15</f>
        <v/>
      </c>
      <c r="C17" s="11">
        <f>'res_raw_76470316'!$C$15</f>
        <v/>
      </c>
      <c r="D17" s="11">
        <f>'res_raw_76470316'!$D$15</f>
        <v/>
      </c>
      <c r="E17" s="11">
        <f>'res_raw_76470316'!$E$15</f>
        <v/>
      </c>
      <c r="F17" s="11">
        <f>'res_raw_76470316'!$F$15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'res_raw_76470316'!$B$16</f>
        <v/>
      </c>
      <c r="C18" s="11">
        <f>'res_raw_76470316'!$C$16</f>
        <v/>
      </c>
      <c r="D18" s="11">
        <f>'res_raw_76470316'!$D$16</f>
        <v/>
      </c>
      <c r="E18" s="11">
        <f>'res_raw_76470316'!$E$16</f>
        <v/>
      </c>
      <c r="F18" s="11">
        <f>'res_raw_76470316'!$F$16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'res_raw_76470316'!$B$17</f>
        <v/>
      </c>
      <c r="C19" s="8">
        <f>'res_raw_76470316'!$C$17</f>
        <v/>
      </c>
      <c r="D19" s="8">
        <f>'res_raw_76470316'!$D$17</f>
        <v/>
      </c>
      <c r="E19" s="8">
        <f>'res_raw_76470316'!$E$17</f>
        <v/>
      </c>
      <c r="F19" s="8">
        <f>'res_raw_76470316'!$F$17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'res_raw_76470316'!$B$18</f>
        <v/>
      </c>
      <c r="C20" s="11">
        <f>'res_raw_76470316'!$C$18</f>
        <v/>
      </c>
      <c r="D20" s="11">
        <f>'res_raw_76470316'!$D$18</f>
        <v/>
      </c>
      <c r="E20" s="11">
        <f>'res_raw_76470316'!$E$18</f>
        <v/>
      </c>
      <c r="F20" s="11">
        <f>'res_raw_76470316'!$F$18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'balance_raw_76470316'!$B$2</f>
        <v/>
      </c>
      <c r="C23" s="8">
        <f>'balance_raw_76470316'!$C$2</f>
        <v/>
      </c>
      <c r="D23" s="8">
        <f>'balance_raw_76470316'!$D$2</f>
        <v/>
      </c>
      <c r="E23" s="8">
        <f>'balance_raw_76470316'!$E$2</f>
        <v/>
      </c>
      <c r="F23" s="8">
        <f>'balance_raw_76470316'!$F$2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'balance_raw_76470316'!$B$3</f>
        <v/>
      </c>
      <c r="C24" s="5">
        <f>'balance_raw_76470316'!$C$3</f>
        <v/>
      </c>
      <c r="D24" s="5">
        <f>'balance_raw_76470316'!$D$3</f>
        <v/>
      </c>
      <c r="E24" s="5">
        <f>'balance_raw_76470316'!$E$3</f>
        <v/>
      </c>
      <c r="F24" s="5">
        <f>'balance_raw_76470316'!$F$3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'balance_raw_76470316'!$B$4</f>
        <v/>
      </c>
      <c r="C25" s="8">
        <f>'balance_raw_76470316'!$C$4</f>
        <v/>
      </c>
      <c r="D25" s="8">
        <f>'balance_raw_76470316'!$D$4</f>
        <v/>
      </c>
      <c r="E25" s="8">
        <f>'balance_raw_76470316'!$E$4</f>
        <v/>
      </c>
      <c r="F25" s="8">
        <f>'balance_raw_76470316'!$F$4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'balance_raw_76470316'!$B$5</f>
        <v/>
      </c>
      <c r="C26" s="11">
        <f>'balance_raw_76470316'!$C$5</f>
        <v/>
      </c>
      <c r="D26" s="11">
        <f>'balance_raw_76470316'!$D$5</f>
        <v/>
      </c>
      <c r="E26" s="11">
        <f>'balance_raw_76470316'!$E$5</f>
        <v/>
      </c>
      <c r="F26" s="11">
        <f>'balance_raw_76470316'!$F$5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'balance_raw_76470316'!$B$6</f>
        <v/>
      </c>
      <c r="C27" s="8">
        <f>'balance_raw_76470316'!$C$6</f>
        <v/>
      </c>
      <c r="D27" s="8">
        <f>'balance_raw_76470316'!$D$6</f>
        <v/>
      </c>
      <c r="E27" s="8">
        <f>'balance_raw_76470316'!$E$6</f>
        <v/>
      </c>
      <c r="F27" s="8">
        <f>'balance_raw_76470316'!$F$6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'balance_raw_76470316'!$B$7</f>
        <v/>
      </c>
      <c r="C28" s="5">
        <f>'balance_raw_76470316'!$C$7</f>
        <v/>
      </c>
      <c r="D28" s="5">
        <f>'balance_raw_76470316'!$D$7</f>
        <v/>
      </c>
      <c r="E28" s="5">
        <f>'balance_raw_76470316'!$E$7</f>
        <v/>
      </c>
      <c r="F28" s="5">
        <f>'balance_raw_76470316'!$F$7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'balance_raw_76470316'!$B$8</f>
        <v/>
      </c>
      <c r="C29" s="8">
        <f>'balance_raw_76470316'!$C$8</f>
        <v/>
      </c>
      <c r="D29" s="8">
        <f>'balance_raw_76470316'!$D$8</f>
        <v/>
      </c>
      <c r="E29" s="8">
        <f>'balance_raw_76470316'!$E$8</f>
        <v/>
      </c>
      <c r="F29" s="8">
        <f>'balance_raw_76470316'!$F$8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'balance_raw_76470316'!$B$9</f>
        <v/>
      </c>
      <c r="C30" s="5">
        <f>'balance_raw_76470316'!$C$9</f>
        <v/>
      </c>
      <c r="D30" s="5">
        <f>'balance_raw_76470316'!$D$9</f>
        <v/>
      </c>
      <c r="E30" s="5">
        <f>'balance_raw_76470316'!$E$9</f>
        <v/>
      </c>
      <c r="F30" s="5">
        <f>'balance_raw_76470316'!$F$9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'balance_raw_76470316'!$B$10</f>
        <v/>
      </c>
      <c r="C31" s="8">
        <f>'balance_raw_76470316'!$C$10</f>
        <v/>
      </c>
      <c r="D31" s="8">
        <f>'balance_raw_76470316'!$D$10</f>
        <v/>
      </c>
      <c r="E31" s="8">
        <f>'balance_raw_76470316'!$E$10</f>
        <v/>
      </c>
      <c r="F31" s="8">
        <f>'balance_raw_76470316'!$F$10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'balance_raw_76470316'!$B$11</f>
        <v/>
      </c>
      <c r="C32" s="11">
        <f>'balance_raw_76470316'!$C$11</f>
        <v/>
      </c>
      <c r="D32" s="11">
        <f>'balance_raw_76470316'!$D$11</f>
        <v/>
      </c>
      <c r="E32" s="11">
        <f>'balance_raw_76470316'!$E$11</f>
        <v/>
      </c>
      <c r="F32" s="11">
        <f>'balance_raw_76470316'!$F$11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'balance_raw_76470316'!$B$12</f>
        <v/>
      </c>
      <c r="C33" s="8">
        <f>'balance_raw_76470316'!$C$12</f>
        <v/>
      </c>
      <c r="D33" s="8">
        <f>'balance_raw_76470316'!$D$12</f>
        <v/>
      </c>
      <c r="E33" s="8">
        <f>'balance_raw_76470316'!$E$12</f>
        <v/>
      </c>
      <c r="F33" s="8">
        <f>'balance_raw_76470316'!$F$12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'balance_raw_76470316'!$B$13</f>
        <v/>
      </c>
      <c r="C34" s="5">
        <f>'balance_raw_76470316'!$C$13</f>
        <v/>
      </c>
      <c r="D34" s="5">
        <f>'balance_raw_76470316'!$D$13</f>
        <v/>
      </c>
      <c r="E34" s="5">
        <f>'balance_raw_76470316'!$E$13</f>
        <v/>
      </c>
      <c r="F34" s="5">
        <f>'balance_raw_76470316'!$F$13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'balance_raw_76470316'!$B$14</f>
        <v/>
      </c>
      <c r="C35" s="11">
        <f>'balance_raw_76470316'!$C$14</f>
        <v/>
      </c>
      <c r="D35" s="11">
        <f>'balance_raw_76470316'!$D$14</f>
        <v/>
      </c>
      <c r="E35" s="11">
        <f>'balance_raw_76470316'!$E$14</f>
        <v/>
      </c>
      <c r="F35" s="11">
        <f>'balance_raw_76470316'!$F$14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'balance_raw_76470316'!$B$15</f>
        <v/>
      </c>
      <c r="C36" s="11">
        <f>'balance_raw_76470316'!$C$15</f>
        <v/>
      </c>
      <c r="D36" s="11">
        <f>'balance_raw_76470316'!$D$15</f>
        <v/>
      </c>
      <c r="E36" s="11">
        <f>'balance_raw_76470316'!$E$15</f>
        <v/>
      </c>
      <c r="F36" s="11">
        <f>'balance_raw_76470316'!$F$15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'balance_raw_76470316'!$B$16</f>
        <v/>
      </c>
      <c r="C37" s="8">
        <f>'balance_raw_76470316'!$C$16</f>
        <v/>
      </c>
      <c r="D37" s="8">
        <f>'balance_raw_76470316'!$D$16</f>
        <v/>
      </c>
      <c r="E37" s="8">
        <f>'balance_raw_76470316'!$E$16</f>
        <v/>
      </c>
      <c r="F37" s="8">
        <f>'balance_raw_76470316'!$F$16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'balance_raw_76470316'!$B$17</f>
        <v/>
      </c>
      <c r="C38" s="5">
        <f>'balance_raw_76470316'!$C$17</f>
        <v/>
      </c>
      <c r="D38" s="5">
        <f>'balance_raw_76470316'!$D$17</f>
        <v/>
      </c>
      <c r="E38" s="5">
        <f>'balance_raw_76470316'!$E$17</f>
        <v/>
      </c>
      <c r="F38" s="5">
        <f>'balance_raw_76470316'!$F$17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'balance_raw_76470316'!$B$18</f>
        <v/>
      </c>
      <c r="C39" s="8">
        <f>'balance_raw_76470316'!$C$18</f>
        <v/>
      </c>
      <c r="D39" s="8">
        <f>'balance_raw_76470316'!$D$18</f>
        <v/>
      </c>
      <c r="E39" s="8">
        <f>'balance_raw_76470316'!$E$18</f>
        <v/>
      </c>
      <c r="F39" s="8">
        <f>'balance_raw_76470316'!$F$18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'balance_raw_76470316'!$B$19</f>
        <v/>
      </c>
      <c r="C40" s="11">
        <f>'balance_raw_76470316'!$C$19</f>
        <v/>
      </c>
      <c r="D40" s="11">
        <f>'balance_raw_76470316'!$D$19</f>
        <v/>
      </c>
      <c r="E40" s="11">
        <f>'balance_raw_76470316'!$E$19</f>
        <v/>
      </c>
      <c r="F40" s="11">
        <f>'balance_raw_76470316'!$F$19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'balance_raw_76470316'!$B$20</f>
        <v/>
      </c>
      <c r="C41" s="8">
        <f>'balance_raw_76470316'!$C$20</f>
        <v/>
      </c>
      <c r="D41" s="8">
        <f>'balance_raw_76470316'!$D$20</f>
        <v/>
      </c>
      <c r="E41" s="8">
        <f>'balance_raw_76470316'!$E$20</f>
        <v/>
      </c>
      <c r="F41" s="8">
        <f>'balance_raw_76470316'!$F$20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'balance_raw_76470316'!$B$21</f>
        <v/>
      </c>
      <c r="C42" s="5">
        <f>'balance_raw_76470316'!$C$21</f>
        <v/>
      </c>
      <c r="D42" s="5">
        <f>'balance_raw_76470316'!$D$21</f>
        <v/>
      </c>
      <c r="E42" s="5">
        <f>'balance_raw_76470316'!$E$21</f>
        <v/>
      </c>
      <c r="F42" s="5">
        <f>'balance_raw_76470316'!$F$21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'balance_raw_76470316'!$B$22</f>
        <v/>
      </c>
      <c r="C43" s="8">
        <f>'balance_raw_76470316'!$C$22</f>
        <v/>
      </c>
      <c r="D43" s="8">
        <f>'balance_raw_76470316'!$D$22</f>
        <v/>
      </c>
      <c r="E43" s="8">
        <f>'balance_raw_76470316'!$E$22</f>
        <v/>
      </c>
      <c r="F43" s="8">
        <f>'balance_raw_76470316'!$F$22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'balance_raw_76470316'!$B$23</f>
        <v/>
      </c>
      <c r="C44" s="5">
        <f>'balance_raw_76470316'!$C$23</f>
        <v/>
      </c>
      <c r="D44" s="5">
        <f>'balance_raw_76470316'!$D$23</f>
        <v/>
      </c>
      <c r="E44" s="5">
        <f>'balance_raw_76470316'!$E$23</f>
        <v/>
      </c>
      <c r="F44" s="5">
        <f>'balance_raw_76470316'!$F$23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'balance_raw_76470316'!$B$24</f>
        <v/>
      </c>
      <c r="C45" s="8">
        <f>'balance_raw_76470316'!$C$24</f>
        <v/>
      </c>
      <c r="D45" s="8">
        <f>'balance_raw_76470316'!$D$24</f>
        <v/>
      </c>
      <c r="E45" s="8">
        <f>'balance_raw_76470316'!$E$24</f>
        <v/>
      </c>
      <c r="F45" s="8">
        <f>'balance_raw_76470316'!$F$24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'balance_raw_76470316'!$B$25</f>
        <v/>
      </c>
      <c r="C46" s="5">
        <f>'balance_raw_76470316'!$C$25</f>
        <v/>
      </c>
      <c r="D46" s="5">
        <f>'balance_raw_76470316'!$D$25</f>
        <v/>
      </c>
      <c r="E46" s="5">
        <f>'balance_raw_76470316'!$E$25</f>
        <v/>
      </c>
      <c r="F46" s="5">
        <f>'balance_raw_76470316'!$F$25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'balance_raw_76470316'!$B$26</f>
        <v/>
      </c>
      <c r="C47" s="8">
        <f>'balance_raw_76470316'!$C$26</f>
        <v/>
      </c>
      <c r="D47" s="8">
        <f>'balance_raw_76470316'!$D$26</f>
        <v/>
      </c>
      <c r="E47" s="8">
        <f>'balance_raw_76470316'!$E$26</f>
        <v/>
      </c>
      <c r="F47" s="8">
        <f>'balance_raw_76470316'!$F$26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'balance_raw_76470316'!$B$27</f>
        <v/>
      </c>
      <c r="C48" s="11">
        <f>'balance_raw_76470316'!$C$27</f>
        <v/>
      </c>
      <c r="D48" s="11">
        <f>'balance_raw_76470316'!$D$27</f>
        <v/>
      </c>
      <c r="E48" s="11">
        <f>'balance_raw_76470316'!$E$27</f>
        <v/>
      </c>
      <c r="F48" s="11">
        <f>'balance_raw_76470316'!$F$27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'balance_raw_76470316'!$B$28</f>
        <v/>
      </c>
      <c r="C49" s="8">
        <f>'balance_raw_76470316'!$C$28</f>
        <v/>
      </c>
      <c r="D49" s="8">
        <f>'balance_raw_76470316'!$D$28</f>
        <v/>
      </c>
      <c r="E49" s="8">
        <f>'balance_raw_76470316'!$E$28</f>
        <v/>
      </c>
      <c r="F49" s="8">
        <f>'balance_raw_76470316'!$F$28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'balance_raw_76470316'!$B$29</f>
        <v/>
      </c>
      <c r="C50" s="5">
        <f>'balance_raw_76470316'!$C$29</f>
        <v/>
      </c>
      <c r="D50" s="5">
        <f>'balance_raw_76470316'!$D$29</f>
        <v/>
      </c>
      <c r="E50" s="5">
        <f>'balance_raw_76470316'!$E$29</f>
        <v/>
      </c>
      <c r="F50" s="5">
        <f>'balance_raw_76470316'!$F$29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'balance_raw_76470316'!$B$30</f>
        <v/>
      </c>
      <c r="C51" s="11">
        <f>'balance_raw_76470316'!$C$30</f>
        <v/>
      </c>
      <c r="D51" s="11">
        <f>'balance_raw_76470316'!$D$30</f>
        <v/>
      </c>
      <c r="E51" s="11">
        <f>'balance_raw_76470316'!$E$30</f>
        <v/>
      </c>
      <c r="F51" s="11">
        <f>'balance_raw_76470316'!$F$30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'balance_raw_76470316'!$B$31</f>
        <v/>
      </c>
      <c r="C52" s="11">
        <f>'balance_raw_76470316'!$C$31</f>
        <v/>
      </c>
      <c r="D52" s="11">
        <f>'balance_raw_76470316'!$D$31</f>
        <v/>
      </c>
      <c r="E52" s="11">
        <f>'balance_raw_76470316'!$E$31</f>
        <v/>
      </c>
      <c r="F52" s="11">
        <f>'balance_raw_76470316'!$F$31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'balance_raw_76470316'!$B$32</f>
        <v/>
      </c>
      <c r="C55" s="8">
        <f>'balance_raw_76470316'!$C$32</f>
        <v/>
      </c>
      <c r="D55" s="8">
        <f>'balance_raw_76470316'!$D$32</f>
        <v/>
      </c>
      <c r="E55" s="8">
        <f>'balance_raw_76470316'!$E$32</f>
        <v/>
      </c>
      <c r="F55" s="8">
        <f>'balance_raw_76470316'!$F$32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'balance_raw_76470316'!$B$33</f>
        <v/>
      </c>
      <c r="C56" s="5">
        <f>'balance_raw_76470316'!$C$33</f>
        <v/>
      </c>
      <c r="D56" s="5">
        <f>'balance_raw_76470316'!$D$33</f>
        <v/>
      </c>
      <c r="E56" s="5">
        <f>'balance_raw_76470316'!$E$33</f>
        <v/>
      </c>
      <c r="F56" s="5">
        <f>'balance_raw_76470316'!$F$33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'balance_raw_76470316'!$B$34</f>
        <v/>
      </c>
      <c r="C57" s="8">
        <f>'balance_raw_76470316'!$C$34</f>
        <v/>
      </c>
      <c r="D57" s="8">
        <f>'balance_raw_76470316'!$D$34</f>
        <v/>
      </c>
      <c r="E57" s="8">
        <f>'balance_raw_76470316'!$E$34</f>
        <v/>
      </c>
      <c r="F57" s="8">
        <f>'balance_raw_76470316'!$F$34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'balance_raw_76470316'!$B$35</f>
        <v/>
      </c>
      <c r="C58" s="5">
        <f>'balance_raw_76470316'!$C$35</f>
        <v/>
      </c>
      <c r="D58" s="5">
        <f>'balance_raw_76470316'!$D$35</f>
        <v/>
      </c>
      <c r="E58" s="5">
        <f>'balance_raw_76470316'!$E$35</f>
        <v/>
      </c>
      <c r="F58" s="5">
        <f>'balance_raw_76470316'!$F$35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'balance_raw_76470316'!$B$36</f>
        <v/>
      </c>
      <c r="C59" s="8">
        <f>'balance_raw_76470316'!$C$36</f>
        <v/>
      </c>
      <c r="D59" s="8">
        <f>'balance_raw_76470316'!$D$36</f>
        <v/>
      </c>
      <c r="E59" s="8">
        <f>'balance_raw_76470316'!$E$36</f>
        <v/>
      </c>
      <c r="F59" s="8">
        <f>'balance_raw_76470316'!$F$36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'balance_raw_76470316'!$B$37</f>
        <v/>
      </c>
      <c r="C60" s="5">
        <f>'balance_raw_76470316'!$C$37</f>
        <v/>
      </c>
      <c r="D60" s="5">
        <f>'balance_raw_76470316'!$D$37</f>
        <v/>
      </c>
      <c r="E60" s="5">
        <f>'balance_raw_76470316'!$E$37</f>
        <v/>
      </c>
      <c r="F60" s="5">
        <f>'balance_raw_76470316'!$F$37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'balance_raw_76470316'!$B$38</f>
        <v/>
      </c>
      <c r="C61" s="11">
        <f>'balance_raw_76470316'!$C$38</f>
        <v/>
      </c>
      <c r="D61" s="11">
        <f>'balance_raw_76470316'!$D$38</f>
        <v/>
      </c>
      <c r="E61" s="11">
        <f>'balance_raw_76470316'!$E$38</f>
        <v/>
      </c>
      <c r="F61" s="11">
        <f>'balance_raw_76470316'!$F$38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'balance_raw_76470316'!$B$39</f>
        <v/>
      </c>
      <c r="C62" s="5">
        <f>'balance_raw_76470316'!$C$39</f>
        <v/>
      </c>
      <c r="D62" s="5">
        <f>'balance_raw_76470316'!$D$39</f>
        <v/>
      </c>
      <c r="E62" s="5">
        <f>'balance_raw_76470316'!$E$39</f>
        <v/>
      </c>
      <c r="F62" s="5">
        <f>'balance_raw_76470316'!$F$39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'balance_raw_76470316'!$B$40</f>
        <v/>
      </c>
      <c r="C63" s="11">
        <f>'balance_raw_76470316'!$C$40</f>
        <v/>
      </c>
      <c r="D63" s="11">
        <f>'balance_raw_76470316'!$D$40</f>
        <v/>
      </c>
      <c r="E63" s="11">
        <f>'balance_raw_76470316'!$E$40</f>
        <v/>
      </c>
      <c r="F63" s="11">
        <f>'balance_raw_76470316'!$F$40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'balance_raw_76470316'!$B$41</f>
        <v/>
      </c>
      <c r="C64" s="5">
        <f>'balance_raw_76470316'!$C$41</f>
        <v/>
      </c>
      <c r="D64" s="5">
        <f>'balance_raw_76470316'!$D$41</f>
        <v/>
      </c>
      <c r="E64" s="5">
        <f>'balance_raw_76470316'!$E$41</f>
        <v/>
      </c>
      <c r="F64" s="5">
        <f>'balance_raw_76470316'!$F$41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'balance_raw_76470316'!$B$42</f>
        <v/>
      </c>
      <c r="C65" s="8">
        <f>'balance_raw_76470316'!$C$42</f>
        <v/>
      </c>
      <c r="D65" s="8">
        <f>'balance_raw_76470316'!$D$42</f>
        <v/>
      </c>
      <c r="E65" s="8">
        <f>'balance_raw_76470316'!$E$42</f>
        <v/>
      </c>
      <c r="F65" s="8">
        <f>'balance_raw_76470316'!$F$42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'balance_raw_76470316'!$B$43</f>
        <v/>
      </c>
      <c r="C66" s="5">
        <f>'balance_raw_76470316'!$C$43</f>
        <v/>
      </c>
      <c r="D66" s="5">
        <f>'balance_raw_76470316'!$D$43</f>
        <v/>
      </c>
      <c r="E66" s="5">
        <f>'balance_raw_76470316'!$E$43</f>
        <v/>
      </c>
      <c r="F66" s="5">
        <f>'balance_raw_76470316'!$F$43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'balance_raw_76470316'!$B$44</f>
        <v/>
      </c>
      <c r="C67" s="8">
        <f>'balance_raw_76470316'!$C$44</f>
        <v/>
      </c>
      <c r="D67" s="8">
        <f>'balance_raw_76470316'!$D$44</f>
        <v/>
      </c>
      <c r="E67" s="8">
        <f>'balance_raw_76470316'!$E$44</f>
        <v/>
      </c>
      <c r="F67" s="8">
        <f>'balance_raw_76470316'!$F$44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'balance_raw_76470316'!$B$45</f>
        <v/>
      </c>
      <c r="C68" s="5">
        <f>'balance_raw_76470316'!$C$45</f>
        <v/>
      </c>
      <c r="D68" s="5">
        <f>'balance_raw_76470316'!$D$45</f>
        <v/>
      </c>
      <c r="E68" s="5">
        <f>'balance_raw_76470316'!$E$45</f>
        <v/>
      </c>
      <c r="F68" s="5">
        <f>'balance_raw_76470316'!$F$45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'balance_raw_76470316'!$B$46</f>
        <v/>
      </c>
      <c r="C69" s="8">
        <f>'balance_raw_76470316'!$C$46</f>
        <v/>
      </c>
      <c r="D69" s="8">
        <f>'balance_raw_76470316'!$D$46</f>
        <v/>
      </c>
      <c r="E69" s="8">
        <f>'balance_raw_76470316'!$E$46</f>
        <v/>
      </c>
      <c r="F69" s="8">
        <f>'balance_raw_76470316'!$F$46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'balance_raw_76470316'!$B$47</f>
        <v/>
      </c>
      <c r="C70" s="5">
        <f>'balance_raw_76470316'!$C$47</f>
        <v/>
      </c>
      <c r="D70" s="5">
        <f>'balance_raw_76470316'!$D$47</f>
        <v/>
      </c>
      <c r="E70" s="5">
        <f>'balance_raw_76470316'!$E$47</f>
        <v/>
      </c>
      <c r="F70" s="5">
        <f>'balance_raw_76470316'!$F$47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'balance_raw_76470316'!$B$48</f>
        <v/>
      </c>
      <c r="C71" s="8">
        <f>'balance_raw_76470316'!$C$48</f>
        <v/>
      </c>
      <c r="D71" s="8">
        <f>'balance_raw_76470316'!$D$48</f>
        <v/>
      </c>
      <c r="E71" s="8">
        <f>'balance_raw_76470316'!$E$48</f>
        <v/>
      </c>
      <c r="F71" s="8">
        <f>'balance_raw_76470316'!$F$48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'balance_raw_76470316'!$B$49</f>
        <v/>
      </c>
      <c r="C72" s="5">
        <f>'balance_raw_76470316'!$C$49</f>
        <v/>
      </c>
      <c r="D72" s="5">
        <f>'balance_raw_76470316'!$D$49</f>
        <v/>
      </c>
      <c r="E72" s="5">
        <f>'balance_raw_76470316'!$E$49</f>
        <v/>
      </c>
      <c r="F72" s="5">
        <f>'balance_raw_76470316'!$F$49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'balance_raw_76470316'!$B$50</f>
        <v/>
      </c>
      <c r="C73" s="8">
        <f>'balance_raw_76470316'!$C$50</f>
        <v/>
      </c>
      <c r="D73" s="8">
        <f>'balance_raw_76470316'!$D$50</f>
        <v/>
      </c>
      <c r="E73" s="8">
        <f>'balance_raw_76470316'!$E$50</f>
        <v/>
      </c>
      <c r="F73" s="8">
        <f>'balance_raw_76470316'!$F$50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'balance_raw_76470316'!$B$51</f>
        <v/>
      </c>
      <c r="C74" s="5">
        <f>'balance_raw_76470316'!$C$51</f>
        <v/>
      </c>
      <c r="D74" s="5">
        <f>'balance_raw_76470316'!$D$51</f>
        <v/>
      </c>
      <c r="E74" s="5">
        <f>'balance_raw_76470316'!$E$51</f>
        <v/>
      </c>
      <c r="F74" s="5">
        <f>'balance_raw_76470316'!$F$51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'balance_raw_76470316'!$B$52</f>
        <v/>
      </c>
      <c r="C75" s="11">
        <f>'balance_raw_76470316'!$C$52</f>
        <v/>
      </c>
      <c r="D75" s="11">
        <f>'balance_raw_76470316'!$D$52</f>
        <v/>
      </c>
      <c r="E75" s="11">
        <f>'balance_raw_76470316'!$E$52</f>
        <v/>
      </c>
      <c r="F75" s="11">
        <f>'balance_raw_76470316'!$F$52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'balance_raw_76470316'!$B$53</f>
        <v/>
      </c>
      <c r="C76" s="11">
        <f>'balance_raw_76470316'!$C$53</f>
        <v/>
      </c>
      <c r="D76" s="11">
        <f>'balance_raw_76470316'!$D$53</f>
        <v/>
      </c>
      <c r="E76" s="11">
        <f>'balance_raw_76470316'!$E$53</f>
        <v/>
      </c>
      <c r="F76" s="11">
        <f>'balance_raw_76470316'!$F$53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'balance_raw_76470316'!$B$54</f>
        <v/>
      </c>
      <c r="C77" s="11">
        <f>'balance_raw_76470316'!$C$54</f>
        <v/>
      </c>
      <c r="D77" s="11">
        <f>'balance_raw_76470316'!$D$54</f>
        <v/>
      </c>
      <c r="E77" s="11">
        <f>'balance_raw_76470316'!$E$54</f>
        <v/>
      </c>
      <c r="F77" s="11">
        <f>'balance_raw_76470316'!$F$54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'res_raw_76470316'!$B$19</f>
        <v/>
      </c>
      <c r="C80" s="5">
        <f>'res_raw_76470316'!$C$19</f>
        <v/>
      </c>
      <c r="D80" s="5">
        <f>'res_raw_76470316'!$D$19</f>
        <v/>
      </c>
      <c r="E80" s="5">
        <f>'res_raw_76470316'!$E$19</f>
        <v/>
      </c>
      <c r="F80" s="5">
        <f>'res_raw_76470316'!$F$19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'res_raw_76470316'!$B$20</f>
        <v/>
      </c>
      <c r="C81" s="8">
        <f>'res_raw_76470316'!$C$20</f>
        <v/>
      </c>
      <c r="D81" s="8">
        <f>'res_raw_76470316'!$D$20</f>
        <v/>
      </c>
      <c r="E81" s="8">
        <f>'res_raw_76470316'!$E$20</f>
        <v/>
      </c>
      <c r="F81" s="8">
        <f>'res_raw_76470316'!$F$20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 (af bruttofortjeneste), %</t>
        </is>
      </c>
      <c r="B85" s="14">
        <f>IFERROR(($B$13+$B$15+$B$14)/$B$8*100,"")</f>
        <v/>
      </c>
      <c r="C85" s="14">
        <f>IFERROR(($C$13+$C$15+$C$14)/$C$8*100,"")</f>
        <v/>
      </c>
      <c r="D85" s="14">
        <f>IFERROR(($D$13+$D$15+$D$14)/$D$8*100,"")</f>
        <v/>
      </c>
      <c r="E85" s="14">
        <f>IFERROR(($E$13+$E$15+$E$14)/$E$8*100,"")</f>
        <v/>
      </c>
      <c r="F85" s="14">
        <f>IFERROR(($F$13+$F$15+$F$14)/$F$8*100,"")</f>
        <v/>
      </c>
    </row>
    <row r="86" ht="16" customHeight="1">
      <c r="A86" s="4" t="inlineStr">
        <is>
          <t>Aktivernes omsætningshastighed (af bruttofortjeneste), gange</t>
        </is>
      </c>
      <c r="B86" s="13">
        <f>IFERROR($B$8/$B$52,"")</f>
        <v/>
      </c>
      <c r="C86" s="13">
        <f>IFERROR($C$8/$C$52,"")</f>
        <v/>
      </c>
      <c r="D86" s="13">
        <f>IFERROR($D$8/$D$52,"")</f>
        <v/>
      </c>
      <c r="E86" s="13">
        <f>IFERROR($E$8/$E$52,"")</f>
        <v/>
      </c>
      <c r="F86" s="13">
        <f>IFERROR($F$8/$F$52,"")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  <row r="96">
      <c r="A96" s="15" t="inlineStr">
        <is>
          <t>PENGESTRØMSOPGØRELSE t.kr.</t>
        </is>
      </c>
    </row>
    <row r="97">
      <c r="A97" s="16" t="inlineStr">
        <is>
          <t>Pengestrømme fra driftsaktivitet</t>
        </is>
      </c>
      <c r="B97" s="17">
        <f>'pengestrom_raw_76470316'!$B$2</f>
        <v/>
      </c>
      <c r="C97" s="17">
        <f>'pengestrom_raw_76470316'!$C$2</f>
        <v/>
      </c>
      <c r="D97" s="17">
        <f>'pengestrom_raw_76470316'!$D$2</f>
        <v/>
      </c>
      <c r="E97" s="17">
        <f>'pengestrom_raw_76470316'!$E$2</f>
        <v/>
      </c>
      <c r="F97" s="17">
        <f>'pengestrom_raw_76470316'!$F$2</f>
        <v/>
      </c>
    </row>
    <row r="98">
      <c r="A98" s="16" t="inlineStr">
        <is>
          <t>Pengestrømme fra investeringsaktivitet</t>
        </is>
      </c>
      <c r="B98" s="17">
        <f>'pengestrom_raw_76470316'!$B$3</f>
        <v/>
      </c>
      <c r="C98" s="17">
        <f>'pengestrom_raw_76470316'!$C$3</f>
        <v/>
      </c>
      <c r="D98" s="17">
        <f>'pengestrom_raw_76470316'!$D$3</f>
        <v/>
      </c>
      <c r="E98" s="17">
        <f>'pengestrom_raw_76470316'!$E$3</f>
        <v/>
      </c>
      <c r="F98" s="17">
        <f>'pengestrom_raw_76470316'!$F$3</f>
        <v/>
      </c>
    </row>
    <row r="99">
      <c r="A99" s="16" t="inlineStr">
        <is>
          <t>Pengestrømme fra finansieringsaktivitet</t>
        </is>
      </c>
      <c r="B99" s="17">
        <f>'pengestrom_raw_76470316'!$B$4</f>
        <v/>
      </c>
      <c r="C99" s="17">
        <f>'pengestrom_raw_76470316'!$C$4</f>
        <v/>
      </c>
      <c r="D99" s="17">
        <f>'pengestrom_raw_76470316'!$D$4</f>
        <v/>
      </c>
      <c r="E99" s="17">
        <f>'pengestrom_raw_76470316'!$E$4</f>
        <v/>
      </c>
      <c r="F99" s="17">
        <f>'pengestrom_raw_76470316'!$F$4</f>
        <v/>
      </c>
    </row>
    <row r="100">
      <c r="A100" s="16" t="inlineStr">
        <is>
          <t>Årets pengestrøm (rapporteret)</t>
        </is>
      </c>
      <c r="B100" s="17">
        <f>'pengestrom_raw_76470316'!$B$5</f>
        <v/>
      </c>
      <c r="C100" s="17">
        <f>'pengestrom_raw_76470316'!$C$5</f>
        <v/>
      </c>
      <c r="D100" s="17">
        <f>'pengestrom_raw_76470316'!$D$5</f>
        <v/>
      </c>
      <c r="E100" s="17">
        <f>'pengestrom_raw_76470316'!$E$5</f>
        <v/>
      </c>
      <c r="F100" s="17">
        <f>'pengestrom_raw_76470316'!$F$5</f>
        <v/>
      </c>
    </row>
    <row r="101">
      <c r="A101" s="16" t="inlineStr">
        <is>
          <t>Krydstjek: drift + inv. + fin. = årets pengestrøm</t>
        </is>
      </c>
      <c r="B101">
        <f>IF(ABS(('pengestrom_raw_76470316'!$B$2+'pengestrom_raw_76470316'!$B$3+'pengestrom_raw_76470316'!$B$4)-'pengestrom_raw_76470316'!$B$5)&lt;=2,"✓","⚠ "&amp;TEXT(('pengestrom_raw_76470316'!$B$2+'pengestrom_raw_76470316'!$B$3+'pengestrom_raw_76470316'!$B$4)-'pengestrom_raw_76470316'!$B$5,"+#,##0;-#,##0"))</f>
        <v/>
      </c>
      <c r="C101">
        <f>IF(ABS(('pengestrom_raw_76470316'!$C$2+'pengestrom_raw_76470316'!$C$3+'pengestrom_raw_76470316'!$C$4)-'pengestrom_raw_76470316'!$C$5)&lt;=2,"✓","⚠ "&amp;TEXT(('pengestrom_raw_76470316'!$C$2+'pengestrom_raw_76470316'!$C$3+'pengestrom_raw_76470316'!$C$4)-'pengestrom_raw_76470316'!$C$5,"+#,##0;-#,##0"))</f>
        <v/>
      </c>
      <c r="D101">
        <f>IF(ABS(('pengestrom_raw_76470316'!$D$2+'pengestrom_raw_76470316'!$D$3+'pengestrom_raw_76470316'!$D$4)-'pengestrom_raw_76470316'!$D$5)&lt;=2,"✓","⚠ "&amp;TEXT(('pengestrom_raw_76470316'!$D$2+'pengestrom_raw_76470316'!$D$3+'pengestrom_raw_76470316'!$D$4)-'pengestrom_raw_76470316'!$D$5,"+#,##0;-#,##0"))</f>
        <v/>
      </c>
      <c r="E101">
        <f>IF(ABS(('pengestrom_raw_76470316'!$E$2+'pengestrom_raw_76470316'!$E$3+'pengestrom_raw_76470316'!$E$4)-'pengestrom_raw_76470316'!$E$5)&lt;=2,"✓","⚠ "&amp;TEXT(('pengestrom_raw_76470316'!$E$2+'pengestrom_raw_76470316'!$E$3+'pengestrom_raw_76470316'!$E$4)-'pengestrom_raw_76470316'!$E$5,"+#,##0;-#,##0"))</f>
        <v/>
      </c>
      <c r="F101">
        <f>IF(ABS(('pengestrom_raw_76470316'!$F$2+'pengestrom_raw_76470316'!$F$3+'pengestrom_raw_76470316'!$F$4)-'pengestrom_raw_76470316'!$F$5)&lt;=2,"✓","⚠ "&amp;TEXT(('pengestrom_raw_76470316'!$F$2+'pengestrom_raw_76470316'!$F$3+'pengestrom_raw_76470316'!$F$4)-'pengestrom_raw_76470316'!$F$5,"+#,##0;-#,##0"))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Friluftsland A/S (CVR 76470316)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46597</v>
      </c>
      <c r="C6" s="17" t="n">
        <v>43591</v>
      </c>
      <c r="D6" s="17" t="n">
        <v>44914</v>
      </c>
      <c r="E6" s="17" t="n">
        <v>44669</v>
      </c>
      <c r="F6" s="17" t="n">
        <v>49037</v>
      </c>
    </row>
    <row r="7">
      <c r="A7" s="16" t="inlineStr">
        <is>
          <t>Personaleomkostninger</t>
        </is>
      </c>
      <c r="B7" s="17" t="n">
        <v>36386</v>
      </c>
      <c r="C7" s="17" t="n">
        <v>41582</v>
      </c>
      <c r="D7" s="17" t="n">
        <v>44220</v>
      </c>
      <c r="E7" s="17" t="n">
        <v>43218</v>
      </c>
      <c r="F7" s="17" t="n">
        <v>45056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4027</v>
      </c>
      <c r="C9" s="17" t="n">
        <v>5341</v>
      </c>
      <c r="D9" s="17" t="n">
        <v>5217</v>
      </c>
      <c r="E9" s="17" t="n">
        <v>3605</v>
      </c>
      <c r="F9" s="17" t="n">
        <v>3315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6184</v>
      </c>
      <c r="C11" s="17" t="n">
        <v>-3331</v>
      </c>
      <c r="D11" s="17" t="n">
        <v>-4523</v>
      </c>
      <c r="E11" s="17" t="n">
        <v>-2153</v>
      </c>
      <c r="F11" s="17" t="n">
        <v>665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0</v>
      </c>
      <c r="C13" s="17" t="n">
        <v>4</v>
      </c>
      <c r="D13" s="17" t="n">
        <v>31</v>
      </c>
      <c r="E13" s="17" t="n">
        <v>27</v>
      </c>
      <c r="F13" s="17" t="n">
        <v>17</v>
      </c>
    </row>
    <row r="14">
      <c r="A14" s="16" t="inlineStr">
        <is>
          <t>Finansielle omkostninger</t>
        </is>
      </c>
      <c r="B14" s="17" t="n">
        <v>869</v>
      </c>
      <c r="C14" s="17" t="n">
        <v>1449</v>
      </c>
      <c r="D14" s="17" t="n">
        <v>4375</v>
      </c>
      <c r="E14" s="17" t="n">
        <v>4899</v>
      </c>
      <c r="F14" s="17" t="n">
        <v>7751</v>
      </c>
    </row>
    <row r="15">
      <c r="A15" s="15" t="inlineStr">
        <is>
          <t>Finansielle poster, netto</t>
        </is>
      </c>
      <c r="B15" s="17" t="n">
        <v>869</v>
      </c>
      <c r="C15" s="17" t="n">
        <v>1444</v>
      </c>
      <c r="D15" s="17" t="n">
        <v>4344</v>
      </c>
      <c r="E15" s="17" t="n">
        <v>4872</v>
      </c>
      <c r="F15" s="17" t="n">
        <v>-3859</v>
      </c>
    </row>
    <row r="16">
      <c r="A16" s="15" t="inlineStr">
        <is>
          <t>Resultat før skat</t>
        </is>
      </c>
      <c r="B16" s="17" t="n">
        <v>5314</v>
      </c>
      <c r="C16" s="17" t="n">
        <v>-4776</v>
      </c>
      <c r="D16" s="17" t="n">
        <v>-8867</v>
      </c>
      <c r="E16" s="17" t="n">
        <v>-7025</v>
      </c>
      <c r="F16" s="17" t="n">
        <v>-3194</v>
      </c>
    </row>
    <row r="17">
      <c r="A17" s="16" t="inlineStr">
        <is>
          <t>Skat af årets resultat</t>
        </is>
      </c>
      <c r="B17" s="17" t="n">
        <v>1185</v>
      </c>
      <c r="C17" s="17" t="n">
        <v>-976</v>
      </c>
      <c r="D17" s="17" t="n">
        <v>-1695</v>
      </c>
      <c r="E17" s="17" t="n">
        <v>-1314</v>
      </c>
      <c r="F17" s="17" t="n">
        <v>-582</v>
      </c>
    </row>
    <row r="18">
      <c r="A18" s="15" t="inlineStr">
        <is>
          <t>Årets resultat</t>
        </is>
      </c>
      <c r="B18" s="17" t="n">
        <v>4129</v>
      </c>
      <c r="C18" s="17" t="n">
        <v>-3800</v>
      </c>
      <c r="D18" s="17" t="n">
        <v>-7172</v>
      </c>
      <c r="E18" s="17" t="n">
        <v>-5711</v>
      </c>
      <c r="F18" s="17" t="n">
        <v>-2611</v>
      </c>
    </row>
    <row r="19">
      <c r="A19" s="16" t="inlineStr">
        <is>
          <t>Gns. antal medarbejdere</t>
        </is>
      </c>
      <c r="B19" s="17" t="n">
        <v>85</v>
      </c>
      <c r="C19" s="17" t="n">
        <v>97</v>
      </c>
      <c r="D19" s="17" t="n">
        <v>98</v>
      </c>
      <c r="E19" s="17" t="n">
        <v>108</v>
      </c>
      <c r="F19" s="17" t="n">
        <v>104</v>
      </c>
    </row>
    <row r="20">
      <c r="A20" s="16" t="inlineStr">
        <is>
          <t>Investering i materielle anlægsaktiver</t>
        </is>
      </c>
      <c r="B20" s="17" t="n">
        <v>2076</v>
      </c>
      <c r="C20" s="17" t="n">
        <v>7277</v>
      </c>
      <c r="D20" s="17" t="n">
        <v>2099</v>
      </c>
      <c r="E20" s="17" t="n">
        <v>2051</v>
      </c>
      <c r="F20" s="17" t="n">
        <v>2399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Friluftsland A/S (CVR 76470316)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330</v>
      </c>
      <c r="C2" s="17" t="n">
        <v>854</v>
      </c>
      <c r="D2" s="17" t="n">
        <v>539</v>
      </c>
      <c r="E2" s="17" t="n">
        <v>570</v>
      </c>
      <c r="F2" s="17" t="n">
        <v>547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1254</v>
      </c>
      <c r="C4" s="17" t="n">
        <v>817</v>
      </c>
      <c r="D4" s="17" t="n">
        <v>550</v>
      </c>
      <c r="E4" s="17" t="n">
        <v>350</v>
      </c>
      <c r="F4" s="17" t="n">
        <v>150</v>
      </c>
    </row>
    <row r="5">
      <c r="A5" s="15" t="inlineStr">
        <is>
          <t>Immaterielle anlægsaktiver</t>
        </is>
      </c>
      <c r="B5" s="17" t="n">
        <v>1584</v>
      </c>
      <c r="C5" s="17" t="n">
        <v>1671</v>
      </c>
      <c r="D5" s="17" t="n">
        <v>1089</v>
      </c>
      <c r="E5" s="17" t="n">
        <v>920</v>
      </c>
      <c r="F5" s="17" t="n">
        <v>697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8339</v>
      </c>
      <c r="C8" s="17" t="n">
        <v>11010</v>
      </c>
      <c r="D8" s="17" t="n">
        <v>8554</v>
      </c>
      <c r="E8" s="17" t="n">
        <v>7569</v>
      </c>
      <c r="F8" s="17" t="n">
        <v>7168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8339</v>
      </c>
      <c r="C11" s="17" t="n">
        <v>11010</v>
      </c>
      <c r="D11" s="17" t="n">
        <v>8554</v>
      </c>
      <c r="E11" s="17" t="n">
        <v>7569</v>
      </c>
      <c r="F11" s="17" t="n">
        <v>7168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2258</v>
      </c>
      <c r="C13" s="17" t="n">
        <v>2282</v>
      </c>
      <c r="D13" s="17" t="n">
        <v>2520</v>
      </c>
      <c r="E13" s="17" t="n">
        <v>2569</v>
      </c>
      <c r="F13" s="17" t="n">
        <v>2849</v>
      </c>
    </row>
    <row r="14">
      <c r="A14" s="15" t="inlineStr">
        <is>
          <t>Finansielle anlægsaktiver</t>
        </is>
      </c>
      <c r="B14" s="17" t="n">
        <v>2258</v>
      </c>
      <c r="C14" s="17" t="n">
        <v>2282</v>
      </c>
      <c r="D14" s="17" t="n">
        <v>2520</v>
      </c>
      <c r="E14" s="17" t="n">
        <v>2569</v>
      </c>
      <c r="F14" s="17" t="n">
        <v>2849</v>
      </c>
    </row>
    <row r="15">
      <c r="A15" s="15" t="inlineStr">
        <is>
          <t>Anlægsaktiver</t>
        </is>
      </c>
      <c r="B15" s="17" t="n">
        <v>12181</v>
      </c>
      <c r="C15" s="17" t="n">
        <v>14963</v>
      </c>
      <c r="D15" s="17" t="n">
        <v>12164</v>
      </c>
      <c r="E15" s="17" t="n">
        <v>11058</v>
      </c>
      <c r="F15" s="17" t="n">
        <v>10714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48612</v>
      </c>
      <c r="C18" s="17" t="n">
        <v>60124</v>
      </c>
      <c r="D18" s="17" t="n">
        <v>81331</v>
      </c>
      <c r="E18" s="17" t="n">
        <v>66390</v>
      </c>
      <c r="F18" s="17" t="n">
        <v>76733</v>
      </c>
    </row>
    <row r="19">
      <c r="A19" s="15" t="inlineStr">
        <is>
          <t>Varebeholdninger</t>
        </is>
      </c>
      <c r="B19" s="17" t="n">
        <v>49027</v>
      </c>
      <c r="C19" s="17" t="n">
        <v>62350</v>
      </c>
      <c r="D19" s="17" t="n">
        <v>82379</v>
      </c>
      <c r="E19" s="17" t="n">
        <v>67151</v>
      </c>
      <c r="F19" s="17" t="n">
        <v>78752</v>
      </c>
    </row>
    <row r="20">
      <c r="A20" s="16" t="inlineStr">
        <is>
          <t>Tilgodehavender fra salg og tjenesteydelser</t>
        </is>
      </c>
      <c r="B20" s="17" t="n">
        <v>5435</v>
      </c>
      <c r="C20" s="17" t="n">
        <v>6129</v>
      </c>
      <c r="D20" s="17" t="n">
        <v>6132</v>
      </c>
      <c r="E20" s="17" t="n">
        <v>7446</v>
      </c>
      <c r="F20" s="17" t="n">
        <v>6312</v>
      </c>
    </row>
    <row r="21">
      <c r="A21" s="16" t="inlineStr">
        <is>
          <t>Tilgodehavender hos tilknyttede virksomheder</t>
        </is>
      </c>
      <c r="B21" s="17" t="n">
        <v>5460</v>
      </c>
      <c r="C21" s="17" t="n">
        <v>1707</v>
      </c>
      <c r="D21" s="17" t="n">
        <v>422</v>
      </c>
      <c r="E21" s="17" t="n">
        <v>1057</v>
      </c>
      <c r="F21" s="17" t="n">
        <v>5016</v>
      </c>
    </row>
    <row r="22">
      <c r="A22" s="16" t="inlineStr">
        <is>
          <t>Andre tilgodehavender</t>
        </is>
      </c>
      <c r="B22" s="17" t="n">
        <v>118</v>
      </c>
      <c r="C22" s="17" t="n">
        <v>256</v>
      </c>
      <c r="D22" s="17" t="n">
        <v>57</v>
      </c>
      <c r="E22" s="17" t="n">
        <v>485</v>
      </c>
      <c r="F22" s="17" t="n">
        <v>375</v>
      </c>
    </row>
    <row r="23">
      <c r="A23" s="16" t="inlineStr">
        <is>
          <t>Periodeafgrænsningsposter (aktiver)</t>
        </is>
      </c>
      <c r="B23" s="17" t="n">
        <v>226</v>
      </c>
      <c r="C23" s="17" t="n">
        <v>182</v>
      </c>
      <c r="D23" s="17" t="n">
        <v>426</v>
      </c>
      <c r="E23" s="17" t="n">
        <v>519</v>
      </c>
      <c r="F23" s="17" t="n">
        <v>410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>
        <v>8235</v>
      </c>
      <c r="C25" s="17" t="n">
        <v>7673</v>
      </c>
      <c r="D25" s="17" t="n">
        <v>7433</v>
      </c>
      <c r="E25" s="17" t="n">
        <v>6232</v>
      </c>
      <c r="F25" s="17" t="n">
        <v>6576</v>
      </c>
    </row>
    <row r="26">
      <c r="A26" s="16" t="inlineStr">
        <is>
          <t>Kortfristede skattetilgodehavender</t>
        </is>
      </c>
      <c r="B26" s="17" t="n">
        <v>0</v>
      </c>
      <c r="C26" s="17" t="n">
        <v>319</v>
      </c>
      <c r="D26" s="17" t="n">
        <v>1122</v>
      </c>
      <c r="E26" s="17" t="n">
        <v>0</v>
      </c>
      <c r="F26" s="17" t="n"/>
    </row>
    <row r="27">
      <c r="A27" s="15" t="inlineStr">
        <is>
          <t>Tilgodehavender</t>
        </is>
      </c>
      <c r="B27" s="17" t="n">
        <v>19473</v>
      </c>
      <c r="C27" s="17" t="n">
        <v>16265</v>
      </c>
      <c r="D27" s="17" t="n">
        <v>15592</v>
      </c>
      <c r="E27" s="17" t="n">
        <v>15739</v>
      </c>
      <c r="F27" s="17" t="n">
        <v>18689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827</v>
      </c>
      <c r="C29" s="17" t="n">
        <v>859</v>
      </c>
      <c r="D29" s="17" t="n">
        <v>1087</v>
      </c>
      <c r="E29" s="17" t="n">
        <v>917</v>
      </c>
      <c r="F29" s="17" t="n">
        <v>599</v>
      </c>
    </row>
    <row r="30">
      <c r="A30" s="15" t="inlineStr">
        <is>
          <t>Omsætningsaktiver</t>
        </is>
      </c>
      <c r="B30" s="17" t="n">
        <v>69328</v>
      </c>
      <c r="C30" s="17" t="n">
        <v>79475</v>
      </c>
      <c r="D30" s="17" t="n">
        <v>99058</v>
      </c>
      <c r="E30" s="17" t="n">
        <v>83807</v>
      </c>
      <c r="F30" s="17" t="n">
        <v>98040</v>
      </c>
    </row>
    <row r="31">
      <c r="A31" s="15" t="inlineStr">
        <is>
          <t>Aktiver</t>
        </is>
      </c>
      <c r="B31" s="17" t="n">
        <v>81509</v>
      </c>
      <c r="C31" s="17" t="n">
        <v>94438</v>
      </c>
      <c r="D31" s="17" t="n">
        <v>111222</v>
      </c>
      <c r="E31" s="17" t="n">
        <v>94866</v>
      </c>
      <c r="F31" s="17" t="n">
        <v>108753</v>
      </c>
    </row>
    <row r="32">
      <c r="A32" s="16" t="inlineStr">
        <is>
          <t>Selskabskapital</t>
        </is>
      </c>
      <c r="B32" s="17" t="n">
        <v>500</v>
      </c>
      <c r="C32" s="17" t="n">
        <v>500</v>
      </c>
      <c r="D32" s="17" t="n">
        <v>500</v>
      </c>
      <c r="E32" s="17" t="n">
        <v>500</v>
      </c>
      <c r="F32" s="17" t="n">
        <v>500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13026</v>
      </c>
      <c r="C37" s="17" t="n">
        <v>9227</v>
      </c>
      <c r="D37" s="17" t="n">
        <v>2054</v>
      </c>
      <c r="E37" s="17" t="n">
        <v>-3656</v>
      </c>
      <c r="F37" s="17" t="n">
        <v>6732</v>
      </c>
    </row>
    <row r="38">
      <c r="A38" s="15" t="inlineStr">
        <is>
          <t>Egenkapital i alt</t>
        </is>
      </c>
      <c r="B38" s="17" t="n">
        <v>13526</v>
      </c>
      <c r="C38" s="17" t="n">
        <v>9727</v>
      </c>
      <c r="D38" s="17" t="n">
        <v>2554</v>
      </c>
      <c r="E38" s="17" t="n">
        <v>-3156</v>
      </c>
      <c r="F38" s="17" t="n">
        <v>7232</v>
      </c>
    </row>
    <row r="39">
      <c r="A39" s="16" t="inlineStr">
        <is>
          <t>Hensættelse til udskudt skat</t>
        </is>
      </c>
      <c r="B39" s="17" t="n">
        <v>324</v>
      </c>
      <c r="C39" s="17" t="n">
        <v>553</v>
      </c>
      <c r="D39" s="17" t="n">
        <v>371</v>
      </c>
      <c r="E39" s="17" t="n">
        <v>287</v>
      </c>
      <c r="F39" s="17" t="n">
        <v>297</v>
      </c>
    </row>
    <row r="40">
      <c r="A40" s="15" t="inlineStr">
        <is>
          <t>Hensatte forpligtelser</t>
        </is>
      </c>
      <c r="B40" s="17" t="n">
        <v>324</v>
      </c>
      <c r="C40" s="17" t="n">
        <v>553</v>
      </c>
      <c r="D40" s="17" t="n">
        <v>371</v>
      </c>
      <c r="E40" s="17" t="n">
        <v>287</v>
      </c>
      <c r="F40" s="17" t="n">
        <v>297</v>
      </c>
    </row>
    <row r="41">
      <c r="A41" s="16" t="inlineStr">
        <is>
          <t>Ansvarlig lånekapital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Kortfristet del af langfristede gældsforpligtelser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Kreditinstitutter</t>
        </is>
      </c>
      <c r="B43" s="17" t="n">
        <v>0</v>
      </c>
      <c r="C43" s="17" t="n"/>
      <c r="D43" s="17" t="n"/>
      <c r="E43" s="17" t="n"/>
      <c r="F43" s="17" t="n"/>
    </row>
    <row r="44">
      <c r="A44" s="16" t="inlineStr">
        <is>
          <t>Leasingforpligtelser (kortfristet)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Leverandører af varer og tjenesteydelser</t>
        </is>
      </c>
      <c r="B45" s="17" t="n">
        <v>5532</v>
      </c>
      <c r="C45" s="17" t="n">
        <v>5957</v>
      </c>
      <c r="D45" s="17" t="n">
        <v>5272</v>
      </c>
      <c r="E45" s="17" t="n">
        <v>5535</v>
      </c>
      <c r="F45" s="17" t="n">
        <v>7296</v>
      </c>
    </row>
    <row r="46">
      <c r="A46" s="16" t="inlineStr">
        <is>
          <t>Gæld til tilknyttede virksomheder</t>
        </is>
      </c>
      <c r="B46" s="17" t="n">
        <v>45543</v>
      </c>
      <c r="C46" s="17" t="n">
        <v>63511</v>
      </c>
      <c r="D46" s="17" t="n">
        <v>86650</v>
      </c>
      <c r="E46" s="17" t="n">
        <v>75935</v>
      </c>
      <c r="F46" s="17" t="n">
        <v>79976</v>
      </c>
    </row>
    <row r="47">
      <c r="A47" s="16" t="inlineStr">
        <is>
          <t>Gæld til selskabsdeltagere og ledelse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Selskabsskat</t>
        </is>
      </c>
      <c r="B48" s="17" t="n">
        <v>1490</v>
      </c>
      <c r="C48" s="17" t="n">
        <v>0</v>
      </c>
      <c r="D48" s="17" t="n"/>
      <c r="E48" s="17" t="n">
        <v>1243</v>
      </c>
      <c r="F48" s="17" t="n">
        <v>485</v>
      </c>
    </row>
    <row r="49">
      <c r="A49" s="16" t="inlineStr">
        <is>
          <t>Gæld til tilknyttede virksomheder vedr. selskabsskat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Anden gæld (kortfristet)</t>
        </is>
      </c>
      <c r="B50" s="17" t="n">
        <v>14256</v>
      </c>
      <c r="C50" s="17" t="n">
        <v>14072</v>
      </c>
      <c r="D50" s="17" t="n">
        <v>15947</v>
      </c>
      <c r="E50" s="17" t="n">
        <v>14786</v>
      </c>
      <c r="F50" s="17" t="n">
        <v>13467</v>
      </c>
    </row>
    <row r="51">
      <c r="A51" s="16" t="inlineStr">
        <is>
          <t>Periodeafgrænsningsposter (passiver)</t>
        </is>
      </c>
      <c r="B51" s="17" t="n">
        <v>838</v>
      </c>
      <c r="C51" s="17" t="n">
        <v>617</v>
      </c>
      <c r="D51" s="17" t="n">
        <v>427</v>
      </c>
      <c r="E51" s="17" t="n">
        <v>237</v>
      </c>
      <c r="F51" s="17" t="n">
        <v>0</v>
      </c>
    </row>
    <row r="52">
      <c r="A52" s="15" t="inlineStr">
        <is>
          <t>Kortfristede gældsforpligtelser</t>
        </is>
      </c>
      <c r="B52" s="17" t="n">
        <v>67659</v>
      </c>
      <c r="C52" s="17" t="n">
        <v>84158</v>
      </c>
      <c r="D52" s="17" t="n">
        <v>108297</v>
      </c>
      <c r="E52" s="17" t="n">
        <v>97735</v>
      </c>
      <c r="F52" s="17" t="n">
        <v>101225</v>
      </c>
    </row>
    <row r="53">
      <c r="A53" s="15" t="inlineStr">
        <is>
          <t>Gældsforpligtelser</t>
        </is>
      </c>
      <c r="B53" s="17" t="n">
        <v>67659</v>
      </c>
      <c r="C53" s="17" t="n">
        <v>84158</v>
      </c>
      <c r="D53" s="17" t="n">
        <v>108297</v>
      </c>
      <c r="E53" s="17" t="n">
        <v>97735</v>
      </c>
      <c r="F53" s="17" t="n">
        <v>101225</v>
      </c>
    </row>
    <row r="54">
      <c r="A54" s="15" t="inlineStr">
        <is>
          <t>Passiver</t>
        </is>
      </c>
      <c r="B54" s="17" t="n">
        <v>81509</v>
      </c>
      <c r="C54" s="17" t="n">
        <v>94438</v>
      </c>
      <c r="D54" s="17" t="n">
        <v>111222</v>
      </c>
      <c r="E54" s="17" t="n">
        <v>94866</v>
      </c>
      <c r="F54" s="17" t="n">
        <v>108753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Friluftsland A/S (CVR 76470316)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8331</v>
      </c>
      <c r="C2" s="17" t="n">
        <v>-5648</v>
      </c>
      <c r="D2" s="17" t="n">
        <v>-16613</v>
      </c>
      <c r="E2" s="17" t="n">
        <v>10893</v>
      </c>
      <c r="F2" s="17" t="n">
        <v>-7821</v>
      </c>
    </row>
    <row r="3">
      <c r="A3" s="16" t="inlineStr">
        <is>
          <t>Pengestrømme fra investeringsaktivitet</t>
        </is>
      </c>
      <c r="B3" s="17" t="n">
        <v>-4116</v>
      </c>
      <c r="C3" s="17" t="n">
        <v>-8122</v>
      </c>
      <c r="D3" s="17" t="n">
        <v>-2418</v>
      </c>
      <c r="E3" s="17" t="n">
        <v>-2499</v>
      </c>
      <c r="F3" s="17" t="n">
        <v>-2971</v>
      </c>
    </row>
    <row r="4">
      <c r="A4" s="16" t="inlineStr">
        <is>
          <t>Pengestrømme fra finansieringsaktivitet</t>
        </is>
      </c>
      <c r="B4" s="17" t="n"/>
      <c r="C4" s="17" t="n"/>
      <c r="D4" s="17" t="n">
        <v>25981</v>
      </c>
      <c r="E4" s="17" t="n">
        <v>-5915</v>
      </c>
      <c r="F4" s="17" t="n">
        <v>3730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Friluftsland A/S (CVR 76470316) — Regnskabs- og nøgletal (CVR: 76470316)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'res_raw_76470316'!$F$2</f>
        <v/>
      </c>
      <c r="C5" s="24">
        <f>'res_raw_76470316'!$E$2</f>
        <v/>
      </c>
      <c r="D5" s="24">
        <f>'res_raw_76470316'!$D$2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'res_raw_76470316'!$F$3</f>
        <v/>
      </c>
      <c r="C6" s="24">
        <f>'res_raw_76470316'!$E$3</f>
        <v/>
      </c>
      <c r="D6" s="24">
        <f>'res_raw_76470316'!$D$3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-'res_raw_76470316'!$F$4</f>
        <v/>
      </c>
      <c r="C7" s="24">
        <f>-'res_raw_76470316'!$E$4</f>
        <v/>
      </c>
      <c r="D7" s="24">
        <f>-'res_raw_76470316'!$D$4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-'res_raw_76470316'!$F$5</f>
        <v/>
      </c>
      <c r="C8" s="24">
        <f>-'res_raw_76470316'!$E$5</f>
        <v/>
      </c>
      <c r="D8" s="24">
        <f>-'res_raw_76470316'!$D$5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IF(COUNT('res_raw_76470316'!$F$2,'res_raw_76470316'!$F$3,'res_raw_76470316'!$F$4,'res_raw_76470316'!$F$5)=0,'res_raw_76470316'!$F$6,SUM(B5:B8))</f>
        <v/>
      </c>
      <c r="C9" s="27">
        <f>IF(COUNT('res_raw_76470316'!$E$2,'res_raw_76470316'!$E$3,'res_raw_76470316'!$E$4,'res_raw_76470316'!$E$5)=0,'res_raw_76470316'!$E$6,SUM(C5:C8))</f>
        <v/>
      </c>
      <c r="D9" s="27">
        <f>IF(COUNT('res_raw_76470316'!$D$2,'res_raw_76470316'!$D$3,'res_raw_76470316'!$D$4,'res_raw_76470316'!$D$5)=0,'res_raw_76470316'!$D$6,SUM(D5:D8))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-'res_raw_76470316'!$F$7</f>
        <v/>
      </c>
      <c r="C10" s="24">
        <f>-'res_raw_76470316'!$E$7</f>
        <v/>
      </c>
      <c r="D10" s="24">
        <f>-'res_raw_76470316'!$D$7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-'res_raw_76470316'!$F$9</f>
        <v/>
      </c>
      <c r="C11" s="24">
        <f>-'res_raw_76470316'!$E$9</f>
        <v/>
      </c>
      <c r="D11" s="24">
        <f>-'res_raw_76470316'!$D$9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-'res_raw_76470316'!$F$10</f>
        <v/>
      </c>
      <c r="C12" s="24">
        <f>-'res_raw_76470316'!$E$10</f>
        <v/>
      </c>
      <c r="D12" s="24">
        <f>-'res_raw_76470316'!$D$10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N('res_raw_76470316'!$F$12)+N('res_raw_76470316'!$F$13)</f>
        <v/>
      </c>
      <c r="C14" s="24">
        <f>N('res_raw_76470316'!$E$12)+N('res_raw_76470316'!$E$13)</f>
        <v/>
      </c>
      <c r="D14" s="24">
        <f>N('res_raw_76470316'!$D$12)+N('res_raw_76470316'!$D$13)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-'res_raw_76470316'!$F$14</f>
        <v/>
      </c>
      <c r="C15" s="24">
        <f>-'res_raw_76470316'!$E$14</f>
        <v/>
      </c>
      <c r="D15" s="24">
        <f>-'res_raw_76470316'!$D$14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'balance_raw_76470316'!$F$15</f>
        <v/>
      </c>
      <c r="C19" s="24">
        <f>'balance_raw_76470316'!$E$15</f>
        <v/>
      </c>
      <c r="D19" s="24">
        <f>'balance_raw_76470316'!$D$15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'balance_raw_76470316'!$F$30</f>
        <v/>
      </c>
      <c r="C20" s="24">
        <f>'balance_raw_76470316'!$E$30</f>
        <v/>
      </c>
      <c r="D20" s="24">
        <f>'balance_raw_76470316'!$D$30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'balance_raw_76470316'!$F$38</f>
        <v/>
      </c>
      <c r="C23" s="24">
        <f>'balance_raw_76470316'!$E$38</f>
        <v/>
      </c>
      <c r="D23" s="24">
        <f>'balance_raw_76470316'!$D$38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'balance_raw_76470316'!$F$54-'balance_raw_76470316'!$F$38</f>
        <v/>
      </c>
      <c r="C24" s="24">
        <f>'balance_raw_76470316'!$E$54-'balance_raw_76470316'!$E$38</f>
        <v/>
      </c>
      <c r="D24" s="24">
        <f>'balance_raw_76470316'!$D$54-'balance_raw_76470316'!$D$38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'balance_raw_76470316'!$F$19</f>
        <v/>
      </c>
      <c r="C28" s="24">
        <f>'balance_raw_76470316'!$E$19</f>
        <v/>
      </c>
      <c r="D28" s="24">
        <f>'balance_raw_76470316'!$D$19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'balance_raw_76470316'!$F$20</f>
        <v/>
      </c>
      <c r="C29" s="24">
        <f>'balance_raw_76470316'!$E$20</f>
        <v/>
      </c>
      <c r="D29" s="24">
        <f>'balance_raw_76470316'!$D$20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'balance_raw_76470316'!$F$52</f>
        <v/>
      </c>
      <c r="C30" s="24">
        <f>'balance_raw_76470316'!$E$52</f>
        <v/>
      </c>
      <c r="D30" s="24">
        <f>'balance_raw_76470316'!$D$52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IF('balance_raw_76470316'!$F$31="","—",IF(ABS(B21-'balance_raw_76470316'!$F$31)&lt;=1,"✓ OK","❌ "&amp;TEXT(B21-'balance_raw_76470316'!$F$31,"+#,##0;-#,##0")&amp;" t.kr."))</f>
        <v/>
      </c>
      <c r="C61" s="29">
        <f>IF('balance_raw_76470316'!$E$31="","—",IF(ABS(C21-'balance_raw_76470316'!$E$31)&lt;=1,"✓ OK","❌ "&amp;TEXT(C21-'balance_raw_76470316'!$E$31,"+#,##0;-#,##0")&amp;" t.kr."))</f>
        <v/>
      </c>
      <c r="D61" s="29">
        <f>IF('balance_raw_76470316'!$D$31="","—",IF(ABS(D21-'balance_raw_76470316'!$D$31)&lt;=1,"✓ OK","❌ "&amp;TEXT(D21-'balance_raw_76470316'!$D$31,"+#,##0;-#,##0")&amp;"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IF('balance_raw_76470316'!$F$54="","—",IF(ABS(B25-'balance_raw_76470316'!$F$54)&lt;=1,"✓ OK","❌ "&amp;TEXT(B25-'balance_raw_76470316'!$F$54,"+#,##0;-#,##0")&amp;" t.kr."))</f>
        <v/>
      </c>
      <c r="C62" s="29">
        <f>IF('balance_raw_76470316'!$E$54="","—",IF(ABS(C25-'balance_raw_76470316'!$E$54)&lt;=1,"✓ OK","❌ "&amp;TEXT(C25-'balance_raw_76470316'!$E$54,"+#,##0;-#,##0")&amp;" t.kr."))</f>
        <v/>
      </c>
      <c r="D62" s="29">
        <f>IF('balance_raw_76470316'!$D$54="","—",IF(ABS(D25-'balance_raw_76470316'!$D$54)&lt;=1,"✓ OK","❌ "&amp;TEXT(D25-'balance_raw_76470316'!$D$54,"+#,##0;-#,##0")&amp;"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IF('res_raw_76470316'!$F$6="","—",IF(ABS(B9-'res_raw_76470316'!$F$6)&lt;=1,"✓ OK","❌ "&amp;TEXT(B9-'res_raw_76470316'!$F$6,"+#,##0;-#,##0")&amp;" t.kr."))</f>
        <v/>
      </c>
      <c r="C64" s="29">
        <f>IF('res_raw_76470316'!$E$6="","—",IF(ABS(C9-'res_raw_76470316'!$E$6)&lt;=1,"✓ OK","❌ "&amp;TEXT(C9-'res_raw_76470316'!$E$6,"+#,##0;-#,##0")&amp;" t.kr."))</f>
        <v/>
      </c>
      <c r="D64" s="29">
        <f>IF('res_raw_76470316'!$D$6="","—",IF(ABS(D9-'res_raw_76470316'!$D$6)&lt;=1,"✓ OK","❌ "&amp;TEXT(D9-'res_raw_76470316'!$D$6,"+#,##0;-#,##0")&amp;"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IF('res_raw_76470316'!$F$11="","—",IF(ABS(B13-'res_raw_76470316'!$F$11)&lt;=1,"✓ OK","❌ "&amp;TEXT(B13-'res_raw_76470316'!$F$11,"+#,##0;-#,##0")&amp;" t.kr."))</f>
        <v/>
      </c>
      <c r="C65" s="29">
        <f>IF('res_raw_76470316'!$E$11="","—",IF(ABS(C13-'res_raw_76470316'!$E$11)&lt;=1,"✓ OK","❌ "&amp;TEXT(C13-'res_raw_76470316'!$E$11,"+#,##0;-#,##0")&amp;" t.kr."))</f>
        <v/>
      </c>
      <c r="D65" s="29">
        <f>IF('res_raw_76470316'!$D$11="","—",IF(ABS(D13-'res_raw_76470316'!$D$11)&lt;=1,"✓ OK","❌ "&amp;TEXT(D13-'res_raw_76470316'!$D$11,"+#,##0;-#,##0")&amp;"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IF('res_raw_76470316'!$F$16="","—",IF(ABS(B16-'res_raw_76470316'!$F$16)&lt;=1,"✓ OK","❌ "&amp;TEXT(B16-'res_raw_76470316'!$F$16,"+#,##0;-#,##0")&amp;" t.kr."))</f>
        <v/>
      </c>
      <c r="C66" s="29">
        <f>IF('res_raw_76470316'!$E$16="","—",IF(ABS(C16-'res_raw_76470316'!$E$16)&lt;=1,"✓ OK","❌ "&amp;TEXT(C16-'res_raw_76470316'!$E$16,"+#,##0;-#,##0")&amp;" t.kr."))</f>
        <v/>
      </c>
      <c r="D66" s="29">
        <f>IF('res_raw_76470316'!$D$16="","—",IF(ABS(D16-'res_raw_76470316'!$D$16)&lt;=1,"✓ OK","❌ "&amp;TEXT(D16-'res_raw_76470316'!$D$16,"+#,##0;-#,##0")&amp;"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Friluftsland A/S (CVR 76470316)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fsa:AdjustmentsForDeferredTaxCashFlow</t>
        </is>
      </c>
      <c r="C3" s="34" t="inlineStr">
        <is>
          <t>fsa:AdjustmentsForDeferredTaxCashFlow</t>
        </is>
      </c>
      <c r="D3" s="35" t="n"/>
      <c r="E3" s="35" t="n">
        <v>229</v>
      </c>
      <c r="F3" s="35" t="n">
        <v>-182</v>
      </c>
      <c r="G3" s="35" t="n">
        <v>-84</v>
      </c>
      <c r="H3" s="35" t="n">
        <v>10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fsa:AdjustmentsOfDividendsFromParticipatingInterests</t>
        </is>
      </c>
      <c r="C4" s="37" t="inlineStr">
        <is>
          <t>fsa:AdjustmentsOfDividendsFromParticipatingInterests</t>
        </is>
      </c>
      <c r="D4" s="38" t="n">
        <v>869</v>
      </c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fsa:AdjustmentsOfExtraordinaryItem</t>
        </is>
      </c>
      <c r="C5" s="34" t="inlineStr">
        <is>
          <t>fsa:AdjustmentsOfExtraordinaryItem</t>
        </is>
      </c>
      <c r="D5" s="35" t="n">
        <v>115</v>
      </c>
      <c r="E5" s="35" t="n"/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fsa:AdjustmentsOfProfitLossFromParticipatingInterestsAfterTax</t>
        </is>
      </c>
      <c r="C6" s="37" t="inlineStr">
        <is>
          <t>fsa:AdjustmentsOfProfitLossFromParticipatingInterestsAfterTax</t>
        </is>
      </c>
      <c r="D6" s="38" t="n">
        <v>0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fsa:AdjustmentsOfShareBasedPayment</t>
        </is>
      </c>
      <c r="C7" s="34" t="inlineStr">
        <is>
          <t>fsa:AdjustmentsOfShareBasedPayment</t>
        </is>
      </c>
      <c r="D7" s="35" t="n">
        <v>1056</v>
      </c>
      <c r="E7" s="35" t="n"/>
      <c r="F7" s="35" t="n"/>
      <c r="G7" s="35" t="n"/>
      <c r="H7" s="35" t="n"/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2026-09-27T21:17:51Z</dcterms:created>
  <dcterms:modified xmlns:dcterms="http://purl.org/dc/terms/" xmlns:xsi="http://www.w3.org/2001/XMLSchema-instance" xsi:type="dcterms:W3CDTF">2026-09-27T21:17:52Z</dcterms:modified>
</cp:coreProperties>
</file>