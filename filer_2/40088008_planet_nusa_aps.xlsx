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0088008" sheetId="1" state="visible" r:id="rId1"/>
    <sheet xmlns:r="http://schemas.openxmlformats.org/officeDocument/2006/relationships" name="res_raw_40088008" sheetId="2" state="visible" r:id="rId2"/>
    <sheet xmlns:r="http://schemas.openxmlformats.org/officeDocument/2006/relationships" name="balance_raw_4008800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Planet Nusa ApS (CVR 40088008)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'res_raw_40088008'!$B$2</f>
        <v/>
      </c>
      <c r="C4" s="5">
        <f>'res_raw_40088008'!$C$2</f>
        <v/>
      </c>
      <c r="D4" s="5">
        <f>'res_raw_40088008'!$D$2</f>
        <v/>
      </c>
      <c r="E4" s="5">
        <f>'res_raw_40088008'!$E$2</f>
        <v/>
      </c>
      <c r="F4" s="5">
        <f>'res_raw_40088008'!$F$2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'res_raw_40088008'!$B$3</f>
        <v/>
      </c>
      <c r="C5" s="8">
        <f>'res_raw_40088008'!$C$3</f>
        <v/>
      </c>
      <c r="D5" s="8">
        <f>'res_raw_40088008'!$D$3</f>
        <v/>
      </c>
      <c r="E5" s="8">
        <f>'res_raw_40088008'!$E$3</f>
        <v/>
      </c>
      <c r="F5" s="8">
        <f>'res_raw_40088008'!$F$3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'res_raw_40088008'!$B$4</f>
        <v/>
      </c>
      <c r="C6" s="5">
        <f>'res_raw_40088008'!$C$4</f>
        <v/>
      </c>
      <c r="D6" s="5">
        <f>'res_raw_40088008'!$D$4</f>
        <v/>
      </c>
      <c r="E6" s="5">
        <f>'res_raw_40088008'!$E$4</f>
        <v/>
      </c>
      <c r="F6" s="5">
        <f>'res_raw_40088008'!$F$4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'res_raw_40088008'!$B$5</f>
        <v/>
      </c>
      <c r="C7" s="8">
        <f>'res_raw_40088008'!$C$5</f>
        <v/>
      </c>
      <c r="D7" s="8">
        <f>'res_raw_40088008'!$D$5</f>
        <v/>
      </c>
      <c r="E7" s="8">
        <f>'res_raw_40088008'!$E$5</f>
        <v/>
      </c>
      <c r="F7" s="8">
        <f>'res_raw_40088008'!$F$5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'res_raw_40088008'!$B$6</f>
        <v/>
      </c>
      <c r="C8" s="11">
        <f>'res_raw_40088008'!$C$6</f>
        <v/>
      </c>
      <c r="D8" s="11">
        <f>'res_raw_40088008'!$D$6</f>
        <v/>
      </c>
      <c r="E8" s="11">
        <f>'res_raw_40088008'!$E$6</f>
        <v/>
      </c>
      <c r="F8" s="11">
        <f>'res_raw_40088008'!$F$6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'res_raw_40088008'!$B$7</f>
        <v/>
      </c>
      <c r="C9" s="8">
        <f>'res_raw_40088008'!$C$7</f>
        <v/>
      </c>
      <c r="D9" s="8">
        <f>'res_raw_40088008'!$D$7</f>
        <v/>
      </c>
      <c r="E9" s="8">
        <f>'res_raw_40088008'!$E$7</f>
        <v/>
      </c>
      <c r="F9" s="8">
        <f>'res_raw_40088008'!$F$7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'res_raw_40088008'!$B$9</f>
        <v/>
      </c>
      <c r="C11" s="8">
        <f>'res_raw_40088008'!$C$9</f>
        <v/>
      </c>
      <c r="D11" s="8">
        <f>'res_raw_40088008'!$D$9</f>
        <v/>
      </c>
      <c r="E11" s="8">
        <f>'res_raw_40088008'!$E$9</f>
        <v/>
      </c>
      <c r="F11" s="8">
        <f>'res_raw_40088008'!$F$9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'res_raw_40088008'!$B$10</f>
        <v/>
      </c>
      <c r="C12" s="5">
        <f>'res_raw_40088008'!$C$10</f>
        <v/>
      </c>
      <c r="D12" s="5">
        <f>'res_raw_40088008'!$D$10</f>
        <v/>
      </c>
      <c r="E12" s="5">
        <f>'res_raw_40088008'!$E$10</f>
        <v/>
      </c>
      <c r="F12" s="5">
        <f>'res_raw_40088008'!$F$10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'res_raw_40088008'!$B$11</f>
        <v/>
      </c>
      <c r="C13" s="11">
        <f>'res_raw_40088008'!$C$11</f>
        <v/>
      </c>
      <c r="D13" s="11">
        <f>'res_raw_40088008'!$D$11</f>
        <v/>
      </c>
      <c r="E13" s="11">
        <f>'res_raw_40088008'!$E$11</f>
        <v/>
      </c>
      <c r="F13" s="11">
        <f>'res_raw_40088008'!$F$11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'res_raw_40088008'!$B$12</f>
        <v/>
      </c>
      <c r="C14" s="5">
        <f>'res_raw_40088008'!$C$12</f>
        <v/>
      </c>
      <c r="D14" s="5">
        <f>'res_raw_40088008'!$D$12</f>
        <v/>
      </c>
      <c r="E14" s="5">
        <f>'res_raw_40088008'!$E$12</f>
        <v/>
      </c>
      <c r="F14" s="5">
        <f>'res_raw_40088008'!$F$12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'res_raw_40088008'!$B$13</f>
        <v/>
      </c>
      <c r="C15" s="8">
        <f>'res_raw_40088008'!$C$13</f>
        <v/>
      </c>
      <c r="D15" s="8">
        <f>'res_raw_40088008'!$D$13</f>
        <v/>
      </c>
      <c r="E15" s="8">
        <f>'res_raw_40088008'!$E$13</f>
        <v/>
      </c>
      <c r="F15" s="8">
        <f>'res_raw_40088008'!$F$13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'res_raw_40088008'!$B$14</f>
        <v/>
      </c>
      <c r="C16" s="5">
        <f>'res_raw_40088008'!$C$14</f>
        <v/>
      </c>
      <c r="D16" s="5">
        <f>'res_raw_40088008'!$D$14</f>
        <v/>
      </c>
      <c r="E16" s="5">
        <f>'res_raw_40088008'!$E$14</f>
        <v/>
      </c>
      <c r="F16" s="5">
        <f>'res_raw_40088008'!$F$14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'res_raw_40088008'!$B$15</f>
        <v/>
      </c>
      <c r="C17" s="11">
        <f>'res_raw_40088008'!$C$15</f>
        <v/>
      </c>
      <c r="D17" s="11">
        <f>'res_raw_40088008'!$D$15</f>
        <v/>
      </c>
      <c r="E17" s="11">
        <f>'res_raw_40088008'!$E$15</f>
        <v/>
      </c>
      <c r="F17" s="11">
        <f>'res_raw_40088008'!$F$15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'res_raw_40088008'!$B$16</f>
        <v/>
      </c>
      <c r="C18" s="11">
        <f>'res_raw_40088008'!$C$16</f>
        <v/>
      </c>
      <c r="D18" s="11">
        <f>'res_raw_40088008'!$D$16</f>
        <v/>
      </c>
      <c r="E18" s="11">
        <f>'res_raw_40088008'!$E$16</f>
        <v/>
      </c>
      <c r="F18" s="11">
        <f>'res_raw_40088008'!$F$16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'res_raw_40088008'!$B$17</f>
        <v/>
      </c>
      <c r="C19" s="8">
        <f>'res_raw_40088008'!$C$17</f>
        <v/>
      </c>
      <c r="D19" s="8">
        <f>'res_raw_40088008'!$D$17</f>
        <v/>
      </c>
      <c r="E19" s="8">
        <f>'res_raw_40088008'!$E$17</f>
        <v/>
      </c>
      <c r="F19" s="8">
        <f>'res_raw_40088008'!$F$17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'res_raw_40088008'!$B$18</f>
        <v/>
      </c>
      <c r="C20" s="11">
        <f>'res_raw_40088008'!$C$18</f>
        <v/>
      </c>
      <c r="D20" s="11">
        <f>'res_raw_40088008'!$D$18</f>
        <v/>
      </c>
      <c r="E20" s="11">
        <f>'res_raw_40088008'!$E$18</f>
        <v/>
      </c>
      <c r="F20" s="11">
        <f>'res_raw_40088008'!$F$18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'balance_raw_40088008'!$B$2</f>
        <v/>
      </c>
      <c r="C23" s="8">
        <f>'balance_raw_40088008'!$C$2</f>
        <v/>
      </c>
      <c r="D23" s="8">
        <f>'balance_raw_40088008'!$D$2</f>
        <v/>
      </c>
      <c r="E23" s="8">
        <f>'balance_raw_40088008'!$E$2</f>
        <v/>
      </c>
      <c r="F23" s="8">
        <f>'balance_raw_40088008'!$F$2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'balance_raw_40088008'!$B$3</f>
        <v/>
      </c>
      <c r="C24" s="5">
        <f>'balance_raw_40088008'!$C$3</f>
        <v/>
      </c>
      <c r="D24" s="5">
        <f>'balance_raw_40088008'!$D$3</f>
        <v/>
      </c>
      <c r="E24" s="5">
        <f>'balance_raw_40088008'!$E$3</f>
        <v/>
      </c>
      <c r="F24" s="5">
        <f>'balance_raw_40088008'!$F$3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'balance_raw_40088008'!$B$4</f>
        <v/>
      </c>
      <c r="C25" s="8">
        <f>'balance_raw_40088008'!$C$4</f>
        <v/>
      </c>
      <c r="D25" s="8">
        <f>'balance_raw_40088008'!$D$4</f>
        <v/>
      </c>
      <c r="E25" s="8">
        <f>'balance_raw_40088008'!$E$4</f>
        <v/>
      </c>
      <c r="F25" s="8">
        <f>'balance_raw_40088008'!$F$4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'balance_raw_40088008'!$B$5</f>
        <v/>
      </c>
      <c r="C26" s="5">
        <f>'balance_raw_40088008'!$C$5</f>
        <v/>
      </c>
      <c r="D26" s="5">
        <f>'balance_raw_40088008'!$D$5</f>
        <v/>
      </c>
      <c r="E26" s="5">
        <f>'balance_raw_40088008'!$E$5</f>
        <v/>
      </c>
      <c r="F26" s="5">
        <f>'balance_raw_40088008'!$F$5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'balance_raw_40088008'!$B$6</f>
        <v/>
      </c>
      <c r="C27" s="8">
        <f>'balance_raw_40088008'!$C$6</f>
        <v/>
      </c>
      <c r="D27" s="8">
        <f>'balance_raw_40088008'!$D$6</f>
        <v/>
      </c>
      <c r="E27" s="8">
        <f>'balance_raw_40088008'!$E$6</f>
        <v/>
      </c>
      <c r="F27" s="8">
        <f>'balance_raw_40088008'!$F$6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'balance_raw_40088008'!$B$7</f>
        <v/>
      </c>
      <c r="C28" s="11">
        <f>'balance_raw_40088008'!$C$7</f>
        <v/>
      </c>
      <c r="D28" s="11">
        <f>'balance_raw_40088008'!$D$7</f>
        <v/>
      </c>
      <c r="E28" s="11">
        <f>'balance_raw_40088008'!$E$7</f>
        <v/>
      </c>
      <c r="F28" s="11">
        <f>'balance_raw_40088008'!$F$7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'balance_raw_40088008'!$B$8</f>
        <v/>
      </c>
      <c r="C29" s="8">
        <f>'balance_raw_40088008'!$C$8</f>
        <v/>
      </c>
      <c r="D29" s="8">
        <f>'balance_raw_40088008'!$D$8</f>
        <v/>
      </c>
      <c r="E29" s="8">
        <f>'balance_raw_40088008'!$E$8</f>
        <v/>
      </c>
      <c r="F29" s="8">
        <f>'balance_raw_40088008'!$F$8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'balance_raw_40088008'!$B$9</f>
        <v/>
      </c>
      <c r="C30" s="5">
        <f>'balance_raw_40088008'!$C$9</f>
        <v/>
      </c>
      <c r="D30" s="5">
        <f>'balance_raw_40088008'!$D$9</f>
        <v/>
      </c>
      <c r="E30" s="5">
        <f>'balance_raw_40088008'!$E$9</f>
        <v/>
      </c>
      <c r="F30" s="5">
        <f>'balance_raw_40088008'!$F$9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'balance_raw_40088008'!$B$10</f>
        <v/>
      </c>
      <c r="C31" s="11">
        <f>'balance_raw_40088008'!$C$10</f>
        <v/>
      </c>
      <c r="D31" s="11">
        <f>'balance_raw_40088008'!$D$10</f>
        <v/>
      </c>
      <c r="E31" s="11">
        <f>'balance_raw_40088008'!$E$10</f>
        <v/>
      </c>
      <c r="F31" s="11">
        <f>'balance_raw_40088008'!$F$10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'balance_raw_40088008'!$B$11</f>
        <v/>
      </c>
      <c r="C32" s="11">
        <f>'balance_raw_40088008'!$C$11</f>
        <v/>
      </c>
      <c r="D32" s="11">
        <f>'balance_raw_40088008'!$D$11</f>
        <v/>
      </c>
      <c r="E32" s="11">
        <f>'balance_raw_40088008'!$E$11</f>
        <v/>
      </c>
      <c r="F32" s="11">
        <f>'balance_raw_40088008'!$F$11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'balance_raw_40088008'!$B$12</f>
        <v/>
      </c>
      <c r="C33" s="8">
        <f>'balance_raw_40088008'!$C$12</f>
        <v/>
      </c>
      <c r="D33" s="8">
        <f>'balance_raw_40088008'!$D$12</f>
        <v/>
      </c>
      <c r="E33" s="8">
        <f>'balance_raw_40088008'!$E$12</f>
        <v/>
      </c>
      <c r="F33" s="8">
        <f>'balance_raw_40088008'!$F$12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'balance_raw_40088008'!$B$13</f>
        <v/>
      </c>
      <c r="C34" s="5">
        <f>'balance_raw_40088008'!$C$13</f>
        <v/>
      </c>
      <c r="D34" s="5">
        <f>'balance_raw_40088008'!$D$13</f>
        <v/>
      </c>
      <c r="E34" s="5">
        <f>'balance_raw_40088008'!$E$13</f>
        <v/>
      </c>
      <c r="F34" s="5">
        <f>'balance_raw_40088008'!$F$13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'balance_raw_40088008'!$B$14</f>
        <v/>
      </c>
      <c r="C35" s="8">
        <f>'balance_raw_40088008'!$C$14</f>
        <v/>
      </c>
      <c r="D35" s="8">
        <f>'balance_raw_40088008'!$D$14</f>
        <v/>
      </c>
      <c r="E35" s="8">
        <f>'balance_raw_40088008'!$E$14</f>
        <v/>
      </c>
      <c r="F35" s="8">
        <f>'balance_raw_40088008'!$F$14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'balance_raw_40088008'!$B$15</f>
        <v/>
      </c>
      <c r="C36" s="11">
        <f>'balance_raw_40088008'!$C$15</f>
        <v/>
      </c>
      <c r="D36" s="11">
        <f>'balance_raw_40088008'!$D$15</f>
        <v/>
      </c>
      <c r="E36" s="11">
        <f>'balance_raw_40088008'!$E$15</f>
        <v/>
      </c>
      <c r="F36" s="11">
        <f>'balance_raw_40088008'!$F$15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'balance_raw_40088008'!$B$16</f>
        <v/>
      </c>
      <c r="C37" s="8">
        <f>'balance_raw_40088008'!$C$16</f>
        <v/>
      </c>
      <c r="D37" s="8">
        <f>'balance_raw_40088008'!$D$16</f>
        <v/>
      </c>
      <c r="E37" s="8">
        <f>'balance_raw_40088008'!$E$16</f>
        <v/>
      </c>
      <c r="F37" s="8">
        <f>'balance_raw_40088008'!$F$16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'balance_raw_40088008'!$B$17</f>
        <v/>
      </c>
      <c r="C38" s="5">
        <f>'balance_raw_40088008'!$C$17</f>
        <v/>
      </c>
      <c r="D38" s="5">
        <f>'balance_raw_40088008'!$D$17</f>
        <v/>
      </c>
      <c r="E38" s="5">
        <f>'balance_raw_40088008'!$E$17</f>
        <v/>
      </c>
      <c r="F38" s="5">
        <f>'balance_raw_40088008'!$F$17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'balance_raw_40088008'!$B$18</f>
        <v/>
      </c>
      <c r="C39" s="8">
        <f>'balance_raw_40088008'!$C$18</f>
        <v/>
      </c>
      <c r="D39" s="8">
        <f>'balance_raw_40088008'!$D$18</f>
        <v/>
      </c>
      <c r="E39" s="8">
        <f>'balance_raw_40088008'!$E$18</f>
        <v/>
      </c>
      <c r="F39" s="8">
        <f>'balance_raw_40088008'!$F$18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'balance_raw_40088008'!$B$19</f>
        <v/>
      </c>
      <c r="C40" s="5">
        <f>'balance_raw_40088008'!$C$19</f>
        <v/>
      </c>
      <c r="D40" s="5">
        <f>'balance_raw_40088008'!$D$19</f>
        <v/>
      </c>
      <c r="E40" s="5">
        <f>'balance_raw_40088008'!$E$19</f>
        <v/>
      </c>
      <c r="F40" s="5">
        <f>'balance_raw_40088008'!$F$19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'balance_raw_40088008'!$B$20</f>
        <v/>
      </c>
      <c r="C41" s="8">
        <f>'balance_raw_40088008'!$C$20</f>
        <v/>
      </c>
      <c r="D41" s="8">
        <f>'balance_raw_40088008'!$D$20</f>
        <v/>
      </c>
      <c r="E41" s="8">
        <f>'balance_raw_40088008'!$E$20</f>
        <v/>
      </c>
      <c r="F41" s="8">
        <f>'balance_raw_40088008'!$F$20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'balance_raw_40088008'!$B$21</f>
        <v/>
      </c>
      <c r="C42" s="5">
        <f>'balance_raw_40088008'!$C$21</f>
        <v/>
      </c>
      <c r="D42" s="5">
        <f>'balance_raw_40088008'!$D$21</f>
        <v/>
      </c>
      <c r="E42" s="5">
        <f>'balance_raw_40088008'!$E$21</f>
        <v/>
      </c>
      <c r="F42" s="5">
        <f>'balance_raw_40088008'!$F$21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'balance_raw_40088008'!$B$22</f>
        <v/>
      </c>
      <c r="C43" s="8">
        <f>'balance_raw_40088008'!$C$22</f>
        <v/>
      </c>
      <c r="D43" s="8">
        <f>'balance_raw_40088008'!$D$22</f>
        <v/>
      </c>
      <c r="E43" s="8">
        <f>'balance_raw_40088008'!$E$22</f>
        <v/>
      </c>
      <c r="F43" s="8">
        <f>'balance_raw_40088008'!$F$22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'balance_raw_40088008'!$B$23</f>
        <v/>
      </c>
      <c r="C44" s="11">
        <f>'balance_raw_40088008'!$C$23</f>
        <v/>
      </c>
      <c r="D44" s="11">
        <f>'balance_raw_40088008'!$D$23</f>
        <v/>
      </c>
      <c r="E44" s="11">
        <f>'balance_raw_40088008'!$E$23</f>
        <v/>
      </c>
      <c r="F44" s="11">
        <f>'balance_raw_40088008'!$F$23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'balance_raw_40088008'!$B$24</f>
        <v/>
      </c>
      <c r="C45" s="8">
        <f>'balance_raw_40088008'!$C$24</f>
        <v/>
      </c>
      <c r="D45" s="8">
        <f>'balance_raw_40088008'!$D$24</f>
        <v/>
      </c>
      <c r="E45" s="8">
        <f>'balance_raw_40088008'!$E$24</f>
        <v/>
      </c>
      <c r="F45" s="8">
        <f>'balance_raw_40088008'!$F$24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'balance_raw_40088008'!$B$25</f>
        <v/>
      </c>
      <c r="C46" s="5">
        <f>'balance_raw_40088008'!$C$25</f>
        <v/>
      </c>
      <c r="D46" s="5">
        <f>'balance_raw_40088008'!$D$25</f>
        <v/>
      </c>
      <c r="E46" s="5">
        <f>'balance_raw_40088008'!$E$25</f>
        <v/>
      </c>
      <c r="F46" s="5">
        <f>'balance_raw_40088008'!$F$25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'balance_raw_40088008'!$B$26</f>
        <v/>
      </c>
      <c r="C47" s="11">
        <f>'balance_raw_40088008'!$C$26</f>
        <v/>
      </c>
      <c r="D47" s="11">
        <f>'balance_raw_40088008'!$D$26</f>
        <v/>
      </c>
      <c r="E47" s="11">
        <f>'balance_raw_40088008'!$E$26</f>
        <v/>
      </c>
      <c r="F47" s="11">
        <f>'balance_raw_40088008'!$F$26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'balance_raw_40088008'!$B$27</f>
        <v/>
      </c>
      <c r="C48" s="11">
        <f>'balance_raw_40088008'!$C$27</f>
        <v/>
      </c>
      <c r="D48" s="11">
        <f>'balance_raw_40088008'!$D$27</f>
        <v/>
      </c>
      <c r="E48" s="11">
        <f>'balance_raw_40088008'!$E$27</f>
        <v/>
      </c>
      <c r="F48" s="11">
        <f>'balance_raw_40088008'!$F$27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'balance_raw_40088008'!$B$28</f>
        <v/>
      </c>
      <c r="C51" s="8">
        <f>'balance_raw_40088008'!$C$28</f>
        <v/>
      </c>
      <c r="D51" s="8">
        <f>'balance_raw_40088008'!$D$28</f>
        <v/>
      </c>
      <c r="E51" s="8">
        <f>'balance_raw_40088008'!$E$28</f>
        <v/>
      </c>
      <c r="F51" s="8">
        <f>'balance_raw_40088008'!$F$28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'balance_raw_40088008'!$B$29</f>
        <v/>
      </c>
      <c r="C52" s="5">
        <f>'balance_raw_40088008'!$C$29</f>
        <v/>
      </c>
      <c r="D52" s="5">
        <f>'balance_raw_40088008'!$D$29</f>
        <v/>
      </c>
      <c r="E52" s="5">
        <f>'balance_raw_40088008'!$E$29</f>
        <v/>
      </c>
      <c r="F52" s="5">
        <f>'balance_raw_40088008'!$F$29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'balance_raw_40088008'!$B$30</f>
        <v/>
      </c>
      <c r="C53" s="8">
        <f>'balance_raw_40088008'!$C$30</f>
        <v/>
      </c>
      <c r="D53" s="8">
        <f>'balance_raw_40088008'!$D$30</f>
        <v/>
      </c>
      <c r="E53" s="8">
        <f>'balance_raw_40088008'!$E$30</f>
        <v/>
      </c>
      <c r="F53" s="8">
        <f>'balance_raw_40088008'!$F$30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'balance_raw_40088008'!$B$31</f>
        <v/>
      </c>
      <c r="C54" s="5">
        <f>'balance_raw_40088008'!$C$31</f>
        <v/>
      </c>
      <c r="D54" s="5">
        <f>'balance_raw_40088008'!$D$31</f>
        <v/>
      </c>
      <c r="E54" s="5">
        <f>'balance_raw_40088008'!$E$31</f>
        <v/>
      </c>
      <c r="F54" s="5">
        <f>'balance_raw_40088008'!$F$31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'balance_raw_40088008'!$B$32</f>
        <v/>
      </c>
      <c r="C55" s="8">
        <f>'balance_raw_40088008'!$C$32</f>
        <v/>
      </c>
      <c r="D55" s="8">
        <f>'balance_raw_40088008'!$D$32</f>
        <v/>
      </c>
      <c r="E55" s="8">
        <f>'balance_raw_40088008'!$E$32</f>
        <v/>
      </c>
      <c r="F55" s="8">
        <f>'balance_raw_40088008'!$F$32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'balance_raw_40088008'!$B$33</f>
        <v/>
      </c>
      <c r="C56" s="5">
        <f>'balance_raw_40088008'!$C$33</f>
        <v/>
      </c>
      <c r="D56" s="5">
        <f>'balance_raw_40088008'!$D$33</f>
        <v/>
      </c>
      <c r="E56" s="5">
        <f>'balance_raw_40088008'!$E$33</f>
        <v/>
      </c>
      <c r="F56" s="5">
        <f>'balance_raw_40088008'!$F$33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'balance_raw_40088008'!$B$34</f>
        <v/>
      </c>
      <c r="C57" s="11">
        <f>'balance_raw_40088008'!$C$34</f>
        <v/>
      </c>
      <c r="D57" s="11">
        <f>'balance_raw_40088008'!$D$34</f>
        <v/>
      </c>
      <c r="E57" s="11">
        <f>'balance_raw_40088008'!$E$34</f>
        <v/>
      </c>
      <c r="F57" s="11">
        <f>'balance_raw_40088008'!$F$34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'balance_raw_40088008'!$B$35</f>
        <v/>
      </c>
      <c r="C58" s="5">
        <f>'balance_raw_40088008'!$C$35</f>
        <v/>
      </c>
      <c r="D58" s="5">
        <f>'balance_raw_40088008'!$D$35</f>
        <v/>
      </c>
      <c r="E58" s="5">
        <f>'balance_raw_40088008'!$E$35</f>
        <v/>
      </c>
      <c r="F58" s="5">
        <f>'balance_raw_40088008'!$F$35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'balance_raw_40088008'!$B$36</f>
        <v/>
      </c>
      <c r="C59" s="11">
        <f>'balance_raw_40088008'!$C$36</f>
        <v/>
      </c>
      <c r="D59" s="11">
        <f>'balance_raw_40088008'!$D$36</f>
        <v/>
      </c>
      <c r="E59" s="11">
        <f>'balance_raw_40088008'!$E$36</f>
        <v/>
      </c>
      <c r="F59" s="11">
        <f>'balance_raw_40088008'!$F$36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'balance_raw_40088008'!$B$37</f>
        <v/>
      </c>
      <c r="C60" s="5">
        <f>'balance_raw_40088008'!$C$37</f>
        <v/>
      </c>
      <c r="D60" s="5">
        <f>'balance_raw_40088008'!$D$37</f>
        <v/>
      </c>
      <c r="E60" s="5">
        <f>'balance_raw_40088008'!$E$37</f>
        <v/>
      </c>
      <c r="F60" s="5">
        <f>'balance_raw_40088008'!$F$37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'balance_raw_40088008'!$B$38</f>
        <v/>
      </c>
      <c r="C61" s="8">
        <f>'balance_raw_40088008'!$C$38</f>
        <v/>
      </c>
      <c r="D61" s="8">
        <f>'balance_raw_40088008'!$D$38</f>
        <v/>
      </c>
      <c r="E61" s="8">
        <f>'balance_raw_40088008'!$E$38</f>
        <v/>
      </c>
      <c r="F61" s="8">
        <f>'balance_raw_40088008'!$F$38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'balance_raw_40088008'!$B$39</f>
        <v/>
      </c>
      <c r="C62" s="5">
        <f>'balance_raw_40088008'!$C$39</f>
        <v/>
      </c>
      <c r="D62" s="5">
        <f>'balance_raw_40088008'!$D$39</f>
        <v/>
      </c>
      <c r="E62" s="5">
        <f>'balance_raw_40088008'!$E$39</f>
        <v/>
      </c>
      <c r="F62" s="5">
        <f>'balance_raw_40088008'!$F$39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'balance_raw_40088008'!$B$40</f>
        <v/>
      </c>
      <c r="C63" s="8">
        <f>'balance_raw_40088008'!$C$40</f>
        <v/>
      </c>
      <c r="D63" s="8">
        <f>'balance_raw_40088008'!$D$40</f>
        <v/>
      </c>
      <c r="E63" s="8">
        <f>'balance_raw_40088008'!$E$40</f>
        <v/>
      </c>
      <c r="F63" s="8">
        <f>'balance_raw_40088008'!$F$40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'balance_raw_40088008'!$B$41</f>
        <v/>
      </c>
      <c r="C64" s="11">
        <f>'balance_raw_40088008'!$C$41</f>
        <v/>
      </c>
      <c r="D64" s="11">
        <f>'balance_raw_40088008'!$D$41</f>
        <v/>
      </c>
      <c r="E64" s="11">
        <f>'balance_raw_40088008'!$E$41</f>
        <v/>
      </c>
      <c r="F64" s="11">
        <f>'balance_raw_40088008'!$F$41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'balance_raw_40088008'!$B$42</f>
        <v/>
      </c>
      <c r="C65" s="8">
        <f>'balance_raw_40088008'!$C$42</f>
        <v/>
      </c>
      <c r="D65" s="8">
        <f>'balance_raw_40088008'!$D$42</f>
        <v/>
      </c>
      <c r="E65" s="8">
        <f>'balance_raw_40088008'!$E$42</f>
        <v/>
      </c>
      <c r="F65" s="8">
        <f>'balance_raw_40088008'!$F$42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'balance_raw_40088008'!$B$43</f>
        <v/>
      </c>
      <c r="C66" s="5">
        <f>'balance_raw_40088008'!$C$43</f>
        <v/>
      </c>
      <c r="D66" s="5">
        <f>'balance_raw_40088008'!$D$43</f>
        <v/>
      </c>
      <c r="E66" s="5">
        <f>'balance_raw_40088008'!$E$43</f>
        <v/>
      </c>
      <c r="F66" s="5">
        <f>'balance_raw_40088008'!$F$43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'balance_raw_40088008'!$B$44</f>
        <v/>
      </c>
      <c r="C67" s="8">
        <f>'balance_raw_40088008'!$C$44</f>
        <v/>
      </c>
      <c r="D67" s="8">
        <f>'balance_raw_40088008'!$D$44</f>
        <v/>
      </c>
      <c r="E67" s="8">
        <f>'balance_raw_40088008'!$E$44</f>
        <v/>
      </c>
      <c r="F67" s="8">
        <f>'balance_raw_40088008'!$F$44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'balance_raw_40088008'!$B$45</f>
        <v/>
      </c>
      <c r="C68" s="5">
        <f>'balance_raw_40088008'!$C$45</f>
        <v/>
      </c>
      <c r="D68" s="5">
        <f>'balance_raw_40088008'!$D$45</f>
        <v/>
      </c>
      <c r="E68" s="5">
        <f>'balance_raw_40088008'!$E$45</f>
        <v/>
      </c>
      <c r="F68" s="5">
        <f>'balance_raw_40088008'!$F$45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'balance_raw_40088008'!$B$46</f>
        <v/>
      </c>
      <c r="C69" s="8">
        <f>'balance_raw_40088008'!$C$46</f>
        <v/>
      </c>
      <c r="D69" s="8">
        <f>'balance_raw_40088008'!$D$46</f>
        <v/>
      </c>
      <c r="E69" s="8">
        <f>'balance_raw_40088008'!$E$46</f>
        <v/>
      </c>
      <c r="F69" s="8">
        <f>'balance_raw_40088008'!$F$46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'balance_raw_40088008'!$B$47</f>
        <v/>
      </c>
      <c r="C70" s="5">
        <f>'balance_raw_40088008'!$C$47</f>
        <v/>
      </c>
      <c r="D70" s="5">
        <f>'balance_raw_40088008'!$D$47</f>
        <v/>
      </c>
      <c r="E70" s="5">
        <f>'balance_raw_40088008'!$E$47</f>
        <v/>
      </c>
      <c r="F70" s="5">
        <f>'balance_raw_40088008'!$F$47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'balance_raw_40088008'!$B$48</f>
        <v/>
      </c>
      <c r="C71" s="8">
        <f>'balance_raw_40088008'!$C$48</f>
        <v/>
      </c>
      <c r="D71" s="8">
        <f>'balance_raw_40088008'!$D$48</f>
        <v/>
      </c>
      <c r="E71" s="8">
        <f>'balance_raw_40088008'!$E$48</f>
        <v/>
      </c>
      <c r="F71" s="8">
        <f>'balance_raw_40088008'!$F$48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'balance_raw_40088008'!$B$49</f>
        <v/>
      </c>
      <c r="C72" s="5">
        <f>'balance_raw_40088008'!$C$49</f>
        <v/>
      </c>
      <c r="D72" s="5">
        <f>'balance_raw_40088008'!$D$49</f>
        <v/>
      </c>
      <c r="E72" s="5">
        <f>'balance_raw_40088008'!$E$49</f>
        <v/>
      </c>
      <c r="F72" s="5">
        <f>'balance_raw_40088008'!$F$49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'balance_raw_40088008'!$B$50</f>
        <v/>
      </c>
      <c r="C73" s="8">
        <f>'balance_raw_40088008'!$C$50</f>
        <v/>
      </c>
      <c r="D73" s="8">
        <f>'balance_raw_40088008'!$D$50</f>
        <v/>
      </c>
      <c r="E73" s="8">
        <f>'balance_raw_40088008'!$E$50</f>
        <v/>
      </c>
      <c r="F73" s="8">
        <f>'balance_raw_40088008'!$F$50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'balance_raw_40088008'!$B$51</f>
        <v/>
      </c>
      <c r="C74" s="5">
        <f>'balance_raw_40088008'!$C$51</f>
        <v/>
      </c>
      <c r="D74" s="5">
        <f>'balance_raw_40088008'!$D$51</f>
        <v/>
      </c>
      <c r="E74" s="5">
        <f>'balance_raw_40088008'!$E$51</f>
        <v/>
      </c>
      <c r="F74" s="5">
        <f>'balance_raw_40088008'!$F$51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'balance_raw_40088008'!$B$52</f>
        <v/>
      </c>
      <c r="C75" s="8">
        <f>'balance_raw_40088008'!$C$52</f>
        <v/>
      </c>
      <c r="D75" s="8">
        <f>'balance_raw_40088008'!$D$52</f>
        <v/>
      </c>
      <c r="E75" s="8">
        <f>'balance_raw_40088008'!$E$52</f>
        <v/>
      </c>
      <c r="F75" s="8">
        <f>'balance_raw_40088008'!$F$52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'balance_raw_40088008'!$B$53</f>
        <v/>
      </c>
      <c r="C76" s="11">
        <f>'balance_raw_40088008'!$C$53</f>
        <v/>
      </c>
      <c r="D76" s="11">
        <f>'balance_raw_40088008'!$D$53</f>
        <v/>
      </c>
      <c r="E76" s="11">
        <f>'balance_raw_40088008'!$E$53</f>
        <v/>
      </c>
      <c r="F76" s="11">
        <f>'balance_raw_40088008'!$F$53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'balance_raw_40088008'!$B$54</f>
        <v/>
      </c>
      <c r="C77" s="11">
        <f>'balance_raw_40088008'!$C$54</f>
        <v/>
      </c>
      <c r="D77" s="11">
        <f>'balance_raw_40088008'!$D$54</f>
        <v/>
      </c>
      <c r="E77" s="11">
        <f>'balance_raw_40088008'!$E$54</f>
        <v/>
      </c>
      <c r="F77" s="11">
        <f>'balance_raw_40088008'!$F$54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'balance_raw_40088008'!$B$55</f>
        <v/>
      </c>
      <c r="C78" s="11">
        <f>'balance_raw_40088008'!$C$55</f>
        <v/>
      </c>
      <c r="D78" s="11">
        <f>'balance_raw_40088008'!$D$55</f>
        <v/>
      </c>
      <c r="E78" s="11">
        <f>'balance_raw_40088008'!$E$55</f>
        <v/>
      </c>
      <c r="F78" s="11">
        <f>'balance_raw_40088008'!$F$55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'res_raw_40088008'!$B$19</f>
        <v/>
      </c>
      <c r="C81" s="8">
        <f>'res_raw_40088008'!$C$19</f>
        <v/>
      </c>
      <c r="D81" s="8">
        <f>'res_raw_40088008'!$D$19</f>
        <v/>
      </c>
      <c r="E81" s="8">
        <f>'res_raw_40088008'!$E$19</f>
        <v/>
      </c>
      <c r="F81" s="8">
        <f>'res_raw_40088008'!$F$19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'res_raw_40088008'!$B$20</f>
        <v/>
      </c>
      <c r="C82" s="5">
        <f>'res_raw_40088008'!$C$20</f>
        <v/>
      </c>
      <c r="D82" s="5">
        <f>'res_raw_40088008'!$D$20</f>
        <v/>
      </c>
      <c r="E82" s="5">
        <f>'res_raw_40088008'!$E$20</f>
        <v/>
      </c>
      <c r="F82" s="5">
        <f>'res_raw_40088008'!$F$20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  <c r="F87" s="13">
        <f>IFERROR($F$8/$F$48,"")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Planet Nusa ApS (CVR 40088008)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4054</v>
      </c>
      <c r="C6" s="16" t="n">
        <v>10000</v>
      </c>
      <c r="D6" s="16" t="n">
        <v>18218</v>
      </c>
      <c r="E6" s="16" t="n">
        <v>28127</v>
      </c>
      <c r="F6" s="16" t="n">
        <v>15443</v>
      </c>
    </row>
    <row r="7">
      <c r="A7" s="15" t="inlineStr">
        <is>
          <t>Personaleomkostninger</t>
        </is>
      </c>
      <c r="B7" s="16" t="n">
        <v>2010</v>
      </c>
      <c r="C7" s="16" t="n">
        <v>4684</v>
      </c>
      <c r="D7" s="16" t="n">
        <v>13932</v>
      </c>
      <c r="E7" s="16" t="n">
        <v>25741</v>
      </c>
      <c r="F7" s="16" t="n">
        <v>26469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</v>
      </c>
      <c r="C9" s="16" t="n">
        <v>46</v>
      </c>
      <c r="D9" s="16" t="n">
        <v>263</v>
      </c>
      <c r="E9" s="16" t="n">
        <v>787</v>
      </c>
      <c r="F9" s="16" t="n">
        <v>834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2038</v>
      </c>
      <c r="C11" s="16" t="n">
        <v>5270</v>
      </c>
      <c r="D11" s="16" t="n">
        <v>4022</v>
      </c>
      <c r="E11" s="16" t="n">
        <v>1598</v>
      </c>
      <c r="F11" s="16" t="n">
        <v>-11860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1</v>
      </c>
      <c r="E13" s="16" t="n">
        <v>0</v>
      </c>
      <c r="F13" s="16" t="n">
        <v>60</v>
      </c>
    </row>
    <row r="14">
      <c r="A14" s="15" t="inlineStr">
        <is>
          <t>Finansielle omkostninger</t>
        </is>
      </c>
      <c r="B14" s="16" t="n">
        <v>35</v>
      </c>
      <c r="C14" s="16" t="n">
        <v>74</v>
      </c>
      <c r="D14" s="16" t="n">
        <v>198</v>
      </c>
      <c r="E14" s="16" t="n">
        <v>847</v>
      </c>
      <c r="F14" s="16" t="n">
        <v>873</v>
      </c>
    </row>
    <row r="15">
      <c r="A15" s="17" t="inlineStr">
        <is>
          <t>Finansielle poster, netto</t>
        </is>
      </c>
      <c r="B15" s="16" t="n">
        <v>-35</v>
      </c>
      <c r="C15" s="16" t="n">
        <v>-74</v>
      </c>
      <c r="D15" s="16" t="n">
        <v>-197</v>
      </c>
      <c r="E15" s="16" t="n">
        <v>-847</v>
      </c>
      <c r="F15" s="16" t="n">
        <v>-813</v>
      </c>
    </row>
    <row r="16">
      <c r="A16" s="17" t="inlineStr">
        <is>
          <t>Resultat før skat</t>
        </is>
      </c>
      <c r="B16" s="16" t="n">
        <v>2003</v>
      </c>
      <c r="C16" s="16" t="n">
        <v>5197</v>
      </c>
      <c r="D16" s="16" t="n">
        <v>3825</v>
      </c>
      <c r="E16" s="16" t="n">
        <v>751</v>
      </c>
      <c r="F16" s="16" t="n">
        <v>-12674</v>
      </c>
    </row>
    <row r="17">
      <c r="A17" s="15" t="inlineStr">
        <is>
          <t>Skat af årets resultat</t>
        </is>
      </c>
      <c r="B17" s="16" t="n">
        <v>456</v>
      </c>
      <c r="C17" s="16" t="n">
        <v>1160</v>
      </c>
      <c r="D17" s="16" t="n">
        <v>887</v>
      </c>
      <c r="E17" s="16" t="n">
        <v>240</v>
      </c>
      <c r="F17" s="16" t="n">
        <v>-99</v>
      </c>
    </row>
    <row r="18">
      <c r="A18" s="17" t="inlineStr">
        <is>
          <t>Årets resultat</t>
        </is>
      </c>
      <c r="B18" s="16" t="n">
        <v>1546</v>
      </c>
      <c r="C18" s="16" t="n">
        <v>4036</v>
      </c>
      <c r="D18" s="16" t="n">
        <v>2938</v>
      </c>
      <c r="E18" s="16" t="n">
        <v>511</v>
      </c>
      <c r="F18" s="16" t="n">
        <v>-12575</v>
      </c>
    </row>
    <row r="19">
      <c r="A19" s="15" t="inlineStr">
        <is>
          <t>Gns. antal medarbejdere</t>
        </is>
      </c>
      <c r="B19" s="16" t="n">
        <v>6</v>
      </c>
      <c r="C19" s="16" t="n">
        <v>11</v>
      </c>
      <c r="D19" s="16" t="n">
        <v>29</v>
      </c>
      <c r="E19" s="16" t="n">
        <v>59</v>
      </c>
      <c r="F19" s="16" t="n">
        <v>56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Planet Nusa ApS (CVR 40088008)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>
        <v>435</v>
      </c>
      <c r="D4" s="16" t="n">
        <v>2772</v>
      </c>
      <c r="E4" s="16" t="n">
        <v>2887</v>
      </c>
      <c r="F4" s="16" t="n">
        <v>2053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0</v>
      </c>
      <c r="C7" s="16" t="n">
        <v>435</v>
      </c>
      <c r="D7" s="16" t="n">
        <v>2772</v>
      </c>
      <c r="E7" s="16" t="n">
        <v>2887</v>
      </c>
      <c r="F7" s="16" t="n">
        <v>2053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>
        <v>40</v>
      </c>
      <c r="F8" s="16" t="n">
        <v>40</v>
      </c>
    </row>
    <row r="9">
      <c r="A9" s="15" t="inlineStr">
        <is>
          <t>Deposita</t>
        </is>
      </c>
      <c r="B9" s="16" t="n">
        <v>88</v>
      </c>
      <c r="C9" s="16" t="n">
        <v>355</v>
      </c>
      <c r="D9" s="16" t="n">
        <v>665</v>
      </c>
      <c r="E9" s="16" t="n">
        <v>1109</v>
      </c>
      <c r="F9" s="16" t="n">
        <v>918</v>
      </c>
    </row>
    <row r="10">
      <c r="A10" s="17" t="inlineStr">
        <is>
          <t>Finansielle anlægsaktiver</t>
        </is>
      </c>
      <c r="B10" s="16" t="n">
        <v>88</v>
      </c>
      <c r="C10" s="16" t="n">
        <v>355</v>
      </c>
      <c r="D10" s="16" t="n">
        <v>665</v>
      </c>
      <c r="E10" s="16" t="n">
        <v>1149</v>
      </c>
      <c r="F10" s="16" t="n">
        <v>2033</v>
      </c>
    </row>
    <row r="11">
      <c r="A11" s="17" t="inlineStr">
        <is>
          <t>Anlægsaktiver</t>
        </is>
      </c>
      <c r="B11" s="16" t="n">
        <v>88</v>
      </c>
      <c r="C11" s="16" t="n">
        <v>790</v>
      </c>
      <c r="D11" s="16" t="n">
        <v>3437</v>
      </c>
      <c r="E11" s="16" t="n">
        <v>4036</v>
      </c>
      <c r="F11" s="16" t="n">
        <v>4086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3075</v>
      </c>
      <c r="C14" s="16" t="n">
        <v>5183</v>
      </c>
      <c r="D14" s="16" t="n">
        <v>12175</v>
      </c>
      <c r="E14" s="16" t="n">
        <v>30954</v>
      </c>
      <c r="F14" s="16" t="n">
        <v>18858</v>
      </c>
    </row>
    <row r="15">
      <c r="A15" s="17" t="inlineStr">
        <is>
          <t>Varebeholdninger</t>
        </is>
      </c>
      <c r="B15" s="16" t="n">
        <v>3075</v>
      </c>
      <c r="C15" s="16" t="n">
        <v>5183</v>
      </c>
      <c r="D15" s="16" t="n">
        <v>12301</v>
      </c>
      <c r="E15" s="16" t="n">
        <v>31791</v>
      </c>
      <c r="F15" s="16" t="n">
        <v>19178</v>
      </c>
    </row>
    <row r="16">
      <c r="A16" s="15" t="inlineStr">
        <is>
          <t>Tilgodehavender fra salg og tjenesteydelser</t>
        </is>
      </c>
      <c r="B16" s="16" t="n">
        <v>254</v>
      </c>
      <c r="C16" s="16" t="n">
        <v>473</v>
      </c>
      <c r="D16" s="16" t="n">
        <v>1914</v>
      </c>
      <c r="E16" s="16" t="n">
        <v>2474</v>
      </c>
      <c r="F16" s="16" t="n">
        <v>1442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>
        <v>562</v>
      </c>
      <c r="F17" s="16" t="n">
        <v>1941</v>
      </c>
    </row>
    <row r="18">
      <c r="A18" s="15" t="inlineStr">
        <is>
          <t>Andre tilgodehavender</t>
        </is>
      </c>
      <c r="B18" s="16" t="n"/>
      <c r="C18" s="16" t="n"/>
      <c r="D18" s="16" t="n"/>
      <c r="E18" s="16" t="n">
        <v>12</v>
      </c>
      <c r="F18" s="16" t="n">
        <v>13</v>
      </c>
    </row>
    <row r="19">
      <c r="A19" s="15" t="inlineStr">
        <is>
          <t>Periodeafgrænsningsposter (aktiver)</t>
        </is>
      </c>
      <c r="B19" s="16" t="n">
        <v>5</v>
      </c>
      <c r="C19" s="16" t="n">
        <v>217</v>
      </c>
      <c r="D19" s="16" t="n">
        <v>690</v>
      </c>
      <c r="E19" s="16" t="n">
        <v>279</v>
      </c>
      <c r="F19" s="16" t="n">
        <v>865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259</v>
      </c>
      <c r="C23" s="16" t="n">
        <v>690</v>
      </c>
      <c r="D23" s="16" t="n">
        <v>2605</v>
      </c>
      <c r="E23" s="16" t="n">
        <v>3327</v>
      </c>
      <c r="F23" s="16" t="n">
        <v>4261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1607</v>
      </c>
      <c r="C25" s="16" t="n">
        <v>6612</v>
      </c>
      <c r="D25" s="16" t="n">
        <v>3324</v>
      </c>
      <c r="E25" s="16" t="n">
        <v>179</v>
      </c>
      <c r="F25" s="16" t="n">
        <v>231</v>
      </c>
    </row>
    <row r="26">
      <c r="A26" s="17" t="inlineStr">
        <is>
          <t>Omsætningsaktiver</t>
        </is>
      </c>
      <c r="B26" s="16" t="n">
        <v>4941</v>
      </c>
      <c r="C26" s="16" t="n">
        <v>12485</v>
      </c>
      <c r="D26" s="16" t="n">
        <v>18229</v>
      </c>
      <c r="E26" s="16" t="n">
        <v>35297</v>
      </c>
      <c r="F26" s="16" t="n">
        <v>23670</v>
      </c>
    </row>
    <row r="27">
      <c r="A27" s="17" t="inlineStr">
        <is>
          <t>Aktiver</t>
        </is>
      </c>
      <c r="B27" s="16" t="n">
        <v>5029</v>
      </c>
      <c r="C27" s="16" t="n">
        <v>13275</v>
      </c>
      <c r="D27" s="16" t="n">
        <v>21666</v>
      </c>
      <c r="E27" s="16" t="n">
        <v>39333</v>
      </c>
      <c r="F27" s="16" t="n">
        <v>27756</v>
      </c>
    </row>
    <row r="28">
      <c r="A28" s="15" t="inlineStr">
        <is>
          <t>Selskabskapital</t>
        </is>
      </c>
      <c r="B28" s="16" t="n">
        <v>125</v>
      </c>
      <c r="C28" s="16" t="n">
        <v>125</v>
      </c>
      <c r="D28" s="16" t="n">
        <v>125</v>
      </c>
      <c r="E28" s="16" t="n">
        <v>125</v>
      </c>
      <c r="F28" s="16" t="n">
        <v>125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2160</v>
      </c>
      <c r="C33" s="16" t="n">
        <v>3696</v>
      </c>
      <c r="D33" s="16" t="n">
        <v>6634</v>
      </c>
      <c r="E33" s="16" t="n">
        <v>7145</v>
      </c>
      <c r="F33" s="16" t="n">
        <v>-5430</v>
      </c>
    </row>
    <row r="34">
      <c r="A34" s="17" t="inlineStr">
        <is>
          <t>Egenkapital i alt</t>
        </is>
      </c>
      <c r="B34" s="16" t="n">
        <v>2285</v>
      </c>
      <c r="C34" s="16" t="n">
        <v>6321</v>
      </c>
      <c r="D34" s="16" t="n">
        <v>6759</v>
      </c>
      <c r="E34" s="16" t="n">
        <v>7270</v>
      </c>
      <c r="F34" s="16" t="n">
        <v>-5305</v>
      </c>
    </row>
    <row r="35">
      <c r="A35" s="15" t="inlineStr">
        <is>
          <t>Hensættelse til udskudt skat</t>
        </is>
      </c>
      <c r="B35" s="16" t="n">
        <v>0</v>
      </c>
      <c r="C35" s="16" t="n">
        <v>11</v>
      </c>
      <c r="D35" s="16" t="n">
        <v>98</v>
      </c>
      <c r="E35" s="16" t="n">
        <v>99</v>
      </c>
      <c r="F35" s="16" t="n">
        <v>0</v>
      </c>
    </row>
    <row r="36">
      <c r="A36" s="17" t="inlineStr">
        <is>
          <t>Hensatte forpligtelser</t>
        </is>
      </c>
      <c r="B36" s="16" t="n">
        <v>0</v>
      </c>
      <c r="C36" s="16" t="n">
        <v>304</v>
      </c>
      <c r="D36" s="16" t="n">
        <v>1016</v>
      </c>
      <c r="E36" s="16" t="n">
        <v>1583</v>
      </c>
      <c r="F36" s="16" t="n">
        <v>1954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>
        <v>0</v>
      </c>
      <c r="D38" s="16" t="n">
        <v>623</v>
      </c>
      <c r="E38" s="16" t="n">
        <v>356</v>
      </c>
      <c r="F38" s="16" t="n">
        <v>233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/>
      <c r="C41" s="16" t="n">
        <v>0</v>
      </c>
      <c r="D41" s="16" t="n">
        <v>623</v>
      </c>
      <c r="E41" s="16" t="n">
        <v>356</v>
      </c>
      <c r="F41" s="16" t="n">
        <v>443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>
        <v>150</v>
      </c>
      <c r="F43" s="16" t="n">
        <v>149</v>
      </c>
    </row>
    <row r="44">
      <c r="A44" s="15" t="inlineStr">
        <is>
          <t>Kreditinstitutter</t>
        </is>
      </c>
      <c r="B44" s="16" t="n">
        <v>0</v>
      </c>
      <c r="C44" s="16" t="n">
        <v>0</v>
      </c>
      <c r="D44" s="16" t="n">
        <v>0</v>
      </c>
      <c r="E44" s="16" t="n">
        <v>5507</v>
      </c>
      <c r="F44" s="16" t="n">
        <v>9223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509</v>
      </c>
      <c r="C46" s="16" t="n">
        <v>3827</v>
      </c>
      <c r="D46" s="16" t="n">
        <v>3893</v>
      </c>
      <c r="E46" s="16" t="n">
        <v>18325</v>
      </c>
      <c r="F46" s="16" t="n">
        <v>14910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359</v>
      </c>
      <c r="C49" s="16" t="n">
        <v>749</v>
      </c>
      <c r="D49" s="16" t="n">
        <v>571</v>
      </c>
      <c r="E49" s="16" t="n">
        <v>240</v>
      </c>
      <c r="F49" s="16" t="n">
        <v>0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1877</v>
      </c>
      <c r="C51" s="16" t="n">
        <v>2073</v>
      </c>
      <c r="D51" s="16" t="n">
        <v>8355</v>
      </c>
      <c r="E51" s="16" t="n">
        <v>4834</v>
      </c>
      <c r="F51" s="16" t="n">
        <v>4937</v>
      </c>
    </row>
    <row r="52">
      <c r="A52" s="15" t="inlineStr">
        <is>
          <t>Periodeafgrænsningsposter (passiver)</t>
        </is>
      </c>
      <c r="B52" s="16" t="n"/>
      <c r="C52" s="16" t="n">
        <v>0</v>
      </c>
      <c r="D52" s="16" t="n">
        <v>449</v>
      </c>
      <c r="E52" s="16" t="n">
        <v>1068</v>
      </c>
      <c r="F52" s="16" t="n">
        <v>1445</v>
      </c>
    </row>
    <row r="53">
      <c r="A53" s="17" t="inlineStr">
        <is>
          <t>Kortfristede gældsforpligtelser</t>
        </is>
      </c>
      <c r="B53" s="16" t="n">
        <v>2744</v>
      </c>
      <c r="C53" s="16" t="n">
        <v>6650</v>
      </c>
      <c r="D53" s="16" t="n">
        <v>13269</v>
      </c>
      <c r="E53" s="16" t="n">
        <v>30124</v>
      </c>
      <c r="F53" s="16" t="n">
        <v>30664</v>
      </c>
    </row>
    <row r="54">
      <c r="A54" s="17" t="inlineStr">
        <is>
          <t>Gældsforpligtelser</t>
        </is>
      </c>
      <c r="B54" s="16" t="n">
        <v>2744</v>
      </c>
      <c r="C54" s="16" t="n">
        <v>6650</v>
      </c>
      <c r="D54" s="16" t="n">
        <v>13892</v>
      </c>
      <c r="E54" s="16" t="n">
        <v>30481</v>
      </c>
      <c r="F54" s="16" t="n">
        <v>31108</v>
      </c>
    </row>
    <row r="55">
      <c r="A55" s="17" t="inlineStr">
        <is>
          <t>Passiver</t>
        </is>
      </c>
      <c r="B55" s="16" t="n">
        <v>5029</v>
      </c>
      <c r="C55" s="16" t="n">
        <v>13275</v>
      </c>
      <c r="D55" s="16" t="n">
        <v>21666</v>
      </c>
      <c r="E55" s="16" t="n">
        <v>39333</v>
      </c>
      <c r="F55" s="16" t="n">
        <v>27756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Planet Nusa ApS (CVR 40088008) — Regnskabs- og nøgletal (CVR: 40088008)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'res_raw_40088008'!$F$2</f>
        <v/>
      </c>
      <c r="C5" s="24">
        <f>'res_raw_40088008'!$E$2</f>
        <v/>
      </c>
      <c r="D5" s="24">
        <f>'res_raw_40088008'!$D$2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'res_raw_40088008'!$F$3</f>
        <v/>
      </c>
      <c r="C6" s="24">
        <f>'res_raw_40088008'!$E$3</f>
        <v/>
      </c>
      <c r="D6" s="24">
        <f>'res_raw_40088008'!$D$3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-'res_raw_40088008'!$F$4</f>
        <v/>
      </c>
      <c r="C7" s="24">
        <f>-'res_raw_40088008'!$E$4</f>
        <v/>
      </c>
      <c r="D7" s="24">
        <f>-'res_raw_40088008'!$D$4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-'res_raw_40088008'!$F$5</f>
        <v/>
      </c>
      <c r="C8" s="24">
        <f>-'res_raw_40088008'!$E$5</f>
        <v/>
      </c>
      <c r="D8" s="24">
        <f>-'res_raw_40088008'!$D$5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IF(ABS((SUM(B5:B8))-'res_raw_40088008'!$F$6)&lt;=2,SUM(B5:B8),'res_raw_40088008'!$F$6)</f>
        <v/>
      </c>
      <c r="C9" s="27">
        <f>IF(ABS((SUM(C5:C8))-'res_raw_40088008'!$E$6)&lt;=2,SUM(C5:C8),'res_raw_40088008'!$E$6)</f>
        <v/>
      </c>
      <c r="D9" s="27">
        <f>IF(ABS((SUM(D5:D8))-'res_raw_40088008'!$D$6)&lt;=2,SUM(D5:D8),'res_raw_40088008'!$D$6)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-'res_raw_40088008'!$F$7</f>
        <v/>
      </c>
      <c r="C10" s="24">
        <f>-'res_raw_40088008'!$E$7</f>
        <v/>
      </c>
      <c r="D10" s="24">
        <f>-'res_raw_40088008'!$D$7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-'res_raw_40088008'!$F$9</f>
        <v/>
      </c>
      <c r="C11" s="24">
        <f>-'res_raw_40088008'!$E$9</f>
        <v/>
      </c>
      <c r="D11" s="24">
        <f>-'res_raw_40088008'!$D$9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-'res_raw_40088008'!$F$10</f>
        <v/>
      </c>
      <c r="C12" s="24">
        <f>-'res_raw_40088008'!$E$10</f>
        <v/>
      </c>
      <c r="D12" s="24">
        <f>-'res_raw_40088008'!$D$10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IF(ABS((SUM(B9:B12))-'res_raw_40088008'!$F$11)&lt;=2,SUM(B9:B12),'res_raw_40088008'!$F$11)</f>
        <v/>
      </c>
      <c r="C13" s="27">
        <f>IF(ABS((SUM(C9:C12))-'res_raw_40088008'!$E$11)&lt;=2,SUM(C9:C12),'res_raw_40088008'!$E$11)</f>
        <v/>
      </c>
      <c r="D13" s="27">
        <f>IF(ABS((SUM(D9:D12))-'res_raw_40088008'!$D$11)&lt;=2,SUM(D9:D12),'res_raw_40088008'!$D$11)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N('res_raw_40088008'!$F$12)+N('res_raw_40088008'!$F$13)</f>
        <v/>
      </c>
      <c r="C14" s="24">
        <f>N('res_raw_40088008'!$E$12)+N('res_raw_40088008'!$E$13)</f>
        <v/>
      </c>
      <c r="D14" s="24">
        <f>N('res_raw_40088008'!$D$12)+N('res_raw_40088008'!$D$13)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-'res_raw_40088008'!$F$14</f>
        <v/>
      </c>
      <c r="C15" s="24">
        <f>-'res_raw_40088008'!$E$14</f>
        <v/>
      </c>
      <c r="D15" s="24">
        <f>-'res_raw_40088008'!$D$14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IF(ABS((SUM(B13:B15))-'res_raw_40088008'!$F$16)&lt;=2,SUM(B13:B15),'res_raw_40088008'!$F$16)</f>
        <v/>
      </c>
      <c r="C16" s="27">
        <f>IF(ABS((SUM(C13:C15))-'res_raw_40088008'!$E$16)&lt;=2,SUM(C13:C15),'res_raw_40088008'!$E$16)</f>
        <v/>
      </c>
      <c r="D16" s="27">
        <f>IF(ABS((SUM(D13:D15))-'res_raw_40088008'!$D$16)&lt;=2,SUM(D13:D15),'res_raw_40088008'!$D$16)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'balance_raw_40088008'!$F$11</f>
        <v/>
      </c>
      <c r="C19" s="24">
        <f>'balance_raw_40088008'!$E$11</f>
        <v/>
      </c>
      <c r="D19" s="24">
        <f>'balance_raw_40088008'!$D$11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'balance_raw_40088008'!$F$26</f>
        <v/>
      </c>
      <c r="C20" s="24">
        <f>'balance_raw_40088008'!$E$26</f>
        <v/>
      </c>
      <c r="D20" s="24">
        <f>'balance_raw_40088008'!$D$26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'balance_raw_40088008'!$F$34</f>
        <v/>
      </c>
      <c r="C23" s="24">
        <f>'balance_raw_40088008'!$E$34</f>
        <v/>
      </c>
      <c r="D23" s="24">
        <f>'balance_raw_40088008'!$D$34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'balance_raw_40088008'!$F$55-'balance_raw_40088008'!$F$34</f>
        <v/>
      </c>
      <c r="C24" s="24">
        <f>'balance_raw_40088008'!$E$55-'balance_raw_40088008'!$E$34</f>
        <v/>
      </c>
      <c r="D24" s="24">
        <f>'balance_raw_40088008'!$D$55-'balance_raw_40088008'!$D$34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'balance_raw_40088008'!$F$15</f>
        <v/>
      </c>
      <c r="C28" s="24">
        <f>'balance_raw_40088008'!$E$15</f>
        <v/>
      </c>
      <c r="D28" s="24">
        <f>'balance_raw_40088008'!$D$15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'balance_raw_40088008'!$F$16</f>
        <v/>
      </c>
      <c r="C29" s="24">
        <f>'balance_raw_40088008'!$E$16</f>
        <v/>
      </c>
      <c r="D29" s="24">
        <f>'balance_raw_40088008'!$D$16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'balance_raw_40088008'!$F$53</f>
        <v/>
      </c>
      <c r="C30" s="24">
        <f>'balance_raw_40088008'!$E$53</f>
        <v/>
      </c>
      <c r="D30" s="24">
        <f>'balance_raw_40088008'!$D$53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IF('balance_raw_40088008'!$F$27="","—",IF(ABS(B21-'balance_raw_40088008'!$F$27)&lt;=1,"✓ OK","❌ "&amp;TEXT(B21-'balance_raw_40088008'!$F$27,"+#,##0;-#,##0")&amp;" t.kr."))</f>
        <v/>
      </c>
      <c r="C61" s="29">
        <f>IF('balance_raw_40088008'!$E$27="","—",IF(ABS(C21-'balance_raw_40088008'!$E$27)&lt;=1,"✓ OK","❌ "&amp;TEXT(C21-'balance_raw_40088008'!$E$27,"+#,##0;-#,##0")&amp;" t.kr."))</f>
        <v/>
      </c>
      <c r="D61" s="29">
        <f>IF('balance_raw_40088008'!$D$27="","—",IF(ABS(D21-'balance_raw_40088008'!$D$27)&lt;=1,"✓ OK","❌ "&amp;TEXT(D21-'balance_raw_40088008'!$D$27,"+#,##0;-#,##0")&amp;"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IF('balance_raw_40088008'!$F$55="","—",IF(ABS(B25-'balance_raw_40088008'!$F$55)&lt;=1,"✓ OK","❌ "&amp;TEXT(B25-'balance_raw_40088008'!$F$55,"+#,##0;-#,##0")&amp;" t.kr."))</f>
        <v/>
      </c>
      <c r="C62" s="29">
        <f>IF('balance_raw_40088008'!$E$55="","—",IF(ABS(C25-'balance_raw_40088008'!$E$55)&lt;=1,"✓ OK","❌ "&amp;TEXT(C25-'balance_raw_40088008'!$E$55,"+#,##0;-#,##0")&amp;" t.kr."))</f>
        <v/>
      </c>
      <c r="D62" s="29">
        <f>IF('balance_raw_40088008'!$D$55="","—",IF(ABS(D25-'balance_raw_40088008'!$D$55)&lt;=1,"✓ OK","❌ "&amp;TEXT(D25-'balance_raw_40088008'!$D$55,"+#,##0;-#,##0")&amp;"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IF('res_raw_40088008'!$F$6="","—",IF(ABS(B9-'res_raw_40088008'!$F$6)&lt;=1,"✓ OK","❌ "&amp;TEXT(B9-'res_raw_40088008'!$F$6,"+#,##0;-#,##0")&amp;" t.kr."))</f>
        <v/>
      </c>
      <c r="C64" s="29">
        <f>IF('res_raw_40088008'!$E$6="","—",IF(ABS(C9-'res_raw_40088008'!$E$6)&lt;=1,"✓ OK","❌ "&amp;TEXT(C9-'res_raw_40088008'!$E$6,"+#,##0;-#,##0")&amp;" t.kr."))</f>
        <v/>
      </c>
      <c r="D64" s="29">
        <f>IF('res_raw_40088008'!$D$6="","—",IF(ABS(D9-'res_raw_40088008'!$D$6)&lt;=1,"✓ OK","❌ "&amp;TEXT(D9-'res_raw_40088008'!$D$6,"+#,##0;-#,##0")&amp;"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IF('res_raw_40088008'!$F$11="","—",IF(ABS(B13-'res_raw_40088008'!$F$11)&lt;=1,"✓ OK","❌ "&amp;TEXT(B13-'res_raw_40088008'!$F$11,"+#,##0;-#,##0")&amp;" t.kr."))</f>
        <v/>
      </c>
      <c r="C65" s="29">
        <f>IF('res_raw_40088008'!$E$11="","—",IF(ABS(C13-'res_raw_40088008'!$E$11)&lt;=1,"✓ OK","❌ "&amp;TEXT(C13-'res_raw_40088008'!$E$11,"+#,##0;-#,##0")&amp;" t.kr."))</f>
        <v/>
      </c>
      <c r="D65" s="29">
        <f>IF('res_raw_40088008'!$D$11="","—",IF(ABS(D13-'res_raw_40088008'!$D$11)&lt;=1,"✓ OK","❌ "&amp;TEXT(D13-'res_raw_40088008'!$D$11,"+#,##0;-#,##0")&amp;"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IF('res_raw_40088008'!$F$16="","—",IF(ABS(B16-'res_raw_40088008'!$F$16)&lt;=1,"✓ OK","❌ "&amp;TEXT(B16-'res_raw_40088008'!$F$16,"+#,##0;-#,##0")&amp;" t.kr."))</f>
        <v/>
      </c>
      <c r="C66" s="29">
        <f>IF('res_raw_40088008'!$E$16="","—",IF(ABS(C16-'res_raw_40088008'!$E$16)&lt;=1,"✓ OK","❌ "&amp;TEXT(C16-'res_raw_40088008'!$E$16,"+#,##0;-#,##0")&amp;" t.kr."))</f>
        <v/>
      </c>
      <c r="D66" s="29">
        <f>IF('res_raw_40088008'!$D$16="","—",IF(ABS(D16-'res_raw_40088008'!$D$16)&lt;=1,"✓ OK","❌ "&amp;TEXT(D16-'res_raw_40088008'!$D$16,"+#,##0;-#,##0")&amp;"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Planet Nusa ApS (CVR 40088008)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/>
      <c r="G3" s="35" t="n"/>
      <c r="H3" s="35" t="n">
        <v>211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2026-10-02T21:14:25Z</dcterms:created>
  <dcterms:modified xmlns:dcterms="http://purl.org/dc/terms/" xmlns:xsi="http://www.w3.org/2001/XMLSchema-instance" xsi:type="dcterms:W3CDTF">2026-10-02T21:14:25Z</dcterms:modified>
</cp:coreProperties>
</file>