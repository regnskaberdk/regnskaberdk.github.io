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2679475" sheetId="1" state="visible" r:id="rId1"/>
    <sheet xmlns:r="http://schemas.openxmlformats.org/officeDocument/2006/relationships" name="res_raw_12679475" sheetId="2" state="visible" r:id="rId2"/>
    <sheet xmlns:r="http://schemas.openxmlformats.org/officeDocument/2006/relationships" name="balance_raw_12679475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Legro Gartneri A/S (CVR 12679475) — Regnskabsanalyse – Resultatopgørelse &amp; Balance (t.kr.) · Klasse B · Udvidet gennemgang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'res_raw_12679475'!$B$2</f>
        <v/>
      </c>
      <c r="C4" s="5">
        <f>'res_raw_12679475'!$C$2</f>
        <v/>
      </c>
      <c r="D4" s="5">
        <f>'res_raw_12679475'!$D$2</f>
        <v/>
      </c>
      <c r="E4" s="5">
        <f>'res_raw_12679475'!$E$2</f>
        <v/>
      </c>
      <c r="F4" s="5">
        <f>'res_raw_12679475'!$F$2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'res_raw_12679475'!$B$3</f>
        <v/>
      </c>
      <c r="C5" s="8">
        <f>'res_raw_12679475'!$C$3</f>
        <v/>
      </c>
      <c r="D5" s="8">
        <f>'res_raw_12679475'!$D$3</f>
        <v/>
      </c>
      <c r="E5" s="8">
        <f>'res_raw_12679475'!$E$3</f>
        <v/>
      </c>
      <c r="F5" s="8">
        <f>'res_raw_12679475'!$F$3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'res_raw_12679475'!$B$4</f>
        <v/>
      </c>
      <c r="C6" s="5">
        <f>'res_raw_12679475'!$C$4</f>
        <v/>
      </c>
      <c r="D6" s="5">
        <f>'res_raw_12679475'!$D$4</f>
        <v/>
      </c>
      <c r="E6" s="5">
        <f>'res_raw_12679475'!$E$4</f>
        <v/>
      </c>
      <c r="F6" s="5">
        <f>'res_raw_12679475'!$F$4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'res_raw_12679475'!$B$5</f>
        <v/>
      </c>
      <c r="C7" s="8">
        <f>'res_raw_12679475'!$C$5</f>
        <v/>
      </c>
      <c r="D7" s="8">
        <f>'res_raw_12679475'!$D$5</f>
        <v/>
      </c>
      <c r="E7" s="8">
        <f>'res_raw_12679475'!$E$5</f>
        <v/>
      </c>
      <c r="F7" s="8">
        <f>'res_raw_12679475'!$F$5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'res_raw_12679475'!$B$6</f>
        <v/>
      </c>
      <c r="C8" s="11">
        <f>'res_raw_12679475'!$C$6</f>
        <v/>
      </c>
      <c r="D8" s="11">
        <f>'res_raw_12679475'!$D$6</f>
        <v/>
      </c>
      <c r="E8" s="11">
        <f>'res_raw_12679475'!$E$6</f>
        <v/>
      </c>
      <c r="F8" s="11">
        <f>'res_raw_12679475'!$F$6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'res_raw_12679475'!$B$7</f>
        <v/>
      </c>
      <c r="C9" s="8">
        <f>'res_raw_12679475'!$C$7</f>
        <v/>
      </c>
      <c r="D9" s="8">
        <f>'res_raw_12679475'!$D$7</f>
        <v/>
      </c>
      <c r="E9" s="8">
        <f>'res_raw_12679475'!$E$7</f>
        <v/>
      </c>
      <c r="F9" s="8">
        <f>'res_raw_12679475'!$F$7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'res_raw_12679475'!$B$9</f>
        <v/>
      </c>
      <c r="C11" s="8">
        <f>'res_raw_12679475'!$C$9</f>
        <v/>
      </c>
      <c r="D11" s="8">
        <f>'res_raw_12679475'!$D$9</f>
        <v/>
      </c>
      <c r="E11" s="8">
        <f>'res_raw_12679475'!$E$9</f>
        <v/>
      </c>
      <c r="F11" s="8">
        <f>'res_raw_12679475'!$F$9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'res_raw_12679475'!$B$10</f>
        <v/>
      </c>
      <c r="C12" s="5">
        <f>'res_raw_12679475'!$C$10</f>
        <v/>
      </c>
      <c r="D12" s="5">
        <f>'res_raw_12679475'!$D$10</f>
        <v/>
      </c>
      <c r="E12" s="5">
        <f>'res_raw_12679475'!$E$10</f>
        <v/>
      </c>
      <c r="F12" s="5">
        <f>'res_raw_12679475'!$F$10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'res_raw_12679475'!$B$11</f>
        <v/>
      </c>
      <c r="C13" s="11">
        <f>'res_raw_12679475'!$C$11</f>
        <v/>
      </c>
      <c r="D13" s="11">
        <f>'res_raw_12679475'!$D$11</f>
        <v/>
      </c>
      <c r="E13" s="11">
        <f>'res_raw_12679475'!$E$11</f>
        <v/>
      </c>
      <c r="F13" s="11">
        <f>'res_raw_12679475'!$F$11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'res_raw_12679475'!$B$12</f>
        <v/>
      </c>
      <c r="C14" s="5">
        <f>'res_raw_12679475'!$C$12</f>
        <v/>
      </c>
      <c r="D14" s="5">
        <f>'res_raw_12679475'!$D$12</f>
        <v/>
      </c>
      <c r="E14" s="5">
        <f>'res_raw_12679475'!$E$12</f>
        <v/>
      </c>
      <c r="F14" s="5">
        <f>'res_raw_12679475'!$F$12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'res_raw_12679475'!$B$13</f>
        <v/>
      </c>
      <c r="C15" s="8">
        <f>'res_raw_12679475'!$C$13</f>
        <v/>
      </c>
      <c r="D15" s="8">
        <f>'res_raw_12679475'!$D$13</f>
        <v/>
      </c>
      <c r="E15" s="8">
        <f>'res_raw_12679475'!$E$13</f>
        <v/>
      </c>
      <c r="F15" s="8">
        <f>'res_raw_12679475'!$F$13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'res_raw_12679475'!$B$14</f>
        <v/>
      </c>
      <c r="C16" s="5">
        <f>'res_raw_12679475'!$C$14</f>
        <v/>
      </c>
      <c r="D16" s="5">
        <f>'res_raw_12679475'!$D$14</f>
        <v/>
      </c>
      <c r="E16" s="5">
        <f>'res_raw_12679475'!$E$14</f>
        <v/>
      </c>
      <c r="F16" s="5">
        <f>'res_raw_12679475'!$F$14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'res_raw_12679475'!$B$15</f>
        <v/>
      </c>
      <c r="C17" s="11">
        <f>'res_raw_12679475'!$C$15</f>
        <v/>
      </c>
      <c r="D17" s="11">
        <f>'res_raw_12679475'!$D$15</f>
        <v/>
      </c>
      <c r="E17" s="11">
        <f>'res_raw_12679475'!$E$15</f>
        <v/>
      </c>
      <c r="F17" s="11">
        <f>'res_raw_12679475'!$F$15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'res_raw_12679475'!$B$16</f>
        <v/>
      </c>
      <c r="C18" s="11">
        <f>'res_raw_12679475'!$C$16</f>
        <v/>
      </c>
      <c r="D18" s="11">
        <f>'res_raw_12679475'!$D$16</f>
        <v/>
      </c>
      <c r="E18" s="11">
        <f>'res_raw_12679475'!$E$16</f>
        <v/>
      </c>
      <c r="F18" s="11">
        <f>'res_raw_12679475'!$F$16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'res_raw_12679475'!$B$17</f>
        <v/>
      </c>
      <c r="C19" s="8">
        <f>'res_raw_12679475'!$C$17</f>
        <v/>
      </c>
      <c r="D19" s="8">
        <f>'res_raw_12679475'!$D$17</f>
        <v/>
      </c>
      <c r="E19" s="8">
        <f>'res_raw_12679475'!$E$17</f>
        <v/>
      </c>
      <c r="F19" s="8">
        <f>'res_raw_12679475'!$F$17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'res_raw_12679475'!$B$18</f>
        <v/>
      </c>
      <c r="C20" s="11">
        <f>'res_raw_12679475'!$C$18</f>
        <v/>
      </c>
      <c r="D20" s="11">
        <f>'res_raw_12679475'!$D$18</f>
        <v/>
      </c>
      <c r="E20" s="11">
        <f>'res_raw_12679475'!$E$18</f>
        <v/>
      </c>
      <c r="F20" s="11">
        <f>'res_raw_12679475'!$F$18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'balance_raw_12679475'!$B$2</f>
        <v/>
      </c>
      <c r="C23" s="8">
        <f>'balance_raw_12679475'!$C$2</f>
        <v/>
      </c>
      <c r="D23" s="8">
        <f>'balance_raw_12679475'!$D$2</f>
        <v/>
      </c>
      <c r="E23" s="8">
        <f>'balance_raw_12679475'!$E$2</f>
        <v/>
      </c>
      <c r="F23" s="8">
        <f>'balance_raw_12679475'!$F$2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'balance_raw_12679475'!$B$3</f>
        <v/>
      </c>
      <c r="C24" s="5">
        <f>'balance_raw_12679475'!$C$3</f>
        <v/>
      </c>
      <c r="D24" s="5">
        <f>'balance_raw_12679475'!$D$3</f>
        <v/>
      </c>
      <c r="E24" s="5">
        <f>'balance_raw_12679475'!$E$3</f>
        <v/>
      </c>
      <c r="F24" s="5">
        <f>'balance_raw_12679475'!$F$3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'balance_raw_12679475'!$B$4</f>
        <v/>
      </c>
      <c r="C25" s="8">
        <f>'balance_raw_12679475'!$C$4</f>
        <v/>
      </c>
      <c r="D25" s="8">
        <f>'balance_raw_12679475'!$D$4</f>
        <v/>
      </c>
      <c r="E25" s="8">
        <f>'balance_raw_12679475'!$E$4</f>
        <v/>
      </c>
      <c r="F25" s="8">
        <f>'balance_raw_12679475'!$F$4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'balance_raw_12679475'!$B$5</f>
        <v/>
      </c>
      <c r="C26" s="5">
        <f>'balance_raw_12679475'!$C$5</f>
        <v/>
      </c>
      <c r="D26" s="5">
        <f>'balance_raw_12679475'!$D$5</f>
        <v/>
      </c>
      <c r="E26" s="5">
        <f>'balance_raw_12679475'!$E$5</f>
        <v/>
      </c>
      <c r="F26" s="5">
        <f>'balance_raw_12679475'!$F$5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'balance_raw_12679475'!$B$6</f>
        <v/>
      </c>
      <c r="C27" s="8">
        <f>'balance_raw_12679475'!$C$6</f>
        <v/>
      </c>
      <c r="D27" s="8">
        <f>'balance_raw_12679475'!$D$6</f>
        <v/>
      </c>
      <c r="E27" s="8">
        <f>'balance_raw_12679475'!$E$6</f>
        <v/>
      </c>
      <c r="F27" s="8">
        <f>'balance_raw_12679475'!$F$6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'balance_raw_12679475'!$B$7</f>
        <v/>
      </c>
      <c r="C28" s="11">
        <f>'balance_raw_12679475'!$C$7</f>
        <v/>
      </c>
      <c r="D28" s="11">
        <f>'balance_raw_12679475'!$D$7</f>
        <v/>
      </c>
      <c r="E28" s="11">
        <f>'balance_raw_12679475'!$E$7</f>
        <v/>
      </c>
      <c r="F28" s="11">
        <f>'balance_raw_12679475'!$F$7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'balance_raw_12679475'!$B$8</f>
        <v/>
      </c>
      <c r="C29" s="8">
        <f>'balance_raw_12679475'!$C$8</f>
        <v/>
      </c>
      <c r="D29" s="8">
        <f>'balance_raw_12679475'!$D$8</f>
        <v/>
      </c>
      <c r="E29" s="8">
        <f>'balance_raw_12679475'!$E$8</f>
        <v/>
      </c>
      <c r="F29" s="8">
        <f>'balance_raw_12679475'!$F$8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'balance_raw_12679475'!$B$9</f>
        <v/>
      </c>
      <c r="C30" s="5">
        <f>'balance_raw_12679475'!$C$9</f>
        <v/>
      </c>
      <c r="D30" s="5">
        <f>'balance_raw_12679475'!$D$9</f>
        <v/>
      </c>
      <c r="E30" s="5">
        <f>'balance_raw_12679475'!$E$9</f>
        <v/>
      </c>
      <c r="F30" s="5">
        <f>'balance_raw_12679475'!$F$9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'balance_raw_12679475'!$B$10</f>
        <v/>
      </c>
      <c r="C31" s="11">
        <f>'balance_raw_12679475'!$C$10</f>
        <v/>
      </c>
      <c r="D31" s="11">
        <f>'balance_raw_12679475'!$D$10</f>
        <v/>
      </c>
      <c r="E31" s="11">
        <f>'balance_raw_12679475'!$E$10</f>
        <v/>
      </c>
      <c r="F31" s="11">
        <f>'balance_raw_12679475'!$F$10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'balance_raw_12679475'!$B$11</f>
        <v/>
      </c>
      <c r="C32" s="11">
        <f>'balance_raw_12679475'!$C$11</f>
        <v/>
      </c>
      <c r="D32" s="11">
        <f>'balance_raw_12679475'!$D$11</f>
        <v/>
      </c>
      <c r="E32" s="11">
        <f>'balance_raw_12679475'!$E$11</f>
        <v/>
      </c>
      <c r="F32" s="11">
        <f>'balance_raw_12679475'!$F$11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'balance_raw_12679475'!$B$12</f>
        <v/>
      </c>
      <c r="C33" s="8">
        <f>'balance_raw_12679475'!$C$12</f>
        <v/>
      </c>
      <c r="D33" s="8">
        <f>'balance_raw_12679475'!$D$12</f>
        <v/>
      </c>
      <c r="E33" s="8">
        <f>'balance_raw_12679475'!$E$12</f>
        <v/>
      </c>
      <c r="F33" s="8">
        <f>'balance_raw_12679475'!$F$12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'balance_raw_12679475'!$B$13</f>
        <v/>
      </c>
      <c r="C34" s="5">
        <f>'balance_raw_12679475'!$C$13</f>
        <v/>
      </c>
      <c r="D34" s="5">
        <f>'balance_raw_12679475'!$D$13</f>
        <v/>
      </c>
      <c r="E34" s="5">
        <f>'balance_raw_12679475'!$E$13</f>
        <v/>
      </c>
      <c r="F34" s="5">
        <f>'balance_raw_12679475'!$F$13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'balance_raw_12679475'!$B$14</f>
        <v/>
      </c>
      <c r="C35" s="8">
        <f>'balance_raw_12679475'!$C$14</f>
        <v/>
      </c>
      <c r="D35" s="8">
        <f>'balance_raw_12679475'!$D$14</f>
        <v/>
      </c>
      <c r="E35" s="8">
        <f>'balance_raw_12679475'!$E$14</f>
        <v/>
      </c>
      <c r="F35" s="8">
        <f>'balance_raw_12679475'!$F$14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'balance_raw_12679475'!$B$15</f>
        <v/>
      </c>
      <c r="C36" s="11">
        <f>'balance_raw_12679475'!$C$15</f>
        <v/>
      </c>
      <c r="D36" s="11">
        <f>'balance_raw_12679475'!$D$15</f>
        <v/>
      </c>
      <c r="E36" s="11">
        <f>'balance_raw_12679475'!$E$15</f>
        <v/>
      </c>
      <c r="F36" s="11">
        <f>'balance_raw_12679475'!$F$15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'balance_raw_12679475'!$B$16</f>
        <v/>
      </c>
      <c r="C37" s="8">
        <f>'balance_raw_12679475'!$C$16</f>
        <v/>
      </c>
      <c r="D37" s="8">
        <f>'balance_raw_12679475'!$D$16</f>
        <v/>
      </c>
      <c r="E37" s="8">
        <f>'balance_raw_12679475'!$E$16</f>
        <v/>
      </c>
      <c r="F37" s="8">
        <f>'balance_raw_12679475'!$F$16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'balance_raw_12679475'!$B$17</f>
        <v/>
      </c>
      <c r="C38" s="5">
        <f>'balance_raw_12679475'!$C$17</f>
        <v/>
      </c>
      <c r="D38" s="5">
        <f>'balance_raw_12679475'!$D$17</f>
        <v/>
      </c>
      <c r="E38" s="5">
        <f>'balance_raw_12679475'!$E$17</f>
        <v/>
      </c>
      <c r="F38" s="5">
        <f>'balance_raw_12679475'!$F$17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'balance_raw_12679475'!$B$18</f>
        <v/>
      </c>
      <c r="C39" s="8">
        <f>'balance_raw_12679475'!$C$18</f>
        <v/>
      </c>
      <c r="D39" s="8">
        <f>'balance_raw_12679475'!$D$18</f>
        <v/>
      </c>
      <c r="E39" s="8">
        <f>'balance_raw_12679475'!$E$18</f>
        <v/>
      </c>
      <c r="F39" s="8">
        <f>'balance_raw_12679475'!$F$18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'balance_raw_12679475'!$B$19</f>
        <v/>
      </c>
      <c r="C40" s="5">
        <f>'balance_raw_12679475'!$C$19</f>
        <v/>
      </c>
      <c r="D40" s="5">
        <f>'balance_raw_12679475'!$D$19</f>
        <v/>
      </c>
      <c r="E40" s="5">
        <f>'balance_raw_12679475'!$E$19</f>
        <v/>
      </c>
      <c r="F40" s="5">
        <f>'balance_raw_12679475'!$F$19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'balance_raw_12679475'!$B$20</f>
        <v/>
      </c>
      <c r="C41" s="8">
        <f>'balance_raw_12679475'!$C$20</f>
        <v/>
      </c>
      <c r="D41" s="8">
        <f>'balance_raw_12679475'!$D$20</f>
        <v/>
      </c>
      <c r="E41" s="8">
        <f>'balance_raw_12679475'!$E$20</f>
        <v/>
      </c>
      <c r="F41" s="8">
        <f>'balance_raw_12679475'!$F$20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'balance_raw_12679475'!$B$21</f>
        <v/>
      </c>
      <c r="C42" s="5">
        <f>'balance_raw_12679475'!$C$21</f>
        <v/>
      </c>
      <c r="D42" s="5">
        <f>'balance_raw_12679475'!$D$21</f>
        <v/>
      </c>
      <c r="E42" s="5">
        <f>'balance_raw_12679475'!$E$21</f>
        <v/>
      </c>
      <c r="F42" s="5">
        <f>'balance_raw_12679475'!$F$21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'balance_raw_12679475'!$B$22</f>
        <v/>
      </c>
      <c r="C43" s="8">
        <f>'balance_raw_12679475'!$C$22</f>
        <v/>
      </c>
      <c r="D43" s="8">
        <f>'balance_raw_12679475'!$D$22</f>
        <v/>
      </c>
      <c r="E43" s="8">
        <f>'balance_raw_12679475'!$E$22</f>
        <v/>
      </c>
      <c r="F43" s="8">
        <f>'balance_raw_12679475'!$F$22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'balance_raw_12679475'!$B$23</f>
        <v/>
      </c>
      <c r="C44" s="11">
        <f>'balance_raw_12679475'!$C$23</f>
        <v/>
      </c>
      <c r="D44" s="11">
        <f>'balance_raw_12679475'!$D$23</f>
        <v/>
      </c>
      <c r="E44" s="11">
        <f>'balance_raw_12679475'!$E$23</f>
        <v/>
      </c>
      <c r="F44" s="11">
        <f>'balance_raw_12679475'!$F$23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'balance_raw_12679475'!$B$24</f>
        <v/>
      </c>
      <c r="C45" s="8">
        <f>'balance_raw_12679475'!$C$24</f>
        <v/>
      </c>
      <c r="D45" s="8">
        <f>'balance_raw_12679475'!$D$24</f>
        <v/>
      </c>
      <c r="E45" s="8">
        <f>'balance_raw_12679475'!$E$24</f>
        <v/>
      </c>
      <c r="F45" s="8">
        <f>'balance_raw_12679475'!$F$24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'balance_raw_12679475'!$B$25</f>
        <v/>
      </c>
      <c r="C46" s="5">
        <f>'balance_raw_12679475'!$C$25</f>
        <v/>
      </c>
      <c r="D46" s="5">
        <f>'balance_raw_12679475'!$D$25</f>
        <v/>
      </c>
      <c r="E46" s="5">
        <f>'balance_raw_12679475'!$E$25</f>
        <v/>
      </c>
      <c r="F46" s="5">
        <f>'balance_raw_12679475'!$F$25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'balance_raw_12679475'!$B$26</f>
        <v/>
      </c>
      <c r="C47" s="11">
        <f>'balance_raw_12679475'!$C$26</f>
        <v/>
      </c>
      <c r="D47" s="11">
        <f>'balance_raw_12679475'!$D$26</f>
        <v/>
      </c>
      <c r="E47" s="11">
        <f>'balance_raw_12679475'!$E$26</f>
        <v/>
      </c>
      <c r="F47" s="11">
        <f>'balance_raw_12679475'!$F$26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'balance_raw_12679475'!$B$27</f>
        <v/>
      </c>
      <c r="C48" s="11">
        <f>'balance_raw_12679475'!$C$27</f>
        <v/>
      </c>
      <c r="D48" s="11">
        <f>'balance_raw_12679475'!$D$27</f>
        <v/>
      </c>
      <c r="E48" s="11">
        <f>'balance_raw_12679475'!$E$27</f>
        <v/>
      </c>
      <c r="F48" s="11">
        <f>'balance_raw_12679475'!$F$27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'balance_raw_12679475'!$B$28</f>
        <v/>
      </c>
      <c r="C51" s="8">
        <f>'balance_raw_12679475'!$C$28</f>
        <v/>
      </c>
      <c r="D51" s="8">
        <f>'balance_raw_12679475'!$D$28</f>
        <v/>
      </c>
      <c r="E51" s="8">
        <f>'balance_raw_12679475'!$E$28</f>
        <v/>
      </c>
      <c r="F51" s="8">
        <f>'balance_raw_12679475'!$F$28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'balance_raw_12679475'!$B$29</f>
        <v/>
      </c>
      <c r="C52" s="5">
        <f>'balance_raw_12679475'!$C$29</f>
        <v/>
      </c>
      <c r="D52" s="5">
        <f>'balance_raw_12679475'!$D$29</f>
        <v/>
      </c>
      <c r="E52" s="5">
        <f>'balance_raw_12679475'!$E$29</f>
        <v/>
      </c>
      <c r="F52" s="5">
        <f>'balance_raw_12679475'!$F$29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'balance_raw_12679475'!$B$30</f>
        <v/>
      </c>
      <c r="C53" s="8">
        <f>'balance_raw_12679475'!$C$30</f>
        <v/>
      </c>
      <c r="D53" s="8">
        <f>'balance_raw_12679475'!$D$30</f>
        <v/>
      </c>
      <c r="E53" s="8">
        <f>'balance_raw_12679475'!$E$30</f>
        <v/>
      </c>
      <c r="F53" s="8">
        <f>'balance_raw_12679475'!$F$30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'balance_raw_12679475'!$B$31</f>
        <v/>
      </c>
      <c r="C54" s="5">
        <f>'balance_raw_12679475'!$C$31</f>
        <v/>
      </c>
      <c r="D54" s="5">
        <f>'balance_raw_12679475'!$D$31</f>
        <v/>
      </c>
      <c r="E54" s="5">
        <f>'balance_raw_12679475'!$E$31</f>
        <v/>
      </c>
      <c r="F54" s="5">
        <f>'balance_raw_12679475'!$F$31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'balance_raw_12679475'!$B$32</f>
        <v/>
      </c>
      <c r="C55" s="8">
        <f>'balance_raw_12679475'!$C$32</f>
        <v/>
      </c>
      <c r="D55" s="8">
        <f>'balance_raw_12679475'!$D$32</f>
        <v/>
      </c>
      <c r="E55" s="8">
        <f>'balance_raw_12679475'!$E$32</f>
        <v/>
      </c>
      <c r="F55" s="8">
        <f>'balance_raw_12679475'!$F$32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'balance_raw_12679475'!$B$33</f>
        <v/>
      </c>
      <c r="C56" s="5">
        <f>'balance_raw_12679475'!$C$33</f>
        <v/>
      </c>
      <c r="D56" s="5">
        <f>'balance_raw_12679475'!$D$33</f>
        <v/>
      </c>
      <c r="E56" s="5">
        <f>'balance_raw_12679475'!$E$33</f>
        <v/>
      </c>
      <c r="F56" s="5">
        <f>'balance_raw_12679475'!$F$33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'balance_raw_12679475'!$B$34</f>
        <v/>
      </c>
      <c r="C57" s="11">
        <f>'balance_raw_12679475'!$C$34</f>
        <v/>
      </c>
      <c r="D57" s="11">
        <f>'balance_raw_12679475'!$D$34</f>
        <v/>
      </c>
      <c r="E57" s="11">
        <f>'balance_raw_12679475'!$E$34</f>
        <v/>
      </c>
      <c r="F57" s="11">
        <f>'balance_raw_12679475'!$F$34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'balance_raw_12679475'!$B$35</f>
        <v/>
      </c>
      <c r="C58" s="5">
        <f>'balance_raw_12679475'!$C$35</f>
        <v/>
      </c>
      <c r="D58" s="5">
        <f>'balance_raw_12679475'!$D$35</f>
        <v/>
      </c>
      <c r="E58" s="5">
        <f>'balance_raw_12679475'!$E$35</f>
        <v/>
      </c>
      <c r="F58" s="5">
        <f>'balance_raw_12679475'!$F$35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lån</t>
        </is>
      </c>
      <c r="B59" s="8">
        <f>'balance_raw_12679475'!$B$36</f>
        <v/>
      </c>
      <c r="C59" s="8">
        <f>'balance_raw_12679475'!$C$36</f>
        <v/>
      </c>
      <c r="D59" s="8">
        <f>'balance_raw_12679475'!$D$36</f>
        <v/>
      </c>
      <c r="E59" s="8">
        <f>'balance_raw_12679475'!$E$36</f>
        <v/>
      </c>
      <c r="F59" s="8">
        <f>'balance_raw_12679475'!$F$36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'balance_raw_12679475'!$B$37</f>
        <v/>
      </c>
      <c r="C60" s="5">
        <f>'balance_raw_12679475'!$C$37</f>
        <v/>
      </c>
      <c r="D60" s="5">
        <f>'balance_raw_12679475'!$D$37</f>
        <v/>
      </c>
      <c r="E60" s="5">
        <f>'balance_raw_12679475'!$E$37</f>
        <v/>
      </c>
      <c r="F60" s="5">
        <f>'balance_raw_12679475'!$F$37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Anden gæld (langfristet)</t>
        </is>
      </c>
      <c r="B61" s="8">
        <f>'balance_raw_12679475'!$B$38</f>
        <v/>
      </c>
      <c r="C61" s="8">
        <f>'balance_raw_12679475'!$C$38</f>
        <v/>
      </c>
      <c r="D61" s="8">
        <f>'balance_raw_12679475'!$D$38</f>
        <v/>
      </c>
      <c r="E61" s="8">
        <f>'balance_raw_12679475'!$E$38</f>
        <v/>
      </c>
      <c r="F61" s="8">
        <f>'balance_raw_12679475'!$F$38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10" t="inlineStr">
        <is>
          <t>Langfristede gældsforpligtelser</t>
        </is>
      </c>
      <c r="B62" s="11">
        <f>'balance_raw_12679475'!$B$39</f>
        <v/>
      </c>
      <c r="C62" s="11">
        <f>'balance_raw_12679475'!$C$39</f>
        <v/>
      </c>
      <c r="D62" s="11">
        <f>'balance_raw_12679475'!$D$39</f>
        <v/>
      </c>
      <c r="E62" s="11">
        <f>'balance_raw_12679475'!$E$39</f>
        <v/>
      </c>
      <c r="F62" s="11">
        <f>'balance_raw_12679475'!$F$39</f>
        <v/>
      </c>
      <c r="G62" t="inlineStr"/>
      <c r="H62" s="12">
        <f>IFERROR(B62/$B$62*100,"")</f>
        <v/>
      </c>
      <c r="I62" s="12">
        <f>IFERROR(C62/$B$62*100,"")</f>
        <v/>
      </c>
      <c r="J62" s="12">
        <f>IFERROR(D62/$B$62*100,"")</f>
        <v/>
      </c>
      <c r="K62" s="12">
        <f>IFERROR(E62/$B$62*100,"")</f>
        <v/>
      </c>
      <c r="L62" s="12">
        <f>IFERROR(F62/$B$62*100,"")</f>
        <v/>
      </c>
    </row>
    <row r="63" ht="16" customHeight="1">
      <c r="A63" s="7" t="inlineStr">
        <is>
          <t>Ansvarlig lånekapital (kortfristet)</t>
        </is>
      </c>
      <c r="B63" s="8">
        <f>'balance_raw_12679475'!$B$40</f>
        <v/>
      </c>
      <c r="C63" s="8">
        <f>'balance_raw_12679475'!$C$40</f>
        <v/>
      </c>
      <c r="D63" s="8">
        <f>'balance_raw_12679475'!$D$40</f>
        <v/>
      </c>
      <c r="E63" s="8">
        <f>'balance_raw_12679475'!$E$40</f>
        <v/>
      </c>
      <c r="F63" s="8">
        <f>'balance_raw_12679475'!$F$40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'balance_raw_12679475'!$B$41</f>
        <v/>
      </c>
      <c r="C64" s="5">
        <f>'balance_raw_12679475'!$C$41</f>
        <v/>
      </c>
      <c r="D64" s="5">
        <f>'balance_raw_12679475'!$D$41</f>
        <v/>
      </c>
      <c r="E64" s="5">
        <f>'balance_raw_12679475'!$E$41</f>
        <v/>
      </c>
      <c r="F64" s="5">
        <f>'balance_raw_12679475'!$F$41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Kreditinstitutter</t>
        </is>
      </c>
      <c r="B65" s="8">
        <f>'balance_raw_12679475'!$B$42</f>
        <v/>
      </c>
      <c r="C65" s="8">
        <f>'balance_raw_12679475'!$C$42</f>
        <v/>
      </c>
      <c r="D65" s="8">
        <f>'balance_raw_12679475'!$D$42</f>
        <v/>
      </c>
      <c r="E65" s="8">
        <f>'balance_raw_12679475'!$E$42</f>
        <v/>
      </c>
      <c r="F65" s="8">
        <f>'balance_raw_12679475'!$F$42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'balance_raw_12679475'!$B$43</f>
        <v/>
      </c>
      <c r="C66" s="5">
        <f>'balance_raw_12679475'!$C$43</f>
        <v/>
      </c>
      <c r="D66" s="5">
        <f>'balance_raw_12679475'!$D$43</f>
        <v/>
      </c>
      <c r="E66" s="5">
        <f>'balance_raw_12679475'!$E$43</f>
        <v/>
      </c>
      <c r="F66" s="5">
        <f>'balance_raw_12679475'!$F$43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Leverandører af varer og tjenesteydelser</t>
        </is>
      </c>
      <c r="B67" s="8">
        <f>'balance_raw_12679475'!$B$44</f>
        <v/>
      </c>
      <c r="C67" s="8">
        <f>'balance_raw_12679475'!$C$44</f>
        <v/>
      </c>
      <c r="D67" s="8">
        <f>'balance_raw_12679475'!$D$44</f>
        <v/>
      </c>
      <c r="E67" s="8">
        <f>'balance_raw_12679475'!$E$44</f>
        <v/>
      </c>
      <c r="F67" s="8">
        <f>'balance_raw_12679475'!$F$44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'balance_raw_12679475'!$B$45</f>
        <v/>
      </c>
      <c r="C68" s="5">
        <f>'balance_raw_12679475'!$C$45</f>
        <v/>
      </c>
      <c r="D68" s="5">
        <f>'balance_raw_12679475'!$D$45</f>
        <v/>
      </c>
      <c r="E68" s="5">
        <f>'balance_raw_12679475'!$E$45</f>
        <v/>
      </c>
      <c r="F68" s="5">
        <f>'balance_raw_12679475'!$F$45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Gæld til selskabsdeltagere og ledelse</t>
        </is>
      </c>
      <c r="B69" s="8">
        <f>'balance_raw_12679475'!$B$46</f>
        <v/>
      </c>
      <c r="C69" s="8">
        <f>'balance_raw_12679475'!$C$46</f>
        <v/>
      </c>
      <c r="D69" s="8">
        <f>'balance_raw_12679475'!$D$46</f>
        <v/>
      </c>
      <c r="E69" s="8">
        <f>'balance_raw_12679475'!$E$46</f>
        <v/>
      </c>
      <c r="F69" s="8">
        <f>'balance_raw_12679475'!$F$46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Selskabsskat</t>
        </is>
      </c>
      <c r="B70" s="5">
        <f>'balance_raw_12679475'!$B$47</f>
        <v/>
      </c>
      <c r="C70" s="5">
        <f>'balance_raw_12679475'!$C$47</f>
        <v/>
      </c>
      <c r="D70" s="5">
        <f>'balance_raw_12679475'!$D$47</f>
        <v/>
      </c>
      <c r="E70" s="5">
        <f>'balance_raw_12679475'!$E$47</f>
        <v/>
      </c>
      <c r="F70" s="5">
        <f>'balance_raw_12679475'!$F$47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Gæld til tilknyttede virksomheder vedr. selskabsskat</t>
        </is>
      </c>
      <c r="B71" s="8">
        <f>'balance_raw_12679475'!$B$48</f>
        <v/>
      </c>
      <c r="C71" s="8">
        <f>'balance_raw_12679475'!$C$48</f>
        <v/>
      </c>
      <c r="D71" s="8">
        <f>'balance_raw_12679475'!$D$48</f>
        <v/>
      </c>
      <c r="E71" s="8">
        <f>'balance_raw_12679475'!$E$48</f>
        <v/>
      </c>
      <c r="F71" s="8">
        <f>'balance_raw_12679475'!$F$48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'balance_raw_12679475'!$B$49</f>
        <v/>
      </c>
      <c r="C72" s="5">
        <f>'balance_raw_12679475'!$C$49</f>
        <v/>
      </c>
      <c r="D72" s="5">
        <f>'balance_raw_12679475'!$D$49</f>
        <v/>
      </c>
      <c r="E72" s="5">
        <f>'balance_raw_12679475'!$E$49</f>
        <v/>
      </c>
      <c r="F72" s="5">
        <f>'balance_raw_12679475'!$F$49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Periodeafgrænsningsposter (passiver)</t>
        </is>
      </c>
      <c r="B73" s="8">
        <f>'balance_raw_12679475'!$B$50</f>
        <v/>
      </c>
      <c r="C73" s="8">
        <f>'balance_raw_12679475'!$C$50</f>
        <v/>
      </c>
      <c r="D73" s="8">
        <f>'balance_raw_12679475'!$D$50</f>
        <v/>
      </c>
      <c r="E73" s="8">
        <f>'balance_raw_12679475'!$E$50</f>
        <v/>
      </c>
      <c r="F73" s="8">
        <f>'balance_raw_12679475'!$F$50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10" t="inlineStr">
        <is>
          <t>Kortfristede gældsforpligtelser</t>
        </is>
      </c>
      <c r="B74" s="11">
        <f>'balance_raw_12679475'!$B$51</f>
        <v/>
      </c>
      <c r="C74" s="11">
        <f>'balance_raw_12679475'!$C$51</f>
        <v/>
      </c>
      <c r="D74" s="11">
        <f>'balance_raw_12679475'!$D$51</f>
        <v/>
      </c>
      <c r="E74" s="11">
        <f>'balance_raw_12679475'!$E$51</f>
        <v/>
      </c>
      <c r="F74" s="11">
        <f>'balance_raw_12679475'!$F$51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Gældsforpligtelser</t>
        </is>
      </c>
      <c r="B75" s="11">
        <f>'balance_raw_12679475'!$B$52</f>
        <v/>
      </c>
      <c r="C75" s="11">
        <f>'balance_raw_12679475'!$C$52</f>
        <v/>
      </c>
      <c r="D75" s="11">
        <f>'balance_raw_12679475'!$D$52</f>
        <v/>
      </c>
      <c r="E75" s="11">
        <f>'balance_raw_12679475'!$E$52</f>
        <v/>
      </c>
      <c r="F75" s="11">
        <f>'balance_raw_12679475'!$F$52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10" t="inlineStr">
        <is>
          <t>Passiver</t>
        </is>
      </c>
      <c r="B76" s="11">
        <f>'balance_raw_12679475'!$B$53</f>
        <v/>
      </c>
      <c r="C76" s="11">
        <f>'balance_raw_12679475'!$C$53</f>
        <v/>
      </c>
      <c r="D76" s="11">
        <f>'balance_raw_12679475'!$D$53</f>
        <v/>
      </c>
      <c r="E76" s="11">
        <f>'balance_raw_12679475'!$E$53</f>
        <v/>
      </c>
      <c r="F76" s="11">
        <f>'balance_raw_12679475'!$F$53</f>
        <v/>
      </c>
      <c r="G76" t="inlineStr"/>
      <c r="H76" s="12">
        <f>IFERROR(B76/$B$76*100,"")</f>
        <v/>
      </c>
      <c r="I76" s="12">
        <f>IFERROR(C76/$B$76*100,"")</f>
        <v/>
      </c>
      <c r="J76" s="12">
        <f>IFERROR(D76/$B$76*100,"")</f>
        <v/>
      </c>
      <c r="K76" s="12">
        <f>IFERROR(E76/$B$76*100,"")</f>
        <v/>
      </c>
      <c r="L76" s="12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7" t="inlineStr">
        <is>
          <t>Gns. antal medarbejdere</t>
        </is>
      </c>
      <c r="B79" s="8">
        <f>'res_raw_12679475'!$B$19</f>
        <v/>
      </c>
      <c r="C79" s="8">
        <f>'res_raw_12679475'!$C$19</f>
        <v/>
      </c>
      <c r="D79" s="8">
        <f>'res_raw_12679475'!$D$19</f>
        <v/>
      </c>
      <c r="E79" s="8">
        <f>'res_raw_12679475'!$E$19</f>
        <v/>
      </c>
      <c r="F79" s="8">
        <f>'res_raw_12679475'!$F$19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'res_raw_12679475'!$B$20</f>
        <v/>
      </c>
      <c r="C80" s="5">
        <f>'res_raw_12679475'!$C$20</f>
        <v/>
      </c>
      <c r="D80" s="5">
        <f>'res_raw_12679475'!$D$20</f>
        <v/>
      </c>
      <c r="E80" s="5">
        <f>'res_raw_12679475'!$E$20</f>
        <v/>
      </c>
      <c r="F80" s="5">
        <f>'res_raw_12679475'!$F$20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7" t="inlineStr">
        <is>
          <t>Afkastningsgrad, %</t>
        </is>
      </c>
      <c r="B83" s="13">
        <f>IFERROR(($B$13+$B$15+$B$14)/$B$48*100,"")</f>
        <v/>
      </c>
      <c r="C83" s="13">
        <f>IFERROR(($C$13+$C$15+$C$14)/$C$48*100,"")</f>
        <v/>
      </c>
      <c r="D83" s="13">
        <f>IFERROR(($D$13+$D$15+$D$14)/$D$48*100,"")</f>
        <v/>
      </c>
      <c r="E83" s="13">
        <f>IFERROR(($E$13+$E$15+$E$14)/$E$48*100,"")</f>
        <v/>
      </c>
      <c r="F83" s="13">
        <f>IFERROR(($F$13+$F$15+$F$14)/$F$48*100,"")</f>
        <v/>
      </c>
    </row>
    <row r="84" ht="16" customHeight="1">
      <c r="A84" s="4" t="inlineStr">
        <is>
          <t>Overskudsgrad (af bruttofortjeneste), %</t>
        </is>
      </c>
      <c r="B84" s="14">
        <f>IFERROR(($B$13+$B$15+$B$14)/$B$8*100,"")</f>
        <v/>
      </c>
      <c r="C84" s="14">
        <f>IFERROR(($C$13+$C$15+$C$14)/$C$8*100,"")</f>
        <v/>
      </c>
      <c r="D84" s="14">
        <f>IFERROR(($D$13+$D$15+$D$14)/$D$8*100,"")</f>
        <v/>
      </c>
      <c r="E84" s="14">
        <f>IFERROR(($E$13+$E$15+$E$14)/$E$8*100,"")</f>
        <v/>
      </c>
      <c r="F84" s="14">
        <f>IFERROR(($F$13+$F$15+$F$14)/$F$8*100,"")</f>
        <v/>
      </c>
    </row>
    <row r="85" ht="16" customHeight="1">
      <c r="A85" s="7" t="inlineStr">
        <is>
          <t>Aktivernes omsætningshastighed (af bruttofortjeneste), gange</t>
        </is>
      </c>
      <c r="B85" s="13">
        <f>IFERROR($B$8/$B$48,"")</f>
        <v/>
      </c>
      <c r="C85" s="13">
        <f>IFERROR($C$8/$C$48,"")</f>
        <v/>
      </c>
      <c r="D85" s="13">
        <f>IFERROR($D$8/$D$48,"")</f>
        <v/>
      </c>
      <c r="E85" s="13">
        <f>IFERROR($E$8/$E$48,"")</f>
        <v/>
      </c>
      <c r="F85" s="13">
        <f>IFERROR($F$8/$F$48,"")</f>
        <v/>
      </c>
    </row>
    <row r="86" ht="16" customHeight="1">
      <c r="A86" s="4" t="inlineStr">
        <is>
          <t>Egenkapitalens forrentning, %</t>
        </is>
      </c>
      <c r="B86" s="14">
        <f>IFERROR($B$18/$B$57*100,"")</f>
        <v/>
      </c>
      <c r="C86" s="14">
        <f>IFERROR($C$18/$C$57*100,"")</f>
        <v/>
      </c>
      <c r="D86" s="14">
        <f>IFERROR($D$18/$D$57*100,"")</f>
        <v/>
      </c>
      <c r="E86" s="14">
        <f>IFERROR($E$18/$E$57*100,"")</f>
        <v/>
      </c>
      <c r="F86" s="14">
        <f>IFERROR($F$18/$F$57*100,"")</f>
        <v/>
      </c>
    </row>
    <row r="87" ht="16" customHeight="1">
      <c r="A87" s="7" t="inlineStr">
        <is>
          <t>Gældsrente, %</t>
        </is>
      </c>
      <c r="B87" s="13">
        <f>IFERROR($B$16/($B$76-$B$57)*100,"")</f>
        <v/>
      </c>
      <c r="C87" s="13">
        <f>IFERROR($C$16/($C$76-$C$57)*100,"")</f>
        <v/>
      </c>
      <c r="D87" s="13">
        <f>IFERROR($D$16/($D$76-$D$57)*100,"")</f>
        <v/>
      </c>
      <c r="E87" s="13">
        <f>IFERROR($E$16/($E$76-$E$57)*100,"")</f>
        <v/>
      </c>
      <c r="F87" s="13">
        <f>IFERROR($F$16/($F$76-$F$57)*100,"")</f>
        <v/>
      </c>
    </row>
    <row r="88" ht="16" customHeight="1">
      <c r="A88" s="4" t="inlineStr">
        <is>
          <t>Soliditetsgrad, %</t>
        </is>
      </c>
      <c r="B88" s="14">
        <f>IFERROR($B$57/$B$48*100,"")</f>
        <v/>
      </c>
      <c r="C88" s="14">
        <f>IFERROR($C$57/$C$48*100,"")</f>
        <v/>
      </c>
      <c r="D88" s="14">
        <f>IFERROR($D$57/$D$48*100,"")</f>
        <v/>
      </c>
      <c r="E88" s="14">
        <f>IFERROR($E$57/$E$48*100,"")</f>
        <v/>
      </c>
      <c r="F88" s="14">
        <f>IFERROR($F$57/$F$48*100,"")</f>
        <v/>
      </c>
    </row>
    <row r="89" ht="16" customHeight="1">
      <c r="A89" s="7" t="inlineStr">
        <is>
          <t>Gearing</t>
        </is>
      </c>
      <c r="B89" s="13">
        <f>IFERROR(($B$76-$B$57)/$B$57,"")</f>
        <v/>
      </c>
      <c r="C89" s="13">
        <f>IFERROR(($C$76-$C$57)/$C$57,"")</f>
        <v/>
      </c>
      <c r="D89" s="13">
        <f>IFERROR(($D$76-$D$57)/$D$57,"")</f>
        <v/>
      </c>
      <c r="E89" s="13">
        <f>IFERROR(($E$76-$E$57)/$E$57,"")</f>
        <v/>
      </c>
      <c r="F89" s="13">
        <f>IFERROR(($F$76-$F$57)/$F$57,"")</f>
        <v/>
      </c>
    </row>
    <row r="90" ht="16" customHeight="1">
      <c r="A90" s="4" t="inlineStr">
        <is>
          <t>Likviditetsgrad, %</t>
        </is>
      </c>
      <c r="B90" s="14">
        <f>IFERROR($B$47/$B$74*100,"")</f>
        <v/>
      </c>
      <c r="C90" s="14">
        <f>IFERROR($C$47/$C$74*100,"")</f>
        <v/>
      </c>
      <c r="D90" s="14">
        <f>IFERROR($D$47/$D$74*100,"")</f>
        <v/>
      </c>
      <c r="E90" s="14">
        <f>IFERROR($E$47/$E$74*100,"")</f>
        <v/>
      </c>
      <c r="F90" s="14">
        <f>IFERROR($F$47/$F$74*100,"")</f>
        <v/>
      </c>
    </row>
    <row r="91" ht="16" customHeight="1">
      <c r="A91" s="7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IFERROR(($B$76-$B$57)/$B$48*100,"")</f>
        <v/>
      </c>
      <c r="C92" s="14">
        <f>IFERROR(($C$76-$C$57)/$C$48*100,"")</f>
        <v/>
      </c>
      <c r="D92" s="14">
        <f>IFERROR(($D$76-$D$57)/$D$48*100,"")</f>
        <v/>
      </c>
      <c r="E92" s="14">
        <f>IFERROR(($E$76-$E$57)/$E$48*100,"")</f>
        <v/>
      </c>
      <c r="F92" s="14">
        <f>IFERROR(($F$76-$F$57)/$F$48*100,"")</f>
        <v/>
      </c>
    </row>
    <row r="93" ht="16" customHeight="1">
      <c r="A93" s="7" t="inlineStr">
        <is>
          <t>Kapitalbindingsgrad, %</t>
        </is>
      </c>
      <c r="B93" s="13">
        <f>IFERROR($B$32/($B$57+$B$62)*100,"")</f>
        <v/>
      </c>
      <c r="C93" s="13">
        <f>IFERROR($C$32/($C$57+$C$62)*100,"")</f>
        <v/>
      </c>
      <c r="D93" s="13">
        <f>IFERROR($D$32/($D$57+$D$62)*100,"")</f>
        <v/>
      </c>
      <c r="E93" s="13">
        <f>IFERROR($E$32/($E$57+$E$62)*100,"")</f>
        <v/>
      </c>
      <c r="F93" s="13">
        <f>IFERROR($F$32/($F$57+$F$62)*100,"")</f>
        <v/>
      </c>
    </row>
    <row r="95">
      <c r="A95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Legro Gartneri A/S (CVR 12679475)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15039</v>
      </c>
      <c r="C6" s="16" t="n">
        <v>10845</v>
      </c>
      <c r="D6" s="16" t="n">
        <v>16984</v>
      </c>
      <c r="E6" s="16" t="n">
        <v>17868</v>
      </c>
      <c r="F6" s="16" t="n">
        <v>14207</v>
      </c>
    </row>
    <row r="7">
      <c r="A7" s="15" t="inlineStr">
        <is>
          <t>Personaleomkostninger</t>
        </is>
      </c>
      <c r="B7" s="16" t="n">
        <v>18842</v>
      </c>
      <c r="C7" s="16" t="n">
        <v>21658</v>
      </c>
      <c r="D7" s="16" t="n">
        <v>21385</v>
      </c>
      <c r="E7" s="16" t="n"/>
      <c r="F7" s="16" t="n"/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2023</v>
      </c>
      <c r="C11" s="16" t="n">
        <v>-2093</v>
      </c>
      <c r="D11" s="16" t="n">
        <v>3776</v>
      </c>
      <c r="E11" s="16" t="n">
        <v>4450</v>
      </c>
      <c r="F11" s="16" t="n">
        <v>539</v>
      </c>
    </row>
    <row r="12">
      <c r="A12" s="15" t="inlineStr">
        <is>
          <t>Indtægter af kapitalandele, dattervirksomheder</t>
        </is>
      </c>
      <c r="B12" s="16" t="n">
        <v>184</v>
      </c>
      <c r="C12" s="16" t="n">
        <v>-182</v>
      </c>
      <c r="D12" s="16" t="n">
        <v>236</v>
      </c>
      <c r="E12" s="16" t="n">
        <v>381</v>
      </c>
      <c r="F12" s="16" t="n">
        <v>214</v>
      </c>
    </row>
    <row r="13">
      <c r="A13" s="15" t="inlineStr">
        <is>
          <t>Finansielle indtægter</t>
        </is>
      </c>
      <c r="B13" s="16" t="n">
        <v>10</v>
      </c>
      <c r="C13" s="16" t="n">
        <v>48</v>
      </c>
      <c r="D13" s="16" t="n">
        <v>169</v>
      </c>
      <c r="E13" s="16" t="n">
        <v>209</v>
      </c>
      <c r="F13" s="16" t="n">
        <v>158</v>
      </c>
    </row>
    <row r="14">
      <c r="A14" s="15" t="inlineStr">
        <is>
          <t>Finansielle omkostninger</t>
        </is>
      </c>
      <c r="B14" s="16" t="n">
        <v>1928</v>
      </c>
      <c r="C14" s="16" t="n">
        <v>2154</v>
      </c>
      <c r="D14" s="16" t="n">
        <v>2619</v>
      </c>
      <c r="E14" s="16" t="n">
        <v>3330</v>
      </c>
      <c r="F14" s="16" t="n">
        <v>2932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237</v>
      </c>
      <c r="C16" s="16" t="n">
        <v>-4394</v>
      </c>
      <c r="D16" s="16" t="n">
        <v>1519</v>
      </c>
      <c r="E16" s="16" t="n">
        <v>1719</v>
      </c>
      <c r="F16" s="16" t="n">
        <v>-2021</v>
      </c>
    </row>
    <row r="17">
      <c r="A17" s="15" t="inlineStr">
        <is>
          <t>Skat af årets resultat</t>
        </is>
      </c>
      <c r="B17" s="16" t="n">
        <v>0</v>
      </c>
      <c r="C17" s="16" t="n"/>
      <c r="D17" s="16" t="n"/>
      <c r="E17" s="16" t="n"/>
      <c r="F17" s="16" t="n"/>
    </row>
    <row r="18">
      <c r="A18" s="17" t="inlineStr">
        <is>
          <t>Årets resultat</t>
        </is>
      </c>
      <c r="B18" s="16" t="n">
        <v>237</v>
      </c>
      <c r="C18" s="16" t="n">
        <v>-4394</v>
      </c>
      <c r="D18" s="16" t="n">
        <v>1519</v>
      </c>
      <c r="E18" s="16" t="n">
        <v>1719</v>
      </c>
      <c r="F18" s="16" t="n">
        <v>-2021</v>
      </c>
    </row>
    <row r="19">
      <c r="A19" s="15" t="inlineStr">
        <is>
          <t>Gns. antal medarbejdere</t>
        </is>
      </c>
      <c r="B19" s="16" t="n">
        <v>44</v>
      </c>
      <c r="C19" s="16" t="n">
        <v>49</v>
      </c>
      <c r="D19" s="16" t="n">
        <v>48</v>
      </c>
      <c r="E19" s="16" t="n">
        <v>44</v>
      </c>
      <c r="F19" s="16" t="n">
        <v>37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Legro Gartneri A/S (CVR 12679475)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38912</v>
      </c>
      <c r="C2" s="16" t="n">
        <v>38155</v>
      </c>
      <c r="D2" s="16" t="n">
        <v>37252</v>
      </c>
      <c r="E2" s="16" t="n">
        <v>37015</v>
      </c>
      <c r="F2" s="16" t="n">
        <v>36094</v>
      </c>
    </row>
    <row r="3">
      <c r="A3" s="15" t="inlineStr">
        <is>
          <t>Produktionsanlæg og maskiner</t>
        </is>
      </c>
      <c r="B3" s="16" t="n">
        <v>21004</v>
      </c>
      <c r="C3" s="16" t="n">
        <v>23221</v>
      </c>
      <c r="D3" s="16" t="n">
        <v>24548</v>
      </c>
      <c r="E3" s="16" t="n">
        <v>26789</v>
      </c>
      <c r="F3" s="16" t="n">
        <v>31675</v>
      </c>
    </row>
    <row r="4">
      <c r="A4" s="15" t="inlineStr">
        <is>
          <t>Driftsmateriel og inventar</t>
        </is>
      </c>
      <c r="B4" s="16" t="n">
        <v>1690</v>
      </c>
      <c r="C4" s="16" t="n">
        <v>1759</v>
      </c>
      <c r="D4" s="16" t="n">
        <v>1424</v>
      </c>
      <c r="E4" s="16" t="n">
        <v>1329</v>
      </c>
      <c r="F4" s="16" t="n">
        <v>953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>
        <v>636</v>
      </c>
    </row>
    <row r="7">
      <c r="A7" s="17" t="inlineStr">
        <is>
          <t>Materielle anlægsaktiver</t>
        </is>
      </c>
      <c r="B7" s="16" t="n">
        <v>61607</v>
      </c>
      <c r="C7" s="16" t="n">
        <v>63134</v>
      </c>
      <c r="D7" s="16" t="n">
        <v>63224</v>
      </c>
      <c r="E7" s="16" t="n">
        <v>65133</v>
      </c>
      <c r="F7" s="16" t="n">
        <v>69358</v>
      </c>
    </row>
    <row r="8">
      <c r="A8" s="15" t="inlineStr">
        <is>
          <t>Kapitalandele, dattervirksomheder</t>
        </is>
      </c>
      <c r="B8" s="16" t="n">
        <v>184</v>
      </c>
      <c r="C8" s="16" t="n">
        <v>2</v>
      </c>
      <c r="D8" s="16" t="n">
        <v>238</v>
      </c>
      <c r="E8" s="16" t="n">
        <v>619</v>
      </c>
      <c r="F8" s="16" t="n">
        <v>800</v>
      </c>
    </row>
    <row r="9">
      <c r="A9" s="15" t="inlineStr">
        <is>
          <t>Deposita</t>
        </is>
      </c>
      <c r="B9" s="16" t="n">
        <v>1778</v>
      </c>
      <c r="C9" s="16" t="n">
        <v>1559</v>
      </c>
      <c r="D9" s="16" t="n">
        <v>1350</v>
      </c>
      <c r="E9" s="16" t="n">
        <v>925</v>
      </c>
      <c r="F9" s="16" t="n">
        <v>768</v>
      </c>
    </row>
    <row r="10">
      <c r="A10" s="17" t="inlineStr">
        <is>
          <t>Finansielle anlægsaktiver</t>
        </is>
      </c>
      <c r="B10" s="16" t="n">
        <v>1994</v>
      </c>
      <c r="C10" s="16" t="n">
        <v>1579</v>
      </c>
      <c r="D10" s="16" t="n">
        <v>1588</v>
      </c>
      <c r="E10" s="16" t="n">
        <v>1552</v>
      </c>
      <c r="F10" s="16" t="n">
        <v>1568</v>
      </c>
    </row>
    <row r="11">
      <c r="A11" s="17" t="inlineStr">
        <is>
          <t>Anlægsaktiver</t>
        </is>
      </c>
      <c r="B11" s="16" t="n">
        <v>63600</v>
      </c>
      <c r="C11" s="16" t="n">
        <v>64713</v>
      </c>
      <c r="D11" s="16" t="n">
        <v>64812</v>
      </c>
      <c r="E11" s="16" t="n">
        <v>66685</v>
      </c>
      <c r="F11" s="16" t="n">
        <v>70926</v>
      </c>
    </row>
    <row r="12">
      <c r="A12" s="15" t="inlineStr">
        <is>
          <t>Råvarer og hjælpematerialer</t>
        </is>
      </c>
      <c r="B12" s="16" t="n">
        <v>6859</v>
      </c>
      <c r="C12" s="16" t="n">
        <v>7375</v>
      </c>
      <c r="D12" s="16" t="n">
        <v>8650</v>
      </c>
      <c r="E12" s="16" t="n">
        <v>8249</v>
      </c>
      <c r="F12" s="16" t="n">
        <v>8308</v>
      </c>
    </row>
    <row r="13">
      <c r="A13" s="15" t="inlineStr">
        <is>
          <t>Varer under fremstilling</t>
        </is>
      </c>
      <c r="B13" s="16" t="n">
        <v>3174</v>
      </c>
      <c r="C13" s="16" t="n">
        <v>3132</v>
      </c>
      <c r="D13" s="16" t="n">
        <v>4434</v>
      </c>
      <c r="E13" s="16" t="n">
        <v>4326</v>
      </c>
      <c r="F13" s="16" t="n">
        <v>4057</v>
      </c>
    </row>
    <row r="14">
      <c r="A14" s="15" t="inlineStr">
        <is>
          <t>Færdigvarer og handelsvarer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Varebeholdninger</t>
        </is>
      </c>
      <c r="B15" s="16" t="n">
        <v>10033</v>
      </c>
      <c r="C15" s="16" t="n">
        <v>10506</v>
      </c>
      <c r="D15" s="16" t="n">
        <v>13084</v>
      </c>
      <c r="E15" s="16" t="n">
        <v>12731</v>
      </c>
      <c r="F15" s="16" t="n">
        <v>12365</v>
      </c>
    </row>
    <row r="16">
      <c r="A16" s="15" t="inlineStr">
        <is>
          <t>Tilgodehavender fra salg og tjenesteydelser</t>
        </is>
      </c>
      <c r="B16" s="16" t="n">
        <v>1106</v>
      </c>
      <c r="C16" s="16" t="n">
        <v>1657</v>
      </c>
      <c r="D16" s="16" t="n">
        <v>1895</v>
      </c>
      <c r="E16" s="16" t="n">
        <v>2619</v>
      </c>
      <c r="F16" s="16" t="n">
        <v>2540</v>
      </c>
    </row>
    <row r="17">
      <c r="A17" s="15" t="inlineStr">
        <is>
          <t>Tilgodehavender hos tilknyttede virksomheder</t>
        </is>
      </c>
      <c r="B17" s="16" t="n"/>
      <c r="C17" s="16" t="n">
        <v>763</v>
      </c>
      <c r="D17" s="16" t="n">
        <v>990</v>
      </c>
      <c r="E17" s="16" t="n">
        <v>1699</v>
      </c>
      <c r="F17" s="16" t="n">
        <v>1995</v>
      </c>
    </row>
    <row r="18">
      <c r="A18" s="15" t="inlineStr">
        <is>
          <t>Andre tilgodehavender</t>
        </is>
      </c>
      <c r="B18" s="16" t="n">
        <v>412</v>
      </c>
      <c r="C18" s="16" t="n">
        <v>47</v>
      </c>
      <c r="D18" s="16" t="n">
        <v>239</v>
      </c>
      <c r="E18" s="16" t="n">
        <v>1302</v>
      </c>
      <c r="F18" s="16" t="n">
        <v>2931</v>
      </c>
    </row>
    <row r="19">
      <c r="A19" s="15" t="inlineStr">
        <is>
          <t>Periodeafgrænsningsposter (aktiver)</t>
        </is>
      </c>
      <c r="B19" s="16" t="n">
        <v>649</v>
      </c>
      <c r="C19" s="16" t="n">
        <v>853</v>
      </c>
      <c r="D19" s="16" t="n">
        <v>846</v>
      </c>
      <c r="E19" s="16" t="n">
        <v>385</v>
      </c>
      <c r="F19" s="16" t="n">
        <v>380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/>
      <c r="E22" s="16" t="n"/>
      <c r="F22" s="16" t="n"/>
    </row>
    <row r="23">
      <c r="A23" s="17" t="inlineStr">
        <is>
          <t>Tilgodehavender</t>
        </is>
      </c>
      <c r="B23" s="16" t="n">
        <v>2168</v>
      </c>
      <c r="C23" s="16" t="n">
        <v>3320</v>
      </c>
      <c r="D23" s="16" t="n">
        <v>3970</v>
      </c>
      <c r="E23" s="16" t="n">
        <v>6005</v>
      </c>
      <c r="F23" s="16" t="n">
        <v>7846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/>
      <c r="C25" s="16" t="n"/>
      <c r="D25" s="16" t="n"/>
      <c r="E25" s="16" t="n">
        <v>2</v>
      </c>
      <c r="F25" s="16" t="n">
        <v>0</v>
      </c>
    </row>
    <row r="26">
      <c r="A26" s="17" t="inlineStr">
        <is>
          <t>Omsætningsaktiver</t>
        </is>
      </c>
      <c r="B26" s="16" t="n">
        <v>12201</v>
      </c>
      <c r="C26" s="16" t="n">
        <v>13826</v>
      </c>
      <c r="D26" s="16" t="n">
        <v>17054</v>
      </c>
      <c r="E26" s="16" t="n">
        <v>18738</v>
      </c>
      <c r="F26" s="16" t="n">
        <v>20211</v>
      </c>
    </row>
    <row r="27">
      <c r="A27" s="17" t="inlineStr">
        <is>
          <t>Aktiver</t>
        </is>
      </c>
      <c r="B27" s="16" t="n">
        <v>75801</v>
      </c>
      <c r="C27" s="16" t="n">
        <v>78540</v>
      </c>
      <c r="D27" s="16" t="n">
        <v>81866</v>
      </c>
      <c r="E27" s="16" t="n">
        <v>85423</v>
      </c>
      <c r="F27" s="16" t="n">
        <v>91137</v>
      </c>
    </row>
    <row r="28">
      <c r="A28" s="15" t="inlineStr">
        <is>
          <t>Selskabskapital</t>
        </is>
      </c>
      <c r="B28" s="16" t="n">
        <v>10000</v>
      </c>
      <c r="C28" s="16" t="n">
        <v>10000</v>
      </c>
      <c r="D28" s="16" t="n">
        <v>10000</v>
      </c>
      <c r="E28" s="16" t="n">
        <v>10000</v>
      </c>
      <c r="F28" s="16" t="n">
        <v>10000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17481</v>
      </c>
      <c r="C33" s="16" t="n">
        <v>13087</v>
      </c>
      <c r="D33" s="16" t="n">
        <v>14606</v>
      </c>
      <c r="E33" s="16" t="n">
        <v>16100</v>
      </c>
      <c r="F33" s="16" t="n">
        <v>14079</v>
      </c>
    </row>
    <row r="34">
      <c r="A34" s="17" t="inlineStr">
        <is>
          <t>Egenkapital i alt</t>
        </is>
      </c>
      <c r="B34" s="16" t="n">
        <v>27481</v>
      </c>
      <c r="C34" s="16" t="n">
        <v>23087</v>
      </c>
      <c r="D34" s="16" t="n">
        <v>24606</v>
      </c>
      <c r="E34" s="16" t="n">
        <v>26325</v>
      </c>
      <c r="F34" s="16" t="n">
        <v>24079</v>
      </c>
    </row>
    <row r="35">
      <c r="A35" s="15" t="inlineStr">
        <is>
          <t>Ansvarlig lånekapital (langfristet)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Langfristede lån</t>
        </is>
      </c>
      <c r="B36" s="16" t="n">
        <v>15962</v>
      </c>
      <c r="C36" s="16" t="n">
        <v>15071</v>
      </c>
      <c r="D36" s="16" t="n">
        <v>14207</v>
      </c>
      <c r="E36" s="16" t="n">
        <v>13330</v>
      </c>
      <c r="F36" s="16" t="n">
        <v>12427</v>
      </c>
    </row>
    <row r="37">
      <c r="A37" s="15" t="inlineStr">
        <is>
          <t>Leasingforpligtelser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Anden gæld (langfristet)</t>
        </is>
      </c>
      <c r="B38" s="16" t="n">
        <v>1386</v>
      </c>
      <c r="C38" s="16" t="n">
        <v>3249</v>
      </c>
      <c r="D38" s="16" t="n"/>
      <c r="E38" s="16" t="n"/>
      <c r="F38" s="16" t="n"/>
    </row>
    <row r="39">
      <c r="A39" s="17" t="inlineStr">
        <is>
          <t>Langfristede gældsforpligtelser</t>
        </is>
      </c>
      <c r="B39" s="16" t="n">
        <v>22366</v>
      </c>
      <c r="C39" s="16" t="n">
        <v>23637</v>
      </c>
      <c r="D39" s="16" t="n">
        <v>23185</v>
      </c>
      <c r="E39" s="16" t="n">
        <v>23785</v>
      </c>
      <c r="F39" s="16" t="n">
        <v>27905</v>
      </c>
    </row>
    <row r="40">
      <c r="A40" s="15" t="inlineStr">
        <is>
          <t>Ansvarlig lånekapital (kortfristet)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Kortfristet del af langfristede gældsforpligtelser</t>
        </is>
      </c>
      <c r="B41" s="16" t="n">
        <v>1840</v>
      </c>
      <c r="C41" s="16" t="n">
        <v>3172</v>
      </c>
      <c r="D41" s="16" t="n">
        <v>4071</v>
      </c>
      <c r="E41" s="16" t="n">
        <v>3053</v>
      </c>
      <c r="F41" s="16" t="n">
        <v>4475</v>
      </c>
    </row>
    <row r="42">
      <c r="A42" s="15" t="inlineStr">
        <is>
          <t>Kreditinstitutter</t>
        </is>
      </c>
      <c r="B42" s="16" t="n">
        <v>9531</v>
      </c>
      <c r="C42" s="16" t="n">
        <v>15666</v>
      </c>
      <c r="D42" s="16" t="n">
        <v>15473</v>
      </c>
      <c r="E42" s="16" t="n">
        <v>15301</v>
      </c>
      <c r="F42" s="16" t="n">
        <v>16571</v>
      </c>
    </row>
    <row r="43">
      <c r="A43" s="15" t="inlineStr">
        <is>
          <t>Leasingforpligtelser (kortfristet)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Leverandører af varer og tjenesteydelser</t>
        </is>
      </c>
      <c r="B44" s="16" t="n">
        <v>5914</v>
      </c>
      <c r="C44" s="16" t="n">
        <v>9663</v>
      </c>
      <c r="D44" s="16" t="n">
        <v>11302</v>
      </c>
      <c r="E44" s="16" t="n">
        <v>12629</v>
      </c>
      <c r="F44" s="16" t="n">
        <v>11003</v>
      </c>
    </row>
    <row r="45">
      <c r="A45" s="15" t="inlineStr">
        <is>
          <t>Gæld til tilknyttede virksomheder</t>
        </is>
      </c>
      <c r="B45" s="16" t="n">
        <v>240</v>
      </c>
      <c r="C45" s="16" t="n">
        <v>0</v>
      </c>
      <c r="D45" s="16" t="n"/>
      <c r="E45" s="16" t="n"/>
      <c r="F45" s="16" t="n">
        <v>88</v>
      </c>
    </row>
    <row r="46">
      <c r="A46" s="15" t="inlineStr">
        <is>
          <t>Gæld til selskabsdeltagere og ledelse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Gæld til tilknyttede virksomheder vedr. selskabsskat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Anden gæld (kortfristet)</t>
        </is>
      </c>
      <c r="B49" s="16" t="n">
        <v>8429</v>
      </c>
      <c r="C49" s="16" t="n">
        <v>3314</v>
      </c>
      <c r="D49" s="16" t="n">
        <v>3228</v>
      </c>
      <c r="E49" s="16" t="n">
        <v>4330</v>
      </c>
      <c r="F49" s="16" t="n">
        <v>7017</v>
      </c>
    </row>
    <row r="50">
      <c r="A50" s="15" t="inlineStr">
        <is>
          <t>Periodeafgrænsningsposter (passiver)</t>
        </is>
      </c>
      <c r="B50" s="16" t="n"/>
      <c r="C50" s="16" t="n"/>
      <c r="D50" s="16" t="n"/>
      <c r="E50" s="16" t="n"/>
      <c r="F50" s="16" t="n"/>
    </row>
    <row r="51">
      <c r="A51" s="17" t="inlineStr">
        <is>
          <t>Kortfristede gældsforpligtelser</t>
        </is>
      </c>
      <c r="B51" s="16" t="n">
        <v>25954</v>
      </c>
      <c r="C51" s="16" t="n">
        <v>31815</v>
      </c>
      <c r="D51" s="16" t="n">
        <v>34074</v>
      </c>
      <c r="E51" s="16" t="n">
        <v>35312</v>
      </c>
      <c r="F51" s="16" t="n">
        <v>39154</v>
      </c>
    </row>
    <row r="52">
      <c r="A52" s="17" t="inlineStr">
        <is>
          <t>Gældsforpligtelser</t>
        </is>
      </c>
      <c r="B52" s="16" t="n">
        <v>48320</v>
      </c>
      <c r="C52" s="16" t="n">
        <v>55452</v>
      </c>
      <c r="D52" s="16" t="n">
        <v>57260</v>
      </c>
      <c r="E52" s="16" t="n">
        <v>59097</v>
      </c>
      <c r="F52" s="16" t="n">
        <v>67058</v>
      </c>
    </row>
    <row r="53">
      <c r="A53" s="17" t="inlineStr">
        <is>
          <t>Passiver</t>
        </is>
      </c>
      <c r="B53" s="16" t="n">
        <v>75801</v>
      </c>
      <c r="C53" s="16" t="n">
        <v>78540</v>
      </c>
      <c r="D53" s="16" t="n">
        <v>81866</v>
      </c>
      <c r="E53" s="16" t="n">
        <v>85423</v>
      </c>
      <c r="F53" s="16" t="n">
        <v>91137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Legro Gartneri A/S (CVR 12679475) — Regnskabs- og nøgletal (CVR: 12679475)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'res_raw_12679475'!$F$2</f>
        <v/>
      </c>
      <c r="C5" s="24">
        <f>'res_raw_12679475'!$E$2</f>
        <v/>
      </c>
      <c r="D5" s="24">
        <f>'res_raw_12679475'!$D$2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'res_raw_12679475'!$F$3</f>
        <v/>
      </c>
      <c r="C6" s="24">
        <f>'res_raw_12679475'!$E$3</f>
        <v/>
      </c>
      <c r="D6" s="24">
        <f>'res_raw_12679475'!$D$3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-'res_raw_12679475'!$F$4</f>
        <v/>
      </c>
      <c r="C7" s="24">
        <f>-'res_raw_12679475'!$E$4</f>
        <v/>
      </c>
      <c r="D7" s="24">
        <f>-'res_raw_12679475'!$D$4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-'res_raw_12679475'!$F$5</f>
        <v/>
      </c>
      <c r="C8" s="24">
        <f>-'res_raw_12679475'!$E$5</f>
        <v/>
      </c>
      <c r="D8" s="24">
        <f>-'res_raw_12679475'!$D$5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IF(COUNT('res_raw_12679475'!$F$2,'res_raw_12679475'!$F$3,'res_raw_12679475'!$F$4,'res_raw_12679475'!$F$5)=0,'res_raw_12679475'!$F$6,SUM(B5:B8))</f>
        <v/>
      </c>
      <c r="C9" s="27">
        <f>IF(COUNT('res_raw_12679475'!$E$2,'res_raw_12679475'!$E$3,'res_raw_12679475'!$E$4,'res_raw_12679475'!$E$5)=0,'res_raw_12679475'!$E$6,SUM(C5:C8))</f>
        <v/>
      </c>
      <c r="D9" s="27">
        <f>IF(COUNT('res_raw_12679475'!$D$2,'res_raw_12679475'!$D$3,'res_raw_12679475'!$D$4,'res_raw_12679475'!$D$5)=0,'res_raw_12679475'!$D$6,SUM(D5:D8))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-'res_raw_12679475'!$F$7</f>
        <v/>
      </c>
      <c r="C10" s="24">
        <f>-'res_raw_12679475'!$E$7</f>
        <v/>
      </c>
      <c r="D10" s="24">
        <f>-'res_raw_12679475'!$D$7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-'res_raw_12679475'!$F$9</f>
        <v/>
      </c>
      <c r="C11" s="24">
        <f>-'res_raw_12679475'!$E$9</f>
        <v/>
      </c>
      <c r="D11" s="24">
        <f>-'res_raw_12679475'!$D$9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-'res_raw_12679475'!$F$10</f>
        <v/>
      </c>
      <c r="C12" s="24">
        <f>-'res_raw_12679475'!$E$10</f>
        <v/>
      </c>
      <c r="D12" s="24">
        <f>-'res_raw_12679475'!$D$10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N('res_raw_12679475'!$F$12)+N('res_raw_12679475'!$F$13)</f>
        <v/>
      </c>
      <c r="C14" s="24">
        <f>N('res_raw_12679475'!$E$12)+N('res_raw_12679475'!$E$13)</f>
        <v/>
      </c>
      <c r="D14" s="24">
        <f>N('res_raw_12679475'!$D$12)+N('res_raw_12679475'!$D$13)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-'res_raw_12679475'!$F$14</f>
        <v/>
      </c>
      <c r="C15" s="24">
        <f>-'res_raw_12679475'!$E$14</f>
        <v/>
      </c>
      <c r="D15" s="24">
        <f>-'res_raw_12679475'!$D$14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'balance_raw_12679475'!$F$11</f>
        <v/>
      </c>
      <c r="C19" s="24">
        <f>'balance_raw_12679475'!$E$11</f>
        <v/>
      </c>
      <c r="D19" s="24">
        <f>'balance_raw_12679475'!$D$11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'balance_raw_12679475'!$F$26</f>
        <v/>
      </c>
      <c r="C20" s="24">
        <f>'balance_raw_12679475'!$E$26</f>
        <v/>
      </c>
      <c r="D20" s="24">
        <f>'balance_raw_12679475'!$D$26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'balance_raw_12679475'!$F$34</f>
        <v/>
      </c>
      <c r="C23" s="24">
        <f>'balance_raw_12679475'!$E$34</f>
        <v/>
      </c>
      <c r="D23" s="24">
        <f>'balance_raw_12679475'!$D$34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'balance_raw_12679475'!$F$53-'balance_raw_12679475'!$F$34</f>
        <v/>
      </c>
      <c r="C24" s="24">
        <f>'balance_raw_12679475'!$E$53-'balance_raw_12679475'!$E$34</f>
        <v/>
      </c>
      <c r="D24" s="24">
        <f>'balance_raw_12679475'!$D$53-'balance_raw_12679475'!$D$34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'balance_raw_12679475'!$F$15</f>
        <v/>
      </c>
      <c r="C28" s="24">
        <f>'balance_raw_12679475'!$E$15</f>
        <v/>
      </c>
      <c r="D28" s="24">
        <f>'balance_raw_12679475'!$D$15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'balance_raw_12679475'!$F$16</f>
        <v/>
      </c>
      <c r="C29" s="24">
        <f>'balance_raw_12679475'!$E$16</f>
        <v/>
      </c>
      <c r="D29" s="24">
        <f>'balance_raw_12679475'!$D$16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'balance_raw_12679475'!$F$51</f>
        <v/>
      </c>
      <c r="C30" s="24">
        <f>'balance_raw_12679475'!$E$51</f>
        <v/>
      </c>
      <c r="D30" s="24">
        <f>'balance_raw_12679475'!$D$51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IF('balance_raw_12679475'!$F$27="","—",IF(ABS(B21-'balance_raw_12679475'!$F$27)&lt;=1,"✓ OK","❌ "&amp;TEXT(B21-'balance_raw_12679475'!$F$27,"+#,##0;-#,##0")&amp;" t.kr."))</f>
        <v/>
      </c>
      <c r="C61" s="29">
        <f>IF('balance_raw_12679475'!$E$27="","—",IF(ABS(C21-'balance_raw_12679475'!$E$27)&lt;=1,"✓ OK","❌ "&amp;TEXT(C21-'balance_raw_12679475'!$E$27,"+#,##0;-#,##0")&amp;" t.kr."))</f>
        <v/>
      </c>
      <c r="D61" s="29">
        <f>IF('balance_raw_12679475'!$D$27="","—",IF(ABS(D21-'balance_raw_12679475'!$D$27)&lt;=1,"✓ OK","❌ "&amp;TEXT(D21-'balance_raw_12679475'!$D$27,"+#,##0;-#,##0")&amp;"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IF('balance_raw_12679475'!$F$53="","—",IF(ABS(B25-'balance_raw_12679475'!$F$53)&lt;=1,"✓ OK","❌ "&amp;TEXT(B25-'balance_raw_12679475'!$F$53,"+#,##0;-#,##0")&amp;" t.kr."))</f>
        <v/>
      </c>
      <c r="C62" s="29">
        <f>IF('balance_raw_12679475'!$E$53="","—",IF(ABS(C25-'balance_raw_12679475'!$E$53)&lt;=1,"✓ OK","❌ "&amp;TEXT(C25-'balance_raw_12679475'!$E$53,"+#,##0;-#,##0")&amp;" t.kr."))</f>
        <v/>
      </c>
      <c r="D62" s="29">
        <f>IF('balance_raw_12679475'!$D$53="","—",IF(ABS(D25-'balance_raw_12679475'!$D$53)&lt;=1,"✓ OK","❌ "&amp;TEXT(D25-'balance_raw_12679475'!$D$53,"+#,##0;-#,##0")&amp;"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IF('res_raw_12679475'!$F$6="","—",IF(ABS(B9-'res_raw_12679475'!$F$6)&lt;=1,"✓ OK","❌ "&amp;TEXT(B9-'res_raw_12679475'!$F$6,"+#,##0;-#,##0")&amp;" t.kr."))</f>
        <v/>
      </c>
      <c r="C64" s="29">
        <f>IF('res_raw_12679475'!$E$6="","—",IF(ABS(C9-'res_raw_12679475'!$E$6)&lt;=1,"✓ OK","❌ "&amp;TEXT(C9-'res_raw_12679475'!$E$6,"+#,##0;-#,##0")&amp;" t.kr."))</f>
        <v/>
      </c>
      <c r="D64" s="29">
        <f>IF('res_raw_12679475'!$D$6="","—",IF(ABS(D9-'res_raw_12679475'!$D$6)&lt;=1,"✓ OK","❌ "&amp;TEXT(D9-'res_raw_12679475'!$D$6,"+#,##0;-#,##0")&amp;"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IF('res_raw_12679475'!$F$11="","—",IF(ABS(B13-'res_raw_12679475'!$F$11)&lt;=1,"✓ OK","❌ "&amp;TEXT(B13-'res_raw_12679475'!$F$11,"+#,##0;-#,##0")&amp;" t.kr."))</f>
        <v/>
      </c>
      <c r="C65" s="29">
        <f>IF('res_raw_12679475'!$E$11="","—",IF(ABS(C13-'res_raw_12679475'!$E$11)&lt;=1,"✓ OK","❌ "&amp;TEXT(C13-'res_raw_12679475'!$E$11,"+#,##0;-#,##0")&amp;" t.kr."))</f>
        <v/>
      </c>
      <c r="D65" s="29">
        <f>IF('res_raw_12679475'!$D$11="","—",IF(ABS(D13-'res_raw_12679475'!$D$11)&lt;=1,"✓ OK","❌ "&amp;TEXT(D13-'res_raw_12679475'!$D$11,"+#,##0;-#,##0")&amp;"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IF('res_raw_12679475'!$F$16="","—",IF(ABS(B16-'res_raw_12679475'!$F$16)&lt;=1,"✓ OK","❌ "&amp;TEXT(B16-'res_raw_12679475'!$F$16,"+#,##0;-#,##0")&amp;" t.kr."))</f>
        <v/>
      </c>
      <c r="C66" s="29">
        <f>IF('res_raw_12679475'!$E$16="","—",IF(ABS(C16-'res_raw_12679475'!$E$16)&lt;=1,"✓ OK","❌ "&amp;TEXT(C16-'res_raw_12679475'!$E$16,"+#,##0;-#,##0")&amp;" t.kr."))</f>
        <v/>
      </c>
      <c r="D66" s="29">
        <f>IF('res_raw_12679475'!$D$16="","—",IF(ABS(D16-'res_raw_12679475'!$D$16)&lt;=1,"✓ OK","❌ "&amp;TEXT(D16-'res_raw_12679475'!$D$16,"+#,##0;-#,##0")&amp;"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Legro Gartneri A/S (CVR 12679475)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fsa:IncomeFromInvestmentsInParticipatingInterests</t>
        </is>
      </c>
      <c r="C3" s="34" t="inlineStr">
        <is>
          <t>fsa:IncomeFromInvestmentsInParticipatingInterests</t>
        </is>
      </c>
      <c r="D3" s="35" t="n">
        <v>-51</v>
      </c>
      <c r="E3" s="35" t="n">
        <v>-13</v>
      </c>
      <c r="F3" s="35" t="n">
        <v>-43</v>
      </c>
      <c r="G3" s="35" t="n">
        <v>8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/>
      <c r="E4" s="38" t="n">
        <v>1452</v>
      </c>
      <c r="F4" s="38" t="n">
        <v>2604</v>
      </c>
      <c r="G4" s="38" t="n">
        <v>3912</v>
      </c>
      <c r="H4" s="38" t="n">
        <v>6957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fsa:LongtermParticipatingInterests</t>
        </is>
      </c>
      <c r="C5" s="34" t="inlineStr">
        <is>
          <t>fsa:LongtermParticipatingInterests</t>
        </is>
      </c>
      <c r="D5" s="35" t="n">
        <v>32</v>
      </c>
      <c r="E5" s="35" t="n">
        <v>18</v>
      </c>
      <c r="F5" s="35" t="n">
        <v>0</v>
      </c>
      <c r="G5" s="35" t="n">
        <v>8</v>
      </c>
      <c r="H5" s="35" t="n">
        <v>0</v>
      </c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2026-09-27T21:18:36Z</dcterms:created>
  <dcterms:modified xmlns:dcterms="http://purl.org/dc/terms/" xmlns:xsi="http://www.w3.org/2001/XMLSchema-instance" xsi:type="dcterms:W3CDTF">2026-09-27T21:18:36Z</dcterms:modified>
</cp:coreProperties>
</file>