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8158254" sheetId="1" state="visible" r:id="rId1"/>
    <sheet xmlns:r="http://schemas.openxmlformats.org/officeDocument/2006/relationships" name="res_raw_28158254" sheetId="2" state="visible" r:id="rId2"/>
    <sheet xmlns:r="http://schemas.openxmlformats.org/officeDocument/2006/relationships" name="balance_raw_28158254" sheetId="3" state="visible" r:id="rId3"/>
    <sheet xmlns:r="http://schemas.openxmlformats.org/officeDocument/2006/relationships" name="pengestrom_raw_28158254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Bojsen Biler A/S (CVR 28158254)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'res_raw_28158254'!$B$2</f>
        <v/>
      </c>
      <c r="C4" s="5">
        <f>'res_raw_28158254'!$C$2</f>
        <v/>
      </c>
      <c r="D4" s="5">
        <f>'res_raw_28158254'!$D$2</f>
        <v/>
      </c>
      <c r="E4" s="5">
        <f>'res_raw_28158254'!$E$2</f>
        <v/>
      </c>
      <c r="F4" s="5">
        <f>'res_raw_28158254'!$F$2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'res_raw_28158254'!$B$3</f>
        <v/>
      </c>
      <c r="C5" s="8">
        <f>'res_raw_28158254'!$C$3</f>
        <v/>
      </c>
      <c r="D5" s="8">
        <f>'res_raw_28158254'!$D$3</f>
        <v/>
      </c>
      <c r="E5" s="8">
        <f>'res_raw_28158254'!$E$3</f>
        <v/>
      </c>
      <c r="F5" s="8">
        <f>'res_raw_28158254'!$F$3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'res_raw_28158254'!$B$4</f>
        <v/>
      </c>
      <c r="C6" s="5">
        <f>'res_raw_28158254'!$C$4</f>
        <v/>
      </c>
      <c r="D6" s="5">
        <f>'res_raw_28158254'!$D$4</f>
        <v/>
      </c>
      <c r="E6" s="5">
        <f>'res_raw_28158254'!$E$4</f>
        <v/>
      </c>
      <c r="F6" s="5">
        <f>'res_raw_28158254'!$F$4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'res_raw_28158254'!$B$5</f>
        <v/>
      </c>
      <c r="C7" s="8">
        <f>'res_raw_28158254'!$C$5</f>
        <v/>
      </c>
      <c r="D7" s="8">
        <f>'res_raw_28158254'!$D$5</f>
        <v/>
      </c>
      <c r="E7" s="8">
        <f>'res_raw_28158254'!$E$5</f>
        <v/>
      </c>
      <c r="F7" s="8">
        <f>'res_raw_28158254'!$F$5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'res_raw_28158254'!$B$6</f>
        <v/>
      </c>
      <c r="C8" s="11">
        <f>'res_raw_28158254'!$C$6</f>
        <v/>
      </c>
      <c r="D8" s="11">
        <f>'res_raw_28158254'!$D$6</f>
        <v/>
      </c>
      <c r="E8" s="11">
        <f>'res_raw_28158254'!$E$6</f>
        <v/>
      </c>
      <c r="F8" s="11">
        <f>'res_raw_28158254'!$F$6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'res_raw_28158254'!$B$7</f>
        <v/>
      </c>
      <c r="C9" s="8">
        <f>'res_raw_28158254'!$C$7</f>
        <v/>
      </c>
      <c r="D9" s="8">
        <f>'res_raw_28158254'!$D$7</f>
        <v/>
      </c>
      <c r="E9" s="8">
        <f>'res_raw_28158254'!$E$7</f>
        <v/>
      </c>
      <c r="F9" s="8">
        <f>'res_raw_28158254'!$F$7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'res_raw_28158254'!$B$9</f>
        <v/>
      </c>
      <c r="C11" s="8">
        <f>'res_raw_28158254'!$C$9</f>
        <v/>
      </c>
      <c r="D11" s="8">
        <f>'res_raw_28158254'!$D$9</f>
        <v/>
      </c>
      <c r="E11" s="8">
        <f>'res_raw_28158254'!$E$9</f>
        <v/>
      </c>
      <c r="F11" s="8">
        <f>'res_raw_28158254'!$F$9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'res_raw_28158254'!$B$10</f>
        <v/>
      </c>
      <c r="C12" s="5">
        <f>'res_raw_28158254'!$C$10</f>
        <v/>
      </c>
      <c r="D12" s="5">
        <f>'res_raw_28158254'!$D$10</f>
        <v/>
      </c>
      <c r="E12" s="5">
        <f>'res_raw_28158254'!$E$10</f>
        <v/>
      </c>
      <c r="F12" s="5">
        <f>'res_raw_28158254'!$F$10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'res_raw_28158254'!$B$11</f>
        <v/>
      </c>
      <c r="C13" s="11">
        <f>'res_raw_28158254'!$C$11</f>
        <v/>
      </c>
      <c r="D13" s="11">
        <f>'res_raw_28158254'!$D$11</f>
        <v/>
      </c>
      <c r="E13" s="11">
        <f>'res_raw_28158254'!$E$11</f>
        <v/>
      </c>
      <c r="F13" s="11">
        <f>'res_raw_28158254'!$F$11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'res_raw_28158254'!$B$12</f>
        <v/>
      </c>
      <c r="C14" s="5">
        <f>'res_raw_28158254'!$C$12</f>
        <v/>
      </c>
      <c r="D14" s="5">
        <f>'res_raw_28158254'!$D$12</f>
        <v/>
      </c>
      <c r="E14" s="5">
        <f>'res_raw_28158254'!$E$12</f>
        <v/>
      </c>
      <c r="F14" s="5">
        <f>'res_raw_28158254'!$F$12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'res_raw_28158254'!$B$13</f>
        <v/>
      </c>
      <c r="C15" s="8">
        <f>'res_raw_28158254'!$C$13</f>
        <v/>
      </c>
      <c r="D15" s="8">
        <f>'res_raw_28158254'!$D$13</f>
        <v/>
      </c>
      <c r="E15" s="8">
        <f>'res_raw_28158254'!$E$13</f>
        <v/>
      </c>
      <c r="F15" s="8">
        <f>'res_raw_28158254'!$F$13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'res_raw_28158254'!$B$14</f>
        <v/>
      </c>
      <c r="C16" s="5">
        <f>'res_raw_28158254'!$C$14</f>
        <v/>
      </c>
      <c r="D16" s="5">
        <f>'res_raw_28158254'!$D$14</f>
        <v/>
      </c>
      <c r="E16" s="5">
        <f>'res_raw_28158254'!$E$14</f>
        <v/>
      </c>
      <c r="F16" s="5">
        <f>'res_raw_28158254'!$F$14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'res_raw_28158254'!$B$15</f>
        <v/>
      </c>
      <c r="C17" s="11">
        <f>'res_raw_28158254'!$C$15</f>
        <v/>
      </c>
      <c r="D17" s="11">
        <f>'res_raw_28158254'!$D$15</f>
        <v/>
      </c>
      <c r="E17" s="11">
        <f>'res_raw_28158254'!$E$15</f>
        <v/>
      </c>
      <c r="F17" s="11">
        <f>'res_raw_28158254'!$F$15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'res_raw_28158254'!$B$16</f>
        <v/>
      </c>
      <c r="C18" s="11">
        <f>'res_raw_28158254'!$C$16</f>
        <v/>
      </c>
      <c r="D18" s="11">
        <f>'res_raw_28158254'!$D$16</f>
        <v/>
      </c>
      <c r="E18" s="11">
        <f>'res_raw_28158254'!$E$16</f>
        <v/>
      </c>
      <c r="F18" s="11">
        <f>'res_raw_28158254'!$F$16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'res_raw_28158254'!$B$17</f>
        <v/>
      </c>
      <c r="C19" s="8">
        <f>'res_raw_28158254'!$C$17</f>
        <v/>
      </c>
      <c r="D19" s="8">
        <f>'res_raw_28158254'!$D$17</f>
        <v/>
      </c>
      <c r="E19" s="8">
        <f>'res_raw_28158254'!$E$17</f>
        <v/>
      </c>
      <c r="F19" s="8">
        <f>'res_raw_28158254'!$F$17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'res_raw_28158254'!$B$18</f>
        <v/>
      </c>
      <c r="C20" s="11">
        <f>'res_raw_28158254'!$C$18</f>
        <v/>
      </c>
      <c r="D20" s="11">
        <f>'res_raw_28158254'!$D$18</f>
        <v/>
      </c>
      <c r="E20" s="11">
        <f>'res_raw_28158254'!$E$18</f>
        <v/>
      </c>
      <c r="F20" s="11">
        <f>'res_raw_28158254'!$F$18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'balance_raw_28158254'!$B$2</f>
        <v/>
      </c>
      <c r="C23" s="8">
        <f>'balance_raw_28158254'!$C$2</f>
        <v/>
      </c>
      <c r="D23" s="8">
        <f>'balance_raw_28158254'!$D$2</f>
        <v/>
      </c>
      <c r="E23" s="8">
        <f>'balance_raw_28158254'!$E$2</f>
        <v/>
      </c>
      <c r="F23" s="8">
        <f>'balance_raw_28158254'!$F$2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'balance_raw_28158254'!$B$3</f>
        <v/>
      </c>
      <c r="C24" s="5">
        <f>'balance_raw_28158254'!$C$3</f>
        <v/>
      </c>
      <c r="D24" s="5">
        <f>'balance_raw_28158254'!$D$3</f>
        <v/>
      </c>
      <c r="E24" s="5">
        <f>'balance_raw_28158254'!$E$3</f>
        <v/>
      </c>
      <c r="F24" s="5">
        <f>'balance_raw_28158254'!$F$3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'balance_raw_28158254'!$B$4</f>
        <v/>
      </c>
      <c r="C25" s="8">
        <f>'balance_raw_28158254'!$C$4</f>
        <v/>
      </c>
      <c r="D25" s="8">
        <f>'balance_raw_28158254'!$D$4</f>
        <v/>
      </c>
      <c r="E25" s="8">
        <f>'balance_raw_28158254'!$E$4</f>
        <v/>
      </c>
      <c r="F25" s="8">
        <f>'balance_raw_28158254'!$F$4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'balance_raw_28158254'!$B$5</f>
        <v/>
      </c>
      <c r="C26" s="11">
        <f>'balance_raw_28158254'!$C$5</f>
        <v/>
      </c>
      <c r="D26" s="11">
        <f>'balance_raw_28158254'!$D$5</f>
        <v/>
      </c>
      <c r="E26" s="11">
        <f>'balance_raw_28158254'!$E$5</f>
        <v/>
      </c>
      <c r="F26" s="11">
        <f>'balance_raw_28158254'!$F$5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'balance_raw_28158254'!$B$6</f>
        <v/>
      </c>
      <c r="C27" s="8">
        <f>'balance_raw_28158254'!$C$6</f>
        <v/>
      </c>
      <c r="D27" s="8">
        <f>'balance_raw_28158254'!$D$6</f>
        <v/>
      </c>
      <c r="E27" s="8">
        <f>'balance_raw_28158254'!$E$6</f>
        <v/>
      </c>
      <c r="F27" s="8">
        <f>'balance_raw_28158254'!$F$6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'balance_raw_28158254'!$B$7</f>
        <v/>
      </c>
      <c r="C28" s="5">
        <f>'balance_raw_28158254'!$C$7</f>
        <v/>
      </c>
      <c r="D28" s="5">
        <f>'balance_raw_28158254'!$D$7</f>
        <v/>
      </c>
      <c r="E28" s="5">
        <f>'balance_raw_28158254'!$E$7</f>
        <v/>
      </c>
      <c r="F28" s="5">
        <f>'balance_raw_28158254'!$F$7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'balance_raw_28158254'!$B$8</f>
        <v/>
      </c>
      <c r="C29" s="8">
        <f>'balance_raw_28158254'!$C$8</f>
        <v/>
      </c>
      <c r="D29" s="8">
        <f>'balance_raw_28158254'!$D$8</f>
        <v/>
      </c>
      <c r="E29" s="8">
        <f>'balance_raw_28158254'!$E$8</f>
        <v/>
      </c>
      <c r="F29" s="8">
        <f>'balance_raw_28158254'!$F$8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'balance_raw_28158254'!$B$9</f>
        <v/>
      </c>
      <c r="C30" s="5">
        <f>'balance_raw_28158254'!$C$9</f>
        <v/>
      </c>
      <c r="D30" s="5">
        <f>'balance_raw_28158254'!$D$9</f>
        <v/>
      </c>
      <c r="E30" s="5">
        <f>'balance_raw_28158254'!$E$9</f>
        <v/>
      </c>
      <c r="F30" s="5">
        <f>'balance_raw_28158254'!$F$9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'balance_raw_28158254'!$B$10</f>
        <v/>
      </c>
      <c r="C31" s="8">
        <f>'balance_raw_28158254'!$C$10</f>
        <v/>
      </c>
      <c r="D31" s="8">
        <f>'balance_raw_28158254'!$D$10</f>
        <v/>
      </c>
      <c r="E31" s="8">
        <f>'balance_raw_28158254'!$E$10</f>
        <v/>
      </c>
      <c r="F31" s="8">
        <f>'balance_raw_28158254'!$F$10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'balance_raw_28158254'!$B$11</f>
        <v/>
      </c>
      <c r="C32" s="11">
        <f>'balance_raw_28158254'!$C$11</f>
        <v/>
      </c>
      <c r="D32" s="11">
        <f>'balance_raw_28158254'!$D$11</f>
        <v/>
      </c>
      <c r="E32" s="11">
        <f>'balance_raw_28158254'!$E$11</f>
        <v/>
      </c>
      <c r="F32" s="11">
        <f>'balance_raw_28158254'!$F$11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'balance_raw_28158254'!$B$12</f>
        <v/>
      </c>
      <c r="C33" s="8">
        <f>'balance_raw_28158254'!$C$12</f>
        <v/>
      </c>
      <c r="D33" s="8">
        <f>'balance_raw_28158254'!$D$12</f>
        <v/>
      </c>
      <c r="E33" s="8">
        <f>'balance_raw_28158254'!$E$12</f>
        <v/>
      </c>
      <c r="F33" s="8">
        <f>'balance_raw_28158254'!$F$12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'balance_raw_28158254'!$B$13</f>
        <v/>
      </c>
      <c r="C34" s="5">
        <f>'balance_raw_28158254'!$C$13</f>
        <v/>
      </c>
      <c r="D34" s="5">
        <f>'balance_raw_28158254'!$D$13</f>
        <v/>
      </c>
      <c r="E34" s="5">
        <f>'balance_raw_28158254'!$E$13</f>
        <v/>
      </c>
      <c r="F34" s="5">
        <f>'balance_raw_28158254'!$F$13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'balance_raw_28158254'!$B$14</f>
        <v/>
      </c>
      <c r="C35" s="11">
        <f>'balance_raw_28158254'!$C$14</f>
        <v/>
      </c>
      <c r="D35" s="11">
        <f>'balance_raw_28158254'!$D$14</f>
        <v/>
      </c>
      <c r="E35" s="11">
        <f>'balance_raw_28158254'!$E$14</f>
        <v/>
      </c>
      <c r="F35" s="11">
        <f>'balance_raw_28158254'!$F$14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'balance_raw_28158254'!$B$15</f>
        <v/>
      </c>
      <c r="C36" s="11">
        <f>'balance_raw_28158254'!$C$15</f>
        <v/>
      </c>
      <c r="D36" s="11">
        <f>'balance_raw_28158254'!$D$15</f>
        <v/>
      </c>
      <c r="E36" s="11">
        <f>'balance_raw_28158254'!$E$15</f>
        <v/>
      </c>
      <c r="F36" s="11">
        <f>'balance_raw_28158254'!$F$15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'balance_raw_28158254'!$B$16</f>
        <v/>
      </c>
      <c r="C37" s="8">
        <f>'balance_raw_28158254'!$C$16</f>
        <v/>
      </c>
      <c r="D37" s="8">
        <f>'balance_raw_28158254'!$D$16</f>
        <v/>
      </c>
      <c r="E37" s="8">
        <f>'balance_raw_28158254'!$E$16</f>
        <v/>
      </c>
      <c r="F37" s="8">
        <f>'balance_raw_28158254'!$F$16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'balance_raw_28158254'!$B$17</f>
        <v/>
      </c>
      <c r="C38" s="5">
        <f>'balance_raw_28158254'!$C$17</f>
        <v/>
      </c>
      <c r="D38" s="5">
        <f>'balance_raw_28158254'!$D$17</f>
        <v/>
      </c>
      <c r="E38" s="5">
        <f>'balance_raw_28158254'!$E$17</f>
        <v/>
      </c>
      <c r="F38" s="5">
        <f>'balance_raw_28158254'!$F$17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'balance_raw_28158254'!$B$18</f>
        <v/>
      </c>
      <c r="C39" s="8">
        <f>'balance_raw_28158254'!$C$18</f>
        <v/>
      </c>
      <c r="D39" s="8">
        <f>'balance_raw_28158254'!$D$18</f>
        <v/>
      </c>
      <c r="E39" s="8">
        <f>'balance_raw_28158254'!$E$18</f>
        <v/>
      </c>
      <c r="F39" s="8">
        <f>'balance_raw_28158254'!$F$18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'balance_raw_28158254'!$B$19</f>
        <v/>
      </c>
      <c r="C40" s="11">
        <f>'balance_raw_28158254'!$C$19</f>
        <v/>
      </c>
      <c r="D40" s="11">
        <f>'balance_raw_28158254'!$D$19</f>
        <v/>
      </c>
      <c r="E40" s="11">
        <f>'balance_raw_28158254'!$E$19</f>
        <v/>
      </c>
      <c r="F40" s="11">
        <f>'balance_raw_28158254'!$F$19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'balance_raw_28158254'!$B$20</f>
        <v/>
      </c>
      <c r="C41" s="8">
        <f>'balance_raw_28158254'!$C$20</f>
        <v/>
      </c>
      <c r="D41" s="8">
        <f>'balance_raw_28158254'!$D$20</f>
        <v/>
      </c>
      <c r="E41" s="8">
        <f>'balance_raw_28158254'!$E$20</f>
        <v/>
      </c>
      <c r="F41" s="8">
        <f>'balance_raw_28158254'!$F$20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'balance_raw_28158254'!$B$21</f>
        <v/>
      </c>
      <c r="C42" s="5">
        <f>'balance_raw_28158254'!$C$21</f>
        <v/>
      </c>
      <c r="D42" s="5">
        <f>'balance_raw_28158254'!$D$21</f>
        <v/>
      </c>
      <c r="E42" s="5">
        <f>'balance_raw_28158254'!$E$21</f>
        <v/>
      </c>
      <c r="F42" s="5">
        <f>'balance_raw_28158254'!$F$21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'balance_raw_28158254'!$B$22</f>
        <v/>
      </c>
      <c r="C43" s="8">
        <f>'balance_raw_28158254'!$C$22</f>
        <v/>
      </c>
      <c r="D43" s="8">
        <f>'balance_raw_28158254'!$D$22</f>
        <v/>
      </c>
      <c r="E43" s="8">
        <f>'balance_raw_28158254'!$E$22</f>
        <v/>
      </c>
      <c r="F43" s="8">
        <f>'balance_raw_28158254'!$F$22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'balance_raw_28158254'!$B$23</f>
        <v/>
      </c>
      <c r="C44" s="5">
        <f>'balance_raw_28158254'!$C$23</f>
        <v/>
      </c>
      <c r="D44" s="5">
        <f>'balance_raw_28158254'!$D$23</f>
        <v/>
      </c>
      <c r="E44" s="5">
        <f>'balance_raw_28158254'!$E$23</f>
        <v/>
      </c>
      <c r="F44" s="5">
        <f>'balance_raw_28158254'!$F$23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'balance_raw_28158254'!$B$24</f>
        <v/>
      </c>
      <c r="C45" s="8">
        <f>'balance_raw_28158254'!$C$24</f>
        <v/>
      </c>
      <c r="D45" s="8">
        <f>'balance_raw_28158254'!$D$24</f>
        <v/>
      </c>
      <c r="E45" s="8">
        <f>'balance_raw_28158254'!$E$24</f>
        <v/>
      </c>
      <c r="F45" s="8">
        <f>'balance_raw_28158254'!$F$24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'balance_raw_28158254'!$B$25</f>
        <v/>
      </c>
      <c r="C46" s="5">
        <f>'balance_raw_28158254'!$C$25</f>
        <v/>
      </c>
      <c r="D46" s="5">
        <f>'balance_raw_28158254'!$D$25</f>
        <v/>
      </c>
      <c r="E46" s="5">
        <f>'balance_raw_28158254'!$E$25</f>
        <v/>
      </c>
      <c r="F46" s="5">
        <f>'balance_raw_28158254'!$F$25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'balance_raw_28158254'!$B$26</f>
        <v/>
      </c>
      <c r="C47" s="8">
        <f>'balance_raw_28158254'!$C$26</f>
        <v/>
      </c>
      <c r="D47" s="8">
        <f>'balance_raw_28158254'!$D$26</f>
        <v/>
      </c>
      <c r="E47" s="8">
        <f>'balance_raw_28158254'!$E$26</f>
        <v/>
      </c>
      <c r="F47" s="8">
        <f>'balance_raw_28158254'!$F$26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'balance_raw_28158254'!$B$27</f>
        <v/>
      </c>
      <c r="C48" s="11">
        <f>'balance_raw_28158254'!$C$27</f>
        <v/>
      </c>
      <c r="D48" s="11">
        <f>'balance_raw_28158254'!$D$27</f>
        <v/>
      </c>
      <c r="E48" s="11">
        <f>'balance_raw_28158254'!$E$27</f>
        <v/>
      </c>
      <c r="F48" s="11">
        <f>'balance_raw_28158254'!$F$27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'balance_raw_28158254'!$B$28</f>
        <v/>
      </c>
      <c r="C49" s="8">
        <f>'balance_raw_28158254'!$C$28</f>
        <v/>
      </c>
      <c r="D49" s="8">
        <f>'balance_raw_28158254'!$D$28</f>
        <v/>
      </c>
      <c r="E49" s="8">
        <f>'balance_raw_28158254'!$E$28</f>
        <v/>
      </c>
      <c r="F49" s="8">
        <f>'balance_raw_28158254'!$F$28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'balance_raw_28158254'!$B$29</f>
        <v/>
      </c>
      <c r="C50" s="5">
        <f>'balance_raw_28158254'!$C$29</f>
        <v/>
      </c>
      <c r="D50" s="5">
        <f>'balance_raw_28158254'!$D$29</f>
        <v/>
      </c>
      <c r="E50" s="5">
        <f>'balance_raw_28158254'!$E$29</f>
        <v/>
      </c>
      <c r="F50" s="5">
        <f>'balance_raw_28158254'!$F$29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'balance_raw_28158254'!$B$30</f>
        <v/>
      </c>
      <c r="C51" s="11">
        <f>'balance_raw_28158254'!$C$30</f>
        <v/>
      </c>
      <c r="D51" s="11">
        <f>'balance_raw_28158254'!$D$30</f>
        <v/>
      </c>
      <c r="E51" s="11">
        <f>'balance_raw_28158254'!$E$30</f>
        <v/>
      </c>
      <c r="F51" s="11">
        <f>'balance_raw_28158254'!$F$30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'balance_raw_28158254'!$B$31</f>
        <v/>
      </c>
      <c r="C52" s="11">
        <f>'balance_raw_28158254'!$C$31</f>
        <v/>
      </c>
      <c r="D52" s="11">
        <f>'balance_raw_28158254'!$D$31</f>
        <v/>
      </c>
      <c r="E52" s="11">
        <f>'balance_raw_28158254'!$E$31</f>
        <v/>
      </c>
      <c r="F52" s="11">
        <f>'balance_raw_28158254'!$F$31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'balance_raw_28158254'!$B$32</f>
        <v/>
      </c>
      <c r="C55" s="8">
        <f>'balance_raw_28158254'!$C$32</f>
        <v/>
      </c>
      <c r="D55" s="8">
        <f>'balance_raw_28158254'!$D$32</f>
        <v/>
      </c>
      <c r="E55" s="8">
        <f>'balance_raw_28158254'!$E$32</f>
        <v/>
      </c>
      <c r="F55" s="8">
        <f>'balance_raw_28158254'!$F$32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'balance_raw_28158254'!$B$33</f>
        <v/>
      </c>
      <c r="C56" s="5">
        <f>'balance_raw_28158254'!$C$33</f>
        <v/>
      </c>
      <c r="D56" s="5">
        <f>'balance_raw_28158254'!$D$33</f>
        <v/>
      </c>
      <c r="E56" s="5">
        <f>'balance_raw_28158254'!$E$33</f>
        <v/>
      </c>
      <c r="F56" s="5">
        <f>'balance_raw_28158254'!$F$33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'balance_raw_28158254'!$B$34</f>
        <v/>
      </c>
      <c r="C57" s="8">
        <f>'balance_raw_28158254'!$C$34</f>
        <v/>
      </c>
      <c r="D57" s="8">
        <f>'balance_raw_28158254'!$D$34</f>
        <v/>
      </c>
      <c r="E57" s="8">
        <f>'balance_raw_28158254'!$E$34</f>
        <v/>
      </c>
      <c r="F57" s="8">
        <f>'balance_raw_28158254'!$F$34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'balance_raw_28158254'!$B$35</f>
        <v/>
      </c>
      <c r="C58" s="5">
        <f>'balance_raw_28158254'!$C$35</f>
        <v/>
      </c>
      <c r="D58" s="5">
        <f>'balance_raw_28158254'!$D$35</f>
        <v/>
      </c>
      <c r="E58" s="5">
        <f>'balance_raw_28158254'!$E$35</f>
        <v/>
      </c>
      <c r="F58" s="5">
        <f>'balance_raw_28158254'!$F$35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'balance_raw_28158254'!$B$36</f>
        <v/>
      </c>
      <c r="C59" s="8">
        <f>'balance_raw_28158254'!$C$36</f>
        <v/>
      </c>
      <c r="D59" s="8">
        <f>'balance_raw_28158254'!$D$36</f>
        <v/>
      </c>
      <c r="E59" s="8">
        <f>'balance_raw_28158254'!$E$36</f>
        <v/>
      </c>
      <c r="F59" s="8">
        <f>'balance_raw_28158254'!$F$36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'balance_raw_28158254'!$B$37</f>
        <v/>
      </c>
      <c r="C60" s="5">
        <f>'balance_raw_28158254'!$C$37</f>
        <v/>
      </c>
      <c r="D60" s="5">
        <f>'balance_raw_28158254'!$D$37</f>
        <v/>
      </c>
      <c r="E60" s="5">
        <f>'balance_raw_28158254'!$E$37</f>
        <v/>
      </c>
      <c r="F60" s="5">
        <f>'balance_raw_28158254'!$F$37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'balance_raw_28158254'!$B$38</f>
        <v/>
      </c>
      <c r="C61" s="11">
        <f>'balance_raw_28158254'!$C$38</f>
        <v/>
      </c>
      <c r="D61" s="11">
        <f>'balance_raw_28158254'!$D$38</f>
        <v/>
      </c>
      <c r="E61" s="11">
        <f>'balance_raw_28158254'!$E$38</f>
        <v/>
      </c>
      <c r="F61" s="11">
        <f>'balance_raw_28158254'!$F$38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'balance_raw_28158254'!$B$39</f>
        <v/>
      </c>
      <c r="C62" s="5">
        <f>'balance_raw_28158254'!$C$39</f>
        <v/>
      </c>
      <c r="D62" s="5">
        <f>'balance_raw_28158254'!$D$39</f>
        <v/>
      </c>
      <c r="E62" s="5">
        <f>'balance_raw_28158254'!$E$39</f>
        <v/>
      </c>
      <c r="F62" s="5">
        <f>'balance_raw_28158254'!$F$39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'balance_raw_28158254'!$B$40</f>
        <v/>
      </c>
      <c r="C63" s="11">
        <f>'balance_raw_28158254'!$C$40</f>
        <v/>
      </c>
      <c r="D63" s="11">
        <f>'balance_raw_28158254'!$D$40</f>
        <v/>
      </c>
      <c r="E63" s="11">
        <f>'balance_raw_28158254'!$E$40</f>
        <v/>
      </c>
      <c r="F63" s="11">
        <f>'balance_raw_28158254'!$F$40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'balance_raw_28158254'!$B$41</f>
        <v/>
      </c>
      <c r="C64" s="5">
        <f>'balance_raw_28158254'!$C$41</f>
        <v/>
      </c>
      <c r="D64" s="5">
        <f>'balance_raw_28158254'!$D$41</f>
        <v/>
      </c>
      <c r="E64" s="5">
        <f>'balance_raw_28158254'!$E$41</f>
        <v/>
      </c>
      <c r="F64" s="5">
        <f>'balance_raw_28158254'!$F$41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'balance_raw_28158254'!$B$42</f>
        <v/>
      </c>
      <c r="C65" s="8">
        <f>'balance_raw_28158254'!$C$42</f>
        <v/>
      </c>
      <c r="D65" s="8">
        <f>'balance_raw_28158254'!$D$42</f>
        <v/>
      </c>
      <c r="E65" s="8">
        <f>'balance_raw_28158254'!$E$42</f>
        <v/>
      </c>
      <c r="F65" s="8">
        <f>'balance_raw_28158254'!$F$42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'balance_raw_28158254'!$B$43</f>
        <v/>
      </c>
      <c r="C66" s="5">
        <f>'balance_raw_28158254'!$C$43</f>
        <v/>
      </c>
      <c r="D66" s="5">
        <f>'balance_raw_28158254'!$D$43</f>
        <v/>
      </c>
      <c r="E66" s="5">
        <f>'balance_raw_28158254'!$E$43</f>
        <v/>
      </c>
      <c r="F66" s="5">
        <f>'balance_raw_28158254'!$F$43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'balance_raw_28158254'!$B$44</f>
        <v/>
      </c>
      <c r="C67" s="8">
        <f>'balance_raw_28158254'!$C$44</f>
        <v/>
      </c>
      <c r="D67" s="8">
        <f>'balance_raw_28158254'!$D$44</f>
        <v/>
      </c>
      <c r="E67" s="8">
        <f>'balance_raw_28158254'!$E$44</f>
        <v/>
      </c>
      <c r="F67" s="8">
        <f>'balance_raw_28158254'!$F$44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'balance_raw_28158254'!$B$45</f>
        <v/>
      </c>
      <c r="C68" s="11">
        <f>'balance_raw_28158254'!$C$45</f>
        <v/>
      </c>
      <c r="D68" s="11">
        <f>'balance_raw_28158254'!$D$45</f>
        <v/>
      </c>
      <c r="E68" s="11">
        <f>'balance_raw_28158254'!$E$45</f>
        <v/>
      </c>
      <c r="F68" s="11">
        <f>'balance_raw_28158254'!$F$45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'balance_raw_28158254'!$B$46</f>
        <v/>
      </c>
      <c r="C69" s="8">
        <f>'balance_raw_28158254'!$C$46</f>
        <v/>
      </c>
      <c r="D69" s="8">
        <f>'balance_raw_28158254'!$D$46</f>
        <v/>
      </c>
      <c r="E69" s="8">
        <f>'balance_raw_28158254'!$E$46</f>
        <v/>
      </c>
      <c r="F69" s="8">
        <f>'balance_raw_28158254'!$F$46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'balance_raw_28158254'!$B$47</f>
        <v/>
      </c>
      <c r="C70" s="5">
        <f>'balance_raw_28158254'!$C$47</f>
        <v/>
      </c>
      <c r="D70" s="5">
        <f>'balance_raw_28158254'!$D$47</f>
        <v/>
      </c>
      <c r="E70" s="5">
        <f>'balance_raw_28158254'!$E$47</f>
        <v/>
      </c>
      <c r="F70" s="5">
        <f>'balance_raw_28158254'!$F$47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'balance_raw_28158254'!$B$48</f>
        <v/>
      </c>
      <c r="C71" s="8">
        <f>'balance_raw_28158254'!$C$48</f>
        <v/>
      </c>
      <c r="D71" s="8">
        <f>'balance_raw_28158254'!$D$48</f>
        <v/>
      </c>
      <c r="E71" s="8">
        <f>'balance_raw_28158254'!$E$48</f>
        <v/>
      </c>
      <c r="F71" s="8">
        <f>'balance_raw_28158254'!$F$48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'balance_raw_28158254'!$B$49</f>
        <v/>
      </c>
      <c r="C72" s="5">
        <f>'balance_raw_28158254'!$C$49</f>
        <v/>
      </c>
      <c r="D72" s="5">
        <f>'balance_raw_28158254'!$D$49</f>
        <v/>
      </c>
      <c r="E72" s="5">
        <f>'balance_raw_28158254'!$E$49</f>
        <v/>
      </c>
      <c r="F72" s="5">
        <f>'balance_raw_28158254'!$F$49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'balance_raw_28158254'!$B$50</f>
        <v/>
      </c>
      <c r="C73" s="8">
        <f>'balance_raw_28158254'!$C$50</f>
        <v/>
      </c>
      <c r="D73" s="8">
        <f>'balance_raw_28158254'!$D$50</f>
        <v/>
      </c>
      <c r="E73" s="8">
        <f>'balance_raw_28158254'!$E$50</f>
        <v/>
      </c>
      <c r="F73" s="8">
        <f>'balance_raw_28158254'!$F$50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'balance_raw_28158254'!$B$51</f>
        <v/>
      </c>
      <c r="C74" s="5">
        <f>'balance_raw_28158254'!$C$51</f>
        <v/>
      </c>
      <c r="D74" s="5">
        <f>'balance_raw_28158254'!$D$51</f>
        <v/>
      </c>
      <c r="E74" s="5">
        <f>'balance_raw_28158254'!$E$51</f>
        <v/>
      </c>
      <c r="F74" s="5">
        <f>'balance_raw_28158254'!$F$51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'balance_raw_28158254'!$B$52</f>
        <v/>
      </c>
      <c r="C75" s="8">
        <f>'balance_raw_28158254'!$C$52</f>
        <v/>
      </c>
      <c r="D75" s="8">
        <f>'balance_raw_28158254'!$D$52</f>
        <v/>
      </c>
      <c r="E75" s="8">
        <f>'balance_raw_28158254'!$E$52</f>
        <v/>
      </c>
      <c r="F75" s="8">
        <f>'balance_raw_28158254'!$F$52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'balance_raw_28158254'!$B$53</f>
        <v/>
      </c>
      <c r="C76" s="5">
        <f>'balance_raw_28158254'!$C$53</f>
        <v/>
      </c>
      <c r="D76" s="5">
        <f>'balance_raw_28158254'!$D$53</f>
        <v/>
      </c>
      <c r="E76" s="5">
        <f>'balance_raw_28158254'!$E$53</f>
        <v/>
      </c>
      <c r="F76" s="5">
        <f>'balance_raw_28158254'!$F$53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'balance_raw_28158254'!$B$54</f>
        <v/>
      </c>
      <c r="C77" s="8">
        <f>'balance_raw_28158254'!$C$54</f>
        <v/>
      </c>
      <c r="D77" s="8">
        <f>'balance_raw_28158254'!$D$54</f>
        <v/>
      </c>
      <c r="E77" s="8">
        <f>'balance_raw_28158254'!$E$54</f>
        <v/>
      </c>
      <c r="F77" s="8">
        <f>'balance_raw_28158254'!$F$54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'balance_raw_28158254'!$B$55</f>
        <v/>
      </c>
      <c r="C78" s="5">
        <f>'balance_raw_28158254'!$C$55</f>
        <v/>
      </c>
      <c r="D78" s="5">
        <f>'balance_raw_28158254'!$D$55</f>
        <v/>
      </c>
      <c r="E78" s="5">
        <f>'balance_raw_28158254'!$E$55</f>
        <v/>
      </c>
      <c r="F78" s="5">
        <f>'balance_raw_28158254'!$F$55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'balance_raw_28158254'!$B$56</f>
        <v/>
      </c>
      <c r="C79" s="8">
        <f>'balance_raw_28158254'!$C$56</f>
        <v/>
      </c>
      <c r="D79" s="8">
        <f>'balance_raw_28158254'!$D$56</f>
        <v/>
      </c>
      <c r="E79" s="8">
        <f>'balance_raw_28158254'!$E$56</f>
        <v/>
      </c>
      <c r="F79" s="8">
        <f>'balance_raw_28158254'!$F$56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'balance_raw_28158254'!$B$57</f>
        <v/>
      </c>
      <c r="C80" s="11">
        <f>'balance_raw_28158254'!$C$57</f>
        <v/>
      </c>
      <c r="D80" s="11">
        <f>'balance_raw_28158254'!$D$57</f>
        <v/>
      </c>
      <c r="E80" s="11">
        <f>'balance_raw_28158254'!$E$57</f>
        <v/>
      </c>
      <c r="F80" s="11">
        <f>'balance_raw_28158254'!$F$57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'balance_raw_28158254'!$B$58</f>
        <v/>
      </c>
      <c r="C81" s="11">
        <f>'balance_raw_28158254'!$C$58</f>
        <v/>
      </c>
      <c r="D81" s="11">
        <f>'balance_raw_28158254'!$D$58</f>
        <v/>
      </c>
      <c r="E81" s="11">
        <f>'balance_raw_28158254'!$E$58</f>
        <v/>
      </c>
      <c r="F81" s="11">
        <f>'balance_raw_28158254'!$F$58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'balance_raw_28158254'!$B$59</f>
        <v/>
      </c>
      <c r="C82" s="11">
        <f>'balance_raw_28158254'!$C$59</f>
        <v/>
      </c>
      <c r="D82" s="11">
        <f>'balance_raw_28158254'!$D$59</f>
        <v/>
      </c>
      <c r="E82" s="11">
        <f>'balance_raw_28158254'!$E$59</f>
        <v/>
      </c>
      <c r="F82" s="11">
        <f>'balance_raw_28158254'!$F$59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'res_raw_28158254'!$B$19</f>
        <v/>
      </c>
      <c r="C85" s="8">
        <f>'res_raw_28158254'!$C$19</f>
        <v/>
      </c>
      <c r="D85" s="8">
        <f>'res_raw_28158254'!$D$19</f>
        <v/>
      </c>
      <c r="E85" s="8">
        <f>'res_raw_28158254'!$E$19</f>
        <v/>
      </c>
      <c r="F85" s="8">
        <f>'res_raw_28158254'!$F$19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'res_raw_28158254'!$B$20</f>
        <v/>
      </c>
      <c r="C86" s="5">
        <f>'res_raw_28158254'!$C$20</f>
        <v/>
      </c>
      <c r="D86" s="5">
        <f>'res_raw_28158254'!$D$20</f>
        <v/>
      </c>
      <c r="E86" s="5">
        <f>'res_raw_28158254'!$E$20</f>
        <v/>
      </c>
      <c r="F86" s="5">
        <f>'res_raw_28158254'!$F$20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 (af bruttofortjeneste), %</t>
        </is>
      </c>
      <c r="B90" s="14">
        <f>IFERROR(($B$13+$B$15+$B$14)/$B$8*100,"")</f>
        <v/>
      </c>
      <c r="C90" s="14">
        <f>IFERROR(($C$13+$C$15+$C$14)/$C$8*100,"")</f>
        <v/>
      </c>
      <c r="D90" s="14">
        <f>IFERROR(($D$13+$D$15+$D$14)/$D$8*100,"")</f>
        <v/>
      </c>
      <c r="E90" s="14">
        <f>IFERROR(($E$13+$E$15+$E$14)/$E$8*100,"")</f>
        <v/>
      </c>
      <c r="F90" s="14">
        <f>IFERROR(($F$13+$F$15+$F$14)/$F$8*100,"")</f>
        <v/>
      </c>
    </row>
    <row r="91" ht="16" customHeight="1">
      <c r="A91" s="7" t="inlineStr">
        <is>
          <t>Aktivernes omsætningshastighed (af bruttofortjeneste), gange</t>
        </is>
      </c>
      <c r="B91" s="13">
        <f>IFERROR($B$8/$B$52,"")</f>
        <v/>
      </c>
      <c r="C91" s="13">
        <f>IFERROR($C$8/$C$52,"")</f>
        <v/>
      </c>
      <c r="D91" s="13">
        <f>IFERROR($D$8/$D$52,"")</f>
        <v/>
      </c>
      <c r="E91" s="13">
        <f>IFERROR($E$8/$E$52,"")</f>
        <v/>
      </c>
      <c r="F91" s="13">
        <f>IFERROR($F$8/$F$52,"")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'pengestrom_raw_28158254'!$B$2</f>
        <v/>
      </c>
      <c r="C102" s="17">
        <f>'pengestrom_raw_28158254'!$C$2</f>
        <v/>
      </c>
      <c r="D102" s="17">
        <f>'pengestrom_raw_28158254'!$D$2</f>
        <v/>
      </c>
      <c r="E102" s="17">
        <f>'pengestrom_raw_28158254'!$E$2</f>
        <v/>
      </c>
      <c r="F102" s="17">
        <f>'pengestrom_raw_28158254'!$F$2</f>
        <v/>
      </c>
    </row>
    <row r="103">
      <c r="A103" s="16" t="inlineStr">
        <is>
          <t>Pengestrømme fra investeringsaktivitet</t>
        </is>
      </c>
      <c r="B103" s="17">
        <f>'pengestrom_raw_28158254'!$B$3</f>
        <v/>
      </c>
      <c r="C103" s="17">
        <f>'pengestrom_raw_28158254'!$C$3</f>
        <v/>
      </c>
      <c r="D103" s="17">
        <f>'pengestrom_raw_28158254'!$D$3</f>
        <v/>
      </c>
      <c r="E103" s="17">
        <f>'pengestrom_raw_28158254'!$E$3</f>
        <v/>
      </c>
      <c r="F103" s="17">
        <f>'pengestrom_raw_28158254'!$F$3</f>
        <v/>
      </c>
    </row>
    <row r="104">
      <c r="A104" s="16" t="inlineStr">
        <is>
          <t>Pengestrømme fra finansieringsaktivitet</t>
        </is>
      </c>
      <c r="B104" s="17">
        <f>'pengestrom_raw_28158254'!$B$4</f>
        <v/>
      </c>
      <c r="C104" s="17">
        <f>'pengestrom_raw_28158254'!$C$4</f>
        <v/>
      </c>
      <c r="D104" s="17">
        <f>'pengestrom_raw_28158254'!$D$4</f>
        <v/>
      </c>
      <c r="E104" s="17">
        <f>'pengestrom_raw_28158254'!$E$4</f>
        <v/>
      </c>
      <c r="F104" s="17">
        <f>'pengestrom_raw_28158254'!$F$4</f>
        <v/>
      </c>
    </row>
    <row r="105">
      <c r="A105" s="16" t="inlineStr">
        <is>
          <t>Årets pengestrøm (rapporteret)</t>
        </is>
      </c>
      <c r="B105" s="17">
        <f>'pengestrom_raw_28158254'!$B$5</f>
        <v/>
      </c>
      <c r="C105" s="17">
        <f>'pengestrom_raw_28158254'!$C$5</f>
        <v/>
      </c>
      <c r="D105" s="17">
        <f>'pengestrom_raw_28158254'!$D$5</f>
        <v/>
      </c>
      <c r="E105" s="17">
        <f>'pengestrom_raw_28158254'!$E$5</f>
        <v/>
      </c>
      <c r="F105" s="17">
        <f>'pengestrom_raw_28158254'!$F$5</f>
        <v/>
      </c>
    </row>
    <row r="106">
      <c r="A106" s="16" t="inlineStr">
        <is>
          <t>Krydstjek: drift + inv. + fin. = årets pengestrøm</t>
        </is>
      </c>
      <c r="B106">
        <f>IF(ABS(('pengestrom_raw_28158254'!$B$2+'pengestrom_raw_28158254'!$B$3+'pengestrom_raw_28158254'!$B$4)-'pengestrom_raw_28158254'!$B$5)&lt;=2,"✓","⚠ "&amp;TEXT(('pengestrom_raw_28158254'!$B$2+'pengestrom_raw_28158254'!$B$3+'pengestrom_raw_28158254'!$B$4)-'pengestrom_raw_28158254'!$B$5,"+#,##0;-#,##0"))</f>
        <v/>
      </c>
      <c r="C106">
        <f>IF(ABS(('pengestrom_raw_28158254'!$C$2+'pengestrom_raw_28158254'!$C$3+'pengestrom_raw_28158254'!$C$4)-'pengestrom_raw_28158254'!$C$5)&lt;=2,"✓","⚠ "&amp;TEXT(('pengestrom_raw_28158254'!$C$2+'pengestrom_raw_28158254'!$C$3+'pengestrom_raw_28158254'!$C$4)-'pengestrom_raw_28158254'!$C$5,"+#,##0;-#,##0"))</f>
        <v/>
      </c>
      <c r="D106">
        <f>IF(ABS(('pengestrom_raw_28158254'!$D$2+'pengestrom_raw_28158254'!$D$3+'pengestrom_raw_28158254'!$D$4)-'pengestrom_raw_28158254'!$D$5)&lt;=2,"✓","⚠ "&amp;TEXT(('pengestrom_raw_28158254'!$D$2+'pengestrom_raw_28158254'!$D$3+'pengestrom_raw_28158254'!$D$4)-'pengestrom_raw_28158254'!$D$5,"+#,##0;-#,##0"))</f>
        <v/>
      </c>
      <c r="E106">
        <f>IF(ABS(('pengestrom_raw_28158254'!$E$2+'pengestrom_raw_28158254'!$E$3+'pengestrom_raw_28158254'!$E$4)-'pengestrom_raw_28158254'!$E$5)&lt;=2,"✓","⚠ "&amp;TEXT(('pengestrom_raw_28158254'!$E$2+'pengestrom_raw_28158254'!$E$3+'pengestrom_raw_28158254'!$E$4)-'pengestrom_raw_28158254'!$E$5,"+#,##0;-#,##0"))</f>
        <v/>
      </c>
      <c r="F106">
        <f>IF(ABS(('pengestrom_raw_28158254'!$F$2+'pengestrom_raw_28158254'!$F$3+'pengestrom_raw_28158254'!$F$4)-'pengestrom_raw_28158254'!$F$5)&lt;=2,"✓","⚠ "&amp;TEXT(('pengestrom_raw_28158254'!$F$2+'pengestrom_raw_28158254'!$F$3+'pengestrom_raw_28158254'!$F$4)-'pengestrom_raw_28158254'!$F$5,"+#,##0;-#,##0"))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Bojsen Biler A/S (CVR 28158254)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/>
      <c r="C3" s="17" t="n">
        <v>-5952</v>
      </c>
      <c r="D3" s="17" t="n">
        <v>-342</v>
      </c>
      <c r="E3" s="17" t="n">
        <v>0</v>
      </c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30467</v>
      </c>
      <c r="C6" s="17" t="n">
        <v>22947</v>
      </c>
      <c r="D6" s="17" t="n">
        <v>17133</v>
      </c>
      <c r="E6" s="17" t="n">
        <v>14043</v>
      </c>
      <c r="F6" s="17" t="n">
        <v>15249</v>
      </c>
    </row>
    <row r="7">
      <c r="A7" s="16" t="inlineStr">
        <is>
          <t>Personaleomkostninger</t>
        </is>
      </c>
      <c r="B7" s="17" t="n">
        <v>22534</v>
      </c>
      <c r="C7" s="17" t="n">
        <v>15473</v>
      </c>
      <c r="D7" s="17" t="n">
        <v>13375</v>
      </c>
      <c r="E7" s="17" t="n">
        <v>11495</v>
      </c>
      <c r="F7" s="17" t="n">
        <v>12151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1254</v>
      </c>
      <c r="C9" s="17" t="n">
        <v>937</v>
      </c>
      <c r="D9" s="17" t="n">
        <v>834</v>
      </c>
      <c r="E9" s="17" t="n">
        <v>558</v>
      </c>
      <c r="F9" s="17" t="n">
        <v>476</v>
      </c>
    </row>
    <row r="10">
      <c r="A10" s="16" t="inlineStr">
        <is>
          <t>Andre driftsomkostninger</t>
        </is>
      </c>
      <c r="B10" s="17" t="n">
        <v>328</v>
      </c>
      <c r="C10" s="17" t="n">
        <v>0</v>
      </c>
      <c r="D10" s="17" t="n">
        <v>441</v>
      </c>
      <c r="E10" s="17" t="n">
        <v>0</v>
      </c>
      <c r="F10" s="17" t="n">
        <v>1100</v>
      </c>
    </row>
    <row r="11">
      <c r="A11" s="15" t="inlineStr">
        <is>
          <t>Resultat af primær drift</t>
        </is>
      </c>
      <c r="B11" s="17" t="n">
        <v>6351</v>
      </c>
      <c r="C11" s="17" t="n">
        <v>6537</v>
      </c>
      <c r="D11" s="17" t="n">
        <v>2484</v>
      </c>
      <c r="E11" s="17" t="n">
        <v>1990</v>
      </c>
      <c r="F11" s="17" t="n">
        <v>1522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37</v>
      </c>
      <c r="C13" s="17" t="n">
        <v>16</v>
      </c>
      <c r="D13" s="17" t="n">
        <v>45</v>
      </c>
      <c r="E13" s="17" t="n">
        <v>73</v>
      </c>
      <c r="F13" s="17" t="n">
        <v>90</v>
      </c>
    </row>
    <row r="14">
      <c r="A14" s="16" t="inlineStr">
        <is>
          <t>Finansielle omkostninger</t>
        </is>
      </c>
      <c r="B14" s="17" t="n">
        <v>488</v>
      </c>
      <c r="C14" s="17" t="n">
        <v>611</v>
      </c>
      <c r="D14" s="17" t="n">
        <v>1016</v>
      </c>
      <c r="E14" s="17" t="n">
        <v>1024</v>
      </c>
      <c r="F14" s="17" t="n">
        <v>720</v>
      </c>
    </row>
    <row r="15">
      <c r="A15" s="15" t="inlineStr">
        <is>
          <t>Finansielle poster, netto</t>
        </is>
      </c>
      <c r="B15" s="17" t="n">
        <v>427</v>
      </c>
      <c r="C15" s="17" t="n">
        <v>595</v>
      </c>
      <c r="D15" s="17" t="n">
        <v>959</v>
      </c>
      <c r="E15" s="17" t="n">
        <v>928</v>
      </c>
      <c r="F15" s="17" t="n">
        <v>-631</v>
      </c>
    </row>
    <row r="16">
      <c r="A16" s="15" t="inlineStr">
        <is>
          <t>Resultat før skat</t>
        </is>
      </c>
      <c r="B16" s="17" t="n">
        <v>5923</v>
      </c>
      <c r="C16" s="17" t="n">
        <v>5942</v>
      </c>
      <c r="D16" s="17" t="n">
        <v>1524</v>
      </c>
      <c r="E16" s="17" t="n">
        <v>1062</v>
      </c>
      <c r="F16" s="17" t="n">
        <v>891</v>
      </c>
    </row>
    <row r="17">
      <c r="A17" s="16" t="inlineStr">
        <is>
          <t>Skat af årets resultat</t>
        </is>
      </c>
      <c r="B17" s="17" t="n">
        <v>1305</v>
      </c>
      <c r="C17" s="17" t="n">
        <v>1308</v>
      </c>
      <c r="D17" s="17" t="n">
        <v>336</v>
      </c>
      <c r="E17" s="17" t="n">
        <v>234</v>
      </c>
      <c r="F17" s="17" t="n">
        <v>197</v>
      </c>
    </row>
    <row r="18">
      <c r="A18" s="15" t="inlineStr">
        <is>
          <t>Årets resultat</t>
        </is>
      </c>
      <c r="B18" s="17" t="n">
        <v>4618</v>
      </c>
      <c r="C18" s="17" t="n">
        <v>4634</v>
      </c>
      <c r="D18" s="17" t="n">
        <v>1188</v>
      </c>
      <c r="E18" s="17" t="n">
        <v>828</v>
      </c>
      <c r="F18" s="17" t="n">
        <v>695</v>
      </c>
    </row>
    <row r="19">
      <c r="A19" s="16" t="inlineStr">
        <is>
          <t>Gns. antal medarbejdere</t>
        </is>
      </c>
      <c r="B19" s="17" t="n">
        <v>60</v>
      </c>
      <c r="C19" s="17" t="n">
        <v>35</v>
      </c>
      <c r="D19" s="17" t="n">
        <v>30</v>
      </c>
      <c r="E19" s="17" t="n">
        <v>28</v>
      </c>
      <c r="F19" s="17" t="n">
        <v>27</v>
      </c>
    </row>
    <row r="20">
      <c r="A20" s="16" t="inlineStr">
        <is>
          <t>Investering i materielle anlægsaktiver</t>
        </is>
      </c>
      <c r="B20" s="17" t="n">
        <v>421</v>
      </c>
      <c r="C20" s="17" t="n">
        <v>109</v>
      </c>
      <c r="D20" s="17" t="n">
        <v>205</v>
      </c>
      <c r="E20" s="17" t="n">
        <v>400</v>
      </c>
      <c r="F20" s="17" t="n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Bojsen Biler A/S (CVR 28158254)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1290</v>
      </c>
      <c r="C4" s="17" t="n">
        <v>942</v>
      </c>
      <c r="D4" s="17" t="n">
        <v>562</v>
      </c>
      <c r="E4" s="17" t="n">
        <v>238</v>
      </c>
      <c r="F4" s="17" t="n">
        <v>0</v>
      </c>
    </row>
    <row r="5">
      <c r="A5" s="15" t="inlineStr">
        <is>
          <t>Immaterielle anlægsaktiver</t>
        </is>
      </c>
      <c r="B5" s="17" t="n">
        <v>1290</v>
      </c>
      <c r="C5" s="17" t="n">
        <v>942</v>
      </c>
      <c r="D5" s="17" t="n">
        <v>562</v>
      </c>
      <c r="E5" s="17" t="n">
        <v>238</v>
      </c>
      <c r="F5" s="17" t="n">
        <v>0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2388</v>
      </c>
      <c r="C8" s="17" t="n">
        <v>1064</v>
      </c>
      <c r="D8" s="17" t="n">
        <v>708</v>
      </c>
      <c r="E8" s="17" t="n">
        <v>873</v>
      </c>
      <c r="F8" s="17" t="n">
        <v>760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2388</v>
      </c>
      <c r="C11" s="17" t="n">
        <v>1064</v>
      </c>
      <c r="D11" s="17" t="n">
        <v>708</v>
      </c>
      <c r="E11" s="17" t="n">
        <v>873</v>
      </c>
      <c r="F11" s="17" t="n">
        <v>760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1211</v>
      </c>
      <c r="C13" s="17" t="n">
        <v>211</v>
      </c>
      <c r="D13" s="17" t="n">
        <v>187</v>
      </c>
      <c r="E13" s="17" t="n">
        <v>166</v>
      </c>
      <c r="F13" s="17" t="n"/>
    </row>
    <row r="14">
      <c r="A14" s="15" t="inlineStr">
        <is>
          <t>Finansielle anlægsaktiver</t>
        </is>
      </c>
      <c r="B14" s="17" t="n">
        <v>1211</v>
      </c>
      <c r="C14" s="17" t="n">
        <v>211</v>
      </c>
      <c r="D14" s="17" t="n">
        <v>187</v>
      </c>
      <c r="E14" s="17" t="n">
        <v>166</v>
      </c>
      <c r="F14" s="17" t="n"/>
    </row>
    <row r="15">
      <c r="A15" s="15" t="inlineStr">
        <is>
          <t>Anlægsaktiver</t>
        </is>
      </c>
      <c r="B15" s="17" t="n">
        <v>4889</v>
      </c>
      <c r="C15" s="17" t="n">
        <v>2217</v>
      </c>
      <c r="D15" s="17" t="n">
        <v>1456</v>
      </c>
      <c r="E15" s="17" t="n">
        <v>1277</v>
      </c>
      <c r="F15" s="17" t="n">
        <v>760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41212</v>
      </c>
      <c r="C18" s="17" t="n">
        <v>37616</v>
      </c>
      <c r="D18" s="17" t="n">
        <v>37752</v>
      </c>
      <c r="E18" s="17" t="n">
        <v>26821</v>
      </c>
      <c r="F18" s="17" t="n">
        <v>25595</v>
      </c>
    </row>
    <row r="19">
      <c r="A19" s="15" t="inlineStr">
        <is>
          <t>Varebeholdninger</t>
        </is>
      </c>
      <c r="B19" s="17" t="n">
        <v>41212</v>
      </c>
      <c r="C19" s="17" t="n">
        <v>37616</v>
      </c>
      <c r="D19" s="17" t="n">
        <v>37752</v>
      </c>
      <c r="E19" s="17" t="n">
        <v>26821</v>
      </c>
      <c r="F19" s="17" t="n">
        <v>25595</v>
      </c>
    </row>
    <row r="20">
      <c r="A20" s="16" t="inlineStr">
        <is>
          <t>Tilgodehavender fra salg og tjenesteydelser</t>
        </is>
      </c>
      <c r="B20" s="17" t="n">
        <v>12493</v>
      </c>
      <c r="C20" s="17" t="n">
        <v>7198</v>
      </c>
      <c r="D20" s="17" t="n">
        <v>5934</v>
      </c>
      <c r="E20" s="17" t="n">
        <v>5733</v>
      </c>
      <c r="F20" s="17" t="n">
        <v>6045</v>
      </c>
    </row>
    <row r="21">
      <c r="A21" s="16" t="inlineStr">
        <is>
          <t>Tilgodehavender hos tilknyttede virksomheder</t>
        </is>
      </c>
      <c r="B21" s="17" t="n">
        <v>2531</v>
      </c>
      <c r="C21" s="17" t="n">
        <v>192</v>
      </c>
      <c r="D21" s="17" t="n">
        <v>1276</v>
      </c>
      <c r="E21" s="17" t="n">
        <v>3972</v>
      </c>
      <c r="F21" s="17" t="n">
        <v>7475</v>
      </c>
    </row>
    <row r="22">
      <c r="A22" s="16" t="inlineStr">
        <is>
          <t>Andre tilgodehavender</t>
        </is>
      </c>
      <c r="B22" s="17" t="n">
        <v>0</v>
      </c>
      <c r="C22" s="17" t="n"/>
      <c r="D22" s="17" t="n"/>
      <c r="E22" s="17" t="n"/>
      <c r="F22" s="17" t="n">
        <v>23</v>
      </c>
    </row>
    <row r="23">
      <c r="A23" s="16" t="inlineStr">
        <is>
          <t>Periodeafgrænsningsposter (aktiver)</t>
        </is>
      </c>
      <c r="B23" s="17" t="n">
        <v>849</v>
      </c>
      <c r="C23" s="17" t="n">
        <v>579</v>
      </c>
      <c r="D23" s="17" t="n">
        <v>472</v>
      </c>
      <c r="E23" s="17" t="n">
        <v>614</v>
      </c>
      <c r="F23" s="17" t="n">
        <v>555</v>
      </c>
    </row>
    <row r="24">
      <c r="A24" s="16" t="inlineStr">
        <is>
          <t>Udskudt skatteaktiv</t>
        </is>
      </c>
      <c r="B24" s="17" t="n">
        <v>485</v>
      </c>
      <c r="C24" s="17" t="n">
        <v>90</v>
      </c>
      <c r="D24" s="17" t="n">
        <v>3</v>
      </c>
      <c r="E24" s="17" t="n">
        <v>0</v>
      </c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16357</v>
      </c>
      <c r="C27" s="17" t="n">
        <v>8058</v>
      </c>
      <c r="D27" s="17" t="n">
        <v>7684</v>
      </c>
      <c r="E27" s="17" t="n">
        <v>10320</v>
      </c>
      <c r="F27" s="17" t="n">
        <v>14099</v>
      </c>
    </row>
    <row r="28">
      <c r="A28" s="16" t="inlineStr">
        <is>
          <t>Værdipapirer</t>
        </is>
      </c>
      <c r="B28" s="17" t="n">
        <v>37</v>
      </c>
      <c r="C28" s="17" t="n">
        <v>37</v>
      </c>
      <c r="D28" s="17" t="n">
        <v>37</v>
      </c>
      <c r="E28" s="17" t="n">
        <v>37</v>
      </c>
      <c r="F28" s="17" t="n">
        <v>37</v>
      </c>
    </row>
    <row r="29">
      <c r="A29" s="16" t="inlineStr">
        <is>
          <t>Likvide beholdninger</t>
        </is>
      </c>
      <c r="B29" s="17" t="n">
        <v>24</v>
      </c>
      <c r="C29" s="17" t="n">
        <v>2</v>
      </c>
      <c r="D29" s="17" t="n">
        <v>12</v>
      </c>
      <c r="E29" s="17" t="n">
        <v>1</v>
      </c>
      <c r="F29" s="17" t="n">
        <v>3</v>
      </c>
    </row>
    <row r="30">
      <c r="A30" s="15" t="inlineStr">
        <is>
          <t>Omsætningsaktiver</t>
        </is>
      </c>
      <c r="B30" s="17" t="n">
        <v>57631</v>
      </c>
      <c r="C30" s="17" t="n">
        <v>45714</v>
      </c>
      <c r="D30" s="17" t="n">
        <v>45486</v>
      </c>
      <c r="E30" s="17" t="n">
        <v>37179</v>
      </c>
      <c r="F30" s="17" t="n">
        <v>39734</v>
      </c>
    </row>
    <row r="31">
      <c r="A31" s="15" t="inlineStr">
        <is>
          <t>Aktiver</t>
        </is>
      </c>
      <c r="B31" s="17" t="n">
        <v>62519</v>
      </c>
      <c r="C31" s="17" t="n">
        <v>47931</v>
      </c>
      <c r="D31" s="17" t="n">
        <v>46942</v>
      </c>
      <c r="E31" s="17" t="n">
        <v>38456</v>
      </c>
      <c r="F31" s="17" t="n">
        <v>40494</v>
      </c>
    </row>
    <row r="32">
      <c r="A32" s="16" t="inlineStr">
        <is>
          <t>Selskabskapital</t>
        </is>
      </c>
      <c r="B32" s="17" t="n">
        <v>3854</v>
      </c>
      <c r="C32" s="17" t="n">
        <v>3854</v>
      </c>
      <c r="D32" s="17" t="n">
        <v>3854</v>
      </c>
      <c r="E32" s="17" t="n">
        <v>3854</v>
      </c>
      <c r="F32" s="17" t="n">
        <v>3854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6722</v>
      </c>
      <c r="C37" s="17" t="n">
        <v>10356</v>
      </c>
      <c r="D37" s="17" t="n">
        <v>10544</v>
      </c>
      <c r="E37" s="17" t="n">
        <v>10572</v>
      </c>
      <c r="F37" s="17" t="n">
        <v>10567</v>
      </c>
    </row>
    <row r="38">
      <c r="A38" s="15" t="inlineStr">
        <is>
          <t>Egenkapital i alt</t>
        </is>
      </c>
      <c r="B38" s="17" t="n">
        <v>14576</v>
      </c>
      <c r="C38" s="17" t="n">
        <v>15210</v>
      </c>
      <c r="D38" s="17" t="n">
        <v>15398</v>
      </c>
      <c r="E38" s="17" t="n">
        <v>15226</v>
      </c>
      <c r="F38" s="17" t="n">
        <v>15121</v>
      </c>
    </row>
    <row r="39">
      <c r="A39" s="16" t="inlineStr">
        <is>
          <t>Hensættelse til udskudt skat</t>
        </is>
      </c>
      <c r="B39" s="17" t="n">
        <v>0</v>
      </c>
      <c r="C39" s="17" t="n"/>
      <c r="D39" s="17" t="n"/>
      <c r="E39" s="17" t="n">
        <v>60</v>
      </c>
      <c r="F39" s="17" t="n">
        <v>66</v>
      </c>
    </row>
    <row r="40">
      <c r="A40" s="15" t="inlineStr">
        <is>
          <t>Hensatte forpligtelser</t>
        </is>
      </c>
      <c r="B40" s="17" t="n">
        <v>0</v>
      </c>
      <c r="C40" s="17" t="n"/>
      <c r="D40" s="17" t="n">
        <v>272</v>
      </c>
      <c r="E40" s="17" t="n">
        <v>343</v>
      </c>
      <c r="F40" s="17" t="n">
        <v>200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1167</v>
      </c>
      <c r="C44" s="17" t="n">
        <v>1065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1167</v>
      </c>
      <c r="C45" s="17" t="n">
        <v>1065</v>
      </c>
      <c r="D45" s="17" t="n">
        <v>1102</v>
      </c>
      <c r="E45" s="17" t="n">
        <v>1050</v>
      </c>
      <c r="F45" s="17" t="n">
        <v>1051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21915</v>
      </c>
      <c r="C48" s="17" t="n">
        <v>20393</v>
      </c>
      <c r="D48" s="17" t="n">
        <v>24291</v>
      </c>
      <c r="E48" s="17" t="n">
        <v>16885</v>
      </c>
      <c r="F48" s="17" t="n">
        <v>20237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17700</v>
      </c>
      <c r="C50" s="17" t="n">
        <v>5095</v>
      </c>
      <c r="D50" s="17" t="n">
        <v>2256</v>
      </c>
      <c r="E50" s="17" t="n">
        <v>1464</v>
      </c>
      <c r="F50" s="17" t="n">
        <v>1548</v>
      </c>
    </row>
    <row r="51">
      <c r="A51" s="16" t="inlineStr">
        <is>
          <t>Gæld til tilknyttede virksomheder</t>
        </is>
      </c>
      <c r="B51" s="17" t="n">
        <v>60</v>
      </c>
      <c r="C51" s="17" t="n">
        <v>484</v>
      </c>
      <c r="D51" s="17" t="n">
        <v>0</v>
      </c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1874</v>
      </c>
      <c r="C53" s="17" t="n">
        <v>913</v>
      </c>
      <c r="D53" s="17" t="n">
        <v>249</v>
      </c>
      <c r="E53" s="17" t="n">
        <v>172</v>
      </c>
      <c r="F53" s="17" t="n">
        <v>190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3314</v>
      </c>
      <c r="C55" s="17" t="n">
        <v>2660</v>
      </c>
      <c r="D55" s="17" t="n">
        <v>1977</v>
      </c>
      <c r="E55" s="17" t="n">
        <v>2480</v>
      </c>
      <c r="F55" s="17" t="n">
        <v>1782</v>
      </c>
    </row>
    <row r="56">
      <c r="A56" s="16" t="inlineStr">
        <is>
          <t>Periodeafgrænsningsposter (passiver)</t>
        </is>
      </c>
      <c r="B56" s="17" t="n">
        <v>1912</v>
      </c>
      <c r="C56" s="17" t="n">
        <v>2109</v>
      </c>
      <c r="D56" s="17" t="n">
        <v>1396</v>
      </c>
      <c r="E56" s="17" t="n">
        <v>837</v>
      </c>
      <c r="F56" s="17" t="n">
        <v>365</v>
      </c>
    </row>
    <row r="57">
      <c r="A57" s="15" t="inlineStr">
        <is>
          <t>Kortfristede gældsforpligtelser</t>
        </is>
      </c>
      <c r="B57" s="17" t="n">
        <v>46776</v>
      </c>
      <c r="C57" s="17" t="n">
        <v>31656</v>
      </c>
      <c r="D57" s="17" t="n">
        <v>30169</v>
      </c>
      <c r="E57" s="17" t="n">
        <v>21837</v>
      </c>
      <c r="F57" s="17" t="n">
        <v>24123</v>
      </c>
    </row>
    <row r="58">
      <c r="A58" s="15" t="inlineStr">
        <is>
          <t>Gældsforpligtelser</t>
        </is>
      </c>
      <c r="B58" s="17" t="n">
        <v>47943</v>
      </c>
      <c r="C58" s="17" t="n">
        <v>32720</v>
      </c>
      <c r="D58" s="17" t="n">
        <v>31271</v>
      </c>
      <c r="E58" s="17" t="n">
        <v>22887</v>
      </c>
      <c r="F58" s="17" t="n">
        <v>25173</v>
      </c>
    </row>
    <row r="59">
      <c r="A59" s="15" t="inlineStr">
        <is>
          <t>Passiver</t>
        </is>
      </c>
      <c r="B59" s="17" t="n">
        <v>62519</v>
      </c>
      <c r="C59" s="17" t="n">
        <v>47931</v>
      </c>
      <c r="D59" s="17" t="n">
        <v>46942</v>
      </c>
      <c r="E59" s="17" t="n">
        <v>38456</v>
      </c>
      <c r="F59" s="17" t="n">
        <v>40494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Bojsen Biler A/S (CVR 28158254)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-2845</v>
      </c>
      <c r="C2" s="17" t="n">
        <v>-211</v>
      </c>
      <c r="D2" s="17" t="n">
        <v>-2281</v>
      </c>
      <c r="E2" s="17" t="n">
        <v>9076</v>
      </c>
      <c r="F2" s="17" t="n">
        <v>-2255</v>
      </c>
    </row>
    <row r="3">
      <c r="A3" s="16" t="inlineStr">
        <is>
          <t>Pengestrømme fra investeringsaktivitet</t>
        </is>
      </c>
      <c r="B3" s="17" t="n">
        <v>-417</v>
      </c>
      <c r="C3" s="17" t="n">
        <v>7687</v>
      </c>
      <c r="D3" s="17" t="n">
        <v>269</v>
      </c>
      <c r="E3" s="17" t="n">
        <v>-379</v>
      </c>
      <c r="F3" s="17" t="n">
        <v>-125</v>
      </c>
    </row>
    <row r="4">
      <c r="A4" s="16" t="inlineStr">
        <is>
          <t>Pengestrømme fra finansieringsaktivitet</t>
        </is>
      </c>
      <c r="B4" s="17" t="n">
        <v>-2043</v>
      </c>
      <c r="C4" s="17" t="n">
        <v>-4102</v>
      </c>
      <c r="D4" s="17" t="n">
        <v>-963</v>
      </c>
      <c r="E4" s="17" t="n">
        <v>-1052</v>
      </c>
      <c r="F4" s="17" t="n">
        <v>-799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Bojsen Biler A/S (CVR 28158254) — Regnskabs- og nøgletal (CVR: 28158254)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'res_raw_28158254'!$F$2</f>
        <v/>
      </c>
      <c r="C5" s="24">
        <f>'res_raw_28158254'!$E$2</f>
        <v/>
      </c>
      <c r="D5" s="24">
        <f>'res_raw_28158254'!$D$2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'res_raw_28158254'!$F$3</f>
        <v/>
      </c>
      <c r="C6" s="24">
        <f>'res_raw_28158254'!$E$3</f>
        <v/>
      </c>
      <c r="D6" s="24">
        <f>'res_raw_28158254'!$D$3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-'res_raw_28158254'!$F$4</f>
        <v/>
      </c>
      <c r="C7" s="24">
        <f>-'res_raw_28158254'!$E$4</f>
        <v/>
      </c>
      <c r="D7" s="24">
        <f>-'res_raw_28158254'!$D$4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-'res_raw_28158254'!$F$5</f>
        <v/>
      </c>
      <c r="C8" s="24">
        <f>-'res_raw_28158254'!$E$5</f>
        <v/>
      </c>
      <c r="D8" s="24">
        <f>-'res_raw_28158254'!$D$5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IF(ABS((SUM(B5:B8))-'res_raw_28158254'!$F$6)&lt;=2,SUM(B5:B8),'res_raw_28158254'!$F$6)</f>
        <v/>
      </c>
      <c r="C9" s="27">
        <f>IF(ABS((SUM(C5:C8))-'res_raw_28158254'!$E$6)&lt;=2,SUM(C5:C8),'res_raw_28158254'!$E$6)</f>
        <v/>
      </c>
      <c r="D9" s="27">
        <f>IF(ABS((SUM(D5:D8))-'res_raw_28158254'!$D$6)&lt;=2,SUM(D5:D8),'res_raw_28158254'!$D$6)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-'res_raw_28158254'!$F$7</f>
        <v/>
      </c>
      <c r="C10" s="24">
        <f>-'res_raw_28158254'!$E$7</f>
        <v/>
      </c>
      <c r="D10" s="24">
        <f>-'res_raw_28158254'!$D$7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-'res_raw_28158254'!$F$9</f>
        <v/>
      </c>
      <c r="C11" s="24">
        <f>-'res_raw_28158254'!$E$9</f>
        <v/>
      </c>
      <c r="D11" s="24">
        <f>-'res_raw_28158254'!$D$9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-'res_raw_28158254'!$F$10</f>
        <v/>
      </c>
      <c r="C12" s="24">
        <f>-'res_raw_28158254'!$E$10</f>
        <v/>
      </c>
      <c r="D12" s="24">
        <f>-'res_raw_28158254'!$D$10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IF(ABS((SUM(B9:B12))-'res_raw_28158254'!$F$11)&lt;=2,SUM(B9:B12),'res_raw_28158254'!$F$11)</f>
        <v/>
      </c>
      <c r="C13" s="27">
        <f>IF(ABS((SUM(C9:C12))-'res_raw_28158254'!$E$11)&lt;=2,SUM(C9:C12),'res_raw_28158254'!$E$11)</f>
        <v/>
      </c>
      <c r="D13" s="27">
        <f>IF(ABS((SUM(D9:D12))-'res_raw_28158254'!$D$11)&lt;=2,SUM(D9:D12),'res_raw_28158254'!$D$11)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N('res_raw_28158254'!$F$12)+N('res_raw_28158254'!$F$13)</f>
        <v/>
      </c>
      <c r="C14" s="24">
        <f>N('res_raw_28158254'!$E$12)+N('res_raw_28158254'!$E$13)</f>
        <v/>
      </c>
      <c r="D14" s="24">
        <f>N('res_raw_28158254'!$D$12)+N('res_raw_28158254'!$D$13)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-'res_raw_28158254'!$F$14</f>
        <v/>
      </c>
      <c r="C15" s="24">
        <f>-'res_raw_28158254'!$E$14</f>
        <v/>
      </c>
      <c r="D15" s="24">
        <f>-'res_raw_28158254'!$D$14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IF(ABS((SUM(B13:B15))-'res_raw_28158254'!$F$16)&lt;=2,SUM(B13:B15),'res_raw_28158254'!$F$16)</f>
        <v/>
      </c>
      <c r="C16" s="27">
        <f>IF(ABS((SUM(C13:C15))-'res_raw_28158254'!$E$16)&lt;=2,SUM(C13:C15),'res_raw_28158254'!$E$16)</f>
        <v/>
      </c>
      <c r="D16" s="27">
        <f>IF(ABS((SUM(D13:D15))-'res_raw_28158254'!$D$16)&lt;=2,SUM(D13:D15),'res_raw_28158254'!$D$16)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'balance_raw_28158254'!$F$15</f>
        <v/>
      </c>
      <c r="C19" s="24">
        <f>'balance_raw_28158254'!$E$15</f>
        <v/>
      </c>
      <c r="D19" s="24">
        <f>'balance_raw_28158254'!$D$15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'balance_raw_28158254'!$F$30</f>
        <v/>
      </c>
      <c r="C20" s="24">
        <f>'balance_raw_28158254'!$E$30</f>
        <v/>
      </c>
      <c r="D20" s="24">
        <f>'balance_raw_28158254'!$D$30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'balance_raw_28158254'!$F$38</f>
        <v/>
      </c>
      <c r="C23" s="24">
        <f>'balance_raw_28158254'!$E$38</f>
        <v/>
      </c>
      <c r="D23" s="24">
        <f>'balance_raw_28158254'!$D$38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'balance_raw_28158254'!$F$59-'balance_raw_28158254'!$F$38</f>
        <v/>
      </c>
      <c r="C24" s="24">
        <f>'balance_raw_28158254'!$E$59-'balance_raw_28158254'!$E$38</f>
        <v/>
      </c>
      <c r="D24" s="24">
        <f>'balance_raw_28158254'!$D$59-'balance_raw_28158254'!$D$38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'balance_raw_28158254'!$F$19</f>
        <v/>
      </c>
      <c r="C28" s="24">
        <f>'balance_raw_28158254'!$E$19</f>
        <v/>
      </c>
      <c r="D28" s="24">
        <f>'balance_raw_28158254'!$D$19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'balance_raw_28158254'!$F$20</f>
        <v/>
      </c>
      <c r="C29" s="24">
        <f>'balance_raw_28158254'!$E$20</f>
        <v/>
      </c>
      <c r="D29" s="24">
        <f>'balance_raw_28158254'!$D$20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'balance_raw_28158254'!$F$57</f>
        <v/>
      </c>
      <c r="C30" s="24">
        <f>'balance_raw_28158254'!$E$57</f>
        <v/>
      </c>
      <c r="D30" s="24">
        <f>'balance_raw_28158254'!$D$57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IF('balance_raw_28158254'!$F$31="","—",IF(ABS(B21-'balance_raw_28158254'!$F$31)&lt;=1,"✓ OK","❌ "&amp;TEXT(B21-'balance_raw_28158254'!$F$31,"+#,##0;-#,##0")&amp;" t.kr."))</f>
        <v/>
      </c>
      <c r="C61" s="29">
        <f>IF('balance_raw_28158254'!$E$31="","—",IF(ABS(C21-'balance_raw_28158254'!$E$31)&lt;=1,"✓ OK","❌ "&amp;TEXT(C21-'balance_raw_28158254'!$E$31,"+#,##0;-#,##0")&amp;" t.kr."))</f>
        <v/>
      </c>
      <c r="D61" s="29">
        <f>IF('balance_raw_28158254'!$D$31="","—",IF(ABS(D21-'balance_raw_28158254'!$D$31)&lt;=1,"✓ OK","❌ "&amp;TEXT(D21-'balance_raw_28158254'!$D$31,"+#,##0;-#,##0")&amp;"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IF('balance_raw_28158254'!$F$59="","—",IF(ABS(B25-'balance_raw_28158254'!$F$59)&lt;=1,"✓ OK","❌ "&amp;TEXT(B25-'balance_raw_28158254'!$F$59,"+#,##0;-#,##0")&amp;" t.kr."))</f>
        <v/>
      </c>
      <c r="C62" s="29">
        <f>IF('balance_raw_28158254'!$E$59="","—",IF(ABS(C25-'balance_raw_28158254'!$E$59)&lt;=1,"✓ OK","❌ "&amp;TEXT(C25-'balance_raw_28158254'!$E$59,"+#,##0;-#,##0")&amp;" t.kr."))</f>
        <v/>
      </c>
      <c r="D62" s="29">
        <f>IF('balance_raw_28158254'!$D$59="","—",IF(ABS(D25-'balance_raw_28158254'!$D$59)&lt;=1,"✓ OK","❌ "&amp;TEXT(D25-'balance_raw_28158254'!$D$59,"+#,##0;-#,##0")&amp;"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IF('res_raw_28158254'!$F$6="","—",IF(ABS(B9-'res_raw_28158254'!$F$6)&lt;=1,"✓ OK","❌ "&amp;TEXT(B9-'res_raw_28158254'!$F$6,"+#,##0;-#,##0")&amp;" t.kr."))</f>
        <v/>
      </c>
      <c r="C64" s="29">
        <f>IF('res_raw_28158254'!$E$6="","—",IF(ABS(C9-'res_raw_28158254'!$E$6)&lt;=1,"✓ OK","❌ "&amp;TEXT(C9-'res_raw_28158254'!$E$6,"+#,##0;-#,##0")&amp;" t.kr."))</f>
        <v/>
      </c>
      <c r="D64" s="29">
        <f>IF('res_raw_28158254'!$D$6="","—",IF(ABS(D9-'res_raw_28158254'!$D$6)&lt;=1,"✓ OK","❌ "&amp;TEXT(D9-'res_raw_28158254'!$D$6,"+#,##0;-#,##0")&amp;"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IF('res_raw_28158254'!$F$11="","—",IF(ABS(B13-'res_raw_28158254'!$F$11)&lt;=1,"✓ OK","❌ "&amp;TEXT(B13-'res_raw_28158254'!$F$11,"+#,##0;-#,##0")&amp;" t.kr."))</f>
        <v/>
      </c>
      <c r="C65" s="29">
        <f>IF('res_raw_28158254'!$E$11="","—",IF(ABS(C13-'res_raw_28158254'!$E$11)&lt;=1,"✓ OK","❌ "&amp;TEXT(C13-'res_raw_28158254'!$E$11,"+#,##0;-#,##0")&amp;" t.kr."))</f>
        <v/>
      </c>
      <c r="D65" s="29">
        <f>IF('res_raw_28158254'!$D$11="","—",IF(ABS(D13-'res_raw_28158254'!$D$11)&lt;=1,"✓ OK","❌ "&amp;TEXT(D13-'res_raw_28158254'!$D$11,"+#,##0;-#,##0")&amp;"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IF('res_raw_28158254'!$F$16="","—",IF(ABS(B16-'res_raw_28158254'!$F$16)&lt;=1,"✓ OK","❌ "&amp;TEXT(B16-'res_raw_28158254'!$F$16,"+#,##0;-#,##0")&amp;" t.kr."))</f>
        <v/>
      </c>
      <c r="C66" s="29">
        <f>IF('res_raw_28158254'!$E$16="","—",IF(ABS(C16-'res_raw_28158254'!$E$16)&lt;=1,"✓ OK","❌ "&amp;TEXT(C16-'res_raw_28158254'!$E$16,"+#,##0;-#,##0")&amp;" t.kr."))</f>
        <v/>
      </c>
      <c r="D66" s="29">
        <f>IF('res_raw_28158254'!$D$16="","—",IF(ABS(D16-'res_raw_28158254'!$D$16)&lt;=1,"✓ OK","❌ "&amp;TEXT(D16-'res_raw_28158254'!$D$16,"+#,##0;-#,##0")&amp;"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2026-10-02T21:11:37Z</dcterms:created>
  <dcterms:modified xmlns:dcterms="http://purl.org/dc/terms/" xmlns:xsi="http://www.w3.org/2001/XMLSchema-instance" xsi:type="dcterms:W3CDTF">2026-10-02T21:11:37Z</dcterms:modified>
</cp:coreProperties>
</file>