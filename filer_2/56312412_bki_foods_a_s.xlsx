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6312412" sheetId="1" state="visible" r:id="rId1"/>
    <sheet xmlns:r="http://schemas.openxmlformats.org/officeDocument/2006/relationships" name="res_raw_56312412" sheetId="2" state="visible" r:id="rId2"/>
    <sheet xmlns:r="http://schemas.openxmlformats.org/officeDocument/2006/relationships" name="balance_raw_56312412" sheetId="3" state="visible" r:id="rId3"/>
    <sheet xmlns:r="http://schemas.openxmlformats.org/officeDocument/2006/relationships" name="pengestrom_raw_56312412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BKI foods a/s (CVR 56312412)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'res_raw_56312412'!$B$2</f>
        <v/>
      </c>
      <c r="C4" s="5">
        <f>'res_raw_56312412'!$C$2</f>
        <v/>
      </c>
      <c r="D4" s="5">
        <f>'res_raw_56312412'!$D$2</f>
        <v/>
      </c>
      <c r="E4" s="5">
        <f>'res_raw_56312412'!$E$2</f>
        <v/>
      </c>
      <c r="F4" s="5">
        <f>'res_raw_56312412'!$F$2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'res_raw_56312412'!$B$3</f>
        <v/>
      </c>
      <c r="C5" s="8">
        <f>'res_raw_56312412'!$C$3</f>
        <v/>
      </c>
      <c r="D5" s="8">
        <f>'res_raw_56312412'!$D$3</f>
        <v/>
      </c>
      <c r="E5" s="8">
        <f>'res_raw_56312412'!$E$3</f>
        <v/>
      </c>
      <c r="F5" s="8">
        <f>'res_raw_56312412'!$F$3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'res_raw_56312412'!$B$4</f>
        <v/>
      </c>
      <c r="C6" s="8">
        <f>'res_raw_56312412'!$C$4</f>
        <v/>
      </c>
      <c r="D6" s="8">
        <f>'res_raw_56312412'!$D$4</f>
        <v/>
      </c>
      <c r="E6" s="8">
        <f>'res_raw_56312412'!$E$4</f>
        <v/>
      </c>
      <c r="F6" s="8">
        <f>'res_raw_56312412'!$F$4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'res_raw_56312412'!$B$5</f>
        <v/>
      </c>
      <c r="C7" s="11">
        <f>'res_raw_56312412'!$C$5</f>
        <v/>
      </c>
      <c r="D7" s="11">
        <f>'res_raw_56312412'!$D$5</f>
        <v/>
      </c>
      <c r="E7" s="11">
        <f>'res_raw_56312412'!$E$5</f>
        <v/>
      </c>
      <c r="F7" s="11">
        <f>'res_raw_56312412'!$F$5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'res_raw_56312412'!$B$6</f>
        <v/>
      </c>
      <c r="C8" s="8">
        <f>'res_raw_56312412'!$C$6</f>
        <v/>
      </c>
      <c r="D8" s="8">
        <f>'res_raw_56312412'!$D$6</f>
        <v/>
      </c>
      <c r="E8" s="8">
        <f>'res_raw_56312412'!$E$6</f>
        <v/>
      </c>
      <c r="F8" s="8">
        <f>'res_raw_56312412'!$F$6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'res_raw_56312412'!$B$7</f>
        <v/>
      </c>
      <c r="C9" s="8">
        <f>'res_raw_56312412'!$C$7</f>
        <v/>
      </c>
      <c r="D9" s="8">
        <f>'res_raw_56312412'!$D$7</f>
        <v/>
      </c>
      <c r="E9" s="8">
        <f>'res_raw_56312412'!$E$7</f>
        <v/>
      </c>
      <c r="F9" s="8">
        <f>'res_raw_56312412'!$F$7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'res_raw_56312412'!$B$8</f>
        <v/>
      </c>
      <c r="C10" s="5">
        <f>'res_raw_56312412'!$C$8</f>
        <v/>
      </c>
      <c r="D10" s="5">
        <f>'res_raw_56312412'!$D$8</f>
        <v/>
      </c>
      <c r="E10" s="5">
        <f>'res_raw_56312412'!$E$8</f>
        <v/>
      </c>
      <c r="F10" s="5">
        <f>'res_raw_56312412'!$F$8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'res_raw_56312412'!$B$9</f>
        <v/>
      </c>
      <c r="C11" s="11">
        <f>'res_raw_56312412'!$C$9</f>
        <v/>
      </c>
      <c r="D11" s="11">
        <f>'res_raw_56312412'!$D$9</f>
        <v/>
      </c>
      <c r="E11" s="11">
        <f>'res_raw_56312412'!$E$9</f>
        <v/>
      </c>
      <c r="F11" s="11">
        <f>'res_raw_56312412'!$F$9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'res_raw_56312412'!$B$10</f>
        <v/>
      </c>
      <c r="C12" s="8">
        <f>'res_raw_56312412'!$C$10</f>
        <v/>
      </c>
      <c r="D12" s="8">
        <f>'res_raw_56312412'!$D$10</f>
        <v/>
      </c>
      <c r="E12" s="8">
        <f>'res_raw_56312412'!$E$10</f>
        <v/>
      </c>
      <c r="F12" s="8">
        <f>'res_raw_56312412'!$F$10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'res_raw_56312412'!$B$11</f>
        <v/>
      </c>
      <c r="C13" s="11">
        <f>'res_raw_56312412'!$C$11</f>
        <v/>
      </c>
      <c r="D13" s="11">
        <f>'res_raw_56312412'!$D$11</f>
        <v/>
      </c>
      <c r="E13" s="11">
        <f>'res_raw_56312412'!$E$11</f>
        <v/>
      </c>
      <c r="F13" s="11">
        <f>'res_raw_56312412'!$F$11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'res_raw_56312412'!$B$12</f>
        <v/>
      </c>
      <c r="C14" s="5">
        <f>'res_raw_56312412'!$C$12</f>
        <v/>
      </c>
      <c r="D14" s="5">
        <f>'res_raw_56312412'!$D$12</f>
        <v/>
      </c>
      <c r="E14" s="5">
        <f>'res_raw_56312412'!$E$12</f>
        <v/>
      </c>
      <c r="F14" s="5">
        <f>'res_raw_56312412'!$F$12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'res_raw_56312412'!$B$13</f>
        <v/>
      </c>
      <c r="C15" s="11">
        <f>'res_raw_56312412'!$C$13</f>
        <v/>
      </c>
      <c r="D15" s="11">
        <f>'res_raw_56312412'!$D$13</f>
        <v/>
      </c>
      <c r="E15" s="11">
        <f>'res_raw_56312412'!$E$13</f>
        <v/>
      </c>
      <c r="F15" s="11">
        <f>'res_raw_56312412'!$F$13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'res_raw_56312412'!$B$14</f>
        <v/>
      </c>
      <c r="C16" s="8">
        <f>'res_raw_56312412'!$C$14</f>
        <v/>
      </c>
      <c r="D16" s="8">
        <f>'res_raw_56312412'!$D$14</f>
        <v/>
      </c>
      <c r="E16" s="8">
        <f>'res_raw_56312412'!$E$14</f>
        <v/>
      </c>
      <c r="F16" s="8">
        <f>'res_raw_56312412'!$F$14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'res_raw_56312412'!$B$15</f>
        <v/>
      </c>
      <c r="C17" s="8">
        <f>'res_raw_56312412'!$C$15</f>
        <v/>
      </c>
      <c r="D17" s="8">
        <f>'res_raw_56312412'!$D$15</f>
        <v/>
      </c>
      <c r="E17" s="8">
        <f>'res_raw_56312412'!$E$15</f>
        <v/>
      </c>
      <c r="F17" s="8">
        <f>'res_raw_56312412'!$F$15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'res_raw_56312412'!$B$16</f>
        <v/>
      </c>
      <c r="C18" s="5">
        <f>'res_raw_56312412'!$C$16</f>
        <v/>
      </c>
      <c r="D18" s="5">
        <f>'res_raw_56312412'!$D$16</f>
        <v/>
      </c>
      <c r="E18" s="5">
        <f>'res_raw_56312412'!$E$16</f>
        <v/>
      </c>
      <c r="F18" s="5">
        <f>'res_raw_56312412'!$F$16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'res_raw_56312412'!$B$17</f>
        <v/>
      </c>
      <c r="C19" s="8">
        <f>'res_raw_56312412'!$C$17</f>
        <v/>
      </c>
      <c r="D19" s="8">
        <f>'res_raw_56312412'!$D$17</f>
        <v/>
      </c>
      <c r="E19" s="8">
        <f>'res_raw_56312412'!$E$17</f>
        <v/>
      </c>
      <c r="F19" s="8">
        <f>'res_raw_56312412'!$F$17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'balance_raw_56312412'!$B$2</f>
        <v/>
      </c>
      <c r="C22" s="5">
        <f>'balance_raw_56312412'!$C$2</f>
        <v/>
      </c>
      <c r="D22" s="5">
        <f>'balance_raw_56312412'!$D$2</f>
        <v/>
      </c>
      <c r="E22" s="5">
        <f>'balance_raw_56312412'!$E$2</f>
        <v/>
      </c>
      <c r="F22" s="5">
        <f>'balance_raw_56312412'!$F$2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'balance_raw_56312412'!$B$3</f>
        <v/>
      </c>
      <c r="C23" s="11">
        <f>'balance_raw_56312412'!$C$3</f>
        <v/>
      </c>
      <c r="D23" s="11">
        <f>'balance_raw_56312412'!$D$3</f>
        <v/>
      </c>
      <c r="E23" s="11">
        <f>'balance_raw_56312412'!$E$3</f>
        <v/>
      </c>
      <c r="F23" s="11">
        <f>'balance_raw_56312412'!$F$3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'balance_raw_56312412'!$B$4</f>
        <v/>
      </c>
      <c r="C24" s="5">
        <f>'balance_raw_56312412'!$C$4</f>
        <v/>
      </c>
      <c r="D24" s="5">
        <f>'balance_raw_56312412'!$D$4</f>
        <v/>
      </c>
      <c r="E24" s="5">
        <f>'balance_raw_56312412'!$E$4</f>
        <v/>
      </c>
      <c r="F24" s="5">
        <f>'balance_raw_56312412'!$F$4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'balance_raw_56312412'!$B$5</f>
        <v/>
      </c>
      <c r="C25" s="8">
        <f>'balance_raw_56312412'!$C$5</f>
        <v/>
      </c>
      <c r="D25" s="8">
        <f>'balance_raw_56312412'!$D$5</f>
        <v/>
      </c>
      <c r="E25" s="8">
        <f>'balance_raw_56312412'!$E$5</f>
        <v/>
      </c>
      <c r="F25" s="8">
        <f>'balance_raw_56312412'!$F$5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'balance_raw_56312412'!$B$6</f>
        <v/>
      </c>
      <c r="C26" s="5">
        <f>'balance_raw_56312412'!$C$6</f>
        <v/>
      </c>
      <c r="D26" s="5">
        <f>'balance_raw_56312412'!$D$6</f>
        <v/>
      </c>
      <c r="E26" s="5">
        <f>'balance_raw_56312412'!$E$6</f>
        <v/>
      </c>
      <c r="F26" s="5">
        <f>'balance_raw_56312412'!$F$6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'balance_raw_56312412'!$B$7</f>
        <v/>
      </c>
      <c r="C27" s="11">
        <f>'balance_raw_56312412'!$C$7</f>
        <v/>
      </c>
      <c r="D27" s="11">
        <f>'balance_raw_56312412'!$D$7</f>
        <v/>
      </c>
      <c r="E27" s="11">
        <f>'balance_raw_56312412'!$E$7</f>
        <v/>
      </c>
      <c r="F27" s="11">
        <f>'balance_raw_56312412'!$F$7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'balance_raw_56312412'!$B$8</f>
        <v/>
      </c>
      <c r="C28" s="5">
        <f>'balance_raw_56312412'!$C$8</f>
        <v/>
      </c>
      <c r="D28" s="5">
        <f>'balance_raw_56312412'!$D$8</f>
        <v/>
      </c>
      <c r="E28" s="5">
        <f>'balance_raw_56312412'!$E$8</f>
        <v/>
      </c>
      <c r="F28" s="5">
        <f>'balance_raw_56312412'!$F$8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'balance_raw_56312412'!$B$9</f>
        <v/>
      </c>
      <c r="C29" s="11">
        <f>'balance_raw_56312412'!$C$9</f>
        <v/>
      </c>
      <c r="D29" s="11">
        <f>'balance_raw_56312412'!$D$9</f>
        <v/>
      </c>
      <c r="E29" s="11">
        <f>'balance_raw_56312412'!$E$9</f>
        <v/>
      </c>
      <c r="F29" s="11">
        <f>'balance_raw_56312412'!$F$9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'balance_raw_56312412'!$B$10</f>
        <v/>
      </c>
      <c r="C30" s="5">
        <f>'balance_raw_56312412'!$C$10</f>
        <v/>
      </c>
      <c r="D30" s="5">
        <f>'balance_raw_56312412'!$D$10</f>
        <v/>
      </c>
      <c r="E30" s="5">
        <f>'balance_raw_56312412'!$E$10</f>
        <v/>
      </c>
      <c r="F30" s="5">
        <f>'balance_raw_56312412'!$F$10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'balance_raw_56312412'!$B$11</f>
        <v/>
      </c>
      <c r="C31" s="8">
        <f>'balance_raw_56312412'!$C$11</f>
        <v/>
      </c>
      <c r="D31" s="8">
        <f>'balance_raw_56312412'!$D$11</f>
        <v/>
      </c>
      <c r="E31" s="8">
        <f>'balance_raw_56312412'!$E$11</f>
        <v/>
      </c>
      <c r="F31" s="8">
        <f>'balance_raw_56312412'!$F$11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'balance_raw_56312412'!$B$12</f>
        <v/>
      </c>
      <c r="C32" s="5">
        <f>'balance_raw_56312412'!$C$12</f>
        <v/>
      </c>
      <c r="D32" s="5">
        <f>'balance_raw_56312412'!$D$12</f>
        <v/>
      </c>
      <c r="E32" s="5">
        <f>'balance_raw_56312412'!$E$12</f>
        <v/>
      </c>
      <c r="F32" s="5">
        <f>'balance_raw_56312412'!$F$12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'balance_raw_56312412'!$B$13</f>
        <v/>
      </c>
      <c r="C33" s="11">
        <f>'balance_raw_56312412'!$C$13</f>
        <v/>
      </c>
      <c r="D33" s="11">
        <f>'balance_raw_56312412'!$D$13</f>
        <v/>
      </c>
      <c r="E33" s="11">
        <f>'balance_raw_56312412'!$E$13</f>
        <v/>
      </c>
      <c r="F33" s="11">
        <f>'balance_raw_56312412'!$F$13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'balance_raw_56312412'!$B$14</f>
        <v/>
      </c>
      <c r="C34" s="8">
        <f>'balance_raw_56312412'!$C$14</f>
        <v/>
      </c>
      <c r="D34" s="8">
        <f>'balance_raw_56312412'!$D$14</f>
        <v/>
      </c>
      <c r="E34" s="8">
        <f>'balance_raw_56312412'!$E$14</f>
        <v/>
      </c>
      <c r="F34" s="8">
        <f>'balance_raw_56312412'!$F$14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'balance_raw_56312412'!$B$15</f>
        <v/>
      </c>
      <c r="C35" s="8">
        <f>'balance_raw_56312412'!$C$15</f>
        <v/>
      </c>
      <c r="D35" s="8">
        <f>'balance_raw_56312412'!$D$15</f>
        <v/>
      </c>
      <c r="E35" s="8">
        <f>'balance_raw_56312412'!$E$15</f>
        <v/>
      </c>
      <c r="F35" s="8">
        <f>'balance_raw_56312412'!$F$15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'balance_raw_56312412'!$B$16</f>
        <v/>
      </c>
      <c r="C36" s="5">
        <f>'balance_raw_56312412'!$C$16</f>
        <v/>
      </c>
      <c r="D36" s="5">
        <f>'balance_raw_56312412'!$D$16</f>
        <v/>
      </c>
      <c r="E36" s="5">
        <f>'balance_raw_56312412'!$E$16</f>
        <v/>
      </c>
      <c r="F36" s="5">
        <f>'balance_raw_56312412'!$F$16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'balance_raw_56312412'!$B$17</f>
        <v/>
      </c>
      <c r="C37" s="11">
        <f>'balance_raw_56312412'!$C$17</f>
        <v/>
      </c>
      <c r="D37" s="11">
        <f>'balance_raw_56312412'!$D$17</f>
        <v/>
      </c>
      <c r="E37" s="11">
        <f>'balance_raw_56312412'!$E$17</f>
        <v/>
      </c>
      <c r="F37" s="11">
        <f>'balance_raw_56312412'!$F$17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'balance_raw_56312412'!$B$18</f>
        <v/>
      </c>
      <c r="C38" s="5">
        <f>'balance_raw_56312412'!$C$18</f>
        <v/>
      </c>
      <c r="D38" s="5">
        <f>'balance_raw_56312412'!$D$18</f>
        <v/>
      </c>
      <c r="E38" s="5">
        <f>'balance_raw_56312412'!$E$18</f>
        <v/>
      </c>
      <c r="F38" s="5">
        <f>'balance_raw_56312412'!$F$18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'balance_raw_56312412'!$B$19</f>
        <v/>
      </c>
      <c r="C39" s="8">
        <f>'balance_raw_56312412'!$C$19</f>
        <v/>
      </c>
      <c r="D39" s="8">
        <f>'balance_raw_56312412'!$D$19</f>
        <v/>
      </c>
      <c r="E39" s="8">
        <f>'balance_raw_56312412'!$E$19</f>
        <v/>
      </c>
      <c r="F39" s="8">
        <f>'balance_raw_56312412'!$F$19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'balance_raw_56312412'!$B$20</f>
        <v/>
      </c>
      <c r="C40" s="5">
        <f>'balance_raw_56312412'!$C$20</f>
        <v/>
      </c>
      <c r="D40" s="5">
        <f>'balance_raw_56312412'!$D$20</f>
        <v/>
      </c>
      <c r="E40" s="5">
        <f>'balance_raw_56312412'!$E$20</f>
        <v/>
      </c>
      <c r="F40" s="5">
        <f>'balance_raw_56312412'!$F$20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'balance_raw_56312412'!$B$21</f>
        <v/>
      </c>
      <c r="C41" s="11">
        <f>'balance_raw_56312412'!$C$21</f>
        <v/>
      </c>
      <c r="D41" s="11">
        <f>'balance_raw_56312412'!$D$21</f>
        <v/>
      </c>
      <c r="E41" s="11">
        <f>'balance_raw_56312412'!$E$21</f>
        <v/>
      </c>
      <c r="F41" s="11">
        <f>'balance_raw_56312412'!$F$21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'balance_raw_56312412'!$B$22</f>
        <v/>
      </c>
      <c r="C42" s="5">
        <f>'balance_raw_56312412'!$C$22</f>
        <v/>
      </c>
      <c r="D42" s="5">
        <f>'balance_raw_56312412'!$D$22</f>
        <v/>
      </c>
      <c r="E42" s="5">
        <f>'balance_raw_56312412'!$E$22</f>
        <v/>
      </c>
      <c r="F42" s="5">
        <f>'balance_raw_56312412'!$F$22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'balance_raw_56312412'!$B$23</f>
        <v/>
      </c>
      <c r="C43" s="11">
        <f>'balance_raw_56312412'!$C$23</f>
        <v/>
      </c>
      <c r="D43" s="11">
        <f>'balance_raw_56312412'!$D$23</f>
        <v/>
      </c>
      <c r="E43" s="11">
        <f>'balance_raw_56312412'!$E$23</f>
        <v/>
      </c>
      <c r="F43" s="11">
        <f>'balance_raw_56312412'!$F$23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'balance_raw_56312412'!$B$24</f>
        <v/>
      </c>
      <c r="C44" s="5">
        <f>'balance_raw_56312412'!$C$24</f>
        <v/>
      </c>
      <c r="D44" s="5">
        <f>'balance_raw_56312412'!$D$24</f>
        <v/>
      </c>
      <c r="E44" s="5">
        <f>'balance_raw_56312412'!$E$24</f>
        <v/>
      </c>
      <c r="F44" s="5">
        <f>'balance_raw_56312412'!$F$24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'balance_raw_56312412'!$B$25</f>
        <v/>
      </c>
      <c r="C45" s="11">
        <f>'balance_raw_56312412'!$C$25</f>
        <v/>
      </c>
      <c r="D45" s="11">
        <f>'balance_raw_56312412'!$D$25</f>
        <v/>
      </c>
      <c r="E45" s="11">
        <f>'balance_raw_56312412'!$E$25</f>
        <v/>
      </c>
      <c r="F45" s="11">
        <f>'balance_raw_56312412'!$F$25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'balance_raw_56312412'!$B$26</f>
        <v/>
      </c>
      <c r="C46" s="5">
        <f>'balance_raw_56312412'!$C$26</f>
        <v/>
      </c>
      <c r="D46" s="5">
        <f>'balance_raw_56312412'!$D$26</f>
        <v/>
      </c>
      <c r="E46" s="5">
        <f>'balance_raw_56312412'!$E$26</f>
        <v/>
      </c>
      <c r="F46" s="5">
        <f>'balance_raw_56312412'!$F$26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'balance_raw_56312412'!$B$27</f>
        <v/>
      </c>
      <c r="C47" s="8">
        <f>'balance_raw_56312412'!$C$27</f>
        <v/>
      </c>
      <c r="D47" s="8">
        <f>'balance_raw_56312412'!$D$27</f>
        <v/>
      </c>
      <c r="E47" s="8">
        <f>'balance_raw_56312412'!$E$27</f>
        <v/>
      </c>
      <c r="F47" s="8">
        <f>'balance_raw_56312412'!$F$27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'balance_raw_56312412'!$B$28</f>
        <v/>
      </c>
      <c r="C48" s="5">
        <f>'balance_raw_56312412'!$C$28</f>
        <v/>
      </c>
      <c r="D48" s="5">
        <f>'balance_raw_56312412'!$D$28</f>
        <v/>
      </c>
      <c r="E48" s="5">
        <f>'balance_raw_56312412'!$E$28</f>
        <v/>
      </c>
      <c r="F48" s="5">
        <f>'balance_raw_56312412'!$F$28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'balance_raw_56312412'!$B$29</f>
        <v/>
      </c>
      <c r="C49" s="11">
        <f>'balance_raw_56312412'!$C$29</f>
        <v/>
      </c>
      <c r="D49" s="11">
        <f>'balance_raw_56312412'!$D$29</f>
        <v/>
      </c>
      <c r="E49" s="11">
        <f>'balance_raw_56312412'!$E$29</f>
        <v/>
      </c>
      <c r="F49" s="11">
        <f>'balance_raw_56312412'!$F$29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'balance_raw_56312412'!$B$30</f>
        <v/>
      </c>
      <c r="C50" s="8">
        <f>'balance_raw_56312412'!$C$30</f>
        <v/>
      </c>
      <c r="D50" s="8">
        <f>'balance_raw_56312412'!$D$30</f>
        <v/>
      </c>
      <c r="E50" s="8">
        <f>'balance_raw_56312412'!$E$30</f>
        <v/>
      </c>
      <c r="F50" s="8">
        <f>'balance_raw_56312412'!$F$30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'balance_raw_56312412'!$B$31</f>
        <v/>
      </c>
      <c r="C51" s="8">
        <f>'balance_raw_56312412'!$C$31</f>
        <v/>
      </c>
      <c r="D51" s="8">
        <f>'balance_raw_56312412'!$D$31</f>
        <v/>
      </c>
      <c r="E51" s="8">
        <f>'balance_raw_56312412'!$E$31</f>
        <v/>
      </c>
      <c r="F51" s="8">
        <f>'balance_raw_56312412'!$F$31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'balance_raw_56312412'!$B$32</f>
        <v/>
      </c>
      <c r="C54" s="5">
        <f>'balance_raw_56312412'!$C$32</f>
        <v/>
      </c>
      <c r="D54" s="5">
        <f>'balance_raw_56312412'!$D$32</f>
        <v/>
      </c>
      <c r="E54" s="5">
        <f>'balance_raw_56312412'!$E$32</f>
        <v/>
      </c>
      <c r="F54" s="5">
        <f>'balance_raw_56312412'!$F$32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'balance_raw_56312412'!$B$33</f>
        <v/>
      </c>
      <c r="C55" s="11">
        <f>'balance_raw_56312412'!$C$33</f>
        <v/>
      </c>
      <c r="D55" s="11">
        <f>'balance_raw_56312412'!$D$33</f>
        <v/>
      </c>
      <c r="E55" s="11">
        <f>'balance_raw_56312412'!$E$33</f>
        <v/>
      </c>
      <c r="F55" s="11">
        <f>'balance_raw_56312412'!$F$33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'balance_raw_56312412'!$B$34</f>
        <v/>
      </c>
      <c r="C56" s="5">
        <f>'balance_raw_56312412'!$C$34</f>
        <v/>
      </c>
      <c r="D56" s="5">
        <f>'balance_raw_56312412'!$D$34</f>
        <v/>
      </c>
      <c r="E56" s="5">
        <f>'balance_raw_56312412'!$E$34</f>
        <v/>
      </c>
      <c r="F56" s="5">
        <f>'balance_raw_56312412'!$F$34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'balance_raw_56312412'!$B$35</f>
        <v/>
      </c>
      <c r="C57" s="11">
        <f>'balance_raw_56312412'!$C$35</f>
        <v/>
      </c>
      <c r="D57" s="11">
        <f>'balance_raw_56312412'!$D$35</f>
        <v/>
      </c>
      <c r="E57" s="11">
        <f>'balance_raw_56312412'!$E$35</f>
        <v/>
      </c>
      <c r="F57" s="11">
        <f>'balance_raw_56312412'!$F$35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'balance_raw_56312412'!$B$36</f>
        <v/>
      </c>
      <c r="C58" s="5">
        <f>'balance_raw_56312412'!$C$36</f>
        <v/>
      </c>
      <c r="D58" s="5">
        <f>'balance_raw_56312412'!$D$36</f>
        <v/>
      </c>
      <c r="E58" s="5">
        <f>'balance_raw_56312412'!$E$36</f>
        <v/>
      </c>
      <c r="F58" s="5">
        <f>'balance_raw_56312412'!$F$36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'balance_raw_56312412'!$B$37</f>
        <v/>
      </c>
      <c r="C59" s="11">
        <f>'balance_raw_56312412'!$C$37</f>
        <v/>
      </c>
      <c r="D59" s="11">
        <f>'balance_raw_56312412'!$D$37</f>
        <v/>
      </c>
      <c r="E59" s="11">
        <f>'balance_raw_56312412'!$E$37</f>
        <v/>
      </c>
      <c r="F59" s="11">
        <f>'balance_raw_56312412'!$F$37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'balance_raw_56312412'!$B$38</f>
        <v/>
      </c>
      <c r="C60" s="8">
        <f>'balance_raw_56312412'!$C$38</f>
        <v/>
      </c>
      <c r="D60" s="8">
        <f>'balance_raw_56312412'!$D$38</f>
        <v/>
      </c>
      <c r="E60" s="8">
        <f>'balance_raw_56312412'!$E$38</f>
        <v/>
      </c>
      <c r="F60" s="8">
        <f>'balance_raw_56312412'!$F$38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'balance_raw_56312412'!$B$39</f>
        <v/>
      </c>
      <c r="C61" s="11">
        <f>'balance_raw_56312412'!$C$39</f>
        <v/>
      </c>
      <c r="D61" s="11">
        <f>'balance_raw_56312412'!$D$39</f>
        <v/>
      </c>
      <c r="E61" s="11">
        <f>'balance_raw_56312412'!$E$39</f>
        <v/>
      </c>
      <c r="F61" s="11">
        <f>'balance_raw_56312412'!$F$39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'balance_raw_56312412'!$B$40</f>
        <v/>
      </c>
      <c r="C62" s="8">
        <f>'balance_raw_56312412'!$C$40</f>
        <v/>
      </c>
      <c r="D62" s="8">
        <f>'balance_raw_56312412'!$D$40</f>
        <v/>
      </c>
      <c r="E62" s="8">
        <f>'balance_raw_56312412'!$E$40</f>
        <v/>
      </c>
      <c r="F62" s="8">
        <f>'balance_raw_56312412'!$F$40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'balance_raw_56312412'!$B$41</f>
        <v/>
      </c>
      <c r="C63" s="11">
        <f>'balance_raw_56312412'!$C$41</f>
        <v/>
      </c>
      <c r="D63" s="11">
        <f>'balance_raw_56312412'!$D$41</f>
        <v/>
      </c>
      <c r="E63" s="11">
        <f>'balance_raw_56312412'!$E$41</f>
        <v/>
      </c>
      <c r="F63" s="11">
        <f>'balance_raw_56312412'!$F$41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'balance_raw_56312412'!$B$42</f>
        <v/>
      </c>
      <c r="C64" s="5">
        <f>'balance_raw_56312412'!$C$42</f>
        <v/>
      </c>
      <c r="D64" s="5">
        <f>'balance_raw_56312412'!$D$42</f>
        <v/>
      </c>
      <c r="E64" s="5">
        <f>'balance_raw_56312412'!$E$42</f>
        <v/>
      </c>
      <c r="F64" s="5">
        <f>'balance_raw_56312412'!$F$42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'balance_raw_56312412'!$B$43</f>
        <v/>
      </c>
      <c r="C65" s="11">
        <f>'balance_raw_56312412'!$C$43</f>
        <v/>
      </c>
      <c r="D65" s="11">
        <f>'balance_raw_56312412'!$D$43</f>
        <v/>
      </c>
      <c r="E65" s="11">
        <f>'balance_raw_56312412'!$E$43</f>
        <v/>
      </c>
      <c r="F65" s="11">
        <f>'balance_raw_56312412'!$F$43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'balance_raw_56312412'!$B$44</f>
        <v/>
      </c>
      <c r="C66" s="5">
        <f>'balance_raw_56312412'!$C$44</f>
        <v/>
      </c>
      <c r="D66" s="5">
        <f>'balance_raw_56312412'!$D$44</f>
        <v/>
      </c>
      <c r="E66" s="5">
        <f>'balance_raw_56312412'!$E$44</f>
        <v/>
      </c>
      <c r="F66" s="5">
        <f>'balance_raw_56312412'!$F$44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'balance_raw_56312412'!$B$45</f>
        <v/>
      </c>
      <c r="C67" s="8">
        <f>'balance_raw_56312412'!$C$45</f>
        <v/>
      </c>
      <c r="D67" s="8">
        <f>'balance_raw_56312412'!$D$45</f>
        <v/>
      </c>
      <c r="E67" s="8">
        <f>'balance_raw_56312412'!$E$45</f>
        <v/>
      </c>
      <c r="F67" s="8">
        <f>'balance_raw_56312412'!$F$45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'balance_raw_56312412'!$B$46</f>
        <v/>
      </c>
      <c r="C68" s="5">
        <f>'balance_raw_56312412'!$C$46</f>
        <v/>
      </c>
      <c r="D68" s="5">
        <f>'balance_raw_56312412'!$D$46</f>
        <v/>
      </c>
      <c r="E68" s="5">
        <f>'balance_raw_56312412'!$E$46</f>
        <v/>
      </c>
      <c r="F68" s="5">
        <f>'balance_raw_56312412'!$F$46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'balance_raw_56312412'!$B$47</f>
        <v/>
      </c>
      <c r="C69" s="11">
        <f>'balance_raw_56312412'!$C$47</f>
        <v/>
      </c>
      <c r="D69" s="11">
        <f>'balance_raw_56312412'!$D$47</f>
        <v/>
      </c>
      <c r="E69" s="11">
        <f>'balance_raw_56312412'!$E$47</f>
        <v/>
      </c>
      <c r="F69" s="11">
        <f>'balance_raw_56312412'!$F$47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'balance_raw_56312412'!$B$48</f>
        <v/>
      </c>
      <c r="C70" s="5">
        <f>'balance_raw_56312412'!$C$48</f>
        <v/>
      </c>
      <c r="D70" s="5">
        <f>'balance_raw_56312412'!$D$48</f>
        <v/>
      </c>
      <c r="E70" s="5">
        <f>'balance_raw_56312412'!$E$48</f>
        <v/>
      </c>
      <c r="F70" s="5">
        <f>'balance_raw_56312412'!$F$48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'balance_raw_56312412'!$B$49</f>
        <v/>
      </c>
      <c r="C71" s="11">
        <f>'balance_raw_56312412'!$C$49</f>
        <v/>
      </c>
      <c r="D71" s="11">
        <f>'balance_raw_56312412'!$D$49</f>
        <v/>
      </c>
      <c r="E71" s="11">
        <f>'balance_raw_56312412'!$E$49</f>
        <v/>
      </c>
      <c r="F71" s="11">
        <f>'balance_raw_56312412'!$F$49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'balance_raw_56312412'!$B$50</f>
        <v/>
      </c>
      <c r="C72" s="5">
        <f>'balance_raw_56312412'!$C$50</f>
        <v/>
      </c>
      <c r="D72" s="5">
        <f>'balance_raw_56312412'!$D$50</f>
        <v/>
      </c>
      <c r="E72" s="5">
        <f>'balance_raw_56312412'!$E$50</f>
        <v/>
      </c>
      <c r="F72" s="5">
        <f>'balance_raw_56312412'!$F$50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'balance_raw_56312412'!$B$51</f>
        <v/>
      </c>
      <c r="C73" s="11">
        <f>'balance_raw_56312412'!$C$51</f>
        <v/>
      </c>
      <c r="D73" s="11">
        <f>'balance_raw_56312412'!$D$51</f>
        <v/>
      </c>
      <c r="E73" s="11">
        <f>'balance_raw_56312412'!$E$51</f>
        <v/>
      </c>
      <c r="F73" s="11">
        <f>'balance_raw_56312412'!$F$51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'balance_raw_56312412'!$B$52</f>
        <v/>
      </c>
      <c r="C74" s="5">
        <f>'balance_raw_56312412'!$C$52</f>
        <v/>
      </c>
      <c r="D74" s="5">
        <f>'balance_raw_56312412'!$D$52</f>
        <v/>
      </c>
      <c r="E74" s="5">
        <f>'balance_raw_56312412'!$E$52</f>
        <v/>
      </c>
      <c r="F74" s="5">
        <f>'balance_raw_56312412'!$F$52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'balance_raw_56312412'!$B$53</f>
        <v/>
      </c>
      <c r="C75" s="11">
        <f>'balance_raw_56312412'!$C$53</f>
        <v/>
      </c>
      <c r="D75" s="11">
        <f>'balance_raw_56312412'!$D$53</f>
        <v/>
      </c>
      <c r="E75" s="11">
        <f>'balance_raw_56312412'!$E$53</f>
        <v/>
      </c>
      <c r="F75" s="11">
        <f>'balance_raw_56312412'!$F$53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'balance_raw_56312412'!$B$54</f>
        <v/>
      </c>
      <c r="C76" s="5">
        <f>'balance_raw_56312412'!$C$54</f>
        <v/>
      </c>
      <c r="D76" s="5">
        <f>'balance_raw_56312412'!$D$54</f>
        <v/>
      </c>
      <c r="E76" s="5">
        <f>'balance_raw_56312412'!$E$54</f>
        <v/>
      </c>
      <c r="F76" s="5">
        <f>'balance_raw_56312412'!$F$54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'balance_raw_56312412'!$B$55</f>
        <v/>
      </c>
      <c r="C77" s="11">
        <f>'balance_raw_56312412'!$C$55</f>
        <v/>
      </c>
      <c r="D77" s="11">
        <f>'balance_raw_56312412'!$D$55</f>
        <v/>
      </c>
      <c r="E77" s="11">
        <f>'balance_raw_56312412'!$E$55</f>
        <v/>
      </c>
      <c r="F77" s="11">
        <f>'balance_raw_56312412'!$F$55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'balance_raw_56312412'!$B$56</f>
        <v/>
      </c>
      <c r="C78" s="5">
        <f>'balance_raw_56312412'!$C$56</f>
        <v/>
      </c>
      <c r="D78" s="5">
        <f>'balance_raw_56312412'!$D$56</f>
        <v/>
      </c>
      <c r="E78" s="5">
        <f>'balance_raw_56312412'!$E$56</f>
        <v/>
      </c>
      <c r="F78" s="5">
        <f>'balance_raw_56312412'!$F$56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'balance_raw_56312412'!$B$57</f>
        <v/>
      </c>
      <c r="C79" s="8">
        <f>'balance_raw_56312412'!$C$57</f>
        <v/>
      </c>
      <c r="D79" s="8">
        <f>'balance_raw_56312412'!$D$57</f>
        <v/>
      </c>
      <c r="E79" s="8">
        <f>'balance_raw_56312412'!$E$57</f>
        <v/>
      </c>
      <c r="F79" s="8">
        <f>'balance_raw_56312412'!$F$57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'balance_raw_56312412'!$B$58</f>
        <v/>
      </c>
      <c r="C80" s="8">
        <f>'balance_raw_56312412'!$C$58</f>
        <v/>
      </c>
      <c r="D80" s="8">
        <f>'balance_raw_56312412'!$D$58</f>
        <v/>
      </c>
      <c r="E80" s="8">
        <f>'balance_raw_56312412'!$E$58</f>
        <v/>
      </c>
      <c r="F80" s="8">
        <f>'balance_raw_56312412'!$F$58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'balance_raw_56312412'!$B$59</f>
        <v/>
      </c>
      <c r="C81" s="8">
        <f>'balance_raw_56312412'!$C$59</f>
        <v/>
      </c>
      <c r="D81" s="8">
        <f>'balance_raw_56312412'!$D$59</f>
        <v/>
      </c>
      <c r="E81" s="8">
        <f>'balance_raw_56312412'!$E$59</f>
        <v/>
      </c>
      <c r="F81" s="8">
        <f>'balance_raw_56312412'!$F$59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'res_raw_56312412'!$B$18</f>
        <v/>
      </c>
      <c r="C84" s="5">
        <f>'res_raw_56312412'!$C$18</f>
        <v/>
      </c>
      <c r="D84" s="5">
        <f>'res_raw_56312412'!$D$18</f>
        <v/>
      </c>
      <c r="E84" s="5">
        <f>'res_raw_56312412'!$E$18</f>
        <v/>
      </c>
      <c r="F84" s="5">
        <f>'res_raw_56312412'!$F$18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'res_raw_56312412'!$B$19</f>
        <v/>
      </c>
      <c r="C85" s="11">
        <f>'res_raw_56312412'!$C$19</f>
        <v/>
      </c>
      <c r="D85" s="11">
        <f>'res_raw_56312412'!$D$19</f>
        <v/>
      </c>
      <c r="E85" s="11">
        <f>'res_raw_56312412'!$E$19</f>
        <v/>
      </c>
      <c r="F85" s="11">
        <f>'res_raw_56312412'!$F$19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'pengestrom_raw_56312412'!$B$2</f>
        <v/>
      </c>
      <c r="C101" s="17">
        <f>'pengestrom_raw_56312412'!$C$2</f>
        <v/>
      </c>
      <c r="D101" s="17">
        <f>'pengestrom_raw_56312412'!$D$2</f>
        <v/>
      </c>
      <c r="E101" s="17">
        <f>'pengestrom_raw_56312412'!$E$2</f>
        <v/>
      </c>
      <c r="F101" s="17">
        <f>'pengestrom_raw_56312412'!$F$2</f>
        <v/>
      </c>
    </row>
    <row r="102">
      <c r="A102" s="16" t="inlineStr">
        <is>
          <t>Pengestrømme fra investeringsaktivitet</t>
        </is>
      </c>
      <c r="B102" s="17">
        <f>'pengestrom_raw_56312412'!$B$3</f>
        <v/>
      </c>
      <c r="C102" s="17">
        <f>'pengestrom_raw_56312412'!$C$3</f>
        <v/>
      </c>
      <c r="D102" s="17">
        <f>'pengestrom_raw_56312412'!$D$3</f>
        <v/>
      </c>
      <c r="E102" s="17">
        <f>'pengestrom_raw_56312412'!$E$3</f>
        <v/>
      </c>
      <c r="F102" s="17">
        <f>'pengestrom_raw_56312412'!$F$3</f>
        <v/>
      </c>
    </row>
    <row r="103">
      <c r="A103" s="16" t="inlineStr">
        <is>
          <t>Pengestrømme fra finansieringsaktivitet</t>
        </is>
      </c>
      <c r="B103" s="17">
        <f>'pengestrom_raw_56312412'!$B$4</f>
        <v/>
      </c>
      <c r="C103" s="17">
        <f>'pengestrom_raw_56312412'!$C$4</f>
        <v/>
      </c>
      <c r="D103" s="17">
        <f>'pengestrom_raw_56312412'!$D$4</f>
        <v/>
      </c>
      <c r="E103" s="17">
        <f>'pengestrom_raw_56312412'!$E$4</f>
        <v/>
      </c>
      <c r="F103" s="17">
        <f>'pengestrom_raw_56312412'!$F$4</f>
        <v/>
      </c>
    </row>
    <row r="104">
      <c r="A104" s="16" t="inlineStr">
        <is>
          <t>Årets pengestrøm (rapporteret)</t>
        </is>
      </c>
      <c r="B104" s="17">
        <f>'pengestrom_raw_56312412'!$B$5</f>
        <v/>
      </c>
      <c r="C104" s="17">
        <f>'pengestrom_raw_56312412'!$C$5</f>
        <v/>
      </c>
      <c r="D104" s="17">
        <f>'pengestrom_raw_56312412'!$D$5</f>
        <v/>
      </c>
      <c r="E104" s="17">
        <f>'pengestrom_raw_56312412'!$E$5</f>
        <v/>
      </c>
      <c r="F104" s="17">
        <f>'pengestrom_raw_56312412'!$F$5</f>
        <v/>
      </c>
    </row>
    <row r="105">
      <c r="A105" s="16" t="inlineStr">
        <is>
          <t>Krydstjek: drift + inv. + fin. = årets pengestrøm</t>
        </is>
      </c>
      <c r="B105">
        <f>IF(ABS(('pengestrom_raw_56312412'!$B$2+'pengestrom_raw_56312412'!$B$3+'pengestrom_raw_56312412'!$B$4)-'pengestrom_raw_56312412'!$B$5)&lt;=2,"✓","⚠ "&amp;TEXT(('pengestrom_raw_56312412'!$B$2+'pengestrom_raw_56312412'!$B$3+'pengestrom_raw_56312412'!$B$4)-'pengestrom_raw_56312412'!$B$5,"+#,##0;-#,##0"))</f>
        <v/>
      </c>
      <c r="C105">
        <f>IF(ABS(('pengestrom_raw_56312412'!$C$2+'pengestrom_raw_56312412'!$C$3+'pengestrom_raw_56312412'!$C$4)-'pengestrom_raw_56312412'!$C$5)&lt;=2,"✓","⚠ "&amp;TEXT(('pengestrom_raw_56312412'!$C$2+'pengestrom_raw_56312412'!$C$3+'pengestrom_raw_56312412'!$C$4)-'pengestrom_raw_56312412'!$C$5,"+#,##0;-#,##0"))</f>
        <v/>
      </c>
      <c r="D105">
        <f>IF(ABS(('pengestrom_raw_56312412'!$D$2+'pengestrom_raw_56312412'!$D$3+'pengestrom_raw_56312412'!$D$4)-'pengestrom_raw_56312412'!$D$5)&lt;=2,"✓","⚠ "&amp;TEXT(('pengestrom_raw_56312412'!$D$2+'pengestrom_raw_56312412'!$D$3+'pengestrom_raw_56312412'!$D$4)-'pengestrom_raw_56312412'!$D$5,"+#,##0;-#,##0"))</f>
        <v/>
      </c>
      <c r="E105">
        <f>IF(ABS(('pengestrom_raw_56312412'!$E$2+'pengestrom_raw_56312412'!$E$3+'pengestrom_raw_56312412'!$E$4)-'pengestrom_raw_56312412'!$E$5)&lt;=2,"✓","⚠ "&amp;TEXT(('pengestrom_raw_56312412'!$E$2+'pengestrom_raw_56312412'!$E$3+'pengestrom_raw_56312412'!$E$4)-'pengestrom_raw_56312412'!$E$5,"+#,##0;-#,##0"))</f>
        <v/>
      </c>
      <c r="F105">
        <f>IF(ABS(('pengestrom_raw_56312412'!$F$2+'pengestrom_raw_56312412'!$F$3+'pengestrom_raw_56312412'!$F$4)-'pengestrom_raw_56312412'!$F$5)&lt;=2,"✓","⚠ "&amp;TEXT(('pengestrom_raw_56312412'!$F$2+'pengestrom_raw_56312412'!$F$3+'pengestrom_raw_56312412'!$F$4)-'pengestrom_raw_56312412'!$F$5,"+#,##0;-#,##0"))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BKI foods a/s (CVR 56312412)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594031</v>
      </c>
      <c r="C2" s="17" t="n">
        <v>712407</v>
      </c>
      <c r="D2" s="17" t="n">
        <v>832599</v>
      </c>
      <c r="E2" s="17" t="n">
        <v>940733</v>
      </c>
      <c r="F2" s="17" t="n">
        <v>1241989</v>
      </c>
    </row>
    <row r="3">
      <c r="A3" s="16" t="inlineStr">
        <is>
          <t>Produktionsomkostninger</t>
        </is>
      </c>
      <c r="B3" s="17" t="n">
        <v>414745</v>
      </c>
      <c r="C3" s="17" t="n">
        <v>544496</v>
      </c>
      <c r="D3" s="17" t="n">
        <v>638976</v>
      </c>
      <c r="E3" s="17" t="n">
        <v>716716</v>
      </c>
      <c r="F3" s="17" t="n">
        <v>1030985</v>
      </c>
    </row>
    <row r="4">
      <c r="A4" s="15" t="inlineStr">
        <is>
          <t>Bruttoresultat</t>
        </is>
      </c>
      <c r="B4" s="17" t="n">
        <v>179285</v>
      </c>
      <c r="C4" s="17" t="n">
        <v>167910</v>
      </c>
      <c r="D4" s="17" t="n">
        <v>193623</v>
      </c>
      <c r="E4" s="17" t="n">
        <v>224017</v>
      </c>
      <c r="F4" s="17" t="n">
        <v>211004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119003</v>
      </c>
      <c r="C6" s="17" t="n">
        <v>128194</v>
      </c>
      <c r="D6" s="17" t="n">
        <v>149933</v>
      </c>
      <c r="E6" s="17" t="n">
        <v>159871</v>
      </c>
      <c r="F6" s="17" t="n">
        <v>161267</v>
      </c>
    </row>
    <row r="7">
      <c r="A7" s="16" t="inlineStr">
        <is>
          <t>Administrationsomkostninger</t>
        </is>
      </c>
      <c r="B7" s="17" t="n">
        <v>41947</v>
      </c>
      <c r="C7" s="17" t="n">
        <v>35043</v>
      </c>
      <c r="D7" s="17" t="n">
        <v>36826</v>
      </c>
      <c r="E7" s="17" t="n">
        <v>39715</v>
      </c>
      <c r="F7" s="17" t="n">
        <v>44237</v>
      </c>
    </row>
    <row r="8">
      <c r="A8" s="16" t="inlineStr">
        <is>
          <t>Andre driftsindtægter</t>
        </is>
      </c>
      <c r="B8" s="17" t="n">
        <v>2338</v>
      </c>
      <c r="C8" s="17" t="n">
        <v>726</v>
      </c>
      <c r="D8" s="17" t="n">
        <v>315</v>
      </c>
      <c r="E8" s="17" t="n">
        <v>790</v>
      </c>
      <c r="F8" s="17" t="n">
        <v>2898</v>
      </c>
    </row>
    <row r="9">
      <c r="A9" s="16" t="inlineStr">
        <is>
          <t>Andre driftsomkostninger</t>
        </is>
      </c>
      <c r="B9" s="17" t="n">
        <v>0</v>
      </c>
      <c r="C9" s="17" t="n"/>
      <c r="D9" s="17" t="n">
        <v>101</v>
      </c>
      <c r="E9" s="17" t="n">
        <v>182</v>
      </c>
      <c r="F9" s="17" t="n">
        <v>609</v>
      </c>
    </row>
    <row r="10">
      <c r="A10" s="15" t="inlineStr">
        <is>
          <t>Resultat af primær drift</t>
        </is>
      </c>
      <c r="B10" s="17" t="n">
        <v>18336</v>
      </c>
      <c r="C10" s="17" t="n">
        <v>4674</v>
      </c>
      <c r="D10" s="17" t="n">
        <v>7079</v>
      </c>
      <c r="E10" s="17" t="n">
        <v>25038</v>
      </c>
      <c r="F10" s="17" t="n">
        <v>7789</v>
      </c>
    </row>
    <row r="11">
      <c r="A11" s="16" t="inlineStr">
        <is>
          <t>Indtægter af kapitalandele, dattervirksomheder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-343</v>
      </c>
    </row>
    <row r="12">
      <c r="A12" s="16" t="inlineStr">
        <is>
          <t>Finansielle indtægter</t>
        </is>
      </c>
      <c r="B12" s="17" t="n">
        <v>6</v>
      </c>
      <c r="C12" s="17" t="n">
        <v>30</v>
      </c>
      <c r="D12" s="17" t="n">
        <v>91</v>
      </c>
      <c r="E12" s="17" t="n">
        <v>215</v>
      </c>
      <c r="F12" s="17" t="n">
        <v>18859</v>
      </c>
    </row>
    <row r="13">
      <c r="A13" s="16" t="inlineStr">
        <is>
          <t>Finansielle omkostninger</t>
        </is>
      </c>
      <c r="B13" s="17" t="n">
        <v>926</v>
      </c>
      <c r="C13" s="17" t="n">
        <v>2250</v>
      </c>
      <c r="D13" s="17" t="n">
        <v>4474</v>
      </c>
      <c r="E13" s="17" t="n">
        <v>6495</v>
      </c>
      <c r="F13" s="17" t="n">
        <v>6621</v>
      </c>
    </row>
    <row r="14">
      <c r="A14" s="15" t="inlineStr">
        <is>
          <t>Finansielle poster, netto</t>
        </is>
      </c>
      <c r="B14" s="17" t="n">
        <v>-1215</v>
      </c>
      <c r="C14" s="17" t="n">
        <v>-2315</v>
      </c>
      <c r="D14" s="17" t="n">
        <v>-4383</v>
      </c>
      <c r="E14" s="17" t="n">
        <v>-6281</v>
      </c>
      <c r="F14" s="17" t="n">
        <v>12238</v>
      </c>
    </row>
    <row r="15">
      <c r="A15" s="15" t="inlineStr">
        <is>
          <t>Resultat før skat</t>
        </is>
      </c>
      <c r="B15" s="17" t="n">
        <v>19459</v>
      </c>
      <c r="C15" s="17" t="n">
        <v>3086</v>
      </c>
      <c r="D15" s="17" t="n">
        <v>2635</v>
      </c>
      <c r="E15" s="17" t="n">
        <v>18444</v>
      </c>
      <c r="F15" s="17" t="n">
        <v>19684</v>
      </c>
    </row>
    <row r="16">
      <c r="A16" s="16" t="inlineStr">
        <is>
          <t>Skat af årets resultat</t>
        </is>
      </c>
      <c r="B16" s="17" t="n">
        <v>4926</v>
      </c>
      <c r="C16" s="17" t="n">
        <v>1162</v>
      </c>
      <c r="D16" s="17" t="n">
        <v>435</v>
      </c>
      <c r="E16" s="17" t="n">
        <v>5005</v>
      </c>
      <c r="F16" s="17" t="n">
        <v>4817</v>
      </c>
    </row>
    <row r="17">
      <c r="A17" s="15" t="inlineStr">
        <is>
          <t>Årets resultat</t>
        </is>
      </c>
      <c r="B17" s="17" t="n">
        <v>14533</v>
      </c>
      <c r="C17" s="17" t="n">
        <v>1923</v>
      </c>
      <c r="D17" s="17" t="n">
        <v>2201</v>
      </c>
      <c r="E17" s="17" t="n">
        <v>13439</v>
      </c>
      <c r="F17" s="17" t="n">
        <v>14867</v>
      </c>
    </row>
    <row r="18">
      <c r="A18" s="16" t="inlineStr">
        <is>
          <t>Gns. antal medarbejdere</t>
        </is>
      </c>
      <c r="B18" s="17" t="n">
        <v>206</v>
      </c>
      <c r="C18" s="17" t="n">
        <v>210</v>
      </c>
      <c r="D18" s="17" t="n">
        <v>231</v>
      </c>
      <c r="E18" s="17" t="n">
        <v>245</v>
      </c>
      <c r="F18" s="17" t="n">
        <v>245</v>
      </c>
    </row>
    <row r="19">
      <c r="A19" s="16" t="inlineStr">
        <is>
          <t>Investering i materielle anlægsaktiver</t>
        </is>
      </c>
      <c r="B19" s="17" t="n">
        <v>-7563</v>
      </c>
      <c r="C19" s="17" t="n">
        <v>-7913</v>
      </c>
      <c r="D19" s="17" t="n">
        <v>16941</v>
      </c>
      <c r="E19" s="17" t="n">
        <v>9347</v>
      </c>
      <c r="F1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BKI foods a/s (CVR 56312412)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6192</v>
      </c>
      <c r="C2" s="17" t="n">
        <v>4972</v>
      </c>
      <c r="D2" s="17" t="n">
        <v>3460</v>
      </c>
      <c r="E2" s="17" t="n">
        <v>8124</v>
      </c>
      <c r="F2" s="17" t="n">
        <v>7809</v>
      </c>
    </row>
    <row r="3">
      <c r="A3" s="16" t="inlineStr">
        <is>
          <t>Patenter, varemærker mv.</t>
        </is>
      </c>
      <c r="B3" s="17" t="n">
        <v>2922</v>
      </c>
      <c r="C3" s="17" t="n">
        <v>2549</v>
      </c>
      <c r="D3" s="17" t="n">
        <v>2176</v>
      </c>
      <c r="E3" s="17" t="n">
        <v>1803</v>
      </c>
      <c r="F3" s="17" t="n">
        <v>1430</v>
      </c>
    </row>
    <row r="4">
      <c r="A4" s="16" t="inlineStr">
        <is>
          <t>Goodwill</t>
        </is>
      </c>
      <c r="B4" s="17" t="n">
        <v>20133</v>
      </c>
      <c r="C4" s="17" t="n">
        <v>17197</v>
      </c>
      <c r="D4" s="17" t="n">
        <v>14261</v>
      </c>
      <c r="E4" s="17" t="n">
        <v>11425</v>
      </c>
      <c r="F4" s="17" t="n">
        <v>9061</v>
      </c>
    </row>
    <row r="5">
      <c r="A5" s="15" t="inlineStr">
        <is>
          <t>Immaterielle anlægsaktiver</t>
        </is>
      </c>
      <c r="B5" s="17" t="n">
        <v>36487</v>
      </c>
      <c r="C5" s="17" t="n">
        <v>31034</v>
      </c>
      <c r="D5" s="17" t="n">
        <v>30475</v>
      </c>
      <c r="E5" s="17" t="n">
        <v>29765</v>
      </c>
      <c r="F5" s="17" t="n">
        <v>24549</v>
      </c>
    </row>
    <row r="6">
      <c r="A6" s="16" t="inlineStr">
        <is>
          <t>Grunde og bygninger</t>
        </is>
      </c>
      <c r="B6" s="17" t="n">
        <v>78417</v>
      </c>
      <c r="C6" s="17" t="n">
        <v>74280</v>
      </c>
      <c r="D6" s="17" t="n">
        <v>70275</v>
      </c>
      <c r="E6" s="17" t="n">
        <v>66088</v>
      </c>
      <c r="F6" s="17" t="n">
        <v>61890</v>
      </c>
    </row>
    <row r="7">
      <c r="A7" s="16" t="inlineStr">
        <is>
          <t>Produktionsanlæg og maskiner</t>
        </is>
      </c>
      <c r="B7" s="17" t="n">
        <v>50695</v>
      </c>
      <c r="C7" s="17" t="n">
        <v>43169</v>
      </c>
      <c r="D7" s="17" t="n">
        <v>41443</v>
      </c>
      <c r="E7" s="17" t="n">
        <v>38729</v>
      </c>
      <c r="F7" s="17" t="n">
        <v>30964</v>
      </c>
    </row>
    <row r="8">
      <c r="A8" s="16" t="inlineStr">
        <is>
          <t>Driftsmateriel og inventar</t>
        </is>
      </c>
      <c r="B8" s="17" t="n">
        <v>8474</v>
      </c>
      <c r="C8" s="17" t="n">
        <v>7881</v>
      </c>
      <c r="D8" s="17" t="n">
        <v>8523</v>
      </c>
      <c r="E8" s="17" t="n">
        <v>7004</v>
      </c>
      <c r="F8" s="17" t="n">
        <v>6250</v>
      </c>
    </row>
    <row r="9">
      <c r="A9" s="16" t="inlineStr">
        <is>
          <t>Indretning af lejede lokaler</t>
        </is>
      </c>
      <c r="B9" s="17" t="n">
        <v>73</v>
      </c>
      <c r="C9" s="17" t="n">
        <v>0</v>
      </c>
      <c r="D9" s="17" t="n">
        <v>0</v>
      </c>
      <c r="E9" s="17" t="n">
        <v>894</v>
      </c>
      <c r="F9" s="17" t="n">
        <v>686</v>
      </c>
    </row>
    <row r="10">
      <c r="A10" s="16" t="inlineStr">
        <is>
          <t>Forudbetaling og anlægsaktiver under opførelse</t>
        </is>
      </c>
      <c r="B10" s="17" t="n">
        <v>787</v>
      </c>
      <c r="C10" s="17" t="n">
        <v>1167</v>
      </c>
      <c r="D10" s="17" t="n">
        <v>3943</v>
      </c>
      <c r="E10" s="17" t="n">
        <v>35</v>
      </c>
      <c r="F10" s="17" t="n">
        <v>8539</v>
      </c>
    </row>
    <row r="11">
      <c r="A11" s="15" t="inlineStr">
        <is>
          <t>Materielle anlægsaktiver</t>
        </is>
      </c>
      <c r="B11" s="17" t="n">
        <v>138447</v>
      </c>
      <c r="C11" s="17" t="n">
        <v>126497</v>
      </c>
      <c r="D11" s="17" t="n">
        <v>124184</v>
      </c>
      <c r="E11" s="17" t="n">
        <v>112750</v>
      </c>
      <c r="F11" s="17" t="n">
        <v>108329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1560</v>
      </c>
    </row>
    <row r="13">
      <c r="A13" s="16" t="inlineStr">
        <is>
          <t>Deposita</t>
        </is>
      </c>
      <c r="B13" s="17" t="n">
        <v>700</v>
      </c>
      <c r="C13" s="17" t="n">
        <v>712</v>
      </c>
      <c r="D13" s="17" t="n">
        <v>861</v>
      </c>
      <c r="E13" s="17" t="n">
        <v>904</v>
      </c>
      <c r="F13" s="17" t="n">
        <v>927</v>
      </c>
    </row>
    <row r="14">
      <c r="A14" s="15" t="inlineStr">
        <is>
          <t>Finansielle anlægsaktiver</t>
        </is>
      </c>
      <c r="B14" s="17" t="n">
        <v>2288</v>
      </c>
      <c r="C14" s="17" t="n">
        <v>2205</v>
      </c>
      <c r="D14" s="17" t="n">
        <v>2185</v>
      </c>
      <c r="E14" s="17" t="n">
        <v>2808</v>
      </c>
      <c r="F14" s="17" t="n">
        <v>2487</v>
      </c>
    </row>
    <row r="15">
      <c r="A15" s="15" t="inlineStr">
        <is>
          <t>Anlægsaktiver</t>
        </is>
      </c>
      <c r="B15" s="17" t="n">
        <v>177222</v>
      </c>
      <c r="C15" s="17" t="n">
        <v>159737</v>
      </c>
      <c r="D15" s="17" t="n">
        <v>156844</v>
      </c>
      <c r="E15" s="17" t="n">
        <v>145323</v>
      </c>
      <c r="F15" s="17" t="n">
        <v>135365</v>
      </c>
    </row>
    <row r="16">
      <c r="A16" s="16" t="inlineStr">
        <is>
          <t>Råvarer og hjælpematerialer</t>
        </is>
      </c>
      <c r="B16" s="17" t="n">
        <v>98368</v>
      </c>
      <c r="C16" s="17" t="n">
        <v>137378</v>
      </c>
      <c r="D16" s="17" t="n">
        <v>144712</v>
      </c>
      <c r="E16" s="17" t="n">
        <v>139720</v>
      </c>
      <c r="F16" s="17" t="n">
        <v>152580</v>
      </c>
    </row>
    <row r="17">
      <c r="A17" s="16" t="inlineStr">
        <is>
          <t>Varer under fremstilling</t>
        </is>
      </c>
      <c r="B17" s="17" t="n">
        <v>4315</v>
      </c>
      <c r="C17" s="17" t="n">
        <v>3763</v>
      </c>
      <c r="D17" s="17" t="n">
        <v>5347</v>
      </c>
      <c r="E17" s="17" t="n">
        <v>9118</v>
      </c>
      <c r="F17" s="17" t="n">
        <v>38227</v>
      </c>
    </row>
    <row r="18">
      <c r="A18" s="16" t="inlineStr">
        <is>
          <t>Færdigvarer og handelsvarer</t>
        </is>
      </c>
      <c r="B18" s="17" t="n">
        <v>71097</v>
      </c>
      <c r="C18" s="17" t="n">
        <v>82392</v>
      </c>
      <c r="D18" s="17" t="n">
        <v>94800</v>
      </c>
      <c r="E18" s="17" t="n">
        <v>110641</v>
      </c>
      <c r="F18" s="17" t="n">
        <v>114869</v>
      </c>
    </row>
    <row r="19">
      <c r="A19" s="15" t="inlineStr">
        <is>
          <t>Varebeholdninger</t>
        </is>
      </c>
      <c r="B19" s="17" t="n">
        <v>173780</v>
      </c>
      <c r="C19" s="17" t="n">
        <v>223533</v>
      </c>
      <c r="D19" s="17" t="n">
        <v>244859</v>
      </c>
      <c r="E19" s="17" t="n">
        <v>259480</v>
      </c>
      <c r="F19" s="17" t="n">
        <v>305676</v>
      </c>
    </row>
    <row r="20">
      <c r="A20" s="16" t="inlineStr">
        <is>
          <t>Tilgodehavender fra salg og tjenesteydelser</t>
        </is>
      </c>
      <c r="B20" s="17" t="n">
        <v>120497</v>
      </c>
      <c r="C20" s="17" t="n">
        <v>130392</v>
      </c>
      <c r="D20" s="17" t="n">
        <v>149112</v>
      </c>
      <c r="E20" s="17" t="n">
        <v>168972</v>
      </c>
      <c r="F20" s="17" t="n">
        <v>229597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3228</v>
      </c>
    </row>
    <row r="22">
      <c r="A22" s="16" t="inlineStr">
        <is>
          <t>Andre tilgodehavender</t>
        </is>
      </c>
      <c r="B22" s="17" t="n">
        <v>837</v>
      </c>
      <c r="C22" s="17" t="n">
        <v>646</v>
      </c>
      <c r="D22" s="17" t="n">
        <v>965</v>
      </c>
      <c r="E22" s="17" t="n">
        <v>1899</v>
      </c>
      <c r="F22" s="17" t="n">
        <v>2807</v>
      </c>
    </row>
    <row r="23">
      <c r="A23" s="16" t="inlineStr">
        <is>
          <t>Periodeafgrænsningsposter (aktiver)</t>
        </is>
      </c>
      <c r="B23" s="17" t="n">
        <v>0</v>
      </c>
      <c r="C23" s="17" t="n"/>
      <c r="D23" s="17" t="n"/>
      <c r="E23" s="17" t="n"/>
      <c r="F23" s="17" t="n"/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>
        <v>495</v>
      </c>
      <c r="D26" s="17" t="n">
        <v>426</v>
      </c>
      <c r="E26" s="17" t="n">
        <v>47</v>
      </c>
      <c r="F26" s="17" t="n">
        <v>679</v>
      </c>
    </row>
    <row r="27">
      <c r="A27" s="15" t="inlineStr">
        <is>
          <t>Tilgodehavender</t>
        </is>
      </c>
      <c r="B27" s="17" t="n">
        <v>122535</v>
      </c>
      <c r="C27" s="17" t="n">
        <v>132549</v>
      </c>
      <c r="D27" s="17" t="n">
        <v>151653</v>
      </c>
      <c r="E27" s="17" t="n">
        <v>172162</v>
      </c>
      <c r="F27" s="17" t="n">
        <v>234650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9377</v>
      </c>
      <c r="C29" s="17" t="n">
        <v>2701</v>
      </c>
      <c r="D29" s="17" t="n">
        <v>4142</v>
      </c>
      <c r="E29" s="17" t="n">
        <v>6837</v>
      </c>
      <c r="F29" s="17" t="n">
        <v>2945</v>
      </c>
    </row>
    <row r="30">
      <c r="A30" s="15" t="inlineStr">
        <is>
          <t>Omsætningsaktiver</t>
        </is>
      </c>
      <c r="B30" s="17" t="n">
        <v>305693</v>
      </c>
      <c r="C30" s="17" t="n">
        <v>358783</v>
      </c>
      <c r="D30" s="17" t="n">
        <v>400655</v>
      </c>
      <c r="E30" s="17" t="n">
        <v>438479</v>
      </c>
      <c r="F30" s="17" t="n">
        <v>543271</v>
      </c>
    </row>
    <row r="31">
      <c r="A31" s="15" t="inlineStr">
        <is>
          <t>Aktiver</t>
        </is>
      </c>
      <c r="B31" s="17" t="n">
        <v>482914</v>
      </c>
      <c r="C31" s="17" t="n">
        <v>518519</v>
      </c>
      <c r="D31" s="17" t="n">
        <v>557499</v>
      </c>
      <c r="E31" s="17" t="n">
        <v>583802</v>
      </c>
      <c r="F31" s="17" t="n">
        <v>678636</v>
      </c>
    </row>
    <row r="32">
      <c r="A32" s="16" t="inlineStr">
        <is>
          <t>Selskabskapital</t>
        </is>
      </c>
      <c r="B32" s="17" t="n">
        <v>3000</v>
      </c>
      <c r="C32" s="17" t="n">
        <v>3000</v>
      </c>
      <c r="D32" s="17" t="n">
        <v>3000</v>
      </c>
      <c r="E32" s="17" t="n">
        <v>3000</v>
      </c>
      <c r="F32" s="17" t="n">
        <v>2000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258301</v>
      </c>
      <c r="C37" s="17" t="n">
        <v>259809</v>
      </c>
      <c r="D37" s="17" t="n">
        <v>262356</v>
      </c>
      <c r="E37" s="17" t="n">
        <v>275795</v>
      </c>
      <c r="F37" s="17" t="n">
        <v>283662</v>
      </c>
    </row>
    <row r="38">
      <c r="A38" s="15" t="inlineStr">
        <is>
          <t>Egenkapital i alt</t>
        </is>
      </c>
      <c r="B38" s="17" t="n">
        <v>261301</v>
      </c>
      <c r="C38" s="17" t="n">
        <v>262809</v>
      </c>
      <c r="D38" s="17" t="n">
        <v>265061</v>
      </c>
      <c r="E38" s="17" t="n">
        <v>278294</v>
      </c>
      <c r="F38" s="17" t="n">
        <v>293591</v>
      </c>
    </row>
    <row r="39">
      <c r="A39" s="16" t="inlineStr">
        <is>
          <t>Hensættelse til udskudt skat</t>
        </is>
      </c>
      <c r="B39" s="17" t="n">
        <v>9060</v>
      </c>
      <c r="C39" s="17" t="n">
        <v>8033</v>
      </c>
      <c r="D39" s="17" t="n">
        <v>6558</v>
      </c>
      <c r="E39" s="17" t="n">
        <v>6280</v>
      </c>
      <c r="F39" s="17" t="n">
        <v>5190</v>
      </c>
    </row>
    <row r="40">
      <c r="A40" s="15" t="inlineStr">
        <is>
          <t>Hensatte forpligtelser</t>
        </is>
      </c>
      <c r="B40" s="17" t="n">
        <v>9060</v>
      </c>
      <c r="C40" s="17" t="n">
        <v>8033</v>
      </c>
      <c r="D40" s="17" t="n">
        <v>6558</v>
      </c>
      <c r="E40" s="17" t="n">
        <v>6280</v>
      </c>
      <c r="F40" s="17" t="n">
        <v>5190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14090</v>
      </c>
      <c r="C42" s="17" t="n">
        <v>9355</v>
      </c>
      <c r="D42" s="17" t="n">
        <v>34808</v>
      </c>
      <c r="E42" s="17" t="n">
        <v>29961</v>
      </c>
      <c r="F42" s="17" t="n">
        <v>56840</v>
      </c>
    </row>
    <row r="43">
      <c r="A43" s="16" t="inlineStr">
        <is>
          <t>Leasingforpligtelser (langfristet)</t>
        </is>
      </c>
      <c r="B43" s="17" t="n">
        <v>592</v>
      </c>
      <c r="C43" s="17" t="n">
        <v>397</v>
      </c>
      <c r="D43" s="17" t="n">
        <v>179</v>
      </c>
      <c r="E43" s="17" t="n">
        <v>0</v>
      </c>
      <c r="F43" s="17" t="n"/>
    </row>
    <row r="44">
      <c r="A44" s="16" t="inlineStr">
        <is>
          <t>Anden gæld (langfristet)</t>
        </is>
      </c>
      <c r="B44" s="17" t="n">
        <v>0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14682</v>
      </c>
      <c r="C45" s="17" t="n">
        <v>9751</v>
      </c>
      <c r="D45" s="17" t="n">
        <v>34986</v>
      </c>
      <c r="E45" s="17" t="n">
        <v>29961</v>
      </c>
      <c r="F45" s="17" t="n">
        <v>56840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>
        <v>7056</v>
      </c>
    </row>
    <row r="48">
      <c r="A48" s="16" t="inlineStr">
        <is>
          <t>Kreditinstitutter</t>
        </is>
      </c>
      <c r="B48" s="17" t="n">
        <v>4615</v>
      </c>
      <c r="C48" s="17" t="n">
        <v>4687</v>
      </c>
      <c r="D48" s="17" t="n">
        <v>7676</v>
      </c>
      <c r="E48" s="17" t="n">
        <v>4831</v>
      </c>
      <c r="F48" s="17" t="n">
        <v>146453</v>
      </c>
    </row>
    <row r="49">
      <c r="A49" s="16" t="inlineStr">
        <is>
          <t>Leasingforpligtelser (kortfristet)</t>
        </is>
      </c>
      <c r="B49" s="17" t="n">
        <v>190</v>
      </c>
      <c r="C49" s="17" t="n">
        <v>180</v>
      </c>
      <c r="D49" s="17" t="n">
        <v>201</v>
      </c>
      <c r="E49" s="17" t="n">
        <v>178</v>
      </c>
      <c r="F49" s="17" t="n">
        <v>0</v>
      </c>
    </row>
    <row r="50">
      <c r="A50" s="16" t="inlineStr">
        <is>
          <t>Leverandører af varer og tjenesteydelser</t>
        </is>
      </c>
      <c r="B50" s="17" t="n">
        <v>60719</v>
      </c>
      <c r="C50" s="17" t="n">
        <v>69419</v>
      </c>
      <c r="D50" s="17" t="n">
        <v>108625</v>
      </c>
      <c r="E50" s="17" t="n">
        <v>105233</v>
      </c>
      <c r="F50" s="17" t="n">
        <v>131524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778</v>
      </c>
      <c r="C53" s="17" t="n">
        <v>0</v>
      </c>
      <c r="D53" s="17" t="n"/>
      <c r="E53" s="17" t="n">
        <v>1510</v>
      </c>
      <c r="F53" s="17" t="n">
        <v>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35120</v>
      </c>
      <c r="C55" s="17" t="n">
        <v>25240</v>
      </c>
      <c r="D55" s="17" t="n">
        <v>35265</v>
      </c>
      <c r="E55" s="17" t="n">
        <v>36442</v>
      </c>
      <c r="F55" s="17" t="n">
        <v>37984</v>
      </c>
    </row>
    <row r="56">
      <c r="A56" s="16" t="inlineStr">
        <is>
          <t>Periodeafgrænsningsposter (passiver)</t>
        </is>
      </c>
      <c r="B56" s="17" t="n">
        <v>116</v>
      </c>
      <c r="C56" s="17" t="n">
        <v>0</v>
      </c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197872</v>
      </c>
      <c r="C57" s="17" t="n">
        <v>237926</v>
      </c>
      <c r="D57" s="17" t="n">
        <v>250894</v>
      </c>
      <c r="E57" s="17" t="n">
        <v>269267</v>
      </c>
      <c r="F57" s="17" t="n">
        <v>323016</v>
      </c>
    </row>
    <row r="58">
      <c r="A58" s="15" t="inlineStr">
        <is>
          <t>Gældsforpligtelser</t>
        </is>
      </c>
      <c r="B58" s="17" t="n">
        <v>212554</v>
      </c>
      <c r="C58" s="17" t="n">
        <v>247678</v>
      </c>
      <c r="D58" s="17" t="n">
        <v>285880</v>
      </c>
      <c r="E58" s="17" t="n">
        <v>299228</v>
      </c>
      <c r="F58" s="17" t="n">
        <v>379855</v>
      </c>
    </row>
    <row r="59">
      <c r="A59" s="15" t="inlineStr">
        <is>
          <t>Passiver</t>
        </is>
      </c>
      <c r="B59" s="17" t="n">
        <v>482914</v>
      </c>
      <c r="C59" s="17" t="n">
        <v>518519</v>
      </c>
      <c r="D59" s="17" t="n">
        <v>557499</v>
      </c>
      <c r="E59" s="17" t="n">
        <v>583802</v>
      </c>
      <c r="F59" s="17" t="n">
        <v>678636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BKI foods a/s (CVR 56312412)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-19740</v>
      </c>
      <c r="C2" s="17" t="n">
        <v>-33418</v>
      </c>
      <c r="D2" s="17" t="n">
        <v>37834</v>
      </c>
      <c r="E2" s="17" t="n">
        <v>5867</v>
      </c>
      <c r="F2" s="17" t="n">
        <v>-43010</v>
      </c>
    </row>
    <row r="3">
      <c r="A3" s="16" t="inlineStr">
        <is>
          <t>Pengestrømme fra investeringsaktivitet</t>
        </is>
      </c>
      <c r="B3" s="17" t="n">
        <v>-9409</v>
      </c>
      <c r="C3" s="17" t="n">
        <v>-6641</v>
      </c>
      <c r="D3" s="17" t="n">
        <v>-23524</v>
      </c>
      <c r="E3" s="17" t="n">
        <v>-13832</v>
      </c>
      <c r="F3" s="17" t="n">
        <v>-15187</v>
      </c>
    </row>
    <row r="4">
      <c r="A4" s="16" t="inlineStr">
        <is>
          <t>Pengestrømme fra finansieringsaktivitet</t>
        </is>
      </c>
      <c r="B4" s="17" t="n">
        <v>28999</v>
      </c>
      <c r="C4" s="17" t="n">
        <v>37197</v>
      </c>
      <c r="D4" s="17" t="n">
        <v>-11028</v>
      </c>
      <c r="E4" s="17" t="n">
        <v>14053</v>
      </c>
      <c r="F4" s="17" t="n">
        <v>54306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BKI foods a/s (CVR 56312412) — Regnskabs- og nøgletal (CVR: 56312412)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'res_raw_56312412'!$F$2</f>
        <v/>
      </c>
      <c r="C5" s="24">
        <f>'res_raw_56312412'!$E$2</f>
        <v/>
      </c>
      <c r="D5" s="24">
        <f>'res_raw_56312412'!$D$2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-'res_raw_56312412'!$F$3</f>
        <v/>
      </c>
      <c r="C6" s="24">
        <f>-'res_raw_56312412'!$E$3</f>
        <v/>
      </c>
      <c r="D6" s="24">
        <f>-'res_raw_56312412'!$D$3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IF(ABS((SUM(B5:B6))-'res_raw_56312412'!$F$4)&lt;=2,SUM(B5:B6),'res_raw_56312412'!$F$4)</f>
        <v/>
      </c>
      <c r="C7" s="27">
        <f>IF(ABS((SUM(C5:C6))-'res_raw_56312412'!$E$4)&lt;=2,SUM(C5:C6),'res_raw_56312412'!$E$4)</f>
        <v/>
      </c>
      <c r="D7" s="27">
        <f>IF(ABS((SUM(D5:D6))-'res_raw_56312412'!$D$4)&lt;=2,SUM(D5:D6),'res_raw_56312412'!$D$4)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-'res_raw_56312412'!$F$5</f>
        <v/>
      </c>
      <c r="C8" s="24">
        <f>-'res_raw_56312412'!$E$5</f>
        <v/>
      </c>
      <c r="D8" s="24">
        <f>-'res_raw_56312412'!$D$5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-'res_raw_56312412'!$F$6</f>
        <v/>
      </c>
      <c r="C9" s="24">
        <f>-'res_raw_56312412'!$E$6</f>
        <v/>
      </c>
      <c r="D9" s="24">
        <f>-'res_raw_56312412'!$D$6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-'res_raw_56312412'!$F$7</f>
        <v/>
      </c>
      <c r="C10" s="24">
        <f>-'res_raw_56312412'!$E$7</f>
        <v/>
      </c>
      <c r="D10" s="24">
        <f>-'res_raw_56312412'!$D$7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'res_raw_56312412'!$F$8</f>
        <v/>
      </c>
      <c r="C11" s="24">
        <f>'res_raw_56312412'!$E$8</f>
        <v/>
      </c>
      <c r="D11" s="24">
        <f>'res_raw_56312412'!$D$8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-'res_raw_56312412'!$F$9</f>
        <v/>
      </c>
      <c r="C12" s="27">
        <f>-'res_raw_56312412'!$E$9</f>
        <v/>
      </c>
      <c r="D12" s="27">
        <f>-'res_raw_56312412'!$D$9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IF(ABS((SUM(B7:B12))-'res_raw_56312412'!$F$10)&lt;=2,SUM(B7:B12),'res_raw_56312412'!$F$10)</f>
        <v/>
      </c>
      <c r="C13" s="30">
        <f>IF(ABS((SUM(C7:C12))-'res_raw_56312412'!$E$10)&lt;=2,SUM(C7:C12),'res_raw_56312412'!$E$10)</f>
        <v/>
      </c>
      <c r="D13" s="30">
        <f>IF(ABS((SUM(D7:D12))-'res_raw_56312412'!$D$10)&lt;=2,SUM(D7:D12),'res_raw_56312412'!$D$10)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N('res_raw_56312412'!$F$11)+N('res_raw_56312412'!$F$12)</f>
        <v/>
      </c>
      <c r="C14" s="24">
        <f>N('res_raw_56312412'!$E$11)+N('res_raw_56312412'!$E$12)</f>
        <v/>
      </c>
      <c r="D14" s="24">
        <f>N('res_raw_56312412'!$D$11)+N('res_raw_56312412'!$D$12)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-'res_raw_56312412'!$F$13</f>
        <v/>
      </c>
      <c r="C15" s="27">
        <f>-'res_raw_56312412'!$E$13</f>
        <v/>
      </c>
      <c r="D15" s="27">
        <f>-'res_raw_56312412'!$D$13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IF(ABS((SUM(B13:B15))-'res_raw_56312412'!$F$15)&lt;=2,SUM(B13:B15),'res_raw_56312412'!$F$15)</f>
        <v/>
      </c>
      <c r="C16" s="30">
        <f>IF(ABS((SUM(C13:C15))-'res_raw_56312412'!$E$15)&lt;=2,SUM(C13:C15),'res_raw_56312412'!$E$15)</f>
        <v/>
      </c>
      <c r="D16" s="30">
        <f>IF(ABS((SUM(D13:D15))-'res_raw_56312412'!$D$15)&lt;=2,SUM(D13:D15),'res_raw_56312412'!$D$15)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'balance_raw_56312412'!$F$15</f>
        <v/>
      </c>
      <c r="C19" s="24">
        <f>'balance_raw_56312412'!$E$15</f>
        <v/>
      </c>
      <c r="D19" s="24">
        <f>'balance_raw_56312412'!$D$15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'balance_raw_56312412'!$F$30</f>
        <v/>
      </c>
      <c r="C20" s="24">
        <f>'balance_raw_56312412'!$E$30</f>
        <v/>
      </c>
      <c r="D20" s="24">
        <f>'balance_raw_56312412'!$D$30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'balance_raw_56312412'!$F$38</f>
        <v/>
      </c>
      <c r="C23" s="24">
        <f>'balance_raw_56312412'!$E$38</f>
        <v/>
      </c>
      <c r="D23" s="24">
        <f>'balance_raw_56312412'!$D$38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'balance_raw_56312412'!$F$59-'balance_raw_56312412'!$F$38</f>
        <v/>
      </c>
      <c r="C24" s="24">
        <f>'balance_raw_56312412'!$E$59-'balance_raw_56312412'!$E$38</f>
        <v/>
      </c>
      <c r="D24" s="24">
        <f>'balance_raw_56312412'!$D$59-'balance_raw_56312412'!$D$38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'balance_raw_56312412'!$F$19</f>
        <v/>
      </c>
      <c r="C28" s="24">
        <f>'balance_raw_56312412'!$E$19</f>
        <v/>
      </c>
      <c r="D28" s="24">
        <f>'balance_raw_56312412'!$D$19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'balance_raw_56312412'!$F$20</f>
        <v/>
      </c>
      <c r="C29" s="24">
        <f>'balance_raw_56312412'!$E$20</f>
        <v/>
      </c>
      <c r="D29" s="24">
        <f>'balance_raw_56312412'!$D$20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'balance_raw_56312412'!$F$57</f>
        <v/>
      </c>
      <c r="C30" s="24">
        <f>'balance_raw_56312412'!$E$57</f>
        <v/>
      </c>
      <c r="D30" s="24">
        <f>'balance_raw_56312412'!$D$57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IF('balance_raw_56312412'!$F$31="","—",IF(ABS(B21-'balance_raw_56312412'!$F$31)&lt;=1,"✓ OK","❌ "&amp;TEXT(B21-'balance_raw_56312412'!$F$31,"+#,##0;-#,##0")&amp;" t.kr."))</f>
        <v/>
      </c>
      <c r="C62" s="31">
        <f>IF('balance_raw_56312412'!$E$31="","—",IF(ABS(C21-'balance_raw_56312412'!$E$31)&lt;=1,"✓ OK","❌ "&amp;TEXT(C21-'balance_raw_56312412'!$E$31,"+#,##0;-#,##0")&amp;" t.kr."))</f>
        <v/>
      </c>
      <c r="D62" s="31">
        <f>IF('balance_raw_56312412'!$D$31="","—",IF(ABS(D21-'balance_raw_56312412'!$D$31)&lt;=1,"✓ OK","❌ "&amp;TEXT(D21-'balance_raw_56312412'!$D$31,"+#,##0;-#,##0")&amp;"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IF('balance_raw_56312412'!$F$59="","—",IF(ABS(B25-'balance_raw_56312412'!$F$59)&lt;=1,"✓ OK","❌ "&amp;TEXT(B25-'balance_raw_56312412'!$F$59,"+#,##0;-#,##0")&amp;" t.kr."))</f>
        <v/>
      </c>
      <c r="C63" s="31">
        <f>IF('balance_raw_56312412'!$E$59="","—",IF(ABS(C25-'balance_raw_56312412'!$E$59)&lt;=1,"✓ OK","❌ "&amp;TEXT(C25-'balance_raw_56312412'!$E$59,"+#,##0;-#,##0")&amp;" t.kr."))</f>
        <v/>
      </c>
      <c r="D63" s="31">
        <f>IF('balance_raw_56312412'!$D$59="","—",IF(ABS(D25-'balance_raw_56312412'!$D$59)&lt;=1,"✓ OK","❌ "&amp;TEXT(D25-'balance_raw_56312412'!$D$59,"+#,##0;-#,##0")&amp;"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IF('res_raw_56312412'!$F$4="","—",IF(ABS(B7-'res_raw_56312412'!$F$4)&lt;=1,"✓ OK","❌ "&amp;TEXT(B7-'res_raw_56312412'!$F$4,"+#,##0;-#,##0")&amp;" t.kr."))</f>
        <v/>
      </c>
      <c r="C65" s="31">
        <f>IF('res_raw_56312412'!$E$4="","—",IF(ABS(C7-'res_raw_56312412'!$E$4)&lt;=1,"✓ OK","❌ "&amp;TEXT(C7-'res_raw_56312412'!$E$4,"+#,##0;-#,##0")&amp;" t.kr."))</f>
        <v/>
      </c>
      <c r="D65" s="31">
        <f>IF('res_raw_56312412'!$D$4="","—",IF(ABS(D7-'res_raw_56312412'!$D$4)&lt;=1,"✓ OK","❌ "&amp;TEXT(D7-'res_raw_56312412'!$D$4,"+#,##0;-#,##0")&amp;"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IF('res_raw_56312412'!$F$10="","—",IF(ABS(B13-'res_raw_56312412'!$F$10)&lt;=1,"✓ OK","❌ "&amp;TEXT(B13-'res_raw_56312412'!$F$10,"+#,##0;-#,##0")&amp;" t.kr."))</f>
        <v/>
      </c>
      <c r="C66" s="31">
        <f>IF('res_raw_56312412'!$E$10="","—",IF(ABS(C13-'res_raw_56312412'!$E$10)&lt;=1,"✓ OK","❌ "&amp;TEXT(C13-'res_raw_56312412'!$E$10,"+#,##0;-#,##0")&amp;" t.kr."))</f>
        <v/>
      </c>
      <c r="D66" s="31">
        <f>IF('res_raw_56312412'!$D$10="","—",IF(ABS(D13-'res_raw_56312412'!$D$10)&lt;=1,"✓ OK","❌ "&amp;TEXT(D13-'res_raw_56312412'!$D$10,"+#,##0;-#,##0")&amp;"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IF('res_raw_56312412'!$F$15="","—",IF(ABS(B16-'res_raw_56312412'!$F$15)&lt;=1,"✓ OK","❌ "&amp;TEXT(B16-'res_raw_56312412'!$F$15,"+#,##0;-#,##0")&amp;" t.kr."))</f>
        <v/>
      </c>
      <c r="C67" s="31">
        <f>IF('res_raw_56312412'!$E$15="","—",IF(ABS(C16-'res_raw_56312412'!$E$15)&lt;=1,"✓ OK","❌ "&amp;TEXT(C16-'res_raw_56312412'!$E$15,"+#,##0;-#,##0")&amp;" t.kr."))</f>
        <v/>
      </c>
      <c r="D67" s="31">
        <f>IF('res_raw_56312412'!$D$15="","—",IF(ABS(D16-'res_raw_56312412'!$D$15)&lt;=1,"✓ OK","❌ "&amp;TEXT(D16-'res_raw_56312412'!$D$15,"+#,##0;-#,##0")&amp;"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BKI foods a/s (CVR 56312412)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fsa:DecreaseOfCapital</t>
        </is>
      </c>
      <c r="C3" s="36" t="inlineStr">
        <is>
          <t>fsa:DecreaseOfCapital</t>
        </is>
      </c>
      <c r="D3" s="37" t="n"/>
      <c r="E3" s="37" t="n"/>
      <c r="F3" s="37" t="n"/>
      <c r="G3" s="37" t="n"/>
      <c r="H3" s="37" t="n">
        <v>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fsa:ImpairmentLossesOnFixedAssets</t>
        </is>
      </c>
      <c r="C4" s="39" t="inlineStr">
        <is>
          <t>fsa:ImpairmentLossesOnFixedAssets</t>
        </is>
      </c>
      <c r="D4" s="40" t="n">
        <v>1931</v>
      </c>
      <c r="E4" s="40" t="n"/>
      <c r="F4" s="40" t="n"/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fsa:RaisingOfMortgageDebt</t>
        </is>
      </c>
      <c r="C5" s="36" t="inlineStr">
        <is>
          <t>fsa:RaisingOfMortgageDebt</t>
        </is>
      </c>
      <c r="D5" s="37" t="n"/>
      <c r="E5" s="37" t="n"/>
      <c r="F5" s="37" t="n">
        <v>35062</v>
      </c>
      <c r="G5" s="37" t="n">
        <v>0</v>
      </c>
      <c r="H5" s="37" t="n"/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fsa:ReceivedDividendsFromAssociates</t>
        </is>
      </c>
      <c r="C6" s="39" t="inlineStr">
        <is>
          <t>fsa:ReceivedDividendsFromAssociates</t>
        </is>
      </c>
      <c r="D6" s="40" t="n"/>
      <c r="E6" s="40" t="n"/>
      <c r="F6" s="40" t="n">
        <v>108</v>
      </c>
      <c r="G6" s="40" t="n">
        <v>108</v>
      </c>
      <c r="H6" s="40" t="n">
        <v>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fsa:ReductionOfLeaseCommitments</t>
        </is>
      </c>
      <c r="C7" s="36" t="inlineStr">
        <is>
          <t>fsa:ReductionOfLeaseCommitments</t>
        </is>
      </c>
      <c r="D7" s="37" t="n">
        <v>185</v>
      </c>
      <c r="E7" s="37" t="n">
        <v>206</v>
      </c>
      <c r="F7" s="37" t="n">
        <v>-196</v>
      </c>
      <c r="G7" s="37" t="n">
        <v>-202</v>
      </c>
      <c r="H7" s="37" t="n">
        <v>178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fsa:RepaymentOfMortgageDebt</t>
        </is>
      </c>
      <c r="C8" s="39" t="inlineStr">
        <is>
          <t>fsa:RepaymentOfMortgageDebt</t>
        </is>
      </c>
      <c r="D8" s="40" t="n"/>
      <c r="E8" s="40" t="n"/>
      <c r="F8" s="40" t="n">
        <v>-6620</v>
      </c>
      <c r="G8" s="40" t="n">
        <v>-7692</v>
      </c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fsa:ReserveForCurrentValueAdjustmentsOfCurrencyGains</t>
        </is>
      </c>
      <c r="C9" s="36" t="inlineStr">
        <is>
          <t>fsa:ReserveForCurrentValueAdjustmentsOfCurrencyGains</t>
        </is>
      </c>
      <c r="D9" s="37" t="n"/>
      <c r="E9" s="37" t="n"/>
      <c r="F9" s="37" t="n">
        <v>-296</v>
      </c>
      <c r="G9" s="37" t="n">
        <v>-501</v>
      </c>
      <c r="H9" s="37" t="n">
        <v>-71</v>
      </c>
      <c r="I9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2026-10-01T22:16:39Z</dcterms:created>
  <dcterms:modified xmlns:dcterms="http://purl.org/dc/terms/" xmlns:xsi="http://www.w3.org/2001/XMLSchema-instance" xsi:type="dcterms:W3CDTF">2026-10-01T22:16:40Z</dcterms:modified>
</cp:coreProperties>
</file>