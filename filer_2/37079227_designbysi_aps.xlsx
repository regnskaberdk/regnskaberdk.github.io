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37079227" sheetId="1" state="visible" r:id="rId1"/>
    <sheet xmlns:r="http://schemas.openxmlformats.org/officeDocument/2006/relationships" name="res_raw_37079227" sheetId="2" state="visible" r:id="rId2"/>
    <sheet xmlns:r="http://schemas.openxmlformats.org/officeDocument/2006/relationships" name="balance_raw_37079227" sheetId="3" state="visible" r:id="rId3"/>
    <sheet xmlns:r="http://schemas.openxmlformats.org/officeDocument/2006/relationships" name="Simpel_arts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Designbysi ApS (CVR 37079227) — Regnskabsanalyse – Resultatopgørelse &amp; Balance (t.kr.) · Klasse B · Udvidet gennemgang · Regnskabsår 1/7–30/6 (forskudt)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'res_raw_37079227'!$B$2</f>
        <v/>
      </c>
      <c r="C4" s="5">
        <f>'res_raw_37079227'!$C$2</f>
        <v/>
      </c>
      <c r="D4" s="5">
        <f>'res_raw_37079227'!$D$2</f>
        <v/>
      </c>
      <c r="E4" s="5">
        <f>'res_raw_37079227'!$E$2</f>
        <v/>
      </c>
      <c r="F4" s="5">
        <f>'res_raw_37079227'!$F$2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'res_raw_37079227'!$B$3</f>
        <v/>
      </c>
      <c r="C5" s="8">
        <f>'res_raw_37079227'!$C$3</f>
        <v/>
      </c>
      <c r="D5" s="8">
        <f>'res_raw_37079227'!$D$3</f>
        <v/>
      </c>
      <c r="E5" s="8">
        <f>'res_raw_37079227'!$E$3</f>
        <v/>
      </c>
      <c r="F5" s="8">
        <f>'res_raw_37079227'!$F$3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'res_raw_37079227'!$B$4</f>
        <v/>
      </c>
      <c r="C6" s="5">
        <f>'res_raw_37079227'!$C$4</f>
        <v/>
      </c>
      <c r="D6" s="5">
        <f>'res_raw_37079227'!$D$4</f>
        <v/>
      </c>
      <c r="E6" s="5">
        <f>'res_raw_37079227'!$E$4</f>
        <v/>
      </c>
      <c r="F6" s="5">
        <f>'res_raw_37079227'!$F$4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'res_raw_37079227'!$B$5</f>
        <v/>
      </c>
      <c r="C7" s="8">
        <f>'res_raw_37079227'!$C$5</f>
        <v/>
      </c>
      <c r="D7" s="8">
        <f>'res_raw_37079227'!$D$5</f>
        <v/>
      </c>
      <c r="E7" s="8">
        <f>'res_raw_37079227'!$E$5</f>
        <v/>
      </c>
      <c r="F7" s="8">
        <f>'res_raw_37079227'!$F$5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'res_raw_37079227'!$B$6</f>
        <v/>
      </c>
      <c r="C8" s="11">
        <f>'res_raw_37079227'!$C$6</f>
        <v/>
      </c>
      <c r="D8" s="11">
        <f>'res_raw_37079227'!$D$6</f>
        <v/>
      </c>
      <c r="E8" s="11">
        <f>'res_raw_37079227'!$E$6</f>
        <v/>
      </c>
      <c r="F8" s="11">
        <f>'res_raw_37079227'!$F$6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'res_raw_37079227'!$B$7</f>
        <v/>
      </c>
      <c r="C9" s="8">
        <f>'res_raw_37079227'!$C$7</f>
        <v/>
      </c>
      <c r="D9" s="8">
        <f>'res_raw_37079227'!$D$7</f>
        <v/>
      </c>
      <c r="E9" s="8">
        <f>'res_raw_37079227'!$E$7</f>
        <v/>
      </c>
      <c r="F9" s="8">
        <f>'res_raw_37079227'!$F$7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'res_raw_37079227'!$B$9</f>
        <v/>
      </c>
      <c r="C11" s="8">
        <f>'res_raw_37079227'!$C$9</f>
        <v/>
      </c>
      <c r="D11" s="8">
        <f>'res_raw_37079227'!$D$9</f>
        <v/>
      </c>
      <c r="E11" s="8">
        <f>'res_raw_37079227'!$E$9</f>
        <v/>
      </c>
      <c r="F11" s="8">
        <f>'res_raw_37079227'!$F$9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'res_raw_37079227'!$B$10</f>
        <v/>
      </c>
      <c r="C12" s="5">
        <f>'res_raw_37079227'!$C$10</f>
        <v/>
      </c>
      <c r="D12" s="5">
        <f>'res_raw_37079227'!$D$10</f>
        <v/>
      </c>
      <c r="E12" s="5">
        <f>'res_raw_37079227'!$E$10</f>
        <v/>
      </c>
      <c r="F12" s="5">
        <f>'res_raw_37079227'!$F$10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'res_raw_37079227'!$B$11</f>
        <v/>
      </c>
      <c r="C13" s="11">
        <f>'res_raw_37079227'!$C$11</f>
        <v/>
      </c>
      <c r="D13" s="11">
        <f>'res_raw_37079227'!$D$11</f>
        <v/>
      </c>
      <c r="E13" s="11">
        <f>'res_raw_37079227'!$E$11</f>
        <v/>
      </c>
      <c r="F13" s="11">
        <f>'res_raw_37079227'!$F$11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'res_raw_37079227'!$B$12</f>
        <v/>
      </c>
      <c r="C14" s="5">
        <f>'res_raw_37079227'!$C$12</f>
        <v/>
      </c>
      <c r="D14" s="5">
        <f>'res_raw_37079227'!$D$12</f>
        <v/>
      </c>
      <c r="E14" s="5">
        <f>'res_raw_37079227'!$E$12</f>
        <v/>
      </c>
      <c r="F14" s="5">
        <f>'res_raw_37079227'!$F$12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'res_raw_37079227'!$B$13</f>
        <v/>
      </c>
      <c r="C15" s="8">
        <f>'res_raw_37079227'!$C$13</f>
        <v/>
      </c>
      <c r="D15" s="8">
        <f>'res_raw_37079227'!$D$13</f>
        <v/>
      </c>
      <c r="E15" s="8">
        <f>'res_raw_37079227'!$E$13</f>
        <v/>
      </c>
      <c r="F15" s="8">
        <f>'res_raw_37079227'!$F$13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'res_raw_37079227'!$B$14</f>
        <v/>
      </c>
      <c r="C16" s="5">
        <f>'res_raw_37079227'!$C$14</f>
        <v/>
      </c>
      <c r="D16" s="5">
        <f>'res_raw_37079227'!$D$14</f>
        <v/>
      </c>
      <c r="E16" s="5">
        <f>'res_raw_37079227'!$E$14</f>
        <v/>
      </c>
      <c r="F16" s="5">
        <f>'res_raw_37079227'!$F$14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'res_raw_37079227'!$B$15</f>
        <v/>
      </c>
      <c r="C17" s="11">
        <f>'res_raw_37079227'!$C$15</f>
        <v/>
      </c>
      <c r="D17" s="11">
        <f>'res_raw_37079227'!$D$15</f>
        <v/>
      </c>
      <c r="E17" s="11">
        <f>'res_raw_37079227'!$E$15</f>
        <v/>
      </c>
      <c r="F17" s="11">
        <f>'res_raw_37079227'!$F$15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'res_raw_37079227'!$B$16</f>
        <v/>
      </c>
      <c r="C18" s="11">
        <f>'res_raw_37079227'!$C$16</f>
        <v/>
      </c>
      <c r="D18" s="11">
        <f>'res_raw_37079227'!$D$16</f>
        <v/>
      </c>
      <c r="E18" s="11">
        <f>'res_raw_37079227'!$E$16</f>
        <v/>
      </c>
      <c r="F18" s="11">
        <f>'res_raw_37079227'!$F$16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'res_raw_37079227'!$B$17</f>
        <v/>
      </c>
      <c r="C19" s="8">
        <f>'res_raw_37079227'!$C$17</f>
        <v/>
      </c>
      <c r="D19" s="8">
        <f>'res_raw_37079227'!$D$17</f>
        <v/>
      </c>
      <c r="E19" s="8">
        <f>'res_raw_37079227'!$E$17</f>
        <v/>
      </c>
      <c r="F19" s="8">
        <f>'res_raw_37079227'!$F$17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'res_raw_37079227'!$B$18</f>
        <v/>
      </c>
      <c r="C20" s="11">
        <f>'res_raw_37079227'!$C$18</f>
        <v/>
      </c>
      <c r="D20" s="11">
        <f>'res_raw_37079227'!$D$18</f>
        <v/>
      </c>
      <c r="E20" s="11">
        <f>'res_raw_37079227'!$E$18</f>
        <v/>
      </c>
      <c r="F20" s="11">
        <f>'res_raw_37079227'!$F$18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Grunde og bygninger</t>
        </is>
      </c>
      <c r="B23" s="8">
        <f>'balance_raw_37079227'!$B$2</f>
        <v/>
      </c>
      <c r="C23" s="8">
        <f>'balance_raw_37079227'!$C$2</f>
        <v/>
      </c>
      <c r="D23" s="8">
        <f>'balance_raw_37079227'!$D$2</f>
        <v/>
      </c>
      <c r="E23" s="8">
        <f>'balance_raw_37079227'!$E$2</f>
        <v/>
      </c>
      <c r="F23" s="8">
        <f>'balance_raw_37079227'!$F$2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Produktionsanlæg og maskiner</t>
        </is>
      </c>
      <c r="B24" s="5">
        <f>'balance_raw_37079227'!$B$3</f>
        <v/>
      </c>
      <c r="C24" s="5">
        <f>'balance_raw_37079227'!$C$3</f>
        <v/>
      </c>
      <c r="D24" s="5">
        <f>'balance_raw_37079227'!$D$3</f>
        <v/>
      </c>
      <c r="E24" s="5">
        <f>'balance_raw_37079227'!$E$3</f>
        <v/>
      </c>
      <c r="F24" s="5">
        <f>'balance_raw_37079227'!$F$3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Driftsmateriel og inventar</t>
        </is>
      </c>
      <c r="B25" s="8">
        <f>'balance_raw_37079227'!$B$4</f>
        <v/>
      </c>
      <c r="C25" s="8">
        <f>'balance_raw_37079227'!$C$4</f>
        <v/>
      </c>
      <c r="D25" s="8">
        <f>'balance_raw_37079227'!$D$4</f>
        <v/>
      </c>
      <c r="E25" s="8">
        <f>'balance_raw_37079227'!$E$4</f>
        <v/>
      </c>
      <c r="F25" s="8">
        <f>'balance_raw_37079227'!$F$4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4" t="inlineStr">
        <is>
          <t>Indretning af lejede lokaler</t>
        </is>
      </c>
      <c r="B26" s="5">
        <f>'balance_raw_37079227'!$B$5</f>
        <v/>
      </c>
      <c r="C26" s="5">
        <f>'balance_raw_37079227'!$C$5</f>
        <v/>
      </c>
      <c r="D26" s="5">
        <f>'balance_raw_37079227'!$D$5</f>
        <v/>
      </c>
      <c r="E26" s="5">
        <f>'balance_raw_37079227'!$E$5</f>
        <v/>
      </c>
      <c r="F26" s="5">
        <f>'balance_raw_37079227'!$F$5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7" t="inlineStr">
        <is>
          <t>Forudbetaling og anlægsaktiver under opførelse</t>
        </is>
      </c>
      <c r="B27" s="8">
        <f>'balance_raw_37079227'!$B$6</f>
        <v/>
      </c>
      <c r="C27" s="8">
        <f>'balance_raw_37079227'!$C$6</f>
        <v/>
      </c>
      <c r="D27" s="8">
        <f>'balance_raw_37079227'!$D$6</f>
        <v/>
      </c>
      <c r="E27" s="8">
        <f>'balance_raw_37079227'!$E$6</f>
        <v/>
      </c>
      <c r="F27" s="8">
        <f>'balance_raw_37079227'!$F$6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10" t="inlineStr">
        <is>
          <t>Materielle anlægsaktiver</t>
        </is>
      </c>
      <c r="B28" s="11">
        <f>'balance_raw_37079227'!$B$7</f>
        <v/>
      </c>
      <c r="C28" s="11">
        <f>'balance_raw_37079227'!$C$7</f>
        <v/>
      </c>
      <c r="D28" s="11">
        <f>'balance_raw_37079227'!$D$7</f>
        <v/>
      </c>
      <c r="E28" s="11">
        <f>'balance_raw_37079227'!$E$7</f>
        <v/>
      </c>
      <c r="F28" s="11">
        <f>'balance_raw_37079227'!$F$7</f>
        <v/>
      </c>
      <c r="G28" t="inlineStr"/>
      <c r="H28" s="12">
        <f>IFERROR(B28/$B$28*100,"")</f>
        <v/>
      </c>
      <c r="I28" s="12">
        <f>IFERROR(C28/$B$28*100,"")</f>
        <v/>
      </c>
      <c r="J28" s="12">
        <f>IFERROR(D28/$B$28*100,"")</f>
        <v/>
      </c>
      <c r="K28" s="12">
        <f>IFERROR(E28/$B$28*100,"")</f>
        <v/>
      </c>
      <c r="L28" s="12">
        <f>IFERROR(F28/$B$28*100,"")</f>
        <v/>
      </c>
    </row>
    <row r="29" ht="16" customHeight="1">
      <c r="A29" s="7" t="inlineStr">
        <is>
          <t>Kapitalandele, dattervirksomheder</t>
        </is>
      </c>
      <c r="B29" s="8">
        <f>'balance_raw_37079227'!$B$8</f>
        <v/>
      </c>
      <c r="C29" s="8">
        <f>'balance_raw_37079227'!$C$8</f>
        <v/>
      </c>
      <c r="D29" s="8">
        <f>'balance_raw_37079227'!$D$8</f>
        <v/>
      </c>
      <c r="E29" s="8">
        <f>'balance_raw_37079227'!$E$8</f>
        <v/>
      </c>
      <c r="F29" s="8">
        <f>'balance_raw_37079227'!$F$8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Deposita</t>
        </is>
      </c>
      <c r="B30" s="5">
        <f>'balance_raw_37079227'!$B$9</f>
        <v/>
      </c>
      <c r="C30" s="5">
        <f>'balance_raw_37079227'!$C$9</f>
        <v/>
      </c>
      <c r="D30" s="5">
        <f>'balance_raw_37079227'!$D$9</f>
        <v/>
      </c>
      <c r="E30" s="5">
        <f>'balance_raw_37079227'!$E$9</f>
        <v/>
      </c>
      <c r="F30" s="5">
        <f>'balance_raw_37079227'!$F$9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10" t="inlineStr">
        <is>
          <t>Finansielle anlægsaktiver</t>
        </is>
      </c>
      <c r="B31" s="11">
        <f>'balance_raw_37079227'!$B$10</f>
        <v/>
      </c>
      <c r="C31" s="11">
        <f>'balance_raw_37079227'!$C$10</f>
        <v/>
      </c>
      <c r="D31" s="11">
        <f>'balance_raw_37079227'!$D$10</f>
        <v/>
      </c>
      <c r="E31" s="11">
        <f>'balance_raw_37079227'!$E$10</f>
        <v/>
      </c>
      <c r="F31" s="11">
        <f>'balance_raw_37079227'!$F$10</f>
        <v/>
      </c>
      <c r="G31" t="inlineStr"/>
      <c r="H31" s="12">
        <f>IFERROR(B31/$B$31*100,"")</f>
        <v/>
      </c>
      <c r="I31" s="12">
        <f>IFERROR(C31/$B$31*100,"")</f>
        <v/>
      </c>
      <c r="J31" s="12">
        <f>IFERROR(D31/$B$31*100,"")</f>
        <v/>
      </c>
      <c r="K31" s="12">
        <f>IFERROR(E31/$B$31*100,"")</f>
        <v/>
      </c>
      <c r="L31" s="12">
        <f>IFERROR(F31/$B$31*100,"")</f>
        <v/>
      </c>
    </row>
    <row r="32" ht="16" customHeight="1">
      <c r="A32" s="10" t="inlineStr">
        <is>
          <t>Anlægsaktiver</t>
        </is>
      </c>
      <c r="B32" s="11">
        <f>'balance_raw_37079227'!$B$11</f>
        <v/>
      </c>
      <c r="C32" s="11">
        <f>'balance_raw_37079227'!$C$11</f>
        <v/>
      </c>
      <c r="D32" s="11">
        <f>'balance_raw_37079227'!$D$11</f>
        <v/>
      </c>
      <c r="E32" s="11">
        <f>'balance_raw_37079227'!$E$11</f>
        <v/>
      </c>
      <c r="F32" s="11">
        <f>'balance_raw_37079227'!$F$11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Råvarer og hjælpematerialer</t>
        </is>
      </c>
      <c r="B33" s="8">
        <f>'balance_raw_37079227'!$B$12</f>
        <v/>
      </c>
      <c r="C33" s="8">
        <f>'balance_raw_37079227'!$C$12</f>
        <v/>
      </c>
      <c r="D33" s="8">
        <f>'balance_raw_37079227'!$D$12</f>
        <v/>
      </c>
      <c r="E33" s="8">
        <f>'balance_raw_37079227'!$E$12</f>
        <v/>
      </c>
      <c r="F33" s="8">
        <f>'balance_raw_37079227'!$F$12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Varer under fremstilling</t>
        </is>
      </c>
      <c r="B34" s="5">
        <f>'balance_raw_37079227'!$B$13</f>
        <v/>
      </c>
      <c r="C34" s="5">
        <f>'balance_raw_37079227'!$C$13</f>
        <v/>
      </c>
      <c r="D34" s="5">
        <f>'balance_raw_37079227'!$D$13</f>
        <v/>
      </c>
      <c r="E34" s="5">
        <f>'balance_raw_37079227'!$E$13</f>
        <v/>
      </c>
      <c r="F34" s="5">
        <f>'balance_raw_37079227'!$F$13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7" t="inlineStr">
        <is>
          <t>Færdigvarer og handelsvarer</t>
        </is>
      </c>
      <c r="B35" s="8">
        <f>'balance_raw_37079227'!$B$14</f>
        <v/>
      </c>
      <c r="C35" s="8">
        <f>'balance_raw_37079227'!$C$14</f>
        <v/>
      </c>
      <c r="D35" s="8">
        <f>'balance_raw_37079227'!$D$14</f>
        <v/>
      </c>
      <c r="E35" s="8">
        <f>'balance_raw_37079227'!$E$14</f>
        <v/>
      </c>
      <c r="F35" s="8">
        <f>'balance_raw_37079227'!$F$14</f>
        <v/>
      </c>
      <c r="G35" t="inlineStr"/>
      <c r="H35" s="9">
        <f>IFERROR(B35/$B$35*100,"")</f>
        <v/>
      </c>
      <c r="I35" s="9">
        <f>IFERROR(C35/$B$35*100,"")</f>
        <v/>
      </c>
      <c r="J35" s="9">
        <f>IFERROR(D35/$B$35*100,"")</f>
        <v/>
      </c>
      <c r="K35" s="9">
        <f>IFERROR(E35/$B$35*100,"")</f>
        <v/>
      </c>
      <c r="L35" s="9">
        <f>IFERROR(F35/$B$35*100,"")</f>
        <v/>
      </c>
    </row>
    <row r="36" ht="16" customHeight="1">
      <c r="A36" s="10" t="inlineStr">
        <is>
          <t>Varebeholdninger</t>
        </is>
      </c>
      <c r="B36" s="11">
        <f>'balance_raw_37079227'!$B$15</f>
        <v/>
      </c>
      <c r="C36" s="11">
        <f>'balance_raw_37079227'!$C$15</f>
        <v/>
      </c>
      <c r="D36" s="11">
        <f>'balance_raw_37079227'!$D$15</f>
        <v/>
      </c>
      <c r="E36" s="11">
        <f>'balance_raw_37079227'!$E$15</f>
        <v/>
      </c>
      <c r="F36" s="11">
        <f>'balance_raw_37079227'!$F$15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Tilgodehavender fra salg og tjenesteydelser</t>
        </is>
      </c>
      <c r="B37" s="8">
        <f>'balance_raw_37079227'!$B$16</f>
        <v/>
      </c>
      <c r="C37" s="8">
        <f>'balance_raw_37079227'!$C$16</f>
        <v/>
      </c>
      <c r="D37" s="8">
        <f>'balance_raw_37079227'!$D$16</f>
        <v/>
      </c>
      <c r="E37" s="8">
        <f>'balance_raw_37079227'!$E$16</f>
        <v/>
      </c>
      <c r="F37" s="8">
        <f>'balance_raw_37079227'!$F$16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Tilgodehavender hos tilknyttede virksomheder</t>
        </is>
      </c>
      <c r="B38" s="5">
        <f>'balance_raw_37079227'!$B$17</f>
        <v/>
      </c>
      <c r="C38" s="5">
        <f>'balance_raw_37079227'!$C$17</f>
        <v/>
      </c>
      <c r="D38" s="5">
        <f>'balance_raw_37079227'!$D$17</f>
        <v/>
      </c>
      <c r="E38" s="5">
        <f>'balance_raw_37079227'!$E$17</f>
        <v/>
      </c>
      <c r="F38" s="5">
        <f>'balance_raw_37079227'!$F$17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Andre tilgodehavender</t>
        </is>
      </c>
      <c r="B39" s="8">
        <f>'balance_raw_37079227'!$B$18</f>
        <v/>
      </c>
      <c r="C39" s="8">
        <f>'balance_raw_37079227'!$C$18</f>
        <v/>
      </c>
      <c r="D39" s="8">
        <f>'balance_raw_37079227'!$D$18</f>
        <v/>
      </c>
      <c r="E39" s="8">
        <f>'balance_raw_37079227'!$E$18</f>
        <v/>
      </c>
      <c r="F39" s="8">
        <f>'balance_raw_37079227'!$F$18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4" t="inlineStr">
        <is>
          <t>Periodeafgrænsningsposter (aktiver)</t>
        </is>
      </c>
      <c r="B40" s="5">
        <f>'balance_raw_37079227'!$B$19</f>
        <v/>
      </c>
      <c r="C40" s="5">
        <f>'balance_raw_37079227'!$C$19</f>
        <v/>
      </c>
      <c r="D40" s="5">
        <f>'balance_raw_37079227'!$D$19</f>
        <v/>
      </c>
      <c r="E40" s="5">
        <f>'balance_raw_37079227'!$E$19</f>
        <v/>
      </c>
      <c r="F40" s="5">
        <f>'balance_raw_37079227'!$F$19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Udskudt skatteaktiv</t>
        </is>
      </c>
      <c r="B41" s="8">
        <f>'balance_raw_37079227'!$B$20</f>
        <v/>
      </c>
      <c r="C41" s="8">
        <f>'balance_raw_37079227'!$C$20</f>
        <v/>
      </c>
      <c r="D41" s="8">
        <f>'balance_raw_37079227'!$D$20</f>
        <v/>
      </c>
      <c r="E41" s="8">
        <f>'balance_raw_37079227'!$E$20</f>
        <v/>
      </c>
      <c r="F41" s="8">
        <f>'balance_raw_37079227'!$F$20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 skat hos tilknyttede virksomheder</t>
        </is>
      </c>
      <c r="B42" s="5">
        <f>'balance_raw_37079227'!$B$21</f>
        <v/>
      </c>
      <c r="C42" s="5">
        <f>'balance_raw_37079227'!$C$21</f>
        <v/>
      </c>
      <c r="D42" s="5">
        <f>'balance_raw_37079227'!$D$21</f>
        <v/>
      </c>
      <c r="E42" s="5">
        <f>'balance_raw_37079227'!$E$21</f>
        <v/>
      </c>
      <c r="F42" s="5">
        <f>'balance_raw_37079227'!$F$21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Kortfristede skattetilgodehavender</t>
        </is>
      </c>
      <c r="B43" s="8">
        <f>'balance_raw_37079227'!$B$22</f>
        <v/>
      </c>
      <c r="C43" s="8">
        <f>'balance_raw_37079227'!$C$22</f>
        <v/>
      </c>
      <c r="D43" s="8">
        <f>'balance_raw_37079227'!$D$22</f>
        <v/>
      </c>
      <c r="E43" s="8">
        <f>'balance_raw_37079227'!$E$22</f>
        <v/>
      </c>
      <c r="F43" s="8">
        <f>'balance_raw_37079227'!$F$22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10" t="inlineStr">
        <is>
          <t>Tilgodehavender</t>
        </is>
      </c>
      <c r="B44" s="11">
        <f>'balance_raw_37079227'!$B$23</f>
        <v/>
      </c>
      <c r="C44" s="11">
        <f>'balance_raw_37079227'!$C$23</f>
        <v/>
      </c>
      <c r="D44" s="11">
        <f>'balance_raw_37079227'!$D$23</f>
        <v/>
      </c>
      <c r="E44" s="11">
        <f>'balance_raw_37079227'!$E$23</f>
        <v/>
      </c>
      <c r="F44" s="11">
        <f>'balance_raw_37079227'!$F$23</f>
        <v/>
      </c>
      <c r="G44" t="inlineStr"/>
      <c r="H44" s="12">
        <f>IFERROR(B44/$B$44*100,"")</f>
        <v/>
      </c>
      <c r="I44" s="12">
        <f>IFERROR(C44/$B$44*100,"")</f>
        <v/>
      </c>
      <c r="J44" s="12">
        <f>IFERROR(D44/$B$44*100,"")</f>
        <v/>
      </c>
      <c r="K44" s="12">
        <f>IFERROR(E44/$B$44*100,"")</f>
        <v/>
      </c>
      <c r="L44" s="12">
        <f>IFERROR(F44/$B$44*100,"")</f>
        <v/>
      </c>
    </row>
    <row r="45" ht="16" customHeight="1">
      <c r="A45" s="7" t="inlineStr">
        <is>
          <t>Værdipapirer</t>
        </is>
      </c>
      <c r="B45" s="8">
        <f>'balance_raw_37079227'!$B$24</f>
        <v/>
      </c>
      <c r="C45" s="8">
        <f>'balance_raw_37079227'!$C$24</f>
        <v/>
      </c>
      <c r="D45" s="8">
        <f>'balance_raw_37079227'!$D$24</f>
        <v/>
      </c>
      <c r="E45" s="8">
        <f>'balance_raw_37079227'!$E$24</f>
        <v/>
      </c>
      <c r="F45" s="8">
        <f>'balance_raw_37079227'!$F$24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Likvide beholdninger</t>
        </is>
      </c>
      <c r="B46" s="5">
        <f>'balance_raw_37079227'!$B$25</f>
        <v/>
      </c>
      <c r="C46" s="5">
        <f>'balance_raw_37079227'!$C$25</f>
        <v/>
      </c>
      <c r="D46" s="5">
        <f>'balance_raw_37079227'!$D$25</f>
        <v/>
      </c>
      <c r="E46" s="5">
        <f>'balance_raw_37079227'!$E$25</f>
        <v/>
      </c>
      <c r="F46" s="5">
        <f>'balance_raw_37079227'!$F$25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10" t="inlineStr">
        <is>
          <t>Omsætningsaktiver</t>
        </is>
      </c>
      <c r="B47" s="11">
        <f>'balance_raw_37079227'!$B$26</f>
        <v/>
      </c>
      <c r="C47" s="11">
        <f>'balance_raw_37079227'!$C$26</f>
        <v/>
      </c>
      <c r="D47" s="11">
        <f>'balance_raw_37079227'!$D$26</f>
        <v/>
      </c>
      <c r="E47" s="11">
        <f>'balance_raw_37079227'!$E$26</f>
        <v/>
      </c>
      <c r="F47" s="11">
        <f>'balance_raw_37079227'!$F$26</f>
        <v/>
      </c>
      <c r="G47" t="inlineStr"/>
      <c r="H47" s="12">
        <f>IFERROR(B47/$B$47*100,"")</f>
        <v/>
      </c>
      <c r="I47" s="12">
        <f>IFERROR(C47/$B$47*100,"")</f>
        <v/>
      </c>
      <c r="J47" s="12">
        <f>IFERROR(D47/$B$47*100,"")</f>
        <v/>
      </c>
      <c r="K47" s="12">
        <f>IFERROR(E47/$B$47*100,"")</f>
        <v/>
      </c>
      <c r="L47" s="12">
        <f>IFERROR(F47/$B$47*100,"")</f>
        <v/>
      </c>
    </row>
    <row r="48" ht="16" customHeight="1">
      <c r="A48" s="10" t="inlineStr">
        <is>
          <t>Aktiver</t>
        </is>
      </c>
      <c r="B48" s="11">
        <f>'balance_raw_37079227'!$B$27</f>
        <v/>
      </c>
      <c r="C48" s="11">
        <f>'balance_raw_37079227'!$C$27</f>
        <v/>
      </c>
      <c r="D48" s="11">
        <f>'balance_raw_37079227'!$D$27</f>
        <v/>
      </c>
      <c r="E48" s="11">
        <f>'balance_raw_37079227'!$E$27</f>
        <v/>
      </c>
      <c r="F48" s="11">
        <f>'balance_raw_37079227'!$F$27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50" ht="22" customHeight="1">
      <c r="A50" s="3" t="inlineStr">
        <is>
          <t>PASSIVER t.kr.</t>
        </is>
      </c>
      <c r="B50" s="3" t="n">
        <v>2021</v>
      </c>
      <c r="C50" s="3" t="n">
        <v>2022</v>
      </c>
      <c r="D50" s="3" t="n">
        <v>2023</v>
      </c>
      <c r="E50" s="3" t="n">
        <v>2024</v>
      </c>
      <c r="F50" s="3" t="n">
        <v>2025</v>
      </c>
      <c r="G50" t="inlineStr"/>
      <c r="H50" s="3" t="n">
        <v>2021</v>
      </c>
      <c r="I50" s="3" t="n">
        <v>2022</v>
      </c>
      <c r="J50" s="3" t="n">
        <v>2023</v>
      </c>
      <c r="K50" s="3" t="n">
        <v>2024</v>
      </c>
      <c r="L50" s="3" t="n">
        <v>2025</v>
      </c>
    </row>
    <row r="51" ht="16" customHeight="1">
      <c r="A51" s="7" t="inlineStr">
        <is>
          <t>Selskabskapital</t>
        </is>
      </c>
      <c r="B51" s="8">
        <f>'balance_raw_37079227'!$B$28</f>
        <v/>
      </c>
      <c r="C51" s="8">
        <f>'balance_raw_37079227'!$C$28</f>
        <v/>
      </c>
      <c r="D51" s="8">
        <f>'balance_raw_37079227'!$D$28</f>
        <v/>
      </c>
      <c r="E51" s="8">
        <f>'balance_raw_37079227'!$E$28</f>
        <v/>
      </c>
      <c r="F51" s="8">
        <f>'balance_raw_37079227'!$F$28</f>
        <v/>
      </c>
      <c r="G51" t="inlineStr"/>
      <c r="H51" s="9">
        <f>IFERROR(B51/$B$51*100,"")</f>
        <v/>
      </c>
      <c r="I51" s="9">
        <f>IFERROR(C51/$B$51*100,"")</f>
        <v/>
      </c>
      <c r="J51" s="9">
        <f>IFERROR(D51/$B$51*100,"")</f>
        <v/>
      </c>
      <c r="K51" s="9">
        <f>IFERROR(E51/$B$51*100,"")</f>
        <v/>
      </c>
      <c r="L51" s="9">
        <f>IFERROR(F51/$B$51*100,"")</f>
        <v/>
      </c>
    </row>
    <row r="52" ht="16" customHeight="1">
      <c r="A52" s="4" t="inlineStr">
        <is>
          <t>Reserve for nettoopskrivning (indre værdis metode)</t>
        </is>
      </c>
      <c r="B52" s="5">
        <f>'balance_raw_37079227'!$B$29</f>
        <v/>
      </c>
      <c r="C52" s="5">
        <f>'balance_raw_37079227'!$C$29</f>
        <v/>
      </c>
      <c r="D52" s="5">
        <f>'balance_raw_37079227'!$D$29</f>
        <v/>
      </c>
      <c r="E52" s="5">
        <f>'balance_raw_37079227'!$E$29</f>
        <v/>
      </c>
      <c r="F52" s="5">
        <f>'balance_raw_37079227'!$F$29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7" t="inlineStr">
        <is>
          <t>Reserve for udviklingsomkostninger</t>
        </is>
      </c>
      <c r="B53" s="8">
        <f>'balance_raw_37079227'!$B$30</f>
        <v/>
      </c>
      <c r="C53" s="8">
        <f>'balance_raw_37079227'!$C$30</f>
        <v/>
      </c>
      <c r="D53" s="8">
        <f>'balance_raw_37079227'!$D$30</f>
        <v/>
      </c>
      <c r="E53" s="8">
        <f>'balance_raw_37079227'!$E$30</f>
        <v/>
      </c>
      <c r="F53" s="8">
        <f>'balance_raw_37079227'!$F$30</f>
        <v/>
      </c>
      <c r="G53" t="inlineStr"/>
      <c r="H53" s="9">
        <f>IFERROR(B53/$B$53*100,"")</f>
        <v/>
      </c>
      <c r="I53" s="9">
        <f>IFERROR(C53/$B$53*100,"")</f>
        <v/>
      </c>
      <c r="J53" s="9">
        <f>IFERROR(D53/$B$53*100,"")</f>
        <v/>
      </c>
      <c r="K53" s="9">
        <f>IFERROR(E53/$B$53*100,"")</f>
        <v/>
      </c>
      <c r="L53" s="9">
        <f>IFERROR(F53/$B$53*100,"")</f>
        <v/>
      </c>
    </row>
    <row r="54" ht="16" customHeight="1">
      <c r="A54" s="4" t="inlineStr">
        <is>
          <t>Reserve for sikringstransaktioner</t>
        </is>
      </c>
      <c r="B54" s="5">
        <f>'balance_raw_37079227'!$B$31</f>
        <v/>
      </c>
      <c r="C54" s="5">
        <f>'balance_raw_37079227'!$C$31</f>
        <v/>
      </c>
      <c r="D54" s="5">
        <f>'balance_raw_37079227'!$D$31</f>
        <v/>
      </c>
      <c r="E54" s="5">
        <f>'balance_raw_37079227'!$E$31</f>
        <v/>
      </c>
      <c r="F54" s="5">
        <f>'balance_raw_37079227'!$F$31</f>
        <v/>
      </c>
      <c r="G54" t="inlineStr"/>
      <c r="H54" s="6">
        <f>IFERROR(B54/$B$54*100,"")</f>
        <v/>
      </c>
      <c r="I54" s="6">
        <f>IFERROR(C54/$B$54*100,"")</f>
        <v/>
      </c>
      <c r="J54" s="6">
        <f>IFERROR(D54/$B$54*100,"")</f>
        <v/>
      </c>
      <c r="K54" s="6">
        <f>IFERROR(E54/$B$54*100,"")</f>
        <v/>
      </c>
      <c r="L54" s="6">
        <f>IFERROR(F54/$B$54*100,"")</f>
        <v/>
      </c>
    </row>
    <row r="55" ht="16" customHeight="1">
      <c r="A55" s="7" t="inlineStr">
        <is>
          <t>Andre reserver</t>
        </is>
      </c>
      <c r="B55" s="8">
        <f>'balance_raw_37079227'!$B$32</f>
        <v/>
      </c>
      <c r="C55" s="8">
        <f>'balance_raw_37079227'!$C$32</f>
        <v/>
      </c>
      <c r="D55" s="8">
        <f>'balance_raw_37079227'!$D$32</f>
        <v/>
      </c>
      <c r="E55" s="8">
        <f>'balance_raw_37079227'!$E$32</f>
        <v/>
      </c>
      <c r="F55" s="8">
        <f>'balance_raw_37079227'!$F$32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Overført resultat</t>
        </is>
      </c>
      <c r="B56" s="5">
        <f>'balance_raw_37079227'!$B$33</f>
        <v/>
      </c>
      <c r="C56" s="5">
        <f>'balance_raw_37079227'!$C$33</f>
        <v/>
      </c>
      <c r="D56" s="5">
        <f>'balance_raw_37079227'!$D$33</f>
        <v/>
      </c>
      <c r="E56" s="5">
        <f>'balance_raw_37079227'!$E$33</f>
        <v/>
      </c>
      <c r="F56" s="5">
        <f>'balance_raw_37079227'!$F$33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10" t="inlineStr">
        <is>
          <t>Egenkapital i alt</t>
        </is>
      </c>
      <c r="B57" s="11">
        <f>'balance_raw_37079227'!$B$34</f>
        <v/>
      </c>
      <c r="C57" s="11">
        <f>'balance_raw_37079227'!$C$34</f>
        <v/>
      </c>
      <c r="D57" s="11">
        <f>'balance_raw_37079227'!$D$34</f>
        <v/>
      </c>
      <c r="E57" s="11">
        <f>'balance_raw_37079227'!$E$34</f>
        <v/>
      </c>
      <c r="F57" s="11">
        <f>'balance_raw_37079227'!$F$34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Ansvarlig lånekapital (kortfristet)</t>
        </is>
      </c>
      <c r="B58" s="5">
        <f>'balance_raw_37079227'!$B$35</f>
        <v/>
      </c>
      <c r="C58" s="5">
        <f>'balance_raw_37079227'!$C$35</f>
        <v/>
      </c>
      <c r="D58" s="5">
        <f>'balance_raw_37079227'!$D$35</f>
        <v/>
      </c>
      <c r="E58" s="5">
        <f>'balance_raw_37079227'!$E$35</f>
        <v/>
      </c>
      <c r="F58" s="5">
        <f>'balance_raw_37079227'!$F$35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Kortfristet del af langfristede gældsforpligtelser</t>
        </is>
      </c>
      <c r="B59" s="8">
        <f>'balance_raw_37079227'!$B$36</f>
        <v/>
      </c>
      <c r="C59" s="8">
        <f>'balance_raw_37079227'!$C$36</f>
        <v/>
      </c>
      <c r="D59" s="8">
        <f>'balance_raw_37079227'!$D$36</f>
        <v/>
      </c>
      <c r="E59" s="8">
        <f>'balance_raw_37079227'!$E$36</f>
        <v/>
      </c>
      <c r="F59" s="8">
        <f>'balance_raw_37079227'!$F$36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Kreditinstitutter</t>
        </is>
      </c>
      <c r="B60" s="5">
        <f>'balance_raw_37079227'!$B$37</f>
        <v/>
      </c>
      <c r="C60" s="5">
        <f>'balance_raw_37079227'!$C$37</f>
        <v/>
      </c>
      <c r="D60" s="5">
        <f>'balance_raw_37079227'!$D$37</f>
        <v/>
      </c>
      <c r="E60" s="5">
        <f>'balance_raw_37079227'!$E$37</f>
        <v/>
      </c>
      <c r="F60" s="5">
        <f>'balance_raw_37079227'!$F$37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Leasingforpligtelser (kortfristet)</t>
        </is>
      </c>
      <c r="B61" s="8">
        <f>'balance_raw_37079227'!$B$38</f>
        <v/>
      </c>
      <c r="C61" s="8">
        <f>'balance_raw_37079227'!$C$38</f>
        <v/>
      </c>
      <c r="D61" s="8">
        <f>'balance_raw_37079227'!$D$38</f>
        <v/>
      </c>
      <c r="E61" s="8">
        <f>'balance_raw_37079227'!$E$38</f>
        <v/>
      </c>
      <c r="F61" s="8">
        <f>'balance_raw_37079227'!$F$38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Leverandører af varer og tjenesteydelser</t>
        </is>
      </c>
      <c r="B62" s="5">
        <f>'balance_raw_37079227'!$B$39</f>
        <v/>
      </c>
      <c r="C62" s="5">
        <f>'balance_raw_37079227'!$C$39</f>
        <v/>
      </c>
      <c r="D62" s="5">
        <f>'balance_raw_37079227'!$D$39</f>
        <v/>
      </c>
      <c r="E62" s="5">
        <f>'balance_raw_37079227'!$E$39</f>
        <v/>
      </c>
      <c r="F62" s="5">
        <f>'balance_raw_37079227'!$F$39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7" t="inlineStr">
        <is>
          <t>Gæld til tilknyttede virksomheder</t>
        </is>
      </c>
      <c r="B63" s="8">
        <f>'balance_raw_37079227'!$B$40</f>
        <v/>
      </c>
      <c r="C63" s="8">
        <f>'balance_raw_37079227'!$C$40</f>
        <v/>
      </c>
      <c r="D63" s="8">
        <f>'balance_raw_37079227'!$D$40</f>
        <v/>
      </c>
      <c r="E63" s="8">
        <f>'balance_raw_37079227'!$E$40</f>
        <v/>
      </c>
      <c r="F63" s="8">
        <f>'balance_raw_37079227'!$F$40</f>
        <v/>
      </c>
      <c r="G63" t="inlineStr"/>
      <c r="H63" s="9">
        <f>IFERROR(B63/$B$63*100,"")</f>
        <v/>
      </c>
      <c r="I63" s="9">
        <f>IFERROR(C63/$B$63*100,"")</f>
        <v/>
      </c>
      <c r="J63" s="9">
        <f>IFERROR(D63/$B$63*100,"")</f>
        <v/>
      </c>
      <c r="K63" s="9">
        <f>IFERROR(E63/$B$63*100,"")</f>
        <v/>
      </c>
      <c r="L63" s="9">
        <f>IFERROR(F63/$B$63*100,"")</f>
        <v/>
      </c>
    </row>
    <row r="64" ht="16" customHeight="1">
      <c r="A64" s="4" t="inlineStr">
        <is>
          <t>Gæld til selskabsdeltagere og ledelse</t>
        </is>
      </c>
      <c r="B64" s="5">
        <f>'balance_raw_37079227'!$B$41</f>
        <v/>
      </c>
      <c r="C64" s="5">
        <f>'balance_raw_37079227'!$C$41</f>
        <v/>
      </c>
      <c r="D64" s="5">
        <f>'balance_raw_37079227'!$D$41</f>
        <v/>
      </c>
      <c r="E64" s="5">
        <f>'balance_raw_37079227'!$E$41</f>
        <v/>
      </c>
      <c r="F64" s="5">
        <f>'balance_raw_37079227'!$F$41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Selskabsskat</t>
        </is>
      </c>
      <c r="B65" s="8">
        <f>'balance_raw_37079227'!$B$42</f>
        <v/>
      </c>
      <c r="C65" s="8">
        <f>'balance_raw_37079227'!$C$42</f>
        <v/>
      </c>
      <c r="D65" s="8">
        <f>'balance_raw_37079227'!$D$42</f>
        <v/>
      </c>
      <c r="E65" s="8">
        <f>'balance_raw_37079227'!$E$42</f>
        <v/>
      </c>
      <c r="F65" s="8">
        <f>'balance_raw_37079227'!$F$42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Gæld til tilknyttede virksomheder vedr. selskabsskat</t>
        </is>
      </c>
      <c r="B66" s="5">
        <f>'balance_raw_37079227'!$B$43</f>
        <v/>
      </c>
      <c r="C66" s="5">
        <f>'balance_raw_37079227'!$C$43</f>
        <v/>
      </c>
      <c r="D66" s="5">
        <f>'balance_raw_37079227'!$D$43</f>
        <v/>
      </c>
      <c r="E66" s="5">
        <f>'balance_raw_37079227'!$E$43</f>
        <v/>
      </c>
      <c r="F66" s="5">
        <f>'balance_raw_37079227'!$F$43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(kortfristet)</t>
        </is>
      </c>
      <c r="B67" s="8">
        <f>'balance_raw_37079227'!$B$44</f>
        <v/>
      </c>
      <c r="C67" s="8">
        <f>'balance_raw_37079227'!$C$44</f>
        <v/>
      </c>
      <c r="D67" s="8">
        <f>'balance_raw_37079227'!$D$44</f>
        <v/>
      </c>
      <c r="E67" s="8">
        <f>'balance_raw_37079227'!$E$44</f>
        <v/>
      </c>
      <c r="F67" s="8">
        <f>'balance_raw_37079227'!$F$44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4" t="inlineStr">
        <is>
          <t>Periodeafgrænsningsposter (passiver)</t>
        </is>
      </c>
      <c r="B68" s="5">
        <f>'balance_raw_37079227'!$B$45</f>
        <v/>
      </c>
      <c r="C68" s="5">
        <f>'balance_raw_37079227'!$C$45</f>
        <v/>
      </c>
      <c r="D68" s="5">
        <f>'balance_raw_37079227'!$D$45</f>
        <v/>
      </c>
      <c r="E68" s="5">
        <f>'balance_raw_37079227'!$E$45</f>
        <v/>
      </c>
      <c r="F68" s="5">
        <f>'balance_raw_37079227'!$F$45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Kortfristede gældsforpligtelser</t>
        </is>
      </c>
      <c r="B69" s="11">
        <f>'balance_raw_37079227'!$B$46</f>
        <v/>
      </c>
      <c r="C69" s="11">
        <f>'balance_raw_37079227'!$C$46</f>
        <v/>
      </c>
      <c r="D69" s="11">
        <f>'balance_raw_37079227'!$D$46</f>
        <v/>
      </c>
      <c r="E69" s="11">
        <f>'balance_raw_37079227'!$E$46</f>
        <v/>
      </c>
      <c r="F69" s="11">
        <f>'balance_raw_37079227'!$F$46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10" t="inlineStr">
        <is>
          <t>Gældsforpligtelser</t>
        </is>
      </c>
      <c r="B70" s="11">
        <f>'balance_raw_37079227'!$B$47</f>
        <v/>
      </c>
      <c r="C70" s="11">
        <f>'balance_raw_37079227'!$C$47</f>
        <v/>
      </c>
      <c r="D70" s="11">
        <f>'balance_raw_37079227'!$D$47</f>
        <v/>
      </c>
      <c r="E70" s="11">
        <f>'balance_raw_37079227'!$E$47</f>
        <v/>
      </c>
      <c r="F70" s="11">
        <f>'balance_raw_37079227'!$F$47</f>
        <v/>
      </c>
      <c r="G70" t="inlineStr"/>
      <c r="H70" s="12">
        <f>IFERROR(B70/$B$70*100,"")</f>
        <v/>
      </c>
      <c r="I70" s="12">
        <f>IFERROR(C70/$B$70*100,"")</f>
        <v/>
      </c>
      <c r="J70" s="12">
        <f>IFERROR(D70/$B$70*100,"")</f>
        <v/>
      </c>
      <c r="K70" s="12">
        <f>IFERROR(E70/$B$70*100,"")</f>
        <v/>
      </c>
      <c r="L70" s="12">
        <f>IFERROR(F70/$B$70*100,"")</f>
        <v/>
      </c>
    </row>
    <row r="71" ht="16" customHeight="1">
      <c r="A71" s="10" t="inlineStr">
        <is>
          <t>Passiver</t>
        </is>
      </c>
      <c r="B71" s="11">
        <f>'balance_raw_37079227'!$B$48</f>
        <v/>
      </c>
      <c r="C71" s="11">
        <f>'balance_raw_37079227'!$C$48</f>
        <v/>
      </c>
      <c r="D71" s="11">
        <f>'balance_raw_37079227'!$D$48</f>
        <v/>
      </c>
      <c r="E71" s="11">
        <f>'balance_raw_37079227'!$E$48</f>
        <v/>
      </c>
      <c r="F71" s="11">
        <f>'balance_raw_37079227'!$F$48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3" ht="22" customHeight="1">
      <c r="A73" s="3" t="inlineStr">
        <is>
          <t>NØGLEOPLYSNINGER</t>
        </is>
      </c>
      <c r="B73" s="3" t="n">
        <v>2021</v>
      </c>
      <c r="C73" s="3" t="n">
        <v>2022</v>
      </c>
      <c r="D73" s="3" t="n">
        <v>2023</v>
      </c>
      <c r="E73" s="3" t="n">
        <v>2024</v>
      </c>
      <c r="F73" s="3" t="n">
        <v>2025</v>
      </c>
    </row>
    <row r="74" ht="16" customHeight="1">
      <c r="A74" s="4" t="inlineStr">
        <is>
          <t>Gns. antal medarbejdere</t>
        </is>
      </c>
      <c r="B74" s="5">
        <f>'res_raw_37079227'!$B$19</f>
        <v/>
      </c>
      <c r="C74" s="5">
        <f>'res_raw_37079227'!$C$19</f>
        <v/>
      </c>
      <c r="D74" s="5">
        <f>'res_raw_37079227'!$D$19</f>
        <v/>
      </c>
      <c r="E74" s="5">
        <f>'res_raw_37079227'!$E$19</f>
        <v/>
      </c>
      <c r="F74" s="5">
        <f>'res_raw_37079227'!$F$19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Investering i materielle anlægsaktiver</t>
        </is>
      </c>
      <c r="B75" s="8">
        <f>'res_raw_37079227'!$B$20</f>
        <v/>
      </c>
      <c r="C75" s="8">
        <f>'res_raw_37079227'!$C$20</f>
        <v/>
      </c>
      <c r="D75" s="8">
        <f>'res_raw_37079227'!$D$20</f>
        <v/>
      </c>
      <c r="E75" s="8">
        <f>'res_raw_37079227'!$E$20</f>
        <v/>
      </c>
      <c r="F75" s="8">
        <f>'res_raw_37079227'!$F$20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NØGLETAL</t>
        </is>
      </c>
      <c r="B77" s="3" t="n">
        <v>2021</v>
      </c>
      <c r="C77" s="3" t="n">
        <v>2022</v>
      </c>
      <c r="D77" s="3" t="n">
        <v>2023</v>
      </c>
      <c r="E77" s="3" t="n">
        <v>2024</v>
      </c>
      <c r="F77" s="3" t="n">
        <v>2025</v>
      </c>
    </row>
    <row r="78" ht="16" customHeight="1">
      <c r="A78" s="4" t="inlineStr">
        <is>
          <t>Afkastningsgrad, %</t>
        </is>
      </c>
      <c r="B78" s="13">
        <f>IFERROR(($B$13+$B$15+$B$14)/$B$48*100,"")</f>
        <v/>
      </c>
      <c r="C78" s="13">
        <f>IFERROR(($C$13+$C$15+$C$14)/$C$48*100,"")</f>
        <v/>
      </c>
      <c r="D78" s="13">
        <f>IFERROR(($D$13+$D$15+$D$14)/$D$48*100,"")</f>
        <v/>
      </c>
      <c r="E78" s="13">
        <f>IFERROR(($E$13+$E$15+$E$14)/$E$48*100,"")</f>
        <v/>
      </c>
      <c r="F78" s="13">
        <f>IFERROR(($F$13+$F$15+$F$14)/$F$48*100,"")</f>
        <v/>
      </c>
    </row>
    <row r="79" ht="16" customHeight="1">
      <c r="A79" s="7" t="inlineStr">
        <is>
          <t>Overskudsgrad (af bruttofortjeneste), %</t>
        </is>
      </c>
      <c r="B79" s="14">
        <f>IFERROR(($B$13+$B$15+$B$14)/$B$8*100,"")</f>
        <v/>
      </c>
      <c r="C79" s="14">
        <f>IFERROR(($C$13+$C$15+$C$14)/$C$8*100,"")</f>
        <v/>
      </c>
      <c r="D79" s="14">
        <f>IFERROR(($D$13+$D$15+$D$14)/$D$8*100,"")</f>
        <v/>
      </c>
      <c r="E79" s="14">
        <f>IFERROR(($E$13+$E$15+$E$14)/$E$8*100,"")</f>
        <v/>
      </c>
      <c r="F79" s="14">
        <f>IFERROR(($F$13+$F$15+$F$14)/$F$8*100,"")</f>
        <v/>
      </c>
    </row>
    <row r="80" ht="16" customHeight="1">
      <c r="A80" s="4" t="inlineStr">
        <is>
          <t>Aktivernes omsætningshastighed (af bruttofortjeneste), gange</t>
        </is>
      </c>
      <c r="B80" s="13">
        <f>IFERROR($B$8/$B$48,"")</f>
        <v/>
      </c>
      <c r="C80" s="13">
        <f>IFERROR($C$8/$C$48,"")</f>
        <v/>
      </c>
      <c r="D80" s="13">
        <f>IFERROR($D$8/$D$48,"")</f>
        <v/>
      </c>
      <c r="E80" s="13">
        <f>IFERROR($E$8/$E$48,"")</f>
        <v/>
      </c>
      <c r="F80" s="13">
        <f>IFERROR($F$8/$F$48,"")</f>
        <v/>
      </c>
    </row>
    <row r="81" ht="16" customHeight="1">
      <c r="A81" s="7" t="inlineStr">
        <is>
          <t>Egenkapitalens forrentning, %</t>
        </is>
      </c>
      <c r="B81" s="14">
        <f>IFERROR($B$18/$B$57*100,"")</f>
        <v/>
      </c>
      <c r="C81" s="14">
        <f>IFERROR($C$18/$C$57*100,"")</f>
        <v/>
      </c>
      <c r="D81" s="14">
        <f>IFERROR($D$18/$D$57*100,"")</f>
        <v/>
      </c>
      <c r="E81" s="14">
        <f>IFERROR($E$18/$E$57*100,"")</f>
        <v/>
      </c>
      <c r="F81" s="14">
        <f>IFERROR($F$18/$F$57*100,"")</f>
        <v/>
      </c>
    </row>
    <row r="82" ht="16" customHeight="1">
      <c r="A82" s="4" t="inlineStr">
        <is>
          <t>Gældsrente, %</t>
        </is>
      </c>
      <c r="B82" s="13">
        <f>IFERROR($B$16/($B$71-$B$57)*100,"")</f>
        <v/>
      </c>
      <c r="C82" s="13">
        <f>IFERROR($C$16/($C$71-$C$57)*100,"")</f>
        <v/>
      </c>
      <c r="D82" s="13">
        <f>IFERROR($D$16/($D$71-$D$57)*100,"")</f>
        <v/>
      </c>
      <c r="E82" s="13">
        <f>IFERROR($E$16/($E$71-$E$57)*100,"")</f>
        <v/>
      </c>
      <c r="F82" s="13">
        <f>IFERROR($F$16/($F$71-$F$57)*100,"")</f>
        <v/>
      </c>
    </row>
    <row r="83" ht="16" customHeight="1">
      <c r="A83" s="7" t="inlineStr">
        <is>
          <t>Soliditetsgrad, %</t>
        </is>
      </c>
      <c r="B83" s="14">
        <f>IFERROR($B$57/$B$48*100,"")</f>
        <v/>
      </c>
      <c r="C83" s="14">
        <f>IFERROR($C$57/$C$48*100,"")</f>
        <v/>
      </c>
      <c r="D83" s="14">
        <f>IFERROR($D$57/$D$48*100,"")</f>
        <v/>
      </c>
      <c r="E83" s="14">
        <f>IFERROR($E$57/$E$48*100,"")</f>
        <v/>
      </c>
      <c r="F83" s="14">
        <f>IFERROR($F$57/$F$48*100,"")</f>
        <v/>
      </c>
    </row>
    <row r="84" ht="16" customHeight="1">
      <c r="A84" s="4" t="inlineStr">
        <is>
          <t>Gearing</t>
        </is>
      </c>
      <c r="B84" s="13">
        <f>IFERROR(($B$71-$B$57)/$B$57,"")</f>
        <v/>
      </c>
      <c r="C84" s="13">
        <f>IFERROR(($C$71-$C$57)/$C$57,"")</f>
        <v/>
      </c>
      <c r="D84" s="13">
        <f>IFERROR(($D$71-$D$57)/$D$57,"")</f>
        <v/>
      </c>
      <c r="E84" s="13">
        <f>IFERROR(($E$71-$E$57)/$E$57,"")</f>
        <v/>
      </c>
      <c r="F84" s="13">
        <f>IFERROR(($F$71-$F$57)/$F$57,"")</f>
        <v/>
      </c>
    </row>
    <row r="85" ht="16" customHeight="1">
      <c r="A85" s="7" t="inlineStr">
        <is>
          <t>Likviditetsgrad, %</t>
        </is>
      </c>
      <c r="B85" s="14">
        <f>IFERROR($B$47/$B$69*100,"")</f>
        <v/>
      </c>
      <c r="C85" s="14">
        <f>IFERROR($C$47/$C$69*100,"")</f>
        <v/>
      </c>
      <c r="D85" s="14">
        <f>IFERROR($D$47/$D$69*100,"")</f>
        <v/>
      </c>
      <c r="E85" s="14">
        <f>IFERROR($E$47/$E$69*100,"")</f>
        <v/>
      </c>
      <c r="F85" s="14">
        <f>IFERROR($F$47/$F$69*100,"")</f>
        <v/>
      </c>
    </row>
    <row r="86" ht="16" customHeight="1">
      <c r="A86" s="4" t="inlineStr">
        <is>
          <t>Rentemarginal, %</t>
        </is>
      </c>
      <c r="B86" s="13">
        <f>IFERROR(B78-B82,"")</f>
        <v/>
      </c>
      <c r="C86" s="13">
        <f>IFERROR(C78-C82,"")</f>
        <v/>
      </c>
      <c r="D86" s="13">
        <f>IFERROR(D78-D82,"")</f>
        <v/>
      </c>
      <c r="E86" s="13">
        <f>IFERROR(E78-E82,"")</f>
        <v/>
      </c>
      <c r="F86" s="13">
        <f>IFERROR(F78-F82,"")</f>
        <v/>
      </c>
    </row>
    <row r="87" ht="16" customHeight="1">
      <c r="A87" s="7" t="inlineStr">
        <is>
          <t>Gældsandel, %</t>
        </is>
      </c>
      <c r="B87" s="14">
        <f>IFERROR(($B$71-$B$57)/$B$48*100,"")</f>
        <v/>
      </c>
      <c r="C87" s="14">
        <f>IFERROR(($C$71-$C$57)/$C$48*100,"")</f>
        <v/>
      </c>
      <c r="D87" s="14">
        <f>IFERROR(($D$71-$D$57)/$D$48*100,"")</f>
        <v/>
      </c>
      <c r="E87" s="14">
        <f>IFERROR(($E$71-$E$57)/$E$48*100,"")</f>
        <v/>
      </c>
      <c r="F87" s="14">
        <f>IFERROR(($F$71-$F$57)/$F$48*100,"")</f>
        <v/>
      </c>
    </row>
    <row r="88" ht="16" customHeight="1">
      <c r="A88" s="4" t="inlineStr">
        <is>
          <t>Kapitalbindingsgrad, %</t>
        </is>
      </c>
      <c r="B88" s="13">
        <f>IFERROR($B$32/($B$57+0)*100,"")</f>
        <v/>
      </c>
      <c r="C88" s="13">
        <f>IFERROR($C$32/($C$57+0)*100,"")</f>
        <v/>
      </c>
      <c r="D88" s="13">
        <f>IFERROR($D$32/($D$57+0)*100,"")</f>
        <v/>
      </c>
      <c r="E88" s="13">
        <f>IFERROR($E$32/($E$57+0)*100,"")</f>
        <v/>
      </c>
      <c r="F88" s="13">
        <f>IFERROR($F$32/($F$57+0)*100,"")</f>
        <v/>
      </c>
    </row>
    <row r="90">
      <c r="A90" s="15" t="inlineStr">
        <is>
          <t>Pengestrømsopgørelse ikke offentliggjort (jf. koncernfritagelse, ÅRL §86, stk. 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Designbysi ApS (CVR 37079227)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Nettoomsætning</t>
        </is>
      </c>
      <c r="B2" s="16" t="n"/>
      <c r="C2" s="16" t="n"/>
      <c r="D2" s="16" t="n"/>
      <c r="E2" s="16" t="n"/>
      <c r="F2" s="16" t="n"/>
    </row>
    <row r="3">
      <c r="A3" s="15" t="inlineStr">
        <is>
          <t>Andre driftsindtægter</t>
        </is>
      </c>
      <c r="B3" s="16" t="n"/>
      <c r="C3" s="16" t="n"/>
      <c r="D3" s="16" t="n"/>
      <c r="E3" s="16" t="n"/>
      <c r="F3" s="16" t="n"/>
    </row>
    <row r="4">
      <c r="A4" s="15" t="inlineStr">
        <is>
          <t>Vareforbrug</t>
        </is>
      </c>
      <c r="B4" s="16" t="n"/>
      <c r="C4" s="16" t="n"/>
      <c r="D4" s="16" t="n"/>
      <c r="E4" s="16" t="n"/>
      <c r="F4" s="16" t="n"/>
    </row>
    <row r="5">
      <c r="A5" s="15" t="inlineStr">
        <is>
          <t>Andre eksterne omkostninger</t>
        </is>
      </c>
      <c r="B5" s="16" t="n"/>
      <c r="C5" s="16" t="n"/>
      <c r="D5" s="16" t="n"/>
      <c r="E5" s="16" t="n"/>
      <c r="F5" s="16" t="n"/>
    </row>
    <row r="6">
      <c r="A6" s="17" t="inlineStr">
        <is>
          <t>Bruttoresultat</t>
        </is>
      </c>
      <c r="B6" s="16" t="n">
        <v>10241</v>
      </c>
      <c r="C6" s="16" t="n">
        <v>8138</v>
      </c>
      <c r="D6" s="16" t="n">
        <v>13443</v>
      </c>
      <c r="E6" s="16" t="n">
        <v>26224</v>
      </c>
      <c r="F6" s="16" t="n">
        <v>33443</v>
      </c>
    </row>
    <row r="7">
      <c r="A7" s="15" t="inlineStr">
        <is>
          <t>Personaleomkostninger</t>
        </is>
      </c>
      <c r="B7" s="16" t="n">
        <v>1730</v>
      </c>
      <c r="C7" s="16" t="n">
        <v>3917</v>
      </c>
      <c r="D7" s="16" t="n">
        <v>4880</v>
      </c>
      <c r="E7" s="16" t="n">
        <v>5001</v>
      </c>
      <c r="F7" s="16" t="n">
        <v>7943</v>
      </c>
    </row>
    <row r="8">
      <c r="A8" s="17" t="inlineStr">
        <is>
          <t>Resultat før afskrivninger</t>
        </is>
      </c>
    </row>
    <row r="9">
      <c r="A9" s="15" t="inlineStr">
        <is>
          <t>Af- og nedskrivninger</t>
        </is>
      </c>
      <c r="B9" s="16" t="n">
        <v>6</v>
      </c>
      <c r="C9" s="16" t="n">
        <v>6</v>
      </c>
      <c r="D9" s="16" t="n">
        <v>0</v>
      </c>
      <c r="E9" s="16" t="n"/>
      <c r="F9" s="16" t="n"/>
    </row>
    <row r="10">
      <c r="A10" s="15" t="inlineStr">
        <is>
          <t>Andre driftsomkostninger</t>
        </is>
      </c>
      <c r="B10" s="16" t="n"/>
      <c r="C10" s="16" t="n"/>
      <c r="D10" s="16" t="n"/>
      <c r="E10" s="16" t="n"/>
      <c r="F10" s="16" t="n"/>
    </row>
    <row r="11">
      <c r="A11" s="17" t="inlineStr">
        <is>
          <t>Resultat af primær drift</t>
        </is>
      </c>
      <c r="B11" s="16" t="n">
        <v>8505</v>
      </c>
      <c r="C11" s="16" t="n">
        <v>4216</v>
      </c>
      <c r="D11" s="16" t="n">
        <v>8563</v>
      </c>
      <c r="E11" s="16" t="n">
        <v>21223</v>
      </c>
      <c r="F11" s="16" t="n">
        <v>25500</v>
      </c>
    </row>
    <row r="12">
      <c r="A12" s="15" t="inlineStr">
        <is>
          <t>Indtægter af kapitalandele, dattervirksomheder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Finansielle indtægter</t>
        </is>
      </c>
      <c r="B13" s="16" t="n">
        <v>1482</v>
      </c>
      <c r="C13" s="16" t="n">
        <v>227</v>
      </c>
      <c r="D13" s="16" t="n">
        <v>1466</v>
      </c>
      <c r="E13" s="16" t="n">
        <v>876</v>
      </c>
      <c r="F13" s="16" t="n">
        <v>197</v>
      </c>
    </row>
    <row r="14">
      <c r="A14" s="15" t="inlineStr">
        <is>
          <t>Finansielle omkostninger</t>
        </is>
      </c>
      <c r="B14" s="16" t="n">
        <v>8</v>
      </c>
      <c r="C14" s="16" t="n">
        <v>181</v>
      </c>
      <c r="D14" s="16" t="n">
        <v>1347</v>
      </c>
      <c r="E14" s="16" t="n">
        <v>64</v>
      </c>
      <c r="F14" s="16" t="n">
        <v>478</v>
      </c>
    </row>
    <row r="15">
      <c r="A15" s="17" t="inlineStr">
        <is>
          <t>Finansielle poster, netto</t>
        </is>
      </c>
      <c r="B15" s="16" t="n"/>
      <c r="C15" s="16" t="n"/>
      <c r="D15" s="16" t="n"/>
      <c r="E15" s="16" t="n"/>
      <c r="F15" s="16" t="n"/>
    </row>
    <row r="16">
      <c r="A16" s="17" t="inlineStr">
        <is>
          <t>Resultat før skat</t>
        </is>
      </c>
      <c r="B16" s="16" t="n">
        <v>9979</v>
      </c>
      <c r="C16" s="16" t="n">
        <v>4262</v>
      </c>
      <c r="D16" s="16" t="n">
        <v>8682</v>
      </c>
      <c r="E16" s="16" t="n">
        <v>22035</v>
      </c>
      <c r="F16" s="16" t="n">
        <v>25219</v>
      </c>
    </row>
    <row r="17">
      <c r="A17" s="15" t="inlineStr">
        <is>
          <t>Skat af årets resultat</t>
        </is>
      </c>
      <c r="B17" s="16" t="n">
        <v>2195</v>
      </c>
      <c r="C17" s="16" t="n">
        <v>940</v>
      </c>
      <c r="D17" s="16" t="n">
        <v>1910</v>
      </c>
      <c r="E17" s="16" t="n">
        <v>4850</v>
      </c>
      <c r="F17" s="16" t="n">
        <v>5572</v>
      </c>
    </row>
    <row r="18">
      <c r="A18" s="17" t="inlineStr">
        <is>
          <t>Årets resultat</t>
        </is>
      </c>
      <c r="B18" s="16" t="n">
        <v>7784</v>
      </c>
      <c r="C18" s="16" t="n">
        <v>3321</v>
      </c>
      <c r="D18" s="16" t="n">
        <v>6771</v>
      </c>
      <c r="E18" s="16" t="n">
        <v>17185</v>
      </c>
      <c r="F18" s="16" t="n">
        <v>19647</v>
      </c>
    </row>
    <row r="19">
      <c r="A19" s="15" t="inlineStr">
        <is>
          <t>Gns. antal medarbejdere</t>
        </is>
      </c>
      <c r="B19" s="16" t="n">
        <v>5</v>
      </c>
      <c r="C19" s="16" t="n">
        <v>6</v>
      </c>
      <c r="D19" s="16" t="n">
        <v>7</v>
      </c>
      <c r="E19" s="16" t="n">
        <v>11</v>
      </c>
      <c r="F19" s="16" t="n">
        <v>18</v>
      </c>
    </row>
    <row r="20">
      <c r="A20" s="15" t="inlineStr">
        <is>
          <t>Investering i materielle anlægsaktiver</t>
        </is>
      </c>
      <c r="B20" s="16" t="n"/>
      <c r="C20" s="16" t="n"/>
      <c r="D20" s="16" t="n"/>
      <c r="E20" s="16" t="n"/>
      <c r="F20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Designbysi ApS (CVR 37079227)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5" t="inlineStr">
        <is>
          <t>Grunde og bygninger</t>
        </is>
      </c>
      <c r="B2" s="16" t="n"/>
      <c r="C2" s="16" t="n"/>
      <c r="D2" s="16" t="n"/>
      <c r="E2" s="16" t="n"/>
      <c r="F2" s="16" t="n"/>
    </row>
    <row r="3">
      <c r="A3" s="15" t="inlineStr">
        <is>
          <t>Produktionsanlæg og maskiner</t>
        </is>
      </c>
      <c r="B3" s="16" t="n"/>
      <c r="C3" s="16" t="n"/>
      <c r="D3" s="16" t="n"/>
      <c r="E3" s="16" t="n"/>
      <c r="F3" s="16" t="n"/>
    </row>
    <row r="4">
      <c r="A4" s="15" t="inlineStr">
        <is>
          <t>Driftsmateriel og inventar</t>
        </is>
      </c>
      <c r="B4" s="16" t="n">
        <v>6</v>
      </c>
      <c r="C4" s="16" t="n">
        <v>0</v>
      </c>
      <c r="D4" s="16" t="n"/>
      <c r="E4" s="16" t="n"/>
      <c r="F4" s="16" t="n"/>
    </row>
    <row r="5">
      <c r="A5" s="15" t="inlineStr">
        <is>
          <t>Indretning af lejede lokaler</t>
        </is>
      </c>
      <c r="B5" s="16" t="n"/>
      <c r="C5" s="16" t="n"/>
      <c r="D5" s="16" t="n"/>
      <c r="E5" s="16" t="n"/>
      <c r="F5" s="16" t="n"/>
    </row>
    <row r="6">
      <c r="A6" s="15" t="inlineStr">
        <is>
          <t>Forudbetaling og anlægsaktiver under opførelse</t>
        </is>
      </c>
      <c r="B6" s="16" t="n"/>
      <c r="C6" s="16" t="n"/>
      <c r="D6" s="16" t="n"/>
      <c r="E6" s="16" t="n"/>
      <c r="F6" s="16" t="n"/>
    </row>
    <row r="7">
      <c r="A7" s="17" t="inlineStr">
        <is>
          <t>Materielle anlægsaktiver</t>
        </is>
      </c>
      <c r="B7" s="16" t="n">
        <v>6</v>
      </c>
      <c r="C7" s="16" t="n">
        <v>0</v>
      </c>
      <c r="D7" s="16" t="n"/>
      <c r="E7" s="16" t="n"/>
      <c r="F7" s="16" t="n"/>
    </row>
    <row r="8">
      <c r="A8" s="15" t="inlineStr">
        <is>
          <t>Kapitalandele, dattervirksomheder</t>
        </is>
      </c>
      <c r="B8" s="16" t="n"/>
      <c r="C8" s="16" t="n"/>
      <c r="D8" s="16" t="n"/>
      <c r="E8" s="16" t="n"/>
      <c r="F8" s="16" t="n"/>
    </row>
    <row r="9">
      <c r="A9" s="15" t="inlineStr">
        <is>
          <t>Deposita</t>
        </is>
      </c>
      <c r="B9" s="16" t="n"/>
      <c r="C9" s="16" t="n">
        <v>64</v>
      </c>
      <c r="D9" s="16" t="n">
        <v>71</v>
      </c>
      <c r="E9" s="16" t="n">
        <v>358</v>
      </c>
      <c r="F9" s="16" t="n">
        <v>474</v>
      </c>
    </row>
    <row r="10">
      <c r="A10" s="17" t="inlineStr">
        <is>
          <t>Finansielle anlægsaktiver</t>
        </is>
      </c>
      <c r="B10" s="16" t="n"/>
      <c r="C10" s="16" t="n">
        <v>64</v>
      </c>
      <c r="D10" s="16" t="n">
        <v>71</v>
      </c>
      <c r="E10" s="16" t="n">
        <v>358</v>
      </c>
      <c r="F10" s="16" t="n">
        <v>474</v>
      </c>
    </row>
    <row r="11">
      <c r="A11" s="17" t="inlineStr">
        <is>
          <t>Anlægsaktiver</t>
        </is>
      </c>
      <c r="B11" s="16" t="n">
        <v>6</v>
      </c>
      <c r="C11" s="16" t="n">
        <v>64</v>
      </c>
      <c r="D11" s="16" t="n">
        <v>71</v>
      </c>
      <c r="E11" s="16" t="n">
        <v>358</v>
      </c>
      <c r="F11" s="16" t="n">
        <v>474</v>
      </c>
    </row>
    <row r="12">
      <c r="A12" s="15" t="inlineStr">
        <is>
          <t>Råvarer og hjælpematerialer</t>
        </is>
      </c>
      <c r="B12" s="16" t="n"/>
      <c r="C12" s="16" t="n"/>
      <c r="D12" s="16" t="n"/>
      <c r="E12" s="16" t="n"/>
      <c r="F12" s="16" t="n"/>
    </row>
    <row r="13">
      <c r="A13" s="15" t="inlineStr">
        <is>
          <t>Varer under fremstilling</t>
        </is>
      </c>
      <c r="B13" s="16" t="n"/>
      <c r="C13" s="16" t="n"/>
      <c r="D13" s="16" t="n"/>
      <c r="E13" s="16" t="n"/>
      <c r="F13" s="16" t="n"/>
    </row>
    <row r="14">
      <c r="A14" s="15" t="inlineStr">
        <is>
          <t>Færdigvarer og handelsvarer</t>
        </is>
      </c>
      <c r="B14" s="16" t="n">
        <v>5567</v>
      </c>
      <c r="C14" s="16" t="n">
        <v>6292</v>
      </c>
      <c r="D14" s="16" t="n">
        <v>9834</v>
      </c>
      <c r="E14" s="16" t="n">
        <v>13494</v>
      </c>
      <c r="F14" s="16" t="n">
        <v>15362</v>
      </c>
    </row>
    <row r="15">
      <c r="A15" s="17" t="inlineStr">
        <is>
          <t>Varebeholdninger</t>
        </is>
      </c>
      <c r="B15" s="16" t="n">
        <v>5567</v>
      </c>
      <c r="C15" s="16" t="n">
        <v>6292</v>
      </c>
      <c r="D15" s="16" t="n">
        <v>9834</v>
      </c>
      <c r="E15" s="16" t="n">
        <v>13494</v>
      </c>
      <c r="F15" s="16" t="n">
        <v>15583</v>
      </c>
    </row>
    <row r="16">
      <c r="A16" s="15" t="inlineStr">
        <is>
          <t>Tilgodehavender fra salg og tjenesteydelser</t>
        </is>
      </c>
      <c r="B16" s="16" t="n"/>
      <c r="C16" s="16" t="n"/>
      <c r="D16" s="16" t="n"/>
      <c r="E16" s="16" t="n">
        <v>12</v>
      </c>
      <c r="F16" s="16" t="n">
        <v>0</v>
      </c>
    </row>
    <row r="17">
      <c r="A17" s="15" t="inlineStr">
        <is>
          <t>Tilgodehavender hos tilknyttede virksomheder</t>
        </is>
      </c>
      <c r="B17" s="16" t="n"/>
      <c r="C17" s="16" t="n"/>
      <c r="D17" s="16" t="n">
        <v>2004</v>
      </c>
      <c r="E17" s="16" t="n">
        <v>961</v>
      </c>
      <c r="F17" s="16" t="n">
        <v>0</v>
      </c>
    </row>
    <row r="18">
      <c r="A18" s="15" t="inlineStr">
        <is>
          <t>Andre tilgodehavender</t>
        </is>
      </c>
      <c r="B18" s="16" t="n">
        <v>3422</v>
      </c>
      <c r="C18" s="16" t="n">
        <v>3038</v>
      </c>
      <c r="D18" s="16" t="n">
        <v>120</v>
      </c>
      <c r="E18" s="16" t="n">
        <v>873</v>
      </c>
      <c r="F18" s="16" t="n">
        <v>3413</v>
      </c>
    </row>
    <row r="19">
      <c r="A19" s="15" t="inlineStr">
        <is>
          <t>Periodeafgrænsningsposter (aktiver)</t>
        </is>
      </c>
      <c r="B19" s="16" t="n">
        <v>96</v>
      </c>
      <c r="C19" s="16" t="n">
        <v>414</v>
      </c>
      <c r="D19" s="16" t="n">
        <v>491</v>
      </c>
      <c r="E19" s="16" t="n">
        <v>20</v>
      </c>
      <c r="F19" s="16" t="n">
        <v>73</v>
      </c>
    </row>
    <row r="20">
      <c r="A20" s="15" t="inlineStr">
        <is>
          <t>Udskudt skatteaktiv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Tilgodehavende skat hos tilknyttede virksomheder</t>
        </is>
      </c>
      <c r="B21" s="16" t="n"/>
      <c r="C21" s="16" t="n"/>
      <c r="D21" s="16" t="n"/>
      <c r="E21" s="16" t="n"/>
      <c r="F21" s="16" t="n"/>
    </row>
    <row r="22">
      <c r="A22" s="15" t="inlineStr">
        <is>
          <t>Kortfristede skattetilgodehavender</t>
        </is>
      </c>
      <c r="B22" s="16" t="n"/>
      <c r="C22" s="16" t="n"/>
      <c r="D22" s="16" t="n">
        <v>3</v>
      </c>
      <c r="E22" s="16" t="n">
        <v>0</v>
      </c>
      <c r="F22" s="16" t="n"/>
    </row>
    <row r="23">
      <c r="A23" s="17" t="inlineStr">
        <is>
          <t>Tilgodehavender</t>
        </is>
      </c>
      <c r="B23" s="16" t="n">
        <v>3517</v>
      </c>
      <c r="C23" s="16" t="n">
        <v>3451</v>
      </c>
      <c r="D23" s="16" t="n">
        <v>2618</v>
      </c>
      <c r="E23" s="16" t="n">
        <v>1866</v>
      </c>
      <c r="F23" s="16" t="n">
        <v>3486</v>
      </c>
    </row>
    <row r="24">
      <c r="A24" s="15" t="inlineStr">
        <is>
          <t>Værdipapirer</t>
        </is>
      </c>
      <c r="B24" s="16" t="n">
        <v>8254</v>
      </c>
      <c r="C24" s="16" t="n">
        <v>10459</v>
      </c>
      <c r="D24" s="16" t="n">
        <v>2432</v>
      </c>
      <c r="E24" s="16" t="n">
        <v>0</v>
      </c>
      <c r="F24" s="16" t="n"/>
    </row>
    <row r="25">
      <c r="A25" s="15" t="inlineStr">
        <is>
          <t>Likvide beholdninger</t>
        </is>
      </c>
      <c r="B25" s="16" t="n">
        <v>698</v>
      </c>
      <c r="C25" s="16" t="n">
        <v>890</v>
      </c>
      <c r="D25" s="16" t="n">
        <v>8647</v>
      </c>
      <c r="E25" s="16" t="n">
        <v>19074</v>
      </c>
      <c r="F25" s="16" t="n">
        <v>6959</v>
      </c>
    </row>
    <row r="26">
      <c r="A26" s="17" t="inlineStr">
        <is>
          <t>Omsætningsaktiver</t>
        </is>
      </c>
      <c r="B26" s="16" t="n">
        <v>18036</v>
      </c>
      <c r="C26" s="16" t="n">
        <v>21093</v>
      </c>
      <c r="D26" s="16" t="n">
        <v>23531</v>
      </c>
      <c r="E26" s="16" t="n">
        <v>34434</v>
      </c>
      <c r="F26" s="16" t="n">
        <v>26028</v>
      </c>
    </row>
    <row r="27">
      <c r="A27" s="17" t="inlineStr">
        <is>
          <t>Aktiver</t>
        </is>
      </c>
      <c r="B27" s="16" t="n">
        <v>18042</v>
      </c>
      <c r="C27" s="16" t="n">
        <v>21157</v>
      </c>
      <c r="D27" s="16" t="n">
        <v>23602</v>
      </c>
      <c r="E27" s="16" t="n">
        <v>34792</v>
      </c>
      <c r="F27" s="16" t="n">
        <v>26502</v>
      </c>
    </row>
    <row r="28">
      <c r="A28" s="15" t="inlineStr">
        <is>
          <t>Selskabskapital</t>
        </is>
      </c>
      <c r="B28" s="16" t="n">
        <v>50</v>
      </c>
      <c r="C28" s="16" t="n">
        <v>50</v>
      </c>
      <c r="D28" s="16" t="n">
        <v>50</v>
      </c>
      <c r="E28" s="16" t="n">
        <v>50</v>
      </c>
      <c r="F28" s="16" t="n">
        <v>50</v>
      </c>
    </row>
    <row r="29">
      <c r="A29" s="15" t="inlineStr">
        <is>
          <t>Reserve for nettoopskrivning (indre værdis metode)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udviklingsomkostninger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Reserve for sikringstransaktioner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Andre reserver</t>
        </is>
      </c>
      <c r="B32" s="16" t="n"/>
      <c r="C32" s="16" t="n"/>
      <c r="D32" s="16" t="n"/>
      <c r="E32" s="16" t="n"/>
      <c r="F32" s="16" t="n"/>
    </row>
    <row r="33">
      <c r="A33" s="15" t="inlineStr">
        <is>
          <t>Overført resultat</t>
        </is>
      </c>
      <c r="B33" s="16" t="n">
        <v>11358</v>
      </c>
      <c r="C33" s="16" t="n">
        <v>9679</v>
      </c>
      <c r="D33" s="16" t="n">
        <v>5450</v>
      </c>
      <c r="E33" s="16" t="n">
        <v>22636</v>
      </c>
      <c r="F33" s="16" t="n">
        <v>7283</v>
      </c>
    </row>
    <row r="34">
      <c r="A34" s="17" t="inlineStr">
        <is>
          <t>Egenkapital i alt</t>
        </is>
      </c>
      <c r="B34" s="16" t="n">
        <v>13408</v>
      </c>
      <c r="C34" s="16" t="n">
        <v>14729</v>
      </c>
      <c r="D34" s="16" t="n">
        <v>16500</v>
      </c>
      <c r="E34" s="16" t="n">
        <v>22686</v>
      </c>
      <c r="F34" s="16" t="n">
        <v>7333</v>
      </c>
    </row>
    <row r="35">
      <c r="A35" s="15" t="inlineStr">
        <is>
          <t>Ansvarlig lånekapital (kortfristet)</t>
        </is>
      </c>
      <c r="B35" s="16" t="n"/>
      <c r="C35" s="16" t="n"/>
      <c r="D35" s="16" t="n"/>
      <c r="E35" s="16" t="n"/>
      <c r="F35" s="16" t="n"/>
    </row>
    <row r="36">
      <c r="A36" s="15" t="inlineStr">
        <is>
          <t>Kortfristet del af langfristede gældsforpligtelser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Kreditinstitutter</t>
        </is>
      </c>
      <c r="B37" s="16" t="n">
        <v>299</v>
      </c>
      <c r="C37" s="16" t="n">
        <v>97</v>
      </c>
      <c r="D37" s="16" t="n">
        <v>28</v>
      </c>
      <c r="E37" s="16" t="n">
        <v>161</v>
      </c>
      <c r="F37" s="16" t="n">
        <v>1</v>
      </c>
    </row>
    <row r="38">
      <c r="A38" s="15" t="inlineStr">
        <is>
          <t>Leasingforpligtelser (kortfristet)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Leverandører af varer og tjenesteydelser</t>
        </is>
      </c>
      <c r="B39" s="16" t="n">
        <v>491</v>
      </c>
      <c r="C39" s="16" t="n">
        <v>719</v>
      </c>
      <c r="D39" s="16" t="n">
        <v>623</v>
      </c>
      <c r="E39" s="16" t="n">
        <v>939</v>
      </c>
      <c r="F39" s="16" t="n">
        <v>4724</v>
      </c>
    </row>
    <row r="40">
      <c r="A40" s="15" t="inlineStr">
        <is>
          <t>Gæld til tilknyttede virksomheder</t>
        </is>
      </c>
      <c r="B40" s="16" t="n">
        <v>15</v>
      </c>
      <c r="C40" s="16" t="n">
        <v>842</v>
      </c>
      <c r="D40" s="16" t="n">
        <v>0</v>
      </c>
      <c r="E40" s="16" t="n"/>
      <c r="F40" s="16" t="n">
        <v>4145</v>
      </c>
    </row>
    <row r="41">
      <c r="A41" s="15" t="inlineStr">
        <is>
          <t>Gæld til selskabsdeltagere og ledelse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Selskabsskat</t>
        </is>
      </c>
      <c r="B42" s="16" t="n">
        <v>2180</v>
      </c>
      <c r="C42" s="16" t="n"/>
      <c r="D42" s="16" t="n"/>
      <c r="E42" s="16" t="n"/>
      <c r="F42" s="16" t="n"/>
    </row>
    <row r="43">
      <c r="A43" s="15" t="inlineStr">
        <is>
          <t>Gæld til tilknyttede virksomheder vedr. selskabsskat</t>
        </is>
      </c>
      <c r="B43" s="16" t="n"/>
      <c r="C43" s="16" t="n">
        <v>922</v>
      </c>
      <c r="D43" s="16" t="n">
        <v>1910</v>
      </c>
      <c r="E43" s="16" t="n">
        <v>4850</v>
      </c>
      <c r="F43" s="16" t="n">
        <v>5572</v>
      </c>
    </row>
    <row r="44">
      <c r="A44" s="15" t="inlineStr">
        <is>
          <t>Anden gæld (kortfristet)</t>
        </is>
      </c>
      <c r="B44" s="16" t="n">
        <v>1651</v>
      </c>
      <c r="C44" s="16" t="n">
        <v>3850</v>
      </c>
      <c r="D44" s="16" t="n">
        <v>4541</v>
      </c>
      <c r="E44" s="16" t="n">
        <v>6157</v>
      </c>
      <c r="F44" s="16" t="n">
        <v>3736</v>
      </c>
    </row>
    <row r="45">
      <c r="A45" s="15" t="inlineStr">
        <is>
          <t>Periodeafgrænsningsposter (passiver)</t>
        </is>
      </c>
      <c r="B45" s="16" t="n"/>
      <c r="C45" s="16" t="n"/>
      <c r="D45" s="16" t="n"/>
      <c r="E45" s="16" t="n"/>
      <c r="F45" s="16" t="n">
        <v>896</v>
      </c>
    </row>
    <row r="46">
      <c r="A46" s="17" t="inlineStr">
        <is>
          <t>Kortfristede gældsforpligtelser</t>
        </is>
      </c>
      <c r="B46" s="16" t="n">
        <v>4634</v>
      </c>
      <c r="C46" s="16" t="n">
        <v>6428</v>
      </c>
      <c r="D46" s="16" t="n">
        <v>7102</v>
      </c>
      <c r="E46" s="16" t="n">
        <v>12107</v>
      </c>
      <c r="F46" s="16" t="n">
        <v>19169</v>
      </c>
    </row>
    <row r="47">
      <c r="A47" s="17" t="inlineStr">
        <is>
          <t>Gældsforpligtelser</t>
        </is>
      </c>
      <c r="B47" s="16" t="n">
        <v>4634</v>
      </c>
      <c r="C47" s="16" t="n">
        <v>6428</v>
      </c>
      <c r="D47" s="16" t="n">
        <v>7102</v>
      </c>
      <c r="E47" s="16" t="n">
        <v>12107</v>
      </c>
      <c r="F47" s="16" t="n">
        <v>19169</v>
      </c>
    </row>
    <row r="48">
      <c r="A48" s="17" t="inlineStr">
        <is>
          <t>Passiver</t>
        </is>
      </c>
      <c r="B48" s="16" t="n">
        <v>18042</v>
      </c>
      <c r="C48" s="16" t="n">
        <v>21157</v>
      </c>
      <c r="D48" s="16" t="n">
        <v>23602</v>
      </c>
      <c r="E48" s="16" t="n">
        <v>34792</v>
      </c>
      <c r="F48" s="16" t="n">
        <v>26502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Designbysi ApS (CVR 37079227) — Regnskabs- og nøgletal (CVR: 37079227)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'res_raw_37079227'!$F$2</f>
        <v/>
      </c>
      <c r="C5" s="24">
        <f>'res_raw_37079227'!$E$2</f>
        <v/>
      </c>
      <c r="D5" s="24">
        <f>'res_raw_37079227'!$D$2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'res_raw_37079227'!$F$3</f>
        <v/>
      </c>
      <c r="C6" s="24">
        <f>'res_raw_37079227'!$E$3</f>
        <v/>
      </c>
      <c r="D6" s="24">
        <f>'res_raw_37079227'!$D$3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-'res_raw_37079227'!$F$4</f>
        <v/>
      </c>
      <c r="C7" s="24">
        <f>-'res_raw_37079227'!$E$4</f>
        <v/>
      </c>
      <c r="D7" s="24">
        <f>-'res_raw_37079227'!$D$4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-'res_raw_37079227'!$F$5</f>
        <v/>
      </c>
      <c r="C8" s="24">
        <f>-'res_raw_37079227'!$E$5</f>
        <v/>
      </c>
      <c r="D8" s="24">
        <f>-'res_raw_37079227'!$D$5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IF(COUNT('res_raw_37079227'!$F$2,'res_raw_37079227'!$F$3,'res_raw_37079227'!$F$4,'res_raw_37079227'!$F$5)=0,'res_raw_37079227'!$F$6,SUM(B5:B8))</f>
        <v/>
      </c>
      <c r="C9" s="27">
        <f>IF(COUNT('res_raw_37079227'!$E$2,'res_raw_37079227'!$E$3,'res_raw_37079227'!$E$4,'res_raw_37079227'!$E$5)=0,'res_raw_37079227'!$E$6,SUM(C5:C8))</f>
        <v/>
      </c>
      <c r="D9" s="27">
        <f>IF(COUNT('res_raw_37079227'!$D$2,'res_raw_37079227'!$D$3,'res_raw_37079227'!$D$4,'res_raw_37079227'!$D$5)=0,'res_raw_37079227'!$D$6,SUM(D5:D8))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-'res_raw_37079227'!$F$7</f>
        <v/>
      </c>
      <c r="C10" s="24">
        <f>-'res_raw_37079227'!$E$7</f>
        <v/>
      </c>
      <c r="D10" s="24">
        <f>-'res_raw_37079227'!$D$7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-'res_raw_37079227'!$F$9</f>
        <v/>
      </c>
      <c r="C11" s="24">
        <f>-'res_raw_37079227'!$E$9</f>
        <v/>
      </c>
      <c r="D11" s="24">
        <f>-'res_raw_37079227'!$D$9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-'res_raw_37079227'!$F$10</f>
        <v/>
      </c>
      <c r="C12" s="24">
        <f>-'res_raw_37079227'!$E$10</f>
        <v/>
      </c>
      <c r="D12" s="24">
        <f>-'res_raw_37079227'!$D$10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SUM(B9:B12)</f>
        <v/>
      </c>
      <c r="C13" s="27">
        <f>SUM(C9:C12)</f>
        <v/>
      </c>
      <c r="D13" s="27">
        <f>SUM(D9:D12)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N('res_raw_37079227'!$F$12)+N('res_raw_37079227'!$F$13)</f>
        <v/>
      </c>
      <c r="C14" s="24">
        <f>N('res_raw_37079227'!$E$12)+N('res_raw_37079227'!$E$13)</f>
        <v/>
      </c>
      <c r="D14" s="24">
        <f>N('res_raw_37079227'!$D$12)+N('res_raw_37079227'!$D$13)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-'res_raw_37079227'!$F$14</f>
        <v/>
      </c>
      <c r="C15" s="24">
        <f>-'res_raw_37079227'!$E$14</f>
        <v/>
      </c>
      <c r="D15" s="24">
        <f>-'res_raw_37079227'!$D$14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SUM(B13:B15)</f>
        <v/>
      </c>
      <c r="C16" s="27">
        <f>SUM(C13:C15)</f>
        <v/>
      </c>
      <c r="D16" s="27">
        <f>SUM(D13:D15)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'balance_raw_37079227'!$F$11</f>
        <v/>
      </c>
      <c r="C19" s="24">
        <f>'balance_raw_37079227'!$E$11</f>
        <v/>
      </c>
      <c r="D19" s="24">
        <f>'balance_raw_37079227'!$D$11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'balance_raw_37079227'!$F$26</f>
        <v/>
      </c>
      <c r="C20" s="24">
        <f>'balance_raw_37079227'!$E$26</f>
        <v/>
      </c>
      <c r="D20" s="24">
        <f>'balance_raw_37079227'!$D$26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'balance_raw_37079227'!$F$34</f>
        <v/>
      </c>
      <c r="C23" s="24">
        <f>'balance_raw_37079227'!$E$34</f>
        <v/>
      </c>
      <c r="D23" s="24">
        <f>'balance_raw_37079227'!$D$34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'balance_raw_37079227'!$F$48-'balance_raw_37079227'!$F$34</f>
        <v/>
      </c>
      <c r="C24" s="24">
        <f>'balance_raw_37079227'!$E$48-'balance_raw_37079227'!$E$34</f>
        <v/>
      </c>
      <c r="D24" s="24">
        <f>'balance_raw_37079227'!$D$48-'balance_raw_37079227'!$D$34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'balance_raw_37079227'!$F$15</f>
        <v/>
      </c>
      <c r="C28" s="24">
        <f>'balance_raw_37079227'!$E$15</f>
        <v/>
      </c>
      <c r="D28" s="24">
        <f>'balance_raw_37079227'!$D$15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'balance_raw_37079227'!$F$16</f>
        <v/>
      </c>
      <c r="C29" s="24">
        <f>'balance_raw_37079227'!$E$16</f>
        <v/>
      </c>
      <c r="D29" s="24">
        <f>'balance_raw_37079227'!$D$16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'balance_raw_37079227'!$F$46</f>
        <v/>
      </c>
      <c r="C30" s="24">
        <f>'balance_raw_37079227'!$E$46</f>
        <v/>
      </c>
      <c r="D30" s="24">
        <f>'balance_raw_37079227'!$D$46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 (af bruttofortjeneste), %</t>
        </is>
      </c>
      <c r="B34" s="30">
        <f>IFERROR((B13+B14)/B9*100,"")</f>
        <v/>
      </c>
      <c r="C34" s="30">
        <f>IFERROR((C13+C14)/C9*100,"")</f>
        <v/>
      </c>
      <c r="D34" s="30">
        <f>IFERROR((D13+D14)/D9*100,"")</f>
        <v/>
      </c>
      <c r="F34" s="29" t="n"/>
    </row>
    <row r="35">
      <c r="A35" s="23" t="inlineStr">
        <is>
          <t>Aktivernes omsætningshastighed (af bruttofortjeneste), gange</t>
        </is>
      </c>
      <c r="B35" s="30">
        <f>IFERROR(B9/B21,"")</f>
        <v/>
      </c>
      <c r="C35" s="30">
        <f>IFERROR(C9/C21,"")</f>
        <v/>
      </c>
      <c r="D35" s="30">
        <f>IFERROR(D9/D21,"")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Bruttofortjeneste</t>
        </is>
      </c>
      <c r="B41" s="31">
        <f>IFERROR(B9/$D9*100,"")</f>
        <v/>
      </c>
      <c r="C41" s="31">
        <f>IFERROR(C9/$D9*100,"")</f>
        <v/>
      </c>
      <c r="D41" s="31">
        <f>IFERROR(D9/$D9*100,"")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Bruttofortjeneste</t>
        </is>
      </c>
      <c r="B48" s="31">
        <f>IFERROR(B9*100/$D9,"")</f>
        <v/>
      </c>
      <c r="C48" s="31">
        <f>IFERROR(C9*100/$D9,"")</f>
        <v/>
      </c>
      <c r="D48" s="31">
        <f>IFERROR(D9*100/$D9,"")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IF('balance_raw_37079227'!$F$27="","—",IF(ABS(B21-'balance_raw_37079227'!$F$27)&lt;=1,"✓ OK","❌ "&amp;TEXT(B21-'balance_raw_37079227'!$F$27,"+#,##0;-#,##0")&amp;" t.kr."))</f>
        <v/>
      </c>
      <c r="C61" s="29">
        <f>IF('balance_raw_37079227'!$E$27="","—",IF(ABS(C21-'balance_raw_37079227'!$E$27)&lt;=1,"✓ OK","❌ "&amp;TEXT(C21-'balance_raw_37079227'!$E$27,"+#,##0;-#,##0")&amp;" t.kr."))</f>
        <v/>
      </c>
      <c r="D61" s="29">
        <f>IF('balance_raw_37079227'!$D$27="","—",IF(ABS(D21-'balance_raw_37079227'!$D$27)&lt;=1,"✓ OK","❌ "&amp;TEXT(D21-'balance_raw_37079227'!$D$27,"+#,##0;-#,##0")&amp;"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IF('balance_raw_37079227'!$F$48="","—",IF(ABS(B25-'balance_raw_37079227'!$F$48)&lt;=1,"✓ OK","❌ "&amp;TEXT(B25-'balance_raw_37079227'!$F$48,"+#,##0;-#,##0")&amp;" t.kr."))</f>
        <v/>
      </c>
      <c r="C62" s="29">
        <f>IF('balance_raw_37079227'!$E$48="","—",IF(ABS(C25-'balance_raw_37079227'!$E$48)&lt;=1,"✓ OK","❌ "&amp;TEXT(C25-'balance_raw_37079227'!$E$48,"+#,##0;-#,##0")&amp;" t.kr."))</f>
        <v/>
      </c>
      <c r="D62" s="29">
        <f>IF('balance_raw_37079227'!$D$48="","—",IF(ABS(D25-'balance_raw_37079227'!$D$48)&lt;=1,"✓ OK","❌ "&amp;TEXT(D25-'balance_raw_37079227'!$D$48,"+#,##0;-#,##0")&amp;"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IF('res_raw_37079227'!$F$6="","—",IF(ABS(B9-'res_raw_37079227'!$F$6)&lt;=1,"✓ OK","❌ "&amp;TEXT(B9-'res_raw_37079227'!$F$6,"+#,##0;-#,##0")&amp;" t.kr."))</f>
        <v/>
      </c>
      <c r="C64" s="29">
        <f>IF('res_raw_37079227'!$E$6="","—",IF(ABS(C9-'res_raw_37079227'!$E$6)&lt;=1,"✓ OK","❌ "&amp;TEXT(C9-'res_raw_37079227'!$E$6,"+#,##0;-#,##0")&amp;" t.kr."))</f>
        <v/>
      </c>
      <c r="D64" s="29">
        <f>IF('res_raw_37079227'!$D$6="","—",IF(ABS(D9-'res_raw_37079227'!$D$6)&lt;=1,"✓ OK","❌ "&amp;TEXT(D9-'res_raw_37079227'!$D$6,"+#,##0;-#,##0")&amp;"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IF('res_raw_37079227'!$F$11="","—",IF(ABS(B13-'res_raw_37079227'!$F$11)&lt;=1,"✓ OK","❌ "&amp;TEXT(B13-'res_raw_37079227'!$F$11,"+#,##0;-#,##0")&amp;" t.kr."))</f>
        <v/>
      </c>
      <c r="C65" s="29">
        <f>IF('res_raw_37079227'!$E$11="","—",IF(ABS(C13-'res_raw_37079227'!$E$11)&lt;=1,"✓ OK","❌ "&amp;TEXT(C13-'res_raw_37079227'!$E$11,"+#,##0;-#,##0")&amp;" t.kr."))</f>
        <v/>
      </c>
      <c r="D65" s="29">
        <f>IF('res_raw_37079227'!$D$11="","—",IF(ABS(D13-'res_raw_37079227'!$D$11)&lt;=1,"✓ OK","❌ "&amp;TEXT(D13-'res_raw_37079227'!$D$11,"+#,##0;-#,##0")&amp;"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IF('res_raw_37079227'!$F$16="","—",IF(ABS(B16-'res_raw_37079227'!$F$16)&lt;=1,"✓ OK","❌ "&amp;TEXT(B16-'res_raw_37079227'!$F$16,"+#,##0;-#,##0")&amp;" t.kr."))</f>
        <v/>
      </c>
      <c r="C66" s="29">
        <f>IF('res_raw_37079227'!$E$16="","—",IF(ABS(C16-'res_raw_37079227'!$E$16)&lt;=1,"✓ OK","❌ "&amp;TEXT(C16-'res_raw_37079227'!$E$16,"+#,##0;-#,##0")&amp;" t.kr."))</f>
        <v/>
      </c>
      <c r="D66" s="29">
        <f>IF('res_raw_37079227'!$D$16="","—",IF(ABS(D16-'res_raw_37079227'!$D$16)&lt;=1,"✓ OK","❌ "&amp;TEXT(D16-'res_raw_37079227'!$D$16,"+#,##0;-#,##0")&amp;"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Designbysi ApS (CVR 37079227)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fsa:ExtraordinaryDividendDistributedAfterEndOfReportingPeriodGross</t>
        </is>
      </c>
      <c r="C3" s="34" t="inlineStr">
        <is>
          <t>fsa:ExtraordinaryDividendDistributedAfterEndOfReportingPeriodGross</t>
        </is>
      </c>
      <c r="D3" s="35" t="n"/>
      <c r="E3" s="35" t="n"/>
      <c r="F3" s="35" t="n"/>
      <c r="G3" s="35" t="n">
        <v>21000</v>
      </c>
      <c r="H3" s="35" t="n">
        <v>0</v>
      </c>
      <c r="I3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2026-09-27T21:17:09Z</dcterms:created>
  <dcterms:modified xmlns:dcterms="http://purl.org/dc/terms/" xmlns:xsi="http://www.w3.org/2001/XMLSchema-instance" xsi:type="dcterms:W3CDTF">2026-09-27T21:17:09Z</dcterms:modified>
</cp:coreProperties>
</file>