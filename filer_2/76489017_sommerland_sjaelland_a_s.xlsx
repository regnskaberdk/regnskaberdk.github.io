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76489017" sheetId="1" state="visible" r:id="rId1"/>
    <sheet xmlns:r="http://schemas.openxmlformats.org/officeDocument/2006/relationships" name="res_raw_76489017" sheetId="2" state="visible" r:id="rId2"/>
    <sheet xmlns:r="http://schemas.openxmlformats.org/officeDocument/2006/relationships" name="balance_raw_76489017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Sommerland Sjælland A/S (CVR 76489017) — Regnskabsanalyse – Resultatopgørelse &amp; Balance (t.kr.) · Klasse B · Udvidet gennemgang · Regnskabsår 1/5–30/4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'res_raw_76489017'!$B$2</f>
        <v/>
      </c>
      <c r="C4" s="5">
        <f>'res_raw_76489017'!$C$2</f>
        <v/>
      </c>
      <c r="D4" s="5">
        <f>'res_raw_76489017'!$D$2</f>
        <v/>
      </c>
      <c r="E4" s="5">
        <f>'res_raw_76489017'!$E$2</f>
        <v/>
      </c>
      <c r="F4" s="5">
        <f>'res_raw_76489017'!$F$2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'res_raw_76489017'!$B$3</f>
        <v/>
      </c>
      <c r="C5" s="8">
        <f>'res_raw_76489017'!$C$3</f>
        <v/>
      </c>
      <c r="D5" s="8">
        <f>'res_raw_76489017'!$D$3</f>
        <v/>
      </c>
      <c r="E5" s="8">
        <f>'res_raw_76489017'!$E$3</f>
        <v/>
      </c>
      <c r="F5" s="8">
        <f>'res_raw_76489017'!$F$3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'res_raw_76489017'!$B$4</f>
        <v/>
      </c>
      <c r="C6" s="5">
        <f>'res_raw_76489017'!$C$4</f>
        <v/>
      </c>
      <c r="D6" s="5">
        <f>'res_raw_76489017'!$D$4</f>
        <v/>
      </c>
      <c r="E6" s="5">
        <f>'res_raw_76489017'!$E$4</f>
        <v/>
      </c>
      <c r="F6" s="5">
        <f>'res_raw_76489017'!$F$4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'res_raw_76489017'!$B$5</f>
        <v/>
      </c>
      <c r="C7" s="8">
        <f>'res_raw_76489017'!$C$5</f>
        <v/>
      </c>
      <c r="D7" s="8">
        <f>'res_raw_76489017'!$D$5</f>
        <v/>
      </c>
      <c r="E7" s="8">
        <f>'res_raw_76489017'!$E$5</f>
        <v/>
      </c>
      <c r="F7" s="8">
        <f>'res_raw_76489017'!$F$5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'res_raw_76489017'!$B$6</f>
        <v/>
      </c>
      <c r="C8" s="11">
        <f>'res_raw_76489017'!$C$6</f>
        <v/>
      </c>
      <c r="D8" s="11">
        <f>'res_raw_76489017'!$D$6</f>
        <v/>
      </c>
      <c r="E8" s="11">
        <f>'res_raw_76489017'!$E$6</f>
        <v/>
      </c>
      <c r="F8" s="11">
        <f>'res_raw_76489017'!$F$6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'res_raw_76489017'!$B$7</f>
        <v/>
      </c>
      <c r="C9" s="8">
        <f>'res_raw_76489017'!$C$7</f>
        <v/>
      </c>
      <c r="D9" s="8">
        <f>'res_raw_76489017'!$D$7</f>
        <v/>
      </c>
      <c r="E9" s="8">
        <f>'res_raw_76489017'!$E$7</f>
        <v/>
      </c>
      <c r="F9" s="8">
        <f>'res_raw_76489017'!$F$7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'res_raw_76489017'!$B$9</f>
        <v/>
      </c>
      <c r="C11" s="8">
        <f>'res_raw_76489017'!$C$9</f>
        <v/>
      </c>
      <c r="D11" s="8">
        <f>'res_raw_76489017'!$D$9</f>
        <v/>
      </c>
      <c r="E11" s="8">
        <f>'res_raw_76489017'!$E$9</f>
        <v/>
      </c>
      <c r="F11" s="8">
        <f>'res_raw_76489017'!$F$9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'res_raw_76489017'!$B$10</f>
        <v/>
      </c>
      <c r="C12" s="5">
        <f>'res_raw_76489017'!$C$10</f>
        <v/>
      </c>
      <c r="D12" s="5">
        <f>'res_raw_76489017'!$D$10</f>
        <v/>
      </c>
      <c r="E12" s="5">
        <f>'res_raw_76489017'!$E$10</f>
        <v/>
      </c>
      <c r="F12" s="5">
        <f>'res_raw_76489017'!$F$10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'res_raw_76489017'!$B$11</f>
        <v/>
      </c>
      <c r="C13" s="11">
        <f>'res_raw_76489017'!$C$11</f>
        <v/>
      </c>
      <c r="D13" s="11">
        <f>'res_raw_76489017'!$D$11</f>
        <v/>
      </c>
      <c r="E13" s="11">
        <f>'res_raw_76489017'!$E$11</f>
        <v/>
      </c>
      <c r="F13" s="11">
        <f>'res_raw_76489017'!$F$11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'res_raw_76489017'!$B$12</f>
        <v/>
      </c>
      <c r="C14" s="5">
        <f>'res_raw_76489017'!$C$12</f>
        <v/>
      </c>
      <c r="D14" s="5">
        <f>'res_raw_76489017'!$D$12</f>
        <v/>
      </c>
      <c r="E14" s="5">
        <f>'res_raw_76489017'!$E$12</f>
        <v/>
      </c>
      <c r="F14" s="5">
        <f>'res_raw_76489017'!$F$12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'res_raw_76489017'!$B$13</f>
        <v/>
      </c>
      <c r="C15" s="8">
        <f>'res_raw_76489017'!$C$13</f>
        <v/>
      </c>
      <c r="D15" s="8">
        <f>'res_raw_76489017'!$D$13</f>
        <v/>
      </c>
      <c r="E15" s="8">
        <f>'res_raw_76489017'!$E$13</f>
        <v/>
      </c>
      <c r="F15" s="8">
        <f>'res_raw_76489017'!$F$13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'res_raw_76489017'!$B$14</f>
        <v/>
      </c>
      <c r="C16" s="5">
        <f>'res_raw_76489017'!$C$14</f>
        <v/>
      </c>
      <c r="D16" s="5">
        <f>'res_raw_76489017'!$D$14</f>
        <v/>
      </c>
      <c r="E16" s="5">
        <f>'res_raw_76489017'!$E$14</f>
        <v/>
      </c>
      <c r="F16" s="5">
        <f>'res_raw_76489017'!$F$14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'res_raw_76489017'!$B$15</f>
        <v/>
      </c>
      <c r="C17" s="11">
        <f>'res_raw_76489017'!$C$15</f>
        <v/>
      </c>
      <c r="D17" s="11">
        <f>'res_raw_76489017'!$D$15</f>
        <v/>
      </c>
      <c r="E17" s="11">
        <f>'res_raw_76489017'!$E$15</f>
        <v/>
      </c>
      <c r="F17" s="11">
        <f>'res_raw_76489017'!$F$15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'res_raw_76489017'!$B$16</f>
        <v/>
      </c>
      <c r="C18" s="11">
        <f>'res_raw_76489017'!$C$16</f>
        <v/>
      </c>
      <c r="D18" s="11">
        <f>'res_raw_76489017'!$D$16</f>
        <v/>
      </c>
      <c r="E18" s="11">
        <f>'res_raw_76489017'!$E$16</f>
        <v/>
      </c>
      <c r="F18" s="11">
        <f>'res_raw_76489017'!$F$16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'res_raw_76489017'!$B$17</f>
        <v/>
      </c>
      <c r="C19" s="8">
        <f>'res_raw_76489017'!$C$17</f>
        <v/>
      </c>
      <c r="D19" s="8">
        <f>'res_raw_76489017'!$D$17</f>
        <v/>
      </c>
      <c r="E19" s="8">
        <f>'res_raw_76489017'!$E$17</f>
        <v/>
      </c>
      <c r="F19" s="8">
        <f>'res_raw_76489017'!$F$17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'res_raw_76489017'!$B$18</f>
        <v/>
      </c>
      <c r="C20" s="11">
        <f>'res_raw_76489017'!$C$18</f>
        <v/>
      </c>
      <c r="D20" s="11">
        <f>'res_raw_76489017'!$D$18</f>
        <v/>
      </c>
      <c r="E20" s="11">
        <f>'res_raw_76489017'!$E$18</f>
        <v/>
      </c>
      <c r="F20" s="11">
        <f>'res_raw_76489017'!$F$18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'balance_raw_76489017'!$B$2</f>
        <v/>
      </c>
      <c r="C23" s="8">
        <f>'balance_raw_76489017'!$C$2</f>
        <v/>
      </c>
      <c r="D23" s="8">
        <f>'balance_raw_76489017'!$D$2</f>
        <v/>
      </c>
      <c r="E23" s="8">
        <f>'balance_raw_76489017'!$E$2</f>
        <v/>
      </c>
      <c r="F23" s="8">
        <f>'balance_raw_76489017'!$F$2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'balance_raw_76489017'!$B$3</f>
        <v/>
      </c>
      <c r="C24" s="5">
        <f>'balance_raw_76489017'!$C$3</f>
        <v/>
      </c>
      <c r="D24" s="5">
        <f>'balance_raw_76489017'!$D$3</f>
        <v/>
      </c>
      <c r="E24" s="5">
        <f>'balance_raw_76489017'!$E$3</f>
        <v/>
      </c>
      <c r="F24" s="5">
        <f>'balance_raw_76489017'!$F$3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'balance_raw_76489017'!$B$4</f>
        <v/>
      </c>
      <c r="C25" s="8">
        <f>'balance_raw_76489017'!$C$4</f>
        <v/>
      </c>
      <c r="D25" s="8">
        <f>'balance_raw_76489017'!$D$4</f>
        <v/>
      </c>
      <c r="E25" s="8">
        <f>'balance_raw_76489017'!$E$4</f>
        <v/>
      </c>
      <c r="F25" s="8">
        <f>'balance_raw_76489017'!$F$4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'balance_raw_76489017'!$B$5</f>
        <v/>
      </c>
      <c r="C26" s="5">
        <f>'balance_raw_76489017'!$C$5</f>
        <v/>
      </c>
      <c r="D26" s="5">
        <f>'balance_raw_76489017'!$D$5</f>
        <v/>
      </c>
      <c r="E26" s="5">
        <f>'balance_raw_76489017'!$E$5</f>
        <v/>
      </c>
      <c r="F26" s="5">
        <f>'balance_raw_76489017'!$F$5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'balance_raw_76489017'!$B$6</f>
        <v/>
      </c>
      <c r="C27" s="8">
        <f>'balance_raw_76489017'!$C$6</f>
        <v/>
      </c>
      <c r="D27" s="8">
        <f>'balance_raw_76489017'!$D$6</f>
        <v/>
      </c>
      <c r="E27" s="8">
        <f>'balance_raw_76489017'!$E$6</f>
        <v/>
      </c>
      <c r="F27" s="8">
        <f>'balance_raw_76489017'!$F$6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'balance_raw_76489017'!$B$7</f>
        <v/>
      </c>
      <c r="C28" s="11">
        <f>'balance_raw_76489017'!$C$7</f>
        <v/>
      </c>
      <c r="D28" s="11">
        <f>'balance_raw_76489017'!$D$7</f>
        <v/>
      </c>
      <c r="E28" s="11">
        <f>'balance_raw_76489017'!$E$7</f>
        <v/>
      </c>
      <c r="F28" s="11">
        <f>'balance_raw_76489017'!$F$7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10" t="inlineStr">
        <is>
          <t>Anlægsaktiver</t>
        </is>
      </c>
      <c r="B29" s="11">
        <f>'balance_raw_76489017'!$B$8</f>
        <v/>
      </c>
      <c r="C29" s="11">
        <f>'balance_raw_76489017'!$C$8</f>
        <v/>
      </c>
      <c r="D29" s="11">
        <f>'balance_raw_76489017'!$D$8</f>
        <v/>
      </c>
      <c r="E29" s="11">
        <f>'balance_raw_76489017'!$E$8</f>
        <v/>
      </c>
      <c r="F29" s="11">
        <f>'balance_raw_76489017'!$F$8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Råvarer og hjælpematerialer</t>
        </is>
      </c>
      <c r="B30" s="5">
        <f>'balance_raw_76489017'!$B$9</f>
        <v/>
      </c>
      <c r="C30" s="5">
        <f>'balance_raw_76489017'!$C$9</f>
        <v/>
      </c>
      <c r="D30" s="5">
        <f>'balance_raw_76489017'!$D$9</f>
        <v/>
      </c>
      <c r="E30" s="5">
        <f>'balance_raw_76489017'!$E$9</f>
        <v/>
      </c>
      <c r="F30" s="5">
        <f>'balance_raw_76489017'!$F$9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Varer under fremstilling</t>
        </is>
      </c>
      <c r="B31" s="8">
        <f>'balance_raw_76489017'!$B$10</f>
        <v/>
      </c>
      <c r="C31" s="8">
        <f>'balance_raw_76489017'!$C$10</f>
        <v/>
      </c>
      <c r="D31" s="8">
        <f>'balance_raw_76489017'!$D$10</f>
        <v/>
      </c>
      <c r="E31" s="8">
        <f>'balance_raw_76489017'!$E$10</f>
        <v/>
      </c>
      <c r="F31" s="8">
        <f>'balance_raw_76489017'!$F$10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Færdigvarer og handelsvarer</t>
        </is>
      </c>
      <c r="B32" s="5">
        <f>'balance_raw_76489017'!$B$11</f>
        <v/>
      </c>
      <c r="C32" s="5">
        <f>'balance_raw_76489017'!$C$11</f>
        <v/>
      </c>
      <c r="D32" s="5">
        <f>'balance_raw_76489017'!$D$11</f>
        <v/>
      </c>
      <c r="E32" s="5">
        <f>'balance_raw_76489017'!$E$11</f>
        <v/>
      </c>
      <c r="F32" s="5">
        <f>'balance_raw_76489017'!$F$11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Varebeholdninger</t>
        </is>
      </c>
      <c r="B33" s="11">
        <f>'balance_raw_76489017'!$B$12</f>
        <v/>
      </c>
      <c r="C33" s="11">
        <f>'balance_raw_76489017'!$C$12</f>
        <v/>
      </c>
      <c r="D33" s="11">
        <f>'balance_raw_76489017'!$D$12</f>
        <v/>
      </c>
      <c r="E33" s="11">
        <f>'balance_raw_76489017'!$E$12</f>
        <v/>
      </c>
      <c r="F33" s="11">
        <f>'balance_raw_76489017'!$F$12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'balance_raw_76489017'!$B$13</f>
        <v/>
      </c>
      <c r="C34" s="5">
        <f>'balance_raw_76489017'!$C$13</f>
        <v/>
      </c>
      <c r="D34" s="5">
        <f>'balance_raw_76489017'!$D$13</f>
        <v/>
      </c>
      <c r="E34" s="5">
        <f>'balance_raw_76489017'!$E$13</f>
        <v/>
      </c>
      <c r="F34" s="5">
        <f>'balance_raw_76489017'!$F$13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 hos tilknyttede virksomheder</t>
        </is>
      </c>
      <c r="B35" s="8">
        <f>'balance_raw_76489017'!$B$14</f>
        <v/>
      </c>
      <c r="C35" s="8">
        <f>'balance_raw_76489017'!$C$14</f>
        <v/>
      </c>
      <c r="D35" s="8">
        <f>'balance_raw_76489017'!$D$14</f>
        <v/>
      </c>
      <c r="E35" s="8">
        <f>'balance_raw_76489017'!$E$14</f>
        <v/>
      </c>
      <c r="F35" s="8">
        <f>'balance_raw_76489017'!$F$14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'balance_raw_76489017'!$B$15</f>
        <v/>
      </c>
      <c r="C36" s="5">
        <f>'balance_raw_76489017'!$C$15</f>
        <v/>
      </c>
      <c r="D36" s="5">
        <f>'balance_raw_76489017'!$D$15</f>
        <v/>
      </c>
      <c r="E36" s="5">
        <f>'balance_raw_76489017'!$E$15</f>
        <v/>
      </c>
      <c r="F36" s="5">
        <f>'balance_raw_76489017'!$F$15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Periodeafgrænsningsposter (aktiver)</t>
        </is>
      </c>
      <c r="B37" s="8">
        <f>'balance_raw_76489017'!$B$16</f>
        <v/>
      </c>
      <c r="C37" s="8">
        <f>'balance_raw_76489017'!$C$16</f>
        <v/>
      </c>
      <c r="D37" s="8">
        <f>'balance_raw_76489017'!$D$16</f>
        <v/>
      </c>
      <c r="E37" s="8">
        <f>'balance_raw_76489017'!$E$16</f>
        <v/>
      </c>
      <c r="F37" s="8">
        <f>'balance_raw_76489017'!$F$16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'balance_raw_76489017'!$B$17</f>
        <v/>
      </c>
      <c r="C38" s="5">
        <f>'balance_raw_76489017'!$C$17</f>
        <v/>
      </c>
      <c r="D38" s="5">
        <f>'balance_raw_76489017'!$D$17</f>
        <v/>
      </c>
      <c r="E38" s="5">
        <f>'balance_raw_76489017'!$E$17</f>
        <v/>
      </c>
      <c r="F38" s="5">
        <f>'balance_raw_76489017'!$F$17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 skat hos tilknyttede virksomheder</t>
        </is>
      </c>
      <c r="B39" s="8">
        <f>'balance_raw_76489017'!$B$18</f>
        <v/>
      </c>
      <c r="C39" s="8">
        <f>'balance_raw_76489017'!$C$18</f>
        <v/>
      </c>
      <c r="D39" s="8">
        <f>'balance_raw_76489017'!$D$18</f>
        <v/>
      </c>
      <c r="E39" s="8">
        <f>'balance_raw_76489017'!$E$18</f>
        <v/>
      </c>
      <c r="F39" s="8">
        <f>'balance_raw_76489017'!$F$18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'balance_raw_76489017'!$B$19</f>
        <v/>
      </c>
      <c r="C40" s="5">
        <f>'balance_raw_76489017'!$C$19</f>
        <v/>
      </c>
      <c r="D40" s="5">
        <f>'balance_raw_76489017'!$D$19</f>
        <v/>
      </c>
      <c r="E40" s="5">
        <f>'balance_raw_76489017'!$E$19</f>
        <v/>
      </c>
      <c r="F40" s="5">
        <f>'balance_raw_76489017'!$F$19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</t>
        </is>
      </c>
      <c r="B41" s="11">
        <f>'balance_raw_76489017'!$B$20</f>
        <v/>
      </c>
      <c r="C41" s="11">
        <f>'balance_raw_76489017'!$C$20</f>
        <v/>
      </c>
      <c r="D41" s="11">
        <f>'balance_raw_76489017'!$D$20</f>
        <v/>
      </c>
      <c r="E41" s="11">
        <f>'balance_raw_76489017'!$E$20</f>
        <v/>
      </c>
      <c r="F41" s="11">
        <f>'balance_raw_76489017'!$F$20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Værdipapirer</t>
        </is>
      </c>
      <c r="B42" s="5">
        <f>'balance_raw_76489017'!$B$21</f>
        <v/>
      </c>
      <c r="C42" s="5">
        <f>'balance_raw_76489017'!$C$21</f>
        <v/>
      </c>
      <c r="D42" s="5">
        <f>'balance_raw_76489017'!$D$21</f>
        <v/>
      </c>
      <c r="E42" s="5">
        <f>'balance_raw_76489017'!$E$21</f>
        <v/>
      </c>
      <c r="F42" s="5">
        <f>'balance_raw_76489017'!$F$21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Likvide beholdninger</t>
        </is>
      </c>
      <c r="B43" s="8">
        <f>'balance_raw_76489017'!$B$22</f>
        <v/>
      </c>
      <c r="C43" s="8">
        <f>'balance_raw_76489017'!$C$22</f>
        <v/>
      </c>
      <c r="D43" s="8">
        <f>'balance_raw_76489017'!$D$22</f>
        <v/>
      </c>
      <c r="E43" s="8">
        <f>'balance_raw_76489017'!$E$22</f>
        <v/>
      </c>
      <c r="F43" s="8">
        <f>'balance_raw_76489017'!$F$22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Omsætningsaktiver</t>
        </is>
      </c>
      <c r="B44" s="11">
        <f>'balance_raw_76489017'!$B$23</f>
        <v/>
      </c>
      <c r="C44" s="11">
        <f>'balance_raw_76489017'!$C$23</f>
        <v/>
      </c>
      <c r="D44" s="11">
        <f>'balance_raw_76489017'!$D$23</f>
        <v/>
      </c>
      <c r="E44" s="11">
        <f>'balance_raw_76489017'!$E$23</f>
        <v/>
      </c>
      <c r="F44" s="11">
        <f>'balance_raw_76489017'!$F$23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10" t="inlineStr">
        <is>
          <t>Aktiver</t>
        </is>
      </c>
      <c r="B45" s="11">
        <f>'balance_raw_76489017'!$B$24</f>
        <v/>
      </c>
      <c r="C45" s="11">
        <f>'balance_raw_76489017'!$C$24</f>
        <v/>
      </c>
      <c r="D45" s="11">
        <f>'balance_raw_76489017'!$D$24</f>
        <v/>
      </c>
      <c r="E45" s="11">
        <f>'balance_raw_76489017'!$E$24</f>
        <v/>
      </c>
      <c r="F45" s="11">
        <f>'balance_raw_76489017'!$F$24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'balance_raw_76489017'!$B$25</f>
        <v/>
      </c>
      <c r="C48" s="5">
        <f>'balance_raw_76489017'!$C$25</f>
        <v/>
      </c>
      <c r="D48" s="5">
        <f>'balance_raw_76489017'!$D$25</f>
        <v/>
      </c>
      <c r="E48" s="5">
        <f>'balance_raw_76489017'!$E$25</f>
        <v/>
      </c>
      <c r="F48" s="5">
        <f>'balance_raw_76489017'!$F$25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nettoopskrivning (indre værdis metode)</t>
        </is>
      </c>
      <c r="B49" s="8">
        <f>'balance_raw_76489017'!$B$26</f>
        <v/>
      </c>
      <c r="C49" s="8">
        <f>'balance_raw_76489017'!$C$26</f>
        <v/>
      </c>
      <c r="D49" s="8">
        <f>'balance_raw_76489017'!$D$26</f>
        <v/>
      </c>
      <c r="E49" s="8">
        <f>'balance_raw_76489017'!$E$26</f>
        <v/>
      </c>
      <c r="F49" s="8">
        <f>'balance_raw_76489017'!$F$26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'balance_raw_76489017'!$B$27</f>
        <v/>
      </c>
      <c r="C50" s="5">
        <f>'balance_raw_76489017'!$C$27</f>
        <v/>
      </c>
      <c r="D50" s="5">
        <f>'balance_raw_76489017'!$D$27</f>
        <v/>
      </c>
      <c r="E50" s="5">
        <f>'balance_raw_76489017'!$E$27</f>
        <v/>
      </c>
      <c r="F50" s="5">
        <f>'balance_raw_76489017'!$F$27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sikringstransaktioner</t>
        </is>
      </c>
      <c r="B51" s="8">
        <f>'balance_raw_76489017'!$B$28</f>
        <v/>
      </c>
      <c r="C51" s="8">
        <f>'balance_raw_76489017'!$C$28</f>
        <v/>
      </c>
      <c r="D51" s="8">
        <f>'balance_raw_76489017'!$D$28</f>
        <v/>
      </c>
      <c r="E51" s="8">
        <f>'balance_raw_76489017'!$E$28</f>
        <v/>
      </c>
      <c r="F51" s="8">
        <f>'balance_raw_76489017'!$F$28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Andre reserver</t>
        </is>
      </c>
      <c r="B52" s="5">
        <f>'balance_raw_76489017'!$B$29</f>
        <v/>
      </c>
      <c r="C52" s="5">
        <f>'balance_raw_76489017'!$C$29</f>
        <v/>
      </c>
      <c r="D52" s="5">
        <f>'balance_raw_76489017'!$D$29</f>
        <v/>
      </c>
      <c r="E52" s="5">
        <f>'balance_raw_76489017'!$E$29</f>
        <v/>
      </c>
      <c r="F52" s="5">
        <f>'balance_raw_76489017'!$F$29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Overført resultat</t>
        </is>
      </c>
      <c r="B53" s="8">
        <f>'balance_raw_76489017'!$B$30</f>
        <v/>
      </c>
      <c r="C53" s="8">
        <f>'balance_raw_76489017'!$C$30</f>
        <v/>
      </c>
      <c r="D53" s="8">
        <f>'balance_raw_76489017'!$D$30</f>
        <v/>
      </c>
      <c r="E53" s="8">
        <f>'balance_raw_76489017'!$E$30</f>
        <v/>
      </c>
      <c r="F53" s="8">
        <f>'balance_raw_76489017'!$F$30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Egenkapital i alt</t>
        </is>
      </c>
      <c r="B54" s="11">
        <f>'balance_raw_76489017'!$B$31</f>
        <v/>
      </c>
      <c r="C54" s="11">
        <f>'balance_raw_76489017'!$C$31</f>
        <v/>
      </c>
      <c r="D54" s="11">
        <f>'balance_raw_76489017'!$D$31</f>
        <v/>
      </c>
      <c r="E54" s="11">
        <f>'balance_raw_76489017'!$E$31</f>
        <v/>
      </c>
      <c r="F54" s="11">
        <f>'balance_raw_76489017'!$F$31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Hensættelse til udskudt skat</t>
        </is>
      </c>
      <c r="B55" s="8">
        <f>'balance_raw_76489017'!$B$32</f>
        <v/>
      </c>
      <c r="C55" s="8">
        <f>'balance_raw_76489017'!$C$32</f>
        <v/>
      </c>
      <c r="D55" s="8">
        <f>'balance_raw_76489017'!$D$32</f>
        <v/>
      </c>
      <c r="E55" s="8">
        <f>'balance_raw_76489017'!$E$32</f>
        <v/>
      </c>
      <c r="F55" s="8">
        <f>'balance_raw_76489017'!$F$32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10" t="inlineStr">
        <is>
          <t>Hensatte forpligtelser</t>
        </is>
      </c>
      <c r="B56" s="11">
        <f>'balance_raw_76489017'!$B$33</f>
        <v/>
      </c>
      <c r="C56" s="11">
        <f>'balance_raw_76489017'!$C$33</f>
        <v/>
      </c>
      <c r="D56" s="11">
        <f>'balance_raw_76489017'!$D$33</f>
        <v/>
      </c>
      <c r="E56" s="11">
        <f>'balance_raw_76489017'!$E$33</f>
        <v/>
      </c>
      <c r="F56" s="11">
        <f>'balance_raw_76489017'!$F$33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(langfristet)</t>
        </is>
      </c>
      <c r="B57" s="8">
        <f>'balance_raw_76489017'!$B$34</f>
        <v/>
      </c>
      <c r="C57" s="8">
        <f>'balance_raw_76489017'!$C$34</f>
        <v/>
      </c>
      <c r="D57" s="8">
        <f>'balance_raw_76489017'!$D$34</f>
        <v/>
      </c>
      <c r="E57" s="8">
        <f>'balance_raw_76489017'!$E$34</f>
        <v/>
      </c>
      <c r="F57" s="8">
        <f>'balance_raw_76489017'!$F$34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'balance_raw_76489017'!$B$35</f>
        <v/>
      </c>
      <c r="C58" s="5">
        <f>'balance_raw_76489017'!$C$35</f>
        <v/>
      </c>
      <c r="D58" s="5">
        <f>'balance_raw_76489017'!$D$35</f>
        <v/>
      </c>
      <c r="E58" s="5">
        <f>'balance_raw_76489017'!$E$35</f>
        <v/>
      </c>
      <c r="F58" s="5">
        <f>'balance_raw_76489017'!$F$35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Leasingforpligtelser (langfristet)</t>
        </is>
      </c>
      <c r="B59" s="8">
        <f>'balance_raw_76489017'!$B$36</f>
        <v/>
      </c>
      <c r="C59" s="8">
        <f>'balance_raw_76489017'!$C$36</f>
        <v/>
      </c>
      <c r="D59" s="8">
        <f>'balance_raw_76489017'!$D$36</f>
        <v/>
      </c>
      <c r="E59" s="8">
        <f>'balance_raw_76489017'!$E$36</f>
        <v/>
      </c>
      <c r="F59" s="8">
        <f>'balance_raw_76489017'!$F$36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'balance_raw_76489017'!$B$37</f>
        <v/>
      </c>
      <c r="C60" s="5">
        <f>'balance_raw_76489017'!$C$37</f>
        <v/>
      </c>
      <c r="D60" s="5">
        <f>'balance_raw_76489017'!$D$37</f>
        <v/>
      </c>
      <c r="E60" s="5">
        <f>'balance_raw_76489017'!$E$37</f>
        <v/>
      </c>
      <c r="F60" s="5">
        <f>'balance_raw_76489017'!$F$37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gældsforpligtelser</t>
        </is>
      </c>
      <c r="B61" s="11">
        <f>'balance_raw_76489017'!$B$38</f>
        <v/>
      </c>
      <c r="C61" s="11">
        <f>'balance_raw_76489017'!$C$38</f>
        <v/>
      </c>
      <c r="D61" s="11">
        <f>'balance_raw_76489017'!$D$38</f>
        <v/>
      </c>
      <c r="E61" s="11">
        <f>'balance_raw_76489017'!$E$38</f>
        <v/>
      </c>
      <c r="F61" s="11">
        <f>'balance_raw_76489017'!$F$38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'balance_raw_76489017'!$B$39</f>
        <v/>
      </c>
      <c r="C62" s="5">
        <f>'balance_raw_76489017'!$C$39</f>
        <v/>
      </c>
      <c r="D62" s="5">
        <f>'balance_raw_76489017'!$D$39</f>
        <v/>
      </c>
      <c r="E62" s="5">
        <f>'balance_raw_76489017'!$E$39</f>
        <v/>
      </c>
      <c r="F62" s="5">
        <f>'balance_raw_76489017'!$F$39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Kortfristet del af langfristede gældsforpligtelser</t>
        </is>
      </c>
      <c r="B63" s="8">
        <f>'balance_raw_76489017'!$B$40</f>
        <v/>
      </c>
      <c r="C63" s="8">
        <f>'balance_raw_76489017'!$C$40</f>
        <v/>
      </c>
      <c r="D63" s="8">
        <f>'balance_raw_76489017'!$D$40</f>
        <v/>
      </c>
      <c r="E63" s="8">
        <f>'balance_raw_76489017'!$E$40</f>
        <v/>
      </c>
      <c r="F63" s="8">
        <f>'balance_raw_76489017'!$F$40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'balance_raw_76489017'!$B$41</f>
        <v/>
      </c>
      <c r="C64" s="5">
        <f>'balance_raw_76489017'!$C$41</f>
        <v/>
      </c>
      <c r="D64" s="5">
        <f>'balance_raw_76489017'!$D$41</f>
        <v/>
      </c>
      <c r="E64" s="5">
        <f>'balance_raw_76489017'!$E$41</f>
        <v/>
      </c>
      <c r="F64" s="5">
        <f>'balance_raw_76489017'!$F$41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(kortfristet)</t>
        </is>
      </c>
      <c r="B65" s="8">
        <f>'balance_raw_76489017'!$B$42</f>
        <v/>
      </c>
      <c r="C65" s="8">
        <f>'balance_raw_76489017'!$C$42</f>
        <v/>
      </c>
      <c r="D65" s="8">
        <f>'balance_raw_76489017'!$D$42</f>
        <v/>
      </c>
      <c r="E65" s="8">
        <f>'balance_raw_76489017'!$E$42</f>
        <v/>
      </c>
      <c r="F65" s="8">
        <f>'balance_raw_76489017'!$F$42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'balance_raw_76489017'!$B$43</f>
        <v/>
      </c>
      <c r="C66" s="5">
        <f>'balance_raw_76489017'!$C$43</f>
        <v/>
      </c>
      <c r="D66" s="5">
        <f>'balance_raw_76489017'!$D$43</f>
        <v/>
      </c>
      <c r="E66" s="5">
        <f>'balance_raw_76489017'!$E$43</f>
        <v/>
      </c>
      <c r="F66" s="5">
        <f>'balance_raw_76489017'!$F$43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</t>
        </is>
      </c>
      <c r="B67" s="8">
        <f>'balance_raw_76489017'!$B$44</f>
        <v/>
      </c>
      <c r="C67" s="8">
        <f>'balance_raw_76489017'!$C$44</f>
        <v/>
      </c>
      <c r="D67" s="8">
        <f>'balance_raw_76489017'!$D$44</f>
        <v/>
      </c>
      <c r="E67" s="8">
        <f>'balance_raw_76489017'!$E$44</f>
        <v/>
      </c>
      <c r="F67" s="8">
        <f>'balance_raw_76489017'!$F$44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'balance_raw_76489017'!$B$45</f>
        <v/>
      </c>
      <c r="C68" s="5">
        <f>'balance_raw_76489017'!$C$45</f>
        <v/>
      </c>
      <c r="D68" s="5">
        <f>'balance_raw_76489017'!$D$45</f>
        <v/>
      </c>
      <c r="E68" s="5">
        <f>'balance_raw_76489017'!$E$45</f>
        <v/>
      </c>
      <c r="F68" s="5">
        <f>'balance_raw_76489017'!$F$45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Selskabsskat</t>
        </is>
      </c>
      <c r="B69" s="8">
        <f>'balance_raw_76489017'!$B$46</f>
        <v/>
      </c>
      <c r="C69" s="8">
        <f>'balance_raw_76489017'!$C$46</f>
        <v/>
      </c>
      <c r="D69" s="8">
        <f>'balance_raw_76489017'!$D$46</f>
        <v/>
      </c>
      <c r="E69" s="8">
        <f>'balance_raw_76489017'!$E$46</f>
        <v/>
      </c>
      <c r="F69" s="8">
        <f>'balance_raw_76489017'!$F$46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'balance_raw_76489017'!$B$47</f>
        <v/>
      </c>
      <c r="C70" s="5">
        <f>'balance_raw_76489017'!$C$47</f>
        <v/>
      </c>
      <c r="D70" s="5">
        <f>'balance_raw_76489017'!$D$47</f>
        <v/>
      </c>
      <c r="E70" s="5">
        <f>'balance_raw_76489017'!$E$47</f>
        <v/>
      </c>
      <c r="F70" s="5">
        <f>'balance_raw_76489017'!$F$47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Anden gæld (kortfristet)</t>
        </is>
      </c>
      <c r="B71" s="8">
        <f>'balance_raw_76489017'!$B$48</f>
        <v/>
      </c>
      <c r="C71" s="8">
        <f>'balance_raw_76489017'!$C$48</f>
        <v/>
      </c>
      <c r="D71" s="8">
        <f>'balance_raw_76489017'!$D$48</f>
        <v/>
      </c>
      <c r="E71" s="8">
        <f>'balance_raw_76489017'!$E$48</f>
        <v/>
      </c>
      <c r="F71" s="8">
        <f>'balance_raw_76489017'!$F$48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'balance_raw_76489017'!$B$49</f>
        <v/>
      </c>
      <c r="C72" s="5">
        <f>'balance_raw_76489017'!$C$49</f>
        <v/>
      </c>
      <c r="D72" s="5">
        <f>'balance_raw_76489017'!$D$49</f>
        <v/>
      </c>
      <c r="E72" s="5">
        <f>'balance_raw_76489017'!$E$49</f>
        <v/>
      </c>
      <c r="F72" s="5">
        <f>'balance_raw_76489017'!$F$49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Kortfristede gældsforpligtelser</t>
        </is>
      </c>
      <c r="B73" s="11">
        <f>'balance_raw_76489017'!$B$50</f>
        <v/>
      </c>
      <c r="C73" s="11">
        <f>'balance_raw_76489017'!$C$50</f>
        <v/>
      </c>
      <c r="D73" s="11">
        <f>'balance_raw_76489017'!$D$50</f>
        <v/>
      </c>
      <c r="E73" s="11">
        <f>'balance_raw_76489017'!$E$50</f>
        <v/>
      </c>
      <c r="F73" s="11">
        <f>'balance_raw_76489017'!$F$50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Gældsforpligtelser</t>
        </is>
      </c>
      <c r="B74" s="11">
        <f>'balance_raw_76489017'!$B$51</f>
        <v/>
      </c>
      <c r="C74" s="11">
        <f>'balance_raw_76489017'!$C$51</f>
        <v/>
      </c>
      <c r="D74" s="11">
        <f>'balance_raw_76489017'!$D$51</f>
        <v/>
      </c>
      <c r="E74" s="11">
        <f>'balance_raw_76489017'!$E$51</f>
        <v/>
      </c>
      <c r="F74" s="11">
        <f>'balance_raw_76489017'!$F$51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Passiver</t>
        </is>
      </c>
      <c r="B75" s="11">
        <f>'balance_raw_76489017'!$B$52</f>
        <v/>
      </c>
      <c r="C75" s="11">
        <f>'balance_raw_76489017'!$C$52</f>
        <v/>
      </c>
      <c r="D75" s="11">
        <f>'balance_raw_76489017'!$D$52</f>
        <v/>
      </c>
      <c r="E75" s="11">
        <f>'balance_raw_76489017'!$E$52</f>
        <v/>
      </c>
      <c r="F75" s="11">
        <f>'balance_raw_76489017'!$F$52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'res_raw_76489017'!$B$19</f>
        <v/>
      </c>
      <c r="C78" s="5">
        <f>'res_raw_76489017'!$C$19</f>
        <v/>
      </c>
      <c r="D78" s="5">
        <f>'res_raw_76489017'!$D$19</f>
        <v/>
      </c>
      <c r="E78" s="5">
        <f>'res_raw_76489017'!$E$19</f>
        <v/>
      </c>
      <c r="F78" s="5">
        <f>'res_raw_76489017'!$F$19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Investering i materielle anlægsaktiver</t>
        </is>
      </c>
      <c r="B79" s="8">
        <f>'res_raw_76489017'!$B$20</f>
        <v/>
      </c>
      <c r="C79" s="8">
        <f>'res_raw_76489017'!$C$20</f>
        <v/>
      </c>
      <c r="D79" s="8">
        <f>'res_raw_76489017'!$D$20</f>
        <v/>
      </c>
      <c r="E79" s="8">
        <f>'res_raw_76489017'!$E$20</f>
        <v/>
      </c>
      <c r="F79" s="8">
        <f>'res_raw_76489017'!$F$20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IFERROR(($B$13+$B$15+$B$14)/$B$45*100,"")</f>
        <v/>
      </c>
      <c r="C82" s="13">
        <f>IFERROR(($C$13+$C$15+$C$14)/$C$45*100,"")</f>
        <v/>
      </c>
      <c r="D82" s="13">
        <f>IFERROR(($D$13+$D$15+$D$14)/$D$45*100,"")</f>
        <v/>
      </c>
      <c r="E82" s="13">
        <f>IFERROR(($E$13+$E$15+$E$14)/$E$45*100,"")</f>
        <v/>
      </c>
      <c r="F82" s="13">
        <f>IFERROR(($F$13+$F$15+$F$14)/$F$45*100,"")</f>
        <v/>
      </c>
    </row>
    <row r="83" ht="16" customHeight="1">
      <c r="A83" s="7" t="inlineStr">
        <is>
          <t>Overskudsgrad (af bruttofortjeneste), %</t>
        </is>
      </c>
      <c r="B83" s="14">
        <f>IFERROR(($B$13+$B$15+$B$14)/$B$8*100,"")</f>
        <v/>
      </c>
      <c r="C83" s="14">
        <f>IFERROR(($C$13+$C$15+$C$14)/$C$8*100,"")</f>
        <v/>
      </c>
      <c r="D83" s="14">
        <f>IFERROR(($D$13+$D$15+$D$14)/$D$8*100,"")</f>
        <v/>
      </c>
      <c r="E83" s="14">
        <f>IFERROR(($E$13+$E$15+$E$14)/$E$8*100,"")</f>
        <v/>
      </c>
      <c r="F83" s="14">
        <f>IFERROR(($F$13+$F$15+$F$14)/$F$8*100,"")</f>
        <v/>
      </c>
    </row>
    <row r="84" ht="16" customHeight="1">
      <c r="A84" s="4" t="inlineStr">
        <is>
          <t>Aktivernes omsætningshastighed (af bruttofortjeneste), gange</t>
        </is>
      </c>
      <c r="B84" s="13">
        <f>IFERROR($B$8/$B$45,"")</f>
        <v/>
      </c>
      <c r="C84" s="13">
        <f>IFERROR($C$8/$C$45,"")</f>
        <v/>
      </c>
      <c r="D84" s="13">
        <f>IFERROR($D$8/$D$45,"")</f>
        <v/>
      </c>
      <c r="E84" s="13">
        <f>IFERROR($E$8/$E$45,"")</f>
        <v/>
      </c>
      <c r="F84" s="13">
        <f>IFERROR($F$8/$F$45,"")</f>
        <v/>
      </c>
    </row>
    <row r="85" ht="16" customHeight="1">
      <c r="A85" s="7" t="inlineStr">
        <is>
          <t>Egenkapitalens forrentning, %</t>
        </is>
      </c>
      <c r="B85" s="14">
        <f>IFERROR($B$18/$B$54*100,"")</f>
        <v/>
      </c>
      <c r="C85" s="14">
        <f>IFERROR($C$18/$C$54*100,"")</f>
        <v/>
      </c>
      <c r="D85" s="14">
        <f>IFERROR($D$18/$D$54*100,"")</f>
        <v/>
      </c>
      <c r="E85" s="14">
        <f>IFERROR($E$18/$E$54*100,"")</f>
        <v/>
      </c>
      <c r="F85" s="14">
        <f>IFERROR($F$18/$F$54*100,"")</f>
        <v/>
      </c>
    </row>
    <row r="86" ht="16" customHeight="1">
      <c r="A86" s="4" t="inlineStr">
        <is>
          <t>Gældsrente, %</t>
        </is>
      </c>
      <c r="B86" s="13">
        <f>IFERROR($B$16/($B$75-$B$54)*100,"")</f>
        <v/>
      </c>
      <c r="C86" s="13">
        <f>IFERROR($C$16/($C$75-$C$54)*100,"")</f>
        <v/>
      </c>
      <c r="D86" s="13">
        <f>IFERROR($D$16/($D$75-$D$54)*100,"")</f>
        <v/>
      </c>
      <c r="E86" s="13">
        <f>IFERROR($E$16/($E$75-$E$54)*100,"")</f>
        <v/>
      </c>
      <c r="F86" s="13">
        <f>IFERROR($F$16/($F$75-$F$54)*100,"")</f>
        <v/>
      </c>
    </row>
    <row r="87" ht="16" customHeight="1">
      <c r="A87" s="7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7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7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IFERROR($B$29/($B$54+$B$61)*100,"")</f>
        <v/>
      </c>
      <c r="C92" s="13">
        <f>IFERROR($C$29/($C$54+$C$61)*100,"")</f>
        <v/>
      </c>
      <c r="D92" s="13">
        <f>IFERROR($D$29/($D$54+$D$61)*100,"")</f>
        <v/>
      </c>
      <c r="E92" s="13">
        <f>IFERROR($E$29/($E$54+$E$61)*100,"")</f>
        <v/>
      </c>
      <c r="F92" s="13">
        <f>IFERROR($F$29/($F$54+$F$61)*100,"")</f>
        <v/>
      </c>
    </row>
    <row r="94">
      <c r="A94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Sommerland Sjælland A/S (CVR 76489017)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18596</v>
      </c>
      <c r="C6" s="16" t="n">
        <v>27861</v>
      </c>
      <c r="D6" s="16" t="n">
        <v>23527</v>
      </c>
      <c r="E6" s="16" t="n">
        <v>25212</v>
      </c>
      <c r="F6" s="16" t="n">
        <v>27268</v>
      </c>
    </row>
    <row r="7">
      <c r="A7" s="15" t="inlineStr">
        <is>
          <t>Personaleomkostninger</t>
        </is>
      </c>
      <c r="B7" s="16" t="n">
        <v>13279</v>
      </c>
      <c r="C7" s="16" t="n">
        <v>15277</v>
      </c>
      <c r="D7" s="16" t="n">
        <v>16122</v>
      </c>
      <c r="E7" s="16" t="n">
        <v>17103</v>
      </c>
      <c r="F7" s="16" t="n">
        <v>16628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3557</v>
      </c>
      <c r="C9" s="16" t="n">
        <v>3886</v>
      </c>
      <c r="D9" s="16" t="n">
        <v>4453</v>
      </c>
      <c r="E9" s="16" t="n">
        <v>4645</v>
      </c>
      <c r="F9" s="16" t="n">
        <v>4981</v>
      </c>
    </row>
    <row r="10">
      <c r="A10" s="15" t="inlineStr">
        <is>
          <t>Andre driftsomkostninger</t>
        </is>
      </c>
      <c r="B10" s="16" t="n"/>
      <c r="C10" s="16" t="n"/>
      <c r="D10" s="16" t="n">
        <v>6</v>
      </c>
      <c r="E10" s="16" t="n">
        <v>1</v>
      </c>
      <c r="F10" s="16" t="n">
        <v>0</v>
      </c>
    </row>
    <row r="11">
      <c r="A11" s="17" t="inlineStr">
        <is>
          <t>Resultat af primær drift</t>
        </is>
      </c>
      <c r="B11" s="16" t="n">
        <v>1761</v>
      </c>
      <c r="C11" s="16" t="n">
        <v>8698</v>
      </c>
      <c r="D11" s="16" t="n">
        <v>2946</v>
      </c>
      <c r="E11" s="16" t="n">
        <v>3463</v>
      </c>
      <c r="F11" s="16" t="n">
        <v>5659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45</v>
      </c>
      <c r="C13" s="16" t="n">
        <v>76</v>
      </c>
      <c r="D13" s="16" t="n">
        <v>162</v>
      </c>
      <c r="E13" s="16" t="n">
        <v>291</v>
      </c>
      <c r="F13" s="16" t="n">
        <v>270</v>
      </c>
    </row>
    <row r="14">
      <c r="A14" s="15" t="inlineStr">
        <is>
          <t>Finansielle omkostninger</t>
        </is>
      </c>
      <c r="B14" s="16" t="n">
        <v>297</v>
      </c>
      <c r="C14" s="16" t="n">
        <v>175</v>
      </c>
      <c r="D14" s="16" t="n">
        <v>206</v>
      </c>
      <c r="E14" s="16" t="n">
        <v>386</v>
      </c>
      <c r="F14" s="16" t="n">
        <v>257</v>
      </c>
    </row>
    <row r="15">
      <c r="A15" s="17" t="inlineStr">
        <is>
          <t>Finansielle poster, netto</t>
        </is>
      </c>
      <c r="B15" s="16" t="n">
        <v>-252</v>
      </c>
      <c r="C15" s="16" t="n">
        <v>-99</v>
      </c>
      <c r="D15" s="16" t="n">
        <v>-44</v>
      </c>
      <c r="E15" s="16" t="n">
        <v>-95</v>
      </c>
      <c r="F15" s="16" t="n">
        <v>12</v>
      </c>
    </row>
    <row r="16">
      <c r="A16" s="17" t="inlineStr">
        <is>
          <t>Resultat før skat</t>
        </is>
      </c>
      <c r="B16" s="16" t="n">
        <v>1509</v>
      </c>
      <c r="C16" s="16" t="n">
        <v>8600</v>
      </c>
      <c r="D16" s="16" t="n">
        <v>2902</v>
      </c>
      <c r="E16" s="16" t="n">
        <v>3368</v>
      </c>
      <c r="F16" s="16" t="n">
        <v>5671</v>
      </c>
    </row>
    <row r="17">
      <c r="A17" s="15" t="inlineStr">
        <is>
          <t>Skat af årets resultat</t>
        </is>
      </c>
      <c r="B17" s="16" t="n">
        <v>389</v>
      </c>
      <c r="C17" s="16" t="n">
        <v>1867</v>
      </c>
      <c r="D17" s="16" t="n">
        <v>613</v>
      </c>
      <c r="E17" s="16" t="n">
        <v>721</v>
      </c>
      <c r="F17" s="16" t="n">
        <v>1237</v>
      </c>
    </row>
    <row r="18">
      <c r="A18" s="17" t="inlineStr">
        <is>
          <t>Årets resultat</t>
        </is>
      </c>
      <c r="B18" s="16" t="n">
        <v>1120</v>
      </c>
      <c r="C18" s="16" t="n">
        <v>6733</v>
      </c>
      <c r="D18" s="16" t="n">
        <v>2289</v>
      </c>
      <c r="E18" s="16" t="n">
        <v>2646</v>
      </c>
      <c r="F18" s="16" t="n">
        <v>4434</v>
      </c>
    </row>
    <row r="19">
      <c r="A19" s="15" t="inlineStr">
        <is>
          <t>Gns. antal medarbejdere</t>
        </is>
      </c>
      <c r="B19" s="16" t="n">
        <v>34</v>
      </c>
      <c r="C19" s="16" t="n">
        <v>37</v>
      </c>
      <c r="D19" s="16" t="n">
        <v>38</v>
      </c>
      <c r="E19" s="16" t="n">
        <v>41</v>
      </c>
      <c r="F19" s="16" t="n">
        <v>38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Sommerland Sjælland A/S (CVR 76489017)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21072</v>
      </c>
      <c r="C2" s="16" t="n">
        <v>23971</v>
      </c>
      <c r="D2" s="16" t="n">
        <v>29254</v>
      </c>
      <c r="E2" s="16" t="n">
        <v>32187</v>
      </c>
      <c r="F2" s="16" t="n">
        <v>31508</v>
      </c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10762</v>
      </c>
      <c r="C4" s="16" t="n">
        <v>10716</v>
      </c>
      <c r="D4" s="16" t="n">
        <v>11321</v>
      </c>
      <c r="E4" s="16" t="n">
        <v>10994</v>
      </c>
      <c r="F4" s="16" t="n">
        <v>9620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31834</v>
      </c>
      <c r="C7" s="16" t="n">
        <v>34687</v>
      </c>
      <c r="D7" s="16" t="n">
        <v>40575</v>
      </c>
      <c r="E7" s="16" t="n">
        <v>43182</v>
      </c>
      <c r="F7" s="16" t="n">
        <v>41128</v>
      </c>
    </row>
    <row r="8">
      <c r="A8" s="17" t="inlineStr">
        <is>
          <t>Anlægsaktiver</t>
        </is>
      </c>
      <c r="B8" s="16" t="n">
        <v>31834</v>
      </c>
      <c r="C8" s="16" t="n">
        <v>34687</v>
      </c>
      <c r="D8" s="16" t="n">
        <v>40575</v>
      </c>
      <c r="E8" s="16" t="n">
        <v>43182</v>
      </c>
      <c r="F8" s="16" t="n">
        <v>41128</v>
      </c>
    </row>
    <row r="9">
      <c r="A9" s="15" t="inlineStr">
        <is>
          <t>Råvarer og hjælpematerialer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Varer under fremstilling</t>
        </is>
      </c>
      <c r="B10" s="16" t="n"/>
      <c r="C10" s="16" t="n"/>
      <c r="D10" s="16" t="n"/>
      <c r="E10" s="16" t="n"/>
      <c r="F10" s="16" t="n"/>
    </row>
    <row r="11">
      <c r="A11" s="15" t="inlineStr">
        <is>
          <t>Færdigvarer og handelsvarer</t>
        </is>
      </c>
      <c r="B11" s="16" t="n"/>
      <c r="C11" s="16" t="n"/>
      <c r="D11" s="16" t="n"/>
      <c r="E11" s="16" t="n">
        <v>1340</v>
      </c>
      <c r="F11" s="16" t="n">
        <v>1592</v>
      </c>
    </row>
    <row r="12">
      <c r="A12" s="17" t="inlineStr">
        <is>
          <t>Varebeholdninger</t>
        </is>
      </c>
      <c r="B12" s="16" t="n">
        <v>740</v>
      </c>
      <c r="C12" s="16" t="n">
        <v>637</v>
      </c>
      <c r="D12" s="16" t="n">
        <v>1015</v>
      </c>
      <c r="E12" s="16" t="n">
        <v>1340</v>
      </c>
      <c r="F12" s="16" t="n">
        <v>1592</v>
      </c>
    </row>
    <row r="13">
      <c r="A13" s="15" t="inlineStr">
        <is>
          <t>Tilgodehavender fra salg og tjenesteydelser</t>
        </is>
      </c>
      <c r="B13" s="16" t="n">
        <v>64</v>
      </c>
      <c r="C13" s="16" t="n">
        <v>159</v>
      </c>
      <c r="D13" s="16" t="n">
        <v>490</v>
      </c>
      <c r="E13" s="16" t="n">
        <v>762</v>
      </c>
      <c r="F13" s="16" t="n">
        <v>804</v>
      </c>
    </row>
    <row r="14">
      <c r="A14" s="15" t="inlineStr">
        <is>
          <t>Tilgodehavender hos tilknyttede virksomheder</t>
        </is>
      </c>
      <c r="B14" s="16" t="n">
        <v>655</v>
      </c>
      <c r="C14" s="16" t="n">
        <v>2386</v>
      </c>
      <c r="D14" s="16" t="n">
        <v>2582</v>
      </c>
      <c r="E14" s="16" t="n">
        <v>3521</v>
      </c>
      <c r="F14" s="16" t="n">
        <v>3519</v>
      </c>
    </row>
    <row r="15">
      <c r="A15" s="15" t="inlineStr">
        <is>
          <t>Andre tilgodehavender</t>
        </is>
      </c>
      <c r="B15" s="16" t="n">
        <v>15</v>
      </c>
      <c r="C15" s="16" t="n">
        <v>1634</v>
      </c>
      <c r="D15" s="16" t="n">
        <v>1489</v>
      </c>
      <c r="E15" s="16" t="n">
        <v>914</v>
      </c>
      <c r="F15" s="16" t="n">
        <v>824</v>
      </c>
    </row>
    <row r="16">
      <c r="A16" s="15" t="inlineStr">
        <is>
          <t>Periodeafgrænsningsposter (aktiver)</t>
        </is>
      </c>
      <c r="B16" s="16" t="n">
        <v>0</v>
      </c>
      <c r="C16" s="16" t="n"/>
      <c r="D16" s="16" t="n"/>
      <c r="E16" s="16" t="n">
        <v>15</v>
      </c>
      <c r="F16" s="16" t="n">
        <v>0</v>
      </c>
    </row>
    <row r="17">
      <c r="A17" s="15" t="inlineStr">
        <is>
          <t>Udskudt skatteaktiv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Tilgodehavende skat hos tilknyttede virksomheder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Kortfristede skattetilgodehavender</t>
        </is>
      </c>
      <c r="B19" s="16" t="n"/>
      <c r="C19" s="16" t="n"/>
      <c r="D19" s="16" t="n"/>
      <c r="E19" s="16" t="n"/>
      <c r="F19" s="16" t="n"/>
    </row>
    <row r="20">
      <c r="A20" s="17" t="inlineStr">
        <is>
          <t>Tilgodehavender</t>
        </is>
      </c>
      <c r="B20" s="16" t="n">
        <v>734</v>
      </c>
      <c r="C20" s="16" t="n">
        <v>4179</v>
      </c>
      <c r="D20" s="16" t="n">
        <v>4561</v>
      </c>
      <c r="E20" s="16" t="n">
        <v>5211</v>
      </c>
      <c r="F20" s="16" t="n">
        <v>5148</v>
      </c>
    </row>
    <row r="21">
      <c r="A21" s="15" t="inlineStr">
        <is>
          <t>Værdipapirer</t>
        </is>
      </c>
      <c r="B21" s="16" t="n">
        <v>26</v>
      </c>
      <c r="C21" s="16" t="n">
        <v>0</v>
      </c>
      <c r="D21" s="16" t="n"/>
      <c r="E21" s="16" t="n"/>
      <c r="F21" s="16" t="n"/>
    </row>
    <row r="22">
      <c r="A22" s="15" t="inlineStr">
        <is>
          <t>Likvide beholdninger</t>
        </is>
      </c>
      <c r="B22" s="16" t="n">
        <v>2419</v>
      </c>
      <c r="C22" s="16" t="n">
        <v>413</v>
      </c>
      <c r="D22" s="16" t="n">
        <v>527</v>
      </c>
      <c r="E22" s="16" t="n">
        <v>283</v>
      </c>
      <c r="F22" s="16" t="n">
        <v>313</v>
      </c>
    </row>
    <row r="23">
      <c r="A23" s="17" t="inlineStr">
        <is>
          <t>Omsætningsaktiver</t>
        </is>
      </c>
      <c r="B23" s="16" t="n">
        <v>3919</v>
      </c>
      <c r="C23" s="16" t="n">
        <v>5229</v>
      </c>
      <c r="D23" s="16" t="n">
        <v>6103</v>
      </c>
      <c r="E23" s="16" t="n">
        <v>6833</v>
      </c>
      <c r="F23" s="16" t="n">
        <v>7052</v>
      </c>
    </row>
    <row r="24">
      <c r="A24" s="17" t="inlineStr">
        <is>
          <t>Aktiver</t>
        </is>
      </c>
      <c r="B24" s="16" t="n">
        <v>35753</v>
      </c>
      <c r="C24" s="16" t="n">
        <v>39915</v>
      </c>
      <c r="D24" s="16" t="n">
        <v>46679</v>
      </c>
      <c r="E24" s="16" t="n">
        <v>50015</v>
      </c>
      <c r="F24" s="16" t="n">
        <v>48180</v>
      </c>
    </row>
    <row r="25">
      <c r="A25" s="15" t="inlineStr">
        <is>
          <t>Selskabskapital</t>
        </is>
      </c>
      <c r="B25" s="16" t="n">
        <v>2000</v>
      </c>
      <c r="C25" s="16" t="n">
        <v>2000</v>
      </c>
      <c r="D25" s="16" t="n">
        <v>2000</v>
      </c>
      <c r="E25" s="16" t="n">
        <v>2000</v>
      </c>
      <c r="F25" s="16" t="n">
        <v>2000</v>
      </c>
    </row>
    <row r="26">
      <c r="A26" s="15" t="inlineStr">
        <is>
          <t>Reserve for nettoopskrivning (indre værdis metode)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udviklingsomkostninger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sikringstransaktioner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Andre reserver</t>
        </is>
      </c>
      <c r="B29" s="16" t="n">
        <v>3582</v>
      </c>
      <c r="C29" s="16" t="n">
        <v>3112</v>
      </c>
      <c r="D29" s="16" t="n">
        <v>2895</v>
      </c>
      <c r="E29" s="16" t="n">
        <v>2546</v>
      </c>
      <c r="F29" s="16" t="n">
        <v>2216</v>
      </c>
    </row>
    <row r="30">
      <c r="A30" s="15" t="inlineStr">
        <is>
          <t>Overført resultat</t>
        </is>
      </c>
      <c r="B30" s="16" t="n">
        <v>11190</v>
      </c>
      <c r="C30" s="16" t="n">
        <v>16392</v>
      </c>
      <c r="D30" s="16" t="n">
        <v>17898</v>
      </c>
      <c r="E30" s="16" t="n">
        <v>19894</v>
      </c>
      <c r="F30" s="16" t="n">
        <v>22958</v>
      </c>
    </row>
    <row r="31">
      <c r="A31" s="17" t="inlineStr">
        <is>
          <t>Egenkapital i alt</t>
        </is>
      </c>
      <c r="B31" s="16" t="n">
        <v>16772</v>
      </c>
      <c r="C31" s="16" t="n">
        <v>23504</v>
      </c>
      <c r="D31" s="16" t="n">
        <v>23793</v>
      </c>
      <c r="E31" s="16" t="n">
        <v>25439</v>
      </c>
      <c r="F31" s="16" t="n">
        <v>28873</v>
      </c>
    </row>
    <row r="32">
      <c r="A32" s="15" t="inlineStr">
        <is>
          <t>Hensættelse til udskudt skat</t>
        </is>
      </c>
      <c r="B32" s="16" t="n">
        <v>913</v>
      </c>
      <c r="C32" s="16" t="n">
        <v>853</v>
      </c>
      <c r="D32" s="16" t="n">
        <v>821</v>
      </c>
      <c r="E32" s="16" t="n">
        <v>659</v>
      </c>
      <c r="F32" s="16" t="n">
        <v>384</v>
      </c>
    </row>
    <row r="33">
      <c r="A33" s="17" t="inlineStr">
        <is>
          <t>Hensatte forpligtelser</t>
        </is>
      </c>
      <c r="B33" s="16" t="n">
        <v>913</v>
      </c>
      <c r="C33" s="16" t="n">
        <v>853</v>
      </c>
      <c r="D33" s="16" t="n">
        <v>821</v>
      </c>
      <c r="E33" s="16" t="n">
        <v>659</v>
      </c>
      <c r="F33" s="16" t="n">
        <v>384</v>
      </c>
    </row>
    <row r="34">
      <c r="A34" s="15" t="inlineStr">
        <is>
          <t>Ansvarlig lånekapital (langfristet)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Langfristede lån</t>
        </is>
      </c>
      <c r="B35" s="16" t="n">
        <v>369</v>
      </c>
      <c r="C35" s="16" t="n">
        <v>356</v>
      </c>
      <c r="D35" s="16" t="n">
        <v>343</v>
      </c>
      <c r="E35" s="16" t="n">
        <v>329</v>
      </c>
      <c r="F35" s="16" t="n">
        <v>315</v>
      </c>
    </row>
    <row r="36">
      <c r="A36" s="15" t="inlineStr">
        <is>
          <t>Leasingforpligtelser (langfristet)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Anden gæld (langfristet)</t>
        </is>
      </c>
      <c r="B37" s="16" t="n">
        <v>30</v>
      </c>
      <c r="C37" s="16" t="n">
        <v>214</v>
      </c>
      <c r="D37" s="16" t="n">
        <v>0</v>
      </c>
      <c r="E37" s="16" t="n">
        <v>16</v>
      </c>
      <c r="F37" s="16" t="n">
        <v>43</v>
      </c>
    </row>
    <row r="38">
      <c r="A38" s="17" t="inlineStr">
        <is>
          <t>Langfristede gældsforpligtelser</t>
        </is>
      </c>
      <c r="B38" s="16" t="n">
        <v>4153</v>
      </c>
      <c r="C38" s="16" t="n">
        <v>852</v>
      </c>
      <c r="D38" s="16" t="n">
        <v>493</v>
      </c>
      <c r="E38" s="16" t="n">
        <v>373</v>
      </c>
      <c r="F38" s="16" t="n">
        <v>358</v>
      </c>
    </row>
    <row r="39">
      <c r="A39" s="15" t="inlineStr">
        <is>
          <t>Ansvarlig lånekapital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Kortfristet del af langfristede gældsforpligtelser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Kreditinstitutter</t>
        </is>
      </c>
      <c r="B41" s="16" t="n">
        <v>12</v>
      </c>
      <c r="C41" s="16" t="n">
        <v>13</v>
      </c>
      <c r="D41" s="16" t="n">
        <v>13</v>
      </c>
      <c r="E41" s="16" t="n">
        <v>14</v>
      </c>
      <c r="F41" s="16" t="n">
        <v>14</v>
      </c>
    </row>
    <row r="42">
      <c r="A42" s="15" t="inlineStr">
        <is>
          <t>Leasingforpligtelser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Leverandører af varer og tjenesteydelser</t>
        </is>
      </c>
      <c r="B43" s="16" t="n">
        <v>3974</v>
      </c>
      <c r="C43" s="16" t="n">
        <v>4896</v>
      </c>
      <c r="D43" s="16" t="n">
        <v>5641</v>
      </c>
      <c r="E43" s="16" t="n">
        <v>4418</v>
      </c>
      <c r="F43" s="16" t="n">
        <v>3612</v>
      </c>
    </row>
    <row r="44">
      <c r="A44" s="15" t="inlineStr">
        <is>
          <t>Gæld til tilknyttede virksomheder</t>
        </is>
      </c>
      <c r="B44" s="16" t="n">
        <v>1168</v>
      </c>
      <c r="C44" s="16" t="n">
        <v>213</v>
      </c>
      <c r="D44" s="16" t="n">
        <v>532</v>
      </c>
      <c r="E44" s="16" t="n">
        <v>678</v>
      </c>
      <c r="F44" s="16" t="n">
        <v>611</v>
      </c>
    </row>
    <row r="45">
      <c r="A45" s="15" t="inlineStr">
        <is>
          <t>Gæld til selskabsdeltagere og ledelse</t>
        </is>
      </c>
      <c r="B45" s="16" t="n">
        <v>39</v>
      </c>
      <c r="C45" s="16" t="n">
        <v>52</v>
      </c>
      <c r="D45" s="16" t="n">
        <v>50</v>
      </c>
      <c r="E45" s="16" t="n">
        <v>11</v>
      </c>
      <c r="F45" s="16" t="n">
        <v>17</v>
      </c>
    </row>
    <row r="46">
      <c r="A46" s="15" t="inlineStr">
        <is>
          <t>Selskabsskat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Gæld til tilknyttede virksomheder vedr. selskabsskat</t>
        </is>
      </c>
      <c r="B47" s="16" t="n">
        <v>510</v>
      </c>
      <c r="C47" s="16" t="n">
        <v>1927</v>
      </c>
      <c r="D47" s="16" t="n">
        <v>646</v>
      </c>
      <c r="E47" s="16" t="n">
        <v>883</v>
      </c>
      <c r="F47" s="16" t="n">
        <v>1513</v>
      </c>
    </row>
    <row r="48">
      <c r="A48" s="15" t="inlineStr">
        <is>
          <t>Anden gæld (kortfristet)</t>
        </is>
      </c>
      <c r="B48" s="16" t="n">
        <v>4725</v>
      </c>
      <c r="C48" s="16" t="n">
        <v>316</v>
      </c>
      <c r="D48" s="16" t="n">
        <v>6344</v>
      </c>
      <c r="E48" s="16" t="n">
        <v>8875</v>
      </c>
      <c r="F48" s="16" t="n">
        <v>5742</v>
      </c>
    </row>
    <row r="49">
      <c r="A49" s="15" t="inlineStr">
        <is>
          <t>Periodeafgrænsningsposter (passiver)</t>
        </is>
      </c>
      <c r="B49" s="16" t="n">
        <v>2778</v>
      </c>
      <c r="C49" s="16" t="n">
        <v>3470</v>
      </c>
      <c r="D49" s="16" t="n">
        <v>3953</v>
      </c>
      <c r="E49" s="16" t="n">
        <v>4263</v>
      </c>
      <c r="F49" s="16" t="n">
        <v>4224</v>
      </c>
    </row>
    <row r="50">
      <c r="A50" s="17" t="inlineStr">
        <is>
          <t>Kortfristede gældsforpligtelser</t>
        </is>
      </c>
      <c r="B50" s="16" t="n">
        <v>13916</v>
      </c>
      <c r="C50" s="16" t="n">
        <v>14706</v>
      </c>
      <c r="D50" s="16" t="n">
        <v>21572</v>
      </c>
      <c r="E50" s="16" t="n">
        <v>23544</v>
      </c>
      <c r="F50" s="16" t="n">
        <v>18566</v>
      </c>
    </row>
    <row r="51">
      <c r="A51" s="17" t="inlineStr">
        <is>
          <t>Gældsforpligtelser</t>
        </is>
      </c>
      <c r="B51" s="16" t="n">
        <v>18069</v>
      </c>
      <c r="C51" s="16" t="n">
        <v>15558</v>
      </c>
      <c r="D51" s="16" t="n">
        <v>22065</v>
      </c>
      <c r="E51" s="16" t="n">
        <v>23916</v>
      </c>
      <c r="F51" s="16" t="n">
        <v>18923</v>
      </c>
    </row>
    <row r="52">
      <c r="A52" s="17" t="inlineStr">
        <is>
          <t>Passiver</t>
        </is>
      </c>
      <c r="B52" s="16" t="n">
        <v>35753</v>
      </c>
      <c r="C52" s="16" t="n">
        <v>39915</v>
      </c>
      <c r="D52" s="16" t="n">
        <v>46679</v>
      </c>
      <c r="E52" s="16" t="n">
        <v>50015</v>
      </c>
      <c r="F52" s="16" t="n">
        <v>48180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Sommerland Sjælland A/S (CVR 76489017) — Regnskabs- og nøgletal (CVR: 76489017)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'res_raw_76489017'!$F$2</f>
        <v/>
      </c>
      <c r="C5" s="24">
        <f>'res_raw_76489017'!$E$2</f>
        <v/>
      </c>
      <c r="D5" s="24">
        <f>'res_raw_76489017'!$D$2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'res_raw_76489017'!$F$3</f>
        <v/>
      </c>
      <c r="C6" s="24">
        <f>'res_raw_76489017'!$E$3</f>
        <v/>
      </c>
      <c r="D6" s="24">
        <f>'res_raw_76489017'!$D$3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-'res_raw_76489017'!$F$4</f>
        <v/>
      </c>
      <c r="C7" s="24">
        <f>-'res_raw_76489017'!$E$4</f>
        <v/>
      </c>
      <c r="D7" s="24">
        <f>-'res_raw_76489017'!$D$4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-'res_raw_76489017'!$F$5</f>
        <v/>
      </c>
      <c r="C8" s="24">
        <f>-'res_raw_76489017'!$E$5</f>
        <v/>
      </c>
      <c r="D8" s="24">
        <f>-'res_raw_76489017'!$D$5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IF(ABS((SUM(B5:B8))-'res_raw_76489017'!$F$6)&lt;=2,SUM(B5:B8),'res_raw_76489017'!$F$6)</f>
        <v/>
      </c>
      <c r="C9" s="27">
        <f>IF(ABS((SUM(C5:C8))-'res_raw_76489017'!$E$6)&lt;=2,SUM(C5:C8),'res_raw_76489017'!$E$6)</f>
        <v/>
      </c>
      <c r="D9" s="27">
        <f>IF(ABS((SUM(D5:D8))-'res_raw_76489017'!$D$6)&lt;=2,SUM(D5:D8),'res_raw_76489017'!$D$6)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-'res_raw_76489017'!$F$7</f>
        <v/>
      </c>
      <c r="C10" s="24">
        <f>-'res_raw_76489017'!$E$7</f>
        <v/>
      </c>
      <c r="D10" s="24">
        <f>-'res_raw_76489017'!$D$7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-'res_raw_76489017'!$F$9</f>
        <v/>
      </c>
      <c r="C11" s="24">
        <f>-'res_raw_76489017'!$E$9</f>
        <v/>
      </c>
      <c r="D11" s="24">
        <f>-'res_raw_76489017'!$D$9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-'res_raw_76489017'!$F$10</f>
        <v/>
      </c>
      <c r="C12" s="24">
        <f>-'res_raw_76489017'!$E$10</f>
        <v/>
      </c>
      <c r="D12" s="24">
        <f>-'res_raw_76489017'!$D$10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IF(ABS((SUM(B9:B12))-'res_raw_76489017'!$F$11)&lt;=2,SUM(B9:B12),'res_raw_76489017'!$F$11)</f>
        <v/>
      </c>
      <c r="C13" s="27">
        <f>IF(ABS((SUM(C9:C12))-'res_raw_76489017'!$E$11)&lt;=2,SUM(C9:C12),'res_raw_76489017'!$E$11)</f>
        <v/>
      </c>
      <c r="D13" s="27">
        <f>IF(ABS((SUM(D9:D12))-'res_raw_76489017'!$D$11)&lt;=2,SUM(D9:D12),'res_raw_76489017'!$D$11)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N('res_raw_76489017'!$F$12)+N('res_raw_76489017'!$F$13)</f>
        <v/>
      </c>
      <c r="C14" s="24">
        <f>N('res_raw_76489017'!$E$12)+N('res_raw_76489017'!$E$13)</f>
        <v/>
      </c>
      <c r="D14" s="24">
        <f>N('res_raw_76489017'!$D$12)+N('res_raw_76489017'!$D$13)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-'res_raw_76489017'!$F$14</f>
        <v/>
      </c>
      <c r="C15" s="24">
        <f>-'res_raw_76489017'!$E$14</f>
        <v/>
      </c>
      <c r="D15" s="24">
        <f>-'res_raw_76489017'!$D$14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IF(ABS((SUM(B13:B15))-'res_raw_76489017'!$F$16)&lt;=2,SUM(B13:B15),'res_raw_76489017'!$F$16)</f>
        <v/>
      </c>
      <c r="C16" s="27">
        <f>IF(ABS((SUM(C13:C15))-'res_raw_76489017'!$E$16)&lt;=2,SUM(C13:C15),'res_raw_76489017'!$E$16)</f>
        <v/>
      </c>
      <c r="D16" s="27">
        <f>IF(ABS((SUM(D13:D15))-'res_raw_76489017'!$D$16)&lt;=2,SUM(D13:D15),'res_raw_76489017'!$D$16)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'balance_raw_76489017'!$F$8</f>
        <v/>
      </c>
      <c r="C19" s="24">
        <f>'balance_raw_76489017'!$E$8</f>
        <v/>
      </c>
      <c r="D19" s="24">
        <f>'balance_raw_76489017'!$D$8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'balance_raw_76489017'!$F$23</f>
        <v/>
      </c>
      <c r="C20" s="24">
        <f>'balance_raw_76489017'!$E$23</f>
        <v/>
      </c>
      <c r="D20" s="24">
        <f>'balance_raw_76489017'!$D$23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'balance_raw_76489017'!$F$31</f>
        <v/>
      </c>
      <c r="C23" s="24">
        <f>'balance_raw_76489017'!$E$31</f>
        <v/>
      </c>
      <c r="D23" s="24">
        <f>'balance_raw_76489017'!$D$31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'balance_raw_76489017'!$F$52-'balance_raw_76489017'!$F$31</f>
        <v/>
      </c>
      <c r="C24" s="24">
        <f>'balance_raw_76489017'!$E$52-'balance_raw_76489017'!$E$31</f>
        <v/>
      </c>
      <c r="D24" s="24">
        <f>'balance_raw_76489017'!$D$52-'balance_raw_76489017'!$D$31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'balance_raw_76489017'!$F$12</f>
        <v/>
      </c>
      <c r="C28" s="24">
        <f>'balance_raw_76489017'!$E$12</f>
        <v/>
      </c>
      <c r="D28" s="24">
        <f>'balance_raw_76489017'!$D$12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'balance_raw_76489017'!$F$13</f>
        <v/>
      </c>
      <c r="C29" s="24">
        <f>'balance_raw_76489017'!$E$13</f>
        <v/>
      </c>
      <c r="D29" s="24">
        <f>'balance_raw_76489017'!$D$13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'balance_raw_76489017'!$F$50</f>
        <v/>
      </c>
      <c r="C30" s="24">
        <f>'balance_raw_76489017'!$E$50</f>
        <v/>
      </c>
      <c r="D30" s="24">
        <f>'balance_raw_76489017'!$D$50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IF('balance_raw_76489017'!$F$24="","—",IF(ABS(B21-'balance_raw_76489017'!$F$24)&lt;=1,"✓ OK","❌ "&amp;TEXT(B21-'balance_raw_76489017'!$F$24,"+#,##0;-#,##0")&amp;" t.kr."))</f>
        <v/>
      </c>
      <c r="C61" s="29">
        <f>IF('balance_raw_76489017'!$E$24="","—",IF(ABS(C21-'balance_raw_76489017'!$E$24)&lt;=1,"✓ OK","❌ "&amp;TEXT(C21-'balance_raw_76489017'!$E$24,"+#,##0;-#,##0")&amp;" t.kr."))</f>
        <v/>
      </c>
      <c r="D61" s="29">
        <f>IF('balance_raw_76489017'!$D$24="","—",IF(ABS(D21-'balance_raw_76489017'!$D$24)&lt;=1,"✓ OK","❌ "&amp;TEXT(D21-'balance_raw_76489017'!$D$24,"+#,##0;-#,##0")&amp;"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IF('balance_raw_76489017'!$F$52="","—",IF(ABS(B25-'balance_raw_76489017'!$F$52)&lt;=1,"✓ OK","❌ "&amp;TEXT(B25-'balance_raw_76489017'!$F$52,"+#,##0;-#,##0")&amp;" t.kr."))</f>
        <v/>
      </c>
      <c r="C62" s="29">
        <f>IF('balance_raw_76489017'!$E$52="","—",IF(ABS(C25-'balance_raw_76489017'!$E$52)&lt;=1,"✓ OK","❌ "&amp;TEXT(C25-'balance_raw_76489017'!$E$52,"+#,##0;-#,##0")&amp;" t.kr."))</f>
        <v/>
      </c>
      <c r="D62" s="29">
        <f>IF('balance_raw_76489017'!$D$52="","—",IF(ABS(D25-'balance_raw_76489017'!$D$52)&lt;=1,"✓ OK","❌ "&amp;TEXT(D25-'balance_raw_76489017'!$D$52,"+#,##0;-#,##0")&amp;"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IF('res_raw_76489017'!$F$6="","—",IF(ABS(B9-'res_raw_76489017'!$F$6)&lt;=1,"✓ OK","❌ "&amp;TEXT(B9-'res_raw_76489017'!$F$6,"+#,##0;-#,##0")&amp;" t.kr."))</f>
        <v/>
      </c>
      <c r="C64" s="29">
        <f>IF('res_raw_76489017'!$E$6="","—",IF(ABS(C9-'res_raw_76489017'!$E$6)&lt;=1,"✓ OK","❌ "&amp;TEXT(C9-'res_raw_76489017'!$E$6,"+#,##0;-#,##0")&amp;" t.kr."))</f>
        <v/>
      </c>
      <c r="D64" s="29">
        <f>IF('res_raw_76489017'!$D$6="","—",IF(ABS(D9-'res_raw_76489017'!$D$6)&lt;=1,"✓ OK","❌ "&amp;TEXT(D9-'res_raw_76489017'!$D$6,"+#,##0;-#,##0")&amp;"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IF('res_raw_76489017'!$F$11="","—",IF(ABS(B13-'res_raw_76489017'!$F$11)&lt;=1,"✓ OK","❌ "&amp;TEXT(B13-'res_raw_76489017'!$F$11,"+#,##0;-#,##0")&amp;" t.kr."))</f>
        <v/>
      </c>
      <c r="C65" s="29">
        <f>IF('res_raw_76489017'!$E$11="","—",IF(ABS(C13-'res_raw_76489017'!$E$11)&lt;=1,"✓ OK","❌ "&amp;TEXT(C13-'res_raw_76489017'!$E$11,"+#,##0;-#,##0")&amp;" t.kr."))</f>
        <v/>
      </c>
      <c r="D65" s="29">
        <f>IF('res_raw_76489017'!$D$11="","—",IF(ABS(D13-'res_raw_76489017'!$D$11)&lt;=1,"✓ OK","❌ "&amp;TEXT(D13-'res_raw_76489017'!$D$11,"+#,##0;-#,##0")&amp;"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IF('res_raw_76489017'!$F$16="","—",IF(ABS(B16-'res_raw_76489017'!$F$16)&lt;=1,"✓ OK","❌ "&amp;TEXT(B16-'res_raw_76489017'!$F$16,"+#,##0;-#,##0")&amp;" t.kr."))</f>
        <v/>
      </c>
      <c r="C66" s="29">
        <f>IF('res_raw_76489017'!$E$16="","—",IF(ABS(C16-'res_raw_76489017'!$E$16)&lt;=1,"✓ OK","❌ "&amp;TEXT(C16-'res_raw_76489017'!$E$16,"+#,##0;-#,##0")&amp;" t.kr."))</f>
        <v/>
      </c>
      <c r="D66" s="29">
        <f>IF('res_raw_76489017'!$D$16="","—",IF(ABS(D16-'res_raw_76489017'!$D$16)&lt;=1,"✓ OK","❌ "&amp;TEXT(D16-'res_raw_76489017'!$D$16,"+#,##0;-#,##0")&amp;"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Sommerland Sjælland A/S (CVR 76489017)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fsa:DepositsShorttermLiabilitiesOtherThanProvisions</t>
        </is>
      </c>
      <c r="C3" s="34" t="inlineStr">
        <is>
          <t>fsa:DepositsShorttermLiabilitiesOtherThanProvisions</t>
        </is>
      </c>
      <c r="D3" s="35" t="n"/>
      <c r="E3" s="35" t="n"/>
      <c r="F3" s="35" t="n">
        <v>70</v>
      </c>
      <c r="G3" s="35" t="n">
        <v>47</v>
      </c>
      <c r="H3" s="35" t="n">
        <v>67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2026-10-02T21:58:18Z</dcterms:created>
  <dcterms:modified xmlns:dcterms="http://purl.org/dc/terms/" xmlns:xsi="http://www.w3.org/2001/XMLSchema-instance" xsi:type="dcterms:W3CDTF">2026-10-02T21:58:18Z</dcterms:modified>
</cp:coreProperties>
</file>