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589355" sheetId="1" state="visible" r:id="rId1"/>
    <sheet xmlns:r="http://schemas.openxmlformats.org/officeDocument/2006/relationships" name="res_raw_26589355" sheetId="2" state="visible" r:id="rId2"/>
    <sheet xmlns:r="http://schemas.openxmlformats.org/officeDocument/2006/relationships" name="balance_raw_2658935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JOE &amp; THE JUICE A/S (CVR 26589355)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'res_raw_26589355'!$B$2</f>
        <v/>
      </c>
      <c r="C4" s="5">
        <f>'res_raw_26589355'!$C$2</f>
        <v/>
      </c>
      <c r="D4" s="5">
        <f>'res_raw_26589355'!$D$2</f>
        <v/>
      </c>
      <c r="E4" s="5">
        <f>'res_raw_26589355'!$E$2</f>
        <v/>
      </c>
      <c r="F4" s="5">
        <f>'res_raw_26589355'!$F$2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'res_raw_26589355'!$B$3</f>
        <v/>
      </c>
      <c r="C5" s="8">
        <f>'res_raw_26589355'!$C$3</f>
        <v/>
      </c>
      <c r="D5" s="8">
        <f>'res_raw_26589355'!$D$3</f>
        <v/>
      </c>
      <c r="E5" s="8">
        <f>'res_raw_26589355'!$E$3</f>
        <v/>
      </c>
      <c r="F5" s="8">
        <f>'res_raw_26589355'!$F$3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'res_raw_26589355'!$B$4</f>
        <v/>
      </c>
      <c r="C6" s="5">
        <f>'res_raw_26589355'!$C$4</f>
        <v/>
      </c>
      <c r="D6" s="5">
        <f>'res_raw_26589355'!$D$4</f>
        <v/>
      </c>
      <c r="E6" s="5">
        <f>'res_raw_26589355'!$E$4</f>
        <v/>
      </c>
      <c r="F6" s="5">
        <f>'res_raw_26589355'!$F$4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'res_raw_26589355'!$B$5</f>
        <v/>
      </c>
      <c r="C7" s="8">
        <f>'res_raw_26589355'!$C$5</f>
        <v/>
      </c>
      <c r="D7" s="8">
        <f>'res_raw_26589355'!$D$5</f>
        <v/>
      </c>
      <c r="E7" s="8">
        <f>'res_raw_26589355'!$E$5</f>
        <v/>
      </c>
      <c r="F7" s="8">
        <f>'res_raw_26589355'!$F$5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'res_raw_26589355'!$B$6</f>
        <v/>
      </c>
      <c r="C8" s="11">
        <f>'res_raw_26589355'!$C$6</f>
        <v/>
      </c>
      <c r="D8" s="11">
        <f>'res_raw_26589355'!$D$6</f>
        <v/>
      </c>
      <c r="E8" s="11">
        <f>'res_raw_26589355'!$E$6</f>
        <v/>
      </c>
      <c r="F8" s="11">
        <f>'res_raw_26589355'!$F$6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'res_raw_26589355'!$B$7</f>
        <v/>
      </c>
      <c r="C9" s="8">
        <f>'res_raw_26589355'!$C$7</f>
        <v/>
      </c>
      <c r="D9" s="8">
        <f>'res_raw_26589355'!$D$7</f>
        <v/>
      </c>
      <c r="E9" s="8">
        <f>'res_raw_26589355'!$E$7</f>
        <v/>
      </c>
      <c r="F9" s="8">
        <f>'res_raw_26589355'!$F$7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'res_raw_26589355'!$B$9</f>
        <v/>
      </c>
      <c r="C11" s="8">
        <f>'res_raw_26589355'!$C$9</f>
        <v/>
      </c>
      <c r="D11" s="8">
        <f>'res_raw_26589355'!$D$9</f>
        <v/>
      </c>
      <c r="E11" s="8">
        <f>'res_raw_26589355'!$E$9</f>
        <v/>
      </c>
      <c r="F11" s="8">
        <f>'res_raw_26589355'!$F$9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'res_raw_26589355'!$B$10</f>
        <v/>
      </c>
      <c r="C12" s="5">
        <f>'res_raw_26589355'!$C$10</f>
        <v/>
      </c>
      <c r="D12" s="5">
        <f>'res_raw_26589355'!$D$10</f>
        <v/>
      </c>
      <c r="E12" s="5">
        <f>'res_raw_26589355'!$E$10</f>
        <v/>
      </c>
      <c r="F12" s="5">
        <f>'res_raw_26589355'!$F$10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'res_raw_26589355'!$B$11</f>
        <v/>
      </c>
      <c r="C13" s="11">
        <f>'res_raw_26589355'!$C$11</f>
        <v/>
      </c>
      <c r="D13" s="11">
        <f>'res_raw_26589355'!$D$11</f>
        <v/>
      </c>
      <c r="E13" s="11">
        <f>'res_raw_26589355'!$E$11</f>
        <v/>
      </c>
      <c r="F13" s="11">
        <f>'res_raw_26589355'!$F$11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'res_raw_26589355'!$B$12</f>
        <v/>
      </c>
      <c r="C14" s="5">
        <f>'res_raw_26589355'!$C$12</f>
        <v/>
      </c>
      <c r="D14" s="5">
        <f>'res_raw_26589355'!$D$12</f>
        <v/>
      </c>
      <c r="E14" s="5">
        <f>'res_raw_26589355'!$E$12</f>
        <v/>
      </c>
      <c r="F14" s="5">
        <f>'res_raw_26589355'!$F$12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'res_raw_26589355'!$B$13</f>
        <v/>
      </c>
      <c r="C15" s="8">
        <f>'res_raw_26589355'!$C$13</f>
        <v/>
      </c>
      <c r="D15" s="8">
        <f>'res_raw_26589355'!$D$13</f>
        <v/>
      </c>
      <c r="E15" s="8">
        <f>'res_raw_26589355'!$E$13</f>
        <v/>
      </c>
      <c r="F15" s="8">
        <f>'res_raw_26589355'!$F$13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'res_raw_26589355'!$B$14</f>
        <v/>
      </c>
      <c r="C16" s="5">
        <f>'res_raw_26589355'!$C$14</f>
        <v/>
      </c>
      <c r="D16" s="5">
        <f>'res_raw_26589355'!$D$14</f>
        <v/>
      </c>
      <c r="E16" s="5">
        <f>'res_raw_26589355'!$E$14</f>
        <v/>
      </c>
      <c r="F16" s="5">
        <f>'res_raw_26589355'!$F$14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'res_raw_26589355'!$B$15</f>
        <v/>
      </c>
      <c r="C17" s="11">
        <f>'res_raw_26589355'!$C$15</f>
        <v/>
      </c>
      <c r="D17" s="11">
        <f>'res_raw_26589355'!$D$15</f>
        <v/>
      </c>
      <c r="E17" s="11">
        <f>'res_raw_26589355'!$E$15</f>
        <v/>
      </c>
      <c r="F17" s="11">
        <f>'res_raw_26589355'!$F$15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'res_raw_26589355'!$B$16</f>
        <v/>
      </c>
      <c r="C18" s="11">
        <f>'res_raw_26589355'!$C$16</f>
        <v/>
      </c>
      <c r="D18" s="11">
        <f>'res_raw_26589355'!$D$16</f>
        <v/>
      </c>
      <c r="E18" s="11">
        <f>'res_raw_26589355'!$E$16</f>
        <v/>
      </c>
      <c r="F18" s="11">
        <f>'res_raw_26589355'!$F$16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'res_raw_26589355'!$B$17</f>
        <v/>
      </c>
      <c r="C19" s="8">
        <f>'res_raw_26589355'!$C$17</f>
        <v/>
      </c>
      <c r="D19" s="8">
        <f>'res_raw_26589355'!$D$17</f>
        <v/>
      </c>
      <c r="E19" s="8">
        <f>'res_raw_26589355'!$E$17</f>
        <v/>
      </c>
      <c r="F19" s="8">
        <f>'res_raw_26589355'!$F$17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'res_raw_26589355'!$B$18</f>
        <v/>
      </c>
      <c r="C20" s="11">
        <f>'res_raw_26589355'!$C$18</f>
        <v/>
      </c>
      <c r="D20" s="11">
        <f>'res_raw_26589355'!$D$18</f>
        <v/>
      </c>
      <c r="E20" s="11">
        <f>'res_raw_26589355'!$E$18</f>
        <v/>
      </c>
      <c r="F20" s="11">
        <f>'res_raw_26589355'!$F$18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'balance_raw_26589355'!$B$2</f>
        <v/>
      </c>
      <c r="C23" s="8">
        <f>'balance_raw_26589355'!$C$2</f>
        <v/>
      </c>
      <c r="D23" s="8">
        <f>'balance_raw_26589355'!$D$2</f>
        <v/>
      </c>
      <c r="E23" s="8">
        <f>'balance_raw_26589355'!$E$2</f>
        <v/>
      </c>
      <c r="F23" s="8">
        <f>'balance_raw_26589355'!$F$2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'balance_raw_26589355'!$B$3</f>
        <v/>
      </c>
      <c r="C24" s="5">
        <f>'balance_raw_26589355'!$C$3</f>
        <v/>
      </c>
      <c r="D24" s="5">
        <f>'balance_raw_26589355'!$D$3</f>
        <v/>
      </c>
      <c r="E24" s="5">
        <f>'balance_raw_26589355'!$E$3</f>
        <v/>
      </c>
      <c r="F24" s="5">
        <f>'balance_raw_26589355'!$F$3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'balance_raw_26589355'!$B$4</f>
        <v/>
      </c>
      <c r="C25" s="8">
        <f>'balance_raw_26589355'!$C$4</f>
        <v/>
      </c>
      <c r="D25" s="8">
        <f>'balance_raw_26589355'!$D$4</f>
        <v/>
      </c>
      <c r="E25" s="8">
        <f>'balance_raw_26589355'!$E$4</f>
        <v/>
      </c>
      <c r="F25" s="8">
        <f>'balance_raw_26589355'!$F$4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'balance_raw_26589355'!$B$5</f>
        <v/>
      </c>
      <c r="C26" s="11">
        <f>'balance_raw_26589355'!$C$5</f>
        <v/>
      </c>
      <c r="D26" s="11">
        <f>'balance_raw_26589355'!$D$5</f>
        <v/>
      </c>
      <c r="E26" s="11">
        <f>'balance_raw_26589355'!$E$5</f>
        <v/>
      </c>
      <c r="F26" s="11">
        <f>'balance_raw_26589355'!$F$5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'balance_raw_26589355'!$B$6</f>
        <v/>
      </c>
      <c r="C27" s="8">
        <f>'balance_raw_26589355'!$C$6</f>
        <v/>
      </c>
      <c r="D27" s="8">
        <f>'balance_raw_26589355'!$D$6</f>
        <v/>
      </c>
      <c r="E27" s="8">
        <f>'balance_raw_26589355'!$E$6</f>
        <v/>
      </c>
      <c r="F27" s="8">
        <f>'balance_raw_26589355'!$F$6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'balance_raw_26589355'!$B$7</f>
        <v/>
      </c>
      <c r="C28" s="5">
        <f>'balance_raw_26589355'!$C$7</f>
        <v/>
      </c>
      <c r="D28" s="5">
        <f>'balance_raw_26589355'!$D$7</f>
        <v/>
      </c>
      <c r="E28" s="5">
        <f>'balance_raw_26589355'!$E$7</f>
        <v/>
      </c>
      <c r="F28" s="5">
        <f>'balance_raw_26589355'!$F$7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'balance_raw_26589355'!$B$8</f>
        <v/>
      </c>
      <c r="C29" s="8">
        <f>'balance_raw_26589355'!$C$8</f>
        <v/>
      </c>
      <c r="D29" s="8">
        <f>'balance_raw_26589355'!$D$8</f>
        <v/>
      </c>
      <c r="E29" s="8">
        <f>'balance_raw_26589355'!$E$8</f>
        <v/>
      </c>
      <c r="F29" s="8">
        <f>'balance_raw_26589355'!$F$8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'balance_raw_26589355'!$B$9</f>
        <v/>
      </c>
      <c r="C30" s="5">
        <f>'balance_raw_26589355'!$C$9</f>
        <v/>
      </c>
      <c r="D30" s="5">
        <f>'balance_raw_26589355'!$D$9</f>
        <v/>
      </c>
      <c r="E30" s="5">
        <f>'balance_raw_26589355'!$E$9</f>
        <v/>
      </c>
      <c r="F30" s="5">
        <f>'balance_raw_26589355'!$F$9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'balance_raw_26589355'!$B$10</f>
        <v/>
      </c>
      <c r="C31" s="8">
        <f>'balance_raw_26589355'!$C$10</f>
        <v/>
      </c>
      <c r="D31" s="8">
        <f>'balance_raw_26589355'!$D$10</f>
        <v/>
      </c>
      <c r="E31" s="8">
        <f>'balance_raw_26589355'!$E$10</f>
        <v/>
      </c>
      <c r="F31" s="8">
        <f>'balance_raw_26589355'!$F$10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'balance_raw_26589355'!$B$11</f>
        <v/>
      </c>
      <c r="C32" s="11">
        <f>'balance_raw_26589355'!$C$11</f>
        <v/>
      </c>
      <c r="D32" s="11">
        <f>'balance_raw_26589355'!$D$11</f>
        <v/>
      </c>
      <c r="E32" s="11">
        <f>'balance_raw_26589355'!$E$11</f>
        <v/>
      </c>
      <c r="F32" s="11">
        <f>'balance_raw_26589355'!$F$11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'balance_raw_26589355'!$B$12</f>
        <v/>
      </c>
      <c r="C33" s="8">
        <f>'balance_raw_26589355'!$C$12</f>
        <v/>
      </c>
      <c r="D33" s="8">
        <f>'balance_raw_26589355'!$D$12</f>
        <v/>
      </c>
      <c r="E33" s="8">
        <f>'balance_raw_26589355'!$E$12</f>
        <v/>
      </c>
      <c r="F33" s="8">
        <f>'balance_raw_26589355'!$F$12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'balance_raw_26589355'!$B$13</f>
        <v/>
      </c>
      <c r="C34" s="5">
        <f>'balance_raw_26589355'!$C$13</f>
        <v/>
      </c>
      <c r="D34" s="5">
        <f>'balance_raw_26589355'!$D$13</f>
        <v/>
      </c>
      <c r="E34" s="5">
        <f>'balance_raw_26589355'!$E$13</f>
        <v/>
      </c>
      <c r="F34" s="5">
        <f>'balance_raw_26589355'!$F$13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'balance_raw_26589355'!$B$14</f>
        <v/>
      </c>
      <c r="C35" s="11">
        <f>'balance_raw_26589355'!$C$14</f>
        <v/>
      </c>
      <c r="D35" s="11">
        <f>'balance_raw_26589355'!$D$14</f>
        <v/>
      </c>
      <c r="E35" s="11">
        <f>'balance_raw_26589355'!$E$14</f>
        <v/>
      </c>
      <c r="F35" s="11">
        <f>'balance_raw_26589355'!$F$14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'balance_raw_26589355'!$B$15</f>
        <v/>
      </c>
      <c r="C36" s="11">
        <f>'balance_raw_26589355'!$C$15</f>
        <v/>
      </c>
      <c r="D36" s="11">
        <f>'balance_raw_26589355'!$D$15</f>
        <v/>
      </c>
      <c r="E36" s="11">
        <f>'balance_raw_26589355'!$E$15</f>
        <v/>
      </c>
      <c r="F36" s="11">
        <f>'balance_raw_26589355'!$F$15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'balance_raw_26589355'!$B$16</f>
        <v/>
      </c>
      <c r="C37" s="11">
        <f>'balance_raw_26589355'!$C$16</f>
        <v/>
      </c>
      <c r="D37" s="11">
        <f>'balance_raw_26589355'!$D$16</f>
        <v/>
      </c>
      <c r="E37" s="11">
        <f>'balance_raw_26589355'!$E$16</f>
        <v/>
      </c>
      <c r="F37" s="11">
        <f>'balance_raw_26589355'!$F$16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'balance_raw_26589355'!$B$17</f>
        <v/>
      </c>
      <c r="C38" s="5">
        <f>'balance_raw_26589355'!$C$17</f>
        <v/>
      </c>
      <c r="D38" s="5">
        <f>'balance_raw_26589355'!$D$17</f>
        <v/>
      </c>
      <c r="E38" s="5">
        <f>'balance_raw_26589355'!$E$17</f>
        <v/>
      </c>
      <c r="F38" s="5">
        <f>'balance_raw_26589355'!$F$17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'balance_raw_26589355'!$B$18</f>
        <v/>
      </c>
      <c r="C39" s="8">
        <f>'balance_raw_26589355'!$C$18</f>
        <v/>
      </c>
      <c r="D39" s="8">
        <f>'balance_raw_26589355'!$D$18</f>
        <v/>
      </c>
      <c r="E39" s="8">
        <f>'balance_raw_26589355'!$E$18</f>
        <v/>
      </c>
      <c r="F39" s="8">
        <f>'balance_raw_26589355'!$F$18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'balance_raw_26589355'!$B$19</f>
        <v/>
      </c>
      <c r="C40" s="5">
        <f>'balance_raw_26589355'!$C$19</f>
        <v/>
      </c>
      <c r="D40" s="5">
        <f>'balance_raw_26589355'!$D$19</f>
        <v/>
      </c>
      <c r="E40" s="5">
        <f>'balance_raw_26589355'!$E$19</f>
        <v/>
      </c>
      <c r="F40" s="5">
        <f>'balance_raw_26589355'!$F$19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'balance_raw_26589355'!$B$20</f>
        <v/>
      </c>
      <c r="C41" s="8">
        <f>'balance_raw_26589355'!$C$20</f>
        <v/>
      </c>
      <c r="D41" s="8">
        <f>'balance_raw_26589355'!$D$20</f>
        <v/>
      </c>
      <c r="E41" s="8">
        <f>'balance_raw_26589355'!$E$20</f>
        <v/>
      </c>
      <c r="F41" s="8">
        <f>'balance_raw_26589355'!$F$20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'balance_raw_26589355'!$B$21</f>
        <v/>
      </c>
      <c r="C42" s="5">
        <f>'balance_raw_26589355'!$C$21</f>
        <v/>
      </c>
      <c r="D42" s="5">
        <f>'balance_raw_26589355'!$D$21</f>
        <v/>
      </c>
      <c r="E42" s="5">
        <f>'balance_raw_26589355'!$E$21</f>
        <v/>
      </c>
      <c r="F42" s="5">
        <f>'balance_raw_26589355'!$F$21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'balance_raw_26589355'!$B$22</f>
        <v/>
      </c>
      <c r="C43" s="8">
        <f>'balance_raw_26589355'!$C$22</f>
        <v/>
      </c>
      <c r="D43" s="8">
        <f>'balance_raw_26589355'!$D$22</f>
        <v/>
      </c>
      <c r="E43" s="8">
        <f>'balance_raw_26589355'!$E$22</f>
        <v/>
      </c>
      <c r="F43" s="8">
        <f>'balance_raw_26589355'!$F$22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'balance_raw_26589355'!$B$23</f>
        <v/>
      </c>
      <c r="C44" s="5">
        <f>'balance_raw_26589355'!$C$23</f>
        <v/>
      </c>
      <c r="D44" s="5">
        <f>'balance_raw_26589355'!$D$23</f>
        <v/>
      </c>
      <c r="E44" s="5">
        <f>'balance_raw_26589355'!$E$23</f>
        <v/>
      </c>
      <c r="F44" s="5">
        <f>'balance_raw_26589355'!$F$23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'balance_raw_26589355'!$B$24</f>
        <v/>
      </c>
      <c r="C45" s="11">
        <f>'balance_raw_26589355'!$C$24</f>
        <v/>
      </c>
      <c r="D45" s="11">
        <f>'balance_raw_26589355'!$D$24</f>
        <v/>
      </c>
      <c r="E45" s="11">
        <f>'balance_raw_26589355'!$E$24</f>
        <v/>
      </c>
      <c r="F45" s="11">
        <f>'balance_raw_26589355'!$F$24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'balance_raw_26589355'!$B$25</f>
        <v/>
      </c>
      <c r="C46" s="5">
        <f>'balance_raw_26589355'!$C$25</f>
        <v/>
      </c>
      <c r="D46" s="5">
        <f>'balance_raw_26589355'!$D$25</f>
        <v/>
      </c>
      <c r="E46" s="5">
        <f>'balance_raw_26589355'!$E$25</f>
        <v/>
      </c>
      <c r="F46" s="5">
        <f>'balance_raw_26589355'!$F$25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'balance_raw_26589355'!$B$26</f>
        <v/>
      </c>
      <c r="C47" s="8">
        <f>'balance_raw_26589355'!$C$26</f>
        <v/>
      </c>
      <c r="D47" s="8">
        <f>'balance_raw_26589355'!$D$26</f>
        <v/>
      </c>
      <c r="E47" s="8">
        <f>'balance_raw_26589355'!$E$26</f>
        <v/>
      </c>
      <c r="F47" s="8">
        <f>'balance_raw_26589355'!$F$26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'balance_raw_26589355'!$B$27</f>
        <v/>
      </c>
      <c r="C48" s="11">
        <f>'balance_raw_26589355'!$C$27</f>
        <v/>
      </c>
      <c r="D48" s="11">
        <f>'balance_raw_26589355'!$D$27</f>
        <v/>
      </c>
      <c r="E48" s="11">
        <f>'balance_raw_26589355'!$E$27</f>
        <v/>
      </c>
      <c r="F48" s="11">
        <f>'balance_raw_26589355'!$F$27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'balance_raw_26589355'!$B$28</f>
        <v/>
      </c>
      <c r="C49" s="11">
        <f>'balance_raw_26589355'!$C$28</f>
        <v/>
      </c>
      <c r="D49" s="11">
        <f>'balance_raw_26589355'!$D$28</f>
        <v/>
      </c>
      <c r="E49" s="11">
        <f>'balance_raw_26589355'!$E$28</f>
        <v/>
      </c>
      <c r="F49" s="11">
        <f>'balance_raw_26589355'!$F$28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'balance_raw_26589355'!$B$29</f>
        <v/>
      </c>
      <c r="C52" s="5">
        <f>'balance_raw_26589355'!$C$29</f>
        <v/>
      </c>
      <c r="D52" s="5">
        <f>'balance_raw_26589355'!$D$29</f>
        <v/>
      </c>
      <c r="E52" s="5">
        <f>'balance_raw_26589355'!$E$29</f>
        <v/>
      </c>
      <c r="F52" s="5">
        <f>'balance_raw_26589355'!$F$29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'balance_raw_26589355'!$B$30</f>
        <v/>
      </c>
      <c r="C53" s="8">
        <f>'balance_raw_26589355'!$C$30</f>
        <v/>
      </c>
      <c r="D53" s="8">
        <f>'balance_raw_26589355'!$D$30</f>
        <v/>
      </c>
      <c r="E53" s="8">
        <f>'balance_raw_26589355'!$E$30</f>
        <v/>
      </c>
      <c r="F53" s="8">
        <f>'balance_raw_26589355'!$F$30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'balance_raw_26589355'!$B$31</f>
        <v/>
      </c>
      <c r="C54" s="5">
        <f>'balance_raw_26589355'!$C$31</f>
        <v/>
      </c>
      <c r="D54" s="5">
        <f>'balance_raw_26589355'!$D$31</f>
        <v/>
      </c>
      <c r="E54" s="5">
        <f>'balance_raw_26589355'!$E$31</f>
        <v/>
      </c>
      <c r="F54" s="5">
        <f>'balance_raw_26589355'!$F$31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'balance_raw_26589355'!$B$32</f>
        <v/>
      </c>
      <c r="C55" s="8">
        <f>'balance_raw_26589355'!$C$32</f>
        <v/>
      </c>
      <c r="D55" s="8">
        <f>'balance_raw_26589355'!$D$32</f>
        <v/>
      </c>
      <c r="E55" s="8">
        <f>'balance_raw_26589355'!$E$32</f>
        <v/>
      </c>
      <c r="F55" s="8">
        <f>'balance_raw_26589355'!$F$32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'balance_raw_26589355'!$B$33</f>
        <v/>
      </c>
      <c r="C56" s="5">
        <f>'balance_raw_26589355'!$C$33</f>
        <v/>
      </c>
      <c r="D56" s="5">
        <f>'balance_raw_26589355'!$D$33</f>
        <v/>
      </c>
      <c r="E56" s="5">
        <f>'balance_raw_26589355'!$E$33</f>
        <v/>
      </c>
      <c r="F56" s="5">
        <f>'balance_raw_26589355'!$F$33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'balance_raw_26589355'!$B$34</f>
        <v/>
      </c>
      <c r="C57" s="8">
        <f>'balance_raw_26589355'!$C$34</f>
        <v/>
      </c>
      <c r="D57" s="8">
        <f>'balance_raw_26589355'!$D$34</f>
        <v/>
      </c>
      <c r="E57" s="8">
        <f>'balance_raw_26589355'!$E$34</f>
        <v/>
      </c>
      <c r="F57" s="8">
        <f>'balance_raw_26589355'!$F$34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'balance_raw_26589355'!$B$35</f>
        <v/>
      </c>
      <c r="C58" s="11">
        <f>'balance_raw_26589355'!$C$35</f>
        <v/>
      </c>
      <c r="D58" s="11">
        <f>'balance_raw_26589355'!$D$35</f>
        <v/>
      </c>
      <c r="E58" s="11">
        <f>'balance_raw_26589355'!$E$35</f>
        <v/>
      </c>
      <c r="F58" s="11">
        <f>'balance_raw_26589355'!$F$35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'balance_raw_26589355'!$B$36</f>
        <v/>
      </c>
      <c r="C59" s="11">
        <f>'balance_raw_26589355'!$C$36</f>
        <v/>
      </c>
      <c r="D59" s="11">
        <f>'balance_raw_26589355'!$D$36</f>
        <v/>
      </c>
      <c r="E59" s="11">
        <f>'balance_raw_26589355'!$E$36</f>
        <v/>
      </c>
      <c r="F59" s="11">
        <f>'balance_raw_26589355'!$F$36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'balance_raw_26589355'!$B$37</f>
        <v/>
      </c>
      <c r="C60" s="5">
        <f>'balance_raw_26589355'!$C$37</f>
        <v/>
      </c>
      <c r="D60" s="5">
        <f>'balance_raw_26589355'!$D$37</f>
        <v/>
      </c>
      <c r="E60" s="5">
        <f>'balance_raw_26589355'!$E$37</f>
        <v/>
      </c>
      <c r="F60" s="5">
        <f>'balance_raw_26589355'!$F$37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'balance_raw_26589355'!$B$38</f>
        <v/>
      </c>
      <c r="C61" s="8">
        <f>'balance_raw_26589355'!$C$38</f>
        <v/>
      </c>
      <c r="D61" s="8">
        <f>'balance_raw_26589355'!$D$38</f>
        <v/>
      </c>
      <c r="E61" s="8">
        <f>'balance_raw_26589355'!$E$38</f>
        <v/>
      </c>
      <c r="F61" s="8">
        <f>'balance_raw_26589355'!$F$38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'balance_raw_26589355'!$B$39</f>
        <v/>
      </c>
      <c r="C62" s="5">
        <f>'balance_raw_26589355'!$C$39</f>
        <v/>
      </c>
      <c r="D62" s="5">
        <f>'balance_raw_26589355'!$D$39</f>
        <v/>
      </c>
      <c r="E62" s="5">
        <f>'balance_raw_26589355'!$E$39</f>
        <v/>
      </c>
      <c r="F62" s="5">
        <f>'balance_raw_26589355'!$F$39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'balance_raw_26589355'!$B$40</f>
        <v/>
      </c>
      <c r="C63" s="8">
        <f>'balance_raw_26589355'!$C$40</f>
        <v/>
      </c>
      <c r="D63" s="8">
        <f>'balance_raw_26589355'!$D$40</f>
        <v/>
      </c>
      <c r="E63" s="8">
        <f>'balance_raw_26589355'!$E$40</f>
        <v/>
      </c>
      <c r="F63" s="8">
        <f>'balance_raw_26589355'!$F$40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'balance_raw_26589355'!$B$41</f>
        <v/>
      </c>
      <c r="C64" s="11">
        <f>'balance_raw_26589355'!$C$41</f>
        <v/>
      </c>
      <c r="D64" s="11">
        <f>'balance_raw_26589355'!$D$41</f>
        <v/>
      </c>
      <c r="E64" s="11">
        <f>'balance_raw_26589355'!$E$41</f>
        <v/>
      </c>
      <c r="F64" s="11">
        <f>'balance_raw_26589355'!$F$41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'balance_raw_26589355'!$B$42</f>
        <v/>
      </c>
      <c r="C65" s="8">
        <f>'balance_raw_26589355'!$C$42</f>
        <v/>
      </c>
      <c r="D65" s="8">
        <f>'balance_raw_26589355'!$D$42</f>
        <v/>
      </c>
      <c r="E65" s="8">
        <f>'balance_raw_26589355'!$E$42</f>
        <v/>
      </c>
      <c r="F65" s="8">
        <f>'balance_raw_26589355'!$F$42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'balance_raw_26589355'!$B$43</f>
        <v/>
      </c>
      <c r="C66" s="5">
        <f>'balance_raw_26589355'!$C$43</f>
        <v/>
      </c>
      <c r="D66" s="5">
        <f>'balance_raw_26589355'!$D$43</f>
        <v/>
      </c>
      <c r="E66" s="5">
        <f>'balance_raw_26589355'!$E$43</f>
        <v/>
      </c>
      <c r="F66" s="5">
        <f>'balance_raw_26589355'!$F$43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'balance_raw_26589355'!$B$44</f>
        <v/>
      </c>
      <c r="C67" s="8">
        <f>'balance_raw_26589355'!$C$44</f>
        <v/>
      </c>
      <c r="D67" s="8">
        <f>'balance_raw_26589355'!$D$44</f>
        <v/>
      </c>
      <c r="E67" s="8">
        <f>'balance_raw_26589355'!$E$44</f>
        <v/>
      </c>
      <c r="F67" s="8">
        <f>'balance_raw_26589355'!$F$44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'balance_raw_26589355'!$B$45</f>
        <v/>
      </c>
      <c r="C68" s="5">
        <f>'balance_raw_26589355'!$C$45</f>
        <v/>
      </c>
      <c r="D68" s="5">
        <f>'balance_raw_26589355'!$D$45</f>
        <v/>
      </c>
      <c r="E68" s="5">
        <f>'balance_raw_26589355'!$E$45</f>
        <v/>
      </c>
      <c r="F68" s="5">
        <f>'balance_raw_26589355'!$F$45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'balance_raw_26589355'!$B$46</f>
        <v/>
      </c>
      <c r="C69" s="8">
        <f>'balance_raw_26589355'!$C$46</f>
        <v/>
      </c>
      <c r="D69" s="8">
        <f>'balance_raw_26589355'!$D$46</f>
        <v/>
      </c>
      <c r="E69" s="8">
        <f>'balance_raw_26589355'!$E$46</f>
        <v/>
      </c>
      <c r="F69" s="8">
        <f>'balance_raw_26589355'!$F$46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'balance_raw_26589355'!$B$47</f>
        <v/>
      </c>
      <c r="C70" s="5">
        <f>'balance_raw_26589355'!$C$47</f>
        <v/>
      </c>
      <c r="D70" s="5">
        <f>'balance_raw_26589355'!$D$47</f>
        <v/>
      </c>
      <c r="E70" s="5">
        <f>'balance_raw_26589355'!$E$47</f>
        <v/>
      </c>
      <c r="F70" s="5">
        <f>'balance_raw_26589355'!$F$47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'balance_raw_26589355'!$B$48</f>
        <v/>
      </c>
      <c r="C71" s="8">
        <f>'balance_raw_26589355'!$C$48</f>
        <v/>
      </c>
      <c r="D71" s="8">
        <f>'balance_raw_26589355'!$D$48</f>
        <v/>
      </c>
      <c r="E71" s="8">
        <f>'balance_raw_26589355'!$E$48</f>
        <v/>
      </c>
      <c r="F71" s="8">
        <f>'balance_raw_26589355'!$F$48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'balance_raw_26589355'!$B$49</f>
        <v/>
      </c>
      <c r="C72" s="5">
        <f>'balance_raw_26589355'!$C$49</f>
        <v/>
      </c>
      <c r="D72" s="5">
        <f>'balance_raw_26589355'!$D$49</f>
        <v/>
      </c>
      <c r="E72" s="5">
        <f>'balance_raw_26589355'!$E$49</f>
        <v/>
      </c>
      <c r="F72" s="5">
        <f>'balance_raw_26589355'!$F$49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'balance_raw_26589355'!$B$50</f>
        <v/>
      </c>
      <c r="C73" s="8">
        <f>'balance_raw_26589355'!$C$50</f>
        <v/>
      </c>
      <c r="D73" s="8">
        <f>'balance_raw_26589355'!$D$50</f>
        <v/>
      </c>
      <c r="E73" s="8">
        <f>'balance_raw_26589355'!$E$50</f>
        <v/>
      </c>
      <c r="F73" s="8">
        <f>'balance_raw_26589355'!$F$50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'balance_raw_26589355'!$B$51</f>
        <v/>
      </c>
      <c r="C74" s="5">
        <f>'balance_raw_26589355'!$C$51</f>
        <v/>
      </c>
      <c r="D74" s="5">
        <f>'balance_raw_26589355'!$D$51</f>
        <v/>
      </c>
      <c r="E74" s="5">
        <f>'balance_raw_26589355'!$E$51</f>
        <v/>
      </c>
      <c r="F74" s="5">
        <f>'balance_raw_26589355'!$F$51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'balance_raw_26589355'!$B$52</f>
        <v/>
      </c>
      <c r="C75" s="8">
        <f>'balance_raw_26589355'!$C$52</f>
        <v/>
      </c>
      <c r="D75" s="8">
        <f>'balance_raw_26589355'!$D$52</f>
        <v/>
      </c>
      <c r="E75" s="8">
        <f>'balance_raw_26589355'!$E$52</f>
        <v/>
      </c>
      <c r="F75" s="8">
        <f>'balance_raw_26589355'!$F$52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'balance_raw_26589355'!$B$53</f>
        <v/>
      </c>
      <c r="C76" s="11">
        <f>'balance_raw_26589355'!$C$53</f>
        <v/>
      </c>
      <c r="D76" s="11">
        <f>'balance_raw_26589355'!$D$53</f>
        <v/>
      </c>
      <c r="E76" s="11">
        <f>'balance_raw_26589355'!$E$53</f>
        <v/>
      </c>
      <c r="F76" s="11">
        <f>'balance_raw_26589355'!$F$53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'balance_raw_26589355'!$B$54</f>
        <v/>
      </c>
      <c r="C77" s="11">
        <f>'balance_raw_26589355'!$C$54</f>
        <v/>
      </c>
      <c r="D77" s="11">
        <f>'balance_raw_26589355'!$D$54</f>
        <v/>
      </c>
      <c r="E77" s="11">
        <f>'balance_raw_26589355'!$E$54</f>
        <v/>
      </c>
      <c r="F77" s="11">
        <f>'balance_raw_26589355'!$F$54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'balance_raw_26589355'!$B$55</f>
        <v/>
      </c>
      <c r="C78" s="11">
        <f>'balance_raw_26589355'!$C$55</f>
        <v/>
      </c>
      <c r="D78" s="11">
        <f>'balance_raw_26589355'!$D$55</f>
        <v/>
      </c>
      <c r="E78" s="11">
        <f>'balance_raw_26589355'!$E$55</f>
        <v/>
      </c>
      <c r="F78" s="11">
        <f>'balance_raw_26589355'!$F$55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'res_raw_26589355'!$B$19</f>
        <v/>
      </c>
      <c r="C81" s="8">
        <f>'res_raw_26589355'!$C$19</f>
        <v/>
      </c>
      <c r="D81" s="8">
        <f>'res_raw_26589355'!$D$19</f>
        <v/>
      </c>
      <c r="E81" s="8">
        <f>'res_raw_26589355'!$E$19</f>
        <v/>
      </c>
      <c r="F81" s="8">
        <f>'res_raw_26589355'!$F$19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'res_raw_26589355'!$B$20</f>
        <v/>
      </c>
      <c r="C82" s="5">
        <f>'res_raw_26589355'!$C$20</f>
        <v/>
      </c>
      <c r="D82" s="5">
        <f>'res_raw_26589355'!$D$20</f>
        <v/>
      </c>
      <c r="E82" s="5">
        <f>'res_raw_26589355'!$E$20</f>
        <v/>
      </c>
      <c r="F82" s="5">
        <f>'res_raw_26589355'!$F$20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IFERROR(($B$13+$B$15+$B$14)/$B$49*100,"")</f>
        <v/>
      </c>
      <c r="C85" s="13">
        <f>IFERROR(($C$13+$C$15+$C$14)/$C$49*100,"")</f>
        <v/>
      </c>
      <c r="D85" s="13">
        <f>IFERROR(($D$13+$D$15+$D$14)/$D$49*100,"")</f>
        <v/>
      </c>
      <c r="E85" s="13">
        <f>IFERROR(($E$13+$E$15+$E$14)/$E$49*100,"")</f>
        <v/>
      </c>
      <c r="F85" s="13">
        <f>IFERROR(($F$13+$F$15+$F$14)/$F$49*100,"")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IFERROR($B$4/$B$49,"")</f>
        <v/>
      </c>
      <c r="C87" s="13">
        <f>IFERROR($C$4/$C$49,"")</f>
        <v/>
      </c>
      <c r="D87" s="13">
        <f>IFERROR($D$4/$D$49,"")</f>
        <v/>
      </c>
      <c r="E87" s="13">
        <f>IFERROR($E$4/$E$49,"")</f>
        <v/>
      </c>
      <c r="F87" s="13">
        <f>IFERROR($F$4/$F$49,"")</f>
        <v/>
      </c>
    </row>
    <row r="88" ht="16" customHeight="1">
      <c r="A88" s="4" t="inlineStr">
        <is>
          <t>Egenkapitalens forrentning, %</t>
        </is>
      </c>
      <c r="B88" s="14">
        <f>IFERROR($B$18/$B$58*100,"")</f>
        <v/>
      </c>
      <c r="C88" s="14">
        <f>IFERROR($C$18/$C$58*100,"")</f>
        <v/>
      </c>
      <c r="D88" s="14">
        <f>IFERROR($D$18/$D$58*100,"")</f>
        <v/>
      </c>
      <c r="E88" s="14">
        <f>IFERROR($E$18/$E$58*100,"")</f>
        <v/>
      </c>
      <c r="F88" s="14">
        <f>IFERROR($F$18/$F$58*100,"")</f>
        <v/>
      </c>
    </row>
    <row r="89" ht="16" customHeight="1">
      <c r="A89" s="7" t="inlineStr">
        <is>
          <t>Gældsrente, %</t>
        </is>
      </c>
      <c r="B89" s="13">
        <f>IFERROR($B$16/($B$78-$B$58)*100,"")</f>
        <v/>
      </c>
      <c r="C89" s="13">
        <f>IFERROR($C$16/($C$78-$C$58)*100,"")</f>
        <v/>
      </c>
      <c r="D89" s="13">
        <f>IFERROR($D$16/($D$78-$D$58)*100,"")</f>
        <v/>
      </c>
      <c r="E89" s="13">
        <f>IFERROR($E$16/($E$78-$E$58)*100,"")</f>
        <v/>
      </c>
      <c r="F89" s="13">
        <f>IFERROR($F$16/($F$78-$F$58)*100,"")</f>
        <v/>
      </c>
    </row>
    <row r="90" ht="16" customHeight="1">
      <c r="A90" s="4" t="inlineStr">
        <is>
          <t>Soliditetsgrad, %</t>
        </is>
      </c>
      <c r="B90" s="14">
        <f>IFERROR($B$58/$B$49*100,"")</f>
        <v/>
      </c>
      <c r="C90" s="14">
        <f>IFERROR($C$58/$C$49*100,"")</f>
        <v/>
      </c>
      <c r="D90" s="14">
        <f>IFERROR($D$58/$D$49*100,"")</f>
        <v/>
      </c>
      <c r="E90" s="14">
        <f>IFERROR($E$58/$E$49*100,"")</f>
        <v/>
      </c>
      <c r="F90" s="14">
        <f>IFERROR($F$58/$F$49*100,"")</f>
        <v/>
      </c>
    </row>
    <row r="91" ht="16" customHeight="1">
      <c r="A91" s="7" t="inlineStr">
        <is>
          <t>Gearing</t>
        </is>
      </c>
      <c r="B91" s="13">
        <f>IFERROR(($B$78-$B$58)/$B$58,"")</f>
        <v/>
      </c>
      <c r="C91" s="13">
        <f>IFERROR(($C$78-$C$58)/$C$58,"")</f>
        <v/>
      </c>
      <c r="D91" s="13">
        <f>IFERROR(($D$78-$D$58)/$D$58,"")</f>
        <v/>
      </c>
      <c r="E91" s="13">
        <f>IFERROR(($E$78-$E$58)/$E$58,"")</f>
        <v/>
      </c>
      <c r="F91" s="13">
        <f>IFERROR(($F$78-$F$58)/$F$58,"")</f>
        <v/>
      </c>
    </row>
    <row r="92" ht="16" customHeight="1">
      <c r="A92" s="4" t="inlineStr">
        <is>
          <t>Likviditetsgrad, %</t>
        </is>
      </c>
      <c r="B92" s="14">
        <f>IFERROR($B$48/$B$76*100,"")</f>
        <v/>
      </c>
      <c r="C92" s="14">
        <f>IFERROR($C$48/$C$76*100,"")</f>
        <v/>
      </c>
      <c r="D92" s="14">
        <f>IFERROR($D$48/$D$76*100,"")</f>
        <v/>
      </c>
      <c r="E92" s="14">
        <f>IFERROR($E$48/$E$76*100,"")</f>
        <v/>
      </c>
      <c r="F92" s="14">
        <f>IFERROR($F$48/$F$76*100,"")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IFERROR(($B$78-$B$58)/$B$49*100,"")</f>
        <v/>
      </c>
      <c r="C94" s="14">
        <f>IFERROR(($C$78-$C$58)/$C$49*100,"")</f>
        <v/>
      </c>
      <c r="D94" s="14">
        <f>IFERROR(($D$78-$D$58)/$D$49*100,"")</f>
        <v/>
      </c>
      <c r="E94" s="14">
        <f>IFERROR(($E$78-$E$58)/$E$49*100,"")</f>
        <v/>
      </c>
      <c r="F94" s="14">
        <f>IFERROR(($F$78-$F$58)/$F$49*100,"")</f>
        <v/>
      </c>
    </row>
    <row r="95" ht="16" customHeight="1">
      <c r="A95" s="7" t="inlineStr">
        <is>
          <t>Kapitalbindingsgrad, %</t>
        </is>
      </c>
      <c r="B95" s="13">
        <f>IFERROR($B$36/($B$58+$B$64)*100,"")</f>
        <v/>
      </c>
      <c r="C95" s="13">
        <f>IFERROR($C$36/($C$58+$C$64)*100,"")</f>
        <v/>
      </c>
      <c r="D95" s="13">
        <f>IFERROR($D$36/($D$58+$D$64)*100,"")</f>
        <v/>
      </c>
      <c r="E95" s="13">
        <f>IFERROR($E$36/($E$58+$E$64)*100,"")</f>
        <v/>
      </c>
      <c r="F95" s="13">
        <f>IFERROR($F$36/($F$58+$F$64)*100,"")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JOE &amp; THE JUICE A/S (CVR 26589355)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264009</v>
      </c>
      <c r="C2" s="16" t="n">
        <v>367524</v>
      </c>
      <c r="D2" s="16" t="n">
        <v>464867</v>
      </c>
      <c r="E2" s="16" t="n">
        <v>504205</v>
      </c>
      <c r="F2" s="16" t="n">
        <v>718327</v>
      </c>
    </row>
    <row r="3">
      <c r="A3" s="15" t="inlineStr">
        <is>
          <t>Andre driftsindtægter</t>
        </is>
      </c>
      <c r="B3" s="16" t="n">
        <v>24309</v>
      </c>
      <c r="C3" s="16" t="n">
        <v>6149</v>
      </c>
      <c r="D3" s="16" t="n">
        <v>0</v>
      </c>
      <c r="E3" s="16" t="n"/>
      <c r="F3" s="16" t="n"/>
    </row>
    <row r="4">
      <c r="A4" s="15" t="inlineStr">
        <is>
          <t>Vareforbrug</t>
        </is>
      </c>
      <c r="B4" s="16" t="n">
        <v>49521</v>
      </c>
      <c r="C4" s="16" t="n">
        <v>70805</v>
      </c>
      <c r="D4" s="16" t="n">
        <v>81087</v>
      </c>
      <c r="E4" s="16" t="n">
        <v>78386</v>
      </c>
      <c r="F4" s="16" t="n">
        <v>104081</v>
      </c>
    </row>
    <row r="5">
      <c r="A5" s="15" t="inlineStr">
        <is>
          <t>Andre eksterne omkostninger</t>
        </is>
      </c>
      <c r="B5" s="16" t="n">
        <v>132845</v>
      </c>
      <c r="C5" s="16" t="n">
        <v>173044</v>
      </c>
      <c r="D5" s="16" t="n">
        <v>150909</v>
      </c>
      <c r="E5" s="16" t="n">
        <v>176224</v>
      </c>
      <c r="F5" s="16" t="n">
        <v>190941</v>
      </c>
    </row>
    <row r="6">
      <c r="A6" s="17" t="inlineStr">
        <is>
          <t>Bruttoresultat</t>
        </is>
      </c>
      <c r="B6" s="16" t="n">
        <v>242904</v>
      </c>
      <c r="C6" s="16" t="n">
        <v>131753</v>
      </c>
      <c r="D6" s="16" t="n">
        <v>236604</v>
      </c>
      <c r="E6" s="16" t="n">
        <v>254710</v>
      </c>
      <c r="F6" s="16" t="n">
        <v>440612</v>
      </c>
    </row>
    <row r="7">
      <c r="A7" s="15" t="inlineStr">
        <is>
          <t>Personaleomkostninger</t>
        </is>
      </c>
      <c r="B7" s="16" t="n">
        <v>121358</v>
      </c>
      <c r="C7" s="16" t="n">
        <v>160143</v>
      </c>
      <c r="D7" s="16" t="n">
        <v>150099</v>
      </c>
      <c r="E7" s="16" t="n">
        <v>187880</v>
      </c>
      <c r="F7" s="16" t="n">
        <v>201405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28684</v>
      </c>
      <c r="C9" s="16" t="n">
        <v>26832</v>
      </c>
      <c r="D9" s="16" t="n">
        <v>29195</v>
      </c>
      <c r="E9" s="16" t="n">
        <v>29350</v>
      </c>
      <c r="F9" s="16" t="n">
        <v>35944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-39983</v>
      </c>
      <c r="C11" s="16" t="n">
        <v>-55222</v>
      </c>
      <c r="D11" s="16" t="n">
        <v>57310</v>
      </c>
      <c r="E11" s="16" t="n">
        <v>37480</v>
      </c>
      <c r="F11" s="16" t="n">
        <v>203263</v>
      </c>
    </row>
    <row r="12">
      <c r="A12" s="15" t="inlineStr">
        <is>
          <t>Indtægter af kapitalandele, dattervirksomheder</t>
        </is>
      </c>
      <c r="B12" s="16" t="n">
        <v>-65454</v>
      </c>
      <c r="C12" s="16" t="n">
        <v>-36811</v>
      </c>
      <c r="D12" s="16" t="n">
        <v>-36998</v>
      </c>
      <c r="E12" s="16" t="n">
        <v>159395</v>
      </c>
      <c r="F12" s="16" t="n">
        <v>-180068</v>
      </c>
    </row>
    <row r="13">
      <c r="A13" s="15" t="inlineStr">
        <is>
          <t>Finansielle indtægter</t>
        </is>
      </c>
      <c r="B13" s="16" t="n">
        <v>36497</v>
      </c>
      <c r="C13" s="16" t="n">
        <v>47747</v>
      </c>
      <c r="D13" s="16" t="n">
        <v>47208</v>
      </c>
      <c r="E13" s="16" t="n">
        <v>78043</v>
      </c>
      <c r="F13" s="16" t="n">
        <v>80278</v>
      </c>
    </row>
    <row r="14">
      <c r="A14" s="15" t="inlineStr">
        <is>
          <t>Finansielle omkostninger</t>
        </is>
      </c>
      <c r="B14" s="16" t="n">
        <v>18119</v>
      </c>
      <c r="C14" s="16" t="n">
        <v>21146</v>
      </c>
      <c r="D14" s="16" t="n">
        <v>24396</v>
      </c>
      <c r="E14" s="16" t="n">
        <v>136975</v>
      </c>
      <c r="F14" s="16" t="n">
        <v>39390</v>
      </c>
    </row>
    <row r="15">
      <c r="A15" s="17" t="inlineStr">
        <is>
          <t>Finansielle poster, netto</t>
        </is>
      </c>
      <c r="B15" s="16" t="n">
        <v>-47076</v>
      </c>
      <c r="C15" s="16" t="n">
        <v>-10210</v>
      </c>
      <c r="D15" s="16" t="n">
        <v>-14186</v>
      </c>
      <c r="E15" s="16" t="n">
        <v>-58932</v>
      </c>
      <c r="F15" s="16" t="n">
        <v>40888</v>
      </c>
    </row>
    <row r="16">
      <c r="A16" s="17" t="inlineStr">
        <is>
          <t>Resultat før skat</t>
        </is>
      </c>
      <c r="B16" s="16" t="n">
        <v>-87059</v>
      </c>
      <c r="C16" s="16" t="n">
        <v>-65432</v>
      </c>
      <c r="D16" s="16" t="n">
        <v>43124</v>
      </c>
      <c r="E16" s="16" t="n">
        <v>137943</v>
      </c>
      <c r="F16" s="16" t="n">
        <v>64083</v>
      </c>
    </row>
    <row r="17">
      <c r="A17" s="15" t="inlineStr">
        <is>
          <t>Skat af årets resultat</t>
        </is>
      </c>
      <c r="B17" s="16" t="n">
        <v>-2028</v>
      </c>
      <c r="C17" s="16" t="n">
        <v>3995</v>
      </c>
      <c r="D17" s="16" t="n">
        <v>23626</v>
      </c>
      <c r="E17" s="16" t="n">
        <v>-15771</v>
      </c>
      <c r="F17" s="16" t="n">
        <v>49556</v>
      </c>
    </row>
    <row r="18">
      <c r="A18" s="17" t="inlineStr">
        <is>
          <t>Årets resultat</t>
        </is>
      </c>
      <c r="B18" s="16" t="n">
        <v>-85031</v>
      </c>
      <c r="C18" s="16" t="n">
        <v>-69427</v>
      </c>
      <c r="D18" s="16" t="n">
        <v>19498</v>
      </c>
      <c r="E18" s="16" t="n">
        <v>153714</v>
      </c>
      <c r="F18" s="16" t="n">
        <v>14527</v>
      </c>
    </row>
    <row r="19">
      <c r="A19" s="15" t="inlineStr">
        <is>
          <t>Gns. antal medarbejdere</t>
        </is>
      </c>
      <c r="B19" s="16" t="n">
        <v>343</v>
      </c>
      <c r="C19" s="16" t="n">
        <v>637</v>
      </c>
      <c r="D19" s="16" t="n">
        <v>516</v>
      </c>
      <c r="E19" s="16" t="n">
        <v>543</v>
      </c>
      <c r="F19" s="16" t="n">
        <v>595</v>
      </c>
    </row>
    <row r="20">
      <c r="A20" s="15" t="inlineStr">
        <is>
          <t>Investering i materielle anlægsaktiver</t>
        </is>
      </c>
      <c r="B20" s="16" t="n">
        <v>10212</v>
      </c>
      <c r="C20" s="16" t="n">
        <v>18888</v>
      </c>
      <c r="D20" s="16" t="n">
        <v>28018</v>
      </c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JOE &amp; THE JUICE A/S (CVR 26589355)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32948</v>
      </c>
      <c r="C2" s="16" t="n">
        <v>22442</v>
      </c>
      <c r="D2" s="16" t="n">
        <v>9800</v>
      </c>
      <c r="E2" s="16" t="n">
        <v>10049</v>
      </c>
      <c r="F2" s="16" t="n">
        <v>54551</v>
      </c>
    </row>
    <row r="3">
      <c r="A3" s="15" t="inlineStr">
        <is>
          <t>Patenter, varemærker mv.</t>
        </is>
      </c>
      <c r="B3" s="16" t="n">
        <v>4444</v>
      </c>
      <c r="C3" s="16" t="n">
        <v>3853</v>
      </c>
      <c r="D3" s="16" t="n">
        <v>2875</v>
      </c>
      <c r="E3" s="16" t="n">
        <v>1957</v>
      </c>
      <c r="F3" s="16" t="n">
        <v>1054</v>
      </c>
    </row>
    <row r="4">
      <c r="A4" s="15" t="inlineStr">
        <is>
          <t>Goodwill</t>
        </is>
      </c>
      <c r="B4" s="16" t="n">
        <v>0</v>
      </c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37392</v>
      </c>
      <c r="C5" s="16" t="n">
        <v>36629</v>
      </c>
      <c r="D5" s="16" t="n">
        <v>29935</v>
      </c>
      <c r="E5" s="16" t="n">
        <v>37122</v>
      </c>
      <c r="F5" s="16" t="n">
        <v>74529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22116</v>
      </c>
      <c r="C8" s="16" t="n">
        <v>21817</v>
      </c>
      <c r="D8" s="16" t="n">
        <v>29024</v>
      </c>
      <c r="E8" s="16" t="n">
        <v>34963</v>
      </c>
      <c r="F8" s="16" t="n">
        <v>39868</v>
      </c>
    </row>
    <row r="9">
      <c r="A9" s="15" t="inlineStr">
        <is>
          <t>Indretning af lejede lokaler</t>
        </is>
      </c>
      <c r="B9" s="16" t="n">
        <v>26658</v>
      </c>
      <c r="C9" s="16" t="n">
        <v>31485</v>
      </c>
      <c r="D9" s="16" t="n">
        <v>36838</v>
      </c>
      <c r="E9" s="16" t="n">
        <v>39042</v>
      </c>
      <c r="F9" s="16" t="n">
        <v>50718</v>
      </c>
    </row>
    <row r="10">
      <c r="A10" s="15" t="inlineStr">
        <is>
          <t>Forudbetaling og anlægsaktiver under opførelse</t>
        </is>
      </c>
      <c r="B10" s="16" t="n">
        <v>530</v>
      </c>
      <c r="C10" s="16" t="n">
        <v>0</v>
      </c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49304</v>
      </c>
      <c r="C11" s="16" t="n">
        <v>53302</v>
      </c>
      <c r="D11" s="16" t="n">
        <v>65862</v>
      </c>
      <c r="E11" s="16" t="n">
        <v>74005</v>
      </c>
      <c r="F11" s="16" t="n">
        <v>90586</v>
      </c>
    </row>
    <row r="12">
      <c r="A12" s="15" t="inlineStr">
        <is>
          <t>Kapitalandele, dattervirksomheder</t>
        </is>
      </c>
      <c r="B12" s="16" t="n">
        <v>116855</v>
      </c>
      <c r="C12" s="16" t="n">
        <v>117035</v>
      </c>
      <c r="D12" s="16" t="n">
        <v>129024</v>
      </c>
      <c r="E12" s="16" t="n">
        <v>129089</v>
      </c>
      <c r="F12" s="16" t="n">
        <v>151417</v>
      </c>
    </row>
    <row r="13">
      <c r="A13" s="15" t="inlineStr">
        <is>
          <t>Deposita</t>
        </is>
      </c>
      <c r="B13" s="16" t="n">
        <v>1195</v>
      </c>
      <c r="C13" s="16" t="n">
        <v>1488</v>
      </c>
      <c r="D13" s="16" t="n">
        <v>1911</v>
      </c>
      <c r="E13" s="16" t="n">
        <v>3082</v>
      </c>
      <c r="F13" s="16" t="n">
        <v>3217</v>
      </c>
    </row>
    <row r="14">
      <c r="A14" s="17" t="inlineStr">
        <is>
          <t>Finansielle anlægsaktiver</t>
        </is>
      </c>
      <c r="B14" s="16" t="n"/>
      <c r="C14" s="16" t="n">
        <v>422422</v>
      </c>
      <c r="D14" s="16" t="n">
        <v>501231</v>
      </c>
      <c r="E14" s="16" t="n">
        <v>588359</v>
      </c>
      <c r="F14" s="16" t="n">
        <v>856295</v>
      </c>
    </row>
    <row r="15">
      <c r="A15" s="17" t="inlineStr">
        <is>
          <t>Anlægsaktiver</t>
        </is>
      </c>
      <c r="B15" s="16" t="n">
        <v>438195</v>
      </c>
      <c r="C15" s="16" t="n">
        <v>512353</v>
      </c>
      <c r="D15" s="16" t="n">
        <v>597028</v>
      </c>
      <c r="E15" s="16" t="n">
        <v>699486</v>
      </c>
      <c r="F15" s="16" t="n">
        <v>1021410</v>
      </c>
    </row>
    <row r="16">
      <c r="A16" s="17" t="inlineStr">
        <is>
          <t>Varebeholdninger</t>
        </is>
      </c>
      <c r="B16" s="16" t="n">
        <v>4996</v>
      </c>
      <c r="C16" s="16" t="n">
        <v>3574</v>
      </c>
      <c r="D16" s="16" t="n">
        <v>4556</v>
      </c>
      <c r="E16" s="16" t="n">
        <v>4959</v>
      </c>
      <c r="F16" s="16" t="n">
        <v>5770</v>
      </c>
    </row>
    <row r="17">
      <c r="A17" s="15" t="inlineStr">
        <is>
          <t>Tilgodehavender fra salg og tjenesteydelser</t>
        </is>
      </c>
      <c r="B17" s="16" t="n">
        <v>11997</v>
      </c>
      <c r="C17" s="16" t="n">
        <v>13111</v>
      </c>
      <c r="D17" s="16" t="n">
        <v>19034</v>
      </c>
      <c r="E17" s="16" t="n">
        <v>32183</v>
      </c>
      <c r="F17" s="16" t="n">
        <v>42412</v>
      </c>
    </row>
    <row r="18">
      <c r="A18" s="15" t="inlineStr">
        <is>
          <t>Tilgodehavender hos tilknyttede virksomheder</t>
        </is>
      </c>
      <c r="B18" s="16" t="n">
        <v>8774</v>
      </c>
      <c r="C18" s="16" t="n">
        <v>0</v>
      </c>
      <c r="D18" s="16" t="n"/>
      <c r="E18" s="16" t="n">
        <v>22239</v>
      </c>
      <c r="F18" s="16" t="n">
        <v>50308</v>
      </c>
    </row>
    <row r="19">
      <c r="A19" s="15" t="inlineStr">
        <is>
          <t>Andre tilgodehavender</t>
        </is>
      </c>
      <c r="B19" s="16" t="n"/>
      <c r="C19" s="16" t="n">
        <v>985</v>
      </c>
      <c r="D19" s="16" t="n">
        <v>12322</v>
      </c>
      <c r="E19" s="16" t="n">
        <v>10417</v>
      </c>
      <c r="F19" s="16" t="n">
        <v>27731</v>
      </c>
    </row>
    <row r="20">
      <c r="A20" s="15" t="inlineStr">
        <is>
          <t>Periodeafgrænsningsposter (aktiver)</t>
        </is>
      </c>
      <c r="B20" s="16" t="n">
        <v>25025</v>
      </c>
      <c r="C20" s="16" t="n">
        <v>3836</v>
      </c>
      <c r="D20" s="16" t="n">
        <v>10369</v>
      </c>
      <c r="E20" s="16" t="n">
        <v>9669</v>
      </c>
      <c r="F20" s="16" t="n">
        <v>18563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>
        <v>35742</v>
      </c>
      <c r="F21" s="16" t="n">
        <v>53542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Tilgodehavender</t>
        </is>
      </c>
      <c r="B24" s="16" t="n">
        <v>45796</v>
      </c>
      <c r="C24" s="16" t="n">
        <v>17932</v>
      </c>
      <c r="D24" s="16" t="n">
        <v>41725</v>
      </c>
      <c r="E24" s="16" t="n">
        <v>74508</v>
      </c>
      <c r="F24" s="16" t="n">
        <v>139014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13467</v>
      </c>
      <c r="C26" s="16" t="n">
        <v>0</v>
      </c>
      <c r="D26" s="16" t="n">
        <v>2758</v>
      </c>
      <c r="E26" s="16" t="n">
        <v>1708</v>
      </c>
      <c r="F26" s="16" t="n">
        <v>64674</v>
      </c>
    </row>
    <row r="27">
      <c r="A27" s="17" t="inlineStr">
        <is>
          <t>Omsætningsaktiver</t>
        </is>
      </c>
      <c r="B27" s="16" t="n">
        <v>64259</v>
      </c>
      <c r="C27" s="16" t="n">
        <v>21506</v>
      </c>
      <c r="D27" s="16" t="n">
        <v>49039</v>
      </c>
      <c r="E27" s="16" t="n">
        <v>81175</v>
      </c>
      <c r="F27" s="16" t="n">
        <v>209458</v>
      </c>
    </row>
    <row r="28">
      <c r="A28" s="17" t="inlineStr">
        <is>
          <t>Aktiver</t>
        </is>
      </c>
      <c r="B28" s="16" t="n">
        <v>502454</v>
      </c>
      <c r="C28" s="16" t="n">
        <v>533859</v>
      </c>
      <c r="D28" s="16" t="n">
        <v>646067</v>
      </c>
      <c r="E28" s="16" t="n">
        <v>780661</v>
      </c>
      <c r="F28" s="16" t="n">
        <v>1230868</v>
      </c>
    </row>
    <row r="29">
      <c r="A29" s="15" t="inlineStr">
        <is>
          <t>Selskabskapital</t>
        </is>
      </c>
      <c r="B29" s="16" t="n">
        <v>618</v>
      </c>
      <c r="C29" s="16" t="n">
        <v>618</v>
      </c>
      <c r="D29" s="16" t="n">
        <v>618</v>
      </c>
      <c r="E29" s="16" t="n">
        <v>618</v>
      </c>
      <c r="F29" s="16" t="n">
        <v>618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>
        <v>-8691</v>
      </c>
      <c r="F30" s="16" t="n">
        <v>34034</v>
      </c>
    </row>
    <row r="31">
      <c r="A31" s="15" t="inlineStr">
        <is>
          <t>Reserve for udviklingsomkostninger</t>
        </is>
      </c>
      <c r="B31" s="16" t="n">
        <v>25700</v>
      </c>
      <c r="C31" s="16" t="n">
        <v>25553</v>
      </c>
      <c r="D31" s="16" t="n">
        <v>20951</v>
      </c>
      <c r="E31" s="16" t="n">
        <v>27273</v>
      </c>
      <c r="F31" s="16" t="n">
        <v>57155</v>
      </c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>
        <v>-1696</v>
      </c>
      <c r="F32" s="16" t="n">
        <v>-1024</v>
      </c>
    </row>
    <row r="33">
      <c r="A33" s="15" t="inlineStr">
        <is>
          <t>Andre reserver</t>
        </is>
      </c>
      <c r="B33" s="16" t="n">
        <v>-20554</v>
      </c>
      <c r="C33" s="16" t="n">
        <v>236</v>
      </c>
      <c r="D33" s="16" t="n">
        <v>10948</v>
      </c>
      <c r="E33" s="16" t="n"/>
      <c r="F33" s="16" t="n"/>
    </row>
    <row r="34">
      <c r="A34" s="15" t="inlineStr">
        <is>
          <t>Overført resultat</t>
        </is>
      </c>
      <c r="B34" s="16" t="n">
        <v>15505</v>
      </c>
      <c r="C34" s="16" t="n">
        <v>-85889</v>
      </c>
      <c r="D34" s="16" t="n">
        <v>-61553</v>
      </c>
      <c r="E34" s="16" t="n">
        <v>85839</v>
      </c>
      <c r="F34" s="16" t="n">
        <v>70484</v>
      </c>
    </row>
    <row r="35">
      <c r="A35" s="17" t="inlineStr">
        <is>
          <t>Egenkapital i alt</t>
        </is>
      </c>
      <c r="B35" s="16" t="n">
        <v>21269</v>
      </c>
      <c r="C35" s="16" t="n">
        <v>-59482</v>
      </c>
      <c r="D35" s="16" t="n">
        <v>-29036</v>
      </c>
      <c r="E35" s="16" t="n">
        <v>103343</v>
      </c>
      <c r="F35" s="16" t="n">
        <v>161267</v>
      </c>
    </row>
    <row r="36">
      <c r="A36" s="17" t="inlineStr">
        <is>
          <t>Hensatte forpligtelser</t>
        </is>
      </c>
      <c r="B36" s="16" t="n">
        <v>14851</v>
      </c>
      <c r="C36" s="16" t="n">
        <v>15511</v>
      </c>
      <c r="D36" s="16" t="n">
        <v>21296</v>
      </c>
      <c r="E36" s="16" t="n">
        <v>19170</v>
      </c>
      <c r="F36" s="16" t="n">
        <v>19609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>
        <v>318772</v>
      </c>
      <c r="C38" s="16" t="n">
        <v>326858</v>
      </c>
      <c r="D38" s="16" t="n">
        <v>305757</v>
      </c>
      <c r="E38" s="16" t="n">
        <v>310417</v>
      </c>
      <c r="F38" s="16" t="n">
        <v>314400</v>
      </c>
    </row>
    <row r="39">
      <c r="A39" s="15" t="inlineStr">
        <is>
          <t>Leasingforpligtelser (langfristet)</t>
        </is>
      </c>
      <c r="B39" s="16" t="n">
        <v>2059</v>
      </c>
      <c r="C39" s="16" t="n">
        <v>346</v>
      </c>
      <c r="D39" s="16" t="n">
        <v>0</v>
      </c>
      <c r="E39" s="16" t="n">
        <v>0</v>
      </c>
      <c r="F39" s="16" t="n"/>
    </row>
    <row r="40">
      <c r="A40" s="15" t="inlineStr">
        <is>
          <t>Anden gæld (langfristet)</t>
        </is>
      </c>
      <c r="B40" s="16" t="n">
        <v>2334</v>
      </c>
      <c r="C40" s="16" t="n">
        <v>22564</v>
      </c>
      <c r="D40" s="16" t="n">
        <v>54952</v>
      </c>
      <c r="E40" s="16" t="n">
        <v>125956</v>
      </c>
      <c r="F40" s="16" t="n">
        <v>150202</v>
      </c>
    </row>
    <row r="41">
      <c r="A41" s="17" t="inlineStr">
        <is>
          <t>Langfristede gældsforpligtelser</t>
        </is>
      </c>
      <c r="B41" s="16" t="n">
        <v>337697</v>
      </c>
      <c r="C41" s="16" t="n"/>
      <c r="D41" s="16" t="n">
        <v>440370</v>
      </c>
      <c r="E41" s="16" t="n">
        <v>527409</v>
      </c>
      <c r="F41" s="16" t="n">
        <v>636138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>
        <v>1200</v>
      </c>
      <c r="F43" s="16" t="n">
        <v>300</v>
      </c>
    </row>
    <row r="44">
      <c r="A44" s="15" t="inlineStr">
        <is>
          <t>Kreditinstitutter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Leasingforpligtelser (kortfristet)</t>
        </is>
      </c>
      <c r="B45" s="16" t="n">
        <v>2940</v>
      </c>
      <c r="C45" s="16" t="n">
        <v>1730</v>
      </c>
      <c r="D45" s="16" t="n">
        <v>228</v>
      </c>
      <c r="E45" s="16" t="n">
        <v>0</v>
      </c>
      <c r="F45" s="16" t="n"/>
    </row>
    <row r="46">
      <c r="A46" s="15" t="inlineStr">
        <is>
          <t>Leverandører af varer og tjenesteydelser</t>
        </is>
      </c>
      <c r="B46" s="16" t="n">
        <v>79023</v>
      </c>
      <c r="C46" s="16" t="n">
        <v>31587</v>
      </c>
      <c r="D46" s="16" t="n">
        <v>46134</v>
      </c>
      <c r="E46" s="16" t="n">
        <v>69235</v>
      </c>
      <c r="F46" s="16" t="n">
        <v>61709</v>
      </c>
    </row>
    <row r="47">
      <c r="A47" s="15" t="inlineStr">
        <is>
          <t>Gæld til tilknyttede virksomheder</t>
        </is>
      </c>
      <c r="B47" s="16" t="n">
        <v>0</v>
      </c>
      <c r="C47" s="16" t="n">
        <v>103391</v>
      </c>
      <c r="D47" s="16" t="n">
        <v>129725</v>
      </c>
      <c r="E47" s="16" t="n"/>
      <c r="F47" s="16" t="n">
        <v>243664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>
        <v>2</v>
      </c>
      <c r="C49" s="16" t="n">
        <v>0</v>
      </c>
      <c r="D49" s="16" t="n"/>
      <c r="E49" s="16" t="n"/>
      <c r="F49" s="16" t="n">
        <v>72585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>
        <v>0</v>
      </c>
      <c r="F50" s="16" t="n"/>
    </row>
    <row r="51">
      <c r="A51" s="15" t="inlineStr">
        <is>
          <t>Anden gæld (kortfristet)</t>
        </is>
      </c>
      <c r="B51" s="16" t="n">
        <v>17153</v>
      </c>
      <c r="C51" s="16" t="n">
        <v>25711</v>
      </c>
      <c r="D51" s="16" t="n">
        <v>19771</v>
      </c>
      <c r="E51" s="16" t="n">
        <v>33418</v>
      </c>
      <c r="F51" s="16" t="n">
        <v>31245</v>
      </c>
    </row>
    <row r="52">
      <c r="A52" s="15" t="inlineStr">
        <is>
          <t>Periodeafgrænsningsposter (passiver)</t>
        </is>
      </c>
      <c r="B52" s="16" t="n">
        <v>29519</v>
      </c>
      <c r="C52" s="16" t="n">
        <v>14583</v>
      </c>
      <c r="D52" s="16" t="n">
        <v>17579</v>
      </c>
      <c r="E52" s="16" t="n">
        <v>26886</v>
      </c>
      <c r="F52" s="16" t="n">
        <v>4351</v>
      </c>
    </row>
    <row r="53">
      <c r="A53" s="17" t="inlineStr">
        <is>
          <t>Kortfristede gældsforpligtelser</t>
        </is>
      </c>
      <c r="B53" s="16" t="n">
        <v>128637</v>
      </c>
      <c r="C53" s="16" t="n">
        <v>177009</v>
      </c>
      <c r="D53" s="16" t="n">
        <v>213437</v>
      </c>
      <c r="E53" s="16" t="n">
        <v>130739</v>
      </c>
      <c r="F53" s="16" t="n">
        <v>413854</v>
      </c>
    </row>
    <row r="54">
      <c r="A54" s="17" t="inlineStr">
        <is>
          <t>Gældsforpligtelser</t>
        </is>
      </c>
      <c r="B54" s="16" t="n">
        <v>466334</v>
      </c>
      <c r="C54" s="16" t="n">
        <v>593342</v>
      </c>
      <c r="D54" s="16" t="n">
        <v>675103</v>
      </c>
      <c r="E54" s="16" t="n">
        <v>677318</v>
      </c>
      <c r="F54" s="16" t="n">
        <v>1069601</v>
      </c>
    </row>
    <row r="55">
      <c r="A55" s="17" t="inlineStr">
        <is>
          <t>Passiver</t>
        </is>
      </c>
      <c r="B55" s="16" t="n">
        <v>502454</v>
      </c>
      <c r="C55" s="16" t="n">
        <v>533859</v>
      </c>
      <c r="D55" s="16" t="n">
        <v>646067</v>
      </c>
      <c r="E55" s="16" t="n">
        <v>780661</v>
      </c>
      <c r="F55" s="16" t="n">
        <v>1230868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JOE &amp; THE JUICE A/S (CVR 26589355) — Regnskabs- og nøgletal (CVR: 26589355)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'res_raw_26589355'!$F$2</f>
        <v/>
      </c>
      <c r="C5" s="24">
        <f>'res_raw_26589355'!$E$2</f>
        <v/>
      </c>
      <c r="D5" s="24">
        <f>'res_raw_26589355'!$D$2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'res_raw_26589355'!$F$3</f>
        <v/>
      </c>
      <c r="C6" s="24">
        <f>'res_raw_26589355'!$E$3</f>
        <v/>
      </c>
      <c r="D6" s="24">
        <f>'res_raw_26589355'!$D$3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-'res_raw_26589355'!$F$4</f>
        <v/>
      </c>
      <c r="C7" s="24">
        <f>-'res_raw_26589355'!$E$4</f>
        <v/>
      </c>
      <c r="D7" s="24">
        <f>-'res_raw_26589355'!$D$4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-'res_raw_26589355'!$F$5</f>
        <v/>
      </c>
      <c r="C8" s="24">
        <f>-'res_raw_26589355'!$E$5</f>
        <v/>
      </c>
      <c r="D8" s="24">
        <f>-'res_raw_26589355'!$D$5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IF(ABS((SUM(B5:B8))-'res_raw_26589355'!$F$6)&lt;=2,SUM(B5:B8),'res_raw_26589355'!$F$6)</f>
        <v/>
      </c>
      <c r="C9" s="27">
        <f>IF(ABS((SUM(C5:C8))-'res_raw_26589355'!$E$6)&lt;=2,SUM(C5:C8),'res_raw_26589355'!$E$6)</f>
        <v/>
      </c>
      <c r="D9" s="27">
        <f>IF(ABS((SUM(D5:D8))-'res_raw_26589355'!$D$6)&lt;=2,SUM(D5:D8),'res_raw_26589355'!$D$6)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-'res_raw_26589355'!$F$7</f>
        <v/>
      </c>
      <c r="C10" s="24">
        <f>-'res_raw_26589355'!$E$7</f>
        <v/>
      </c>
      <c r="D10" s="24">
        <f>-'res_raw_26589355'!$D$7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-'res_raw_26589355'!$F$9</f>
        <v/>
      </c>
      <c r="C11" s="24">
        <f>-'res_raw_26589355'!$E$9</f>
        <v/>
      </c>
      <c r="D11" s="24">
        <f>-'res_raw_26589355'!$D$9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-'res_raw_26589355'!$F$10</f>
        <v/>
      </c>
      <c r="C12" s="24">
        <f>-'res_raw_26589355'!$E$10</f>
        <v/>
      </c>
      <c r="D12" s="24">
        <f>-'res_raw_26589355'!$D$10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IF(ABS((SUM(B9:B12))-'res_raw_26589355'!$F$11)&lt;=2,SUM(B9:B12),'res_raw_26589355'!$F$11)</f>
        <v/>
      </c>
      <c r="C13" s="27">
        <f>IF(ABS((SUM(C9:C12))-'res_raw_26589355'!$E$11)&lt;=2,SUM(C9:C12),'res_raw_26589355'!$E$11)</f>
        <v/>
      </c>
      <c r="D13" s="27">
        <f>IF(ABS((SUM(D9:D12))-'res_raw_26589355'!$D$11)&lt;=2,SUM(D9:D12),'res_raw_26589355'!$D$11)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N('res_raw_26589355'!$F$12)+N('res_raw_26589355'!$F$13)</f>
        <v/>
      </c>
      <c r="C14" s="24">
        <f>N('res_raw_26589355'!$E$12)+N('res_raw_26589355'!$E$13)</f>
        <v/>
      </c>
      <c r="D14" s="24">
        <f>N('res_raw_26589355'!$D$12)+N('res_raw_26589355'!$D$13)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-'res_raw_26589355'!$F$14</f>
        <v/>
      </c>
      <c r="C15" s="24">
        <f>-'res_raw_26589355'!$E$14</f>
        <v/>
      </c>
      <c r="D15" s="24">
        <f>-'res_raw_26589355'!$D$14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IF(ABS((SUM(B13:B15))-'res_raw_26589355'!$F$16)&lt;=2,SUM(B13:B15),'res_raw_26589355'!$F$16)</f>
        <v/>
      </c>
      <c r="C16" s="27">
        <f>IF(ABS((SUM(C13:C15))-'res_raw_26589355'!$E$16)&lt;=2,SUM(C13:C15),'res_raw_26589355'!$E$16)</f>
        <v/>
      </c>
      <c r="D16" s="27">
        <f>IF(ABS((SUM(D13:D15))-'res_raw_26589355'!$D$16)&lt;=2,SUM(D13:D15),'res_raw_26589355'!$D$16)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'balance_raw_26589355'!$F$15</f>
        <v/>
      </c>
      <c r="C19" s="24">
        <f>'balance_raw_26589355'!$E$15</f>
        <v/>
      </c>
      <c r="D19" s="24">
        <f>'balance_raw_26589355'!$D$15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'balance_raw_26589355'!$F$27</f>
        <v/>
      </c>
      <c r="C20" s="24">
        <f>'balance_raw_26589355'!$E$27</f>
        <v/>
      </c>
      <c r="D20" s="24">
        <f>'balance_raw_26589355'!$D$27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'balance_raw_26589355'!$F$35</f>
        <v/>
      </c>
      <c r="C23" s="24">
        <f>'balance_raw_26589355'!$E$35</f>
        <v/>
      </c>
      <c r="D23" s="24">
        <f>'balance_raw_26589355'!$D$35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'balance_raw_26589355'!$F$55-'balance_raw_26589355'!$F$35</f>
        <v/>
      </c>
      <c r="C24" s="24">
        <f>'balance_raw_26589355'!$E$55-'balance_raw_26589355'!$E$35</f>
        <v/>
      </c>
      <c r="D24" s="24">
        <f>'balance_raw_26589355'!$D$55-'balance_raw_26589355'!$D$35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'balance_raw_26589355'!$F$16</f>
        <v/>
      </c>
      <c r="C28" s="24">
        <f>'balance_raw_26589355'!$E$16</f>
        <v/>
      </c>
      <c r="D28" s="24">
        <f>'balance_raw_26589355'!$D$16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'balance_raw_26589355'!$F$17</f>
        <v/>
      </c>
      <c r="C29" s="24">
        <f>'balance_raw_26589355'!$E$17</f>
        <v/>
      </c>
      <c r="D29" s="24">
        <f>'balance_raw_26589355'!$D$17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'balance_raw_26589355'!$F$53</f>
        <v/>
      </c>
      <c r="C30" s="24">
        <f>'balance_raw_26589355'!$E$53</f>
        <v/>
      </c>
      <c r="D30" s="24">
        <f>'balance_raw_26589355'!$D$53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IF('balance_raw_26589355'!$F$28="","—",IF(ABS(B21-'balance_raw_26589355'!$F$28)&lt;=1,"✓ OK","❌ "&amp;TEXT(B21-'balance_raw_26589355'!$F$28,"+#,##0;-#,##0")&amp;" t.kr."))</f>
        <v/>
      </c>
      <c r="C61" s="29">
        <f>IF('balance_raw_26589355'!$E$28="","—",IF(ABS(C21-'balance_raw_26589355'!$E$28)&lt;=1,"✓ OK","❌ "&amp;TEXT(C21-'balance_raw_26589355'!$E$28,"+#,##0;-#,##0")&amp;" t.kr."))</f>
        <v/>
      </c>
      <c r="D61" s="29">
        <f>IF('balance_raw_26589355'!$D$28="","—",IF(ABS(D21-'balance_raw_26589355'!$D$28)&lt;=1,"✓ OK","❌ "&amp;TEXT(D21-'balance_raw_26589355'!$D$28,"+#,##0;-#,##0")&amp;"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IF('balance_raw_26589355'!$F$55="","—",IF(ABS(B25-'balance_raw_26589355'!$F$55)&lt;=1,"✓ OK","❌ "&amp;TEXT(B25-'balance_raw_26589355'!$F$55,"+#,##0;-#,##0")&amp;" t.kr."))</f>
        <v/>
      </c>
      <c r="C62" s="29">
        <f>IF('balance_raw_26589355'!$E$55="","—",IF(ABS(C25-'balance_raw_26589355'!$E$55)&lt;=1,"✓ OK","❌ "&amp;TEXT(C25-'balance_raw_26589355'!$E$55,"+#,##0;-#,##0")&amp;" t.kr."))</f>
        <v/>
      </c>
      <c r="D62" s="29">
        <f>IF('balance_raw_26589355'!$D$55="","—",IF(ABS(D25-'balance_raw_26589355'!$D$55)&lt;=1,"✓ OK","❌ "&amp;TEXT(D25-'balance_raw_26589355'!$D$55,"+#,##0;-#,##0")&amp;"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IF('res_raw_26589355'!$F$6="","—",IF(ABS(B9-'res_raw_26589355'!$F$6)&lt;=1,"✓ OK","❌ "&amp;TEXT(B9-'res_raw_26589355'!$F$6,"+#,##0;-#,##0")&amp;" t.kr."))</f>
        <v/>
      </c>
      <c r="C64" s="29">
        <f>IF('res_raw_26589355'!$E$6="","—",IF(ABS(C9-'res_raw_26589355'!$E$6)&lt;=1,"✓ OK","❌ "&amp;TEXT(C9-'res_raw_26589355'!$E$6,"+#,##0;-#,##0")&amp;" t.kr."))</f>
        <v/>
      </c>
      <c r="D64" s="29">
        <f>IF('res_raw_26589355'!$D$6="","—",IF(ABS(D9-'res_raw_26589355'!$D$6)&lt;=1,"✓ OK","❌ "&amp;TEXT(D9-'res_raw_26589355'!$D$6,"+#,##0;-#,##0")&amp;"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IF('res_raw_26589355'!$F$11="","—",IF(ABS(B13-'res_raw_26589355'!$F$11)&lt;=1,"✓ OK","❌ "&amp;TEXT(B13-'res_raw_26589355'!$F$11,"+#,##0;-#,##0")&amp;" t.kr."))</f>
        <v/>
      </c>
      <c r="C65" s="29">
        <f>IF('res_raw_26589355'!$E$11="","—",IF(ABS(C13-'res_raw_26589355'!$E$11)&lt;=1,"✓ OK","❌ "&amp;TEXT(C13-'res_raw_26589355'!$E$11,"+#,##0;-#,##0")&amp;" t.kr."))</f>
        <v/>
      </c>
      <c r="D65" s="29">
        <f>IF('res_raw_26589355'!$D$11="","—",IF(ABS(D13-'res_raw_26589355'!$D$11)&lt;=1,"✓ OK","❌ "&amp;TEXT(D13-'res_raw_26589355'!$D$11,"+#,##0;-#,##0")&amp;"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IF('res_raw_26589355'!$F$16="","—",IF(ABS(B16-'res_raw_26589355'!$F$16)&lt;=1,"✓ OK","❌ "&amp;TEXT(B16-'res_raw_26589355'!$F$16,"+#,##0;-#,##0")&amp;" t.kr."))</f>
        <v/>
      </c>
      <c r="C66" s="29">
        <f>IF('res_raw_26589355'!$E$16="","—",IF(ABS(C16-'res_raw_26589355'!$E$16)&lt;=1,"✓ OK","❌ "&amp;TEXT(C16-'res_raw_26589355'!$E$16,"+#,##0;-#,##0")&amp;" t.kr."))</f>
        <v/>
      </c>
      <c r="D66" s="29">
        <f>IF('res_raw_26589355'!$D$16="","—",IF(ABS(D16-'res_raw_26589355'!$D$16)&lt;=1,"✓ OK","❌ "&amp;TEXT(D16-'res_raw_26589355'!$D$16,"+#,##0;-#,##0")&amp;"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JOE &amp; THE JUICE A/S (CVR 26589355)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fsa:DepreciationOfEquity</t>
        </is>
      </c>
      <c r="C3" s="34" t="inlineStr">
        <is>
          <t>fsa:DepreciationOfEquity</t>
        </is>
      </c>
      <c r="D3" s="35" t="n"/>
      <c r="E3" s="35" t="n"/>
      <c r="F3" s="35" t="n"/>
      <c r="G3" s="35" t="n">
        <v>0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fsa:LongtermDeferredIncome</t>
        </is>
      </c>
      <c r="C4" s="37" t="inlineStr">
        <is>
          <t>fsa:LongtermDeferredIncome</t>
        </is>
      </c>
      <c r="D4" s="38" t="n"/>
      <c r="E4" s="38" t="n">
        <v>400821</v>
      </c>
      <c r="F4" s="38" t="n">
        <v>77278</v>
      </c>
      <c r="G4" s="38" t="n">
        <v>87030</v>
      </c>
      <c r="H4" s="38" t="n">
        <v>168604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fsa:WorkPerformedByEntityAndCapitalised</t>
        </is>
      </c>
      <c r="C5" s="34" t="inlineStr">
        <is>
          <t>fsa:WorkPerformedByEntityAndCapitalised</t>
        </is>
      </c>
      <c r="D5" s="35" t="n">
        <v>-4107</v>
      </c>
      <c r="E5" s="35" t="n">
        <v>1929</v>
      </c>
      <c r="F5" s="35" t="n">
        <v>3733</v>
      </c>
      <c r="G5" s="35" t="n">
        <v>-5115</v>
      </c>
      <c r="H5" s="35" t="n">
        <v>-17307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2026-10-02T21:57:09Z</dcterms:created>
  <dcterms:modified xmlns:dcterms="http://purl.org/dc/terms/" xmlns:xsi="http://www.w3.org/2001/XMLSchema-instance" xsi:type="dcterms:W3CDTF">2026-10-02T21:57:10Z</dcterms:modified>
</cp:coreProperties>
</file>