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greenmobil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'balance_raw'!$B$49</f>
        <v/>
      </c>
      <c r="C72" s="11">
        <f>'balance_raw'!$C$49</f>
        <v/>
      </c>
      <c r="D72" s="11">
        <f>'balance_raw'!$D$49</f>
        <v/>
      </c>
      <c r="E72" s="11">
        <f>'balance_raw'!$E$49</f>
        <v/>
      </c>
      <c r="F72" s="11">
        <f>'balance_raw'!$F$49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'balance_raw'!$B$50</f>
        <v/>
      </c>
      <c r="C73" s="11">
        <f>'balance_raw'!$C$50</f>
        <v/>
      </c>
      <c r="D73" s="11">
        <f>'balance_raw'!$D$50</f>
        <v/>
      </c>
      <c r="E73" s="11">
        <f>'balance_raw'!$E$50</f>
        <v/>
      </c>
      <c r="F73" s="11">
        <f>'balance_raw'!$F$50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'res_raw'!$B$19</f>
        <v/>
      </c>
      <c r="C77" s="8">
        <f>'res_raw'!$C$19</f>
        <v/>
      </c>
      <c r="D77" s="8">
        <f>'res_raw'!$D$19</f>
        <v/>
      </c>
      <c r="E77" s="8">
        <f>'res_raw'!$E$19</f>
        <v/>
      </c>
      <c r="F77" s="8">
        <f>'res_raw'!$F$19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'res_raw'!$B$20</f>
        <v/>
      </c>
      <c r="C78" s="5">
        <f>'res_raw'!$C$20</f>
        <v/>
      </c>
      <c r="D78" s="5">
        <f>'res_raw'!$D$20</f>
        <v/>
      </c>
      <c r="E78" s="5">
        <f>'res_raw'!$E$20</f>
        <v/>
      </c>
      <c r="F78" s="5">
        <f>'res_raw'!$F$20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IFERROR($B$33/($B$55+$B$60)*100,"")</f>
        <v/>
      </c>
      <c r="C91" s="13">
        <f>IFERROR($C$33/($C$55+$C$60)*100,"")</f>
        <v/>
      </c>
      <c r="D91" s="13">
        <f>IFERROR($D$33/($D$55+$D$60)*100,"")</f>
        <v/>
      </c>
      <c r="E91" s="13">
        <f>IFERROR($E$33/($E$55+$E$60)*100,"")</f>
        <v/>
      </c>
      <c r="F91" s="13">
        <f>IFERROR($F$33/($F$55+$F$60)*100,"")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greenmobil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62414</v>
      </c>
      <c r="C2" s="17" t="n">
        <v>97310</v>
      </c>
      <c r="D2" s="17" t="n">
        <v>94632</v>
      </c>
      <c r="E2" s="17" t="n">
        <v>129538</v>
      </c>
      <c r="F2" s="17" t="n">
        <v>153905</v>
      </c>
    </row>
    <row r="3">
      <c r="A3" s="16" t="inlineStr">
        <is>
          <t>Andre driftsindtægter</t>
        </is>
      </c>
      <c r="B3" s="17" t="n">
        <v>3717</v>
      </c>
      <c r="C3" s="17" t="n">
        <v>1389</v>
      </c>
      <c r="D3" s="17" t="n">
        <v>3397</v>
      </c>
      <c r="E3" s="17" t="n">
        <v>1118</v>
      </c>
      <c r="F3" s="17" t="n">
        <v>4733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58992</v>
      </c>
      <c r="C5" s="17" t="n">
        <v>94939</v>
      </c>
      <c r="D5" s="17" t="n">
        <v>69358</v>
      </c>
      <c r="E5" s="17" t="n">
        <v>70987</v>
      </c>
      <c r="F5" s="17" t="n">
        <v>79273</v>
      </c>
    </row>
    <row r="6">
      <c r="A6" s="15" t="inlineStr">
        <is>
          <t>Bruttoresultat</t>
        </is>
      </c>
      <c r="B6" s="17" t="n">
        <v>7139</v>
      </c>
      <c r="C6" s="17" t="n">
        <v>3760</v>
      </c>
      <c r="D6" s="17" t="n">
        <v>28671</v>
      </c>
      <c r="E6" s="17" t="n">
        <v>59669</v>
      </c>
      <c r="F6" s="17" t="n">
        <v>79365</v>
      </c>
    </row>
    <row r="7">
      <c r="A7" s="16" t="inlineStr">
        <is>
          <t>Personaleomkostninger</t>
        </is>
      </c>
      <c r="B7" s="17" t="n">
        <v>35370</v>
      </c>
      <c r="C7" s="17" t="n">
        <v>37664</v>
      </c>
      <c r="D7" s="17" t="n">
        <v>35479</v>
      </c>
      <c r="E7" s="17" t="n">
        <v>23911</v>
      </c>
      <c r="F7" s="17" t="n">
        <v>25327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20691</v>
      </c>
      <c r="C9" s="17" t="n">
        <v>36128</v>
      </c>
      <c r="D9" s="17" t="n">
        <v>33272</v>
      </c>
      <c r="E9" s="17" t="n">
        <v>23838</v>
      </c>
      <c r="F9" s="17" t="n">
        <v>27873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-48922</v>
      </c>
      <c r="C11" s="17" t="n">
        <v>-70032</v>
      </c>
      <c r="D11" s="17" t="n">
        <v>-40080</v>
      </c>
      <c r="E11" s="17" t="n">
        <v>11920</v>
      </c>
      <c r="F11" s="17" t="n">
        <v>26165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2656</v>
      </c>
      <c r="C14" s="17" t="n">
        <v>8050</v>
      </c>
      <c r="D14" s="17" t="n">
        <v>8997</v>
      </c>
      <c r="E14" s="17" t="n">
        <v>10599</v>
      </c>
      <c r="F14" s="17" t="n">
        <v>8025</v>
      </c>
    </row>
    <row r="15">
      <c r="A15" s="15" t="inlineStr">
        <is>
          <t>Finansielle poster, netto</t>
        </is>
      </c>
      <c r="B15" s="17" t="n">
        <v>-2656</v>
      </c>
      <c r="C15" s="17" t="n">
        <v>-8050</v>
      </c>
      <c r="D15" s="17" t="n">
        <v>-8997</v>
      </c>
      <c r="E15" s="17" t="n">
        <v>-10599</v>
      </c>
      <c r="F15" s="17" t="n">
        <v>-8025</v>
      </c>
    </row>
    <row r="16">
      <c r="A16" s="15" t="inlineStr">
        <is>
          <t>Resultat før skat</t>
        </is>
      </c>
      <c r="B16" s="17" t="n">
        <v>-51578</v>
      </c>
      <c r="C16" s="17" t="n">
        <v>-78082</v>
      </c>
      <c r="D16" s="17" t="n">
        <v>-49077</v>
      </c>
      <c r="E16" s="17" t="n">
        <v>1321</v>
      </c>
      <c r="F16" s="17" t="n">
        <v>18140</v>
      </c>
    </row>
    <row r="17">
      <c r="A17" s="16" t="inlineStr">
        <is>
          <t>Skat af årets resultat</t>
        </is>
      </c>
      <c r="B17" s="17" t="n">
        <v>0</v>
      </c>
      <c r="C17" s="17" t="n">
        <v>-858</v>
      </c>
      <c r="D17" s="17" t="n">
        <v>895</v>
      </c>
      <c r="E17" s="17" t="n">
        <v>-8388</v>
      </c>
      <c r="F17" s="17" t="n">
        <v>-15023</v>
      </c>
    </row>
    <row r="18">
      <c r="A18" s="15" t="inlineStr">
        <is>
          <t>Årets resultat</t>
        </is>
      </c>
      <c r="B18" s="17" t="n">
        <v>-51578</v>
      </c>
      <c r="C18" s="17" t="n">
        <v>-77224</v>
      </c>
      <c r="D18" s="17" t="n">
        <v>-49972</v>
      </c>
      <c r="E18" s="17" t="n">
        <v>9709</v>
      </c>
      <c r="F18" s="17" t="n">
        <v>33163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greenmobil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1825</v>
      </c>
      <c r="C2" s="17" t="n">
        <v>2784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0</v>
      </c>
      <c r="C3" s="17" t="n">
        <v>5026</v>
      </c>
      <c r="D3" s="17" t="n">
        <v>0</v>
      </c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1825</v>
      </c>
      <c r="C5" s="17" t="n">
        <v>7810</v>
      </c>
      <c r="D5" s="17" t="n"/>
      <c r="E5" s="17" t="n"/>
      <c r="F5" s="17" t="n"/>
    </row>
    <row r="6">
      <c r="A6" s="16" t="inlineStr">
        <is>
          <t>Grunde og bygninger</t>
        </is>
      </c>
      <c r="B6" s="17" t="n">
        <v>3673</v>
      </c>
      <c r="C6" s="17" t="n">
        <v>2266</v>
      </c>
      <c r="D6" s="17" t="n">
        <v>397</v>
      </c>
      <c r="E6" s="17" t="n">
        <v>1800</v>
      </c>
      <c r="F6" s="17" t="n">
        <v>1172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119306</v>
      </c>
      <c r="C11" s="17" t="n">
        <v>209371</v>
      </c>
      <c r="D11" s="17" t="n"/>
      <c r="E11" s="17" t="n"/>
      <c r="F11" s="17" t="n"/>
    </row>
    <row r="12">
      <c r="A12" s="15" t="inlineStr">
        <is>
          <t>Anlægsaktiver</t>
        </is>
      </c>
      <c r="B12" s="17" t="n">
        <v>121491</v>
      </c>
      <c r="C12" s="17" t="n">
        <v>217604</v>
      </c>
      <c r="D12" s="17" t="n">
        <v>152676</v>
      </c>
      <c r="E12" s="17" t="n">
        <v>140814</v>
      </c>
      <c r="F12" s="17" t="n">
        <v>128968</v>
      </c>
    </row>
    <row r="13">
      <c r="A13" s="15" t="inlineStr">
        <is>
          <t>Varebeholdninger</t>
        </is>
      </c>
      <c r="B13" s="17" t="n">
        <v>1238</v>
      </c>
      <c r="C13" s="17" t="n">
        <v>3342</v>
      </c>
      <c r="D13" s="17" t="n">
        <v>3494</v>
      </c>
      <c r="E13" s="17" t="n">
        <v>3092</v>
      </c>
      <c r="F13" s="17" t="n">
        <v>2572</v>
      </c>
    </row>
    <row r="14">
      <c r="A14" s="16" t="inlineStr">
        <is>
          <t>Tilgodehavender fra salg og tjenesteydelser</t>
        </is>
      </c>
      <c r="B14" s="17" t="n">
        <v>4674</v>
      </c>
      <c r="C14" s="17" t="n">
        <v>8847</v>
      </c>
      <c r="D14" s="17" t="n">
        <v>9358</v>
      </c>
      <c r="E14" s="17" t="n">
        <v>10045</v>
      </c>
      <c r="F14" s="17" t="n">
        <v>12145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>
        <v>4810</v>
      </c>
    </row>
    <row r="17">
      <c r="A17" s="16" t="inlineStr">
        <is>
          <t>Periodeafgrænsningsposter (aktiver)</t>
        </is>
      </c>
      <c r="B17" s="17" t="n">
        <v>2012</v>
      </c>
      <c r="C17" s="17" t="n">
        <v>2348</v>
      </c>
      <c r="D17" s="17" t="n">
        <v>769</v>
      </c>
      <c r="E17" s="17" t="n">
        <v>1043</v>
      </c>
      <c r="F17" s="17" t="n">
        <v>1024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>
        <v>8388</v>
      </c>
      <c r="F18" s="17" t="n">
        <v>23410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6092</v>
      </c>
      <c r="C21" s="17" t="n">
        <v>9832</v>
      </c>
      <c r="D21" s="17" t="n">
        <v>444</v>
      </c>
      <c r="E21" s="17" t="n">
        <v>2452</v>
      </c>
      <c r="F21" s="17" t="n">
        <v>1196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130132</v>
      </c>
      <c r="C23" s="17" t="n">
        <v>43613</v>
      </c>
      <c r="D23" s="17" t="n">
        <v>36227</v>
      </c>
      <c r="E23" s="17" t="n">
        <v>9526</v>
      </c>
      <c r="F23" s="17" t="n">
        <v>16535</v>
      </c>
    </row>
    <row r="24">
      <c r="A24" s="15" t="inlineStr">
        <is>
          <t>Omsætningsaktiver</t>
        </is>
      </c>
      <c r="B24" s="17" t="n">
        <v>144614</v>
      </c>
      <c r="C24" s="17" t="n">
        <v>67982</v>
      </c>
      <c r="D24" s="17" t="n">
        <v>52386</v>
      </c>
      <c r="E24" s="17" t="n">
        <v>26158</v>
      </c>
      <c r="F24" s="17" t="n">
        <v>33472</v>
      </c>
    </row>
    <row r="25">
      <c r="A25" s="15" t="inlineStr">
        <is>
          <t>Aktiver</t>
        </is>
      </c>
      <c r="B25" s="17" t="n">
        <v>266105</v>
      </c>
      <c r="C25" s="17" t="n">
        <v>285586</v>
      </c>
      <c r="D25" s="17" t="n">
        <v>205062</v>
      </c>
      <c r="E25" s="17" t="n">
        <v>166972</v>
      </c>
      <c r="F25" s="17" t="n">
        <v>162440</v>
      </c>
    </row>
    <row r="26">
      <c r="A26" s="16" t="inlineStr">
        <is>
          <t>Selskabskapital</t>
        </is>
      </c>
      <c r="B26" s="17" t="n">
        <v>1768</v>
      </c>
      <c r="C26" s="17" t="n">
        <v>1780</v>
      </c>
      <c r="D26" s="17" t="n">
        <v>2135</v>
      </c>
      <c r="E26" s="17" t="n">
        <v>2367</v>
      </c>
      <c r="F26" s="17" t="n">
        <v>2367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143092</v>
      </c>
      <c r="C31" s="17" t="n">
        <v>66275</v>
      </c>
      <c r="D31" s="17" t="n">
        <v>16632</v>
      </c>
      <c r="E31" s="17" t="n">
        <v>6638</v>
      </c>
      <c r="F31" s="17" t="n">
        <v>33224</v>
      </c>
    </row>
    <row r="32">
      <c r="A32" s="15" t="inlineStr">
        <is>
          <t>Egenkapital i alt</t>
        </is>
      </c>
      <c r="B32" s="17" t="n">
        <v>144084</v>
      </c>
      <c r="C32" s="17" t="n">
        <v>65702</v>
      </c>
      <c r="D32" s="17" t="n">
        <v>10227</v>
      </c>
      <c r="E32" s="17" t="n">
        <v>6302</v>
      </c>
      <c r="F32" s="17" t="n">
        <v>35591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51953</v>
      </c>
      <c r="C35" s="17" t="n">
        <v>65414</v>
      </c>
      <c r="D35" s="17" t="n">
        <v>80055</v>
      </c>
      <c r="E35" s="17" t="n">
        <v>44788</v>
      </c>
      <c r="F35" s="17" t="n">
        <v>65630</v>
      </c>
    </row>
    <row r="36">
      <c r="A36" s="16" t="inlineStr">
        <is>
          <t>Anden gæld (langfristet)</t>
        </is>
      </c>
      <c r="B36" s="17" t="n">
        <v>19682</v>
      </c>
      <c r="C36" s="17" t="n">
        <v>65868</v>
      </c>
      <c r="D36" s="17" t="n">
        <v>42082</v>
      </c>
      <c r="E36" s="17" t="n">
        <v>18145</v>
      </c>
      <c r="F36" s="17" t="n">
        <v>7373</v>
      </c>
    </row>
    <row r="37">
      <c r="A37" s="15" t="inlineStr">
        <is>
          <t>Langfristede gældsforpligtelser</t>
        </is>
      </c>
      <c r="B37" s="17" t="n">
        <v>71635</v>
      </c>
      <c r="C37" s="17" t="n">
        <v>131282</v>
      </c>
      <c r="D37" s="17" t="n">
        <v>122137</v>
      </c>
      <c r="E37" s="17" t="n">
        <v>62933</v>
      </c>
      <c r="F37" s="17" t="n">
        <v>73003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4921</v>
      </c>
      <c r="C40" s="17" t="n">
        <v>16565</v>
      </c>
      <c r="D40" s="17" t="n">
        <v>15608</v>
      </c>
      <c r="E40" s="17" t="n">
        <v>11535</v>
      </c>
      <c r="F40" s="17" t="n">
        <v>12884</v>
      </c>
    </row>
    <row r="41">
      <c r="A41" s="16" t="inlineStr">
        <is>
          <t>Leasingforpligtelser (kortfristet)</t>
        </is>
      </c>
      <c r="B41" s="17" t="n">
        <v>33478</v>
      </c>
      <c r="C41" s="17" t="n">
        <v>53557</v>
      </c>
      <c r="D41" s="17" t="n">
        <v>33816</v>
      </c>
      <c r="E41" s="17" t="n">
        <v>59542</v>
      </c>
      <c r="F41" s="17" t="n">
        <v>19225</v>
      </c>
    </row>
    <row r="42">
      <c r="A42" s="16" t="inlineStr">
        <is>
          <t>Leverandører af varer og tjenesteydelser</t>
        </is>
      </c>
      <c r="B42" s="17" t="n">
        <v>3094</v>
      </c>
      <c r="C42" s="17" t="n">
        <v>6135</v>
      </c>
      <c r="D42" s="17" t="n">
        <v>6875</v>
      </c>
      <c r="E42" s="17" t="n">
        <v>12720</v>
      </c>
      <c r="F42" s="17" t="n">
        <v>3504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8730</v>
      </c>
      <c r="C47" s="17" t="n">
        <v>12306</v>
      </c>
      <c r="D47" s="17" t="n">
        <v>13429</v>
      </c>
      <c r="E47" s="17" t="n">
        <v>13940</v>
      </c>
      <c r="F47" s="17" t="n">
        <v>13423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50386</v>
      </c>
      <c r="C49" s="17" t="n">
        <v>88602</v>
      </c>
      <c r="D49" s="17" t="n">
        <v>72698</v>
      </c>
      <c r="E49" s="17" t="n">
        <v>97737</v>
      </c>
      <c r="F49" s="17" t="n">
        <v>53846</v>
      </c>
    </row>
    <row r="50">
      <c r="A50" s="15" t="inlineStr">
        <is>
          <t>Gældsforpligtelser</t>
        </is>
      </c>
      <c r="B50" s="17" t="n">
        <v>122021</v>
      </c>
      <c r="C50" s="17" t="n">
        <v>219884</v>
      </c>
      <c r="D50" s="17" t="n">
        <v>194835</v>
      </c>
      <c r="E50" s="17" t="n">
        <v>160670</v>
      </c>
      <c r="F50" s="17" t="n">
        <v>126849</v>
      </c>
    </row>
    <row r="51">
      <c r="A51" s="15" t="inlineStr">
        <is>
          <t>Passiver</t>
        </is>
      </c>
      <c r="B51" s="17" t="n">
        <v>266105</v>
      </c>
      <c r="C51" s="17" t="n">
        <v>285586</v>
      </c>
      <c r="D51" s="17" t="n">
        <v>205062</v>
      </c>
      <c r="E51" s="17" t="n">
        <v>166972</v>
      </c>
      <c r="F51" s="17" t="n">
        <v>162440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greenmobil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-38811</v>
      </c>
      <c r="C2" s="17" t="n">
        <v>-43214</v>
      </c>
      <c r="D2" s="17" t="n"/>
      <c r="E2" s="17" t="n">
        <v>16935</v>
      </c>
      <c r="F2" s="17" t="n">
        <v>45451</v>
      </c>
    </row>
    <row r="3">
      <c r="A3" s="16" t="inlineStr">
        <is>
          <t>Pengestrømme fra investeringsaktivitet</t>
        </is>
      </c>
      <c r="B3" s="17" t="n">
        <v>-8605</v>
      </c>
      <c r="C3" s="17" t="n">
        <v>-99249</v>
      </c>
      <c r="D3" s="17" t="n">
        <v>10661</v>
      </c>
      <c r="E3" s="17" t="n">
        <v>-784</v>
      </c>
      <c r="F3" s="17" t="n">
        <v>-250</v>
      </c>
    </row>
    <row r="4">
      <c r="A4" s="16" t="inlineStr">
        <is>
          <t>Pengestrømme fra finansieringsaktivitet</t>
        </is>
      </c>
      <c r="B4" s="17" t="n">
        <v>145105</v>
      </c>
      <c r="C4" s="17" t="n">
        <v>55944</v>
      </c>
      <c r="D4" s="17" t="n">
        <v>-3962</v>
      </c>
      <c r="E4" s="17" t="n">
        <v>-42852</v>
      </c>
      <c r="F4" s="17" t="n">
        <v>-38192</v>
      </c>
    </row>
    <row r="5">
      <c r="A5" s="16" t="inlineStr">
        <is>
          <t>Årets pengestrøm</t>
        </is>
      </c>
      <c r="B5" s="17" t="n">
        <v>97689</v>
      </c>
      <c r="C5" s="17" t="n">
        <v>-86519</v>
      </c>
      <c r="D5" s="17" t="n"/>
      <c r="E5" s="17" t="n">
        <v>-26701</v>
      </c>
      <c r="F5" s="17" t="n">
        <v>7009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greenmobil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'balance_raw'!$F$51-'balance_raw'!$F$32</f>
        <v/>
      </c>
      <c r="C24" s="24">
        <f>'balance_raw'!$E$51-'balance_raw'!$E$32</f>
        <v/>
      </c>
      <c r="D24" s="24">
        <f>'balance_raw'!$D$51-'balance_raw'!$D$32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IF('balance_raw'!$F$51="","—",IF(ABS(B25-'balance_raw'!$F$51)&lt;=1,"✓ OK","❌ "&amp;TEXT(B25-'balance_raw'!$F$51,"+#,##0;-#,##0")&amp;" t.kr."))</f>
        <v/>
      </c>
      <c r="C62" s="29">
        <f>IF('balance_raw'!$E$51="","—",IF(ABS(C25-'balance_raw'!$E$51)&lt;=1,"✓ OK","❌ "&amp;TEXT(C25-'balance_raw'!$E$51,"+#,##0;-#,##0")&amp;" t.kr."))</f>
        <v/>
      </c>
      <c r="D62" s="29">
        <f>IF('balance_raw'!$D$51="","—",IF(ABS(D25-'balance_raw'!$D$51)&lt;=1,"✓ OK","❌ "&amp;TEXT(D25-'balance_raw'!$D$51,"+#,##0;-#,##0")&amp;"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greenmobil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2846</v>
      </c>
      <c r="E3" s="35" t="n">
        <v>-988</v>
      </c>
      <c r="F3" s="35" t="n">
        <v>2134</v>
      </c>
      <c r="G3" s="35" t="n">
        <v>-743</v>
      </c>
      <c r="H3" s="35" t="n">
        <v>334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ifrs-full:AdjustmentsForUnrealisedForeignExchangeLossesGains</t>
        </is>
      </c>
      <c r="C4" s="37" t="inlineStr">
        <is>
          <t>ifrs-full:AdjustmentsForUnrealisedForeignExchangeLossesGains</t>
        </is>
      </c>
      <c r="D4" s="38" t="n">
        <v>300</v>
      </c>
      <c r="E4" s="38" t="n">
        <v>302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ifrs-full:CashFlowsFromUsedInFinancingActivitiesContinuingOperations</t>
        </is>
      </c>
      <c r="C5" s="34" t="inlineStr">
        <is>
          <t>ifrs-full:CashFlowsFromUsedInFinancingActivitiesContinuingOperations</t>
        </is>
      </c>
      <c r="D5" s="35" t="n"/>
      <c r="E5" s="35" t="n"/>
      <c r="F5" s="35" t="n"/>
      <c r="G5" s="35" t="n">
        <v>-39922</v>
      </c>
      <c r="H5" s="35" t="n">
        <v>-38192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ifrs-full:CashFlowsFromUsedInFinancingActivitiesDiscontinuedOperations</t>
        </is>
      </c>
      <c r="C6" s="37" t="inlineStr">
        <is>
          <t>ifrs-full:CashFlowsFromUsedInFinancingActivitiesDiscontinuedOperations</t>
        </is>
      </c>
      <c r="D6" s="38" t="n"/>
      <c r="E6" s="38" t="n"/>
      <c r="F6" s="38" t="n"/>
      <c r="G6" s="38" t="n">
        <v>-2930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ifrs-full:CashFlowsFromUsedInOperatingActivitiesContinuingOperations</t>
        </is>
      </c>
      <c r="C7" s="34" t="inlineStr">
        <is>
          <t>ifrs-full:CashFlowsFromUsedInOperatingActivitiesContinuingOperations</t>
        </is>
      </c>
      <c r="D7" s="35" t="n"/>
      <c r="E7" s="35" t="n"/>
      <c r="F7" s="35" t="n">
        <v>2668</v>
      </c>
      <c r="G7" s="35" t="n">
        <v>38753</v>
      </c>
      <c r="H7" s="35" t="n">
        <v>45451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ifrs-full:ComputerSoftware</t>
        </is>
      </c>
      <c r="C8" s="37" t="inlineStr">
        <is>
          <t>ifrs-full:ComputerSoftware</t>
        </is>
      </c>
      <c r="D8" s="38" t="n"/>
      <c r="E8" s="38" t="n"/>
      <c r="F8" s="38" t="n">
        <v>1795</v>
      </c>
      <c r="G8" s="38" t="n">
        <v>809</v>
      </c>
      <c r="H8" s="38" t="n">
        <v>434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ifrs-full:IncomeTaxesRefundClassifiedAsOperatingActivities</t>
        </is>
      </c>
      <c r="C9" s="34" t="inlineStr">
        <is>
          <t>ifrs-full:IncomeTaxesRefundClassifiedAsOperatingActivities</t>
        </is>
      </c>
      <c r="D9" s="35" t="n">
        <v>0</v>
      </c>
      <c r="E9" s="35" t="n">
        <v>72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ifrs-full:MotorVehicles</t>
        </is>
      </c>
      <c r="C10" s="37" t="inlineStr">
        <is>
          <t>ifrs-full:MotorVehicles</t>
        </is>
      </c>
      <c r="D10" s="38" t="n">
        <v>115633</v>
      </c>
      <c r="E10" s="38" t="n">
        <v>207105</v>
      </c>
      <c r="F10" s="38" t="n">
        <v>150159</v>
      </c>
      <c r="G10" s="38" t="n">
        <v>129419</v>
      </c>
      <c r="H10" s="38" t="n">
        <v>103479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ifrs-full:PaymentsForDevelopmentProjectExpenditure</t>
        </is>
      </c>
      <c r="C11" s="34" t="inlineStr">
        <is>
          <t>ifrs-full:PaymentsForDevelopmentProjectExpenditure</t>
        </is>
      </c>
      <c r="D11" s="35" t="n">
        <v>429</v>
      </c>
      <c r="E11" s="35" t="n">
        <v>1767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ifrs-full:PaymentsForShareIssueCosts</t>
        </is>
      </c>
      <c r="C12" s="37" t="inlineStr">
        <is>
          <t>ifrs-full:PaymentsForShareIssueCosts</t>
        </is>
      </c>
      <c r="D12" s="38" t="n">
        <v>5994</v>
      </c>
      <c r="E12" s="38" t="n">
        <v>0</v>
      </c>
      <c r="F12" s="38" t="n">
        <v>992</v>
      </c>
      <c r="G12" s="38" t="n">
        <v>928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ifrs-full:ProceedsFromGovernmentGrantsClassifiedAsFinancingActivities</t>
        </is>
      </c>
      <c r="C13" s="34" t="inlineStr">
        <is>
          <t>ifrs-full:ProceedsFromGovernmentGrantsClassifiedAsFinancingActivities</t>
        </is>
      </c>
      <c r="D13" s="35" t="n">
        <v>0</v>
      </c>
      <c r="E13" s="35" t="n">
        <v>22418</v>
      </c>
      <c r="F13" s="35" t="n">
        <v>0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300</v>
      </c>
      <c r="E14" s="38" t="n">
        <v>-2213</v>
      </c>
      <c r="F14" s="38" t="n">
        <v>-2703</v>
      </c>
      <c r="G14" s="38" t="n">
        <v>-2703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466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2026-10-02T21:56:39Z</dcterms:created>
  <dcterms:modified xmlns:dcterms="http://purl.org/dc/terms/" xmlns:xsi="http://www.w3.org/2001/XMLSchema-instance" xsi:type="dcterms:W3CDTF">2026-10-02T21:56:40Z</dcterms:modified>
</cp:coreProperties>
</file>