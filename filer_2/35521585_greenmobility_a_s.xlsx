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greenmobil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'balance_raw'!$B$12</f>
        <v/>
      </c>
      <c r="C33" s="11">
        <f>'balance_raw'!$C$12</f>
        <v/>
      </c>
      <c r="D33" s="11">
        <f>'balance_raw'!$D$12</f>
        <v/>
      </c>
      <c r="E33" s="11">
        <f>'balance_raw'!$E$12</f>
        <v/>
      </c>
      <c r="F33" s="11">
        <f>'balance_raw'!$F$12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'balance_raw'!$B$13</f>
        <v/>
      </c>
      <c r="C34" s="11">
        <f>'balance_raw'!$C$13</f>
        <v/>
      </c>
      <c r="D34" s="11">
        <f>'balance_raw'!$D$13</f>
        <v/>
      </c>
      <c r="E34" s="11">
        <f>'balance_raw'!$E$13</f>
        <v/>
      </c>
      <c r="F34" s="11">
        <f>'balance_raw'!$F$13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'balance_raw'!$B$19</f>
        <v/>
      </c>
      <c r="C40" s="5">
        <f>'balance_raw'!$C$19</f>
        <v/>
      </c>
      <c r="D40" s="5">
        <f>'balance_raw'!$D$19</f>
        <v/>
      </c>
      <c r="E40" s="5">
        <f>'balance_raw'!$E$19</f>
        <v/>
      </c>
      <c r="F40" s="5">
        <f>'balance_raw'!$F$19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'balance_raw'!$B$21</f>
        <v/>
      </c>
      <c r="C42" s="11">
        <f>'balance_raw'!$C$21</f>
        <v/>
      </c>
      <c r="D42" s="11">
        <f>'balance_raw'!$D$21</f>
        <v/>
      </c>
      <c r="E42" s="11">
        <f>'balance_raw'!$E$21</f>
        <v/>
      </c>
      <c r="F42" s="11">
        <f>'balance_raw'!$F$21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'balance_raw'!$B$25</f>
        <v/>
      </c>
      <c r="C46" s="11">
        <f>'balance_raw'!$C$25</f>
        <v/>
      </c>
      <c r="D46" s="11">
        <f>'balance_raw'!$D$25</f>
        <v/>
      </c>
      <c r="E46" s="11">
        <f>'balance_raw'!$E$25</f>
        <v/>
      </c>
      <c r="F46" s="11">
        <f>'balance_raw'!$F$25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7" t="inlineStr">
        <is>
          <t>Selskabskapital</t>
        </is>
      </c>
      <c r="B49" s="8">
        <f>'balance_raw'!$B$26</f>
        <v/>
      </c>
      <c r="C49" s="8">
        <f>'balance_raw'!$C$26</f>
        <v/>
      </c>
      <c r="D49" s="8">
        <f>'balance_raw'!$D$26</f>
        <v/>
      </c>
      <c r="E49" s="8">
        <f>'balance_raw'!$E$26</f>
        <v/>
      </c>
      <c r="F49" s="8">
        <f>'balance_raw'!$F$26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'balance_raw'!$B$27</f>
        <v/>
      </c>
      <c r="C50" s="5">
        <f>'balance_raw'!$C$27</f>
        <v/>
      </c>
      <c r="D50" s="5">
        <f>'balance_raw'!$D$27</f>
        <v/>
      </c>
      <c r="E50" s="5">
        <f>'balance_raw'!$E$27</f>
        <v/>
      </c>
      <c r="F50" s="5">
        <f>'balance_raw'!$F$27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'balance_raw'!$B$28</f>
        <v/>
      </c>
      <c r="C51" s="8">
        <f>'balance_raw'!$C$28</f>
        <v/>
      </c>
      <c r="D51" s="8">
        <f>'balance_raw'!$D$28</f>
        <v/>
      </c>
      <c r="E51" s="8">
        <f>'balance_raw'!$E$28</f>
        <v/>
      </c>
      <c r="F51" s="8">
        <f>'balance_raw'!$F$28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'balance_raw'!$B$32</f>
        <v/>
      </c>
      <c r="C55" s="11">
        <f>'balance_raw'!$C$32</f>
        <v/>
      </c>
      <c r="D55" s="11">
        <f>'balance_raw'!$D$32</f>
        <v/>
      </c>
      <c r="E55" s="11">
        <f>'balance_raw'!$E$32</f>
        <v/>
      </c>
      <c r="F55" s="11">
        <f>'balance_raw'!$F$32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Langfristede lån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Anden gæld (langfristet)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Langfristede gældsforpligtelser</t>
        </is>
      </c>
      <c r="B60" s="11">
        <f>'balance_raw'!$B$37</f>
        <v/>
      </c>
      <c r="C60" s="11">
        <f>'balance_raw'!$C$37</f>
        <v/>
      </c>
      <c r="D60" s="11">
        <f>'balance_raw'!$D$37</f>
        <v/>
      </c>
      <c r="E60" s="11">
        <f>'balance_raw'!$E$37</f>
        <v/>
      </c>
      <c r="F60" s="11">
        <f>'balance_raw'!$F$37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'balance_raw'!$B$45</f>
        <v/>
      </c>
      <c r="C68" s="5">
        <f>'balance_raw'!$C$45</f>
        <v/>
      </c>
      <c r="D68" s="5">
        <f>'balance_raw'!$D$45</f>
        <v/>
      </c>
      <c r="E68" s="5">
        <f>'balance_raw'!$E$45</f>
        <v/>
      </c>
      <c r="F68" s="5">
        <f>'balance_raw'!$F$45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'balance_raw'!$B$49</f>
        <v/>
      </c>
      <c r="C72" s="11">
        <f>'balance_raw'!$C$49</f>
        <v/>
      </c>
      <c r="D72" s="11">
        <f>'balance_raw'!$D$49</f>
        <v/>
      </c>
      <c r="E72" s="11">
        <f>'balance_raw'!$E$49</f>
        <v/>
      </c>
      <c r="F72" s="11">
        <f>'balance_raw'!$F$49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'balance_raw'!$B$50</f>
        <v/>
      </c>
      <c r="C73" s="11">
        <f>'balance_raw'!$C$50</f>
        <v/>
      </c>
      <c r="D73" s="11">
        <f>'balance_raw'!$D$50</f>
        <v/>
      </c>
      <c r="E73" s="11">
        <f>'balance_raw'!$E$50</f>
        <v/>
      </c>
      <c r="F73" s="11">
        <f>'balance_raw'!$F$50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'balance_raw'!$B$51</f>
        <v/>
      </c>
      <c r="C74" s="11">
        <f>'balance_raw'!$C$51</f>
        <v/>
      </c>
      <c r="D74" s="11">
        <f>'balance_raw'!$D$51</f>
        <v/>
      </c>
      <c r="E74" s="11">
        <f>'balance_raw'!$E$51</f>
        <v/>
      </c>
      <c r="F74" s="11">
        <f>'balance_raw'!$F$51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Gns. antal medarbejdere</t>
        </is>
      </c>
      <c r="B77" s="8">
        <f>'res_raw'!$B$19</f>
        <v/>
      </c>
      <c r="C77" s="8">
        <f>'res_raw'!$C$19</f>
        <v/>
      </c>
      <c r="D77" s="8">
        <f>'res_raw'!$D$19</f>
        <v/>
      </c>
      <c r="E77" s="8">
        <f>'res_raw'!$E$19</f>
        <v/>
      </c>
      <c r="F77" s="8">
        <f>'res_raw'!$F$19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'res_raw'!$B$20</f>
        <v/>
      </c>
      <c r="C78" s="5">
        <f>'res_raw'!$C$20</f>
        <v/>
      </c>
      <c r="D78" s="5">
        <f>'res_raw'!$D$20</f>
        <v/>
      </c>
      <c r="E78" s="5">
        <f>'res_raw'!$E$20</f>
        <v/>
      </c>
      <c r="F78" s="5">
        <f>'res_raw'!$F$20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Afkastningsgrad, %</t>
        </is>
      </c>
      <c r="B81" s="13">
        <f>IFERROR(($B$13+$B$15+$B$14)/$B$46*100,"")</f>
        <v/>
      </c>
      <c r="C81" s="13">
        <f>IFERROR(($C$13+$C$15+$C$14)/$C$46*100,"")</f>
        <v/>
      </c>
      <c r="D81" s="13">
        <f>IFERROR(($D$13+$D$15+$D$14)/$D$46*100,"")</f>
        <v/>
      </c>
      <c r="E81" s="13">
        <f>IFERROR(($E$13+$E$15+$E$14)/$E$46*100,"")</f>
        <v/>
      </c>
      <c r="F81" s="13">
        <f>IFERROR(($F$13+$F$15+$F$14)/$F$46*100,"")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IFERROR($B$4/$B$46,"")</f>
        <v/>
      </c>
      <c r="C83" s="13">
        <f>IFERROR($C$4/$C$46,"")</f>
        <v/>
      </c>
      <c r="D83" s="13">
        <f>IFERROR($D$4/$D$46,"")</f>
        <v/>
      </c>
      <c r="E83" s="13">
        <f>IFERROR($E$4/$E$46,"")</f>
        <v/>
      </c>
      <c r="F83" s="13">
        <f>IFERROR($F$4/$F$46,"")</f>
        <v/>
      </c>
    </row>
    <row r="84" ht="16" customHeight="1">
      <c r="A84" s="4" t="inlineStr">
        <is>
          <t>Egenkapitalens forrentning, %</t>
        </is>
      </c>
      <c r="B84" s="14">
        <f>IFERROR($B$18/$B$55*100,"")</f>
        <v/>
      </c>
      <c r="C84" s="14">
        <f>IFERROR($C$18/$C$55*100,"")</f>
        <v/>
      </c>
      <c r="D84" s="14">
        <f>IFERROR($D$18/$D$55*100,"")</f>
        <v/>
      </c>
      <c r="E84" s="14">
        <f>IFERROR($E$18/$E$55*100,"")</f>
        <v/>
      </c>
      <c r="F84" s="14">
        <f>IFERROR($F$18/$F$55*100,"")</f>
        <v/>
      </c>
    </row>
    <row r="85" ht="16" customHeight="1">
      <c r="A85" s="7" t="inlineStr">
        <is>
          <t>Gældsrente, %</t>
        </is>
      </c>
      <c r="B85" s="13">
        <f>IFERROR($B$16/($B$74-$B$55)*100,"")</f>
        <v/>
      </c>
      <c r="C85" s="13">
        <f>IFERROR($C$16/($C$74-$C$55)*100,"")</f>
        <v/>
      </c>
      <c r="D85" s="13">
        <f>IFERROR($D$16/($D$74-$D$55)*100,"")</f>
        <v/>
      </c>
      <c r="E85" s="13">
        <f>IFERROR($E$16/($E$74-$E$55)*100,"")</f>
        <v/>
      </c>
      <c r="F85" s="13">
        <f>IFERROR($F$16/($F$74-$F$55)*100,"")</f>
        <v/>
      </c>
    </row>
    <row r="86" ht="16" customHeight="1">
      <c r="A86" s="4" t="inlineStr">
        <is>
          <t>Soliditetsgrad, %</t>
        </is>
      </c>
      <c r="B86" s="14">
        <f>IFERROR($B$55/$B$46*100,"")</f>
        <v/>
      </c>
      <c r="C86" s="14">
        <f>IFERROR($C$55/$C$46*100,"")</f>
        <v/>
      </c>
      <c r="D86" s="14">
        <f>IFERROR($D$55/$D$46*100,"")</f>
        <v/>
      </c>
      <c r="E86" s="14">
        <f>IFERROR($E$55/$E$46*100,"")</f>
        <v/>
      </c>
      <c r="F86" s="14">
        <f>IFERROR($F$55/$F$46*100,"")</f>
        <v/>
      </c>
    </row>
    <row r="87" ht="16" customHeight="1">
      <c r="A87" s="7" t="inlineStr">
        <is>
          <t>Gearing</t>
        </is>
      </c>
      <c r="B87" s="13">
        <f>IFERROR(($B$74-$B$55)/$B$55,"")</f>
        <v/>
      </c>
      <c r="C87" s="13">
        <f>IFERROR(($C$74-$C$55)/$C$55,"")</f>
        <v/>
      </c>
      <c r="D87" s="13">
        <f>IFERROR(($D$74-$D$55)/$D$55,"")</f>
        <v/>
      </c>
      <c r="E87" s="13">
        <f>IFERROR(($E$74-$E$55)/$E$55,"")</f>
        <v/>
      </c>
      <c r="F87" s="13">
        <f>IFERROR(($F$74-$F$55)/$F$55,"")</f>
        <v/>
      </c>
    </row>
    <row r="88" ht="16" customHeight="1">
      <c r="A88" s="4" t="inlineStr">
        <is>
          <t>Likviditetsgrad, %</t>
        </is>
      </c>
      <c r="B88" s="14">
        <f>IFERROR($B$45/$B$72*100,"")</f>
        <v/>
      </c>
      <c r="C88" s="14">
        <f>IFERROR($C$45/$C$72*100,"")</f>
        <v/>
      </c>
      <c r="D88" s="14">
        <f>IFERROR($D$45/$D$72*100,"")</f>
        <v/>
      </c>
      <c r="E88" s="14">
        <f>IFERROR($E$45/$E$72*100,"")</f>
        <v/>
      </c>
      <c r="F88" s="14">
        <f>IFERROR($F$45/$F$72*100,"")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IFERROR(($B$74-$B$55)/$B$46*100,"")</f>
        <v/>
      </c>
      <c r="C90" s="14">
        <f>IFERROR(($C$74-$C$55)/$C$46*100,"")</f>
        <v/>
      </c>
      <c r="D90" s="14">
        <f>IFERROR(($D$74-$D$55)/$D$46*100,"")</f>
        <v/>
      </c>
      <c r="E90" s="14">
        <f>IFERROR(($E$74-$E$55)/$E$46*100,"")</f>
        <v/>
      </c>
      <c r="F90" s="14">
        <f>IFERROR(($F$74-$F$55)/$F$46*100,"")</f>
        <v/>
      </c>
    </row>
    <row r="91" ht="16" customHeight="1">
      <c r="A91" s="7" t="inlineStr">
        <is>
          <t>Kapitalbindingsgrad, %</t>
        </is>
      </c>
      <c r="B91" s="13">
        <f>IFERROR($B$33/($B$55+$B$60)*100,"")</f>
        <v/>
      </c>
      <c r="C91" s="13">
        <f>IFERROR($C$33/($C$55+$C$60)*100,"")</f>
        <v/>
      </c>
      <c r="D91" s="13">
        <f>IFERROR($D$33/($D$55+$D$60)*100,"")</f>
        <v/>
      </c>
      <c r="E91" s="13">
        <f>IFERROR($E$33/($E$55+$E$60)*100,"")</f>
        <v/>
      </c>
      <c r="F91" s="13">
        <f>IFERROR($F$33/($F$55+$F$60)*100,"")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'pengestrom_raw'!$B$2</f>
        <v/>
      </c>
      <c r="C94" s="17">
        <f>'pengestrom_raw'!$C$2</f>
        <v/>
      </c>
      <c r="D94" s="17">
        <f>'pengestrom_raw'!$D$2</f>
        <v/>
      </c>
      <c r="E94" s="17">
        <f>'pengestrom_raw'!$E$2</f>
        <v/>
      </c>
      <c r="F94" s="17">
        <f>'pengestrom_raw'!$F$2</f>
        <v/>
      </c>
    </row>
    <row r="95">
      <c r="A95" s="16" t="inlineStr">
        <is>
          <t>Pengestrømme fra investeringsaktivitet</t>
        </is>
      </c>
      <c r="B95" s="17">
        <f>'pengestrom_raw'!$B$3</f>
        <v/>
      </c>
      <c r="C95" s="17">
        <f>'pengestrom_raw'!$C$3</f>
        <v/>
      </c>
      <c r="D95" s="17">
        <f>'pengestrom_raw'!$D$3</f>
        <v/>
      </c>
      <c r="E95" s="17">
        <f>'pengestrom_raw'!$E$3</f>
        <v/>
      </c>
      <c r="F95" s="17">
        <f>'pengestrom_raw'!$F$3</f>
        <v/>
      </c>
    </row>
    <row r="96">
      <c r="A96" s="16" t="inlineStr">
        <is>
          <t>Pengestrømme fra finansieringsaktivitet</t>
        </is>
      </c>
      <c r="B96" s="17">
        <f>'pengestrom_raw'!$B$4</f>
        <v/>
      </c>
      <c r="C96" s="17">
        <f>'pengestrom_raw'!$C$4</f>
        <v/>
      </c>
      <c r="D96" s="17">
        <f>'pengestrom_raw'!$D$4</f>
        <v/>
      </c>
      <c r="E96" s="17">
        <f>'pengestrom_raw'!$E$4</f>
        <v/>
      </c>
      <c r="F96" s="17">
        <f>'pengestrom_raw'!$F$4</f>
        <v/>
      </c>
    </row>
    <row r="97">
      <c r="A97" s="16" t="inlineStr">
        <is>
          <t>Årets pengestrøm (rapporteret)</t>
        </is>
      </c>
      <c r="B97" s="17">
        <f>'pengestrom_raw'!$B$5</f>
        <v/>
      </c>
      <c r="C97" s="17">
        <f>'pengestrom_raw'!$C$5</f>
        <v/>
      </c>
      <c r="D97" s="17">
        <f>'pengestrom_raw'!$D$5</f>
        <v/>
      </c>
      <c r="E97" s="17">
        <f>'pengestrom_raw'!$E$5</f>
        <v/>
      </c>
      <c r="F97" s="17">
        <f>'pengestrom_raw'!$F$5</f>
        <v/>
      </c>
    </row>
    <row r="98">
      <c r="A98" s="16" t="inlineStr">
        <is>
          <t>Krydstjek: drift + inv. + fin. = årets pengestrøm</t>
        </is>
      </c>
      <c r="B98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8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8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8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8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greenmobil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62414</v>
      </c>
      <c r="C2" s="17" t="n">
        <v>97310</v>
      </c>
      <c r="D2" s="17" t="n">
        <v>94632</v>
      </c>
      <c r="E2" s="17" t="n">
        <v>129538</v>
      </c>
      <c r="F2" s="17" t="n">
        <v>153905</v>
      </c>
    </row>
    <row r="3">
      <c r="A3" s="16" t="inlineStr">
        <is>
          <t>Andre driftsindtægter</t>
        </is>
      </c>
      <c r="B3" s="17" t="n">
        <v>3717</v>
      </c>
      <c r="C3" s="17" t="n">
        <v>1389</v>
      </c>
      <c r="D3" s="17" t="n">
        <v>3397</v>
      </c>
      <c r="E3" s="17" t="n">
        <v>1118</v>
      </c>
      <c r="F3" s="17" t="n">
        <v>4733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58992</v>
      </c>
      <c r="C5" s="17" t="n">
        <v>94939</v>
      </c>
      <c r="D5" s="17" t="n">
        <v>69358</v>
      </c>
      <c r="E5" s="17" t="n">
        <v>70987</v>
      </c>
      <c r="F5" s="17" t="n">
        <v>79273</v>
      </c>
    </row>
    <row r="6">
      <c r="A6" s="15" t="inlineStr">
        <is>
          <t>Bruttoresultat</t>
        </is>
      </c>
      <c r="B6" s="17" t="n">
        <v>7139</v>
      </c>
      <c r="C6" s="17" t="n">
        <v>3760</v>
      </c>
      <c r="D6" s="17" t="n">
        <v>28671</v>
      </c>
      <c r="E6" s="17" t="n">
        <v>59669</v>
      </c>
      <c r="F6" s="17" t="n">
        <v>79365</v>
      </c>
    </row>
    <row r="7">
      <c r="A7" s="16" t="inlineStr">
        <is>
          <t>Personaleomkostninger</t>
        </is>
      </c>
      <c r="B7" s="17" t="n">
        <v>35370</v>
      </c>
      <c r="C7" s="17" t="n">
        <v>37664</v>
      </c>
      <c r="D7" s="17" t="n">
        <v>35479</v>
      </c>
      <c r="E7" s="17" t="n">
        <v>23911</v>
      </c>
      <c r="F7" s="17" t="n">
        <v>25327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20691</v>
      </c>
      <c r="C9" s="17" t="n">
        <v>36128</v>
      </c>
      <c r="D9" s="17" t="n">
        <v>33272</v>
      </c>
      <c r="E9" s="17" t="n">
        <v>23838</v>
      </c>
      <c r="F9" s="17" t="n">
        <v>27873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-48922</v>
      </c>
      <c r="C11" s="17" t="n">
        <v>-70032</v>
      </c>
      <c r="D11" s="17" t="n">
        <v>-40080</v>
      </c>
      <c r="E11" s="17" t="n">
        <v>11920</v>
      </c>
      <c r="F11" s="17" t="n">
        <v>26165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Finansielle omkostninger</t>
        </is>
      </c>
      <c r="B14" s="17" t="n">
        <v>2656</v>
      </c>
      <c r="C14" s="17" t="n">
        <v>8050</v>
      </c>
      <c r="D14" s="17" t="n">
        <v>8997</v>
      </c>
      <c r="E14" s="17" t="n">
        <v>10599</v>
      </c>
      <c r="F14" s="17" t="n">
        <v>8025</v>
      </c>
    </row>
    <row r="15">
      <c r="A15" s="15" t="inlineStr">
        <is>
          <t>Finansielle poster, netto</t>
        </is>
      </c>
      <c r="B15" s="17" t="n">
        <v>-2656</v>
      </c>
      <c r="C15" s="17" t="n">
        <v>-8050</v>
      </c>
      <c r="D15" s="17" t="n">
        <v>-8997</v>
      </c>
      <c r="E15" s="17" t="n">
        <v>-10599</v>
      </c>
      <c r="F15" s="17" t="n">
        <v>-8025</v>
      </c>
    </row>
    <row r="16">
      <c r="A16" s="15" t="inlineStr">
        <is>
          <t>Resultat før skat</t>
        </is>
      </c>
      <c r="B16" s="17" t="n">
        <v>-51578</v>
      </c>
      <c r="C16" s="17" t="n">
        <v>-78082</v>
      </c>
      <c r="D16" s="17" t="n">
        <v>-49077</v>
      </c>
      <c r="E16" s="17" t="n">
        <v>1321</v>
      </c>
      <c r="F16" s="17" t="n">
        <v>18140</v>
      </c>
    </row>
    <row r="17">
      <c r="A17" s="16" t="inlineStr">
        <is>
          <t>Skat af årets resultat</t>
        </is>
      </c>
      <c r="B17" s="17" t="n">
        <v>0</v>
      </c>
      <c r="C17" s="17" t="n">
        <v>-858</v>
      </c>
      <c r="D17" s="17" t="n">
        <v>895</v>
      </c>
      <c r="E17" s="17" t="n">
        <v>-8388</v>
      </c>
      <c r="F17" s="17" t="n">
        <v>-15023</v>
      </c>
    </row>
    <row r="18">
      <c r="A18" s="15" t="inlineStr">
        <is>
          <t>Årets resultat</t>
        </is>
      </c>
      <c r="B18" s="17" t="n">
        <v>-51578</v>
      </c>
      <c r="C18" s="17" t="n">
        <v>-77224</v>
      </c>
      <c r="D18" s="17" t="n">
        <v>-49972</v>
      </c>
      <c r="E18" s="17" t="n">
        <v>9709</v>
      </c>
      <c r="F18" s="17" t="n">
        <v>33163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greenmobil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1825</v>
      </c>
      <c r="C2" s="17" t="n">
        <v>2784</v>
      </c>
      <c r="D2" s="17" t="n"/>
      <c r="E2" s="17" t="n"/>
      <c r="F2" s="17" t="n"/>
    </row>
    <row r="3">
      <c r="A3" s="16" t="inlineStr">
        <is>
          <t>Patenter, varemærker mv.</t>
        </is>
      </c>
      <c r="B3" s="17" t="n">
        <v>0</v>
      </c>
      <c r="C3" s="17" t="n">
        <v>5026</v>
      </c>
      <c r="D3" s="17" t="n">
        <v>0</v>
      </c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1825</v>
      </c>
      <c r="C5" s="17" t="n">
        <v>7810</v>
      </c>
      <c r="D5" s="17" t="n"/>
      <c r="E5" s="17" t="n"/>
      <c r="F5" s="17" t="n"/>
    </row>
    <row r="6">
      <c r="A6" s="16" t="inlineStr">
        <is>
          <t>Grunde og bygninger</t>
        </is>
      </c>
      <c r="B6" s="17" t="n">
        <v>3673</v>
      </c>
      <c r="C6" s="17" t="n">
        <v>2266</v>
      </c>
      <c r="D6" s="17" t="n">
        <v>397</v>
      </c>
      <c r="E6" s="17" t="n">
        <v>1800</v>
      </c>
      <c r="F6" s="17" t="n">
        <v>1172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119306</v>
      </c>
      <c r="C11" s="17" t="n">
        <v>209371</v>
      </c>
      <c r="D11" s="17" t="n"/>
      <c r="E11" s="17" t="n"/>
      <c r="F11" s="17" t="n"/>
    </row>
    <row r="12">
      <c r="A12" s="15" t="inlineStr">
        <is>
          <t>Anlægsaktiver</t>
        </is>
      </c>
      <c r="B12" s="17" t="n">
        <v>121491</v>
      </c>
      <c r="C12" s="17" t="n">
        <v>217604</v>
      </c>
      <c r="D12" s="17" t="n">
        <v>152676</v>
      </c>
      <c r="E12" s="17" t="n">
        <v>140814</v>
      </c>
      <c r="F12" s="17" t="n">
        <v>128968</v>
      </c>
    </row>
    <row r="13">
      <c r="A13" s="15" t="inlineStr">
        <is>
          <t>Varebeholdninger</t>
        </is>
      </c>
      <c r="B13" s="17" t="n">
        <v>1238</v>
      </c>
      <c r="C13" s="17" t="n">
        <v>3342</v>
      </c>
      <c r="D13" s="17" t="n">
        <v>3494</v>
      </c>
      <c r="E13" s="17" t="n">
        <v>3092</v>
      </c>
      <c r="F13" s="17" t="n">
        <v>2572</v>
      </c>
    </row>
    <row r="14">
      <c r="A14" s="16" t="inlineStr">
        <is>
          <t>Tilgodehavender fra salg og tjenesteydelser</t>
        </is>
      </c>
      <c r="B14" s="17" t="n">
        <v>4674</v>
      </c>
      <c r="C14" s="17" t="n">
        <v>8847</v>
      </c>
      <c r="D14" s="17" t="n">
        <v>9358</v>
      </c>
      <c r="E14" s="17" t="n">
        <v>10045</v>
      </c>
      <c r="F14" s="17" t="n">
        <v>12145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/>
      <c r="C16" s="17" t="n"/>
      <c r="D16" s="17" t="n"/>
      <c r="E16" s="17" t="n"/>
      <c r="F16" s="17" t="n">
        <v>4810</v>
      </c>
    </row>
    <row r="17">
      <c r="A17" s="16" t="inlineStr">
        <is>
          <t>Periodeafgrænsningsposter (aktiver)</t>
        </is>
      </c>
      <c r="B17" s="17" t="n">
        <v>2012</v>
      </c>
      <c r="C17" s="17" t="n">
        <v>2348</v>
      </c>
      <c r="D17" s="17" t="n">
        <v>769</v>
      </c>
      <c r="E17" s="17" t="n">
        <v>1043</v>
      </c>
      <c r="F17" s="17" t="n">
        <v>1024</v>
      </c>
    </row>
    <row r="18">
      <c r="A18" s="16" t="inlineStr">
        <is>
          <t>Udskudt skatteaktiv</t>
        </is>
      </c>
      <c r="B18" s="17" t="n"/>
      <c r="C18" s="17" t="n"/>
      <c r="D18" s="17" t="n"/>
      <c r="E18" s="17" t="n">
        <v>8388</v>
      </c>
      <c r="F18" s="17" t="n">
        <v>23410</v>
      </c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/>
      <c r="C20" s="17" t="n"/>
      <c r="D20" s="17" t="n"/>
      <c r="E20" s="17" t="n"/>
      <c r="F20" s="17" t="n"/>
    </row>
    <row r="21">
      <c r="A21" s="15" t="inlineStr">
        <is>
          <t>Tilgodehavender</t>
        </is>
      </c>
      <c r="B21" s="17" t="n">
        <v>6092</v>
      </c>
      <c r="C21" s="17" t="n">
        <v>9832</v>
      </c>
      <c r="D21" s="17" t="n">
        <v>444</v>
      </c>
      <c r="E21" s="17" t="n">
        <v>2452</v>
      </c>
      <c r="F21" s="17" t="n">
        <v>1196</v>
      </c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130132</v>
      </c>
      <c r="C23" s="17" t="n">
        <v>43613</v>
      </c>
      <c r="D23" s="17" t="n">
        <v>36227</v>
      </c>
      <c r="E23" s="17" t="n">
        <v>9526</v>
      </c>
      <c r="F23" s="17" t="n">
        <v>16535</v>
      </c>
    </row>
    <row r="24">
      <c r="A24" s="15" t="inlineStr">
        <is>
          <t>Omsætningsaktiver</t>
        </is>
      </c>
      <c r="B24" s="17" t="n">
        <v>144614</v>
      </c>
      <c r="C24" s="17" t="n">
        <v>67982</v>
      </c>
      <c r="D24" s="17" t="n">
        <v>52386</v>
      </c>
      <c r="E24" s="17" t="n">
        <v>26158</v>
      </c>
      <c r="F24" s="17" t="n">
        <v>33472</v>
      </c>
    </row>
    <row r="25">
      <c r="A25" s="15" t="inlineStr">
        <is>
          <t>Aktiver</t>
        </is>
      </c>
      <c r="B25" s="17" t="n">
        <v>266105</v>
      </c>
      <c r="C25" s="17" t="n">
        <v>285586</v>
      </c>
      <c r="D25" s="17" t="n">
        <v>205062</v>
      </c>
      <c r="E25" s="17" t="n">
        <v>166972</v>
      </c>
      <c r="F25" s="17" t="n">
        <v>162440</v>
      </c>
    </row>
    <row r="26">
      <c r="A26" s="16" t="inlineStr">
        <is>
          <t>Selskabskapital</t>
        </is>
      </c>
      <c r="B26" s="17" t="n">
        <v>1768</v>
      </c>
      <c r="C26" s="17" t="n">
        <v>1780</v>
      </c>
      <c r="D26" s="17" t="n">
        <v>2135</v>
      </c>
      <c r="E26" s="17" t="n">
        <v>2367</v>
      </c>
      <c r="F26" s="17" t="n">
        <v>2367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Overført resultat</t>
        </is>
      </c>
      <c r="B31" s="17" t="n">
        <v>143092</v>
      </c>
      <c r="C31" s="17" t="n">
        <v>66275</v>
      </c>
      <c r="D31" s="17" t="n">
        <v>16632</v>
      </c>
      <c r="E31" s="17" t="n">
        <v>6638</v>
      </c>
      <c r="F31" s="17" t="n">
        <v>33224</v>
      </c>
    </row>
    <row r="32">
      <c r="A32" s="15" t="inlineStr">
        <is>
          <t>Egenkapital i alt</t>
        </is>
      </c>
      <c r="B32" s="17" t="n">
        <v>144084</v>
      </c>
      <c r="C32" s="17" t="n">
        <v>65702</v>
      </c>
      <c r="D32" s="17" t="n">
        <v>10227</v>
      </c>
      <c r="E32" s="17" t="n">
        <v>6302</v>
      </c>
      <c r="F32" s="17" t="n">
        <v>35591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>
        <v>51953</v>
      </c>
      <c r="C35" s="17" t="n">
        <v>65414</v>
      </c>
      <c r="D35" s="17" t="n">
        <v>80055</v>
      </c>
      <c r="E35" s="17" t="n">
        <v>44788</v>
      </c>
      <c r="F35" s="17" t="n">
        <v>65630</v>
      </c>
    </row>
    <row r="36">
      <c r="A36" s="16" t="inlineStr">
        <is>
          <t>Anden gæld (langfristet)</t>
        </is>
      </c>
      <c r="B36" s="17" t="n">
        <v>19682</v>
      </c>
      <c r="C36" s="17" t="n">
        <v>65868</v>
      </c>
      <c r="D36" s="17" t="n">
        <v>42082</v>
      </c>
      <c r="E36" s="17" t="n">
        <v>18145</v>
      </c>
      <c r="F36" s="17" t="n">
        <v>7373</v>
      </c>
    </row>
    <row r="37">
      <c r="A37" s="15" t="inlineStr">
        <is>
          <t>Langfristede gældsforpligtelser</t>
        </is>
      </c>
      <c r="B37" s="17" t="n">
        <v>71635</v>
      </c>
      <c r="C37" s="17" t="n">
        <v>131282</v>
      </c>
      <c r="D37" s="17" t="n">
        <v>122137</v>
      </c>
      <c r="E37" s="17" t="n">
        <v>62933</v>
      </c>
      <c r="F37" s="17" t="n">
        <v>73003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>
        <v>4921</v>
      </c>
      <c r="C40" s="17" t="n">
        <v>16565</v>
      </c>
      <c r="D40" s="17" t="n">
        <v>15608</v>
      </c>
      <c r="E40" s="17" t="n">
        <v>11535</v>
      </c>
      <c r="F40" s="17" t="n">
        <v>12884</v>
      </c>
    </row>
    <row r="41">
      <c r="A41" s="16" t="inlineStr">
        <is>
          <t>Leasingforpligtelser (kortfristet)</t>
        </is>
      </c>
      <c r="B41" s="17" t="n">
        <v>33478</v>
      </c>
      <c r="C41" s="17" t="n">
        <v>53557</v>
      </c>
      <c r="D41" s="17" t="n">
        <v>33816</v>
      </c>
      <c r="E41" s="17" t="n">
        <v>59542</v>
      </c>
      <c r="F41" s="17" t="n">
        <v>19225</v>
      </c>
    </row>
    <row r="42">
      <c r="A42" s="16" t="inlineStr">
        <is>
          <t>Leverandører af varer og tjenesteydelser</t>
        </is>
      </c>
      <c r="B42" s="17" t="n">
        <v>3094</v>
      </c>
      <c r="C42" s="17" t="n">
        <v>6135</v>
      </c>
      <c r="D42" s="17" t="n">
        <v>6875</v>
      </c>
      <c r="E42" s="17" t="n">
        <v>12720</v>
      </c>
      <c r="F42" s="17" t="n">
        <v>3504</v>
      </c>
    </row>
    <row r="43">
      <c r="A43" s="16" t="inlineStr">
        <is>
          <t>Gæld til tilknyttede virksomheder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8730</v>
      </c>
      <c r="C47" s="17" t="n">
        <v>12306</v>
      </c>
      <c r="D47" s="17" t="n">
        <v>13429</v>
      </c>
      <c r="E47" s="17" t="n">
        <v>13940</v>
      </c>
      <c r="F47" s="17" t="n">
        <v>13423</v>
      </c>
    </row>
    <row r="48">
      <c r="A48" s="16" t="inlineStr">
        <is>
          <t>Periodeafgrænsningsposter (passiver)</t>
        </is>
      </c>
      <c r="B48" s="17" t="n"/>
      <c r="C48" s="17" t="n"/>
      <c r="D48" s="17" t="n"/>
      <c r="E48" s="17" t="n"/>
      <c r="F48" s="17" t="n"/>
    </row>
    <row r="49">
      <c r="A49" s="15" t="inlineStr">
        <is>
          <t>Kortfristede gældsforpligtelser</t>
        </is>
      </c>
      <c r="B49" s="17" t="n">
        <v>50386</v>
      </c>
      <c r="C49" s="17" t="n">
        <v>88602</v>
      </c>
      <c r="D49" s="17" t="n">
        <v>72698</v>
      </c>
      <c r="E49" s="17" t="n">
        <v>97737</v>
      </c>
      <c r="F49" s="17" t="n">
        <v>53846</v>
      </c>
    </row>
    <row r="50">
      <c r="A50" s="15" t="inlineStr">
        <is>
          <t>Gældsforpligtelser</t>
        </is>
      </c>
      <c r="B50" s="17" t="n">
        <v>122021</v>
      </c>
      <c r="C50" s="17" t="n">
        <v>219884</v>
      </c>
      <c r="D50" s="17" t="n">
        <v>194835</v>
      </c>
      <c r="E50" s="17" t="n">
        <v>160670</v>
      </c>
      <c r="F50" s="17" t="n">
        <v>126849</v>
      </c>
    </row>
    <row r="51">
      <c r="A51" s="15" t="inlineStr">
        <is>
          <t>Passiver</t>
        </is>
      </c>
      <c r="B51" s="17" t="n">
        <v>266105</v>
      </c>
      <c r="C51" s="17" t="n">
        <v>285586</v>
      </c>
      <c r="D51" s="17" t="n">
        <v>205062</v>
      </c>
      <c r="E51" s="17" t="n">
        <v>166972</v>
      </c>
      <c r="F51" s="17" t="n">
        <v>162440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greenmobil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-38811</v>
      </c>
      <c r="C2" s="17" t="n">
        <v>-43214</v>
      </c>
      <c r="D2" s="17" t="n"/>
      <c r="E2" s="17" t="n">
        <v>16935</v>
      </c>
      <c r="F2" s="17" t="n">
        <v>45451</v>
      </c>
    </row>
    <row r="3">
      <c r="A3" s="16" t="inlineStr">
        <is>
          <t>Pengestrømme fra investeringsaktivitet</t>
        </is>
      </c>
      <c r="B3" s="17" t="n">
        <v>-8605</v>
      </c>
      <c r="C3" s="17" t="n">
        <v>-99249</v>
      </c>
      <c r="D3" s="17" t="n">
        <v>10661</v>
      </c>
      <c r="E3" s="17" t="n">
        <v>-784</v>
      </c>
      <c r="F3" s="17" t="n">
        <v>-250</v>
      </c>
    </row>
    <row r="4">
      <c r="A4" s="16" t="inlineStr">
        <is>
          <t>Pengestrømme fra finansieringsaktivitet</t>
        </is>
      </c>
      <c r="B4" s="17" t="n">
        <v>145105</v>
      </c>
      <c r="C4" s="17" t="n">
        <v>55944</v>
      </c>
      <c r="D4" s="17" t="n">
        <v>-3962</v>
      </c>
      <c r="E4" s="17" t="n">
        <v>-42852</v>
      </c>
      <c r="F4" s="17" t="n">
        <v>-38192</v>
      </c>
    </row>
    <row r="5">
      <c r="A5" s="16" t="inlineStr">
        <is>
          <t>Årets pengestrøm</t>
        </is>
      </c>
      <c r="B5" s="17" t="n">
        <v>97689</v>
      </c>
      <c r="C5" s="17" t="n">
        <v>-86519</v>
      </c>
      <c r="D5" s="17" t="n"/>
      <c r="E5" s="17" t="n">
        <v>-26701</v>
      </c>
      <c r="F5" s="17" t="n">
        <v>7009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greenmobil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IF(ABS((SUM(B5:B8))-'res_raw'!$F$6)&lt;=2,SUM(B5:B8),'res_raw'!$F$6)</f>
        <v/>
      </c>
      <c r="C9" s="27">
        <f>IF(ABS((SUM(C5:C8))-'res_raw'!$E$6)&lt;=2,SUM(C5:C8),'res_raw'!$E$6)</f>
        <v/>
      </c>
      <c r="D9" s="27">
        <f>IF(ABS((SUM(D5:D8))-'res_raw'!$D$6)&lt;=2,SUM(D5:D8),'res_raw'!$D$6)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IF(ABS((SUM(B9:B12))-'res_raw'!$F$11)&lt;=2,SUM(B9:B12),'res_raw'!$F$11)</f>
        <v/>
      </c>
      <c r="C13" s="27">
        <f>IF(ABS((SUM(C9:C12))-'res_raw'!$E$11)&lt;=2,SUM(C9:C12),'res_raw'!$E$11)</f>
        <v/>
      </c>
      <c r="D13" s="27">
        <f>IF(ABS((SUM(D9:D12))-'res_raw'!$D$11)&lt;=2,SUM(D9:D12),'res_raw'!$D$11)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IF(ABS((SUM(B13:B15))-'res_raw'!$F$16)&lt;=2,SUM(B13:B15),'res_raw'!$F$16)</f>
        <v/>
      </c>
      <c r="C16" s="27">
        <f>IF(ABS((SUM(C13:C15))-'res_raw'!$E$16)&lt;=2,SUM(C13:C15),'res_raw'!$E$16)</f>
        <v/>
      </c>
      <c r="D16" s="27">
        <f>IF(ABS((SUM(D13:D15))-'res_raw'!$D$16)&lt;=2,SUM(D13:D15),'res_raw'!$D$16)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'balance_raw'!$F$12</f>
        <v/>
      </c>
      <c r="C19" s="24">
        <f>'balance_raw'!$E$12</f>
        <v/>
      </c>
      <c r="D19" s="24">
        <f>'balance_raw'!$D$12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'balance_raw'!$F$24</f>
        <v/>
      </c>
      <c r="C20" s="24">
        <f>'balance_raw'!$E$24</f>
        <v/>
      </c>
      <c r="D20" s="24">
        <f>'balance_raw'!$D$24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'balance_raw'!$F$32</f>
        <v/>
      </c>
      <c r="C23" s="24">
        <f>'balance_raw'!$E$32</f>
        <v/>
      </c>
      <c r="D23" s="24">
        <f>'balance_raw'!$D$32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'balance_raw'!$F$51-'balance_raw'!$F$32</f>
        <v/>
      </c>
      <c r="C24" s="24">
        <f>'balance_raw'!$E$51-'balance_raw'!$E$32</f>
        <v/>
      </c>
      <c r="D24" s="24">
        <f>'balance_raw'!$D$51-'balance_raw'!$D$32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'balance_raw'!$F$13</f>
        <v/>
      </c>
      <c r="C28" s="24">
        <f>'balance_raw'!$E$13</f>
        <v/>
      </c>
      <c r="D28" s="24">
        <f>'balance_raw'!$D$13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'balance_raw'!$F$14</f>
        <v/>
      </c>
      <c r="C29" s="24">
        <f>'balance_raw'!$E$14</f>
        <v/>
      </c>
      <c r="D29" s="24">
        <f>'balance_raw'!$D$14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'balance_raw'!$F$49</f>
        <v/>
      </c>
      <c r="C30" s="24">
        <f>'balance_raw'!$E$49</f>
        <v/>
      </c>
      <c r="D30" s="24">
        <f>'balance_raw'!$D$49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IF('balance_raw'!$F$25="","—",IF(ABS(B21-'balance_raw'!$F$25)&lt;=1,"✓ OK","❌ "&amp;TEXT(B21-'balance_raw'!$F$25,"+#,##0;-#,##0")&amp;" t.kr."))</f>
        <v/>
      </c>
      <c r="C61" s="29">
        <f>IF('balance_raw'!$E$25="","—",IF(ABS(C21-'balance_raw'!$E$25)&lt;=1,"✓ OK","❌ "&amp;TEXT(C21-'balance_raw'!$E$25,"+#,##0;-#,##0")&amp;" t.kr."))</f>
        <v/>
      </c>
      <c r="D61" s="29">
        <f>IF('balance_raw'!$D$25="","—",IF(ABS(D21-'balance_raw'!$D$25)&lt;=1,"✓ OK","❌ "&amp;TEXT(D21-'balance_raw'!$D$25,"+#,##0;-#,##0")&amp;"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IF('balance_raw'!$F$51="","—",IF(ABS(B25-'balance_raw'!$F$51)&lt;=1,"✓ OK","❌ "&amp;TEXT(B25-'balance_raw'!$F$51,"+#,##0;-#,##0")&amp;" t.kr."))</f>
        <v/>
      </c>
      <c r="C62" s="29">
        <f>IF('balance_raw'!$E$51="","—",IF(ABS(C25-'balance_raw'!$E$51)&lt;=1,"✓ OK","❌ "&amp;TEXT(C25-'balance_raw'!$E$51,"+#,##0;-#,##0")&amp;" t.kr."))</f>
        <v/>
      </c>
      <c r="D62" s="29">
        <f>IF('balance_raw'!$D$51="","—",IF(ABS(D25-'balance_raw'!$D$51)&lt;=1,"✓ OK","❌ "&amp;TEXT(D25-'balance_raw'!$D$51,"+#,##0;-#,##0")&amp;"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greenmobil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ifrs-full:AdjustmentsForSharebasedPayments</t>
        </is>
      </c>
      <c r="C3" s="34" t="inlineStr">
        <is>
          <t>ifrs-full:AdjustmentsForSharebasedPayments</t>
        </is>
      </c>
      <c r="D3" s="35" t="n">
        <v>2846</v>
      </c>
      <c r="E3" s="35" t="n">
        <v>-988</v>
      </c>
      <c r="F3" s="35" t="n">
        <v>2134</v>
      </c>
      <c r="G3" s="35" t="n">
        <v>-743</v>
      </c>
      <c r="H3" s="35" t="n">
        <v>334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ifrs-full:AdjustmentsForUnrealisedForeignExchangeLossesGains</t>
        </is>
      </c>
      <c r="C4" s="37" t="inlineStr">
        <is>
          <t>ifrs-full:AdjustmentsForUnrealisedForeignExchangeLossesGains</t>
        </is>
      </c>
      <c r="D4" s="38" t="n">
        <v>300</v>
      </c>
      <c r="E4" s="38" t="n">
        <v>302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ifrs-full:CashFlowsFromUsedInFinancingActivitiesContinuingOperations</t>
        </is>
      </c>
      <c r="C5" s="34" t="inlineStr">
        <is>
          <t>ifrs-full:CashFlowsFromUsedInFinancingActivitiesContinuingOperations</t>
        </is>
      </c>
      <c r="D5" s="35" t="n"/>
      <c r="E5" s="35" t="n"/>
      <c r="F5" s="35" t="n"/>
      <c r="G5" s="35" t="n">
        <v>-39922</v>
      </c>
      <c r="H5" s="35" t="n">
        <v>-38192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ifrs-full:CashFlowsFromUsedInFinancingActivitiesDiscontinuedOperations</t>
        </is>
      </c>
      <c r="C6" s="37" t="inlineStr">
        <is>
          <t>ifrs-full:CashFlowsFromUsedInFinancingActivitiesDiscontinuedOperations</t>
        </is>
      </c>
      <c r="D6" s="38" t="n"/>
      <c r="E6" s="38" t="n"/>
      <c r="F6" s="38" t="n"/>
      <c r="G6" s="38" t="n">
        <v>-2930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ifrs-full:CashFlowsFromUsedInOperatingActivitiesContinuingOperations</t>
        </is>
      </c>
      <c r="C7" s="34" t="inlineStr">
        <is>
          <t>ifrs-full:CashFlowsFromUsedInOperatingActivitiesContinuingOperations</t>
        </is>
      </c>
      <c r="D7" s="35" t="n"/>
      <c r="E7" s="35" t="n"/>
      <c r="F7" s="35" t="n">
        <v>2668</v>
      </c>
      <c r="G7" s="35" t="n">
        <v>38753</v>
      </c>
      <c r="H7" s="35" t="n">
        <v>45451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ifrs-full:ComputerSoftware</t>
        </is>
      </c>
      <c r="C8" s="37" t="inlineStr">
        <is>
          <t>ifrs-full:ComputerSoftware</t>
        </is>
      </c>
      <c r="D8" s="38" t="n"/>
      <c r="E8" s="38" t="n"/>
      <c r="F8" s="38" t="n">
        <v>1795</v>
      </c>
      <c r="G8" s="38" t="n">
        <v>809</v>
      </c>
      <c r="H8" s="38" t="n">
        <v>434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ifrs-full:IncomeTaxesRefundClassifiedAsOperatingActivities</t>
        </is>
      </c>
      <c r="C9" s="34" t="inlineStr">
        <is>
          <t>ifrs-full:IncomeTaxesRefundClassifiedAsOperatingActivities</t>
        </is>
      </c>
      <c r="D9" s="35" t="n">
        <v>0</v>
      </c>
      <c r="E9" s="35" t="n">
        <v>72</v>
      </c>
      <c r="F9" s="35" t="n">
        <v>0</v>
      </c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ifrs-full:MotorVehicles</t>
        </is>
      </c>
      <c r="C10" s="37" t="inlineStr">
        <is>
          <t>ifrs-full:MotorVehicles</t>
        </is>
      </c>
      <c r="D10" s="38" t="n">
        <v>115633</v>
      </c>
      <c r="E10" s="38" t="n">
        <v>207105</v>
      </c>
      <c r="F10" s="38" t="n">
        <v>150159</v>
      </c>
      <c r="G10" s="38" t="n">
        <v>129419</v>
      </c>
      <c r="H10" s="38" t="n">
        <v>103479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ifrs-full:PaymentsForDevelopmentProjectExpenditure</t>
        </is>
      </c>
      <c r="C11" s="34" t="inlineStr">
        <is>
          <t>ifrs-full:PaymentsForDevelopmentProjectExpenditure</t>
        </is>
      </c>
      <c r="D11" s="35" t="n">
        <v>429</v>
      </c>
      <c r="E11" s="35" t="n">
        <v>1767</v>
      </c>
      <c r="F11" s="35" t="n">
        <v>0</v>
      </c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ifrs-full:PaymentsForShareIssueCosts</t>
        </is>
      </c>
      <c r="C12" s="37" t="inlineStr">
        <is>
          <t>ifrs-full:PaymentsForShareIssueCosts</t>
        </is>
      </c>
      <c r="D12" s="38" t="n">
        <v>5994</v>
      </c>
      <c r="E12" s="38" t="n">
        <v>0</v>
      </c>
      <c r="F12" s="38" t="n">
        <v>992</v>
      </c>
      <c r="G12" s="38" t="n">
        <v>928</v>
      </c>
      <c r="H12" s="38" t="n">
        <v>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ifrs-full:ProceedsFromGovernmentGrantsClassifiedAsFinancingActivities</t>
        </is>
      </c>
      <c r="C13" s="34" t="inlineStr">
        <is>
          <t>ifrs-full:ProceedsFromGovernmentGrantsClassifiedAsFinancingActivities</t>
        </is>
      </c>
      <c r="D13" s="35" t="n">
        <v>0</v>
      </c>
      <c r="E13" s="35" t="n">
        <v>22418</v>
      </c>
      <c r="F13" s="35" t="n">
        <v>0</v>
      </c>
      <c r="G13" s="35" t="n">
        <v>0</v>
      </c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ifrs-full:ReserveOfExchangeDifferencesOnTranslation</t>
        </is>
      </c>
      <c r="C14" s="37" t="inlineStr">
        <is>
          <t>ifrs-full:ReserveOfExchangeDifferencesOnTranslation</t>
        </is>
      </c>
      <c r="D14" s="38" t="n">
        <v>300</v>
      </c>
      <c r="E14" s="38" t="n">
        <v>-2213</v>
      </c>
      <c r="F14" s="38" t="n">
        <v>-2703</v>
      </c>
      <c r="G14" s="38" t="n">
        <v>-2703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ifrs-full:TradeAndOtherCurrentReceivablesDueFromRelatedParties</t>
        </is>
      </c>
      <c r="C15" s="34" t="inlineStr">
        <is>
          <t>ifrs-full:TradeAndOtherCurrentReceivablesDueFromRelatedParties</t>
        </is>
      </c>
      <c r="D15" s="35" t="n">
        <v>466</v>
      </c>
      <c r="E15" s="35" t="n">
        <v>0</v>
      </c>
      <c r="F15" s="35" t="n"/>
      <c r="G15" s="35" t="n"/>
      <c r="H15" s="35" t="n"/>
      <c r="I1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2026-10-02T21:13:02Z</dcterms:created>
  <dcterms:modified xmlns:dcterms="http://purl.org/dc/terms/" xmlns:xsi="http://www.w3.org/2001/XMLSchema-instance" xsi:type="dcterms:W3CDTF">2026-10-02T21:13:03Z</dcterms:modified>
</cp:coreProperties>
</file>