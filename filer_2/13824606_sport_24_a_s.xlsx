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3824606" sheetId="1" state="visible" r:id="rId1"/>
    <sheet xmlns:r="http://schemas.openxmlformats.org/officeDocument/2006/relationships" name="res_raw_13824606" sheetId="2" state="visible" r:id="rId2"/>
    <sheet xmlns:r="http://schemas.openxmlformats.org/officeDocument/2006/relationships" name="balance_raw_13824606" sheetId="3" state="visible" r:id="rId3"/>
    <sheet xmlns:r="http://schemas.openxmlformats.org/officeDocument/2006/relationships" name="pengestrom_raw_13824606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SPORT 24 A/S (CVR 13824606)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'res_raw_13824606'!$B$2</f>
        <v/>
      </c>
      <c r="C4" s="5">
        <f>'res_raw_13824606'!$C$2</f>
        <v/>
      </c>
      <c r="D4" s="5">
        <f>'res_raw_13824606'!$D$2</f>
        <v/>
      </c>
      <c r="E4" s="5">
        <f>'res_raw_13824606'!$E$2</f>
        <v/>
      </c>
      <c r="F4" s="5">
        <f>'res_raw_13824606'!$F$2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'res_raw_13824606'!$B$3</f>
        <v/>
      </c>
      <c r="C5" s="8">
        <f>'res_raw_13824606'!$C$3</f>
        <v/>
      </c>
      <c r="D5" s="8">
        <f>'res_raw_13824606'!$D$3</f>
        <v/>
      </c>
      <c r="E5" s="8">
        <f>'res_raw_13824606'!$E$3</f>
        <v/>
      </c>
      <c r="F5" s="8">
        <f>'res_raw_13824606'!$F$3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'res_raw_13824606'!$B$4</f>
        <v/>
      </c>
      <c r="C6" s="5">
        <f>'res_raw_13824606'!$C$4</f>
        <v/>
      </c>
      <c r="D6" s="5">
        <f>'res_raw_13824606'!$D$4</f>
        <v/>
      </c>
      <c r="E6" s="5">
        <f>'res_raw_13824606'!$E$4</f>
        <v/>
      </c>
      <c r="F6" s="5">
        <f>'res_raw_13824606'!$F$4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'res_raw_13824606'!$B$5</f>
        <v/>
      </c>
      <c r="C7" s="8">
        <f>'res_raw_13824606'!$C$5</f>
        <v/>
      </c>
      <c r="D7" s="8">
        <f>'res_raw_13824606'!$D$5</f>
        <v/>
      </c>
      <c r="E7" s="8">
        <f>'res_raw_13824606'!$E$5</f>
        <v/>
      </c>
      <c r="F7" s="8">
        <f>'res_raw_13824606'!$F$5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'res_raw_13824606'!$B$6</f>
        <v/>
      </c>
      <c r="C8" s="11">
        <f>'res_raw_13824606'!$C$6</f>
        <v/>
      </c>
      <c r="D8" s="11">
        <f>'res_raw_13824606'!$D$6</f>
        <v/>
      </c>
      <c r="E8" s="11">
        <f>'res_raw_13824606'!$E$6</f>
        <v/>
      </c>
      <c r="F8" s="11">
        <f>'res_raw_13824606'!$F$6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'res_raw_13824606'!$B$7</f>
        <v/>
      </c>
      <c r="C9" s="8">
        <f>'res_raw_13824606'!$C$7</f>
        <v/>
      </c>
      <c r="D9" s="8">
        <f>'res_raw_13824606'!$D$7</f>
        <v/>
      </c>
      <c r="E9" s="8">
        <f>'res_raw_13824606'!$E$7</f>
        <v/>
      </c>
      <c r="F9" s="8">
        <f>'res_raw_13824606'!$F$7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'res_raw_13824606'!$B$9</f>
        <v/>
      </c>
      <c r="C11" s="8">
        <f>'res_raw_13824606'!$C$9</f>
        <v/>
      </c>
      <c r="D11" s="8">
        <f>'res_raw_13824606'!$D$9</f>
        <v/>
      </c>
      <c r="E11" s="8">
        <f>'res_raw_13824606'!$E$9</f>
        <v/>
      </c>
      <c r="F11" s="8">
        <f>'res_raw_13824606'!$F$9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'res_raw_13824606'!$B$10</f>
        <v/>
      </c>
      <c r="C12" s="5">
        <f>'res_raw_13824606'!$C$10</f>
        <v/>
      </c>
      <c r="D12" s="5">
        <f>'res_raw_13824606'!$D$10</f>
        <v/>
      </c>
      <c r="E12" s="5">
        <f>'res_raw_13824606'!$E$10</f>
        <v/>
      </c>
      <c r="F12" s="5">
        <f>'res_raw_13824606'!$F$10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'res_raw_13824606'!$B$11</f>
        <v/>
      </c>
      <c r="C13" s="11">
        <f>'res_raw_13824606'!$C$11</f>
        <v/>
      </c>
      <c r="D13" s="11">
        <f>'res_raw_13824606'!$D$11</f>
        <v/>
      </c>
      <c r="E13" s="11">
        <f>'res_raw_13824606'!$E$11</f>
        <v/>
      </c>
      <c r="F13" s="11">
        <f>'res_raw_13824606'!$F$11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'res_raw_13824606'!$B$12</f>
        <v/>
      </c>
      <c r="C14" s="5">
        <f>'res_raw_13824606'!$C$12</f>
        <v/>
      </c>
      <c r="D14" s="5">
        <f>'res_raw_13824606'!$D$12</f>
        <v/>
      </c>
      <c r="E14" s="5">
        <f>'res_raw_13824606'!$E$12</f>
        <v/>
      </c>
      <c r="F14" s="5">
        <f>'res_raw_13824606'!$F$12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'res_raw_13824606'!$B$13</f>
        <v/>
      </c>
      <c r="C15" s="8">
        <f>'res_raw_13824606'!$C$13</f>
        <v/>
      </c>
      <c r="D15" s="8">
        <f>'res_raw_13824606'!$D$13</f>
        <v/>
      </c>
      <c r="E15" s="8">
        <f>'res_raw_13824606'!$E$13</f>
        <v/>
      </c>
      <c r="F15" s="8">
        <f>'res_raw_13824606'!$F$13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'res_raw_13824606'!$B$14</f>
        <v/>
      </c>
      <c r="C16" s="5">
        <f>'res_raw_13824606'!$C$14</f>
        <v/>
      </c>
      <c r="D16" s="5">
        <f>'res_raw_13824606'!$D$14</f>
        <v/>
      </c>
      <c r="E16" s="5">
        <f>'res_raw_13824606'!$E$14</f>
        <v/>
      </c>
      <c r="F16" s="5">
        <f>'res_raw_13824606'!$F$14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'res_raw_13824606'!$B$15</f>
        <v/>
      </c>
      <c r="C17" s="11">
        <f>'res_raw_13824606'!$C$15</f>
        <v/>
      </c>
      <c r="D17" s="11">
        <f>'res_raw_13824606'!$D$15</f>
        <v/>
      </c>
      <c r="E17" s="11">
        <f>'res_raw_13824606'!$E$15</f>
        <v/>
      </c>
      <c r="F17" s="11">
        <f>'res_raw_13824606'!$F$15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'res_raw_13824606'!$B$16</f>
        <v/>
      </c>
      <c r="C18" s="11">
        <f>'res_raw_13824606'!$C$16</f>
        <v/>
      </c>
      <c r="D18" s="11">
        <f>'res_raw_13824606'!$D$16</f>
        <v/>
      </c>
      <c r="E18" s="11">
        <f>'res_raw_13824606'!$E$16</f>
        <v/>
      </c>
      <c r="F18" s="11">
        <f>'res_raw_13824606'!$F$16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'res_raw_13824606'!$B$17</f>
        <v/>
      </c>
      <c r="C19" s="8">
        <f>'res_raw_13824606'!$C$17</f>
        <v/>
      </c>
      <c r="D19" s="8">
        <f>'res_raw_13824606'!$D$17</f>
        <v/>
      </c>
      <c r="E19" s="8">
        <f>'res_raw_13824606'!$E$17</f>
        <v/>
      </c>
      <c r="F19" s="8">
        <f>'res_raw_13824606'!$F$17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'res_raw_13824606'!$B$18</f>
        <v/>
      </c>
      <c r="C20" s="11">
        <f>'res_raw_13824606'!$C$18</f>
        <v/>
      </c>
      <c r="D20" s="11">
        <f>'res_raw_13824606'!$D$18</f>
        <v/>
      </c>
      <c r="E20" s="11">
        <f>'res_raw_13824606'!$E$18</f>
        <v/>
      </c>
      <c r="F20" s="11">
        <f>'res_raw_13824606'!$F$18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'balance_raw_13824606'!$B$2</f>
        <v/>
      </c>
      <c r="C23" s="8">
        <f>'balance_raw_13824606'!$C$2</f>
        <v/>
      </c>
      <c r="D23" s="8">
        <f>'balance_raw_13824606'!$D$2</f>
        <v/>
      </c>
      <c r="E23" s="8">
        <f>'balance_raw_13824606'!$E$2</f>
        <v/>
      </c>
      <c r="F23" s="8">
        <f>'balance_raw_13824606'!$F$2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'balance_raw_13824606'!$B$3</f>
        <v/>
      </c>
      <c r="C24" s="5">
        <f>'balance_raw_13824606'!$C$3</f>
        <v/>
      </c>
      <c r="D24" s="5">
        <f>'balance_raw_13824606'!$D$3</f>
        <v/>
      </c>
      <c r="E24" s="5">
        <f>'balance_raw_13824606'!$E$3</f>
        <v/>
      </c>
      <c r="F24" s="5">
        <f>'balance_raw_13824606'!$F$3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'balance_raw_13824606'!$B$4</f>
        <v/>
      </c>
      <c r="C25" s="8">
        <f>'balance_raw_13824606'!$C$4</f>
        <v/>
      </c>
      <c r="D25" s="8">
        <f>'balance_raw_13824606'!$D$4</f>
        <v/>
      </c>
      <c r="E25" s="8">
        <f>'balance_raw_13824606'!$E$4</f>
        <v/>
      </c>
      <c r="F25" s="8">
        <f>'balance_raw_13824606'!$F$4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'balance_raw_13824606'!$B$5</f>
        <v/>
      </c>
      <c r="C26" s="11">
        <f>'balance_raw_13824606'!$C$5</f>
        <v/>
      </c>
      <c r="D26" s="11">
        <f>'balance_raw_13824606'!$D$5</f>
        <v/>
      </c>
      <c r="E26" s="11">
        <f>'balance_raw_13824606'!$E$5</f>
        <v/>
      </c>
      <c r="F26" s="11">
        <f>'balance_raw_13824606'!$F$5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'balance_raw_13824606'!$B$6</f>
        <v/>
      </c>
      <c r="C27" s="8">
        <f>'balance_raw_13824606'!$C$6</f>
        <v/>
      </c>
      <c r="D27" s="8">
        <f>'balance_raw_13824606'!$D$6</f>
        <v/>
      </c>
      <c r="E27" s="8">
        <f>'balance_raw_13824606'!$E$6</f>
        <v/>
      </c>
      <c r="F27" s="8">
        <f>'balance_raw_13824606'!$F$6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'balance_raw_13824606'!$B$7</f>
        <v/>
      </c>
      <c r="C28" s="5">
        <f>'balance_raw_13824606'!$C$7</f>
        <v/>
      </c>
      <c r="D28" s="5">
        <f>'balance_raw_13824606'!$D$7</f>
        <v/>
      </c>
      <c r="E28" s="5">
        <f>'balance_raw_13824606'!$E$7</f>
        <v/>
      </c>
      <c r="F28" s="5">
        <f>'balance_raw_13824606'!$F$7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'balance_raw_13824606'!$B$8</f>
        <v/>
      </c>
      <c r="C29" s="8">
        <f>'balance_raw_13824606'!$C$8</f>
        <v/>
      </c>
      <c r="D29" s="8">
        <f>'balance_raw_13824606'!$D$8</f>
        <v/>
      </c>
      <c r="E29" s="8">
        <f>'balance_raw_13824606'!$E$8</f>
        <v/>
      </c>
      <c r="F29" s="8">
        <f>'balance_raw_13824606'!$F$8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'balance_raw_13824606'!$B$9</f>
        <v/>
      </c>
      <c r="C30" s="5">
        <f>'balance_raw_13824606'!$C$9</f>
        <v/>
      </c>
      <c r="D30" s="5">
        <f>'balance_raw_13824606'!$D$9</f>
        <v/>
      </c>
      <c r="E30" s="5">
        <f>'balance_raw_13824606'!$E$9</f>
        <v/>
      </c>
      <c r="F30" s="5">
        <f>'balance_raw_13824606'!$F$9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'balance_raw_13824606'!$B$10</f>
        <v/>
      </c>
      <c r="C31" s="8">
        <f>'balance_raw_13824606'!$C$10</f>
        <v/>
      </c>
      <c r="D31" s="8">
        <f>'balance_raw_13824606'!$D$10</f>
        <v/>
      </c>
      <c r="E31" s="8">
        <f>'balance_raw_13824606'!$E$10</f>
        <v/>
      </c>
      <c r="F31" s="8">
        <f>'balance_raw_13824606'!$F$10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'balance_raw_13824606'!$B$11</f>
        <v/>
      </c>
      <c r="C32" s="11">
        <f>'balance_raw_13824606'!$C$11</f>
        <v/>
      </c>
      <c r="D32" s="11">
        <f>'balance_raw_13824606'!$D$11</f>
        <v/>
      </c>
      <c r="E32" s="11">
        <f>'balance_raw_13824606'!$E$11</f>
        <v/>
      </c>
      <c r="F32" s="11">
        <f>'balance_raw_13824606'!$F$11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'balance_raw_13824606'!$B$12</f>
        <v/>
      </c>
      <c r="C33" s="8">
        <f>'balance_raw_13824606'!$C$12</f>
        <v/>
      </c>
      <c r="D33" s="8">
        <f>'balance_raw_13824606'!$D$12</f>
        <v/>
      </c>
      <c r="E33" s="8">
        <f>'balance_raw_13824606'!$E$12</f>
        <v/>
      </c>
      <c r="F33" s="8">
        <f>'balance_raw_13824606'!$F$12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'balance_raw_13824606'!$B$13</f>
        <v/>
      </c>
      <c r="C34" s="5">
        <f>'balance_raw_13824606'!$C$13</f>
        <v/>
      </c>
      <c r="D34" s="5">
        <f>'balance_raw_13824606'!$D$13</f>
        <v/>
      </c>
      <c r="E34" s="5">
        <f>'balance_raw_13824606'!$E$13</f>
        <v/>
      </c>
      <c r="F34" s="5">
        <f>'balance_raw_13824606'!$F$13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'balance_raw_13824606'!$B$14</f>
        <v/>
      </c>
      <c r="C35" s="11">
        <f>'balance_raw_13824606'!$C$14</f>
        <v/>
      </c>
      <c r="D35" s="11">
        <f>'balance_raw_13824606'!$D$14</f>
        <v/>
      </c>
      <c r="E35" s="11">
        <f>'balance_raw_13824606'!$E$14</f>
        <v/>
      </c>
      <c r="F35" s="11">
        <f>'balance_raw_13824606'!$F$14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'balance_raw_13824606'!$B$15</f>
        <v/>
      </c>
      <c r="C36" s="11">
        <f>'balance_raw_13824606'!$C$15</f>
        <v/>
      </c>
      <c r="D36" s="11">
        <f>'balance_raw_13824606'!$D$15</f>
        <v/>
      </c>
      <c r="E36" s="11">
        <f>'balance_raw_13824606'!$E$15</f>
        <v/>
      </c>
      <c r="F36" s="11">
        <f>'balance_raw_13824606'!$F$15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'balance_raw_13824606'!$B$16</f>
        <v/>
      </c>
      <c r="C37" s="8">
        <f>'balance_raw_13824606'!$C$16</f>
        <v/>
      </c>
      <c r="D37" s="8">
        <f>'balance_raw_13824606'!$D$16</f>
        <v/>
      </c>
      <c r="E37" s="8">
        <f>'balance_raw_13824606'!$E$16</f>
        <v/>
      </c>
      <c r="F37" s="8">
        <f>'balance_raw_13824606'!$F$16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'balance_raw_13824606'!$B$17</f>
        <v/>
      </c>
      <c r="C38" s="5">
        <f>'balance_raw_13824606'!$C$17</f>
        <v/>
      </c>
      <c r="D38" s="5">
        <f>'balance_raw_13824606'!$D$17</f>
        <v/>
      </c>
      <c r="E38" s="5">
        <f>'balance_raw_13824606'!$E$17</f>
        <v/>
      </c>
      <c r="F38" s="5">
        <f>'balance_raw_13824606'!$F$17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'balance_raw_13824606'!$B$18</f>
        <v/>
      </c>
      <c r="C39" s="8">
        <f>'balance_raw_13824606'!$C$18</f>
        <v/>
      </c>
      <c r="D39" s="8">
        <f>'balance_raw_13824606'!$D$18</f>
        <v/>
      </c>
      <c r="E39" s="8">
        <f>'balance_raw_13824606'!$E$18</f>
        <v/>
      </c>
      <c r="F39" s="8">
        <f>'balance_raw_13824606'!$F$18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'balance_raw_13824606'!$B$19</f>
        <v/>
      </c>
      <c r="C40" s="11">
        <f>'balance_raw_13824606'!$C$19</f>
        <v/>
      </c>
      <c r="D40" s="11">
        <f>'balance_raw_13824606'!$D$19</f>
        <v/>
      </c>
      <c r="E40" s="11">
        <f>'balance_raw_13824606'!$E$19</f>
        <v/>
      </c>
      <c r="F40" s="11">
        <f>'balance_raw_13824606'!$F$19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'balance_raw_13824606'!$B$20</f>
        <v/>
      </c>
      <c r="C41" s="8">
        <f>'balance_raw_13824606'!$C$20</f>
        <v/>
      </c>
      <c r="D41" s="8">
        <f>'balance_raw_13824606'!$D$20</f>
        <v/>
      </c>
      <c r="E41" s="8">
        <f>'balance_raw_13824606'!$E$20</f>
        <v/>
      </c>
      <c r="F41" s="8">
        <f>'balance_raw_13824606'!$F$20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'balance_raw_13824606'!$B$21</f>
        <v/>
      </c>
      <c r="C42" s="5">
        <f>'balance_raw_13824606'!$C$21</f>
        <v/>
      </c>
      <c r="D42" s="5">
        <f>'balance_raw_13824606'!$D$21</f>
        <v/>
      </c>
      <c r="E42" s="5">
        <f>'balance_raw_13824606'!$E$21</f>
        <v/>
      </c>
      <c r="F42" s="5">
        <f>'balance_raw_13824606'!$F$21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'balance_raw_13824606'!$B$22</f>
        <v/>
      </c>
      <c r="C43" s="8">
        <f>'balance_raw_13824606'!$C$22</f>
        <v/>
      </c>
      <c r="D43" s="8">
        <f>'balance_raw_13824606'!$D$22</f>
        <v/>
      </c>
      <c r="E43" s="8">
        <f>'balance_raw_13824606'!$E$22</f>
        <v/>
      </c>
      <c r="F43" s="8">
        <f>'balance_raw_13824606'!$F$22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'balance_raw_13824606'!$B$23</f>
        <v/>
      </c>
      <c r="C44" s="5">
        <f>'balance_raw_13824606'!$C$23</f>
        <v/>
      </c>
      <c r="D44" s="5">
        <f>'balance_raw_13824606'!$D$23</f>
        <v/>
      </c>
      <c r="E44" s="5">
        <f>'balance_raw_13824606'!$E$23</f>
        <v/>
      </c>
      <c r="F44" s="5">
        <f>'balance_raw_13824606'!$F$23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'balance_raw_13824606'!$B$24</f>
        <v/>
      </c>
      <c r="C45" s="8">
        <f>'balance_raw_13824606'!$C$24</f>
        <v/>
      </c>
      <c r="D45" s="8">
        <f>'balance_raw_13824606'!$D$24</f>
        <v/>
      </c>
      <c r="E45" s="8">
        <f>'balance_raw_13824606'!$E$24</f>
        <v/>
      </c>
      <c r="F45" s="8">
        <f>'balance_raw_13824606'!$F$24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'balance_raw_13824606'!$B$25</f>
        <v/>
      </c>
      <c r="C46" s="5">
        <f>'balance_raw_13824606'!$C$25</f>
        <v/>
      </c>
      <c r="D46" s="5">
        <f>'balance_raw_13824606'!$D$25</f>
        <v/>
      </c>
      <c r="E46" s="5">
        <f>'balance_raw_13824606'!$E$25</f>
        <v/>
      </c>
      <c r="F46" s="5">
        <f>'balance_raw_13824606'!$F$25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'balance_raw_13824606'!$B$26</f>
        <v/>
      </c>
      <c r="C47" s="8">
        <f>'balance_raw_13824606'!$C$26</f>
        <v/>
      </c>
      <c r="D47" s="8">
        <f>'balance_raw_13824606'!$D$26</f>
        <v/>
      </c>
      <c r="E47" s="8">
        <f>'balance_raw_13824606'!$E$26</f>
        <v/>
      </c>
      <c r="F47" s="8">
        <f>'balance_raw_13824606'!$F$26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'balance_raw_13824606'!$B$27</f>
        <v/>
      </c>
      <c r="C48" s="11">
        <f>'balance_raw_13824606'!$C$27</f>
        <v/>
      </c>
      <c r="D48" s="11">
        <f>'balance_raw_13824606'!$D$27</f>
        <v/>
      </c>
      <c r="E48" s="11">
        <f>'balance_raw_13824606'!$E$27</f>
        <v/>
      </c>
      <c r="F48" s="11">
        <f>'balance_raw_13824606'!$F$27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'balance_raw_13824606'!$B$28</f>
        <v/>
      </c>
      <c r="C49" s="8">
        <f>'balance_raw_13824606'!$C$28</f>
        <v/>
      </c>
      <c r="D49" s="8">
        <f>'balance_raw_13824606'!$D$28</f>
        <v/>
      </c>
      <c r="E49" s="8">
        <f>'balance_raw_13824606'!$E$28</f>
        <v/>
      </c>
      <c r="F49" s="8">
        <f>'balance_raw_13824606'!$F$28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'balance_raw_13824606'!$B$29</f>
        <v/>
      </c>
      <c r="C50" s="5">
        <f>'balance_raw_13824606'!$C$29</f>
        <v/>
      </c>
      <c r="D50" s="5">
        <f>'balance_raw_13824606'!$D$29</f>
        <v/>
      </c>
      <c r="E50" s="5">
        <f>'balance_raw_13824606'!$E$29</f>
        <v/>
      </c>
      <c r="F50" s="5">
        <f>'balance_raw_13824606'!$F$29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'balance_raw_13824606'!$B$30</f>
        <v/>
      </c>
      <c r="C51" s="11">
        <f>'balance_raw_13824606'!$C$30</f>
        <v/>
      </c>
      <c r="D51" s="11">
        <f>'balance_raw_13824606'!$D$30</f>
        <v/>
      </c>
      <c r="E51" s="11">
        <f>'balance_raw_13824606'!$E$30</f>
        <v/>
      </c>
      <c r="F51" s="11">
        <f>'balance_raw_13824606'!$F$30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'balance_raw_13824606'!$B$31</f>
        <v/>
      </c>
      <c r="C52" s="11">
        <f>'balance_raw_13824606'!$C$31</f>
        <v/>
      </c>
      <c r="D52" s="11">
        <f>'balance_raw_13824606'!$D$31</f>
        <v/>
      </c>
      <c r="E52" s="11">
        <f>'balance_raw_13824606'!$E$31</f>
        <v/>
      </c>
      <c r="F52" s="11">
        <f>'balance_raw_13824606'!$F$31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'balance_raw_13824606'!$B$32</f>
        <v/>
      </c>
      <c r="C55" s="8">
        <f>'balance_raw_13824606'!$C$32</f>
        <v/>
      </c>
      <c r="D55" s="8">
        <f>'balance_raw_13824606'!$D$32</f>
        <v/>
      </c>
      <c r="E55" s="8">
        <f>'balance_raw_13824606'!$E$32</f>
        <v/>
      </c>
      <c r="F55" s="8">
        <f>'balance_raw_13824606'!$F$32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'balance_raw_13824606'!$B$33</f>
        <v/>
      </c>
      <c r="C56" s="5">
        <f>'balance_raw_13824606'!$C$33</f>
        <v/>
      </c>
      <c r="D56" s="5">
        <f>'balance_raw_13824606'!$D$33</f>
        <v/>
      </c>
      <c r="E56" s="5">
        <f>'balance_raw_13824606'!$E$33</f>
        <v/>
      </c>
      <c r="F56" s="5">
        <f>'balance_raw_13824606'!$F$33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'balance_raw_13824606'!$B$34</f>
        <v/>
      </c>
      <c r="C57" s="8">
        <f>'balance_raw_13824606'!$C$34</f>
        <v/>
      </c>
      <c r="D57" s="8">
        <f>'balance_raw_13824606'!$D$34</f>
        <v/>
      </c>
      <c r="E57" s="8">
        <f>'balance_raw_13824606'!$E$34</f>
        <v/>
      </c>
      <c r="F57" s="8">
        <f>'balance_raw_13824606'!$F$34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'balance_raw_13824606'!$B$35</f>
        <v/>
      </c>
      <c r="C58" s="5">
        <f>'balance_raw_13824606'!$C$35</f>
        <v/>
      </c>
      <c r="D58" s="5">
        <f>'balance_raw_13824606'!$D$35</f>
        <v/>
      </c>
      <c r="E58" s="5">
        <f>'balance_raw_13824606'!$E$35</f>
        <v/>
      </c>
      <c r="F58" s="5">
        <f>'balance_raw_13824606'!$F$35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'balance_raw_13824606'!$B$36</f>
        <v/>
      </c>
      <c r="C59" s="8">
        <f>'balance_raw_13824606'!$C$36</f>
        <v/>
      </c>
      <c r="D59" s="8">
        <f>'balance_raw_13824606'!$D$36</f>
        <v/>
      </c>
      <c r="E59" s="8">
        <f>'balance_raw_13824606'!$E$36</f>
        <v/>
      </c>
      <c r="F59" s="8">
        <f>'balance_raw_13824606'!$F$36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'balance_raw_13824606'!$B$37</f>
        <v/>
      </c>
      <c r="C60" s="5">
        <f>'balance_raw_13824606'!$C$37</f>
        <v/>
      </c>
      <c r="D60" s="5">
        <f>'balance_raw_13824606'!$D$37</f>
        <v/>
      </c>
      <c r="E60" s="5">
        <f>'balance_raw_13824606'!$E$37</f>
        <v/>
      </c>
      <c r="F60" s="5">
        <f>'balance_raw_13824606'!$F$37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'balance_raw_13824606'!$B$38</f>
        <v/>
      </c>
      <c r="C61" s="11">
        <f>'balance_raw_13824606'!$C$38</f>
        <v/>
      </c>
      <c r="D61" s="11">
        <f>'balance_raw_13824606'!$D$38</f>
        <v/>
      </c>
      <c r="E61" s="11">
        <f>'balance_raw_13824606'!$E$38</f>
        <v/>
      </c>
      <c r="F61" s="11">
        <f>'balance_raw_13824606'!$F$38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'balance_raw_13824606'!$B$39</f>
        <v/>
      </c>
      <c r="C62" s="5">
        <f>'balance_raw_13824606'!$C$39</f>
        <v/>
      </c>
      <c r="D62" s="5">
        <f>'balance_raw_13824606'!$D$39</f>
        <v/>
      </c>
      <c r="E62" s="5">
        <f>'balance_raw_13824606'!$E$39</f>
        <v/>
      </c>
      <c r="F62" s="5">
        <f>'balance_raw_13824606'!$F$39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'balance_raw_13824606'!$B$40</f>
        <v/>
      </c>
      <c r="C63" s="11">
        <f>'balance_raw_13824606'!$C$40</f>
        <v/>
      </c>
      <c r="D63" s="11">
        <f>'balance_raw_13824606'!$D$40</f>
        <v/>
      </c>
      <c r="E63" s="11">
        <f>'balance_raw_13824606'!$E$40</f>
        <v/>
      </c>
      <c r="F63" s="11">
        <f>'balance_raw_13824606'!$F$40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'balance_raw_13824606'!$B$41</f>
        <v/>
      </c>
      <c r="C64" s="5">
        <f>'balance_raw_13824606'!$C$41</f>
        <v/>
      </c>
      <c r="D64" s="5">
        <f>'balance_raw_13824606'!$D$41</f>
        <v/>
      </c>
      <c r="E64" s="5">
        <f>'balance_raw_13824606'!$E$41</f>
        <v/>
      </c>
      <c r="F64" s="5">
        <f>'balance_raw_13824606'!$F$41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'balance_raw_13824606'!$B$42</f>
        <v/>
      </c>
      <c r="C65" s="8">
        <f>'balance_raw_13824606'!$C$42</f>
        <v/>
      </c>
      <c r="D65" s="8">
        <f>'balance_raw_13824606'!$D$42</f>
        <v/>
      </c>
      <c r="E65" s="8">
        <f>'balance_raw_13824606'!$E$42</f>
        <v/>
      </c>
      <c r="F65" s="8">
        <f>'balance_raw_13824606'!$F$42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'balance_raw_13824606'!$B$43</f>
        <v/>
      </c>
      <c r="C66" s="5">
        <f>'balance_raw_13824606'!$C$43</f>
        <v/>
      </c>
      <c r="D66" s="5">
        <f>'balance_raw_13824606'!$D$43</f>
        <v/>
      </c>
      <c r="E66" s="5">
        <f>'balance_raw_13824606'!$E$43</f>
        <v/>
      </c>
      <c r="F66" s="5">
        <f>'balance_raw_13824606'!$F$43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'balance_raw_13824606'!$B$44</f>
        <v/>
      </c>
      <c r="C67" s="8">
        <f>'balance_raw_13824606'!$C$44</f>
        <v/>
      </c>
      <c r="D67" s="8">
        <f>'balance_raw_13824606'!$D$44</f>
        <v/>
      </c>
      <c r="E67" s="8">
        <f>'balance_raw_13824606'!$E$44</f>
        <v/>
      </c>
      <c r="F67" s="8">
        <f>'balance_raw_13824606'!$F$44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'balance_raw_13824606'!$B$45</f>
        <v/>
      </c>
      <c r="C68" s="11">
        <f>'balance_raw_13824606'!$C$45</f>
        <v/>
      </c>
      <c r="D68" s="11">
        <f>'balance_raw_13824606'!$D$45</f>
        <v/>
      </c>
      <c r="E68" s="11">
        <f>'balance_raw_13824606'!$E$45</f>
        <v/>
      </c>
      <c r="F68" s="11">
        <f>'balance_raw_13824606'!$F$45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'balance_raw_13824606'!$B$46</f>
        <v/>
      </c>
      <c r="C69" s="8">
        <f>'balance_raw_13824606'!$C$46</f>
        <v/>
      </c>
      <c r="D69" s="8">
        <f>'balance_raw_13824606'!$D$46</f>
        <v/>
      </c>
      <c r="E69" s="8">
        <f>'balance_raw_13824606'!$E$46</f>
        <v/>
      </c>
      <c r="F69" s="8">
        <f>'balance_raw_13824606'!$F$46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'balance_raw_13824606'!$B$47</f>
        <v/>
      </c>
      <c r="C70" s="5">
        <f>'balance_raw_13824606'!$C$47</f>
        <v/>
      </c>
      <c r="D70" s="5">
        <f>'balance_raw_13824606'!$D$47</f>
        <v/>
      </c>
      <c r="E70" s="5">
        <f>'balance_raw_13824606'!$E$47</f>
        <v/>
      </c>
      <c r="F70" s="5">
        <f>'balance_raw_13824606'!$F$47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'balance_raw_13824606'!$B$48</f>
        <v/>
      </c>
      <c r="C71" s="8">
        <f>'balance_raw_13824606'!$C$48</f>
        <v/>
      </c>
      <c r="D71" s="8">
        <f>'balance_raw_13824606'!$D$48</f>
        <v/>
      </c>
      <c r="E71" s="8">
        <f>'balance_raw_13824606'!$E$48</f>
        <v/>
      </c>
      <c r="F71" s="8">
        <f>'balance_raw_13824606'!$F$48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'balance_raw_13824606'!$B$49</f>
        <v/>
      </c>
      <c r="C72" s="5">
        <f>'balance_raw_13824606'!$C$49</f>
        <v/>
      </c>
      <c r="D72" s="5">
        <f>'balance_raw_13824606'!$D$49</f>
        <v/>
      </c>
      <c r="E72" s="5">
        <f>'balance_raw_13824606'!$E$49</f>
        <v/>
      </c>
      <c r="F72" s="5">
        <f>'balance_raw_13824606'!$F$49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'balance_raw_13824606'!$B$50</f>
        <v/>
      </c>
      <c r="C73" s="8">
        <f>'balance_raw_13824606'!$C$50</f>
        <v/>
      </c>
      <c r="D73" s="8">
        <f>'balance_raw_13824606'!$D$50</f>
        <v/>
      </c>
      <c r="E73" s="8">
        <f>'balance_raw_13824606'!$E$50</f>
        <v/>
      </c>
      <c r="F73" s="8">
        <f>'balance_raw_13824606'!$F$50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'balance_raw_13824606'!$B$51</f>
        <v/>
      </c>
      <c r="C74" s="5">
        <f>'balance_raw_13824606'!$C$51</f>
        <v/>
      </c>
      <c r="D74" s="5">
        <f>'balance_raw_13824606'!$D$51</f>
        <v/>
      </c>
      <c r="E74" s="5">
        <f>'balance_raw_13824606'!$E$51</f>
        <v/>
      </c>
      <c r="F74" s="5">
        <f>'balance_raw_13824606'!$F$51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'balance_raw_13824606'!$B$52</f>
        <v/>
      </c>
      <c r="C75" s="8">
        <f>'balance_raw_13824606'!$C$52</f>
        <v/>
      </c>
      <c r="D75" s="8">
        <f>'balance_raw_13824606'!$D$52</f>
        <v/>
      </c>
      <c r="E75" s="8">
        <f>'balance_raw_13824606'!$E$52</f>
        <v/>
      </c>
      <c r="F75" s="8">
        <f>'balance_raw_13824606'!$F$52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'balance_raw_13824606'!$B$53</f>
        <v/>
      </c>
      <c r="C76" s="5">
        <f>'balance_raw_13824606'!$C$53</f>
        <v/>
      </c>
      <c r="D76" s="5">
        <f>'balance_raw_13824606'!$D$53</f>
        <v/>
      </c>
      <c r="E76" s="5">
        <f>'balance_raw_13824606'!$E$53</f>
        <v/>
      </c>
      <c r="F76" s="5">
        <f>'balance_raw_13824606'!$F$53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'balance_raw_13824606'!$B$54</f>
        <v/>
      </c>
      <c r="C77" s="8">
        <f>'balance_raw_13824606'!$C$54</f>
        <v/>
      </c>
      <c r="D77" s="8">
        <f>'balance_raw_13824606'!$D$54</f>
        <v/>
      </c>
      <c r="E77" s="8">
        <f>'balance_raw_13824606'!$E$54</f>
        <v/>
      </c>
      <c r="F77" s="8">
        <f>'balance_raw_13824606'!$F$54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'balance_raw_13824606'!$B$55</f>
        <v/>
      </c>
      <c r="C78" s="5">
        <f>'balance_raw_13824606'!$C$55</f>
        <v/>
      </c>
      <c r="D78" s="5">
        <f>'balance_raw_13824606'!$D$55</f>
        <v/>
      </c>
      <c r="E78" s="5">
        <f>'balance_raw_13824606'!$E$55</f>
        <v/>
      </c>
      <c r="F78" s="5">
        <f>'balance_raw_13824606'!$F$55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'balance_raw_13824606'!$B$56</f>
        <v/>
      </c>
      <c r="C79" s="8">
        <f>'balance_raw_13824606'!$C$56</f>
        <v/>
      </c>
      <c r="D79" s="8">
        <f>'balance_raw_13824606'!$D$56</f>
        <v/>
      </c>
      <c r="E79" s="8">
        <f>'balance_raw_13824606'!$E$56</f>
        <v/>
      </c>
      <c r="F79" s="8">
        <f>'balance_raw_13824606'!$F$56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'balance_raw_13824606'!$B$57</f>
        <v/>
      </c>
      <c r="C80" s="11">
        <f>'balance_raw_13824606'!$C$57</f>
        <v/>
      </c>
      <c r="D80" s="11">
        <f>'balance_raw_13824606'!$D$57</f>
        <v/>
      </c>
      <c r="E80" s="11">
        <f>'balance_raw_13824606'!$E$57</f>
        <v/>
      </c>
      <c r="F80" s="11">
        <f>'balance_raw_13824606'!$F$57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'balance_raw_13824606'!$B$58</f>
        <v/>
      </c>
      <c r="C81" s="11">
        <f>'balance_raw_13824606'!$C$58</f>
        <v/>
      </c>
      <c r="D81" s="11">
        <f>'balance_raw_13824606'!$D$58</f>
        <v/>
      </c>
      <c r="E81" s="11">
        <f>'balance_raw_13824606'!$E$58</f>
        <v/>
      </c>
      <c r="F81" s="11">
        <f>'balance_raw_13824606'!$F$58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'balance_raw_13824606'!$B$59</f>
        <v/>
      </c>
      <c r="C82" s="11">
        <f>'balance_raw_13824606'!$C$59</f>
        <v/>
      </c>
      <c r="D82" s="11">
        <f>'balance_raw_13824606'!$D$59</f>
        <v/>
      </c>
      <c r="E82" s="11">
        <f>'balance_raw_13824606'!$E$59</f>
        <v/>
      </c>
      <c r="F82" s="11">
        <f>'balance_raw_13824606'!$F$59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'res_raw_13824606'!$B$19</f>
        <v/>
      </c>
      <c r="C85" s="8">
        <f>'res_raw_13824606'!$C$19</f>
        <v/>
      </c>
      <c r="D85" s="8">
        <f>'res_raw_13824606'!$D$19</f>
        <v/>
      </c>
      <c r="E85" s="8">
        <f>'res_raw_13824606'!$E$19</f>
        <v/>
      </c>
      <c r="F85" s="8">
        <f>'res_raw_13824606'!$F$19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'res_raw_13824606'!$B$20</f>
        <v/>
      </c>
      <c r="C86" s="5">
        <f>'res_raw_13824606'!$C$20</f>
        <v/>
      </c>
      <c r="D86" s="5">
        <f>'res_raw_13824606'!$D$20</f>
        <v/>
      </c>
      <c r="E86" s="5">
        <f>'res_raw_13824606'!$E$20</f>
        <v/>
      </c>
      <c r="F86" s="5">
        <f>'res_raw_13824606'!$F$20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t.kr.</t>
        </is>
      </c>
    </row>
    <row r="102">
      <c r="A102" s="16" t="inlineStr">
        <is>
          <t>Pengestrømme fra driftsaktivitet</t>
        </is>
      </c>
      <c r="B102" s="17">
        <f>'pengestrom_raw_13824606'!$B$2</f>
        <v/>
      </c>
      <c r="C102" s="17">
        <f>'pengestrom_raw_13824606'!$C$2</f>
        <v/>
      </c>
      <c r="D102" s="17">
        <f>'pengestrom_raw_13824606'!$D$2</f>
        <v/>
      </c>
      <c r="E102" s="17">
        <f>'pengestrom_raw_13824606'!$E$2</f>
        <v/>
      </c>
      <c r="F102" s="17">
        <f>'pengestrom_raw_13824606'!$F$2</f>
        <v/>
      </c>
    </row>
    <row r="103">
      <c r="A103" s="16" t="inlineStr">
        <is>
          <t>Pengestrømme fra investeringsaktivitet</t>
        </is>
      </c>
      <c r="B103" s="17">
        <f>'pengestrom_raw_13824606'!$B$3</f>
        <v/>
      </c>
      <c r="C103" s="17">
        <f>'pengestrom_raw_13824606'!$C$3</f>
        <v/>
      </c>
      <c r="D103" s="17">
        <f>'pengestrom_raw_13824606'!$D$3</f>
        <v/>
      </c>
      <c r="E103" s="17">
        <f>'pengestrom_raw_13824606'!$E$3</f>
        <v/>
      </c>
      <c r="F103" s="17">
        <f>'pengestrom_raw_13824606'!$F$3</f>
        <v/>
      </c>
    </row>
    <row r="104">
      <c r="A104" s="16" t="inlineStr">
        <is>
          <t>Pengestrømme fra finansieringsaktivitet</t>
        </is>
      </c>
      <c r="B104" s="17">
        <f>'pengestrom_raw_13824606'!$B$4</f>
        <v/>
      </c>
      <c r="C104" s="17">
        <f>'pengestrom_raw_13824606'!$C$4</f>
        <v/>
      </c>
      <c r="D104" s="17">
        <f>'pengestrom_raw_13824606'!$D$4</f>
        <v/>
      </c>
      <c r="E104" s="17">
        <f>'pengestrom_raw_13824606'!$E$4</f>
        <v/>
      </c>
      <c r="F104" s="17">
        <f>'pengestrom_raw_13824606'!$F$4</f>
        <v/>
      </c>
    </row>
    <row r="105">
      <c r="A105" s="16" t="inlineStr">
        <is>
          <t>Årets pengestrøm (rapporteret)</t>
        </is>
      </c>
      <c r="B105" s="17">
        <f>'pengestrom_raw_13824606'!$B$5</f>
        <v/>
      </c>
      <c r="C105" s="17">
        <f>'pengestrom_raw_13824606'!$C$5</f>
        <v/>
      </c>
      <c r="D105" s="17">
        <f>'pengestrom_raw_13824606'!$D$5</f>
        <v/>
      </c>
      <c r="E105" s="17">
        <f>'pengestrom_raw_13824606'!$E$5</f>
        <v/>
      </c>
      <c r="F105" s="17">
        <f>'pengestrom_raw_13824606'!$F$5</f>
        <v/>
      </c>
    </row>
    <row r="106">
      <c r="A106" s="16" t="inlineStr">
        <is>
          <t>Krydstjek: drift + inv. + fin. = årets pengestrøm</t>
        </is>
      </c>
      <c r="B106">
        <f>IF(ABS(('pengestrom_raw_13824606'!$B$2+'pengestrom_raw_13824606'!$B$3+'pengestrom_raw_13824606'!$B$4)-'pengestrom_raw_13824606'!$B$5)&lt;=2,"✓","⚠ "&amp;TEXT(('pengestrom_raw_13824606'!$B$2+'pengestrom_raw_13824606'!$B$3+'pengestrom_raw_13824606'!$B$4)-'pengestrom_raw_13824606'!$B$5,"+#,##0;-#,##0"))</f>
        <v/>
      </c>
      <c r="C106">
        <f>IF(ABS(('pengestrom_raw_13824606'!$C$2+'pengestrom_raw_13824606'!$C$3+'pengestrom_raw_13824606'!$C$4)-'pengestrom_raw_13824606'!$C$5)&lt;=2,"✓","⚠ "&amp;TEXT(('pengestrom_raw_13824606'!$C$2+'pengestrom_raw_13824606'!$C$3+'pengestrom_raw_13824606'!$C$4)-'pengestrom_raw_13824606'!$C$5,"+#,##0;-#,##0"))</f>
        <v/>
      </c>
      <c r="D106">
        <f>IF(ABS(('pengestrom_raw_13824606'!$D$2+'pengestrom_raw_13824606'!$D$3+'pengestrom_raw_13824606'!$D$4)-'pengestrom_raw_13824606'!$D$5)&lt;=2,"✓","⚠ "&amp;TEXT(('pengestrom_raw_13824606'!$D$2+'pengestrom_raw_13824606'!$D$3+'pengestrom_raw_13824606'!$D$4)-'pengestrom_raw_13824606'!$D$5,"+#,##0;-#,##0"))</f>
        <v/>
      </c>
      <c r="E106">
        <f>IF(ABS(('pengestrom_raw_13824606'!$E$2+'pengestrom_raw_13824606'!$E$3+'pengestrom_raw_13824606'!$E$4)-'pengestrom_raw_13824606'!$E$5)&lt;=2,"✓","⚠ "&amp;TEXT(('pengestrom_raw_13824606'!$E$2+'pengestrom_raw_13824606'!$E$3+'pengestrom_raw_13824606'!$E$4)-'pengestrom_raw_13824606'!$E$5,"+#,##0;-#,##0"))</f>
        <v/>
      </c>
      <c r="F106">
        <f>IF(ABS(('pengestrom_raw_13824606'!$F$2+'pengestrom_raw_13824606'!$F$3+'pengestrom_raw_13824606'!$F$4)-'pengestrom_raw_13824606'!$F$5)&lt;=2,"✓","⚠ "&amp;TEXT(('pengestrom_raw_13824606'!$F$2+'pengestrom_raw_13824606'!$F$3+'pengestrom_raw_13824606'!$F$4)-'pengestrom_raw_13824606'!$F$5,"+#,##0;-#,##0"))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SPORT 24 A/S (CVR 13824606)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1428380</v>
      </c>
      <c r="C2" s="17" t="n">
        <v>1483960</v>
      </c>
      <c r="D2" s="17" t="n">
        <v>1427398</v>
      </c>
      <c r="E2" s="17" t="n">
        <v>1548822</v>
      </c>
      <c r="F2" s="17" t="n">
        <v>1644822</v>
      </c>
    </row>
    <row r="3">
      <c r="A3" s="16" t="inlineStr">
        <is>
          <t>Andre driftsindtægter</t>
        </is>
      </c>
      <c r="B3" s="17" t="n">
        <v>37408</v>
      </c>
      <c r="C3" s="17" t="n">
        <v>18532</v>
      </c>
      <c r="D3" s="17" t="n">
        <v>12655</v>
      </c>
      <c r="E3" s="17" t="n">
        <v>11262</v>
      </c>
      <c r="F3" s="17" t="n">
        <v>8627</v>
      </c>
    </row>
    <row r="4">
      <c r="A4" s="16" t="inlineStr">
        <is>
          <t>Vareforbrug</t>
        </is>
      </c>
      <c r="B4" s="17" t="n">
        <v>894832</v>
      </c>
      <c r="C4" s="17" t="n">
        <v>916302</v>
      </c>
      <c r="D4" s="17" t="n">
        <v>865651</v>
      </c>
      <c r="E4" s="17" t="n">
        <v>913313</v>
      </c>
      <c r="F4" s="17" t="n">
        <v>986151</v>
      </c>
    </row>
    <row r="5">
      <c r="A5" s="16" t="inlineStr">
        <is>
          <t>Andre eksterne omkostninger</t>
        </is>
      </c>
      <c r="B5" s="17" t="n">
        <v>249046</v>
      </c>
      <c r="C5" s="17" t="n">
        <v>276978</v>
      </c>
      <c r="D5" s="17" t="n">
        <v>268239</v>
      </c>
      <c r="E5" s="17" t="n">
        <v>273769</v>
      </c>
      <c r="F5" s="17" t="n">
        <v>299096</v>
      </c>
    </row>
    <row r="6">
      <c r="A6" s="15" t="inlineStr">
        <is>
          <t>Bruttoresultat</t>
        </is>
      </c>
      <c r="B6" s="17" t="n">
        <v>321910</v>
      </c>
      <c r="C6" s="17" t="n">
        <v>311162</v>
      </c>
      <c r="D6" s="17" t="n">
        <v>310982</v>
      </c>
      <c r="E6" s="17" t="n">
        <v>382564</v>
      </c>
      <c r="F6" s="17" t="n">
        <v>375304</v>
      </c>
    </row>
    <row r="7">
      <c r="A7" s="16" t="inlineStr">
        <is>
          <t>Personaleomkostninger</t>
        </is>
      </c>
      <c r="B7" s="17" t="n">
        <v>205870</v>
      </c>
      <c r="C7" s="17" t="n">
        <v>227564</v>
      </c>
      <c r="D7" s="17" t="n">
        <v>239113</v>
      </c>
      <c r="E7" s="17" t="n">
        <v>267282</v>
      </c>
      <c r="F7" s="17" t="n">
        <v>281834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24863</v>
      </c>
      <c r="C9" s="17" t="n">
        <v>31392</v>
      </c>
      <c r="D9" s="17" t="n">
        <v>22802</v>
      </c>
      <c r="E9" s="17" t="n">
        <v>28673</v>
      </c>
      <c r="F9" s="17" t="n">
        <v>33006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91177</v>
      </c>
      <c r="C11" s="17" t="n">
        <v>52206</v>
      </c>
      <c r="D11" s="17" t="n">
        <v>49067</v>
      </c>
      <c r="E11" s="17" t="n">
        <v>86609</v>
      </c>
      <c r="F11" s="17" t="n">
        <v>60464</v>
      </c>
    </row>
    <row r="12">
      <c r="A12" s="16" t="inlineStr">
        <is>
          <t>Indtægter af kapitalandele, dattervirksomheder</t>
        </is>
      </c>
      <c r="B12" s="17" t="n">
        <v>-22</v>
      </c>
      <c r="C12" s="17" t="n">
        <v>1110</v>
      </c>
      <c r="D12" s="17" t="n">
        <v>1927</v>
      </c>
      <c r="E12" s="17" t="n">
        <v>2123</v>
      </c>
      <c r="F12" s="17" t="n">
        <v>51</v>
      </c>
    </row>
    <row r="13">
      <c r="A13" s="16" t="inlineStr">
        <is>
          <t>Finansielle indtægter</t>
        </is>
      </c>
      <c r="B13" s="17" t="n">
        <v>701</v>
      </c>
      <c r="C13" s="17" t="n">
        <v>1141</v>
      </c>
      <c r="D13" s="17" t="n">
        <v>1605</v>
      </c>
      <c r="E13" s="17" t="n">
        <v>2440</v>
      </c>
      <c r="F13" s="17" t="n">
        <v>1624</v>
      </c>
    </row>
    <row r="14">
      <c r="A14" s="16" t="inlineStr">
        <is>
          <t>Finansielle omkostninger</t>
        </is>
      </c>
      <c r="B14" s="17" t="n">
        <v>2106</v>
      </c>
      <c r="C14" s="17" t="n">
        <v>3766</v>
      </c>
      <c r="D14" s="17" t="n">
        <v>8453</v>
      </c>
      <c r="E14" s="17" t="n">
        <v>5963</v>
      </c>
      <c r="F14" s="17" t="n">
        <v>6855</v>
      </c>
    </row>
    <row r="15">
      <c r="A15" s="15" t="inlineStr">
        <is>
          <t>Finansielle poster, netto</t>
        </is>
      </c>
      <c r="B15" s="17" t="n">
        <v>-1405</v>
      </c>
      <c r="C15" s="17" t="n">
        <v>-2625</v>
      </c>
      <c r="D15" s="17" t="n">
        <v>-6848</v>
      </c>
      <c r="E15" s="17" t="n">
        <v>-3523</v>
      </c>
      <c r="F15" s="17" t="n">
        <v>-5231</v>
      </c>
    </row>
    <row r="16">
      <c r="A16" s="15" t="inlineStr">
        <is>
          <t>Resultat før skat</t>
        </is>
      </c>
      <c r="B16" s="17" t="n">
        <v>89750</v>
      </c>
      <c r="C16" s="17" t="n">
        <v>50691</v>
      </c>
      <c r="D16" s="17" t="n">
        <v>44146</v>
      </c>
      <c r="E16" s="17" t="n">
        <v>85209</v>
      </c>
      <c r="F16" s="17" t="n">
        <v>58344</v>
      </c>
    </row>
    <row r="17">
      <c r="A17" s="16" t="inlineStr">
        <is>
          <t>Skat af årets resultat</t>
        </is>
      </c>
      <c r="B17" s="17" t="n">
        <v>20560</v>
      </c>
      <c r="C17" s="17" t="n">
        <v>12014</v>
      </c>
      <c r="D17" s="17" t="n">
        <v>9994</v>
      </c>
      <c r="E17" s="17" t="n">
        <v>18933</v>
      </c>
      <c r="F17" s="17" t="n">
        <v>13087</v>
      </c>
    </row>
    <row r="18">
      <c r="A18" s="15" t="inlineStr">
        <is>
          <t>Årets resultat</t>
        </is>
      </c>
      <c r="B18" s="17" t="n">
        <v>69190</v>
      </c>
      <c r="C18" s="17" t="n">
        <v>38677</v>
      </c>
      <c r="D18" s="17" t="n">
        <v>34152</v>
      </c>
      <c r="E18" s="17" t="n">
        <v>66276</v>
      </c>
      <c r="F18" s="17" t="n">
        <v>45257</v>
      </c>
    </row>
    <row r="19">
      <c r="A19" s="16" t="inlineStr">
        <is>
          <t>Gns. antal medarbejdere</t>
        </is>
      </c>
      <c r="B19" s="17" t="n">
        <v>508</v>
      </c>
      <c r="C19" s="17" t="n">
        <v>532</v>
      </c>
      <c r="D19" s="17" t="n">
        <v>539</v>
      </c>
      <c r="E19" s="17" t="n">
        <v>557</v>
      </c>
      <c r="F19" s="17" t="n">
        <v>579</v>
      </c>
    </row>
    <row r="20">
      <c r="A20" s="16" t="inlineStr">
        <is>
          <t>Investering i materielle anlægsaktiver</t>
        </is>
      </c>
      <c r="B20" s="17" t="n"/>
      <c r="C20" s="17" t="n"/>
      <c r="D20" s="17" t="n"/>
      <c r="E20" s="17" t="n"/>
      <c r="F20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SPORT 24 A/S (CVR 13824606)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3160</v>
      </c>
      <c r="C2" s="17" t="n">
        <v>1730</v>
      </c>
      <c r="D2" s="17" t="n">
        <v>614</v>
      </c>
      <c r="E2" s="17" t="n">
        <v>18750</v>
      </c>
      <c r="F2" s="17" t="n">
        <v>33866</v>
      </c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40106</v>
      </c>
      <c r="C4" s="17" t="n">
        <v>35453</v>
      </c>
      <c r="D4" s="17" t="n">
        <v>30831</v>
      </c>
      <c r="E4" s="17" t="n">
        <v>26303</v>
      </c>
      <c r="F4" s="17" t="n">
        <v>21774</v>
      </c>
    </row>
    <row r="5">
      <c r="A5" s="15" t="inlineStr">
        <is>
          <t>Immaterielle anlægsaktiver</t>
        </is>
      </c>
      <c r="B5" s="17" t="n">
        <v>44287</v>
      </c>
      <c r="C5" s="17" t="n">
        <v>41833</v>
      </c>
      <c r="D5" s="17" t="n">
        <v>47070</v>
      </c>
      <c r="E5" s="17" t="n">
        <v>54168</v>
      </c>
      <c r="F5" s="17" t="n">
        <v>55723</v>
      </c>
    </row>
    <row r="6">
      <c r="A6" s="16" t="inlineStr">
        <is>
          <t>Grunde og bygninger</t>
        </is>
      </c>
      <c r="B6" s="17" t="n"/>
      <c r="C6" s="17" t="n"/>
      <c r="D6" s="17" t="n"/>
      <c r="E6" s="17" t="n"/>
      <c r="F6" s="17" t="n"/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>
        <v>33014</v>
      </c>
      <c r="C8" s="17" t="n">
        <v>72768</v>
      </c>
      <c r="D8" s="17" t="n">
        <v>78658</v>
      </c>
      <c r="E8" s="17" t="n">
        <v>75203</v>
      </c>
      <c r="F8" s="17" t="n">
        <v>88168</v>
      </c>
    </row>
    <row r="9">
      <c r="A9" s="16" t="inlineStr">
        <is>
          <t>Indretning af lejede lokaler</t>
        </is>
      </c>
      <c r="B9" s="17" t="n">
        <v>34744</v>
      </c>
      <c r="C9" s="17" t="n">
        <v>25898</v>
      </c>
      <c r="D9" s="17" t="n">
        <v>25027</v>
      </c>
      <c r="E9" s="17" t="n">
        <v>26680</v>
      </c>
      <c r="F9" s="17" t="n">
        <v>37631</v>
      </c>
    </row>
    <row r="10">
      <c r="A10" s="16" t="inlineStr">
        <is>
          <t>Forudbetaling og anlægsaktiver under opførelse</t>
        </is>
      </c>
      <c r="B10" s="17" t="n">
        <v>23346</v>
      </c>
      <c r="C10" s="17" t="n">
        <v>0</v>
      </c>
      <c r="D10" s="17" t="n"/>
      <c r="E10" s="17" t="n"/>
      <c r="F10" s="17" t="n"/>
    </row>
    <row r="11">
      <c r="A11" s="15" t="inlineStr">
        <is>
          <t>Materielle anlægsaktiver</t>
        </is>
      </c>
      <c r="B11" s="17" t="n">
        <v>91104</v>
      </c>
      <c r="C11" s="17" t="n">
        <v>98666</v>
      </c>
      <c r="D11" s="17" t="n">
        <v>103685</v>
      </c>
      <c r="E11" s="17" t="n">
        <v>101883</v>
      </c>
      <c r="F11" s="17" t="n">
        <v>125799</v>
      </c>
    </row>
    <row r="12">
      <c r="A12" s="16" t="inlineStr">
        <is>
          <t>Kapitalandele, dattervirksomheder</t>
        </is>
      </c>
      <c r="B12" s="17" t="n">
        <v>5985</v>
      </c>
      <c r="C12" s="17" t="n">
        <v>7095</v>
      </c>
      <c r="D12" s="17" t="n">
        <v>9022</v>
      </c>
      <c r="E12" s="17" t="n">
        <v>11145</v>
      </c>
      <c r="F12" s="17" t="n">
        <v>2358</v>
      </c>
    </row>
    <row r="13">
      <c r="A13" s="16" t="inlineStr">
        <is>
          <t>Deposita</t>
        </is>
      </c>
      <c r="B13" s="17" t="n">
        <v>4754</v>
      </c>
      <c r="C13" s="17" t="n">
        <v>2884</v>
      </c>
      <c r="D13" s="17" t="n">
        <v>2338</v>
      </c>
      <c r="E13" s="17" t="n">
        <v>2338</v>
      </c>
      <c r="F13" s="17" t="n">
        <v>1950</v>
      </c>
    </row>
    <row r="14">
      <c r="A14" s="15" t="inlineStr">
        <is>
          <t>Finansielle anlægsaktiver</t>
        </is>
      </c>
      <c r="B14" s="17" t="n">
        <v>10739</v>
      </c>
      <c r="C14" s="17" t="n">
        <v>26972</v>
      </c>
      <c r="D14" s="17" t="n">
        <v>28442</v>
      </c>
      <c r="E14" s="17" t="n">
        <v>30597</v>
      </c>
      <c r="F14" s="17" t="n">
        <v>35740</v>
      </c>
    </row>
    <row r="15">
      <c r="A15" s="15" t="inlineStr">
        <is>
          <t>Anlægsaktiver</t>
        </is>
      </c>
      <c r="B15" s="17" t="n">
        <v>146130</v>
      </c>
      <c r="C15" s="17" t="n">
        <v>167471</v>
      </c>
      <c r="D15" s="17" t="n">
        <v>179197</v>
      </c>
      <c r="E15" s="17" t="n">
        <v>186648</v>
      </c>
      <c r="F15" s="17" t="n">
        <v>217262</v>
      </c>
    </row>
    <row r="16">
      <c r="A16" s="16" t="inlineStr">
        <is>
          <t>Råvarer og hjælpematerialer</t>
        </is>
      </c>
      <c r="B16" s="17" t="n"/>
      <c r="C16" s="17" t="n"/>
      <c r="D16" s="17" t="n"/>
      <c r="E16" s="17" t="n"/>
      <c r="F16" s="17" t="n"/>
    </row>
    <row r="17">
      <c r="A17" s="16" t="inlineStr">
        <is>
          <t>Varer under fremstilling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Færdigvarer og handelsvarer</t>
        </is>
      </c>
      <c r="B18" s="17" t="n">
        <v>242984</v>
      </c>
      <c r="C18" s="17" t="n">
        <v>331186</v>
      </c>
      <c r="D18" s="17" t="n">
        <v>261759</v>
      </c>
      <c r="E18" s="17" t="n">
        <v>282047</v>
      </c>
      <c r="F18" s="17" t="n">
        <v>284629</v>
      </c>
    </row>
    <row r="19">
      <c r="A19" s="15" t="inlineStr">
        <is>
          <t>Varebeholdninger</t>
        </is>
      </c>
      <c r="B19" s="17" t="n">
        <v>242984</v>
      </c>
      <c r="C19" s="17" t="n">
        <v>331186</v>
      </c>
      <c r="D19" s="17" t="n">
        <v>261759</v>
      </c>
      <c r="E19" s="17" t="n">
        <v>282262</v>
      </c>
      <c r="F19" s="17" t="n">
        <v>284645</v>
      </c>
    </row>
    <row r="20">
      <c r="A20" s="16" t="inlineStr">
        <is>
          <t>Tilgodehavender fra salg og tjenesteydelser</t>
        </is>
      </c>
      <c r="B20" s="17" t="n">
        <v>34465</v>
      </c>
      <c r="C20" s="17" t="n">
        <v>22415</v>
      </c>
      <c r="D20" s="17" t="n">
        <v>23683</v>
      </c>
      <c r="E20" s="17" t="n">
        <v>38620</v>
      </c>
      <c r="F20" s="17" t="n">
        <v>42563</v>
      </c>
    </row>
    <row r="21">
      <c r="A21" s="16" t="inlineStr">
        <is>
          <t>Tilgodehavender hos tilknyttede virksomheder</t>
        </is>
      </c>
      <c r="B21" s="17" t="n">
        <v>4548</v>
      </c>
      <c r="C21" s="17" t="n">
        <v>2</v>
      </c>
      <c r="D21" s="17" t="n">
        <v>2010</v>
      </c>
      <c r="E21" s="17" t="n">
        <v>4</v>
      </c>
      <c r="F21" s="17" t="n">
        <v>475</v>
      </c>
    </row>
    <row r="22">
      <c r="A22" s="16" t="inlineStr">
        <is>
          <t>Andre tilgodehavender</t>
        </is>
      </c>
      <c r="B22" s="17" t="n">
        <v>11540</v>
      </c>
      <c r="C22" s="17" t="n">
        <v>26334</v>
      </c>
      <c r="D22" s="17" t="n">
        <v>21719</v>
      </c>
      <c r="E22" s="17" t="n">
        <v>31312</v>
      </c>
      <c r="F22" s="17" t="n">
        <v>22241</v>
      </c>
    </row>
    <row r="23">
      <c r="A23" s="16" t="inlineStr">
        <is>
          <t>Periodeafgrænsningsposter (aktiver)</t>
        </is>
      </c>
      <c r="B23" s="17" t="n">
        <v>3089</v>
      </c>
      <c r="C23" s="17" t="n">
        <v>8868</v>
      </c>
      <c r="D23" s="17" t="n">
        <v>4208</v>
      </c>
      <c r="E23" s="17" t="n">
        <v>5038</v>
      </c>
      <c r="F23" s="17" t="n">
        <v>6413</v>
      </c>
    </row>
    <row r="24">
      <c r="A24" s="16" t="inlineStr">
        <is>
          <t>Udskudt skatteaktiv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Tilgodehavende skat hos tilknyttede virksomheder</t>
        </is>
      </c>
      <c r="B25" s="17" t="n"/>
      <c r="C25" s="17" t="n"/>
      <c r="D25" s="17" t="n">
        <v>5654</v>
      </c>
      <c r="E25" s="17" t="n">
        <v>0</v>
      </c>
      <c r="F25" s="17" t="n"/>
    </row>
    <row r="26">
      <c r="A26" s="16" t="inlineStr">
        <is>
          <t>Kortfristede skattetilgodehavender</t>
        </is>
      </c>
      <c r="B26" s="17" t="n"/>
      <c r="C26" s="17" t="n"/>
      <c r="D26" s="17" t="n"/>
      <c r="E26" s="17" t="n"/>
      <c r="F26" s="17" t="n"/>
    </row>
    <row r="27">
      <c r="A27" s="15" t="inlineStr">
        <is>
          <t>Tilgodehavender</t>
        </is>
      </c>
      <c r="B27" s="17" t="n">
        <v>122534</v>
      </c>
      <c r="C27" s="17" t="n">
        <v>58498</v>
      </c>
      <c r="D27" s="17" t="n">
        <v>60458</v>
      </c>
      <c r="E27" s="17" t="n">
        <v>76786</v>
      </c>
      <c r="F27" s="17" t="n">
        <v>76337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69136</v>
      </c>
      <c r="C29" s="17" t="n">
        <v>23334</v>
      </c>
      <c r="D29" s="17" t="n">
        <v>65396</v>
      </c>
      <c r="E29" s="17" t="n">
        <v>42646</v>
      </c>
      <c r="F29" s="17" t="n">
        <v>31864</v>
      </c>
    </row>
    <row r="30">
      <c r="A30" s="15" t="inlineStr">
        <is>
          <t>Omsætningsaktiver</t>
        </is>
      </c>
      <c r="B30" s="17" t="n">
        <v>434654</v>
      </c>
      <c r="C30" s="17" t="n">
        <v>413018</v>
      </c>
      <c r="D30" s="17" t="n">
        <v>387613</v>
      </c>
      <c r="E30" s="17" t="n">
        <v>401694</v>
      </c>
      <c r="F30" s="17" t="n">
        <v>392846</v>
      </c>
    </row>
    <row r="31">
      <c r="A31" s="15" t="inlineStr">
        <is>
          <t>Aktiver</t>
        </is>
      </c>
      <c r="B31" s="17" t="n">
        <v>580784</v>
      </c>
      <c r="C31" s="17" t="n">
        <v>580489</v>
      </c>
      <c r="D31" s="17" t="n">
        <v>566810</v>
      </c>
      <c r="E31" s="17" t="n">
        <v>588342</v>
      </c>
      <c r="F31" s="17" t="n">
        <v>610108</v>
      </c>
    </row>
    <row r="32">
      <c r="A32" s="16" t="inlineStr">
        <is>
          <t>Selskabskapital</t>
        </is>
      </c>
      <c r="B32" s="17" t="n">
        <v>9698</v>
      </c>
      <c r="C32" s="17" t="n">
        <v>9698</v>
      </c>
      <c r="D32" s="17" t="n">
        <v>9698</v>
      </c>
      <c r="E32" s="17" t="n">
        <v>9698</v>
      </c>
      <c r="F32" s="17" t="n">
        <v>9698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>
        <v>2465</v>
      </c>
      <c r="C34" s="17" t="n">
        <v>4430</v>
      </c>
      <c r="D34" s="17" t="n">
        <v>12287</v>
      </c>
      <c r="E34" s="17" t="n">
        <v>21514</v>
      </c>
      <c r="F34" s="17" t="n">
        <v>26415</v>
      </c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Overført resultat</t>
        </is>
      </c>
      <c r="B37" s="17" t="n">
        <v>207876</v>
      </c>
      <c r="C37" s="17" t="n">
        <v>169018</v>
      </c>
      <c r="D37" s="17" t="n">
        <v>203170</v>
      </c>
      <c r="E37" s="17" t="n">
        <v>219446</v>
      </c>
      <c r="F37" s="17" t="n">
        <v>178288</v>
      </c>
    </row>
    <row r="38">
      <c r="A38" s="15" t="inlineStr">
        <is>
          <t>Egenkapital i alt</t>
        </is>
      </c>
      <c r="B38" s="17" t="n">
        <v>220039</v>
      </c>
      <c r="C38" s="17" t="n">
        <v>208716</v>
      </c>
      <c r="D38" s="17" t="n">
        <v>212868</v>
      </c>
      <c r="E38" s="17" t="n">
        <v>229144</v>
      </c>
      <c r="F38" s="17" t="n">
        <v>214401</v>
      </c>
    </row>
    <row r="39">
      <c r="A39" s="16" t="inlineStr">
        <is>
          <t>Hensættelse til udskudt skat</t>
        </is>
      </c>
      <c r="B39" s="17" t="n">
        <v>9944</v>
      </c>
      <c r="C39" s="17" t="n">
        <v>16249</v>
      </c>
      <c r="D39" s="17" t="n">
        <v>22827</v>
      </c>
      <c r="E39" s="17" t="n">
        <v>24500</v>
      </c>
      <c r="F39" s="17" t="n">
        <v>22207</v>
      </c>
    </row>
    <row r="40">
      <c r="A40" s="15" t="inlineStr">
        <is>
          <t>Hensatte forpligtelser</t>
        </is>
      </c>
      <c r="B40" s="17" t="n">
        <v>9944</v>
      </c>
      <c r="C40" s="17" t="n">
        <v>16249</v>
      </c>
      <c r="D40" s="17" t="n">
        <v>22827</v>
      </c>
      <c r="E40" s="17" t="n">
        <v>24500</v>
      </c>
      <c r="F40" s="17" t="n">
        <v>22207</v>
      </c>
    </row>
    <row r="41">
      <c r="A41" s="16" t="inlineStr">
        <is>
          <t>Ansvarlig lånekapital (langfristet)</t>
        </is>
      </c>
      <c r="B41" s="17" t="n">
        <v>0</v>
      </c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Leasingforpligtelser (langfristet)</t>
        </is>
      </c>
      <c r="B43" s="17" t="n">
        <v>21089</v>
      </c>
      <c r="C43" s="17" t="n">
        <v>30333</v>
      </c>
      <c r="D43" s="17" t="n">
        <v>25284</v>
      </c>
      <c r="E43" s="17" t="n">
        <v>21484</v>
      </c>
      <c r="F43" s="17" t="n">
        <v>15543</v>
      </c>
    </row>
    <row r="44">
      <c r="A44" s="16" t="inlineStr">
        <is>
          <t>Anden gæld (langfristet)</t>
        </is>
      </c>
      <c r="B44" s="17" t="n">
        <v>1151</v>
      </c>
      <c r="C44" s="17" t="n">
        <v>1151</v>
      </c>
      <c r="D44" s="17" t="n">
        <v>1151</v>
      </c>
      <c r="E44" s="17" t="n">
        <v>1151</v>
      </c>
      <c r="F44" s="17" t="n">
        <v>1151</v>
      </c>
    </row>
    <row r="45">
      <c r="A45" s="15" t="inlineStr">
        <is>
          <t>Langfristede gældsforpligtelser</t>
        </is>
      </c>
      <c r="B45" s="17" t="n">
        <v>34524</v>
      </c>
      <c r="C45" s="17" t="n">
        <v>43974</v>
      </c>
      <c r="D45" s="17" t="n">
        <v>39277</v>
      </c>
      <c r="E45" s="17" t="n">
        <v>35842</v>
      </c>
      <c r="F45" s="17" t="n">
        <v>30269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>
        <v>2257</v>
      </c>
      <c r="C47" s="17" t="n">
        <v>4941</v>
      </c>
      <c r="D47" s="17" t="n">
        <v>5049</v>
      </c>
      <c r="E47" s="17" t="n">
        <v>5159</v>
      </c>
      <c r="F47" s="17" t="n">
        <v>5272</v>
      </c>
    </row>
    <row r="48">
      <c r="A48" s="16" t="inlineStr">
        <is>
          <t>Kreditinstitutter</t>
        </is>
      </c>
      <c r="B48" s="17" t="n">
        <v>1236</v>
      </c>
      <c r="C48" s="17" t="n">
        <v>44185</v>
      </c>
      <c r="D48" s="17" t="n">
        <v>0</v>
      </c>
      <c r="E48" s="17" t="n"/>
      <c r="F48" s="17" t="n">
        <v>54247</v>
      </c>
    </row>
    <row r="49">
      <c r="A49" s="16" t="inlineStr">
        <is>
          <t>Leasingforpligtelser (kortfristet)</t>
        </is>
      </c>
      <c r="B49" s="17" t="n">
        <v>3272</v>
      </c>
      <c r="C49" s="17" t="n">
        <v>4151</v>
      </c>
      <c r="D49" s="17" t="n">
        <v>4003</v>
      </c>
      <c r="E49" s="17" t="n">
        <v>3075</v>
      </c>
      <c r="F49" s="17" t="n">
        <v>3773</v>
      </c>
    </row>
    <row r="50">
      <c r="A50" s="16" t="inlineStr">
        <is>
          <t>Leverandører af varer og tjenesteydelser</t>
        </is>
      </c>
      <c r="B50" s="17" t="n">
        <v>174945</v>
      </c>
      <c r="C50" s="17" t="n">
        <v>100499</v>
      </c>
      <c r="D50" s="17" t="n">
        <v>134418</v>
      </c>
      <c r="E50" s="17" t="n">
        <v>152510</v>
      </c>
      <c r="F50" s="17" t="n">
        <v>138926</v>
      </c>
    </row>
    <row r="51">
      <c r="A51" s="16" t="inlineStr">
        <is>
          <t>Gæld til tilknyttede virksomheder</t>
        </is>
      </c>
      <c r="B51" s="17" t="n">
        <v>0</v>
      </c>
      <c r="C51" s="17" t="n">
        <v>27853</v>
      </c>
      <c r="D51" s="17" t="n">
        <v>30604</v>
      </c>
      <c r="E51" s="17" t="n">
        <v>3248</v>
      </c>
      <c r="F51" s="17" t="n">
        <v>16179</v>
      </c>
    </row>
    <row r="52">
      <c r="A52" s="16" t="inlineStr">
        <is>
          <t>Gæld til selskabsdeltagere og ledelse</t>
        </is>
      </c>
      <c r="B52" s="17" t="n">
        <v>7836</v>
      </c>
      <c r="C52" s="17" t="n">
        <v>16888</v>
      </c>
      <c r="D52" s="17" t="n">
        <v>14957</v>
      </c>
      <c r="E52" s="17" t="n">
        <v>592</v>
      </c>
      <c r="F52" s="17" t="n">
        <v>354</v>
      </c>
    </row>
    <row r="53">
      <c r="A53" s="16" t="inlineStr">
        <is>
          <t>Selskabsskat</t>
        </is>
      </c>
      <c r="B53" s="17" t="n"/>
      <c r="C53" s="17" t="n"/>
      <c r="D53" s="17" t="n"/>
      <c r="E53" s="17" t="n"/>
      <c r="F53" s="17" t="n"/>
    </row>
    <row r="54">
      <c r="A54" s="16" t="inlineStr">
        <is>
          <t>Gæld til tilknyttede virksomheder vedr. selskabsskat</t>
        </is>
      </c>
      <c r="B54" s="17" t="n">
        <v>7766</v>
      </c>
      <c r="C54" s="17" t="n">
        <v>2889</v>
      </c>
      <c r="D54" s="17" t="n">
        <v>0</v>
      </c>
      <c r="E54" s="17" t="n">
        <v>17261</v>
      </c>
      <c r="F54" s="17" t="n">
        <v>3082</v>
      </c>
    </row>
    <row r="55">
      <c r="A55" s="16" t="inlineStr">
        <is>
          <t>Anden gæld (kortfristet)</t>
        </is>
      </c>
      <c r="B55" s="17" t="n">
        <v>86243</v>
      </c>
      <c r="C55" s="17" t="n">
        <v>80053</v>
      </c>
      <c r="D55" s="17" t="n">
        <v>75731</v>
      </c>
      <c r="E55" s="17" t="n">
        <v>86146</v>
      </c>
      <c r="F55" s="17" t="n">
        <v>82503</v>
      </c>
    </row>
    <row r="56">
      <c r="A56" s="16" t="inlineStr">
        <is>
          <t>Periodeafgrænsningsposter (passiver)</t>
        </is>
      </c>
      <c r="B56" s="17" t="n">
        <v>8039</v>
      </c>
      <c r="C56" s="17" t="n">
        <v>4662</v>
      </c>
      <c r="D56" s="17" t="n">
        <v>3619</v>
      </c>
      <c r="E56" s="17" t="n">
        <v>7880</v>
      </c>
      <c r="F56" s="17" t="n">
        <v>16237</v>
      </c>
    </row>
    <row r="57">
      <c r="A57" s="15" t="inlineStr">
        <is>
          <t>Kortfristede gældsforpligtelser</t>
        </is>
      </c>
      <c r="B57" s="17" t="n">
        <v>316277</v>
      </c>
      <c r="C57" s="17" t="n">
        <v>311550</v>
      </c>
      <c r="D57" s="17" t="n">
        <v>291838</v>
      </c>
      <c r="E57" s="17" t="n">
        <v>298856</v>
      </c>
      <c r="F57" s="17" t="n">
        <v>343231</v>
      </c>
    </row>
    <row r="58">
      <c r="A58" s="15" t="inlineStr">
        <is>
          <t>Gældsforpligtelser</t>
        </is>
      </c>
      <c r="B58" s="17" t="n">
        <v>350801</v>
      </c>
      <c r="C58" s="17" t="n">
        <v>355524</v>
      </c>
      <c r="D58" s="17" t="n">
        <v>331115</v>
      </c>
      <c r="E58" s="17" t="n">
        <v>334698</v>
      </c>
      <c r="F58" s="17" t="n">
        <v>373500</v>
      </c>
    </row>
    <row r="59">
      <c r="A59" s="15" t="inlineStr">
        <is>
          <t>Passiver</t>
        </is>
      </c>
      <c r="B59" s="17" t="n">
        <v>580784</v>
      </c>
      <c r="C59" s="17" t="n">
        <v>580489</v>
      </c>
      <c r="D59" s="17" t="n">
        <v>566810</v>
      </c>
      <c r="E59" s="17" t="n">
        <v>588342</v>
      </c>
      <c r="F59" s="17" t="n">
        <v>610108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SPORT 24 A/S (CVR 13824606)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85785</v>
      </c>
      <c r="C2" s="17" t="n">
        <v>-109423</v>
      </c>
      <c r="D2" s="17" t="n">
        <v>158195</v>
      </c>
      <c r="E2" s="17" t="n">
        <v>106656</v>
      </c>
      <c r="F2" s="17" t="n">
        <v>61729</v>
      </c>
    </row>
    <row r="3">
      <c r="A3" s="16" t="inlineStr">
        <is>
          <t>Pengestrømme fra investeringsaktivitet</t>
        </is>
      </c>
      <c r="B3" s="17" t="n">
        <v>-114403</v>
      </c>
      <c r="C3" s="17" t="n">
        <v>34994</v>
      </c>
      <c r="D3" s="17" t="n">
        <v>-34495</v>
      </c>
      <c r="E3" s="17" t="n">
        <v>-28904</v>
      </c>
      <c r="F3" s="17" t="n">
        <v>-57664</v>
      </c>
    </row>
    <row r="4">
      <c r="A4" s="16" t="inlineStr">
        <is>
          <t>Pengestrømme fra finansieringsaktivitet</t>
        </is>
      </c>
      <c r="B4" s="17" t="n">
        <v>-33158</v>
      </c>
      <c r="C4" s="17" t="n">
        <v>28627</v>
      </c>
      <c r="D4" s="17" t="n">
        <v>-81638</v>
      </c>
      <c r="E4" s="17" t="n">
        <v>-100502</v>
      </c>
      <c r="F4" s="17" t="n">
        <v>-14847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SPORT 24 A/S (CVR 13824606) — Regnskabs- og nøgletal (CVR: 13824606)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'res_raw_13824606'!$F$2</f>
        <v/>
      </c>
      <c r="C5" s="24">
        <f>'res_raw_13824606'!$E$2</f>
        <v/>
      </c>
      <c r="D5" s="24">
        <f>'res_raw_13824606'!$D$2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'res_raw_13824606'!$F$3</f>
        <v/>
      </c>
      <c r="C6" s="24">
        <f>'res_raw_13824606'!$E$3</f>
        <v/>
      </c>
      <c r="D6" s="24">
        <f>'res_raw_13824606'!$D$3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-'res_raw_13824606'!$F$4</f>
        <v/>
      </c>
      <c r="C7" s="24">
        <f>-'res_raw_13824606'!$E$4</f>
        <v/>
      </c>
      <c r="D7" s="24">
        <f>-'res_raw_13824606'!$D$4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-'res_raw_13824606'!$F$5</f>
        <v/>
      </c>
      <c r="C8" s="24">
        <f>-'res_raw_13824606'!$E$5</f>
        <v/>
      </c>
      <c r="D8" s="24">
        <f>-'res_raw_13824606'!$D$5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IF(ABS((SUM(B5:B8))-'res_raw_13824606'!$F$6)&lt;=2,SUM(B5:B8),'res_raw_13824606'!$F$6)</f>
        <v/>
      </c>
      <c r="C9" s="27">
        <f>IF(ABS((SUM(C5:C8))-'res_raw_13824606'!$E$6)&lt;=2,SUM(C5:C8),'res_raw_13824606'!$E$6)</f>
        <v/>
      </c>
      <c r="D9" s="27">
        <f>IF(ABS((SUM(D5:D8))-'res_raw_13824606'!$D$6)&lt;=2,SUM(D5:D8),'res_raw_13824606'!$D$6)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-'res_raw_13824606'!$F$7</f>
        <v/>
      </c>
      <c r="C10" s="24">
        <f>-'res_raw_13824606'!$E$7</f>
        <v/>
      </c>
      <c r="D10" s="24">
        <f>-'res_raw_13824606'!$D$7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-'res_raw_13824606'!$F$9</f>
        <v/>
      </c>
      <c r="C11" s="24">
        <f>-'res_raw_13824606'!$E$9</f>
        <v/>
      </c>
      <c r="D11" s="24">
        <f>-'res_raw_13824606'!$D$9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-'res_raw_13824606'!$F$10</f>
        <v/>
      </c>
      <c r="C12" s="24">
        <f>-'res_raw_13824606'!$E$10</f>
        <v/>
      </c>
      <c r="D12" s="24">
        <f>-'res_raw_13824606'!$D$10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IF(ABS((SUM(B9:B12))-'res_raw_13824606'!$F$11)&lt;=2,SUM(B9:B12),'res_raw_13824606'!$F$11)</f>
        <v/>
      </c>
      <c r="C13" s="27">
        <f>IF(ABS((SUM(C9:C12))-'res_raw_13824606'!$E$11)&lt;=2,SUM(C9:C12),'res_raw_13824606'!$E$11)</f>
        <v/>
      </c>
      <c r="D13" s="27">
        <f>IF(ABS((SUM(D9:D12))-'res_raw_13824606'!$D$11)&lt;=2,SUM(D9:D12),'res_raw_13824606'!$D$11)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N('res_raw_13824606'!$F$12)+N('res_raw_13824606'!$F$13)</f>
        <v/>
      </c>
      <c r="C14" s="24">
        <f>N('res_raw_13824606'!$E$12)+N('res_raw_13824606'!$E$13)</f>
        <v/>
      </c>
      <c r="D14" s="24">
        <f>N('res_raw_13824606'!$D$12)+N('res_raw_13824606'!$D$13)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-'res_raw_13824606'!$F$14</f>
        <v/>
      </c>
      <c r="C15" s="24">
        <f>-'res_raw_13824606'!$E$14</f>
        <v/>
      </c>
      <c r="D15" s="24">
        <f>-'res_raw_13824606'!$D$14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IF(ABS((SUM(B13:B15))-'res_raw_13824606'!$F$16)&lt;=2,SUM(B13:B15),'res_raw_13824606'!$F$16)</f>
        <v/>
      </c>
      <c r="C16" s="27">
        <f>IF(ABS((SUM(C13:C15))-'res_raw_13824606'!$E$16)&lt;=2,SUM(C13:C15),'res_raw_13824606'!$E$16)</f>
        <v/>
      </c>
      <c r="D16" s="27">
        <f>IF(ABS((SUM(D13:D15))-'res_raw_13824606'!$D$16)&lt;=2,SUM(D13:D15),'res_raw_13824606'!$D$16)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'balance_raw_13824606'!$F$15</f>
        <v/>
      </c>
      <c r="C19" s="24">
        <f>'balance_raw_13824606'!$E$15</f>
        <v/>
      </c>
      <c r="D19" s="24">
        <f>'balance_raw_13824606'!$D$15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'balance_raw_13824606'!$F$30</f>
        <v/>
      </c>
      <c r="C20" s="24">
        <f>'balance_raw_13824606'!$E$30</f>
        <v/>
      </c>
      <c r="D20" s="24">
        <f>'balance_raw_13824606'!$D$30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'balance_raw_13824606'!$F$38</f>
        <v/>
      </c>
      <c r="C23" s="24">
        <f>'balance_raw_13824606'!$E$38</f>
        <v/>
      </c>
      <c r="D23" s="24">
        <f>'balance_raw_13824606'!$D$38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'balance_raw_13824606'!$F$59-'balance_raw_13824606'!$F$38</f>
        <v/>
      </c>
      <c r="C24" s="24">
        <f>'balance_raw_13824606'!$E$59-'balance_raw_13824606'!$E$38</f>
        <v/>
      </c>
      <c r="D24" s="24">
        <f>'balance_raw_13824606'!$D$59-'balance_raw_13824606'!$D$38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'balance_raw_13824606'!$F$19</f>
        <v/>
      </c>
      <c r="C28" s="24">
        <f>'balance_raw_13824606'!$E$19</f>
        <v/>
      </c>
      <c r="D28" s="24">
        <f>'balance_raw_13824606'!$D$19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'balance_raw_13824606'!$F$20</f>
        <v/>
      </c>
      <c r="C29" s="24">
        <f>'balance_raw_13824606'!$E$20</f>
        <v/>
      </c>
      <c r="D29" s="24">
        <f>'balance_raw_13824606'!$D$20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'balance_raw_13824606'!$F$57</f>
        <v/>
      </c>
      <c r="C30" s="24">
        <f>'balance_raw_13824606'!$E$57</f>
        <v/>
      </c>
      <c r="D30" s="24">
        <f>'balance_raw_13824606'!$D$57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IF('balance_raw_13824606'!$F$31="","—",IF(ABS(B21-'balance_raw_13824606'!$F$31)&lt;=1,"✓ OK","❌ "&amp;TEXT(B21-'balance_raw_13824606'!$F$31,"+#,##0;-#,##0")&amp;" t.kr."))</f>
        <v/>
      </c>
      <c r="C61" s="29">
        <f>IF('balance_raw_13824606'!$E$31="","—",IF(ABS(C21-'balance_raw_13824606'!$E$31)&lt;=1,"✓ OK","❌ "&amp;TEXT(C21-'balance_raw_13824606'!$E$31,"+#,##0;-#,##0")&amp;" t.kr."))</f>
        <v/>
      </c>
      <c r="D61" s="29">
        <f>IF('balance_raw_13824606'!$D$31="","—",IF(ABS(D21-'balance_raw_13824606'!$D$31)&lt;=1,"✓ OK","❌ "&amp;TEXT(D21-'balance_raw_13824606'!$D$31,"+#,##0;-#,##0")&amp;"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IF('balance_raw_13824606'!$F$59="","—",IF(ABS(B25-'balance_raw_13824606'!$F$59)&lt;=1,"✓ OK","❌ "&amp;TEXT(B25-'balance_raw_13824606'!$F$59,"+#,##0;-#,##0")&amp;" t.kr."))</f>
        <v/>
      </c>
      <c r="C62" s="29">
        <f>IF('balance_raw_13824606'!$E$59="","—",IF(ABS(C25-'balance_raw_13824606'!$E$59)&lt;=1,"✓ OK","❌ "&amp;TEXT(C25-'balance_raw_13824606'!$E$59,"+#,##0;-#,##0")&amp;" t.kr."))</f>
        <v/>
      </c>
      <c r="D62" s="29">
        <f>IF('balance_raw_13824606'!$D$59="","—",IF(ABS(D25-'balance_raw_13824606'!$D$59)&lt;=1,"✓ OK","❌ "&amp;TEXT(D25-'balance_raw_13824606'!$D$59,"+#,##0;-#,##0")&amp;"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IF('res_raw_13824606'!$F$6="","—",IF(ABS(B9-'res_raw_13824606'!$F$6)&lt;=1,"✓ OK","❌ "&amp;TEXT(B9-'res_raw_13824606'!$F$6,"+#,##0;-#,##0")&amp;" t.kr."))</f>
        <v/>
      </c>
      <c r="C64" s="29">
        <f>IF('res_raw_13824606'!$E$6="","—",IF(ABS(C9-'res_raw_13824606'!$E$6)&lt;=1,"✓ OK","❌ "&amp;TEXT(C9-'res_raw_13824606'!$E$6,"+#,##0;-#,##0")&amp;" t.kr."))</f>
        <v/>
      </c>
      <c r="D64" s="29">
        <f>IF('res_raw_13824606'!$D$6="","—",IF(ABS(D9-'res_raw_13824606'!$D$6)&lt;=1,"✓ OK","❌ "&amp;TEXT(D9-'res_raw_13824606'!$D$6,"+#,##0;-#,##0")&amp;"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IF('res_raw_13824606'!$F$11="","—",IF(ABS(B13-'res_raw_13824606'!$F$11)&lt;=1,"✓ OK","❌ "&amp;TEXT(B13-'res_raw_13824606'!$F$11,"+#,##0;-#,##0")&amp;" t.kr."))</f>
        <v/>
      </c>
      <c r="C65" s="29">
        <f>IF('res_raw_13824606'!$E$11="","—",IF(ABS(C13-'res_raw_13824606'!$E$11)&lt;=1,"✓ OK","❌ "&amp;TEXT(C13-'res_raw_13824606'!$E$11,"+#,##0;-#,##0")&amp;" t.kr."))</f>
        <v/>
      </c>
      <c r="D65" s="29">
        <f>IF('res_raw_13824606'!$D$11="","—",IF(ABS(D13-'res_raw_13824606'!$D$11)&lt;=1,"✓ OK","❌ "&amp;TEXT(D13-'res_raw_13824606'!$D$11,"+#,##0;-#,##0")&amp;"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IF('res_raw_13824606'!$F$16="","—",IF(ABS(B16-'res_raw_13824606'!$F$16)&lt;=1,"✓ OK","❌ "&amp;TEXT(B16-'res_raw_13824606'!$F$16,"+#,##0;-#,##0")&amp;" t.kr."))</f>
        <v/>
      </c>
      <c r="C66" s="29">
        <f>IF('res_raw_13824606'!$E$16="","—",IF(ABS(C16-'res_raw_13824606'!$E$16)&lt;=1,"✓ OK","❌ "&amp;TEXT(C16-'res_raw_13824606'!$E$16,"+#,##0;-#,##0")&amp;" t.kr."))</f>
        <v/>
      </c>
      <c r="D66" s="29">
        <f>IF('res_raw_13824606'!$D$16="","—",IF(ABS(D16-'res_raw_13824606'!$D$16)&lt;=1,"✓ OK","❌ "&amp;TEXT(D16-'res_raw_13824606'!$D$16,"+#,##0;-#,##0")&amp;"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SPORT 24 A/S (CVR 13824606)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fsa:DepositsShorttermLiabilitiesOtherThanProvisions</t>
        </is>
      </c>
      <c r="C3" s="34" t="inlineStr">
        <is>
          <t>fsa:DepositsShorttermLiabilitiesOtherThanProvisions</t>
        </is>
      </c>
      <c r="D3" s="35" t="n">
        <v>12738</v>
      </c>
      <c r="E3" s="35" t="n">
        <v>12637</v>
      </c>
      <c r="F3" s="35" t="n">
        <v>11783</v>
      </c>
      <c r="G3" s="35" t="n">
        <v>11060</v>
      </c>
      <c r="H3" s="35" t="n">
        <v>10855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fsa:DividendsFromTreasuryShares</t>
        </is>
      </c>
      <c r="C4" s="37" t="inlineStr">
        <is>
          <t>fsa:DividendsFromTreasuryShares</t>
        </is>
      </c>
      <c r="D4" s="38" t="n">
        <v>0</v>
      </c>
      <c r="E4" s="38" t="n"/>
      <c r="F4" s="38" t="n"/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fsa:ExtraordinaryDistributionsStatementOfChangesInEquity</t>
        </is>
      </c>
      <c r="C5" s="34" t="inlineStr">
        <is>
          <t>fsa:ExtraordinaryDistributionsStatementOfChangesInEquity</t>
        </is>
      </c>
      <c r="D5" s="35" t="n"/>
      <c r="E5" s="35" t="n"/>
      <c r="F5" s="35" t="n"/>
      <c r="G5" s="35" t="n"/>
      <c r="H5" s="35" t="n">
        <v>60000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fsa:HolidayAllowanceLiabilitiesLongterm</t>
        </is>
      </c>
      <c r="C6" s="37" t="inlineStr">
        <is>
          <t>fsa:HolidayAllowanceLiabilitiesLongterm</t>
        </is>
      </c>
      <c r="D6" s="38" t="n"/>
      <c r="E6" s="38" t="n">
        <v>12490</v>
      </c>
      <c r="F6" s="38" t="n">
        <v>12842</v>
      </c>
      <c r="G6" s="38" t="n">
        <v>13207</v>
      </c>
      <c r="H6" s="38" t="n">
        <v>13575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fsa:LongtermReceivablesFromAssociates</t>
        </is>
      </c>
      <c r="C7" s="34" t="inlineStr">
        <is>
          <t>fsa:LongtermReceivablesFromAssociates</t>
        </is>
      </c>
      <c r="D7" s="35" t="n"/>
      <c r="E7" s="35" t="n">
        <v>15000</v>
      </c>
      <c r="F7" s="35" t="n">
        <v>15000</v>
      </c>
      <c r="G7" s="35" t="n">
        <v>15000</v>
      </c>
      <c r="H7" s="35" t="n">
        <v>15000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fsa:ReductionOfLeaseCommitments</t>
        </is>
      </c>
      <c r="C8" s="37" t="inlineStr">
        <is>
          <t>fsa:ReductionOfLeaseCommitments</t>
        </is>
      </c>
      <c r="D8" s="38" t="n">
        <v>0</v>
      </c>
      <c r="E8" s="38" t="n">
        <v>-5672</v>
      </c>
      <c r="F8" s="38" t="n">
        <v>-5957</v>
      </c>
      <c r="G8" s="38" t="n">
        <v>8058</v>
      </c>
      <c r="H8" s="38" t="n">
        <v>6465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fsa:WorkPerformedByEntityAndCapitalised</t>
        </is>
      </c>
      <c r="C9" s="34" t="inlineStr">
        <is>
          <t>fsa:WorkPerformedByEntityAndCapitalised</t>
        </is>
      </c>
      <c r="D9" s="35" t="n"/>
      <c r="E9" s="35" t="n">
        <v>-1950</v>
      </c>
      <c r="F9" s="35" t="n">
        <v>-4819</v>
      </c>
      <c r="G9" s="35" t="n">
        <v>-9562</v>
      </c>
      <c r="H9" s="35" t="n">
        <v>-7102</v>
      </c>
      <c r="I9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2026-10-02T21:58:20Z</dcterms:created>
  <dcterms:modified xmlns:dcterms="http://purl.org/dc/terms/" xmlns:xsi="http://www.w3.org/2001/XMLSchema-instance" xsi:type="dcterms:W3CDTF">2026-10-02T21:58:21Z</dcterms:modified>
</cp:coreProperties>
</file>