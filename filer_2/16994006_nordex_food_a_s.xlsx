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6994006" sheetId="1" state="visible" r:id="rId1"/>
    <sheet xmlns:r="http://schemas.openxmlformats.org/officeDocument/2006/relationships" name="res_raw_16994006" sheetId="2" state="visible" r:id="rId2"/>
    <sheet xmlns:r="http://schemas.openxmlformats.org/officeDocument/2006/relationships" name="balance_raw_16994006" sheetId="3" state="visible" r:id="rId3"/>
    <sheet xmlns:r="http://schemas.openxmlformats.org/officeDocument/2006/relationships" name="pengestrom_raw_16994006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Nordex Food A/S (CVR 16994006)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'res_raw_16994006'!$B$2</f>
        <v/>
      </c>
      <c r="C4" s="5">
        <f>'res_raw_16994006'!$C$2</f>
        <v/>
      </c>
      <c r="D4" s="5">
        <f>'res_raw_16994006'!$D$2</f>
        <v/>
      </c>
      <c r="E4" s="5">
        <f>'res_raw_16994006'!$E$2</f>
        <v/>
      </c>
      <c r="F4" s="5">
        <f>'res_raw_16994006'!$F$2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'res_raw_16994006'!$B$3</f>
        <v/>
      </c>
      <c r="C5" s="8">
        <f>'res_raw_16994006'!$C$3</f>
        <v/>
      </c>
      <c r="D5" s="8">
        <f>'res_raw_16994006'!$D$3</f>
        <v/>
      </c>
      <c r="E5" s="8">
        <f>'res_raw_16994006'!$E$3</f>
        <v/>
      </c>
      <c r="F5" s="8">
        <f>'res_raw_16994006'!$F$3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'res_raw_16994006'!$B$4</f>
        <v/>
      </c>
      <c r="C6" s="5">
        <f>'res_raw_16994006'!$C$4</f>
        <v/>
      </c>
      <c r="D6" s="5">
        <f>'res_raw_16994006'!$D$4</f>
        <v/>
      </c>
      <c r="E6" s="5">
        <f>'res_raw_16994006'!$E$4</f>
        <v/>
      </c>
      <c r="F6" s="5">
        <f>'res_raw_16994006'!$F$4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'res_raw_16994006'!$B$5</f>
        <v/>
      </c>
      <c r="C7" s="8">
        <f>'res_raw_16994006'!$C$5</f>
        <v/>
      </c>
      <c r="D7" s="8">
        <f>'res_raw_16994006'!$D$5</f>
        <v/>
      </c>
      <c r="E7" s="8">
        <f>'res_raw_16994006'!$E$5</f>
        <v/>
      </c>
      <c r="F7" s="8">
        <f>'res_raw_16994006'!$F$5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'res_raw_16994006'!$B$6</f>
        <v/>
      </c>
      <c r="C8" s="11">
        <f>'res_raw_16994006'!$C$6</f>
        <v/>
      </c>
      <c r="D8" s="11">
        <f>'res_raw_16994006'!$D$6</f>
        <v/>
      </c>
      <c r="E8" s="11">
        <f>'res_raw_16994006'!$E$6</f>
        <v/>
      </c>
      <c r="F8" s="11">
        <f>'res_raw_16994006'!$F$6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'res_raw_16994006'!$B$7</f>
        <v/>
      </c>
      <c r="C9" s="8">
        <f>'res_raw_16994006'!$C$7</f>
        <v/>
      </c>
      <c r="D9" s="8">
        <f>'res_raw_16994006'!$D$7</f>
        <v/>
      </c>
      <c r="E9" s="8">
        <f>'res_raw_16994006'!$E$7</f>
        <v/>
      </c>
      <c r="F9" s="8">
        <f>'res_raw_16994006'!$F$7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'res_raw_16994006'!$B$9</f>
        <v/>
      </c>
      <c r="C11" s="8">
        <f>'res_raw_16994006'!$C$9</f>
        <v/>
      </c>
      <c r="D11" s="8">
        <f>'res_raw_16994006'!$D$9</f>
        <v/>
      </c>
      <c r="E11" s="8">
        <f>'res_raw_16994006'!$E$9</f>
        <v/>
      </c>
      <c r="F11" s="8">
        <f>'res_raw_16994006'!$F$9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'res_raw_16994006'!$B$10</f>
        <v/>
      </c>
      <c r="C12" s="5">
        <f>'res_raw_16994006'!$C$10</f>
        <v/>
      </c>
      <c r="D12" s="5">
        <f>'res_raw_16994006'!$D$10</f>
        <v/>
      </c>
      <c r="E12" s="5">
        <f>'res_raw_16994006'!$E$10</f>
        <v/>
      </c>
      <c r="F12" s="5">
        <f>'res_raw_16994006'!$F$10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'res_raw_16994006'!$B$11</f>
        <v/>
      </c>
      <c r="C13" s="11">
        <f>'res_raw_16994006'!$C$11</f>
        <v/>
      </c>
      <c r="D13" s="11">
        <f>'res_raw_16994006'!$D$11</f>
        <v/>
      </c>
      <c r="E13" s="11">
        <f>'res_raw_16994006'!$E$11</f>
        <v/>
      </c>
      <c r="F13" s="11">
        <f>'res_raw_16994006'!$F$11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'res_raw_16994006'!$B$12</f>
        <v/>
      </c>
      <c r="C14" s="5">
        <f>'res_raw_16994006'!$C$12</f>
        <v/>
      </c>
      <c r="D14" s="5">
        <f>'res_raw_16994006'!$D$12</f>
        <v/>
      </c>
      <c r="E14" s="5">
        <f>'res_raw_16994006'!$E$12</f>
        <v/>
      </c>
      <c r="F14" s="5">
        <f>'res_raw_16994006'!$F$12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'res_raw_16994006'!$B$13</f>
        <v/>
      </c>
      <c r="C15" s="8">
        <f>'res_raw_16994006'!$C$13</f>
        <v/>
      </c>
      <c r="D15" s="8">
        <f>'res_raw_16994006'!$D$13</f>
        <v/>
      </c>
      <c r="E15" s="8">
        <f>'res_raw_16994006'!$E$13</f>
        <v/>
      </c>
      <c r="F15" s="8">
        <f>'res_raw_16994006'!$F$13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'res_raw_16994006'!$B$14</f>
        <v/>
      </c>
      <c r="C16" s="5">
        <f>'res_raw_16994006'!$C$14</f>
        <v/>
      </c>
      <c r="D16" s="5">
        <f>'res_raw_16994006'!$D$14</f>
        <v/>
      </c>
      <c r="E16" s="5">
        <f>'res_raw_16994006'!$E$14</f>
        <v/>
      </c>
      <c r="F16" s="5">
        <f>'res_raw_16994006'!$F$14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'res_raw_16994006'!$B$15</f>
        <v/>
      </c>
      <c r="C17" s="11">
        <f>'res_raw_16994006'!$C$15</f>
        <v/>
      </c>
      <c r="D17" s="11">
        <f>'res_raw_16994006'!$D$15</f>
        <v/>
      </c>
      <c r="E17" s="11">
        <f>'res_raw_16994006'!$E$15</f>
        <v/>
      </c>
      <c r="F17" s="11">
        <f>'res_raw_16994006'!$F$15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'res_raw_16994006'!$B$16</f>
        <v/>
      </c>
      <c r="C18" s="11">
        <f>'res_raw_16994006'!$C$16</f>
        <v/>
      </c>
      <c r="D18" s="11">
        <f>'res_raw_16994006'!$D$16</f>
        <v/>
      </c>
      <c r="E18" s="11">
        <f>'res_raw_16994006'!$E$16</f>
        <v/>
      </c>
      <c r="F18" s="11">
        <f>'res_raw_16994006'!$F$16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'res_raw_16994006'!$B$17</f>
        <v/>
      </c>
      <c r="C19" s="8">
        <f>'res_raw_16994006'!$C$17</f>
        <v/>
      </c>
      <c r="D19" s="8">
        <f>'res_raw_16994006'!$D$17</f>
        <v/>
      </c>
      <c r="E19" s="8">
        <f>'res_raw_16994006'!$E$17</f>
        <v/>
      </c>
      <c r="F19" s="8">
        <f>'res_raw_16994006'!$F$17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'res_raw_16994006'!$B$18</f>
        <v/>
      </c>
      <c r="C20" s="11">
        <f>'res_raw_16994006'!$C$18</f>
        <v/>
      </c>
      <c r="D20" s="11">
        <f>'res_raw_16994006'!$D$18</f>
        <v/>
      </c>
      <c r="E20" s="11">
        <f>'res_raw_16994006'!$E$18</f>
        <v/>
      </c>
      <c r="F20" s="11">
        <f>'res_raw_16994006'!$F$18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'balance_raw_16994006'!$B$2</f>
        <v/>
      </c>
      <c r="C23" s="8">
        <f>'balance_raw_16994006'!$C$2</f>
        <v/>
      </c>
      <c r="D23" s="8">
        <f>'balance_raw_16994006'!$D$2</f>
        <v/>
      </c>
      <c r="E23" s="8">
        <f>'balance_raw_16994006'!$E$2</f>
        <v/>
      </c>
      <c r="F23" s="8">
        <f>'balance_raw_16994006'!$F$2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'balance_raw_16994006'!$B$3</f>
        <v/>
      </c>
      <c r="C24" s="5">
        <f>'balance_raw_16994006'!$C$3</f>
        <v/>
      </c>
      <c r="D24" s="5">
        <f>'balance_raw_16994006'!$D$3</f>
        <v/>
      </c>
      <c r="E24" s="5">
        <f>'balance_raw_16994006'!$E$3</f>
        <v/>
      </c>
      <c r="F24" s="5">
        <f>'balance_raw_16994006'!$F$3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'balance_raw_16994006'!$B$4</f>
        <v/>
      </c>
      <c r="C25" s="8">
        <f>'balance_raw_16994006'!$C$4</f>
        <v/>
      </c>
      <c r="D25" s="8">
        <f>'balance_raw_16994006'!$D$4</f>
        <v/>
      </c>
      <c r="E25" s="8">
        <f>'balance_raw_16994006'!$E$4</f>
        <v/>
      </c>
      <c r="F25" s="8">
        <f>'balance_raw_16994006'!$F$4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'balance_raw_16994006'!$B$5</f>
        <v/>
      </c>
      <c r="C26" s="11">
        <f>'balance_raw_16994006'!$C$5</f>
        <v/>
      </c>
      <c r="D26" s="11">
        <f>'balance_raw_16994006'!$D$5</f>
        <v/>
      </c>
      <c r="E26" s="11">
        <f>'balance_raw_16994006'!$E$5</f>
        <v/>
      </c>
      <c r="F26" s="11">
        <f>'balance_raw_16994006'!$F$5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'balance_raw_16994006'!$B$6</f>
        <v/>
      </c>
      <c r="C27" s="8">
        <f>'balance_raw_16994006'!$C$6</f>
        <v/>
      </c>
      <c r="D27" s="8">
        <f>'balance_raw_16994006'!$D$6</f>
        <v/>
      </c>
      <c r="E27" s="8">
        <f>'balance_raw_16994006'!$E$6</f>
        <v/>
      </c>
      <c r="F27" s="8">
        <f>'balance_raw_16994006'!$F$6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'balance_raw_16994006'!$B$7</f>
        <v/>
      </c>
      <c r="C28" s="5">
        <f>'balance_raw_16994006'!$C$7</f>
        <v/>
      </c>
      <c r="D28" s="5">
        <f>'balance_raw_16994006'!$D$7</f>
        <v/>
      </c>
      <c r="E28" s="5">
        <f>'balance_raw_16994006'!$E$7</f>
        <v/>
      </c>
      <c r="F28" s="5">
        <f>'balance_raw_16994006'!$F$7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'balance_raw_16994006'!$B$8</f>
        <v/>
      </c>
      <c r="C29" s="8">
        <f>'balance_raw_16994006'!$C$8</f>
        <v/>
      </c>
      <c r="D29" s="8">
        <f>'balance_raw_16994006'!$D$8</f>
        <v/>
      </c>
      <c r="E29" s="8">
        <f>'balance_raw_16994006'!$E$8</f>
        <v/>
      </c>
      <c r="F29" s="8">
        <f>'balance_raw_16994006'!$F$8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'balance_raw_16994006'!$B$9</f>
        <v/>
      </c>
      <c r="C30" s="5">
        <f>'balance_raw_16994006'!$C$9</f>
        <v/>
      </c>
      <c r="D30" s="5">
        <f>'balance_raw_16994006'!$D$9</f>
        <v/>
      </c>
      <c r="E30" s="5">
        <f>'balance_raw_16994006'!$E$9</f>
        <v/>
      </c>
      <c r="F30" s="5">
        <f>'balance_raw_16994006'!$F$9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'balance_raw_16994006'!$B$10</f>
        <v/>
      </c>
      <c r="C31" s="8">
        <f>'balance_raw_16994006'!$C$10</f>
        <v/>
      </c>
      <c r="D31" s="8">
        <f>'balance_raw_16994006'!$D$10</f>
        <v/>
      </c>
      <c r="E31" s="8">
        <f>'balance_raw_16994006'!$E$10</f>
        <v/>
      </c>
      <c r="F31" s="8">
        <f>'balance_raw_16994006'!$F$10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'balance_raw_16994006'!$B$11</f>
        <v/>
      </c>
      <c r="C32" s="11">
        <f>'balance_raw_16994006'!$C$11</f>
        <v/>
      </c>
      <c r="D32" s="11">
        <f>'balance_raw_16994006'!$D$11</f>
        <v/>
      </c>
      <c r="E32" s="11">
        <f>'balance_raw_16994006'!$E$11</f>
        <v/>
      </c>
      <c r="F32" s="11">
        <f>'balance_raw_16994006'!$F$11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'balance_raw_16994006'!$B$12</f>
        <v/>
      </c>
      <c r="C33" s="8">
        <f>'balance_raw_16994006'!$C$12</f>
        <v/>
      </c>
      <c r="D33" s="8">
        <f>'balance_raw_16994006'!$D$12</f>
        <v/>
      </c>
      <c r="E33" s="8">
        <f>'balance_raw_16994006'!$E$12</f>
        <v/>
      </c>
      <c r="F33" s="8">
        <f>'balance_raw_16994006'!$F$12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'balance_raw_16994006'!$B$13</f>
        <v/>
      </c>
      <c r="C34" s="5">
        <f>'balance_raw_16994006'!$C$13</f>
        <v/>
      </c>
      <c r="D34" s="5">
        <f>'balance_raw_16994006'!$D$13</f>
        <v/>
      </c>
      <c r="E34" s="5">
        <f>'balance_raw_16994006'!$E$13</f>
        <v/>
      </c>
      <c r="F34" s="5">
        <f>'balance_raw_16994006'!$F$13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'balance_raw_16994006'!$B$14</f>
        <v/>
      </c>
      <c r="C35" s="11">
        <f>'balance_raw_16994006'!$C$14</f>
        <v/>
      </c>
      <c r="D35" s="11">
        <f>'balance_raw_16994006'!$D$14</f>
        <v/>
      </c>
      <c r="E35" s="11">
        <f>'balance_raw_16994006'!$E$14</f>
        <v/>
      </c>
      <c r="F35" s="11">
        <f>'balance_raw_16994006'!$F$14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'balance_raw_16994006'!$B$15</f>
        <v/>
      </c>
      <c r="C36" s="11">
        <f>'balance_raw_16994006'!$C$15</f>
        <v/>
      </c>
      <c r="D36" s="11">
        <f>'balance_raw_16994006'!$D$15</f>
        <v/>
      </c>
      <c r="E36" s="11">
        <f>'balance_raw_16994006'!$E$15</f>
        <v/>
      </c>
      <c r="F36" s="11">
        <f>'balance_raw_16994006'!$F$15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'balance_raw_16994006'!$B$16</f>
        <v/>
      </c>
      <c r="C37" s="8">
        <f>'balance_raw_16994006'!$C$16</f>
        <v/>
      </c>
      <c r="D37" s="8">
        <f>'balance_raw_16994006'!$D$16</f>
        <v/>
      </c>
      <c r="E37" s="8">
        <f>'balance_raw_16994006'!$E$16</f>
        <v/>
      </c>
      <c r="F37" s="8">
        <f>'balance_raw_16994006'!$F$16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'balance_raw_16994006'!$B$17</f>
        <v/>
      </c>
      <c r="C38" s="5">
        <f>'balance_raw_16994006'!$C$17</f>
        <v/>
      </c>
      <c r="D38" s="5">
        <f>'balance_raw_16994006'!$D$17</f>
        <v/>
      </c>
      <c r="E38" s="5">
        <f>'balance_raw_16994006'!$E$17</f>
        <v/>
      </c>
      <c r="F38" s="5">
        <f>'balance_raw_16994006'!$F$17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'balance_raw_16994006'!$B$18</f>
        <v/>
      </c>
      <c r="C39" s="8">
        <f>'balance_raw_16994006'!$C$18</f>
        <v/>
      </c>
      <c r="D39" s="8">
        <f>'balance_raw_16994006'!$D$18</f>
        <v/>
      </c>
      <c r="E39" s="8">
        <f>'balance_raw_16994006'!$E$18</f>
        <v/>
      </c>
      <c r="F39" s="8">
        <f>'balance_raw_16994006'!$F$18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'balance_raw_16994006'!$B$19</f>
        <v/>
      </c>
      <c r="C40" s="11">
        <f>'balance_raw_16994006'!$C$19</f>
        <v/>
      </c>
      <c r="D40" s="11">
        <f>'balance_raw_16994006'!$D$19</f>
        <v/>
      </c>
      <c r="E40" s="11">
        <f>'balance_raw_16994006'!$E$19</f>
        <v/>
      </c>
      <c r="F40" s="11">
        <f>'balance_raw_16994006'!$F$19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'balance_raw_16994006'!$B$20</f>
        <v/>
      </c>
      <c r="C41" s="8">
        <f>'balance_raw_16994006'!$C$20</f>
        <v/>
      </c>
      <c r="D41" s="8">
        <f>'balance_raw_16994006'!$D$20</f>
        <v/>
      </c>
      <c r="E41" s="8">
        <f>'balance_raw_16994006'!$E$20</f>
        <v/>
      </c>
      <c r="F41" s="8">
        <f>'balance_raw_16994006'!$F$20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'balance_raw_16994006'!$B$21</f>
        <v/>
      </c>
      <c r="C42" s="5">
        <f>'balance_raw_16994006'!$C$21</f>
        <v/>
      </c>
      <c r="D42" s="5">
        <f>'balance_raw_16994006'!$D$21</f>
        <v/>
      </c>
      <c r="E42" s="5">
        <f>'balance_raw_16994006'!$E$21</f>
        <v/>
      </c>
      <c r="F42" s="5">
        <f>'balance_raw_16994006'!$F$21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'balance_raw_16994006'!$B$22</f>
        <v/>
      </c>
      <c r="C43" s="8">
        <f>'balance_raw_16994006'!$C$22</f>
        <v/>
      </c>
      <c r="D43" s="8">
        <f>'balance_raw_16994006'!$D$22</f>
        <v/>
      </c>
      <c r="E43" s="8">
        <f>'balance_raw_16994006'!$E$22</f>
        <v/>
      </c>
      <c r="F43" s="8">
        <f>'balance_raw_16994006'!$F$22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'balance_raw_16994006'!$B$23</f>
        <v/>
      </c>
      <c r="C44" s="5">
        <f>'balance_raw_16994006'!$C$23</f>
        <v/>
      </c>
      <c r="D44" s="5">
        <f>'balance_raw_16994006'!$D$23</f>
        <v/>
      </c>
      <c r="E44" s="5">
        <f>'balance_raw_16994006'!$E$23</f>
        <v/>
      </c>
      <c r="F44" s="5">
        <f>'balance_raw_16994006'!$F$23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'balance_raw_16994006'!$B$24</f>
        <v/>
      </c>
      <c r="C45" s="8">
        <f>'balance_raw_16994006'!$C$24</f>
        <v/>
      </c>
      <c r="D45" s="8">
        <f>'balance_raw_16994006'!$D$24</f>
        <v/>
      </c>
      <c r="E45" s="8">
        <f>'balance_raw_16994006'!$E$24</f>
        <v/>
      </c>
      <c r="F45" s="8">
        <f>'balance_raw_16994006'!$F$24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'balance_raw_16994006'!$B$25</f>
        <v/>
      </c>
      <c r="C46" s="5">
        <f>'balance_raw_16994006'!$C$25</f>
        <v/>
      </c>
      <c r="D46" s="5">
        <f>'balance_raw_16994006'!$D$25</f>
        <v/>
      </c>
      <c r="E46" s="5">
        <f>'balance_raw_16994006'!$E$25</f>
        <v/>
      </c>
      <c r="F46" s="5">
        <f>'balance_raw_16994006'!$F$25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'balance_raw_16994006'!$B$26</f>
        <v/>
      </c>
      <c r="C47" s="8">
        <f>'balance_raw_16994006'!$C$26</f>
        <v/>
      </c>
      <c r="D47" s="8">
        <f>'balance_raw_16994006'!$D$26</f>
        <v/>
      </c>
      <c r="E47" s="8">
        <f>'balance_raw_16994006'!$E$26</f>
        <v/>
      </c>
      <c r="F47" s="8">
        <f>'balance_raw_16994006'!$F$26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'balance_raw_16994006'!$B$27</f>
        <v/>
      </c>
      <c r="C48" s="11">
        <f>'balance_raw_16994006'!$C$27</f>
        <v/>
      </c>
      <c r="D48" s="11">
        <f>'balance_raw_16994006'!$D$27</f>
        <v/>
      </c>
      <c r="E48" s="11">
        <f>'balance_raw_16994006'!$E$27</f>
        <v/>
      </c>
      <c r="F48" s="11">
        <f>'balance_raw_16994006'!$F$27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'balance_raw_16994006'!$B$28</f>
        <v/>
      </c>
      <c r="C49" s="8">
        <f>'balance_raw_16994006'!$C$28</f>
        <v/>
      </c>
      <c r="D49" s="8">
        <f>'balance_raw_16994006'!$D$28</f>
        <v/>
      </c>
      <c r="E49" s="8">
        <f>'balance_raw_16994006'!$E$28</f>
        <v/>
      </c>
      <c r="F49" s="8">
        <f>'balance_raw_16994006'!$F$28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'balance_raw_16994006'!$B$29</f>
        <v/>
      </c>
      <c r="C50" s="5">
        <f>'balance_raw_16994006'!$C$29</f>
        <v/>
      </c>
      <c r="D50" s="5">
        <f>'balance_raw_16994006'!$D$29</f>
        <v/>
      </c>
      <c r="E50" s="5">
        <f>'balance_raw_16994006'!$E$29</f>
        <v/>
      </c>
      <c r="F50" s="5">
        <f>'balance_raw_16994006'!$F$29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'balance_raw_16994006'!$B$30</f>
        <v/>
      </c>
      <c r="C51" s="11">
        <f>'balance_raw_16994006'!$C$30</f>
        <v/>
      </c>
      <c r="D51" s="11">
        <f>'balance_raw_16994006'!$D$30</f>
        <v/>
      </c>
      <c r="E51" s="11">
        <f>'balance_raw_16994006'!$E$30</f>
        <v/>
      </c>
      <c r="F51" s="11">
        <f>'balance_raw_16994006'!$F$30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'balance_raw_16994006'!$B$31</f>
        <v/>
      </c>
      <c r="C52" s="11">
        <f>'balance_raw_16994006'!$C$31</f>
        <v/>
      </c>
      <c r="D52" s="11">
        <f>'balance_raw_16994006'!$D$31</f>
        <v/>
      </c>
      <c r="E52" s="11">
        <f>'balance_raw_16994006'!$E$31</f>
        <v/>
      </c>
      <c r="F52" s="11">
        <f>'balance_raw_16994006'!$F$31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'balance_raw_16994006'!$B$32</f>
        <v/>
      </c>
      <c r="C55" s="8">
        <f>'balance_raw_16994006'!$C$32</f>
        <v/>
      </c>
      <c r="D55" s="8">
        <f>'balance_raw_16994006'!$D$32</f>
        <v/>
      </c>
      <c r="E55" s="8">
        <f>'balance_raw_16994006'!$E$32</f>
        <v/>
      </c>
      <c r="F55" s="8">
        <f>'balance_raw_16994006'!$F$32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'balance_raw_16994006'!$B$33</f>
        <v/>
      </c>
      <c r="C56" s="5">
        <f>'balance_raw_16994006'!$C$33</f>
        <v/>
      </c>
      <c r="D56" s="5">
        <f>'balance_raw_16994006'!$D$33</f>
        <v/>
      </c>
      <c r="E56" s="5">
        <f>'balance_raw_16994006'!$E$33</f>
        <v/>
      </c>
      <c r="F56" s="5">
        <f>'balance_raw_16994006'!$F$33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'balance_raw_16994006'!$B$34</f>
        <v/>
      </c>
      <c r="C57" s="8">
        <f>'balance_raw_16994006'!$C$34</f>
        <v/>
      </c>
      <c r="D57" s="8">
        <f>'balance_raw_16994006'!$D$34</f>
        <v/>
      </c>
      <c r="E57" s="8">
        <f>'balance_raw_16994006'!$E$34</f>
        <v/>
      </c>
      <c r="F57" s="8">
        <f>'balance_raw_16994006'!$F$34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'balance_raw_16994006'!$B$35</f>
        <v/>
      </c>
      <c r="C58" s="5">
        <f>'balance_raw_16994006'!$C$35</f>
        <v/>
      </c>
      <c r="D58" s="5">
        <f>'balance_raw_16994006'!$D$35</f>
        <v/>
      </c>
      <c r="E58" s="5">
        <f>'balance_raw_16994006'!$E$35</f>
        <v/>
      </c>
      <c r="F58" s="5">
        <f>'balance_raw_16994006'!$F$35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'balance_raw_16994006'!$B$36</f>
        <v/>
      </c>
      <c r="C59" s="8">
        <f>'balance_raw_16994006'!$C$36</f>
        <v/>
      </c>
      <c r="D59" s="8">
        <f>'balance_raw_16994006'!$D$36</f>
        <v/>
      </c>
      <c r="E59" s="8">
        <f>'balance_raw_16994006'!$E$36</f>
        <v/>
      </c>
      <c r="F59" s="8">
        <f>'balance_raw_16994006'!$F$36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'balance_raw_16994006'!$B$37</f>
        <v/>
      </c>
      <c r="C60" s="5">
        <f>'balance_raw_16994006'!$C$37</f>
        <v/>
      </c>
      <c r="D60" s="5">
        <f>'balance_raw_16994006'!$D$37</f>
        <v/>
      </c>
      <c r="E60" s="5">
        <f>'balance_raw_16994006'!$E$37</f>
        <v/>
      </c>
      <c r="F60" s="5">
        <f>'balance_raw_16994006'!$F$37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'balance_raw_16994006'!$B$38</f>
        <v/>
      </c>
      <c r="C61" s="11">
        <f>'balance_raw_16994006'!$C$38</f>
        <v/>
      </c>
      <c r="D61" s="11">
        <f>'balance_raw_16994006'!$D$38</f>
        <v/>
      </c>
      <c r="E61" s="11">
        <f>'balance_raw_16994006'!$E$38</f>
        <v/>
      </c>
      <c r="F61" s="11">
        <f>'balance_raw_16994006'!$F$38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'balance_raw_16994006'!$B$39</f>
        <v/>
      </c>
      <c r="C62" s="5">
        <f>'balance_raw_16994006'!$C$39</f>
        <v/>
      </c>
      <c r="D62" s="5">
        <f>'balance_raw_16994006'!$D$39</f>
        <v/>
      </c>
      <c r="E62" s="5">
        <f>'balance_raw_16994006'!$E$39</f>
        <v/>
      </c>
      <c r="F62" s="5">
        <f>'balance_raw_16994006'!$F$39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'balance_raw_16994006'!$B$40</f>
        <v/>
      </c>
      <c r="C63" s="11">
        <f>'balance_raw_16994006'!$C$40</f>
        <v/>
      </c>
      <c r="D63" s="11">
        <f>'balance_raw_16994006'!$D$40</f>
        <v/>
      </c>
      <c r="E63" s="11">
        <f>'balance_raw_16994006'!$E$40</f>
        <v/>
      </c>
      <c r="F63" s="11">
        <f>'balance_raw_16994006'!$F$40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'balance_raw_16994006'!$B$41</f>
        <v/>
      </c>
      <c r="C64" s="5">
        <f>'balance_raw_16994006'!$C$41</f>
        <v/>
      </c>
      <c r="D64" s="5">
        <f>'balance_raw_16994006'!$D$41</f>
        <v/>
      </c>
      <c r="E64" s="5">
        <f>'balance_raw_16994006'!$E$41</f>
        <v/>
      </c>
      <c r="F64" s="5">
        <f>'balance_raw_16994006'!$F$41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'balance_raw_16994006'!$B$42</f>
        <v/>
      </c>
      <c r="C65" s="8">
        <f>'balance_raw_16994006'!$C$42</f>
        <v/>
      </c>
      <c r="D65" s="8">
        <f>'balance_raw_16994006'!$D$42</f>
        <v/>
      </c>
      <c r="E65" s="8">
        <f>'balance_raw_16994006'!$E$42</f>
        <v/>
      </c>
      <c r="F65" s="8">
        <f>'balance_raw_16994006'!$F$42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'balance_raw_16994006'!$B$43</f>
        <v/>
      </c>
      <c r="C66" s="5">
        <f>'balance_raw_16994006'!$C$43</f>
        <v/>
      </c>
      <c r="D66" s="5">
        <f>'balance_raw_16994006'!$D$43</f>
        <v/>
      </c>
      <c r="E66" s="5">
        <f>'balance_raw_16994006'!$E$43</f>
        <v/>
      </c>
      <c r="F66" s="5">
        <f>'balance_raw_16994006'!$F$43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'balance_raw_16994006'!$B$44</f>
        <v/>
      </c>
      <c r="C67" s="8">
        <f>'balance_raw_16994006'!$C$44</f>
        <v/>
      </c>
      <c r="D67" s="8">
        <f>'balance_raw_16994006'!$D$44</f>
        <v/>
      </c>
      <c r="E67" s="8">
        <f>'balance_raw_16994006'!$E$44</f>
        <v/>
      </c>
      <c r="F67" s="8">
        <f>'balance_raw_16994006'!$F$44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'balance_raw_16994006'!$B$45</f>
        <v/>
      </c>
      <c r="C68" s="11">
        <f>'balance_raw_16994006'!$C$45</f>
        <v/>
      </c>
      <c r="D68" s="11">
        <f>'balance_raw_16994006'!$D$45</f>
        <v/>
      </c>
      <c r="E68" s="11">
        <f>'balance_raw_16994006'!$E$45</f>
        <v/>
      </c>
      <c r="F68" s="11">
        <f>'balance_raw_16994006'!$F$45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'balance_raw_16994006'!$B$46</f>
        <v/>
      </c>
      <c r="C69" s="8">
        <f>'balance_raw_16994006'!$C$46</f>
        <v/>
      </c>
      <c r="D69" s="8">
        <f>'balance_raw_16994006'!$D$46</f>
        <v/>
      </c>
      <c r="E69" s="8">
        <f>'balance_raw_16994006'!$E$46</f>
        <v/>
      </c>
      <c r="F69" s="8">
        <f>'balance_raw_16994006'!$F$46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'balance_raw_16994006'!$B$47</f>
        <v/>
      </c>
      <c r="C70" s="5">
        <f>'balance_raw_16994006'!$C$47</f>
        <v/>
      </c>
      <c r="D70" s="5">
        <f>'balance_raw_16994006'!$D$47</f>
        <v/>
      </c>
      <c r="E70" s="5">
        <f>'balance_raw_16994006'!$E$47</f>
        <v/>
      </c>
      <c r="F70" s="5">
        <f>'balance_raw_16994006'!$F$47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'balance_raw_16994006'!$B$48</f>
        <v/>
      </c>
      <c r="C71" s="8">
        <f>'balance_raw_16994006'!$C$48</f>
        <v/>
      </c>
      <c r="D71" s="8">
        <f>'balance_raw_16994006'!$D$48</f>
        <v/>
      </c>
      <c r="E71" s="8">
        <f>'balance_raw_16994006'!$E$48</f>
        <v/>
      </c>
      <c r="F71" s="8">
        <f>'balance_raw_16994006'!$F$48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'balance_raw_16994006'!$B$49</f>
        <v/>
      </c>
      <c r="C72" s="5">
        <f>'balance_raw_16994006'!$C$49</f>
        <v/>
      </c>
      <c r="D72" s="5">
        <f>'balance_raw_16994006'!$D$49</f>
        <v/>
      </c>
      <c r="E72" s="5">
        <f>'balance_raw_16994006'!$E$49</f>
        <v/>
      </c>
      <c r="F72" s="5">
        <f>'balance_raw_16994006'!$F$49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'balance_raw_16994006'!$B$50</f>
        <v/>
      </c>
      <c r="C73" s="8">
        <f>'balance_raw_16994006'!$C$50</f>
        <v/>
      </c>
      <c r="D73" s="8">
        <f>'balance_raw_16994006'!$D$50</f>
        <v/>
      </c>
      <c r="E73" s="8">
        <f>'balance_raw_16994006'!$E$50</f>
        <v/>
      </c>
      <c r="F73" s="8">
        <f>'balance_raw_16994006'!$F$50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'balance_raw_16994006'!$B$51</f>
        <v/>
      </c>
      <c r="C74" s="5">
        <f>'balance_raw_16994006'!$C$51</f>
        <v/>
      </c>
      <c r="D74" s="5">
        <f>'balance_raw_16994006'!$D$51</f>
        <v/>
      </c>
      <c r="E74" s="5">
        <f>'balance_raw_16994006'!$E$51</f>
        <v/>
      </c>
      <c r="F74" s="5">
        <f>'balance_raw_16994006'!$F$51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'balance_raw_16994006'!$B$52</f>
        <v/>
      </c>
      <c r="C75" s="8">
        <f>'balance_raw_16994006'!$C$52</f>
        <v/>
      </c>
      <c r="D75" s="8">
        <f>'balance_raw_16994006'!$D$52</f>
        <v/>
      </c>
      <c r="E75" s="8">
        <f>'balance_raw_16994006'!$E$52</f>
        <v/>
      </c>
      <c r="F75" s="8">
        <f>'balance_raw_16994006'!$F$52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'balance_raw_16994006'!$B$53</f>
        <v/>
      </c>
      <c r="C76" s="5">
        <f>'balance_raw_16994006'!$C$53</f>
        <v/>
      </c>
      <c r="D76" s="5">
        <f>'balance_raw_16994006'!$D$53</f>
        <v/>
      </c>
      <c r="E76" s="5">
        <f>'balance_raw_16994006'!$E$53</f>
        <v/>
      </c>
      <c r="F76" s="5">
        <f>'balance_raw_16994006'!$F$53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'balance_raw_16994006'!$B$54</f>
        <v/>
      </c>
      <c r="C77" s="8">
        <f>'balance_raw_16994006'!$C$54</f>
        <v/>
      </c>
      <c r="D77" s="8">
        <f>'balance_raw_16994006'!$D$54</f>
        <v/>
      </c>
      <c r="E77" s="8">
        <f>'balance_raw_16994006'!$E$54</f>
        <v/>
      </c>
      <c r="F77" s="8">
        <f>'balance_raw_16994006'!$F$54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'balance_raw_16994006'!$B$55</f>
        <v/>
      </c>
      <c r="C78" s="5">
        <f>'balance_raw_16994006'!$C$55</f>
        <v/>
      </c>
      <c r="D78" s="5">
        <f>'balance_raw_16994006'!$D$55</f>
        <v/>
      </c>
      <c r="E78" s="5">
        <f>'balance_raw_16994006'!$E$55</f>
        <v/>
      </c>
      <c r="F78" s="5">
        <f>'balance_raw_16994006'!$F$55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'balance_raw_16994006'!$B$56</f>
        <v/>
      </c>
      <c r="C79" s="8">
        <f>'balance_raw_16994006'!$C$56</f>
        <v/>
      </c>
      <c r="D79" s="8">
        <f>'balance_raw_16994006'!$D$56</f>
        <v/>
      </c>
      <c r="E79" s="8">
        <f>'balance_raw_16994006'!$E$56</f>
        <v/>
      </c>
      <c r="F79" s="8">
        <f>'balance_raw_16994006'!$F$56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'balance_raw_16994006'!$B$57</f>
        <v/>
      </c>
      <c r="C80" s="11">
        <f>'balance_raw_16994006'!$C$57</f>
        <v/>
      </c>
      <c r="D80" s="11">
        <f>'balance_raw_16994006'!$D$57</f>
        <v/>
      </c>
      <c r="E80" s="11">
        <f>'balance_raw_16994006'!$E$57</f>
        <v/>
      </c>
      <c r="F80" s="11">
        <f>'balance_raw_16994006'!$F$57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'balance_raw_16994006'!$B$58</f>
        <v/>
      </c>
      <c r="C81" s="11">
        <f>'balance_raw_16994006'!$C$58</f>
        <v/>
      </c>
      <c r="D81" s="11">
        <f>'balance_raw_16994006'!$D$58</f>
        <v/>
      </c>
      <c r="E81" s="11">
        <f>'balance_raw_16994006'!$E$58</f>
        <v/>
      </c>
      <c r="F81" s="11">
        <f>'balance_raw_16994006'!$F$58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'balance_raw_16994006'!$B$59</f>
        <v/>
      </c>
      <c r="C82" s="11">
        <f>'balance_raw_16994006'!$C$59</f>
        <v/>
      </c>
      <c r="D82" s="11">
        <f>'balance_raw_16994006'!$D$59</f>
        <v/>
      </c>
      <c r="E82" s="11">
        <f>'balance_raw_16994006'!$E$59</f>
        <v/>
      </c>
      <c r="F82" s="11">
        <f>'balance_raw_16994006'!$F$59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'res_raw_16994006'!$B$19</f>
        <v/>
      </c>
      <c r="C85" s="8">
        <f>'res_raw_16994006'!$C$19</f>
        <v/>
      </c>
      <c r="D85" s="8">
        <f>'res_raw_16994006'!$D$19</f>
        <v/>
      </c>
      <c r="E85" s="8">
        <f>'res_raw_16994006'!$E$19</f>
        <v/>
      </c>
      <c r="F85" s="8">
        <f>'res_raw_16994006'!$F$19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'res_raw_16994006'!$B$20</f>
        <v/>
      </c>
      <c r="C86" s="5">
        <f>'res_raw_16994006'!$C$20</f>
        <v/>
      </c>
      <c r="D86" s="5">
        <f>'res_raw_16994006'!$D$20</f>
        <v/>
      </c>
      <c r="E86" s="5">
        <f>'res_raw_16994006'!$E$20</f>
        <v/>
      </c>
      <c r="F86" s="5">
        <f>'res_raw_16994006'!$F$20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'pengestrom_raw_16994006'!$B$2</f>
        <v/>
      </c>
      <c r="C102" s="17">
        <f>'pengestrom_raw_16994006'!$C$2</f>
        <v/>
      </c>
      <c r="D102" s="17">
        <f>'pengestrom_raw_16994006'!$D$2</f>
        <v/>
      </c>
      <c r="E102" s="17">
        <f>'pengestrom_raw_16994006'!$E$2</f>
        <v/>
      </c>
      <c r="F102" s="17">
        <f>'pengestrom_raw_16994006'!$F$2</f>
        <v/>
      </c>
    </row>
    <row r="103">
      <c r="A103" s="16" t="inlineStr">
        <is>
          <t>Pengestrømme fra investeringsaktivitet</t>
        </is>
      </c>
      <c r="B103" s="17">
        <f>'pengestrom_raw_16994006'!$B$3</f>
        <v/>
      </c>
      <c r="C103" s="17">
        <f>'pengestrom_raw_16994006'!$C$3</f>
        <v/>
      </c>
      <c r="D103" s="17">
        <f>'pengestrom_raw_16994006'!$D$3</f>
        <v/>
      </c>
      <c r="E103" s="17">
        <f>'pengestrom_raw_16994006'!$E$3</f>
        <v/>
      </c>
      <c r="F103" s="17">
        <f>'pengestrom_raw_16994006'!$F$3</f>
        <v/>
      </c>
    </row>
    <row r="104">
      <c r="A104" s="16" t="inlineStr">
        <is>
          <t>Pengestrømme fra finansieringsaktivitet</t>
        </is>
      </c>
      <c r="B104" s="17">
        <f>'pengestrom_raw_16994006'!$B$4</f>
        <v/>
      </c>
      <c r="C104" s="17">
        <f>'pengestrom_raw_16994006'!$C$4</f>
        <v/>
      </c>
      <c r="D104" s="17">
        <f>'pengestrom_raw_16994006'!$D$4</f>
        <v/>
      </c>
      <c r="E104" s="17">
        <f>'pengestrom_raw_16994006'!$E$4</f>
        <v/>
      </c>
      <c r="F104" s="17">
        <f>'pengestrom_raw_16994006'!$F$4</f>
        <v/>
      </c>
    </row>
    <row r="105">
      <c r="A105" s="16" t="inlineStr">
        <is>
          <t>Årets pengestrøm (rapporteret)</t>
        </is>
      </c>
      <c r="B105" s="17">
        <f>'pengestrom_raw_16994006'!$B$5</f>
        <v/>
      </c>
      <c r="C105" s="17">
        <f>'pengestrom_raw_16994006'!$C$5</f>
        <v/>
      </c>
      <c r="D105" s="17">
        <f>'pengestrom_raw_16994006'!$D$5</f>
        <v/>
      </c>
      <c r="E105" s="17">
        <f>'pengestrom_raw_16994006'!$E$5</f>
        <v/>
      </c>
      <c r="F105" s="17">
        <f>'pengestrom_raw_16994006'!$F$5</f>
        <v/>
      </c>
    </row>
    <row r="106">
      <c r="A106" s="16" t="inlineStr">
        <is>
          <t>Krydstjek: drift + inv. + fin. = årets pengestrøm</t>
        </is>
      </c>
      <c r="B106">
        <f>IF(ABS(('pengestrom_raw_16994006'!$B$2+'pengestrom_raw_16994006'!$B$3+'pengestrom_raw_16994006'!$B$4)-'pengestrom_raw_16994006'!$B$5)&lt;=2,"✓","⚠ "&amp;TEXT(('pengestrom_raw_16994006'!$B$2+'pengestrom_raw_16994006'!$B$3+'pengestrom_raw_16994006'!$B$4)-'pengestrom_raw_16994006'!$B$5,"+#,##0;-#,##0"))</f>
        <v/>
      </c>
      <c r="C106">
        <f>IF(ABS(('pengestrom_raw_16994006'!$C$2+'pengestrom_raw_16994006'!$C$3+'pengestrom_raw_16994006'!$C$4)-'pengestrom_raw_16994006'!$C$5)&lt;=2,"✓","⚠ "&amp;TEXT(('pengestrom_raw_16994006'!$C$2+'pengestrom_raw_16994006'!$C$3+'pengestrom_raw_16994006'!$C$4)-'pengestrom_raw_16994006'!$C$5,"+#,##0;-#,##0"))</f>
        <v/>
      </c>
      <c r="D106">
        <f>IF(ABS(('pengestrom_raw_16994006'!$D$2+'pengestrom_raw_16994006'!$D$3+'pengestrom_raw_16994006'!$D$4)-'pengestrom_raw_16994006'!$D$5)&lt;=2,"✓","⚠ "&amp;TEXT(('pengestrom_raw_16994006'!$D$2+'pengestrom_raw_16994006'!$D$3+'pengestrom_raw_16994006'!$D$4)-'pengestrom_raw_16994006'!$D$5,"+#,##0;-#,##0"))</f>
        <v/>
      </c>
      <c r="E106">
        <f>IF(ABS(('pengestrom_raw_16994006'!$E$2+'pengestrom_raw_16994006'!$E$3+'pengestrom_raw_16994006'!$E$4)-'pengestrom_raw_16994006'!$E$5)&lt;=2,"✓","⚠ "&amp;TEXT(('pengestrom_raw_16994006'!$E$2+'pengestrom_raw_16994006'!$E$3+'pengestrom_raw_16994006'!$E$4)-'pengestrom_raw_16994006'!$E$5,"+#,##0;-#,##0"))</f>
        <v/>
      </c>
      <c r="F106">
        <f>IF(ABS(('pengestrom_raw_16994006'!$F$2+'pengestrom_raw_16994006'!$F$3+'pengestrom_raw_16994006'!$F$4)-'pengestrom_raw_16994006'!$F$5)&lt;=2,"✓","⚠ "&amp;TEXT(('pengestrom_raw_16994006'!$F$2+'pengestrom_raw_16994006'!$F$3+'pengestrom_raw_16994006'!$F$4)-'pengestrom_raw_16994006'!$F$5,"+#,##0;-#,##0"))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Nordex Food A/S (CVR 16994006)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910137</v>
      </c>
      <c r="C2" s="17" t="n">
        <v>1150486</v>
      </c>
      <c r="D2" s="17" t="n">
        <v>1318698</v>
      </c>
      <c r="E2" s="17" t="n">
        <v>1425270</v>
      </c>
      <c r="F2" s="17" t="n">
        <v>1545940</v>
      </c>
    </row>
    <row r="3">
      <c r="A3" s="16" t="inlineStr">
        <is>
          <t>Andre driftsindtægter</t>
        </is>
      </c>
      <c r="B3" s="17" t="n">
        <v>21203</v>
      </c>
      <c r="C3" s="17" t="n">
        <v>20522</v>
      </c>
      <c r="D3" s="17" t="n">
        <v>24216</v>
      </c>
      <c r="E3" s="17" t="n">
        <v>31674</v>
      </c>
      <c r="F3" s="17" t="n">
        <v>43302</v>
      </c>
    </row>
    <row r="4">
      <c r="A4" s="16" t="inlineStr">
        <is>
          <t>Vareforbrug</t>
        </is>
      </c>
      <c r="B4" s="17" t="n">
        <v>851706</v>
      </c>
      <c r="C4" s="17" t="n">
        <v>1073210</v>
      </c>
      <c r="D4" s="17" t="n">
        <v>1207226</v>
      </c>
      <c r="E4" s="17" t="n">
        <v>1340285</v>
      </c>
      <c r="F4" s="17" t="n">
        <v>1525473</v>
      </c>
    </row>
    <row r="5">
      <c r="A5" s="16" t="inlineStr">
        <is>
          <t>Andre eksterne omkostninger</t>
        </is>
      </c>
      <c r="B5" s="17" t="n">
        <v>23602</v>
      </c>
      <c r="C5" s="17" t="n">
        <v>27590</v>
      </c>
      <c r="D5" s="17" t="n">
        <v>34224</v>
      </c>
      <c r="E5" s="17" t="n">
        <v>48265</v>
      </c>
      <c r="F5" s="17" t="n">
        <v>51548</v>
      </c>
    </row>
    <row r="6">
      <c r="A6" s="15" t="inlineStr">
        <is>
          <t>Bruttoresultat</t>
        </is>
      </c>
      <c r="B6" s="17" t="n">
        <v>56032</v>
      </c>
      <c r="C6" s="17" t="n">
        <v>70209</v>
      </c>
      <c r="D6" s="17" t="n">
        <v>94001</v>
      </c>
      <c r="E6" s="17" t="n">
        <v>61469</v>
      </c>
      <c r="F6" s="17" t="n">
        <v>28759</v>
      </c>
    </row>
    <row r="7">
      <c r="A7" s="16" t="inlineStr">
        <is>
          <t>Personaleomkostninger</t>
        </is>
      </c>
      <c r="B7" s="17" t="n">
        <v>52728</v>
      </c>
      <c r="C7" s="17" t="n">
        <v>54159</v>
      </c>
      <c r="D7" s="17" t="n">
        <v>59605</v>
      </c>
      <c r="E7" s="17" t="n">
        <v>65930</v>
      </c>
      <c r="F7" s="17" t="n">
        <v>67771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5337</v>
      </c>
      <c r="C9" s="17" t="n">
        <v>5402</v>
      </c>
      <c r="D9" s="17" t="n">
        <v>6937</v>
      </c>
      <c r="E9" s="17" t="n">
        <v>7817</v>
      </c>
      <c r="F9" s="17" t="n">
        <v>7864</v>
      </c>
    </row>
    <row r="10">
      <c r="A10" s="16" t="inlineStr">
        <is>
          <t>Andre driftsomkostninger</t>
        </is>
      </c>
      <c r="B10" s="17" t="n">
        <v>57</v>
      </c>
      <c r="C10" s="17" t="n">
        <v>224</v>
      </c>
      <c r="D10" s="17" t="n">
        <v>0</v>
      </c>
      <c r="E10" s="17" t="n"/>
      <c r="F10" s="17" t="n"/>
    </row>
    <row r="11">
      <c r="A11" s="15" t="inlineStr">
        <is>
          <t>Resultat af primær drift</t>
        </is>
      </c>
      <c r="B11" s="17" t="n">
        <v>-2090</v>
      </c>
      <c r="C11" s="17" t="n">
        <v>10424</v>
      </c>
      <c r="D11" s="17" t="n">
        <v>27459</v>
      </c>
      <c r="E11" s="17" t="n">
        <v>-12278</v>
      </c>
      <c r="F11" s="17" t="n">
        <v>-46876</v>
      </c>
    </row>
    <row r="12">
      <c r="A12" s="16" t="inlineStr">
        <is>
          <t>Indtægter af kapitalandele, dattervirksomheder</t>
        </is>
      </c>
      <c r="B12" s="17" t="n">
        <v>40</v>
      </c>
      <c r="C12" s="17" t="n">
        <v>32</v>
      </c>
      <c r="D12" s="17" t="n">
        <v>76</v>
      </c>
      <c r="E12" s="17" t="n">
        <v>-43</v>
      </c>
      <c r="F12" s="17" t="n">
        <v>-105</v>
      </c>
    </row>
    <row r="13">
      <c r="A13" s="16" t="inlineStr">
        <is>
          <t>Finansielle indtægter</t>
        </is>
      </c>
      <c r="B13" s="17" t="n">
        <v>1852</v>
      </c>
      <c r="C13" s="17" t="n">
        <v>2699</v>
      </c>
      <c r="D13" s="17" t="n">
        <v>4980</v>
      </c>
      <c r="E13" s="17" t="n">
        <v>2811</v>
      </c>
      <c r="F13" s="17" t="n">
        <v>2099</v>
      </c>
    </row>
    <row r="14">
      <c r="A14" s="16" t="inlineStr">
        <is>
          <t>Finansielle omkostninger</t>
        </is>
      </c>
      <c r="B14" s="17" t="n">
        <v>2975</v>
      </c>
      <c r="C14" s="17" t="n">
        <v>5788</v>
      </c>
      <c r="D14" s="17" t="n">
        <v>7709</v>
      </c>
      <c r="E14" s="17" t="n">
        <v>7145</v>
      </c>
      <c r="F14" s="17" t="n">
        <v>9561</v>
      </c>
    </row>
    <row r="15">
      <c r="A15" s="15" t="inlineStr">
        <is>
          <t>Finansielle poster, netto</t>
        </is>
      </c>
      <c r="B15" s="17" t="n">
        <v>-1123</v>
      </c>
      <c r="C15" s="17" t="n">
        <v>-3089</v>
      </c>
      <c r="D15" s="17" t="n">
        <v>-2729</v>
      </c>
      <c r="E15" s="17" t="n">
        <v>-4334</v>
      </c>
      <c r="F15" s="17" t="n">
        <v>-7462</v>
      </c>
    </row>
    <row r="16">
      <c r="A16" s="15" t="inlineStr">
        <is>
          <t>Resultat før skat</t>
        </is>
      </c>
      <c r="B16" s="17" t="n">
        <v>-3172</v>
      </c>
      <c r="C16" s="17" t="n">
        <v>7368</v>
      </c>
      <c r="D16" s="17" t="n">
        <v>24806</v>
      </c>
      <c r="E16" s="17" t="n">
        <v>-16655</v>
      </c>
      <c r="F16" s="17" t="n">
        <v>-54443</v>
      </c>
    </row>
    <row r="17">
      <c r="A17" s="16" t="inlineStr">
        <is>
          <t>Skat af årets resultat</t>
        </is>
      </c>
      <c r="B17" s="17" t="n">
        <v>-704</v>
      </c>
      <c r="C17" s="17" t="n">
        <v>1619</v>
      </c>
      <c r="D17" s="17" t="n">
        <v>5465</v>
      </c>
      <c r="E17" s="17" t="n">
        <v>-3631</v>
      </c>
      <c r="F17" s="17" t="n">
        <v>-11939</v>
      </c>
    </row>
    <row r="18">
      <c r="A18" s="15" t="inlineStr">
        <is>
          <t>Årets resultat</t>
        </is>
      </c>
      <c r="B18" s="17" t="n">
        <v>-2468</v>
      </c>
      <c r="C18" s="17" t="n">
        <v>5749</v>
      </c>
      <c r="D18" s="17" t="n">
        <v>19341</v>
      </c>
      <c r="E18" s="17" t="n">
        <v>-13024</v>
      </c>
      <c r="F18" s="17" t="n">
        <v>-42504</v>
      </c>
    </row>
    <row r="19">
      <c r="A19" s="16" t="inlineStr">
        <is>
          <t>Gns. antal medarbejdere</t>
        </is>
      </c>
      <c r="B19" s="17" t="n">
        <v>78</v>
      </c>
      <c r="C19" s="17" t="n">
        <v>75</v>
      </c>
      <c r="D19" s="17" t="n">
        <v>81</v>
      </c>
      <c r="E19" s="17" t="n">
        <v>91</v>
      </c>
      <c r="F19" s="17" t="n">
        <v>94</v>
      </c>
    </row>
    <row r="20">
      <c r="A20" s="16" t="inlineStr">
        <is>
          <t>Investering i materielle anlægsaktiver</t>
        </is>
      </c>
      <c r="B20" s="17" t="n">
        <v>-2239</v>
      </c>
      <c r="C20" s="17" t="n">
        <v>-1972</v>
      </c>
      <c r="D20" s="17" t="n">
        <v>-9049</v>
      </c>
      <c r="E20" s="17" t="n">
        <v>-2535</v>
      </c>
      <c r="F20" s="17" t="n">
        <v>-251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Nordex Food A/S (CVR 16994006)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25489</v>
      </c>
      <c r="C2" s="17" t="n">
        <v>24205</v>
      </c>
      <c r="D2" s="17" t="n">
        <v>22126</v>
      </c>
      <c r="E2" s="17" t="n">
        <v>22411</v>
      </c>
      <c r="F2" s="17" t="n">
        <v>17598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>
        <v>1939</v>
      </c>
      <c r="E4" s="17" t="n">
        <v>990</v>
      </c>
      <c r="F4" s="17" t="n">
        <v>41</v>
      </c>
    </row>
    <row r="5">
      <c r="A5" s="15" t="inlineStr">
        <is>
          <t>Immaterielle anlægsaktiver</t>
        </is>
      </c>
      <c r="B5" s="17" t="n">
        <v>26437</v>
      </c>
      <c r="C5" s="17" t="n">
        <v>24403</v>
      </c>
      <c r="D5" s="17" t="n">
        <v>24065</v>
      </c>
      <c r="E5" s="17" t="n">
        <v>23997</v>
      </c>
      <c r="F5" s="17" t="n">
        <v>18310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6595</v>
      </c>
      <c r="C8" s="17" t="n">
        <v>6167</v>
      </c>
      <c r="D8" s="17" t="n">
        <v>10370</v>
      </c>
      <c r="E8" s="17" t="n">
        <v>9407</v>
      </c>
      <c r="F8" s="17" t="n">
        <v>6829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>
        <v>297</v>
      </c>
      <c r="E10" s="17" t="n">
        <v>0</v>
      </c>
      <c r="F10" s="17" t="n"/>
    </row>
    <row r="11">
      <c r="A11" s="15" t="inlineStr">
        <is>
          <t>Materielle anlægsaktiver</t>
        </is>
      </c>
      <c r="B11" s="17" t="n">
        <v>6595</v>
      </c>
      <c r="C11" s="17" t="n">
        <v>6167</v>
      </c>
      <c r="D11" s="17" t="n">
        <v>10667</v>
      </c>
      <c r="E11" s="17" t="n">
        <v>9407</v>
      </c>
      <c r="F11" s="17" t="n">
        <v>6829</v>
      </c>
    </row>
    <row r="12">
      <c r="A12" s="16" t="inlineStr">
        <is>
          <t>Kapitalandele, dattervirksomheder</t>
        </is>
      </c>
      <c r="B12" s="17" t="n">
        <v>530</v>
      </c>
      <c r="C12" s="17" t="n">
        <v>596</v>
      </c>
      <c r="D12" s="17" t="n">
        <v>653</v>
      </c>
      <c r="E12" s="17" t="n">
        <v>648</v>
      </c>
      <c r="F12" s="17" t="n">
        <v>478</v>
      </c>
    </row>
    <row r="13">
      <c r="A13" s="16" t="inlineStr">
        <is>
          <t>Deposita</t>
        </is>
      </c>
      <c r="B13" s="17" t="n"/>
      <c r="C13" s="17" t="n"/>
      <c r="D13" s="17" t="n">
        <v>39221</v>
      </c>
      <c r="E13" s="17" t="n">
        <v>16332</v>
      </c>
      <c r="F13" s="17" t="n">
        <v>7724</v>
      </c>
    </row>
    <row r="14">
      <c r="A14" s="15" t="inlineStr">
        <is>
          <t>Finansielle anlægsaktiver</t>
        </is>
      </c>
      <c r="B14" s="17" t="n">
        <v>530</v>
      </c>
      <c r="C14" s="17" t="n">
        <v>596</v>
      </c>
      <c r="D14" s="17" t="n">
        <v>39874</v>
      </c>
      <c r="E14" s="17" t="n">
        <v>16980</v>
      </c>
      <c r="F14" s="17" t="n">
        <v>8202</v>
      </c>
    </row>
    <row r="15">
      <c r="A15" s="15" t="inlineStr">
        <is>
          <t>Anlægsaktiver</t>
        </is>
      </c>
      <c r="B15" s="17" t="n">
        <v>33562</v>
      </c>
      <c r="C15" s="17" t="n">
        <v>31166</v>
      </c>
      <c r="D15" s="17" t="n">
        <v>74606</v>
      </c>
      <c r="E15" s="17" t="n">
        <v>50384</v>
      </c>
      <c r="F15" s="17" t="n">
        <v>33341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23748</v>
      </c>
      <c r="C18" s="17" t="n">
        <v>21921</v>
      </c>
      <c r="D18" s="17" t="n">
        <v>14458</v>
      </c>
      <c r="E18" s="17" t="n">
        <v>20644</v>
      </c>
      <c r="F18" s="17" t="n">
        <v>37922</v>
      </c>
    </row>
    <row r="19">
      <c r="A19" s="15" t="inlineStr">
        <is>
          <t>Varebeholdninger</t>
        </is>
      </c>
      <c r="B19" s="17" t="n">
        <v>24786</v>
      </c>
      <c r="C19" s="17" t="n">
        <v>22807</v>
      </c>
      <c r="D19" s="17" t="n">
        <v>15183</v>
      </c>
      <c r="E19" s="17" t="n">
        <v>20644</v>
      </c>
      <c r="F19" s="17" t="n">
        <v>37922</v>
      </c>
    </row>
    <row r="20">
      <c r="A20" s="16" t="inlineStr">
        <is>
          <t>Tilgodehavender fra salg og tjenesteydelser</t>
        </is>
      </c>
      <c r="B20" s="17" t="n">
        <v>115478</v>
      </c>
      <c r="C20" s="17" t="n">
        <v>134873</v>
      </c>
      <c r="D20" s="17" t="n">
        <v>146597</v>
      </c>
      <c r="E20" s="17" t="n">
        <v>182655</v>
      </c>
      <c r="F20" s="17" t="n">
        <v>162104</v>
      </c>
    </row>
    <row r="21">
      <c r="A21" s="16" t="inlineStr">
        <is>
          <t>Tilgodehavender hos tilknyttede virksomheder</t>
        </is>
      </c>
      <c r="B21" s="17" t="n">
        <v>88901</v>
      </c>
      <c r="C21" s="17" t="n">
        <v>118743</v>
      </c>
      <c r="D21" s="17" t="n">
        <v>59274</v>
      </c>
      <c r="E21" s="17" t="n">
        <v>47833</v>
      </c>
      <c r="F21" s="17" t="n">
        <v>33062</v>
      </c>
    </row>
    <row r="22">
      <c r="A22" s="16" t="inlineStr">
        <is>
          <t>Andre tilgodehavender</t>
        </is>
      </c>
      <c r="B22" s="17" t="n">
        <v>2885</v>
      </c>
      <c r="C22" s="17" t="n">
        <v>2713</v>
      </c>
      <c r="D22" s="17" t="n">
        <v>3591</v>
      </c>
      <c r="E22" s="17" t="n">
        <v>3142</v>
      </c>
      <c r="F22" s="17" t="n">
        <v>5112</v>
      </c>
    </row>
    <row r="23">
      <c r="A23" s="16" t="inlineStr">
        <is>
          <t>Periodeafgrænsningsposter (aktiver)</t>
        </is>
      </c>
      <c r="B23" s="17" t="n">
        <v>1031</v>
      </c>
      <c r="C23" s="17" t="n">
        <v>1771</v>
      </c>
      <c r="D23" s="17" t="n">
        <v>1377</v>
      </c>
      <c r="E23" s="17" t="n">
        <v>2159</v>
      </c>
      <c r="F23" s="17" t="n">
        <v>2200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>
        <v>11254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208295</v>
      </c>
      <c r="C27" s="17" t="n">
        <v>260447</v>
      </c>
      <c r="D27" s="17" t="n">
        <v>212423</v>
      </c>
      <c r="E27" s="17" t="n">
        <v>235789</v>
      </c>
      <c r="F27" s="17" t="n">
        <v>213758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51</v>
      </c>
      <c r="C29" s="17" t="n">
        <v>28</v>
      </c>
      <c r="D29" s="17" t="n">
        <v>5</v>
      </c>
      <c r="E29" s="17" t="n">
        <v>4</v>
      </c>
      <c r="F29" s="17" t="n">
        <v>45</v>
      </c>
    </row>
    <row r="30">
      <c r="A30" s="15" t="inlineStr">
        <is>
          <t>Omsætningsaktiver</t>
        </is>
      </c>
      <c r="B30" s="17" t="n">
        <v>233133</v>
      </c>
      <c r="C30" s="17" t="n">
        <v>283281</v>
      </c>
      <c r="D30" s="17" t="n">
        <v>227611</v>
      </c>
      <c r="E30" s="17" t="n">
        <v>256437</v>
      </c>
      <c r="F30" s="17" t="n">
        <v>251725</v>
      </c>
    </row>
    <row r="31">
      <c r="A31" s="15" t="inlineStr">
        <is>
          <t>Aktiver</t>
        </is>
      </c>
      <c r="B31" s="17" t="n">
        <v>266695</v>
      </c>
      <c r="C31" s="17" t="n">
        <v>314447</v>
      </c>
      <c r="D31" s="17" t="n">
        <v>302217</v>
      </c>
      <c r="E31" s="17" t="n">
        <v>306821</v>
      </c>
      <c r="F31" s="17" t="n">
        <v>285066</v>
      </c>
    </row>
    <row r="32">
      <c r="A32" s="16" t="inlineStr">
        <is>
          <t>Selskabskapital</t>
        </is>
      </c>
      <c r="B32" s="17" t="n">
        <v>6000</v>
      </c>
      <c r="C32" s="17" t="n">
        <v>6000</v>
      </c>
      <c r="D32" s="17" t="n">
        <v>6000</v>
      </c>
      <c r="E32" s="17" t="n">
        <v>6000</v>
      </c>
      <c r="F32" s="17" t="n">
        <v>6000</v>
      </c>
    </row>
    <row r="33">
      <c r="A33" s="16" t="inlineStr">
        <is>
          <t>Reserve for nettoopskrivning (indre værdis metode)</t>
        </is>
      </c>
      <c r="B33" s="17" t="n">
        <v>530</v>
      </c>
      <c r="C33" s="17" t="n">
        <v>596</v>
      </c>
      <c r="D33" s="17" t="n">
        <v>652</v>
      </c>
      <c r="E33" s="17" t="n">
        <v>648</v>
      </c>
      <c r="F33" s="17" t="n">
        <v>478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>
        <v>597</v>
      </c>
      <c r="E35" s="17" t="n">
        <v>21</v>
      </c>
      <c r="F35" s="17" t="n">
        <v>8</v>
      </c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46049</v>
      </c>
      <c r="C37" s="17" t="n">
        <v>51766</v>
      </c>
      <c r="D37" s="17" t="n">
        <v>71031</v>
      </c>
      <c r="E37" s="17" t="n">
        <v>58050</v>
      </c>
      <c r="F37" s="17" t="n">
        <v>15759</v>
      </c>
    </row>
    <row r="38">
      <c r="A38" s="15" t="inlineStr">
        <is>
          <t>Egenkapital i alt</t>
        </is>
      </c>
      <c r="B38" s="17" t="n">
        <v>52444</v>
      </c>
      <c r="C38" s="17" t="n">
        <v>58742</v>
      </c>
      <c r="D38" s="17" t="n">
        <v>78280</v>
      </c>
      <c r="E38" s="17" t="n">
        <v>64719</v>
      </c>
      <c r="F38" s="17" t="n">
        <v>22245</v>
      </c>
    </row>
    <row r="39">
      <c r="A39" s="16" t="inlineStr">
        <is>
          <t>Hensættelse til udskudt skat</t>
        </is>
      </c>
      <c r="B39" s="17" t="n">
        <v>4219</v>
      </c>
      <c r="C39" s="17" t="n">
        <v>5315</v>
      </c>
      <c r="D39" s="17" t="n">
        <v>4444</v>
      </c>
      <c r="E39" s="17" t="n">
        <v>651</v>
      </c>
      <c r="F39" s="17" t="n">
        <v>0</v>
      </c>
    </row>
    <row r="40">
      <c r="A40" s="15" t="inlineStr">
        <is>
          <t>Hensatte forpligtelser</t>
        </is>
      </c>
      <c r="B40" s="17" t="n">
        <v>4219</v>
      </c>
      <c r="C40" s="17" t="n">
        <v>5315</v>
      </c>
      <c r="D40" s="17" t="n">
        <v>4444</v>
      </c>
      <c r="E40" s="17" t="n">
        <v>651</v>
      </c>
      <c r="F40" s="17" t="n">
        <v>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3549</v>
      </c>
      <c r="C43" s="17" t="n">
        <v>3092</v>
      </c>
      <c r="D43" s="17" t="n">
        <v>6426</v>
      </c>
      <c r="E43" s="17" t="n">
        <v>5356</v>
      </c>
      <c r="F43" s="17" t="n">
        <v>4066</v>
      </c>
    </row>
    <row r="44">
      <c r="A44" s="16" t="inlineStr">
        <is>
          <t>Anden gæld (langfristet)</t>
        </is>
      </c>
      <c r="B44" s="17" t="n">
        <v>3130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11299</v>
      </c>
      <c r="C45" s="17" t="n">
        <v>7826</v>
      </c>
      <c r="D45" s="17" t="n">
        <v>11131</v>
      </c>
      <c r="E45" s="17" t="n">
        <v>9896</v>
      </c>
      <c r="F45" s="17" t="n">
        <v>8790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100743</v>
      </c>
      <c r="C48" s="17" t="n">
        <v>98821</v>
      </c>
      <c r="D48" s="17" t="n">
        <v>60788</v>
      </c>
      <c r="E48" s="17" t="n">
        <v>91206</v>
      </c>
      <c r="F48" s="17" t="n">
        <v>69323</v>
      </c>
    </row>
    <row r="49">
      <c r="A49" s="16" t="inlineStr">
        <is>
          <t>Leasingforpligtelser (kortfristet)</t>
        </is>
      </c>
      <c r="B49" s="17" t="n">
        <v>889</v>
      </c>
      <c r="C49" s="17" t="n">
        <v>583</v>
      </c>
      <c r="D49" s="17" t="n">
        <v>1120</v>
      </c>
      <c r="E49" s="17" t="n">
        <v>1236</v>
      </c>
      <c r="F49" s="17" t="n">
        <v>710</v>
      </c>
    </row>
    <row r="50">
      <c r="A50" s="16" t="inlineStr">
        <is>
          <t>Leverandører af varer og tjenesteydelser</t>
        </is>
      </c>
      <c r="B50" s="17" t="n">
        <v>43489</v>
      </c>
      <c r="C50" s="17" t="n">
        <v>45290</v>
      </c>
      <c r="D50" s="17" t="n">
        <v>48475</v>
      </c>
      <c r="E50" s="17" t="n">
        <v>68168</v>
      </c>
      <c r="F50" s="17" t="n">
        <v>51013</v>
      </c>
    </row>
    <row r="51">
      <c r="A51" s="16" t="inlineStr">
        <is>
          <t>Gæld til tilknyttede virksomheder</t>
        </is>
      </c>
      <c r="B51" s="17" t="n">
        <v>41260</v>
      </c>
      <c r="C51" s="17" t="n">
        <v>87514</v>
      </c>
      <c r="D51" s="17" t="n">
        <v>80756</v>
      </c>
      <c r="E51" s="17" t="n">
        <v>61692</v>
      </c>
      <c r="F51" s="17" t="n">
        <v>126359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>
        <v>669</v>
      </c>
      <c r="D53" s="17" t="n">
        <v>6396</v>
      </c>
      <c r="E53" s="17" t="n">
        <v>0</v>
      </c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11162</v>
      </c>
      <c r="C55" s="17" t="n"/>
      <c r="D55" s="17" t="n"/>
      <c r="E55" s="17" t="n"/>
      <c r="F55" s="17" t="n"/>
    </row>
    <row r="56">
      <c r="A56" s="16" t="inlineStr">
        <is>
          <t>Periodeafgrænsningsposter (passiver)</t>
        </is>
      </c>
      <c r="B56" s="17" t="n"/>
      <c r="C56" s="17" t="n">
        <v>469</v>
      </c>
      <c r="D56" s="17" t="n">
        <v>0</v>
      </c>
      <c r="E56" s="17" t="n">
        <v>1584</v>
      </c>
      <c r="F56" s="17" t="n">
        <v>0</v>
      </c>
    </row>
    <row r="57">
      <c r="A57" s="15" t="inlineStr">
        <is>
          <t>Kortfristede gældsforpligtelser</t>
        </is>
      </c>
      <c r="B57" s="17" t="n">
        <v>198733</v>
      </c>
      <c r="C57" s="17" t="n">
        <v>242564</v>
      </c>
      <c r="D57" s="17" t="n">
        <v>208362</v>
      </c>
      <c r="E57" s="17" t="n">
        <v>231555</v>
      </c>
      <c r="F57" s="17" t="n">
        <v>254031</v>
      </c>
    </row>
    <row r="58">
      <c r="A58" s="15" t="inlineStr">
        <is>
          <t>Gældsforpligtelser</t>
        </is>
      </c>
      <c r="B58" s="17" t="n">
        <v>210032</v>
      </c>
      <c r="C58" s="17" t="n">
        <v>250390</v>
      </c>
      <c r="D58" s="17" t="n">
        <v>219493</v>
      </c>
      <c r="E58" s="17" t="n">
        <v>241451</v>
      </c>
      <c r="F58" s="17" t="n">
        <v>262821</v>
      </c>
    </row>
    <row r="59">
      <c r="A59" s="15" t="inlineStr">
        <is>
          <t>Passiver</t>
        </is>
      </c>
      <c r="B59" s="17" t="n">
        <v>266695</v>
      </c>
      <c r="C59" s="17" t="n">
        <v>314447</v>
      </c>
      <c r="D59" s="17" t="n">
        <v>302217</v>
      </c>
      <c r="E59" s="17" t="n">
        <v>306821</v>
      </c>
      <c r="F59" s="17" t="n">
        <v>285066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Nordex Food A/S (CVR 16994006)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-2178</v>
      </c>
      <c r="C2" s="17" t="n">
        <v>8732</v>
      </c>
      <c r="D2" s="17" t="n">
        <v>45063</v>
      </c>
      <c r="E2" s="17" t="n">
        <v>-45983</v>
      </c>
      <c r="F2" s="17" t="n"/>
    </row>
    <row r="3">
      <c r="A3" s="16" t="inlineStr">
        <is>
          <t>Pengestrømme fra investeringsaktivitet</t>
        </is>
      </c>
      <c r="B3" s="17" t="n">
        <v>-1044</v>
      </c>
      <c r="C3" s="17" t="n">
        <v>-2661</v>
      </c>
      <c r="D3" s="17" t="n">
        <v>-5890</v>
      </c>
      <c r="E3" s="17" t="n">
        <v>16518</v>
      </c>
      <c r="F3" s="17" t="n"/>
    </row>
    <row r="4">
      <c r="A4" s="16" t="inlineStr">
        <is>
          <t>Pengestrømme fra finansieringsaktivitet</t>
        </is>
      </c>
      <c r="B4" s="17" t="n">
        <v>3220</v>
      </c>
      <c r="C4" s="17" t="n">
        <v>-6095</v>
      </c>
      <c r="D4" s="17" t="n">
        <v>-39195</v>
      </c>
      <c r="E4" s="17" t="n">
        <v>29464</v>
      </c>
      <c r="F4" s="17" t="n"/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Nordex Food A/S (CVR 16994006) — Regnskabs- og nøgletal (CVR: 16994006)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'res_raw_16994006'!$F$2</f>
        <v/>
      </c>
      <c r="C5" s="24">
        <f>'res_raw_16994006'!$E$2</f>
        <v/>
      </c>
      <c r="D5" s="24">
        <f>'res_raw_16994006'!$D$2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'res_raw_16994006'!$F$3</f>
        <v/>
      </c>
      <c r="C6" s="24">
        <f>'res_raw_16994006'!$E$3</f>
        <v/>
      </c>
      <c r="D6" s="24">
        <f>'res_raw_16994006'!$D$3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-'res_raw_16994006'!$F$4</f>
        <v/>
      </c>
      <c r="C7" s="24">
        <f>-'res_raw_16994006'!$E$4</f>
        <v/>
      </c>
      <c r="D7" s="24">
        <f>-'res_raw_16994006'!$D$4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-'res_raw_16994006'!$F$5</f>
        <v/>
      </c>
      <c r="C8" s="24">
        <f>-'res_raw_16994006'!$E$5</f>
        <v/>
      </c>
      <c r="D8" s="24">
        <f>-'res_raw_16994006'!$D$5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IF(ABS((SUM(B5:B8))-'res_raw_16994006'!$F$6)&lt;=2,SUM(B5:B8),'res_raw_16994006'!$F$6)</f>
        <v/>
      </c>
      <c r="C9" s="27">
        <f>IF(ABS((SUM(C5:C8))-'res_raw_16994006'!$E$6)&lt;=2,SUM(C5:C8),'res_raw_16994006'!$E$6)</f>
        <v/>
      </c>
      <c r="D9" s="27">
        <f>IF(ABS((SUM(D5:D8))-'res_raw_16994006'!$D$6)&lt;=2,SUM(D5:D8),'res_raw_16994006'!$D$6)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-'res_raw_16994006'!$F$7</f>
        <v/>
      </c>
      <c r="C10" s="24">
        <f>-'res_raw_16994006'!$E$7</f>
        <v/>
      </c>
      <c r="D10" s="24">
        <f>-'res_raw_16994006'!$D$7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-'res_raw_16994006'!$F$9</f>
        <v/>
      </c>
      <c r="C11" s="24">
        <f>-'res_raw_16994006'!$E$9</f>
        <v/>
      </c>
      <c r="D11" s="24">
        <f>-'res_raw_16994006'!$D$9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-'res_raw_16994006'!$F$10</f>
        <v/>
      </c>
      <c r="C12" s="24">
        <f>-'res_raw_16994006'!$E$10</f>
        <v/>
      </c>
      <c r="D12" s="24">
        <f>-'res_raw_16994006'!$D$10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IF(ABS((SUM(B9:B12))-'res_raw_16994006'!$F$11)&lt;=2,SUM(B9:B12),'res_raw_16994006'!$F$11)</f>
        <v/>
      </c>
      <c r="C13" s="27">
        <f>IF(ABS((SUM(C9:C12))-'res_raw_16994006'!$E$11)&lt;=2,SUM(C9:C12),'res_raw_16994006'!$E$11)</f>
        <v/>
      </c>
      <c r="D13" s="27">
        <f>IF(ABS((SUM(D9:D12))-'res_raw_16994006'!$D$11)&lt;=2,SUM(D9:D12),'res_raw_16994006'!$D$11)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N('res_raw_16994006'!$F$12)+N('res_raw_16994006'!$F$13)</f>
        <v/>
      </c>
      <c r="C14" s="24">
        <f>N('res_raw_16994006'!$E$12)+N('res_raw_16994006'!$E$13)</f>
        <v/>
      </c>
      <c r="D14" s="24">
        <f>N('res_raw_16994006'!$D$12)+N('res_raw_16994006'!$D$13)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-'res_raw_16994006'!$F$14</f>
        <v/>
      </c>
      <c r="C15" s="24">
        <f>-'res_raw_16994006'!$E$14</f>
        <v/>
      </c>
      <c r="D15" s="24">
        <f>-'res_raw_16994006'!$D$14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IF(ABS((SUM(B13:B15))-'res_raw_16994006'!$F$16)&lt;=2,SUM(B13:B15),'res_raw_16994006'!$F$16)</f>
        <v/>
      </c>
      <c r="C16" s="27">
        <f>IF(ABS((SUM(C13:C15))-'res_raw_16994006'!$E$16)&lt;=2,SUM(C13:C15),'res_raw_16994006'!$E$16)</f>
        <v/>
      </c>
      <c r="D16" s="27">
        <f>IF(ABS((SUM(D13:D15))-'res_raw_16994006'!$D$16)&lt;=2,SUM(D13:D15),'res_raw_16994006'!$D$16)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'balance_raw_16994006'!$F$15</f>
        <v/>
      </c>
      <c r="C19" s="24">
        <f>'balance_raw_16994006'!$E$15</f>
        <v/>
      </c>
      <c r="D19" s="24">
        <f>'balance_raw_16994006'!$D$15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'balance_raw_16994006'!$F$30</f>
        <v/>
      </c>
      <c r="C20" s="24">
        <f>'balance_raw_16994006'!$E$30</f>
        <v/>
      </c>
      <c r="D20" s="24">
        <f>'balance_raw_16994006'!$D$30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'balance_raw_16994006'!$F$38</f>
        <v/>
      </c>
      <c r="C23" s="24">
        <f>'balance_raw_16994006'!$E$38</f>
        <v/>
      </c>
      <c r="D23" s="24">
        <f>'balance_raw_16994006'!$D$38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'balance_raw_16994006'!$F$59-'balance_raw_16994006'!$F$38</f>
        <v/>
      </c>
      <c r="C24" s="24">
        <f>'balance_raw_16994006'!$E$59-'balance_raw_16994006'!$E$38</f>
        <v/>
      </c>
      <c r="D24" s="24">
        <f>'balance_raw_16994006'!$D$59-'balance_raw_16994006'!$D$38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'balance_raw_16994006'!$F$19</f>
        <v/>
      </c>
      <c r="C28" s="24">
        <f>'balance_raw_16994006'!$E$19</f>
        <v/>
      </c>
      <c r="D28" s="24">
        <f>'balance_raw_16994006'!$D$19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'balance_raw_16994006'!$F$20</f>
        <v/>
      </c>
      <c r="C29" s="24">
        <f>'balance_raw_16994006'!$E$20</f>
        <v/>
      </c>
      <c r="D29" s="24">
        <f>'balance_raw_16994006'!$D$20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'balance_raw_16994006'!$F$57</f>
        <v/>
      </c>
      <c r="C30" s="24">
        <f>'balance_raw_16994006'!$E$57</f>
        <v/>
      </c>
      <c r="D30" s="24">
        <f>'balance_raw_16994006'!$D$57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IF('balance_raw_16994006'!$F$31="","—",IF(ABS(B21-'balance_raw_16994006'!$F$31)&lt;=1,"✓ OK","❌ "&amp;TEXT(B21-'balance_raw_16994006'!$F$31,"+#,##0;-#,##0")&amp;" t.kr."))</f>
        <v/>
      </c>
      <c r="C61" s="29">
        <f>IF('balance_raw_16994006'!$E$31="","—",IF(ABS(C21-'balance_raw_16994006'!$E$31)&lt;=1,"✓ OK","❌ "&amp;TEXT(C21-'balance_raw_16994006'!$E$31,"+#,##0;-#,##0")&amp;" t.kr."))</f>
        <v/>
      </c>
      <c r="D61" s="29">
        <f>IF('balance_raw_16994006'!$D$31="","—",IF(ABS(D21-'balance_raw_16994006'!$D$31)&lt;=1,"✓ OK","❌ "&amp;TEXT(D21-'balance_raw_16994006'!$D$31,"+#,##0;-#,##0")&amp;"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IF('balance_raw_16994006'!$F$59="","—",IF(ABS(B25-'balance_raw_16994006'!$F$59)&lt;=1,"✓ OK","❌ "&amp;TEXT(B25-'balance_raw_16994006'!$F$59,"+#,##0;-#,##0")&amp;" t.kr."))</f>
        <v/>
      </c>
      <c r="C62" s="29">
        <f>IF('balance_raw_16994006'!$E$59="","—",IF(ABS(C25-'balance_raw_16994006'!$E$59)&lt;=1,"✓ OK","❌ "&amp;TEXT(C25-'balance_raw_16994006'!$E$59,"+#,##0;-#,##0")&amp;" t.kr."))</f>
        <v/>
      </c>
      <c r="D62" s="29">
        <f>IF('balance_raw_16994006'!$D$59="","—",IF(ABS(D25-'balance_raw_16994006'!$D$59)&lt;=1,"✓ OK","❌ "&amp;TEXT(D25-'balance_raw_16994006'!$D$59,"+#,##0;-#,##0")&amp;"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IF('res_raw_16994006'!$F$6="","—",IF(ABS(B9-'res_raw_16994006'!$F$6)&lt;=1,"✓ OK","❌ "&amp;TEXT(B9-'res_raw_16994006'!$F$6,"+#,##0;-#,##0")&amp;" t.kr."))</f>
        <v/>
      </c>
      <c r="C64" s="29">
        <f>IF('res_raw_16994006'!$E$6="","—",IF(ABS(C9-'res_raw_16994006'!$E$6)&lt;=1,"✓ OK","❌ "&amp;TEXT(C9-'res_raw_16994006'!$E$6,"+#,##0;-#,##0")&amp;" t.kr."))</f>
        <v/>
      </c>
      <c r="D64" s="29">
        <f>IF('res_raw_16994006'!$D$6="","—",IF(ABS(D9-'res_raw_16994006'!$D$6)&lt;=1,"✓ OK","❌ "&amp;TEXT(D9-'res_raw_16994006'!$D$6,"+#,##0;-#,##0")&amp;"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IF('res_raw_16994006'!$F$11="","—",IF(ABS(B13-'res_raw_16994006'!$F$11)&lt;=1,"✓ OK","❌ "&amp;TEXT(B13-'res_raw_16994006'!$F$11,"+#,##0;-#,##0")&amp;" t.kr."))</f>
        <v/>
      </c>
      <c r="C65" s="29">
        <f>IF('res_raw_16994006'!$E$11="","—",IF(ABS(C13-'res_raw_16994006'!$E$11)&lt;=1,"✓ OK","❌ "&amp;TEXT(C13-'res_raw_16994006'!$E$11,"+#,##0;-#,##0")&amp;" t.kr."))</f>
        <v/>
      </c>
      <c r="D65" s="29">
        <f>IF('res_raw_16994006'!$D$11="","—",IF(ABS(D13-'res_raw_16994006'!$D$11)&lt;=1,"✓ OK","❌ "&amp;TEXT(D13-'res_raw_16994006'!$D$11,"+#,##0;-#,##0")&amp;"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IF('res_raw_16994006'!$F$16="","—",IF(ABS(B16-'res_raw_16994006'!$F$16)&lt;=1,"✓ OK","❌ "&amp;TEXT(B16-'res_raw_16994006'!$F$16,"+#,##0;-#,##0")&amp;" t.kr."))</f>
        <v/>
      </c>
      <c r="C66" s="29">
        <f>IF('res_raw_16994006'!$E$16="","—",IF(ABS(C16-'res_raw_16994006'!$E$16)&lt;=1,"✓ OK","❌ "&amp;TEXT(C16-'res_raw_16994006'!$E$16,"+#,##0;-#,##0")&amp;" t.kr."))</f>
        <v/>
      </c>
      <c r="D66" s="29">
        <f>IF('res_raw_16994006'!$D$16="","—",IF(ABS(D16-'res_raw_16994006'!$D$16)&lt;=1,"✓ OK","❌ "&amp;TEXT(D16-'res_raw_16994006'!$D$16,"+#,##0;-#,##0")&amp;"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Nordex Food A/S (CVR 16994006)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fsa:CurrentContractAssets</t>
        </is>
      </c>
      <c r="C3" s="34" t="inlineStr">
        <is>
          <t>fsa:CurrentContractAssets</t>
        </is>
      </c>
      <c r="D3" s="35" t="n">
        <v>0</v>
      </c>
      <c r="E3" s="35" t="n">
        <v>2347</v>
      </c>
      <c r="F3" s="35" t="n">
        <v>1584</v>
      </c>
      <c r="G3" s="35" t="n">
        <v>0</v>
      </c>
      <c r="H3" s="35" t="n">
        <v>26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fsa:HolidayAllowanceLiabilitiesLongterm</t>
        </is>
      </c>
      <c r="C4" s="37" t="inlineStr">
        <is>
          <t>fsa:HolidayAllowanceLiabilitiesLongterm</t>
        </is>
      </c>
      <c r="D4" s="38" t="n"/>
      <c r="E4" s="38" t="n"/>
      <c r="F4" s="38" t="n">
        <v>4705</v>
      </c>
      <c r="G4" s="38" t="n">
        <v>4540</v>
      </c>
      <c r="H4" s="38" t="n">
        <v>4724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2026-10-02T21:14:09Z</dcterms:created>
  <dcterms:modified xmlns:dcterms="http://purl.org/dc/terms/" xmlns:xsi="http://www.w3.org/2001/XMLSchema-instance" xsi:type="dcterms:W3CDTF">2026-10-02T21:14:10Z</dcterms:modified>
</cp:coreProperties>
</file>