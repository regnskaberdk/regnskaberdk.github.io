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8976437" sheetId="1" state="visible" r:id="rId1"/>
    <sheet xmlns:r="http://schemas.openxmlformats.org/officeDocument/2006/relationships" name="res_raw_28976437" sheetId="2" state="visible" r:id="rId2"/>
    <sheet xmlns:r="http://schemas.openxmlformats.org/officeDocument/2006/relationships" name="balance_raw_28976437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Viborg Bryghus ApS (CVR 28976437) — Regnskabsanalyse – Resultatopgørelse &amp; Balance (t.kr.) · Klasse B · Udvidet gennemgang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'res_raw_28976437'!$B$2</f>
        <v/>
      </c>
      <c r="C4" s="5">
        <f>'res_raw_28976437'!$C$2</f>
        <v/>
      </c>
      <c r="D4" s="5">
        <f>'res_raw_28976437'!$D$2</f>
        <v/>
      </c>
      <c r="E4" s="5">
        <f>'res_raw_28976437'!$E$2</f>
        <v/>
      </c>
      <c r="F4" s="5">
        <f>'res_raw_28976437'!$F$2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'res_raw_28976437'!$B$3</f>
        <v/>
      </c>
      <c r="C5" s="8">
        <f>'res_raw_28976437'!$C$3</f>
        <v/>
      </c>
      <c r="D5" s="8">
        <f>'res_raw_28976437'!$D$3</f>
        <v/>
      </c>
      <c r="E5" s="8">
        <f>'res_raw_28976437'!$E$3</f>
        <v/>
      </c>
      <c r="F5" s="8">
        <f>'res_raw_28976437'!$F$3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'res_raw_28976437'!$B$4</f>
        <v/>
      </c>
      <c r="C6" s="5">
        <f>'res_raw_28976437'!$C$4</f>
        <v/>
      </c>
      <c r="D6" s="5">
        <f>'res_raw_28976437'!$D$4</f>
        <v/>
      </c>
      <c r="E6" s="5">
        <f>'res_raw_28976437'!$E$4</f>
        <v/>
      </c>
      <c r="F6" s="5">
        <f>'res_raw_28976437'!$F$4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'res_raw_28976437'!$B$5</f>
        <v/>
      </c>
      <c r="C7" s="8">
        <f>'res_raw_28976437'!$C$5</f>
        <v/>
      </c>
      <c r="D7" s="8">
        <f>'res_raw_28976437'!$D$5</f>
        <v/>
      </c>
      <c r="E7" s="8">
        <f>'res_raw_28976437'!$E$5</f>
        <v/>
      </c>
      <c r="F7" s="8">
        <f>'res_raw_28976437'!$F$5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'res_raw_28976437'!$B$6</f>
        <v/>
      </c>
      <c r="C8" s="11">
        <f>'res_raw_28976437'!$C$6</f>
        <v/>
      </c>
      <c r="D8" s="11">
        <f>'res_raw_28976437'!$D$6</f>
        <v/>
      </c>
      <c r="E8" s="11">
        <f>'res_raw_28976437'!$E$6</f>
        <v/>
      </c>
      <c r="F8" s="11">
        <f>'res_raw_28976437'!$F$6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'res_raw_28976437'!$B$7</f>
        <v/>
      </c>
      <c r="C9" s="8">
        <f>'res_raw_28976437'!$C$7</f>
        <v/>
      </c>
      <c r="D9" s="8">
        <f>'res_raw_28976437'!$D$7</f>
        <v/>
      </c>
      <c r="E9" s="8">
        <f>'res_raw_28976437'!$E$7</f>
        <v/>
      </c>
      <c r="F9" s="8">
        <f>'res_raw_28976437'!$F$7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'res_raw_28976437'!$B$9</f>
        <v/>
      </c>
      <c r="C11" s="8">
        <f>'res_raw_28976437'!$C$9</f>
        <v/>
      </c>
      <c r="D11" s="8">
        <f>'res_raw_28976437'!$D$9</f>
        <v/>
      </c>
      <c r="E11" s="8">
        <f>'res_raw_28976437'!$E$9</f>
        <v/>
      </c>
      <c r="F11" s="8">
        <f>'res_raw_28976437'!$F$9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'res_raw_28976437'!$B$10</f>
        <v/>
      </c>
      <c r="C12" s="5">
        <f>'res_raw_28976437'!$C$10</f>
        <v/>
      </c>
      <c r="D12" s="5">
        <f>'res_raw_28976437'!$D$10</f>
        <v/>
      </c>
      <c r="E12" s="5">
        <f>'res_raw_28976437'!$E$10</f>
        <v/>
      </c>
      <c r="F12" s="5">
        <f>'res_raw_28976437'!$F$10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'res_raw_28976437'!$B$11</f>
        <v/>
      </c>
      <c r="C13" s="11">
        <f>'res_raw_28976437'!$C$11</f>
        <v/>
      </c>
      <c r="D13" s="11">
        <f>'res_raw_28976437'!$D$11</f>
        <v/>
      </c>
      <c r="E13" s="11">
        <f>'res_raw_28976437'!$E$11</f>
        <v/>
      </c>
      <c r="F13" s="11">
        <f>'res_raw_28976437'!$F$11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'res_raw_28976437'!$B$12</f>
        <v/>
      </c>
      <c r="C14" s="5">
        <f>'res_raw_28976437'!$C$12</f>
        <v/>
      </c>
      <c r="D14" s="5">
        <f>'res_raw_28976437'!$D$12</f>
        <v/>
      </c>
      <c r="E14" s="5">
        <f>'res_raw_28976437'!$E$12</f>
        <v/>
      </c>
      <c r="F14" s="5">
        <f>'res_raw_28976437'!$F$12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'res_raw_28976437'!$B$13</f>
        <v/>
      </c>
      <c r="C15" s="8">
        <f>'res_raw_28976437'!$C$13</f>
        <v/>
      </c>
      <c r="D15" s="8">
        <f>'res_raw_28976437'!$D$13</f>
        <v/>
      </c>
      <c r="E15" s="8">
        <f>'res_raw_28976437'!$E$13</f>
        <v/>
      </c>
      <c r="F15" s="8">
        <f>'res_raw_28976437'!$F$13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'res_raw_28976437'!$B$14</f>
        <v/>
      </c>
      <c r="C16" s="5">
        <f>'res_raw_28976437'!$C$14</f>
        <v/>
      </c>
      <c r="D16" s="5">
        <f>'res_raw_28976437'!$D$14</f>
        <v/>
      </c>
      <c r="E16" s="5">
        <f>'res_raw_28976437'!$E$14</f>
        <v/>
      </c>
      <c r="F16" s="5">
        <f>'res_raw_28976437'!$F$14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'res_raw_28976437'!$B$15</f>
        <v/>
      </c>
      <c r="C17" s="11">
        <f>'res_raw_28976437'!$C$15</f>
        <v/>
      </c>
      <c r="D17" s="11">
        <f>'res_raw_28976437'!$D$15</f>
        <v/>
      </c>
      <c r="E17" s="11">
        <f>'res_raw_28976437'!$E$15</f>
        <v/>
      </c>
      <c r="F17" s="11">
        <f>'res_raw_28976437'!$F$15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'res_raw_28976437'!$B$16</f>
        <v/>
      </c>
      <c r="C18" s="11">
        <f>'res_raw_28976437'!$C$16</f>
        <v/>
      </c>
      <c r="D18" s="11">
        <f>'res_raw_28976437'!$D$16</f>
        <v/>
      </c>
      <c r="E18" s="11">
        <f>'res_raw_28976437'!$E$16</f>
        <v/>
      </c>
      <c r="F18" s="11">
        <f>'res_raw_28976437'!$F$16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'res_raw_28976437'!$B$17</f>
        <v/>
      </c>
      <c r="C19" s="8">
        <f>'res_raw_28976437'!$C$17</f>
        <v/>
      </c>
      <c r="D19" s="8">
        <f>'res_raw_28976437'!$D$17</f>
        <v/>
      </c>
      <c r="E19" s="8">
        <f>'res_raw_28976437'!$E$17</f>
        <v/>
      </c>
      <c r="F19" s="8">
        <f>'res_raw_28976437'!$F$17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'res_raw_28976437'!$B$18</f>
        <v/>
      </c>
      <c r="C20" s="11">
        <f>'res_raw_28976437'!$C$18</f>
        <v/>
      </c>
      <c r="D20" s="11">
        <f>'res_raw_28976437'!$D$18</f>
        <v/>
      </c>
      <c r="E20" s="11">
        <f>'res_raw_28976437'!$E$18</f>
        <v/>
      </c>
      <c r="F20" s="11">
        <f>'res_raw_28976437'!$F$18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'balance_raw_28976437'!$B$2</f>
        <v/>
      </c>
      <c r="C23" s="8">
        <f>'balance_raw_28976437'!$C$2</f>
        <v/>
      </c>
      <c r="D23" s="8">
        <f>'balance_raw_28976437'!$D$2</f>
        <v/>
      </c>
      <c r="E23" s="8">
        <f>'balance_raw_28976437'!$E$2</f>
        <v/>
      </c>
      <c r="F23" s="8">
        <f>'balance_raw_28976437'!$F$2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'balance_raw_28976437'!$B$3</f>
        <v/>
      </c>
      <c r="C24" s="5">
        <f>'balance_raw_28976437'!$C$3</f>
        <v/>
      </c>
      <c r="D24" s="5">
        <f>'balance_raw_28976437'!$D$3</f>
        <v/>
      </c>
      <c r="E24" s="5">
        <f>'balance_raw_28976437'!$E$3</f>
        <v/>
      </c>
      <c r="F24" s="5">
        <f>'balance_raw_28976437'!$F$3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'balance_raw_28976437'!$B$4</f>
        <v/>
      </c>
      <c r="C25" s="8">
        <f>'balance_raw_28976437'!$C$4</f>
        <v/>
      </c>
      <c r="D25" s="8">
        <f>'balance_raw_28976437'!$D$4</f>
        <v/>
      </c>
      <c r="E25" s="8">
        <f>'balance_raw_28976437'!$E$4</f>
        <v/>
      </c>
      <c r="F25" s="8">
        <f>'balance_raw_28976437'!$F$4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'balance_raw_28976437'!$B$5</f>
        <v/>
      </c>
      <c r="C26" s="5">
        <f>'balance_raw_28976437'!$C$5</f>
        <v/>
      </c>
      <c r="D26" s="5">
        <f>'balance_raw_28976437'!$D$5</f>
        <v/>
      </c>
      <c r="E26" s="5">
        <f>'balance_raw_28976437'!$E$5</f>
        <v/>
      </c>
      <c r="F26" s="5">
        <f>'balance_raw_28976437'!$F$5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'balance_raw_28976437'!$B$6</f>
        <v/>
      </c>
      <c r="C27" s="8">
        <f>'balance_raw_28976437'!$C$6</f>
        <v/>
      </c>
      <c r="D27" s="8">
        <f>'balance_raw_28976437'!$D$6</f>
        <v/>
      </c>
      <c r="E27" s="8">
        <f>'balance_raw_28976437'!$E$6</f>
        <v/>
      </c>
      <c r="F27" s="8">
        <f>'balance_raw_28976437'!$F$6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'balance_raw_28976437'!$B$7</f>
        <v/>
      </c>
      <c r="C28" s="11">
        <f>'balance_raw_28976437'!$C$7</f>
        <v/>
      </c>
      <c r="D28" s="11">
        <f>'balance_raw_28976437'!$D$7</f>
        <v/>
      </c>
      <c r="E28" s="11">
        <f>'balance_raw_28976437'!$E$7</f>
        <v/>
      </c>
      <c r="F28" s="11">
        <f>'balance_raw_28976437'!$F$7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'balance_raw_28976437'!$B$8</f>
        <v/>
      </c>
      <c r="C29" s="8">
        <f>'balance_raw_28976437'!$C$8</f>
        <v/>
      </c>
      <c r="D29" s="8">
        <f>'balance_raw_28976437'!$D$8</f>
        <v/>
      </c>
      <c r="E29" s="8">
        <f>'balance_raw_28976437'!$E$8</f>
        <v/>
      </c>
      <c r="F29" s="8">
        <f>'balance_raw_28976437'!$F$8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'balance_raw_28976437'!$B$9</f>
        <v/>
      </c>
      <c r="C30" s="5">
        <f>'balance_raw_28976437'!$C$9</f>
        <v/>
      </c>
      <c r="D30" s="5">
        <f>'balance_raw_28976437'!$D$9</f>
        <v/>
      </c>
      <c r="E30" s="5">
        <f>'balance_raw_28976437'!$E$9</f>
        <v/>
      </c>
      <c r="F30" s="5">
        <f>'balance_raw_28976437'!$F$9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'balance_raw_28976437'!$B$10</f>
        <v/>
      </c>
      <c r="C31" s="11">
        <f>'balance_raw_28976437'!$C$10</f>
        <v/>
      </c>
      <c r="D31" s="11">
        <f>'balance_raw_28976437'!$D$10</f>
        <v/>
      </c>
      <c r="E31" s="11">
        <f>'balance_raw_28976437'!$E$10</f>
        <v/>
      </c>
      <c r="F31" s="11">
        <f>'balance_raw_28976437'!$F$10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'balance_raw_28976437'!$B$11</f>
        <v/>
      </c>
      <c r="C32" s="11">
        <f>'balance_raw_28976437'!$C$11</f>
        <v/>
      </c>
      <c r="D32" s="11">
        <f>'balance_raw_28976437'!$D$11</f>
        <v/>
      </c>
      <c r="E32" s="11">
        <f>'balance_raw_28976437'!$E$11</f>
        <v/>
      </c>
      <c r="F32" s="11">
        <f>'balance_raw_28976437'!$F$11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'balance_raw_28976437'!$B$12</f>
        <v/>
      </c>
      <c r="C33" s="8">
        <f>'balance_raw_28976437'!$C$12</f>
        <v/>
      </c>
      <c r="D33" s="8">
        <f>'balance_raw_28976437'!$D$12</f>
        <v/>
      </c>
      <c r="E33" s="8">
        <f>'balance_raw_28976437'!$E$12</f>
        <v/>
      </c>
      <c r="F33" s="8">
        <f>'balance_raw_28976437'!$F$12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'balance_raw_28976437'!$B$13</f>
        <v/>
      </c>
      <c r="C34" s="5">
        <f>'balance_raw_28976437'!$C$13</f>
        <v/>
      </c>
      <c r="D34" s="5">
        <f>'balance_raw_28976437'!$D$13</f>
        <v/>
      </c>
      <c r="E34" s="5">
        <f>'balance_raw_28976437'!$E$13</f>
        <v/>
      </c>
      <c r="F34" s="5">
        <f>'balance_raw_28976437'!$F$13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'balance_raw_28976437'!$B$14</f>
        <v/>
      </c>
      <c r="C35" s="8">
        <f>'balance_raw_28976437'!$C$14</f>
        <v/>
      </c>
      <c r="D35" s="8">
        <f>'balance_raw_28976437'!$D$14</f>
        <v/>
      </c>
      <c r="E35" s="8">
        <f>'balance_raw_28976437'!$E$14</f>
        <v/>
      </c>
      <c r="F35" s="8">
        <f>'balance_raw_28976437'!$F$14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'balance_raw_28976437'!$B$15</f>
        <v/>
      </c>
      <c r="C36" s="11">
        <f>'balance_raw_28976437'!$C$15</f>
        <v/>
      </c>
      <c r="D36" s="11">
        <f>'balance_raw_28976437'!$D$15</f>
        <v/>
      </c>
      <c r="E36" s="11">
        <f>'balance_raw_28976437'!$E$15</f>
        <v/>
      </c>
      <c r="F36" s="11">
        <f>'balance_raw_28976437'!$F$15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'balance_raw_28976437'!$B$16</f>
        <v/>
      </c>
      <c r="C37" s="8">
        <f>'balance_raw_28976437'!$C$16</f>
        <v/>
      </c>
      <c r="D37" s="8">
        <f>'balance_raw_28976437'!$D$16</f>
        <v/>
      </c>
      <c r="E37" s="8">
        <f>'balance_raw_28976437'!$E$16</f>
        <v/>
      </c>
      <c r="F37" s="8">
        <f>'balance_raw_28976437'!$F$16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'balance_raw_28976437'!$B$17</f>
        <v/>
      </c>
      <c r="C38" s="5">
        <f>'balance_raw_28976437'!$C$17</f>
        <v/>
      </c>
      <c r="D38" s="5">
        <f>'balance_raw_28976437'!$D$17</f>
        <v/>
      </c>
      <c r="E38" s="5">
        <f>'balance_raw_28976437'!$E$17</f>
        <v/>
      </c>
      <c r="F38" s="5">
        <f>'balance_raw_28976437'!$F$17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'balance_raw_28976437'!$B$18</f>
        <v/>
      </c>
      <c r="C39" s="8">
        <f>'balance_raw_28976437'!$C$18</f>
        <v/>
      </c>
      <c r="D39" s="8">
        <f>'balance_raw_28976437'!$D$18</f>
        <v/>
      </c>
      <c r="E39" s="8">
        <f>'balance_raw_28976437'!$E$18</f>
        <v/>
      </c>
      <c r="F39" s="8">
        <f>'balance_raw_28976437'!$F$18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'balance_raw_28976437'!$B$19</f>
        <v/>
      </c>
      <c r="C40" s="5">
        <f>'balance_raw_28976437'!$C$19</f>
        <v/>
      </c>
      <c r="D40" s="5">
        <f>'balance_raw_28976437'!$D$19</f>
        <v/>
      </c>
      <c r="E40" s="5">
        <f>'balance_raw_28976437'!$E$19</f>
        <v/>
      </c>
      <c r="F40" s="5">
        <f>'balance_raw_28976437'!$F$19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'balance_raw_28976437'!$B$20</f>
        <v/>
      </c>
      <c r="C41" s="8">
        <f>'balance_raw_28976437'!$C$20</f>
        <v/>
      </c>
      <c r="D41" s="8">
        <f>'balance_raw_28976437'!$D$20</f>
        <v/>
      </c>
      <c r="E41" s="8">
        <f>'balance_raw_28976437'!$E$20</f>
        <v/>
      </c>
      <c r="F41" s="8">
        <f>'balance_raw_28976437'!$F$20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'balance_raw_28976437'!$B$21</f>
        <v/>
      </c>
      <c r="C42" s="5">
        <f>'balance_raw_28976437'!$C$21</f>
        <v/>
      </c>
      <c r="D42" s="5">
        <f>'balance_raw_28976437'!$D$21</f>
        <v/>
      </c>
      <c r="E42" s="5">
        <f>'balance_raw_28976437'!$E$21</f>
        <v/>
      </c>
      <c r="F42" s="5">
        <f>'balance_raw_28976437'!$F$21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'balance_raw_28976437'!$B$22</f>
        <v/>
      </c>
      <c r="C43" s="8">
        <f>'balance_raw_28976437'!$C$22</f>
        <v/>
      </c>
      <c r="D43" s="8">
        <f>'balance_raw_28976437'!$D$22</f>
        <v/>
      </c>
      <c r="E43" s="8">
        <f>'balance_raw_28976437'!$E$22</f>
        <v/>
      </c>
      <c r="F43" s="8">
        <f>'balance_raw_28976437'!$F$22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'balance_raw_28976437'!$B$23</f>
        <v/>
      </c>
      <c r="C44" s="11">
        <f>'balance_raw_28976437'!$C$23</f>
        <v/>
      </c>
      <c r="D44" s="11">
        <f>'balance_raw_28976437'!$D$23</f>
        <v/>
      </c>
      <c r="E44" s="11">
        <f>'balance_raw_28976437'!$E$23</f>
        <v/>
      </c>
      <c r="F44" s="11">
        <f>'balance_raw_28976437'!$F$23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'balance_raw_28976437'!$B$24</f>
        <v/>
      </c>
      <c r="C45" s="8">
        <f>'balance_raw_28976437'!$C$24</f>
        <v/>
      </c>
      <c r="D45" s="8">
        <f>'balance_raw_28976437'!$D$24</f>
        <v/>
      </c>
      <c r="E45" s="8">
        <f>'balance_raw_28976437'!$E$24</f>
        <v/>
      </c>
      <c r="F45" s="8">
        <f>'balance_raw_28976437'!$F$24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'balance_raw_28976437'!$B$25</f>
        <v/>
      </c>
      <c r="C46" s="5">
        <f>'balance_raw_28976437'!$C$25</f>
        <v/>
      </c>
      <c r="D46" s="5">
        <f>'balance_raw_28976437'!$D$25</f>
        <v/>
      </c>
      <c r="E46" s="5">
        <f>'balance_raw_28976437'!$E$25</f>
        <v/>
      </c>
      <c r="F46" s="5">
        <f>'balance_raw_28976437'!$F$25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'balance_raw_28976437'!$B$26</f>
        <v/>
      </c>
      <c r="C47" s="11">
        <f>'balance_raw_28976437'!$C$26</f>
        <v/>
      </c>
      <c r="D47" s="11">
        <f>'balance_raw_28976437'!$D$26</f>
        <v/>
      </c>
      <c r="E47" s="11">
        <f>'balance_raw_28976437'!$E$26</f>
        <v/>
      </c>
      <c r="F47" s="11">
        <f>'balance_raw_28976437'!$F$26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'balance_raw_28976437'!$B$27</f>
        <v/>
      </c>
      <c r="C48" s="11">
        <f>'balance_raw_28976437'!$C$27</f>
        <v/>
      </c>
      <c r="D48" s="11">
        <f>'balance_raw_28976437'!$D$27</f>
        <v/>
      </c>
      <c r="E48" s="11">
        <f>'balance_raw_28976437'!$E$27</f>
        <v/>
      </c>
      <c r="F48" s="11">
        <f>'balance_raw_28976437'!$F$27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'balance_raw_28976437'!$B$28</f>
        <v/>
      </c>
      <c r="C51" s="8">
        <f>'balance_raw_28976437'!$C$28</f>
        <v/>
      </c>
      <c r="D51" s="8">
        <f>'balance_raw_28976437'!$D$28</f>
        <v/>
      </c>
      <c r="E51" s="8">
        <f>'balance_raw_28976437'!$E$28</f>
        <v/>
      </c>
      <c r="F51" s="8">
        <f>'balance_raw_28976437'!$F$28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'balance_raw_28976437'!$B$29</f>
        <v/>
      </c>
      <c r="C52" s="5">
        <f>'balance_raw_28976437'!$C$29</f>
        <v/>
      </c>
      <c r="D52" s="5">
        <f>'balance_raw_28976437'!$D$29</f>
        <v/>
      </c>
      <c r="E52" s="5">
        <f>'balance_raw_28976437'!$E$29</f>
        <v/>
      </c>
      <c r="F52" s="5">
        <f>'balance_raw_28976437'!$F$29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'balance_raw_28976437'!$B$30</f>
        <v/>
      </c>
      <c r="C53" s="8">
        <f>'balance_raw_28976437'!$C$30</f>
        <v/>
      </c>
      <c r="D53" s="8">
        <f>'balance_raw_28976437'!$D$30</f>
        <v/>
      </c>
      <c r="E53" s="8">
        <f>'balance_raw_28976437'!$E$30</f>
        <v/>
      </c>
      <c r="F53" s="8">
        <f>'balance_raw_28976437'!$F$30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'balance_raw_28976437'!$B$31</f>
        <v/>
      </c>
      <c r="C54" s="5">
        <f>'balance_raw_28976437'!$C$31</f>
        <v/>
      </c>
      <c r="D54" s="5">
        <f>'balance_raw_28976437'!$D$31</f>
        <v/>
      </c>
      <c r="E54" s="5">
        <f>'balance_raw_28976437'!$E$31</f>
        <v/>
      </c>
      <c r="F54" s="5">
        <f>'balance_raw_28976437'!$F$31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'balance_raw_28976437'!$B$32</f>
        <v/>
      </c>
      <c r="C55" s="8">
        <f>'balance_raw_28976437'!$C$32</f>
        <v/>
      </c>
      <c r="D55" s="8">
        <f>'balance_raw_28976437'!$D$32</f>
        <v/>
      </c>
      <c r="E55" s="8">
        <f>'balance_raw_28976437'!$E$32</f>
        <v/>
      </c>
      <c r="F55" s="8">
        <f>'balance_raw_28976437'!$F$32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'balance_raw_28976437'!$B$33</f>
        <v/>
      </c>
      <c r="C56" s="5">
        <f>'balance_raw_28976437'!$C$33</f>
        <v/>
      </c>
      <c r="D56" s="5">
        <f>'balance_raw_28976437'!$D$33</f>
        <v/>
      </c>
      <c r="E56" s="5">
        <f>'balance_raw_28976437'!$E$33</f>
        <v/>
      </c>
      <c r="F56" s="5">
        <f>'balance_raw_28976437'!$F$33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'balance_raw_28976437'!$B$34</f>
        <v/>
      </c>
      <c r="C57" s="11">
        <f>'balance_raw_28976437'!$C$34</f>
        <v/>
      </c>
      <c r="D57" s="11">
        <f>'balance_raw_28976437'!$D$34</f>
        <v/>
      </c>
      <c r="E57" s="11">
        <f>'balance_raw_28976437'!$E$34</f>
        <v/>
      </c>
      <c r="F57" s="11">
        <f>'balance_raw_28976437'!$F$34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10" t="inlineStr">
        <is>
          <t>Hensatte forpligtelser</t>
        </is>
      </c>
      <c r="B58" s="11">
        <f>'balance_raw_28976437'!$B$35</f>
        <v/>
      </c>
      <c r="C58" s="11">
        <f>'balance_raw_28976437'!$C$35</f>
        <v/>
      </c>
      <c r="D58" s="11">
        <f>'balance_raw_28976437'!$D$35</f>
        <v/>
      </c>
      <c r="E58" s="11">
        <f>'balance_raw_28976437'!$E$35</f>
        <v/>
      </c>
      <c r="F58" s="11">
        <f>'balance_raw_28976437'!$F$35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Ansvarlig lånekapital (langfristet)</t>
        </is>
      </c>
      <c r="B59" s="8">
        <f>'balance_raw_28976437'!$B$36</f>
        <v/>
      </c>
      <c r="C59" s="8">
        <f>'balance_raw_28976437'!$C$36</f>
        <v/>
      </c>
      <c r="D59" s="8">
        <f>'balance_raw_28976437'!$D$36</f>
        <v/>
      </c>
      <c r="E59" s="8">
        <f>'balance_raw_28976437'!$E$36</f>
        <v/>
      </c>
      <c r="F59" s="8">
        <f>'balance_raw_28976437'!$F$36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'balance_raw_28976437'!$B$37</f>
        <v/>
      </c>
      <c r="C60" s="5">
        <f>'balance_raw_28976437'!$C$37</f>
        <v/>
      </c>
      <c r="D60" s="5">
        <f>'balance_raw_28976437'!$D$37</f>
        <v/>
      </c>
      <c r="E60" s="5">
        <f>'balance_raw_28976437'!$E$37</f>
        <v/>
      </c>
      <c r="F60" s="5">
        <f>'balance_raw_28976437'!$F$37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Leasingforpligtelser (langfristet)</t>
        </is>
      </c>
      <c r="B61" s="8">
        <f>'balance_raw_28976437'!$B$38</f>
        <v/>
      </c>
      <c r="C61" s="8">
        <f>'balance_raw_28976437'!$C$38</f>
        <v/>
      </c>
      <c r="D61" s="8">
        <f>'balance_raw_28976437'!$D$38</f>
        <v/>
      </c>
      <c r="E61" s="8">
        <f>'balance_raw_28976437'!$E$38</f>
        <v/>
      </c>
      <c r="F61" s="8">
        <f>'balance_raw_28976437'!$F$38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'balance_raw_28976437'!$B$39</f>
        <v/>
      </c>
      <c r="C62" s="5">
        <f>'balance_raw_28976437'!$C$39</f>
        <v/>
      </c>
      <c r="D62" s="5">
        <f>'balance_raw_28976437'!$D$39</f>
        <v/>
      </c>
      <c r="E62" s="5">
        <f>'balance_raw_28976437'!$E$39</f>
        <v/>
      </c>
      <c r="F62" s="5">
        <f>'balance_raw_28976437'!$F$39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gældsforpligtelser</t>
        </is>
      </c>
      <c r="B63" s="11">
        <f>'balance_raw_28976437'!$B$40</f>
        <v/>
      </c>
      <c r="C63" s="11">
        <f>'balance_raw_28976437'!$C$40</f>
        <v/>
      </c>
      <c r="D63" s="11">
        <f>'balance_raw_28976437'!$D$40</f>
        <v/>
      </c>
      <c r="E63" s="11">
        <f>'balance_raw_28976437'!$E$40</f>
        <v/>
      </c>
      <c r="F63" s="11">
        <f>'balance_raw_28976437'!$F$40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'balance_raw_28976437'!$B$41</f>
        <v/>
      </c>
      <c r="C64" s="5">
        <f>'balance_raw_28976437'!$C$41</f>
        <v/>
      </c>
      <c r="D64" s="5">
        <f>'balance_raw_28976437'!$D$41</f>
        <v/>
      </c>
      <c r="E64" s="5">
        <f>'balance_raw_28976437'!$E$41</f>
        <v/>
      </c>
      <c r="F64" s="5">
        <f>'balance_raw_28976437'!$F$41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'balance_raw_28976437'!$B$42</f>
        <v/>
      </c>
      <c r="C65" s="8">
        <f>'balance_raw_28976437'!$C$42</f>
        <v/>
      </c>
      <c r="D65" s="8">
        <f>'balance_raw_28976437'!$D$42</f>
        <v/>
      </c>
      <c r="E65" s="8">
        <f>'balance_raw_28976437'!$E$42</f>
        <v/>
      </c>
      <c r="F65" s="8">
        <f>'balance_raw_28976437'!$F$42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'balance_raw_28976437'!$B$43</f>
        <v/>
      </c>
      <c r="C66" s="5">
        <f>'balance_raw_28976437'!$C$43</f>
        <v/>
      </c>
      <c r="D66" s="5">
        <f>'balance_raw_28976437'!$D$43</f>
        <v/>
      </c>
      <c r="E66" s="5">
        <f>'balance_raw_28976437'!$E$43</f>
        <v/>
      </c>
      <c r="F66" s="5">
        <f>'balance_raw_28976437'!$F$43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'balance_raw_28976437'!$B$44</f>
        <v/>
      </c>
      <c r="C67" s="8">
        <f>'balance_raw_28976437'!$C$44</f>
        <v/>
      </c>
      <c r="D67" s="8">
        <f>'balance_raw_28976437'!$D$44</f>
        <v/>
      </c>
      <c r="E67" s="8">
        <f>'balance_raw_28976437'!$E$44</f>
        <v/>
      </c>
      <c r="F67" s="8">
        <f>'balance_raw_28976437'!$F$44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'balance_raw_28976437'!$B$45</f>
        <v/>
      </c>
      <c r="C68" s="5">
        <f>'balance_raw_28976437'!$C$45</f>
        <v/>
      </c>
      <c r="D68" s="5">
        <f>'balance_raw_28976437'!$D$45</f>
        <v/>
      </c>
      <c r="E68" s="5">
        <f>'balance_raw_28976437'!$E$45</f>
        <v/>
      </c>
      <c r="F68" s="5">
        <f>'balance_raw_28976437'!$F$45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'balance_raw_28976437'!$B$46</f>
        <v/>
      </c>
      <c r="C69" s="8">
        <f>'balance_raw_28976437'!$C$46</f>
        <v/>
      </c>
      <c r="D69" s="8">
        <f>'balance_raw_28976437'!$D$46</f>
        <v/>
      </c>
      <c r="E69" s="8">
        <f>'balance_raw_28976437'!$E$46</f>
        <v/>
      </c>
      <c r="F69" s="8">
        <f>'balance_raw_28976437'!$F$46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'balance_raw_28976437'!$B$47</f>
        <v/>
      </c>
      <c r="C70" s="5">
        <f>'balance_raw_28976437'!$C$47</f>
        <v/>
      </c>
      <c r="D70" s="5">
        <f>'balance_raw_28976437'!$D$47</f>
        <v/>
      </c>
      <c r="E70" s="5">
        <f>'balance_raw_28976437'!$E$47</f>
        <v/>
      </c>
      <c r="F70" s="5">
        <f>'balance_raw_28976437'!$F$47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'balance_raw_28976437'!$B$48</f>
        <v/>
      </c>
      <c r="C71" s="8">
        <f>'balance_raw_28976437'!$C$48</f>
        <v/>
      </c>
      <c r="D71" s="8">
        <f>'balance_raw_28976437'!$D$48</f>
        <v/>
      </c>
      <c r="E71" s="8">
        <f>'balance_raw_28976437'!$E$48</f>
        <v/>
      </c>
      <c r="F71" s="8">
        <f>'balance_raw_28976437'!$F$48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'balance_raw_28976437'!$B$49</f>
        <v/>
      </c>
      <c r="C72" s="5">
        <f>'balance_raw_28976437'!$C$49</f>
        <v/>
      </c>
      <c r="D72" s="5">
        <f>'balance_raw_28976437'!$D$49</f>
        <v/>
      </c>
      <c r="E72" s="5">
        <f>'balance_raw_28976437'!$E$49</f>
        <v/>
      </c>
      <c r="F72" s="5">
        <f>'balance_raw_28976437'!$F$49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'balance_raw_28976437'!$B$50</f>
        <v/>
      </c>
      <c r="C73" s="8">
        <f>'balance_raw_28976437'!$C$50</f>
        <v/>
      </c>
      <c r="D73" s="8">
        <f>'balance_raw_28976437'!$D$50</f>
        <v/>
      </c>
      <c r="E73" s="8">
        <f>'balance_raw_28976437'!$E$50</f>
        <v/>
      </c>
      <c r="F73" s="8">
        <f>'balance_raw_28976437'!$F$50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'balance_raw_28976437'!$B$51</f>
        <v/>
      </c>
      <c r="C74" s="5">
        <f>'balance_raw_28976437'!$C$51</f>
        <v/>
      </c>
      <c r="D74" s="5">
        <f>'balance_raw_28976437'!$D$51</f>
        <v/>
      </c>
      <c r="E74" s="5">
        <f>'balance_raw_28976437'!$E$51</f>
        <v/>
      </c>
      <c r="F74" s="5">
        <f>'balance_raw_28976437'!$F$51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'balance_raw_28976437'!$B$52</f>
        <v/>
      </c>
      <c r="C75" s="11">
        <f>'balance_raw_28976437'!$C$52</f>
        <v/>
      </c>
      <c r="D75" s="11">
        <f>'balance_raw_28976437'!$D$52</f>
        <v/>
      </c>
      <c r="E75" s="11">
        <f>'balance_raw_28976437'!$E$52</f>
        <v/>
      </c>
      <c r="F75" s="11">
        <f>'balance_raw_28976437'!$F$52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'balance_raw_28976437'!$B$53</f>
        <v/>
      </c>
      <c r="C76" s="11">
        <f>'balance_raw_28976437'!$C$53</f>
        <v/>
      </c>
      <c r="D76" s="11">
        <f>'balance_raw_28976437'!$D$53</f>
        <v/>
      </c>
      <c r="E76" s="11">
        <f>'balance_raw_28976437'!$E$53</f>
        <v/>
      </c>
      <c r="F76" s="11">
        <f>'balance_raw_28976437'!$F$53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'balance_raw_28976437'!$B$54</f>
        <v/>
      </c>
      <c r="C77" s="11">
        <f>'balance_raw_28976437'!$C$54</f>
        <v/>
      </c>
      <c r="D77" s="11">
        <f>'balance_raw_28976437'!$D$54</f>
        <v/>
      </c>
      <c r="E77" s="11">
        <f>'balance_raw_28976437'!$E$54</f>
        <v/>
      </c>
      <c r="F77" s="11">
        <f>'balance_raw_28976437'!$F$54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'res_raw_28976437'!$B$19</f>
        <v/>
      </c>
      <c r="C80" s="5">
        <f>'res_raw_28976437'!$C$19</f>
        <v/>
      </c>
      <c r="D80" s="5">
        <f>'res_raw_28976437'!$D$19</f>
        <v/>
      </c>
      <c r="E80" s="5">
        <f>'res_raw_28976437'!$E$19</f>
        <v/>
      </c>
      <c r="F80" s="5">
        <f>'res_raw_28976437'!$F$19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'res_raw_28976437'!$B$20</f>
        <v/>
      </c>
      <c r="C81" s="8">
        <f>'res_raw_28976437'!$C$20</f>
        <v/>
      </c>
      <c r="D81" s="8">
        <f>'res_raw_28976437'!$D$20</f>
        <v/>
      </c>
      <c r="E81" s="8">
        <f>'res_raw_28976437'!$E$20</f>
        <v/>
      </c>
      <c r="F81" s="8">
        <f>'res_raw_28976437'!$F$20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IFERROR(($B$13+$B$15+$B$14)/$B$48*100,"")</f>
        <v/>
      </c>
      <c r="C84" s="13">
        <f>IFERROR(($C$13+$C$15+$C$14)/$C$48*100,"")</f>
        <v/>
      </c>
      <c r="D84" s="13">
        <f>IFERROR(($D$13+$D$15+$D$14)/$D$48*100,"")</f>
        <v/>
      </c>
      <c r="E84" s="13">
        <f>IFERROR(($E$13+$E$15+$E$14)/$E$48*100,"")</f>
        <v/>
      </c>
      <c r="F84" s="13">
        <f>IFERROR(($F$13+$F$15+$F$14)/$F$48*100,"")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IFERROR($B$4/$B$48,"")</f>
        <v/>
      </c>
      <c r="C86" s="13">
        <f>IFERROR($C$4/$C$48,"")</f>
        <v/>
      </c>
      <c r="D86" s="13">
        <f>IFERROR($D$4/$D$48,"")</f>
        <v/>
      </c>
      <c r="E86" s="13">
        <f>IFERROR($E$4/$E$48,"")</f>
        <v/>
      </c>
      <c r="F86" s="13">
        <f>IFERROR($F$4/$F$48,"")</f>
        <v/>
      </c>
    </row>
    <row r="87" ht="16" customHeight="1">
      <c r="A87" s="7" t="inlineStr">
        <is>
          <t>Egenkapitalens forrentning, %</t>
        </is>
      </c>
      <c r="B87" s="14">
        <f>IFERROR($B$18/$B$57*100,"")</f>
        <v/>
      </c>
      <c r="C87" s="14">
        <f>IFERROR($C$18/$C$57*100,"")</f>
        <v/>
      </c>
      <c r="D87" s="14">
        <f>IFERROR($D$18/$D$57*100,"")</f>
        <v/>
      </c>
      <c r="E87" s="14">
        <f>IFERROR($E$18/$E$57*100,"")</f>
        <v/>
      </c>
      <c r="F87" s="14">
        <f>IFERROR($F$18/$F$57*100,"")</f>
        <v/>
      </c>
    </row>
    <row r="88" ht="16" customHeight="1">
      <c r="A88" s="4" t="inlineStr">
        <is>
          <t>Gældsrente, %</t>
        </is>
      </c>
      <c r="B88" s="13">
        <f>IFERROR($B$16/($B$77-$B$57)*100,"")</f>
        <v/>
      </c>
      <c r="C88" s="13">
        <f>IFERROR($C$16/($C$77-$C$57)*100,"")</f>
        <v/>
      </c>
      <c r="D88" s="13">
        <f>IFERROR($D$16/($D$77-$D$57)*100,"")</f>
        <v/>
      </c>
      <c r="E88" s="13">
        <f>IFERROR($E$16/($E$77-$E$57)*100,"")</f>
        <v/>
      </c>
      <c r="F88" s="13">
        <f>IFERROR($F$16/($F$77-$F$57)*100,"")</f>
        <v/>
      </c>
    </row>
    <row r="89" ht="16" customHeight="1">
      <c r="A89" s="7" t="inlineStr">
        <is>
          <t>Soliditetsgrad, %</t>
        </is>
      </c>
      <c r="B89" s="14">
        <f>IFERROR($B$57/$B$48*100,"")</f>
        <v/>
      </c>
      <c r="C89" s="14">
        <f>IFERROR($C$57/$C$48*100,"")</f>
        <v/>
      </c>
      <c r="D89" s="14">
        <f>IFERROR($D$57/$D$48*100,"")</f>
        <v/>
      </c>
      <c r="E89" s="14">
        <f>IFERROR($E$57/$E$48*100,"")</f>
        <v/>
      </c>
      <c r="F89" s="14">
        <f>IFERROR($F$57/$F$48*100,"")</f>
        <v/>
      </c>
    </row>
    <row r="90" ht="16" customHeight="1">
      <c r="A90" s="4" t="inlineStr">
        <is>
          <t>Gearing</t>
        </is>
      </c>
      <c r="B90" s="13">
        <f>IFERROR(($B$77-$B$57)/$B$57,"")</f>
        <v/>
      </c>
      <c r="C90" s="13">
        <f>IFERROR(($C$77-$C$57)/$C$57,"")</f>
        <v/>
      </c>
      <c r="D90" s="13">
        <f>IFERROR(($D$77-$D$57)/$D$57,"")</f>
        <v/>
      </c>
      <c r="E90" s="13">
        <f>IFERROR(($E$77-$E$57)/$E$57,"")</f>
        <v/>
      </c>
      <c r="F90" s="13">
        <f>IFERROR(($F$77-$F$57)/$F$57,"")</f>
        <v/>
      </c>
    </row>
    <row r="91" ht="16" customHeight="1">
      <c r="A91" s="7" t="inlineStr">
        <is>
          <t>Likviditetsgrad, %</t>
        </is>
      </c>
      <c r="B91" s="14">
        <f>IFERROR($B$47/$B$75*100,"")</f>
        <v/>
      </c>
      <c r="C91" s="14">
        <f>IFERROR($C$47/$C$75*100,"")</f>
        <v/>
      </c>
      <c r="D91" s="14">
        <f>IFERROR($D$47/$D$75*100,"")</f>
        <v/>
      </c>
      <c r="E91" s="14">
        <f>IFERROR($E$47/$E$75*100,"")</f>
        <v/>
      </c>
      <c r="F91" s="14">
        <f>IFERROR($F$47/$F$75*100,"")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IFERROR(($B$77-$B$57)/$B$48*100,"")</f>
        <v/>
      </c>
      <c r="C93" s="14">
        <f>IFERROR(($C$77-$C$57)/$C$48*100,"")</f>
        <v/>
      </c>
      <c r="D93" s="14">
        <f>IFERROR(($D$77-$D$57)/$D$48*100,"")</f>
        <v/>
      </c>
      <c r="E93" s="14">
        <f>IFERROR(($E$77-$E$57)/$E$48*100,"")</f>
        <v/>
      </c>
      <c r="F93" s="14">
        <f>IFERROR(($F$77-$F$57)/$F$48*100,"")</f>
        <v/>
      </c>
    </row>
    <row r="94" ht="16" customHeight="1">
      <c r="A94" s="4" t="inlineStr">
        <is>
          <t>Kapitalbindingsgrad, %</t>
        </is>
      </c>
      <c r="B94" s="13">
        <f>IFERROR($B$32/($B$57+$B$63)*100,"")</f>
        <v/>
      </c>
      <c r="C94" s="13">
        <f>IFERROR($C$32/($C$57+$C$63)*100,"")</f>
        <v/>
      </c>
      <c r="D94" s="13">
        <f>IFERROR($D$32/($D$57+$D$63)*100,"")</f>
        <v/>
      </c>
      <c r="E94" s="13">
        <f>IFERROR($E$32/($E$57+$E$63)*100,"")</f>
        <v/>
      </c>
      <c r="F94" s="13">
        <f>IFERROR($F$32/($F$57+$F$63)*100,"")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Viborg Bryghus ApS (CVR 28976437)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7047</v>
      </c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>
        <v>137</v>
      </c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>
        <v>4162</v>
      </c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>
        <v>1933</v>
      </c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1088</v>
      </c>
      <c r="C6" s="16" t="n">
        <v>1534</v>
      </c>
      <c r="D6" s="16" t="n">
        <v>1931</v>
      </c>
      <c r="E6" s="16" t="n">
        <v>2539</v>
      </c>
      <c r="F6" s="16" t="n">
        <v>2248</v>
      </c>
    </row>
    <row r="7">
      <c r="A7" s="15" t="inlineStr">
        <is>
          <t>Personaleomkostninger</t>
        </is>
      </c>
      <c r="B7" s="16" t="n">
        <v>2055</v>
      </c>
      <c r="C7" s="16" t="n">
        <v>2109</v>
      </c>
      <c r="D7" s="16" t="n">
        <v>2131</v>
      </c>
      <c r="E7" s="16" t="n">
        <v>2259</v>
      </c>
      <c r="F7" s="16" t="n">
        <v>2313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301</v>
      </c>
      <c r="C9" s="16" t="n">
        <v>319</v>
      </c>
      <c r="D9" s="16" t="n">
        <v>142</v>
      </c>
      <c r="E9" s="16" t="n">
        <v>114</v>
      </c>
      <c r="F9" s="16" t="n">
        <v>96</v>
      </c>
    </row>
    <row r="10">
      <c r="A10" s="15" t="inlineStr">
        <is>
          <t>Andre driftsomkostninger</t>
        </is>
      </c>
      <c r="B10" s="16" t="n"/>
      <c r="C10" s="16" t="n">
        <v>0</v>
      </c>
      <c r="D10" s="16" t="n">
        <v>17</v>
      </c>
      <c r="E10" s="16" t="n">
        <v>0</v>
      </c>
      <c r="F10" s="16" t="n"/>
    </row>
    <row r="11">
      <c r="A11" s="17" t="inlineStr">
        <is>
          <t>Resultat af primær drift</t>
        </is>
      </c>
      <c r="B11" s="16" t="n">
        <v>-1267</v>
      </c>
      <c r="C11" s="16" t="n">
        <v>-893</v>
      </c>
      <c r="D11" s="16" t="n">
        <v>-359</v>
      </c>
      <c r="E11" s="16" t="n">
        <v>166</v>
      </c>
      <c r="F11" s="16" t="n">
        <v>-162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>
        <v>15</v>
      </c>
      <c r="D13" s="16" t="n">
        <v>0</v>
      </c>
      <c r="E13" s="16" t="n">
        <v>1</v>
      </c>
      <c r="F13" s="16" t="n">
        <v>0</v>
      </c>
    </row>
    <row r="14">
      <c r="A14" s="15" t="inlineStr">
        <is>
          <t>Finansielle omkostninger</t>
        </is>
      </c>
      <c r="B14" s="16" t="n">
        <v>25</v>
      </c>
      <c r="C14" s="16" t="n">
        <v>71</v>
      </c>
      <c r="D14" s="16" t="n">
        <v>100</v>
      </c>
      <c r="E14" s="16" t="n">
        <v>76</v>
      </c>
      <c r="F14" s="16" t="n">
        <v>63</v>
      </c>
    </row>
    <row r="15">
      <c r="A15" s="17" t="inlineStr">
        <is>
          <t>Finansielle poster, netto</t>
        </is>
      </c>
      <c r="B15" s="16" t="n">
        <v>-25</v>
      </c>
      <c r="C15" s="16" t="n">
        <v>-57</v>
      </c>
      <c r="D15" s="16" t="n">
        <v>-100</v>
      </c>
      <c r="E15" s="16" t="n">
        <v>-76</v>
      </c>
      <c r="F15" s="16" t="n">
        <v>-63</v>
      </c>
    </row>
    <row r="16">
      <c r="A16" s="17" t="inlineStr">
        <is>
          <t>Resultat før skat</t>
        </is>
      </c>
      <c r="B16" s="16" t="n"/>
      <c r="C16" s="16" t="n">
        <v>-950</v>
      </c>
      <c r="D16" s="16" t="n">
        <v>-459</v>
      </c>
      <c r="E16" s="16" t="n">
        <v>91</v>
      </c>
      <c r="F16" s="16" t="n">
        <v>-225</v>
      </c>
    </row>
    <row r="17">
      <c r="A17" s="15" t="inlineStr">
        <is>
          <t>Skat af årets resultat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</row>
    <row r="18">
      <c r="A18" s="17" t="inlineStr">
        <is>
          <t>Årets resultat</t>
        </is>
      </c>
      <c r="B18" s="16" t="n">
        <v>-1292</v>
      </c>
      <c r="C18" s="16" t="n">
        <v>-950</v>
      </c>
      <c r="D18" s="16" t="n">
        <v>-459</v>
      </c>
      <c r="E18" s="16" t="n">
        <v>91</v>
      </c>
      <c r="F18" s="16" t="n">
        <v>-225</v>
      </c>
    </row>
    <row r="19">
      <c r="A19" s="15" t="inlineStr">
        <is>
          <t>Gns. antal medarbejdere</t>
        </is>
      </c>
      <c r="B19" s="16" t="n">
        <v>8</v>
      </c>
      <c r="C19" s="16" t="n">
        <v>5</v>
      </c>
      <c r="D19" s="16" t="n">
        <v>4</v>
      </c>
      <c r="E19" s="16" t="n">
        <v>4</v>
      </c>
      <c r="F19" s="16" t="n">
        <v>3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Viborg Bryghus ApS (CVR 28976437)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>
        <v>429</v>
      </c>
      <c r="C3" s="16" t="n">
        <v>276</v>
      </c>
      <c r="D3" s="16" t="n">
        <v>232</v>
      </c>
      <c r="E3" s="16" t="n">
        <v>94</v>
      </c>
      <c r="F3" s="16" t="n">
        <v>90</v>
      </c>
    </row>
    <row r="4">
      <c r="A4" s="15" t="inlineStr">
        <is>
          <t>Driftsmateriel og inventar</t>
        </is>
      </c>
      <c r="B4" s="16" t="n">
        <v>538</v>
      </c>
      <c r="C4" s="16" t="n">
        <v>330</v>
      </c>
      <c r="D4" s="16" t="n">
        <v>275</v>
      </c>
      <c r="E4" s="16" t="n">
        <v>359</v>
      </c>
      <c r="F4" s="16" t="n">
        <v>375</v>
      </c>
    </row>
    <row r="5">
      <c r="A5" s="15" t="inlineStr">
        <is>
          <t>Indretning af lejede lokaler</t>
        </is>
      </c>
      <c r="B5" s="16" t="n">
        <v>96</v>
      </c>
      <c r="C5" s="16" t="n">
        <v>104</v>
      </c>
      <c r="D5" s="16" t="n">
        <v>84</v>
      </c>
      <c r="E5" s="16" t="n">
        <v>65</v>
      </c>
      <c r="F5" s="16" t="n">
        <v>46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1063</v>
      </c>
      <c r="C7" s="16" t="n">
        <v>710</v>
      </c>
      <c r="D7" s="16" t="n">
        <v>591</v>
      </c>
      <c r="E7" s="16" t="n">
        <v>517</v>
      </c>
      <c r="F7" s="16" t="n">
        <v>511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55</v>
      </c>
      <c r="C9" s="16" t="n">
        <v>55</v>
      </c>
      <c r="D9" s="16" t="n">
        <v>55</v>
      </c>
      <c r="E9" s="16" t="n">
        <v>55</v>
      </c>
      <c r="F9" s="16" t="n">
        <v>55</v>
      </c>
    </row>
    <row r="10">
      <c r="A10" s="17" t="inlineStr">
        <is>
          <t>Finansielle anlægsaktiver</t>
        </is>
      </c>
      <c r="B10" s="16" t="n">
        <v>60</v>
      </c>
      <c r="C10" s="16" t="n">
        <v>60</v>
      </c>
      <c r="D10" s="16" t="n">
        <v>60</v>
      </c>
      <c r="E10" s="16" t="n">
        <v>60</v>
      </c>
      <c r="F10" s="16" t="n">
        <v>60</v>
      </c>
    </row>
    <row r="11">
      <c r="A11" s="17" t="inlineStr">
        <is>
          <t>Anlægsaktiver</t>
        </is>
      </c>
      <c r="B11" s="16" t="n">
        <v>1123</v>
      </c>
      <c r="C11" s="16" t="n">
        <v>770</v>
      </c>
      <c r="D11" s="16" t="n">
        <v>651</v>
      </c>
      <c r="E11" s="16" t="n">
        <v>577</v>
      </c>
      <c r="F11" s="16" t="n">
        <v>571</v>
      </c>
    </row>
    <row r="12">
      <c r="A12" s="15" t="inlineStr">
        <is>
          <t>Råvarer og hjælpematerialer</t>
        </is>
      </c>
      <c r="B12" s="16" t="n">
        <v>241</v>
      </c>
      <c r="C12" s="16" t="n">
        <v>224</v>
      </c>
      <c r="D12" s="16" t="n">
        <v>327</v>
      </c>
      <c r="E12" s="16" t="n">
        <v>222</v>
      </c>
      <c r="F12" s="16" t="n">
        <v>172</v>
      </c>
    </row>
    <row r="13">
      <c r="A13" s="15" t="inlineStr">
        <is>
          <t>Varer under fremstilling</t>
        </is>
      </c>
      <c r="B13" s="16" t="n">
        <v>18</v>
      </c>
      <c r="C13" s="16" t="n">
        <v>36</v>
      </c>
      <c r="D13" s="16" t="n">
        <v>9</v>
      </c>
      <c r="E13" s="16" t="n">
        <v>0</v>
      </c>
      <c r="F13" s="16" t="n"/>
    </row>
    <row r="14">
      <c r="A14" s="15" t="inlineStr">
        <is>
          <t>Færdigvarer og handelsvarer</t>
        </is>
      </c>
      <c r="B14" s="16" t="n">
        <v>918</v>
      </c>
      <c r="C14" s="16" t="n">
        <v>776</v>
      </c>
      <c r="D14" s="16" t="n">
        <v>490</v>
      </c>
      <c r="E14" s="16" t="n">
        <v>424</v>
      </c>
      <c r="F14" s="16" t="n">
        <v>643</v>
      </c>
    </row>
    <row r="15">
      <c r="A15" s="17" t="inlineStr">
        <is>
          <t>Varebeholdninger</t>
        </is>
      </c>
      <c r="B15" s="16" t="n">
        <v>1177</v>
      </c>
      <c r="C15" s="16" t="n">
        <v>1037</v>
      </c>
      <c r="D15" s="16" t="n">
        <v>825</v>
      </c>
      <c r="E15" s="16" t="n">
        <v>646</v>
      </c>
      <c r="F15" s="16" t="n">
        <v>814</v>
      </c>
    </row>
    <row r="16">
      <c r="A16" s="15" t="inlineStr">
        <is>
          <t>Tilgodehavender fra salg og tjenesteydelser</t>
        </is>
      </c>
      <c r="B16" s="16" t="n">
        <v>447</v>
      </c>
      <c r="C16" s="16" t="n">
        <v>324</v>
      </c>
      <c r="D16" s="16" t="n">
        <v>515</v>
      </c>
      <c r="E16" s="16" t="n">
        <v>326</v>
      </c>
      <c r="F16" s="16" t="n">
        <v>350</v>
      </c>
    </row>
    <row r="17">
      <c r="A17" s="15" t="inlineStr">
        <is>
          <t>Tilgodehavender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Andre tilgodehavender</t>
        </is>
      </c>
      <c r="B18" s="16" t="n">
        <v>938</v>
      </c>
      <c r="C18" s="16" t="n">
        <v>294</v>
      </c>
      <c r="D18" s="16" t="n">
        <v>51</v>
      </c>
      <c r="E18" s="16" t="n">
        <v>77</v>
      </c>
      <c r="F18" s="16" t="n">
        <v>179</v>
      </c>
    </row>
    <row r="19">
      <c r="A19" s="15" t="inlineStr">
        <is>
          <t>Periodeafgrænsningsposter (aktiver)</t>
        </is>
      </c>
      <c r="B19" s="16" t="n"/>
      <c r="C19" s="16" t="n"/>
      <c r="D19" s="16" t="n"/>
      <c r="E19" s="16" t="n">
        <v>12</v>
      </c>
      <c r="F19" s="16" t="n">
        <v>0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1386</v>
      </c>
      <c r="C23" s="16" t="n">
        <v>618</v>
      </c>
      <c r="D23" s="16" t="n">
        <v>565</v>
      </c>
      <c r="E23" s="16" t="n">
        <v>415</v>
      </c>
      <c r="F23" s="16" t="n">
        <v>529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123</v>
      </c>
      <c r="C25" s="16" t="n">
        <v>90</v>
      </c>
      <c r="D25" s="16" t="n">
        <v>115</v>
      </c>
      <c r="E25" s="16" t="n">
        <v>167</v>
      </c>
      <c r="F25" s="16" t="n">
        <v>31</v>
      </c>
    </row>
    <row r="26">
      <c r="A26" s="17" t="inlineStr">
        <is>
          <t>Omsætningsaktiver</t>
        </is>
      </c>
      <c r="B26" s="16" t="n">
        <v>2686</v>
      </c>
      <c r="C26" s="16" t="n">
        <v>1745</v>
      </c>
      <c r="D26" s="16" t="n">
        <v>1506</v>
      </c>
      <c r="E26" s="16" t="n">
        <v>1228</v>
      </c>
      <c r="F26" s="16" t="n">
        <v>1374</v>
      </c>
    </row>
    <row r="27">
      <c r="A27" s="17" t="inlineStr">
        <is>
          <t>Aktiver</t>
        </is>
      </c>
      <c r="B27" s="16" t="n">
        <v>3809</v>
      </c>
      <c r="C27" s="16" t="n">
        <v>2515</v>
      </c>
      <c r="D27" s="16" t="n">
        <v>2157</v>
      </c>
      <c r="E27" s="16" t="n">
        <v>1805</v>
      </c>
      <c r="F27" s="16" t="n">
        <v>1945</v>
      </c>
    </row>
    <row r="28">
      <c r="A28" s="15" t="inlineStr">
        <is>
          <t>Selskabskapital</t>
        </is>
      </c>
      <c r="B28" s="16" t="n">
        <v>5673</v>
      </c>
      <c r="C28" s="16" t="n">
        <v>6469</v>
      </c>
      <c r="D28" s="16" t="n">
        <v>6996</v>
      </c>
      <c r="E28" s="16" t="n">
        <v>7237</v>
      </c>
      <c r="F28" s="16" t="n">
        <v>7364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-6064</v>
      </c>
      <c r="C33" s="16" t="n">
        <v>-6678</v>
      </c>
      <c r="D33" s="16" t="n">
        <v>-6984</v>
      </c>
      <c r="E33" s="16" t="n">
        <v>-6878</v>
      </c>
      <c r="F33" s="16" t="n">
        <v>-7090</v>
      </c>
    </row>
    <row r="34">
      <c r="A34" s="17" t="inlineStr">
        <is>
          <t>Egenkapital i alt</t>
        </is>
      </c>
      <c r="B34" s="16" t="n">
        <v>-391</v>
      </c>
      <c r="C34" s="16" t="n">
        <v>-209</v>
      </c>
      <c r="D34" s="16" t="n">
        <v>12</v>
      </c>
      <c r="E34" s="16" t="n">
        <v>359</v>
      </c>
      <c r="F34" s="16" t="n">
        <v>274</v>
      </c>
    </row>
    <row r="35">
      <c r="A35" s="17" t="inlineStr">
        <is>
          <t>Hensatte forpligtelser</t>
        </is>
      </c>
      <c r="B35" s="16" t="n">
        <v>199</v>
      </c>
      <c r="C35" s="16" t="n">
        <v>50</v>
      </c>
      <c r="D35" s="16" t="n">
        <v>44</v>
      </c>
      <c r="E35" s="16" t="n">
        <v>26</v>
      </c>
      <c r="F35" s="16" t="n">
        <v>19</v>
      </c>
    </row>
    <row r="36">
      <c r="A36" s="15" t="inlineStr">
        <is>
          <t>Ansvarlig lånekapital (langfristet)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Langfristede lån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Leasingforpligtelser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Anden gæld (langfristet)</t>
        </is>
      </c>
      <c r="B39" s="16" t="n">
        <v>638</v>
      </c>
      <c r="C39" s="16" t="n"/>
      <c r="D39" s="16" t="n"/>
      <c r="E39" s="16" t="n"/>
      <c r="F39" s="16" t="n"/>
    </row>
    <row r="40">
      <c r="A40" s="17" t="inlineStr">
        <is>
          <t>Langfristede gældsforpligtelser</t>
        </is>
      </c>
      <c r="B40" s="16" t="n">
        <v>638</v>
      </c>
      <c r="C40" s="16" t="n">
        <v>279</v>
      </c>
      <c r="D40" s="16" t="n">
        <v>199</v>
      </c>
      <c r="E40" s="16" t="n">
        <v>147</v>
      </c>
      <c r="F40" s="16" t="n">
        <v>153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>
        <v>270</v>
      </c>
      <c r="C42" s="16" t="n">
        <v>360</v>
      </c>
      <c r="D42" s="16" t="n">
        <v>113</v>
      </c>
      <c r="E42" s="16" t="n">
        <v>58</v>
      </c>
      <c r="F42" s="16" t="n">
        <v>0</v>
      </c>
    </row>
    <row r="43">
      <c r="A43" s="15" t="inlineStr">
        <is>
          <t>Kreditinstitutter</t>
        </is>
      </c>
      <c r="B43" s="16" t="n">
        <v>1111</v>
      </c>
      <c r="C43" s="16" t="n">
        <v>814</v>
      </c>
      <c r="D43" s="16" t="n">
        <v>748</v>
      </c>
      <c r="E43" s="16" t="n">
        <v>84</v>
      </c>
      <c r="F43" s="16" t="n">
        <v>431</v>
      </c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441</v>
      </c>
      <c r="C45" s="16" t="n">
        <v>501</v>
      </c>
      <c r="D45" s="16" t="n">
        <v>365</v>
      </c>
      <c r="E45" s="16" t="n">
        <v>317</v>
      </c>
      <c r="F45" s="16" t="n">
        <v>236</v>
      </c>
    </row>
    <row r="46">
      <c r="A46" s="15" t="inlineStr">
        <is>
          <t>Gæld til tilknyttede virksomheder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365</v>
      </c>
      <c r="C50" s="16" t="n">
        <v>413</v>
      </c>
      <c r="D50" s="16" t="n">
        <v>652</v>
      </c>
      <c r="E50" s="16" t="n">
        <v>799</v>
      </c>
      <c r="F50" s="16" t="n">
        <v>780</v>
      </c>
    </row>
    <row r="51">
      <c r="A51" s="15" t="inlineStr">
        <is>
          <t>Periodeafgrænsningsposter (passiver)</t>
        </is>
      </c>
      <c r="B51" s="16" t="n">
        <v>1176</v>
      </c>
      <c r="C51" s="16" t="n">
        <v>308</v>
      </c>
      <c r="D51" s="16" t="n">
        <v>18</v>
      </c>
      <c r="E51" s="16" t="n">
        <v>0</v>
      </c>
      <c r="F51" s="16" t="n">
        <v>52</v>
      </c>
    </row>
    <row r="52">
      <c r="A52" s="17" t="inlineStr">
        <is>
          <t>Kortfristede gældsforpligtelser</t>
        </is>
      </c>
      <c r="B52" s="16" t="n">
        <v>3363</v>
      </c>
      <c r="C52" s="16" t="n">
        <v>2395</v>
      </c>
      <c r="D52" s="16" t="n">
        <v>1901</v>
      </c>
      <c r="E52" s="16" t="n">
        <v>1272</v>
      </c>
      <c r="F52" s="16" t="n">
        <v>1499</v>
      </c>
    </row>
    <row r="53">
      <c r="A53" s="17" t="inlineStr">
        <is>
          <t>Gældsforpligtelser</t>
        </is>
      </c>
      <c r="B53" s="16" t="n">
        <v>4002</v>
      </c>
      <c r="C53" s="16" t="n">
        <v>2675</v>
      </c>
      <c r="D53" s="16" t="n">
        <v>2100</v>
      </c>
      <c r="E53" s="16" t="n">
        <v>1420</v>
      </c>
      <c r="F53" s="16" t="n">
        <v>1652</v>
      </c>
    </row>
    <row r="54">
      <c r="A54" s="17" t="inlineStr">
        <is>
          <t>Passiver</t>
        </is>
      </c>
      <c r="B54" s="16" t="n">
        <v>3809</v>
      </c>
      <c r="C54" s="16" t="n">
        <v>2515</v>
      </c>
      <c r="D54" s="16" t="n">
        <v>2157</v>
      </c>
      <c r="E54" s="16" t="n">
        <v>1805</v>
      </c>
      <c r="F54" s="16" t="n">
        <v>1945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Viborg Bryghus ApS (CVR 28976437) — Regnskabs- og nøgletal (CVR: 28976437)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'res_raw_28976437'!$F$2</f>
        <v/>
      </c>
      <c r="C5" s="24">
        <f>'res_raw_28976437'!$E$2</f>
        <v/>
      </c>
      <c r="D5" s="24">
        <f>'res_raw_28976437'!$D$2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'res_raw_28976437'!$F$3</f>
        <v/>
      </c>
      <c r="C6" s="24">
        <f>'res_raw_28976437'!$E$3</f>
        <v/>
      </c>
      <c r="D6" s="24">
        <f>'res_raw_28976437'!$D$3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-'res_raw_28976437'!$F$4</f>
        <v/>
      </c>
      <c r="C7" s="24">
        <f>-'res_raw_28976437'!$E$4</f>
        <v/>
      </c>
      <c r="D7" s="24">
        <f>-'res_raw_28976437'!$D$4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-'res_raw_28976437'!$F$5</f>
        <v/>
      </c>
      <c r="C8" s="24">
        <f>-'res_raw_28976437'!$E$5</f>
        <v/>
      </c>
      <c r="D8" s="24">
        <f>-'res_raw_28976437'!$D$5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IF(ABS((SUM(B5:B8))-'res_raw_28976437'!$F$6)&lt;=2,SUM(B5:B8),'res_raw_28976437'!$F$6)</f>
        <v/>
      </c>
      <c r="C9" s="27">
        <f>IF(ABS((SUM(C5:C8))-'res_raw_28976437'!$E$6)&lt;=2,SUM(C5:C8),'res_raw_28976437'!$E$6)</f>
        <v/>
      </c>
      <c r="D9" s="27">
        <f>IF(ABS((SUM(D5:D8))-'res_raw_28976437'!$D$6)&lt;=2,SUM(D5:D8),'res_raw_28976437'!$D$6)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-'res_raw_28976437'!$F$7</f>
        <v/>
      </c>
      <c r="C10" s="24">
        <f>-'res_raw_28976437'!$E$7</f>
        <v/>
      </c>
      <c r="D10" s="24">
        <f>-'res_raw_28976437'!$D$7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-'res_raw_28976437'!$F$9</f>
        <v/>
      </c>
      <c r="C11" s="24">
        <f>-'res_raw_28976437'!$E$9</f>
        <v/>
      </c>
      <c r="D11" s="24">
        <f>-'res_raw_28976437'!$D$9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-'res_raw_28976437'!$F$10</f>
        <v/>
      </c>
      <c r="C12" s="24">
        <f>-'res_raw_28976437'!$E$10</f>
        <v/>
      </c>
      <c r="D12" s="24">
        <f>-'res_raw_28976437'!$D$10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IF(ABS((SUM(B9:B12))-'res_raw_28976437'!$F$11)&lt;=2,SUM(B9:B12),'res_raw_28976437'!$F$11)</f>
        <v/>
      </c>
      <c r="C13" s="27">
        <f>IF(ABS((SUM(C9:C12))-'res_raw_28976437'!$E$11)&lt;=2,SUM(C9:C12),'res_raw_28976437'!$E$11)</f>
        <v/>
      </c>
      <c r="D13" s="27">
        <f>IF(ABS((SUM(D9:D12))-'res_raw_28976437'!$D$11)&lt;=2,SUM(D9:D12),'res_raw_28976437'!$D$11)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N('res_raw_28976437'!$F$12)+N('res_raw_28976437'!$F$13)</f>
        <v/>
      </c>
      <c r="C14" s="24">
        <f>N('res_raw_28976437'!$E$12)+N('res_raw_28976437'!$E$13)</f>
        <v/>
      </c>
      <c r="D14" s="24">
        <f>N('res_raw_28976437'!$D$12)+N('res_raw_28976437'!$D$13)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-'res_raw_28976437'!$F$14</f>
        <v/>
      </c>
      <c r="C15" s="24">
        <f>-'res_raw_28976437'!$E$14</f>
        <v/>
      </c>
      <c r="D15" s="24">
        <f>-'res_raw_28976437'!$D$14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IF(ABS((SUM(B13:B15))-'res_raw_28976437'!$F$16)&lt;=2,SUM(B13:B15),'res_raw_28976437'!$F$16)</f>
        <v/>
      </c>
      <c r="C16" s="27">
        <f>IF(ABS((SUM(C13:C15))-'res_raw_28976437'!$E$16)&lt;=2,SUM(C13:C15),'res_raw_28976437'!$E$16)</f>
        <v/>
      </c>
      <c r="D16" s="27">
        <f>IF(ABS((SUM(D13:D15))-'res_raw_28976437'!$D$16)&lt;=2,SUM(D13:D15),'res_raw_28976437'!$D$16)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'balance_raw_28976437'!$F$11</f>
        <v/>
      </c>
      <c r="C19" s="24">
        <f>'balance_raw_28976437'!$E$11</f>
        <v/>
      </c>
      <c r="D19" s="24">
        <f>'balance_raw_28976437'!$D$11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'balance_raw_28976437'!$F$26</f>
        <v/>
      </c>
      <c r="C20" s="24">
        <f>'balance_raw_28976437'!$E$26</f>
        <v/>
      </c>
      <c r="D20" s="24">
        <f>'balance_raw_28976437'!$D$26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'balance_raw_28976437'!$F$34</f>
        <v/>
      </c>
      <c r="C23" s="24">
        <f>'balance_raw_28976437'!$E$34</f>
        <v/>
      </c>
      <c r="D23" s="24">
        <f>'balance_raw_28976437'!$D$34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'balance_raw_28976437'!$F$54-'balance_raw_28976437'!$F$34</f>
        <v/>
      </c>
      <c r="C24" s="24">
        <f>'balance_raw_28976437'!$E$54-'balance_raw_28976437'!$E$34</f>
        <v/>
      </c>
      <c r="D24" s="24">
        <f>'balance_raw_28976437'!$D$54-'balance_raw_28976437'!$D$34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'balance_raw_28976437'!$F$15</f>
        <v/>
      </c>
      <c r="C28" s="24">
        <f>'balance_raw_28976437'!$E$15</f>
        <v/>
      </c>
      <c r="D28" s="24">
        <f>'balance_raw_28976437'!$D$15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'balance_raw_28976437'!$F$16</f>
        <v/>
      </c>
      <c r="C29" s="24">
        <f>'balance_raw_28976437'!$E$16</f>
        <v/>
      </c>
      <c r="D29" s="24">
        <f>'balance_raw_28976437'!$D$16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'balance_raw_28976437'!$F$52</f>
        <v/>
      </c>
      <c r="C30" s="24">
        <f>'balance_raw_28976437'!$E$52</f>
        <v/>
      </c>
      <c r="D30" s="24">
        <f>'balance_raw_28976437'!$D$52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IF('balance_raw_28976437'!$F$27="","—",IF(ABS(B21-'balance_raw_28976437'!$F$27)&lt;=1,"✓ OK","❌ "&amp;TEXT(B21-'balance_raw_28976437'!$F$27,"+#,##0;-#,##0")&amp;" t.kr."))</f>
        <v/>
      </c>
      <c r="C61" s="29">
        <f>IF('balance_raw_28976437'!$E$27="","—",IF(ABS(C21-'balance_raw_28976437'!$E$27)&lt;=1,"✓ OK","❌ "&amp;TEXT(C21-'balance_raw_28976437'!$E$27,"+#,##0;-#,##0")&amp;" t.kr."))</f>
        <v/>
      </c>
      <c r="D61" s="29">
        <f>IF('balance_raw_28976437'!$D$27="","—",IF(ABS(D21-'balance_raw_28976437'!$D$27)&lt;=1,"✓ OK","❌ "&amp;TEXT(D21-'balance_raw_28976437'!$D$27,"+#,##0;-#,##0")&amp;"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IF('balance_raw_28976437'!$F$54="","—",IF(ABS(B25-'balance_raw_28976437'!$F$54)&lt;=1,"✓ OK","❌ "&amp;TEXT(B25-'balance_raw_28976437'!$F$54,"+#,##0;-#,##0")&amp;" t.kr."))</f>
        <v/>
      </c>
      <c r="C62" s="29">
        <f>IF('balance_raw_28976437'!$E$54="","—",IF(ABS(C25-'balance_raw_28976437'!$E$54)&lt;=1,"✓ OK","❌ "&amp;TEXT(C25-'balance_raw_28976437'!$E$54,"+#,##0;-#,##0")&amp;" t.kr."))</f>
        <v/>
      </c>
      <c r="D62" s="29">
        <f>IF('balance_raw_28976437'!$D$54="","—",IF(ABS(D25-'balance_raw_28976437'!$D$54)&lt;=1,"✓ OK","❌ "&amp;TEXT(D25-'balance_raw_28976437'!$D$54,"+#,##0;-#,##0")&amp;"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IF('res_raw_28976437'!$F$6="","—",IF(ABS(B9-'res_raw_28976437'!$F$6)&lt;=1,"✓ OK","❌ "&amp;TEXT(B9-'res_raw_28976437'!$F$6,"+#,##0;-#,##0")&amp;" t.kr."))</f>
        <v/>
      </c>
      <c r="C64" s="29">
        <f>IF('res_raw_28976437'!$E$6="","—",IF(ABS(C9-'res_raw_28976437'!$E$6)&lt;=1,"✓ OK","❌ "&amp;TEXT(C9-'res_raw_28976437'!$E$6,"+#,##0;-#,##0")&amp;" t.kr."))</f>
        <v/>
      </c>
      <c r="D64" s="29">
        <f>IF('res_raw_28976437'!$D$6="","—",IF(ABS(D9-'res_raw_28976437'!$D$6)&lt;=1,"✓ OK","❌ "&amp;TEXT(D9-'res_raw_28976437'!$D$6,"+#,##0;-#,##0")&amp;"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IF('res_raw_28976437'!$F$11="","—",IF(ABS(B13-'res_raw_28976437'!$F$11)&lt;=1,"✓ OK","❌ "&amp;TEXT(B13-'res_raw_28976437'!$F$11,"+#,##0;-#,##0")&amp;" t.kr."))</f>
        <v/>
      </c>
      <c r="C65" s="29">
        <f>IF('res_raw_28976437'!$E$11="","—",IF(ABS(C13-'res_raw_28976437'!$E$11)&lt;=1,"✓ OK","❌ "&amp;TEXT(C13-'res_raw_28976437'!$E$11,"+#,##0;-#,##0")&amp;" t.kr."))</f>
        <v/>
      </c>
      <c r="D65" s="29">
        <f>IF('res_raw_28976437'!$D$11="","—",IF(ABS(D13-'res_raw_28976437'!$D$11)&lt;=1,"✓ OK","❌ "&amp;TEXT(D13-'res_raw_28976437'!$D$11,"+#,##0;-#,##0")&amp;"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IF('res_raw_28976437'!$F$16="","—",IF(ABS(B16-'res_raw_28976437'!$F$16)&lt;=1,"✓ OK","❌ "&amp;TEXT(B16-'res_raw_28976437'!$F$16,"+#,##0;-#,##0")&amp;" t.kr."))</f>
        <v/>
      </c>
      <c r="C66" s="29">
        <f>IF('res_raw_28976437'!$E$16="","—",IF(ABS(C16-'res_raw_28976437'!$E$16)&lt;=1,"✓ OK","❌ "&amp;TEXT(C16-'res_raw_28976437'!$E$16,"+#,##0;-#,##0")&amp;" t.kr."))</f>
        <v/>
      </c>
      <c r="D66" s="29">
        <f>IF('res_raw_28976437'!$D$16="","—",IF(ABS(D16-'res_raw_28976437'!$D$16)&lt;=1,"✓ OK","❌ "&amp;TEXT(D16-'res_raw_28976437'!$D$16,"+#,##0;-#,##0")&amp;"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2026-10-02T21:15:14Z</dcterms:created>
  <dcterms:modified xmlns:dcterms="http://purl.org/dc/terms/" xmlns:xsi="http://www.w3.org/2001/XMLSchema-instance" xsi:type="dcterms:W3CDTF">2026-10-02T21:15:15Z</dcterms:modified>
</cp:coreProperties>
</file>