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458005" sheetId="1" state="visible" r:id="rId1"/>
    <sheet xmlns:r="http://schemas.openxmlformats.org/officeDocument/2006/relationships" name="res_raw_26458005" sheetId="2" state="visible" r:id="rId2"/>
    <sheet xmlns:r="http://schemas.openxmlformats.org/officeDocument/2006/relationships" name="balance_raw_2645800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Spangsberg Chokolade A/S (CVR 26458005)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'res_raw_26458005'!$B$2</f>
        <v/>
      </c>
      <c r="C4" s="5">
        <f>'res_raw_26458005'!$C$2</f>
        <v/>
      </c>
      <c r="D4" s="5">
        <f>'res_raw_26458005'!$D$2</f>
        <v/>
      </c>
      <c r="E4" s="5">
        <f>'res_raw_26458005'!$E$2</f>
        <v/>
      </c>
      <c r="F4" s="5">
        <f>'res_raw_26458005'!$F$2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'res_raw_26458005'!$B$3</f>
        <v/>
      </c>
      <c r="C5" s="8">
        <f>'res_raw_26458005'!$C$3</f>
        <v/>
      </c>
      <c r="D5" s="8">
        <f>'res_raw_26458005'!$D$3</f>
        <v/>
      </c>
      <c r="E5" s="8">
        <f>'res_raw_26458005'!$E$3</f>
        <v/>
      </c>
      <c r="F5" s="8">
        <f>'res_raw_26458005'!$F$3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'res_raw_26458005'!$B$4</f>
        <v/>
      </c>
      <c r="C6" s="5">
        <f>'res_raw_26458005'!$C$4</f>
        <v/>
      </c>
      <c r="D6" s="5">
        <f>'res_raw_26458005'!$D$4</f>
        <v/>
      </c>
      <c r="E6" s="5">
        <f>'res_raw_26458005'!$E$4</f>
        <v/>
      </c>
      <c r="F6" s="5">
        <f>'res_raw_26458005'!$F$4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'res_raw_26458005'!$B$5</f>
        <v/>
      </c>
      <c r="C7" s="8">
        <f>'res_raw_26458005'!$C$5</f>
        <v/>
      </c>
      <c r="D7" s="8">
        <f>'res_raw_26458005'!$D$5</f>
        <v/>
      </c>
      <c r="E7" s="8">
        <f>'res_raw_26458005'!$E$5</f>
        <v/>
      </c>
      <c r="F7" s="8">
        <f>'res_raw_26458005'!$F$5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'res_raw_26458005'!$B$6</f>
        <v/>
      </c>
      <c r="C8" s="11">
        <f>'res_raw_26458005'!$C$6</f>
        <v/>
      </c>
      <c r="D8" s="11">
        <f>'res_raw_26458005'!$D$6</f>
        <v/>
      </c>
      <c r="E8" s="11">
        <f>'res_raw_26458005'!$E$6</f>
        <v/>
      </c>
      <c r="F8" s="11">
        <f>'res_raw_26458005'!$F$6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'res_raw_26458005'!$B$7</f>
        <v/>
      </c>
      <c r="C9" s="8">
        <f>'res_raw_26458005'!$C$7</f>
        <v/>
      </c>
      <c r="D9" s="8">
        <f>'res_raw_26458005'!$D$7</f>
        <v/>
      </c>
      <c r="E9" s="8">
        <f>'res_raw_26458005'!$E$7</f>
        <v/>
      </c>
      <c r="F9" s="8">
        <f>'res_raw_26458005'!$F$7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'res_raw_26458005'!$B$9</f>
        <v/>
      </c>
      <c r="C11" s="8">
        <f>'res_raw_26458005'!$C$9</f>
        <v/>
      </c>
      <c r="D11" s="8">
        <f>'res_raw_26458005'!$D$9</f>
        <v/>
      </c>
      <c r="E11" s="8">
        <f>'res_raw_26458005'!$E$9</f>
        <v/>
      </c>
      <c r="F11" s="8">
        <f>'res_raw_26458005'!$F$9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'res_raw_26458005'!$B$10</f>
        <v/>
      </c>
      <c r="C12" s="5">
        <f>'res_raw_26458005'!$C$10</f>
        <v/>
      </c>
      <c r="D12" s="5">
        <f>'res_raw_26458005'!$D$10</f>
        <v/>
      </c>
      <c r="E12" s="5">
        <f>'res_raw_26458005'!$E$10</f>
        <v/>
      </c>
      <c r="F12" s="5">
        <f>'res_raw_26458005'!$F$10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'res_raw_26458005'!$B$11</f>
        <v/>
      </c>
      <c r="C13" s="11">
        <f>'res_raw_26458005'!$C$11</f>
        <v/>
      </c>
      <c r="D13" s="11">
        <f>'res_raw_26458005'!$D$11</f>
        <v/>
      </c>
      <c r="E13" s="11">
        <f>'res_raw_26458005'!$E$11</f>
        <v/>
      </c>
      <c r="F13" s="11">
        <f>'res_raw_26458005'!$F$11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'res_raw_26458005'!$B$12</f>
        <v/>
      </c>
      <c r="C14" s="5">
        <f>'res_raw_26458005'!$C$12</f>
        <v/>
      </c>
      <c r="D14" s="5">
        <f>'res_raw_26458005'!$D$12</f>
        <v/>
      </c>
      <c r="E14" s="5">
        <f>'res_raw_26458005'!$E$12</f>
        <v/>
      </c>
      <c r="F14" s="5">
        <f>'res_raw_26458005'!$F$12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'res_raw_26458005'!$B$13</f>
        <v/>
      </c>
      <c r="C15" s="8">
        <f>'res_raw_26458005'!$C$13</f>
        <v/>
      </c>
      <c r="D15" s="8">
        <f>'res_raw_26458005'!$D$13</f>
        <v/>
      </c>
      <c r="E15" s="8">
        <f>'res_raw_26458005'!$E$13</f>
        <v/>
      </c>
      <c r="F15" s="8">
        <f>'res_raw_26458005'!$F$13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'res_raw_26458005'!$B$14</f>
        <v/>
      </c>
      <c r="C16" s="5">
        <f>'res_raw_26458005'!$C$14</f>
        <v/>
      </c>
      <c r="D16" s="5">
        <f>'res_raw_26458005'!$D$14</f>
        <v/>
      </c>
      <c r="E16" s="5">
        <f>'res_raw_26458005'!$E$14</f>
        <v/>
      </c>
      <c r="F16" s="5">
        <f>'res_raw_26458005'!$F$14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'res_raw_26458005'!$B$15</f>
        <v/>
      </c>
      <c r="C17" s="11">
        <f>'res_raw_26458005'!$C$15</f>
        <v/>
      </c>
      <c r="D17" s="11">
        <f>'res_raw_26458005'!$D$15</f>
        <v/>
      </c>
      <c r="E17" s="11">
        <f>'res_raw_26458005'!$E$15</f>
        <v/>
      </c>
      <c r="F17" s="11">
        <f>'res_raw_26458005'!$F$15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'res_raw_26458005'!$B$16</f>
        <v/>
      </c>
      <c r="C18" s="11">
        <f>'res_raw_26458005'!$C$16</f>
        <v/>
      </c>
      <c r="D18" s="11">
        <f>'res_raw_26458005'!$D$16</f>
        <v/>
      </c>
      <c r="E18" s="11">
        <f>'res_raw_26458005'!$E$16</f>
        <v/>
      </c>
      <c r="F18" s="11">
        <f>'res_raw_26458005'!$F$16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'res_raw_26458005'!$B$17</f>
        <v/>
      </c>
      <c r="C19" s="8">
        <f>'res_raw_26458005'!$C$17</f>
        <v/>
      </c>
      <c r="D19" s="8">
        <f>'res_raw_26458005'!$D$17</f>
        <v/>
      </c>
      <c r="E19" s="8">
        <f>'res_raw_26458005'!$E$17</f>
        <v/>
      </c>
      <c r="F19" s="8">
        <f>'res_raw_26458005'!$F$17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'res_raw_26458005'!$B$18</f>
        <v/>
      </c>
      <c r="C20" s="11">
        <f>'res_raw_26458005'!$C$18</f>
        <v/>
      </c>
      <c r="D20" s="11">
        <f>'res_raw_26458005'!$D$18</f>
        <v/>
      </c>
      <c r="E20" s="11">
        <f>'res_raw_26458005'!$E$18</f>
        <v/>
      </c>
      <c r="F20" s="11">
        <f>'res_raw_26458005'!$F$18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'balance_raw_26458005'!$B$2</f>
        <v/>
      </c>
      <c r="C23" s="8">
        <f>'balance_raw_26458005'!$C$2</f>
        <v/>
      </c>
      <c r="D23" s="8">
        <f>'balance_raw_26458005'!$D$2</f>
        <v/>
      </c>
      <c r="E23" s="8">
        <f>'balance_raw_26458005'!$E$2</f>
        <v/>
      </c>
      <c r="F23" s="8">
        <f>'balance_raw_26458005'!$F$2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'balance_raw_26458005'!$B$3</f>
        <v/>
      </c>
      <c r="C24" s="5">
        <f>'balance_raw_26458005'!$C$3</f>
        <v/>
      </c>
      <c r="D24" s="5">
        <f>'balance_raw_26458005'!$D$3</f>
        <v/>
      </c>
      <c r="E24" s="5">
        <f>'balance_raw_26458005'!$E$3</f>
        <v/>
      </c>
      <c r="F24" s="5">
        <f>'balance_raw_26458005'!$F$3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'balance_raw_26458005'!$B$4</f>
        <v/>
      </c>
      <c r="C25" s="8">
        <f>'balance_raw_26458005'!$C$4</f>
        <v/>
      </c>
      <c r="D25" s="8">
        <f>'balance_raw_26458005'!$D$4</f>
        <v/>
      </c>
      <c r="E25" s="8">
        <f>'balance_raw_26458005'!$E$4</f>
        <v/>
      </c>
      <c r="F25" s="8">
        <f>'balance_raw_26458005'!$F$4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'balance_raw_26458005'!$B$5</f>
        <v/>
      </c>
      <c r="C26" s="11">
        <f>'balance_raw_26458005'!$C$5</f>
        <v/>
      </c>
      <c r="D26" s="11">
        <f>'balance_raw_26458005'!$D$5</f>
        <v/>
      </c>
      <c r="E26" s="11">
        <f>'balance_raw_26458005'!$E$5</f>
        <v/>
      </c>
      <c r="F26" s="11">
        <f>'balance_raw_26458005'!$F$5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'balance_raw_26458005'!$B$6</f>
        <v/>
      </c>
      <c r="C27" s="8">
        <f>'balance_raw_26458005'!$C$6</f>
        <v/>
      </c>
      <c r="D27" s="8">
        <f>'balance_raw_26458005'!$D$6</f>
        <v/>
      </c>
      <c r="E27" s="8">
        <f>'balance_raw_26458005'!$E$6</f>
        <v/>
      </c>
      <c r="F27" s="8">
        <f>'balance_raw_26458005'!$F$6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'balance_raw_26458005'!$B$7</f>
        <v/>
      </c>
      <c r="C28" s="5">
        <f>'balance_raw_26458005'!$C$7</f>
        <v/>
      </c>
      <c r="D28" s="5">
        <f>'balance_raw_26458005'!$D$7</f>
        <v/>
      </c>
      <c r="E28" s="5">
        <f>'balance_raw_26458005'!$E$7</f>
        <v/>
      </c>
      <c r="F28" s="5">
        <f>'balance_raw_26458005'!$F$7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'balance_raw_26458005'!$B$8</f>
        <v/>
      </c>
      <c r="C29" s="8">
        <f>'balance_raw_26458005'!$C$8</f>
        <v/>
      </c>
      <c r="D29" s="8">
        <f>'balance_raw_26458005'!$D$8</f>
        <v/>
      </c>
      <c r="E29" s="8">
        <f>'balance_raw_26458005'!$E$8</f>
        <v/>
      </c>
      <c r="F29" s="8">
        <f>'balance_raw_26458005'!$F$8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'balance_raw_26458005'!$B$9</f>
        <v/>
      </c>
      <c r="C30" s="5">
        <f>'balance_raw_26458005'!$C$9</f>
        <v/>
      </c>
      <c r="D30" s="5">
        <f>'balance_raw_26458005'!$D$9</f>
        <v/>
      </c>
      <c r="E30" s="5">
        <f>'balance_raw_26458005'!$E$9</f>
        <v/>
      </c>
      <c r="F30" s="5">
        <f>'balance_raw_26458005'!$F$9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'balance_raw_26458005'!$B$10</f>
        <v/>
      </c>
      <c r="C31" s="8">
        <f>'balance_raw_26458005'!$C$10</f>
        <v/>
      </c>
      <c r="D31" s="8">
        <f>'balance_raw_26458005'!$D$10</f>
        <v/>
      </c>
      <c r="E31" s="8">
        <f>'balance_raw_26458005'!$E$10</f>
        <v/>
      </c>
      <c r="F31" s="8">
        <f>'balance_raw_26458005'!$F$10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'balance_raw_26458005'!$B$11</f>
        <v/>
      </c>
      <c r="C32" s="11">
        <f>'balance_raw_26458005'!$C$11</f>
        <v/>
      </c>
      <c r="D32" s="11">
        <f>'balance_raw_26458005'!$D$11</f>
        <v/>
      </c>
      <c r="E32" s="11">
        <f>'balance_raw_26458005'!$E$11</f>
        <v/>
      </c>
      <c r="F32" s="11">
        <f>'balance_raw_26458005'!$F$11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'balance_raw_26458005'!$B$12</f>
        <v/>
      </c>
      <c r="C33" s="8">
        <f>'balance_raw_26458005'!$C$12</f>
        <v/>
      </c>
      <c r="D33" s="8">
        <f>'balance_raw_26458005'!$D$12</f>
        <v/>
      </c>
      <c r="E33" s="8">
        <f>'balance_raw_26458005'!$E$12</f>
        <v/>
      </c>
      <c r="F33" s="8">
        <f>'balance_raw_26458005'!$F$12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'balance_raw_26458005'!$B$13</f>
        <v/>
      </c>
      <c r="C34" s="5">
        <f>'balance_raw_26458005'!$C$13</f>
        <v/>
      </c>
      <c r="D34" s="5">
        <f>'balance_raw_26458005'!$D$13</f>
        <v/>
      </c>
      <c r="E34" s="5">
        <f>'balance_raw_26458005'!$E$13</f>
        <v/>
      </c>
      <c r="F34" s="5">
        <f>'balance_raw_26458005'!$F$13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'balance_raw_26458005'!$B$14</f>
        <v/>
      </c>
      <c r="C35" s="11">
        <f>'balance_raw_26458005'!$C$14</f>
        <v/>
      </c>
      <c r="D35" s="11">
        <f>'balance_raw_26458005'!$D$14</f>
        <v/>
      </c>
      <c r="E35" s="11">
        <f>'balance_raw_26458005'!$E$14</f>
        <v/>
      </c>
      <c r="F35" s="11">
        <f>'balance_raw_26458005'!$F$14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'balance_raw_26458005'!$B$15</f>
        <v/>
      </c>
      <c r="C36" s="11">
        <f>'balance_raw_26458005'!$C$15</f>
        <v/>
      </c>
      <c r="D36" s="11">
        <f>'balance_raw_26458005'!$D$15</f>
        <v/>
      </c>
      <c r="E36" s="11">
        <f>'balance_raw_26458005'!$E$15</f>
        <v/>
      </c>
      <c r="F36" s="11">
        <f>'balance_raw_26458005'!$F$15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'balance_raw_26458005'!$B$16</f>
        <v/>
      </c>
      <c r="C37" s="8">
        <f>'balance_raw_26458005'!$C$16</f>
        <v/>
      </c>
      <c r="D37" s="8">
        <f>'balance_raw_26458005'!$D$16</f>
        <v/>
      </c>
      <c r="E37" s="8">
        <f>'balance_raw_26458005'!$E$16</f>
        <v/>
      </c>
      <c r="F37" s="8">
        <f>'balance_raw_26458005'!$F$16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'balance_raw_26458005'!$B$17</f>
        <v/>
      </c>
      <c r="C38" s="5">
        <f>'balance_raw_26458005'!$C$17</f>
        <v/>
      </c>
      <c r="D38" s="5">
        <f>'balance_raw_26458005'!$D$17</f>
        <v/>
      </c>
      <c r="E38" s="5">
        <f>'balance_raw_26458005'!$E$17</f>
        <v/>
      </c>
      <c r="F38" s="5">
        <f>'balance_raw_26458005'!$F$17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'balance_raw_26458005'!$B$18</f>
        <v/>
      </c>
      <c r="C39" s="8">
        <f>'balance_raw_26458005'!$C$18</f>
        <v/>
      </c>
      <c r="D39" s="8">
        <f>'balance_raw_26458005'!$D$18</f>
        <v/>
      </c>
      <c r="E39" s="8">
        <f>'balance_raw_26458005'!$E$18</f>
        <v/>
      </c>
      <c r="F39" s="8">
        <f>'balance_raw_26458005'!$F$18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'balance_raw_26458005'!$B$19</f>
        <v/>
      </c>
      <c r="C40" s="11">
        <f>'balance_raw_26458005'!$C$19</f>
        <v/>
      </c>
      <c r="D40" s="11">
        <f>'balance_raw_26458005'!$D$19</f>
        <v/>
      </c>
      <c r="E40" s="11">
        <f>'balance_raw_26458005'!$E$19</f>
        <v/>
      </c>
      <c r="F40" s="11">
        <f>'balance_raw_26458005'!$F$19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'balance_raw_26458005'!$B$20</f>
        <v/>
      </c>
      <c r="C41" s="8">
        <f>'balance_raw_26458005'!$C$20</f>
        <v/>
      </c>
      <c r="D41" s="8">
        <f>'balance_raw_26458005'!$D$20</f>
        <v/>
      </c>
      <c r="E41" s="8">
        <f>'balance_raw_26458005'!$E$20</f>
        <v/>
      </c>
      <c r="F41" s="8">
        <f>'balance_raw_26458005'!$F$20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'balance_raw_26458005'!$B$21</f>
        <v/>
      </c>
      <c r="C42" s="5">
        <f>'balance_raw_26458005'!$C$21</f>
        <v/>
      </c>
      <c r="D42" s="5">
        <f>'balance_raw_26458005'!$D$21</f>
        <v/>
      </c>
      <c r="E42" s="5">
        <f>'balance_raw_26458005'!$E$21</f>
        <v/>
      </c>
      <c r="F42" s="5">
        <f>'balance_raw_26458005'!$F$21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'balance_raw_26458005'!$B$22</f>
        <v/>
      </c>
      <c r="C43" s="8">
        <f>'balance_raw_26458005'!$C$22</f>
        <v/>
      </c>
      <c r="D43" s="8">
        <f>'balance_raw_26458005'!$D$22</f>
        <v/>
      </c>
      <c r="E43" s="8">
        <f>'balance_raw_26458005'!$E$22</f>
        <v/>
      </c>
      <c r="F43" s="8">
        <f>'balance_raw_26458005'!$F$22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'balance_raw_26458005'!$B$23</f>
        <v/>
      </c>
      <c r="C44" s="5">
        <f>'balance_raw_26458005'!$C$23</f>
        <v/>
      </c>
      <c r="D44" s="5">
        <f>'balance_raw_26458005'!$D$23</f>
        <v/>
      </c>
      <c r="E44" s="5">
        <f>'balance_raw_26458005'!$E$23</f>
        <v/>
      </c>
      <c r="F44" s="5">
        <f>'balance_raw_26458005'!$F$23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'balance_raw_26458005'!$B$24</f>
        <v/>
      </c>
      <c r="C45" s="8">
        <f>'balance_raw_26458005'!$C$24</f>
        <v/>
      </c>
      <c r="D45" s="8">
        <f>'balance_raw_26458005'!$D$24</f>
        <v/>
      </c>
      <c r="E45" s="8">
        <f>'balance_raw_26458005'!$E$24</f>
        <v/>
      </c>
      <c r="F45" s="8">
        <f>'balance_raw_26458005'!$F$24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'balance_raw_26458005'!$B$25</f>
        <v/>
      </c>
      <c r="C46" s="5">
        <f>'balance_raw_26458005'!$C$25</f>
        <v/>
      </c>
      <c r="D46" s="5">
        <f>'balance_raw_26458005'!$D$25</f>
        <v/>
      </c>
      <c r="E46" s="5">
        <f>'balance_raw_26458005'!$E$25</f>
        <v/>
      </c>
      <c r="F46" s="5">
        <f>'balance_raw_26458005'!$F$25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'balance_raw_26458005'!$B$26</f>
        <v/>
      </c>
      <c r="C47" s="8">
        <f>'balance_raw_26458005'!$C$26</f>
        <v/>
      </c>
      <c r="D47" s="8">
        <f>'balance_raw_26458005'!$D$26</f>
        <v/>
      </c>
      <c r="E47" s="8">
        <f>'balance_raw_26458005'!$E$26</f>
        <v/>
      </c>
      <c r="F47" s="8">
        <f>'balance_raw_26458005'!$F$26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'balance_raw_26458005'!$B$27</f>
        <v/>
      </c>
      <c r="C48" s="11">
        <f>'balance_raw_26458005'!$C$27</f>
        <v/>
      </c>
      <c r="D48" s="11">
        <f>'balance_raw_26458005'!$D$27</f>
        <v/>
      </c>
      <c r="E48" s="11">
        <f>'balance_raw_26458005'!$E$27</f>
        <v/>
      </c>
      <c r="F48" s="11">
        <f>'balance_raw_26458005'!$F$27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'balance_raw_26458005'!$B$28</f>
        <v/>
      </c>
      <c r="C49" s="8">
        <f>'balance_raw_26458005'!$C$28</f>
        <v/>
      </c>
      <c r="D49" s="8">
        <f>'balance_raw_26458005'!$D$28</f>
        <v/>
      </c>
      <c r="E49" s="8">
        <f>'balance_raw_26458005'!$E$28</f>
        <v/>
      </c>
      <c r="F49" s="8">
        <f>'balance_raw_26458005'!$F$28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'balance_raw_26458005'!$B$29</f>
        <v/>
      </c>
      <c r="C50" s="5">
        <f>'balance_raw_26458005'!$C$29</f>
        <v/>
      </c>
      <c r="D50" s="5">
        <f>'balance_raw_26458005'!$D$29</f>
        <v/>
      </c>
      <c r="E50" s="5">
        <f>'balance_raw_26458005'!$E$29</f>
        <v/>
      </c>
      <c r="F50" s="5">
        <f>'balance_raw_26458005'!$F$29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'balance_raw_26458005'!$B$30</f>
        <v/>
      </c>
      <c r="C51" s="11">
        <f>'balance_raw_26458005'!$C$30</f>
        <v/>
      </c>
      <c r="D51" s="11">
        <f>'balance_raw_26458005'!$D$30</f>
        <v/>
      </c>
      <c r="E51" s="11">
        <f>'balance_raw_26458005'!$E$30</f>
        <v/>
      </c>
      <c r="F51" s="11">
        <f>'balance_raw_26458005'!$F$30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'balance_raw_26458005'!$B$31</f>
        <v/>
      </c>
      <c r="C52" s="11">
        <f>'balance_raw_26458005'!$C$31</f>
        <v/>
      </c>
      <c r="D52" s="11">
        <f>'balance_raw_26458005'!$D$31</f>
        <v/>
      </c>
      <c r="E52" s="11">
        <f>'balance_raw_26458005'!$E$31</f>
        <v/>
      </c>
      <c r="F52" s="11">
        <f>'balance_raw_26458005'!$F$31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'balance_raw_26458005'!$B$32</f>
        <v/>
      </c>
      <c r="C55" s="8">
        <f>'balance_raw_26458005'!$C$32</f>
        <v/>
      </c>
      <c r="D55" s="8">
        <f>'balance_raw_26458005'!$D$32</f>
        <v/>
      </c>
      <c r="E55" s="8">
        <f>'balance_raw_26458005'!$E$32</f>
        <v/>
      </c>
      <c r="F55" s="8">
        <f>'balance_raw_26458005'!$F$32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'balance_raw_26458005'!$B$33</f>
        <v/>
      </c>
      <c r="C56" s="5">
        <f>'balance_raw_26458005'!$C$33</f>
        <v/>
      </c>
      <c r="D56" s="5">
        <f>'balance_raw_26458005'!$D$33</f>
        <v/>
      </c>
      <c r="E56" s="5">
        <f>'balance_raw_26458005'!$E$33</f>
        <v/>
      </c>
      <c r="F56" s="5">
        <f>'balance_raw_26458005'!$F$33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'balance_raw_26458005'!$B$34</f>
        <v/>
      </c>
      <c r="C57" s="8">
        <f>'balance_raw_26458005'!$C$34</f>
        <v/>
      </c>
      <c r="D57" s="8">
        <f>'balance_raw_26458005'!$D$34</f>
        <v/>
      </c>
      <c r="E57" s="8">
        <f>'balance_raw_26458005'!$E$34</f>
        <v/>
      </c>
      <c r="F57" s="8">
        <f>'balance_raw_26458005'!$F$34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'balance_raw_26458005'!$B$35</f>
        <v/>
      </c>
      <c r="C58" s="5">
        <f>'balance_raw_26458005'!$C$35</f>
        <v/>
      </c>
      <c r="D58" s="5">
        <f>'balance_raw_26458005'!$D$35</f>
        <v/>
      </c>
      <c r="E58" s="5">
        <f>'balance_raw_26458005'!$E$35</f>
        <v/>
      </c>
      <c r="F58" s="5">
        <f>'balance_raw_26458005'!$F$35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'balance_raw_26458005'!$B$36</f>
        <v/>
      </c>
      <c r="C59" s="8">
        <f>'balance_raw_26458005'!$C$36</f>
        <v/>
      </c>
      <c r="D59" s="8">
        <f>'balance_raw_26458005'!$D$36</f>
        <v/>
      </c>
      <c r="E59" s="8">
        <f>'balance_raw_26458005'!$E$36</f>
        <v/>
      </c>
      <c r="F59" s="8">
        <f>'balance_raw_26458005'!$F$36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'balance_raw_26458005'!$B$37</f>
        <v/>
      </c>
      <c r="C60" s="5">
        <f>'balance_raw_26458005'!$C$37</f>
        <v/>
      </c>
      <c r="D60" s="5">
        <f>'balance_raw_26458005'!$D$37</f>
        <v/>
      </c>
      <c r="E60" s="5">
        <f>'balance_raw_26458005'!$E$37</f>
        <v/>
      </c>
      <c r="F60" s="5">
        <f>'balance_raw_26458005'!$F$37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'balance_raw_26458005'!$B$38</f>
        <v/>
      </c>
      <c r="C61" s="11">
        <f>'balance_raw_26458005'!$C$38</f>
        <v/>
      </c>
      <c r="D61" s="11">
        <f>'balance_raw_26458005'!$D$38</f>
        <v/>
      </c>
      <c r="E61" s="11">
        <f>'balance_raw_26458005'!$E$38</f>
        <v/>
      </c>
      <c r="F61" s="11">
        <f>'balance_raw_26458005'!$F$38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'balance_raw_26458005'!$B$39</f>
        <v/>
      </c>
      <c r="C62" s="5">
        <f>'balance_raw_26458005'!$C$39</f>
        <v/>
      </c>
      <c r="D62" s="5">
        <f>'balance_raw_26458005'!$D$39</f>
        <v/>
      </c>
      <c r="E62" s="5">
        <f>'balance_raw_26458005'!$E$39</f>
        <v/>
      </c>
      <c r="F62" s="5">
        <f>'balance_raw_26458005'!$F$39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'balance_raw_26458005'!$B$40</f>
        <v/>
      </c>
      <c r="C63" s="11">
        <f>'balance_raw_26458005'!$C$40</f>
        <v/>
      </c>
      <c r="D63" s="11">
        <f>'balance_raw_26458005'!$D$40</f>
        <v/>
      </c>
      <c r="E63" s="11">
        <f>'balance_raw_26458005'!$E$40</f>
        <v/>
      </c>
      <c r="F63" s="11">
        <f>'balance_raw_26458005'!$F$40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'balance_raw_26458005'!$B$41</f>
        <v/>
      </c>
      <c r="C64" s="5">
        <f>'balance_raw_26458005'!$C$41</f>
        <v/>
      </c>
      <c r="D64" s="5">
        <f>'balance_raw_26458005'!$D$41</f>
        <v/>
      </c>
      <c r="E64" s="5">
        <f>'balance_raw_26458005'!$E$41</f>
        <v/>
      </c>
      <c r="F64" s="5">
        <f>'balance_raw_26458005'!$F$41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'balance_raw_26458005'!$B$42</f>
        <v/>
      </c>
      <c r="C65" s="8">
        <f>'balance_raw_26458005'!$C$42</f>
        <v/>
      </c>
      <c r="D65" s="8">
        <f>'balance_raw_26458005'!$D$42</f>
        <v/>
      </c>
      <c r="E65" s="8">
        <f>'balance_raw_26458005'!$E$42</f>
        <v/>
      </c>
      <c r="F65" s="8">
        <f>'balance_raw_26458005'!$F$42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'balance_raw_26458005'!$B$43</f>
        <v/>
      </c>
      <c r="C66" s="5">
        <f>'balance_raw_26458005'!$C$43</f>
        <v/>
      </c>
      <c r="D66" s="5">
        <f>'balance_raw_26458005'!$D$43</f>
        <v/>
      </c>
      <c r="E66" s="5">
        <f>'balance_raw_26458005'!$E$43</f>
        <v/>
      </c>
      <c r="F66" s="5">
        <f>'balance_raw_26458005'!$F$43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'balance_raw_26458005'!$B$44</f>
        <v/>
      </c>
      <c r="C67" s="8">
        <f>'balance_raw_26458005'!$C$44</f>
        <v/>
      </c>
      <c r="D67" s="8">
        <f>'balance_raw_26458005'!$D$44</f>
        <v/>
      </c>
      <c r="E67" s="8">
        <f>'balance_raw_26458005'!$E$44</f>
        <v/>
      </c>
      <c r="F67" s="8">
        <f>'balance_raw_26458005'!$F$44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'balance_raw_26458005'!$B$45</f>
        <v/>
      </c>
      <c r="C68" s="11">
        <f>'balance_raw_26458005'!$C$45</f>
        <v/>
      </c>
      <c r="D68" s="11">
        <f>'balance_raw_26458005'!$D$45</f>
        <v/>
      </c>
      <c r="E68" s="11">
        <f>'balance_raw_26458005'!$E$45</f>
        <v/>
      </c>
      <c r="F68" s="11">
        <f>'balance_raw_26458005'!$F$45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'balance_raw_26458005'!$B$46</f>
        <v/>
      </c>
      <c r="C69" s="8">
        <f>'balance_raw_26458005'!$C$46</f>
        <v/>
      </c>
      <c r="D69" s="8">
        <f>'balance_raw_26458005'!$D$46</f>
        <v/>
      </c>
      <c r="E69" s="8">
        <f>'balance_raw_26458005'!$E$46</f>
        <v/>
      </c>
      <c r="F69" s="8">
        <f>'balance_raw_26458005'!$F$46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'balance_raw_26458005'!$B$47</f>
        <v/>
      </c>
      <c r="C70" s="5">
        <f>'balance_raw_26458005'!$C$47</f>
        <v/>
      </c>
      <c r="D70" s="5">
        <f>'balance_raw_26458005'!$D$47</f>
        <v/>
      </c>
      <c r="E70" s="5">
        <f>'balance_raw_26458005'!$E$47</f>
        <v/>
      </c>
      <c r="F70" s="5">
        <f>'balance_raw_26458005'!$F$47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'balance_raw_26458005'!$B$48</f>
        <v/>
      </c>
      <c r="C71" s="8">
        <f>'balance_raw_26458005'!$C$48</f>
        <v/>
      </c>
      <c r="D71" s="8">
        <f>'balance_raw_26458005'!$D$48</f>
        <v/>
      </c>
      <c r="E71" s="8">
        <f>'balance_raw_26458005'!$E$48</f>
        <v/>
      </c>
      <c r="F71" s="8">
        <f>'balance_raw_26458005'!$F$48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'balance_raw_26458005'!$B$49</f>
        <v/>
      </c>
      <c r="C72" s="5">
        <f>'balance_raw_26458005'!$C$49</f>
        <v/>
      </c>
      <c r="D72" s="5">
        <f>'balance_raw_26458005'!$D$49</f>
        <v/>
      </c>
      <c r="E72" s="5">
        <f>'balance_raw_26458005'!$E$49</f>
        <v/>
      </c>
      <c r="F72" s="5">
        <f>'balance_raw_26458005'!$F$49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'balance_raw_26458005'!$B$50</f>
        <v/>
      </c>
      <c r="C73" s="8">
        <f>'balance_raw_26458005'!$C$50</f>
        <v/>
      </c>
      <c r="D73" s="8">
        <f>'balance_raw_26458005'!$D$50</f>
        <v/>
      </c>
      <c r="E73" s="8">
        <f>'balance_raw_26458005'!$E$50</f>
        <v/>
      </c>
      <c r="F73" s="8">
        <f>'balance_raw_26458005'!$F$50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'balance_raw_26458005'!$B$51</f>
        <v/>
      </c>
      <c r="C74" s="5">
        <f>'balance_raw_26458005'!$C$51</f>
        <v/>
      </c>
      <c r="D74" s="5">
        <f>'balance_raw_26458005'!$D$51</f>
        <v/>
      </c>
      <c r="E74" s="5">
        <f>'balance_raw_26458005'!$E$51</f>
        <v/>
      </c>
      <c r="F74" s="5">
        <f>'balance_raw_26458005'!$F$51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'balance_raw_26458005'!$B$52</f>
        <v/>
      </c>
      <c r="C75" s="8">
        <f>'balance_raw_26458005'!$C$52</f>
        <v/>
      </c>
      <c r="D75" s="8">
        <f>'balance_raw_26458005'!$D$52</f>
        <v/>
      </c>
      <c r="E75" s="8">
        <f>'balance_raw_26458005'!$E$52</f>
        <v/>
      </c>
      <c r="F75" s="8">
        <f>'balance_raw_26458005'!$F$52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'balance_raw_26458005'!$B$53</f>
        <v/>
      </c>
      <c r="C76" s="5">
        <f>'balance_raw_26458005'!$C$53</f>
        <v/>
      </c>
      <c r="D76" s="5">
        <f>'balance_raw_26458005'!$D$53</f>
        <v/>
      </c>
      <c r="E76" s="5">
        <f>'balance_raw_26458005'!$E$53</f>
        <v/>
      </c>
      <c r="F76" s="5">
        <f>'balance_raw_26458005'!$F$53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'balance_raw_26458005'!$B$54</f>
        <v/>
      </c>
      <c r="C77" s="8">
        <f>'balance_raw_26458005'!$C$54</f>
        <v/>
      </c>
      <c r="D77" s="8">
        <f>'balance_raw_26458005'!$D$54</f>
        <v/>
      </c>
      <c r="E77" s="8">
        <f>'balance_raw_26458005'!$E$54</f>
        <v/>
      </c>
      <c r="F77" s="8">
        <f>'balance_raw_26458005'!$F$54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'balance_raw_26458005'!$B$55</f>
        <v/>
      </c>
      <c r="C78" s="5">
        <f>'balance_raw_26458005'!$C$55</f>
        <v/>
      </c>
      <c r="D78" s="5">
        <f>'balance_raw_26458005'!$D$55</f>
        <v/>
      </c>
      <c r="E78" s="5">
        <f>'balance_raw_26458005'!$E$55</f>
        <v/>
      </c>
      <c r="F78" s="5">
        <f>'balance_raw_26458005'!$F$55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'balance_raw_26458005'!$B$56</f>
        <v/>
      </c>
      <c r="C79" s="8">
        <f>'balance_raw_26458005'!$C$56</f>
        <v/>
      </c>
      <c r="D79" s="8">
        <f>'balance_raw_26458005'!$D$56</f>
        <v/>
      </c>
      <c r="E79" s="8">
        <f>'balance_raw_26458005'!$E$56</f>
        <v/>
      </c>
      <c r="F79" s="8">
        <f>'balance_raw_26458005'!$F$56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'balance_raw_26458005'!$B$57</f>
        <v/>
      </c>
      <c r="C80" s="11">
        <f>'balance_raw_26458005'!$C$57</f>
        <v/>
      </c>
      <c r="D80" s="11">
        <f>'balance_raw_26458005'!$D$57</f>
        <v/>
      </c>
      <c r="E80" s="11">
        <f>'balance_raw_26458005'!$E$57</f>
        <v/>
      </c>
      <c r="F80" s="11">
        <f>'balance_raw_26458005'!$F$57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'balance_raw_26458005'!$B$58</f>
        <v/>
      </c>
      <c r="C81" s="11">
        <f>'balance_raw_26458005'!$C$58</f>
        <v/>
      </c>
      <c r="D81" s="11">
        <f>'balance_raw_26458005'!$D$58</f>
        <v/>
      </c>
      <c r="E81" s="11">
        <f>'balance_raw_26458005'!$E$58</f>
        <v/>
      </c>
      <c r="F81" s="11">
        <f>'balance_raw_26458005'!$F$58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'balance_raw_26458005'!$B$59</f>
        <v/>
      </c>
      <c r="C82" s="11">
        <f>'balance_raw_26458005'!$C$59</f>
        <v/>
      </c>
      <c r="D82" s="11">
        <f>'balance_raw_26458005'!$D$59</f>
        <v/>
      </c>
      <c r="E82" s="11">
        <f>'balance_raw_26458005'!$E$59</f>
        <v/>
      </c>
      <c r="F82" s="11">
        <f>'balance_raw_26458005'!$F$59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'res_raw_26458005'!$B$19</f>
        <v/>
      </c>
      <c r="C85" s="8">
        <f>'res_raw_26458005'!$C$19</f>
        <v/>
      </c>
      <c r="D85" s="8">
        <f>'res_raw_26458005'!$D$19</f>
        <v/>
      </c>
      <c r="E85" s="8">
        <f>'res_raw_26458005'!$E$19</f>
        <v/>
      </c>
      <c r="F85" s="8">
        <f>'res_raw_26458005'!$F$19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'res_raw_26458005'!$B$20</f>
        <v/>
      </c>
      <c r="C86" s="5">
        <f>'res_raw_26458005'!$C$20</f>
        <v/>
      </c>
      <c r="D86" s="5">
        <f>'res_raw_26458005'!$D$20</f>
        <v/>
      </c>
      <c r="E86" s="5">
        <f>'res_raw_26458005'!$E$20</f>
        <v/>
      </c>
      <c r="F86" s="5">
        <f>'res_raw_26458005'!$F$20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Spangsberg Chokolade A/S (CVR 26458005)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38273</v>
      </c>
      <c r="C6" s="16" t="n">
        <v>35425</v>
      </c>
      <c r="D6" s="16" t="n">
        <v>34211</v>
      </c>
      <c r="E6" s="16" t="n">
        <v>38486</v>
      </c>
      <c r="F6" s="16" t="n">
        <v>38957</v>
      </c>
    </row>
    <row r="7">
      <c r="A7" s="15" t="inlineStr">
        <is>
          <t>Personaleomkostninger</t>
        </is>
      </c>
      <c r="B7" s="16" t="n">
        <v>21933</v>
      </c>
      <c r="C7" s="16" t="n">
        <v>22768</v>
      </c>
      <c r="D7" s="16" t="n">
        <v>23269</v>
      </c>
      <c r="E7" s="16" t="n">
        <v>27298</v>
      </c>
      <c r="F7" s="16" t="n">
        <v>27299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5409</v>
      </c>
      <c r="C9" s="16" t="n">
        <v>5740</v>
      </c>
      <c r="D9" s="16" t="n">
        <v>5675</v>
      </c>
      <c r="E9" s="16" t="n">
        <v>5673</v>
      </c>
      <c r="F9" s="16" t="n">
        <v>5471</v>
      </c>
    </row>
    <row r="10">
      <c r="A10" s="15" t="inlineStr">
        <is>
          <t>Andre driftsomkostninger</t>
        </is>
      </c>
      <c r="B10" s="16" t="n"/>
      <c r="C10" s="16" t="n"/>
      <c r="D10" s="16" t="n">
        <v>73</v>
      </c>
      <c r="E10" s="16" t="n">
        <v>171</v>
      </c>
      <c r="F10" s="16" t="n">
        <v>0</v>
      </c>
    </row>
    <row r="11">
      <c r="A11" s="17" t="inlineStr">
        <is>
          <t>Resultat af primær drift</t>
        </is>
      </c>
      <c r="B11" s="16" t="n">
        <v>10931</v>
      </c>
      <c r="C11" s="16" t="n">
        <v>6917</v>
      </c>
      <c r="D11" s="16" t="n">
        <v>5193</v>
      </c>
      <c r="E11" s="16" t="n">
        <v>5344</v>
      </c>
      <c r="F11" s="16" t="n">
        <v>6187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>
        <v>184</v>
      </c>
      <c r="D13" s="16" t="n">
        <v>292</v>
      </c>
      <c r="E13" s="16" t="n">
        <v>74</v>
      </c>
      <c r="F13" s="16" t="n">
        <v>1</v>
      </c>
    </row>
    <row r="14">
      <c r="A14" s="15" t="inlineStr">
        <is>
          <t>Finansielle omkostninger</t>
        </is>
      </c>
      <c r="B14" s="16" t="n">
        <v>660</v>
      </c>
      <c r="C14" s="16" t="n">
        <v>780</v>
      </c>
      <c r="D14" s="16" t="n">
        <v>638</v>
      </c>
      <c r="E14" s="16" t="n">
        <v>599</v>
      </c>
      <c r="F14" s="16" t="n">
        <v>1386</v>
      </c>
    </row>
    <row r="15">
      <c r="A15" s="17" t="inlineStr">
        <is>
          <t>Finansielle poster, netto</t>
        </is>
      </c>
      <c r="B15" s="16" t="n">
        <v>374</v>
      </c>
      <c r="C15" s="16" t="n">
        <v>-154</v>
      </c>
      <c r="D15" s="16" t="n">
        <v>-262</v>
      </c>
      <c r="E15" s="16" t="n">
        <v>122</v>
      </c>
      <c r="F15" s="16" t="n">
        <v>-98</v>
      </c>
    </row>
    <row r="16">
      <c r="A16" s="17" t="inlineStr">
        <is>
          <t>Resultat før skat</t>
        </is>
      </c>
      <c r="B16" s="16" t="n">
        <v>10557</v>
      </c>
      <c r="C16" s="16" t="n">
        <v>7071</v>
      </c>
      <c r="D16" s="16" t="n">
        <v>5455</v>
      </c>
      <c r="E16" s="16" t="n">
        <v>5223</v>
      </c>
      <c r="F16" s="16" t="n">
        <v>6088</v>
      </c>
    </row>
    <row r="17">
      <c r="A17" s="15" t="inlineStr">
        <is>
          <t>Skat af årets resultat</t>
        </is>
      </c>
      <c r="B17" s="16" t="n">
        <v>2292</v>
      </c>
      <c r="C17" s="16" t="n">
        <v>1544</v>
      </c>
      <c r="D17" s="16" t="n">
        <v>1227</v>
      </c>
      <c r="E17" s="16" t="n">
        <v>1183</v>
      </c>
      <c r="F17" s="16" t="n">
        <v>1359</v>
      </c>
    </row>
    <row r="18">
      <c r="A18" s="17" t="inlineStr">
        <is>
          <t>Årets resultat</t>
        </is>
      </c>
      <c r="B18" s="16" t="n">
        <v>8265</v>
      </c>
      <c r="C18" s="16" t="n">
        <v>5527</v>
      </c>
      <c r="D18" s="16" t="n">
        <v>4229</v>
      </c>
      <c r="E18" s="16" t="n">
        <v>4040</v>
      </c>
      <c r="F18" s="16" t="n">
        <v>4730</v>
      </c>
    </row>
    <row r="19">
      <c r="A19" s="15" t="inlineStr">
        <is>
          <t>Gns. antal medarbejdere</t>
        </is>
      </c>
      <c r="B19" s="16" t="n">
        <v>47</v>
      </c>
      <c r="C19" s="16" t="n">
        <v>53</v>
      </c>
      <c r="D19" s="16" t="n">
        <v>48</v>
      </c>
      <c r="E19" s="16" t="n">
        <v>53</v>
      </c>
      <c r="F19" s="16" t="n">
        <v>51</v>
      </c>
    </row>
    <row r="20">
      <c r="A20" s="15" t="inlineStr">
        <is>
          <t>Investering i materielle anlægsaktiver</t>
        </is>
      </c>
      <c r="B20" s="16" t="n">
        <v>8662</v>
      </c>
      <c r="C20" s="16" t="n">
        <v>6551</v>
      </c>
      <c r="D20" s="16" t="n">
        <v>2528</v>
      </c>
      <c r="E20" s="16" t="n">
        <v>5702</v>
      </c>
      <c r="F20" s="16" t="n">
        <v>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Spangsberg Chokolade A/S (CVR 26458005)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>
        <v>2248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0</v>
      </c>
      <c r="C5" s="16" t="n">
        <v>3252</v>
      </c>
      <c r="D5" s="16" t="n">
        <v>2890</v>
      </c>
      <c r="E5" s="16" t="n">
        <v>2634</v>
      </c>
      <c r="F5" s="16" t="n">
        <v>2248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20280</v>
      </c>
      <c r="C7" s="16" t="n">
        <v>20680</v>
      </c>
      <c r="D7" s="16" t="n">
        <v>16861</v>
      </c>
      <c r="E7" s="16" t="n">
        <v>16875</v>
      </c>
      <c r="F7" s="16" t="n">
        <v>13230</v>
      </c>
    </row>
    <row r="8">
      <c r="A8" s="15" t="inlineStr">
        <is>
          <t>Driftsmateriel og inventar</t>
        </is>
      </c>
      <c r="B8" s="16" t="n">
        <v>2256</v>
      </c>
      <c r="C8" s="16" t="n">
        <v>625</v>
      </c>
      <c r="D8" s="16" t="n">
        <v>447</v>
      </c>
      <c r="E8" s="16" t="n">
        <v>365</v>
      </c>
      <c r="F8" s="16" t="n">
        <v>371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360</v>
      </c>
      <c r="C10" s="16" t="n">
        <v>0</v>
      </c>
      <c r="D10" s="16" t="n">
        <v>739</v>
      </c>
      <c r="E10" s="16" t="n">
        <v>0</v>
      </c>
      <c r="F10" s="16" t="n">
        <v>1953</v>
      </c>
    </row>
    <row r="11">
      <c r="A11" s="17" t="inlineStr">
        <is>
          <t>Materielle anlægsaktiver</t>
        </is>
      </c>
      <c r="B11" s="16" t="n">
        <v>22896</v>
      </c>
      <c r="C11" s="16" t="n">
        <v>21306</v>
      </c>
      <c r="D11" s="16" t="n">
        <v>18047</v>
      </c>
      <c r="E11" s="16" t="n">
        <v>17239</v>
      </c>
      <c r="F11" s="16" t="n">
        <v>15554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988</v>
      </c>
      <c r="C13" s="16" t="n">
        <v>674</v>
      </c>
      <c r="D13" s="16" t="n">
        <v>838</v>
      </c>
      <c r="E13" s="16" t="n">
        <v>991</v>
      </c>
      <c r="F13" s="16" t="n">
        <v>1125</v>
      </c>
    </row>
    <row r="14">
      <c r="A14" s="17" t="inlineStr">
        <is>
          <t>Finansielle anlægsaktiver</t>
        </is>
      </c>
      <c r="B14" s="16" t="n">
        <v>8314</v>
      </c>
      <c r="C14" s="16" t="n">
        <v>14937</v>
      </c>
      <c r="D14" s="16" t="n">
        <v>13032</v>
      </c>
      <c r="E14" s="16" t="n">
        <v>14211</v>
      </c>
      <c r="F14" s="16" t="n">
        <v>12664</v>
      </c>
    </row>
    <row r="15">
      <c r="A15" s="17" t="inlineStr">
        <is>
          <t>Anlægsaktiver</t>
        </is>
      </c>
      <c r="B15" s="16" t="n">
        <v>31210</v>
      </c>
      <c r="C15" s="16" t="n">
        <v>39494</v>
      </c>
      <c r="D15" s="16" t="n">
        <v>33969</v>
      </c>
      <c r="E15" s="16" t="n">
        <v>34084</v>
      </c>
      <c r="F15" s="16" t="n">
        <v>30466</v>
      </c>
    </row>
    <row r="16">
      <c r="A16" s="15" t="inlineStr">
        <is>
          <t>Råvarer og hjælpematerialer</t>
        </is>
      </c>
      <c r="B16" s="16" t="n">
        <v>6885</v>
      </c>
      <c r="C16" s="16" t="n">
        <v>11192</v>
      </c>
      <c r="D16" s="16" t="n">
        <v>6493</v>
      </c>
      <c r="E16" s="16" t="n">
        <v>6519</v>
      </c>
      <c r="F16" s="16" t="n">
        <v>5615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18780</v>
      </c>
      <c r="C18" s="16" t="n">
        <v>34132</v>
      </c>
      <c r="D18" s="16" t="n">
        <v>33650</v>
      </c>
      <c r="E18" s="16" t="n">
        <v>44376</v>
      </c>
      <c r="F18" s="16" t="n">
        <v>49659</v>
      </c>
    </row>
    <row r="19">
      <c r="A19" s="17" t="inlineStr">
        <is>
          <t>Varebeholdninger</t>
        </is>
      </c>
      <c r="B19" s="16" t="n">
        <v>26576</v>
      </c>
      <c r="C19" s="16" t="n">
        <v>45324</v>
      </c>
      <c r="D19" s="16" t="n">
        <v>40143</v>
      </c>
      <c r="E19" s="16" t="n">
        <v>52143</v>
      </c>
      <c r="F19" s="16" t="n">
        <v>58735</v>
      </c>
    </row>
    <row r="20">
      <c r="A20" s="15" t="inlineStr">
        <is>
          <t>Tilgodehavender fra salg og tjenesteydelser</t>
        </is>
      </c>
      <c r="B20" s="16" t="n">
        <v>54849</v>
      </c>
      <c r="C20" s="16" t="n">
        <v>33073</v>
      </c>
      <c r="D20" s="16" t="n">
        <v>24877</v>
      </c>
      <c r="E20" s="16" t="n">
        <v>37673</v>
      </c>
      <c r="F20" s="16" t="n">
        <v>29006</v>
      </c>
    </row>
    <row r="21">
      <c r="A21" s="15" t="inlineStr">
        <is>
          <t>Tilgodehavender hos tilknyttede virksomheder</t>
        </is>
      </c>
      <c r="B21" s="16" t="n">
        <v>0</v>
      </c>
      <c r="C21" s="16" t="n">
        <v>231</v>
      </c>
      <c r="D21" s="16" t="n">
        <v>0</v>
      </c>
      <c r="E21" s="16" t="n"/>
      <c r="F21" s="16" t="n"/>
    </row>
    <row r="22">
      <c r="A22" s="15" t="inlineStr">
        <is>
          <t>Andre tilgodehavender</t>
        </is>
      </c>
      <c r="B22" s="16" t="n">
        <v>466</v>
      </c>
      <c r="C22" s="16" t="n">
        <v>1347</v>
      </c>
      <c r="D22" s="16" t="n">
        <v>1904</v>
      </c>
      <c r="E22" s="16" t="n">
        <v>1084</v>
      </c>
      <c r="F22" s="16" t="n">
        <v>1130</v>
      </c>
    </row>
    <row r="23">
      <c r="A23" s="15" t="inlineStr">
        <is>
          <t>Periodeafgrænsningsposter (aktiver)</t>
        </is>
      </c>
      <c r="B23" s="16" t="n">
        <v>554</v>
      </c>
      <c r="C23" s="16" t="n">
        <v>77</v>
      </c>
      <c r="D23" s="16" t="n">
        <v>443</v>
      </c>
      <c r="E23" s="16" t="n">
        <v>944</v>
      </c>
      <c r="F23" s="16" t="n">
        <v>1492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55869</v>
      </c>
      <c r="C27" s="16" t="n">
        <v>34729</v>
      </c>
      <c r="D27" s="16" t="n">
        <v>27224</v>
      </c>
      <c r="E27" s="16" t="n">
        <v>39701</v>
      </c>
      <c r="F27" s="16" t="n">
        <v>31628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5173</v>
      </c>
      <c r="C29" s="16" t="n">
        <v>12510</v>
      </c>
      <c r="D29" s="16" t="n">
        <v>4592</v>
      </c>
      <c r="E29" s="16" t="n">
        <v>14576</v>
      </c>
      <c r="F29" s="16" t="n">
        <v>36143</v>
      </c>
    </row>
    <row r="30">
      <c r="A30" s="17" t="inlineStr">
        <is>
          <t>Omsætningsaktiver</t>
        </is>
      </c>
      <c r="B30" s="16" t="n">
        <v>87618</v>
      </c>
      <c r="C30" s="16" t="n">
        <v>92563</v>
      </c>
      <c r="D30" s="16" t="n">
        <v>71959</v>
      </c>
      <c r="E30" s="16" t="n">
        <v>106420</v>
      </c>
      <c r="F30" s="16" t="n">
        <v>126507</v>
      </c>
    </row>
    <row r="31">
      <c r="A31" s="17" t="inlineStr">
        <is>
          <t>Aktiver</t>
        </is>
      </c>
      <c r="B31" s="16" t="n">
        <v>118828</v>
      </c>
      <c r="C31" s="16" t="n">
        <v>132057</v>
      </c>
      <c r="D31" s="16" t="n">
        <v>105927</v>
      </c>
      <c r="E31" s="16" t="n">
        <v>140505</v>
      </c>
      <c r="F31" s="16" t="n">
        <v>156973</v>
      </c>
    </row>
    <row r="32">
      <c r="A32" s="15" t="inlineStr">
        <is>
          <t>Selskabskapital</t>
        </is>
      </c>
      <c r="B32" s="16" t="n">
        <v>2000</v>
      </c>
      <c r="C32" s="16" t="n">
        <v>2000</v>
      </c>
      <c r="D32" s="16" t="n">
        <v>2000</v>
      </c>
      <c r="E32" s="16" t="n">
        <v>2000</v>
      </c>
      <c r="F32" s="16" t="n">
        <v>2000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>
        <v>2254</v>
      </c>
      <c r="E34" s="16" t="n">
        <v>2055</v>
      </c>
      <c r="F34" s="16" t="n">
        <v>1754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34341</v>
      </c>
      <c r="C37" s="16" t="n">
        <v>39868</v>
      </c>
      <c r="D37" s="16" t="n">
        <v>41843</v>
      </c>
      <c r="E37" s="16" t="n">
        <v>46082</v>
      </c>
      <c r="F37" s="16" t="n">
        <v>51113</v>
      </c>
    </row>
    <row r="38">
      <c r="A38" s="17" t="inlineStr">
        <is>
          <t>Egenkapital i alt</t>
        </is>
      </c>
      <c r="B38" s="16" t="n">
        <v>36341</v>
      </c>
      <c r="C38" s="16" t="n">
        <v>41868</v>
      </c>
      <c r="D38" s="16" t="n">
        <v>46097</v>
      </c>
      <c r="E38" s="16" t="n">
        <v>50137</v>
      </c>
      <c r="F38" s="16" t="n">
        <v>54867</v>
      </c>
    </row>
    <row r="39">
      <c r="A39" s="15" t="inlineStr">
        <is>
          <t>Hensættelse til udskudt skat</t>
        </is>
      </c>
      <c r="B39" s="16" t="n">
        <v>2227</v>
      </c>
      <c r="C39" s="16" t="n">
        <v>2709</v>
      </c>
      <c r="D39" s="16" t="n">
        <v>2545</v>
      </c>
      <c r="E39" s="16" t="n">
        <v>2403</v>
      </c>
      <c r="F39" s="16" t="n">
        <v>2026</v>
      </c>
    </row>
    <row r="40">
      <c r="A40" s="17" t="inlineStr">
        <is>
          <t>Hensatte forpligtelser</t>
        </is>
      </c>
      <c r="B40" s="16" t="n">
        <v>2227</v>
      </c>
      <c r="C40" s="16" t="n">
        <v>2709</v>
      </c>
      <c r="D40" s="16" t="n">
        <v>2545</v>
      </c>
      <c r="E40" s="16" t="n">
        <v>2403</v>
      </c>
      <c r="F40" s="16" t="n">
        <v>2026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1437</v>
      </c>
      <c r="C43" s="16" t="n">
        <v>865</v>
      </c>
      <c r="D43" s="16" t="n">
        <v>0</v>
      </c>
      <c r="E43" s="16" t="n"/>
      <c r="F43" s="16" t="n"/>
    </row>
    <row r="44">
      <c r="A44" s="15" t="inlineStr">
        <is>
          <t>Anden gæld (langfristet)</t>
        </is>
      </c>
      <c r="B44" s="16" t="n">
        <v>1186</v>
      </c>
      <c r="C44" s="16" t="n">
        <v>1186</v>
      </c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2623</v>
      </c>
      <c r="C45" s="16" t="n">
        <v>2051</v>
      </c>
      <c r="D45" s="16" t="n">
        <v>1218</v>
      </c>
      <c r="E45" s="16" t="n">
        <v>1256</v>
      </c>
      <c r="F45" s="16" t="n">
        <v>1303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564</v>
      </c>
      <c r="C47" s="16" t="n">
        <v>572</v>
      </c>
      <c r="D47" s="16" t="n">
        <v>865</v>
      </c>
      <c r="E47" s="16" t="n">
        <v>0</v>
      </c>
      <c r="F47" s="16" t="n"/>
    </row>
    <row r="48">
      <c r="A48" s="15" t="inlineStr">
        <is>
          <t>Kreditinstitutter</t>
        </is>
      </c>
      <c r="B48" s="16" t="n">
        <v>0</v>
      </c>
      <c r="C48" s="16" t="n">
        <v>30</v>
      </c>
      <c r="D48" s="16" t="n">
        <v>0</v>
      </c>
      <c r="E48" s="16" t="n">
        <v>11191</v>
      </c>
      <c r="F48" s="16" t="n">
        <v>3002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26353</v>
      </c>
      <c r="C50" s="16" t="n">
        <v>23792</v>
      </c>
      <c r="D50" s="16" t="n">
        <v>26451</v>
      </c>
      <c r="E50" s="16" t="n">
        <v>25664</v>
      </c>
      <c r="F50" s="16" t="n">
        <v>32196</v>
      </c>
    </row>
    <row r="51">
      <c r="A51" s="15" t="inlineStr">
        <is>
          <t>Gæld til tilknyttede virksomheder</t>
        </is>
      </c>
      <c r="B51" s="16" t="n">
        <v>39046</v>
      </c>
      <c r="C51" s="16" t="n">
        <v>47738</v>
      </c>
      <c r="D51" s="16" t="n">
        <v>19042</v>
      </c>
      <c r="E51" s="16" t="n">
        <v>38532</v>
      </c>
      <c r="F51" s="16" t="n">
        <v>55325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1521</v>
      </c>
      <c r="C53" s="16" t="n">
        <v>1062</v>
      </c>
      <c r="D53" s="16" t="n">
        <v>1391</v>
      </c>
      <c r="E53" s="16" t="n">
        <v>1325</v>
      </c>
      <c r="F53" s="16" t="n">
        <v>1736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10153</v>
      </c>
      <c r="C55" s="16" t="n">
        <v>12233</v>
      </c>
      <c r="D55" s="16" t="n">
        <v>8319</v>
      </c>
      <c r="E55" s="16" t="n">
        <v>9996</v>
      </c>
      <c r="F55" s="16" t="n">
        <v>6519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77637</v>
      </c>
      <c r="C57" s="16" t="n">
        <v>85428</v>
      </c>
      <c r="D57" s="16" t="n">
        <v>56067</v>
      </c>
      <c r="E57" s="16" t="n">
        <v>86709</v>
      </c>
      <c r="F57" s="16" t="n">
        <v>98778</v>
      </c>
    </row>
    <row r="58">
      <c r="A58" s="17" t="inlineStr">
        <is>
          <t>Gældsforpligtelser</t>
        </is>
      </c>
      <c r="B58" s="16" t="n">
        <v>80260</v>
      </c>
      <c r="C58" s="16" t="n">
        <v>87479</v>
      </c>
      <c r="D58" s="16" t="n">
        <v>57285</v>
      </c>
      <c r="E58" s="16" t="n">
        <v>87965</v>
      </c>
      <c r="F58" s="16" t="n">
        <v>100081</v>
      </c>
    </row>
    <row r="59">
      <c r="A59" s="17" t="inlineStr">
        <is>
          <t>Passiver</t>
        </is>
      </c>
      <c r="B59" s="16" t="n">
        <v>118828</v>
      </c>
      <c r="C59" s="16" t="n">
        <v>132057</v>
      </c>
      <c r="D59" s="16" t="n">
        <v>105927</v>
      </c>
      <c r="E59" s="16" t="n">
        <v>140505</v>
      </c>
      <c r="F59" s="16" t="n">
        <v>156973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Spangsberg Chokolade A/S (CVR 26458005) — Regnskabs- og nøgletal (CVR: 26458005)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'res_raw_26458005'!$F$2</f>
        <v/>
      </c>
      <c r="C5" s="24">
        <f>'res_raw_26458005'!$E$2</f>
        <v/>
      </c>
      <c r="D5" s="24">
        <f>'res_raw_26458005'!$D$2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'res_raw_26458005'!$F$3</f>
        <v/>
      </c>
      <c r="C6" s="24">
        <f>'res_raw_26458005'!$E$3</f>
        <v/>
      </c>
      <c r="D6" s="24">
        <f>'res_raw_26458005'!$D$3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-'res_raw_26458005'!$F$4</f>
        <v/>
      </c>
      <c r="C7" s="24">
        <f>-'res_raw_26458005'!$E$4</f>
        <v/>
      </c>
      <c r="D7" s="24">
        <f>-'res_raw_26458005'!$D$4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-'res_raw_26458005'!$F$5</f>
        <v/>
      </c>
      <c r="C8" s="24">
        <f>-'res_raw_26458005'!$E$5</f>
        <v/>
      </c>
      <c r="D8" s="24">
        <f>-'res_raw_26458005'!$D$5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IF(ABS((SUM(B5:B8))-'res_raw_26458005'!$F$6)&lt;=2,SUM(B5:B8),'res_raw_26458005'!$F$6)</f>
        <v/>
      </c>
      <c r="C9" s="27">
        <f>IF(ABS((SUM(C5:C8))-'res_raw_26458005'!$E$6)&lt;=2,SUM(C5:C8),'res_raw_26458005'!$E$6)</f>
        <v/>
      </c>
      <c r="D9" s="27">
        <f>IF(ABS((SUM(D5:D8))-'res_raw_26458005'!$D$6)&lt;=2,SUM(D5:D8),'res_raw_26458005'!$D$6)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-'res_raw_26458005'!$F$7</f>
        <v/>
      </c>
      <c r="C10" s="24">
        <f>-'res_raw_26458005'!$E$7</f>
        <v/>
      </c>
      <c r="D10" s="24">
        <f>-'res_raw_26458005'!$D$7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-'res_raw_26458005'!$F$9</f>
        <v/>
      </c>
      <c r="C11" s="24">
        <f>-'res_raw_26458005'!$E$9</f>
        <v/>
      </c>
      <c r="D11" s="24">
        <f>-'res_raw_26458005'!$D$9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-'res_raw_26458005'!$F$10</f>
        <v/>
      </c>
      <c r="C12" s="24">
        <f>-'res_raw_26458005'!$E$10</f>
        <v/>
      </c>
      <c r="D12" s="24">
        <f>-'res_raw_26458005'!$D$10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IF(ABS((SUM(B9:B12))-'res_raw_26458005'!$F$11)&lt;=2,SUM(B9:B12),'res_raw_26458005'!$F$11)</f>
        <v/>
      </c>
      <c r="C13" s="27">
        <f>IF(ABS((SUM(C9:C12))-'res_raw_26458005'!$E$11)&lt;=2,SUM(C9:C12),'res_raw_26458005'!$E$11)</f>
        <v/>
      </c>
      <c r="D13" s="27">
        <f>IF(ABS((SUM(D9:D12))-'res_raw_26458005'!$D$11)&lt;=2,SUM(D9:D12),'res_raw_26458005'!$D$11)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N('res_raw_26458005'!$F$12)+N('res_raw_26458005'!$F$13)</f>
        <v/>
      </c>
      <c r="C14" s="24">
        <f>N('res_raw_26458005'!$E$12)+N('res_raw_26458005'!$E$13)</f>
        <v/>
      </c>
      <c r="D14" s="24">
        <f>N('res_raw_26458005'!$D$12)+N('res_raw_26458005'!$D$13)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-'res_raw_26458005'!$F$14</f>
        <v/>
      </c>
      <c r="C15" s="24">
        <f>-'res_raw_26458005'!$E$14</f>
        <v/>
      </c>
      <c r="D15" s="24">
        <f>-'res_raw_26458005'!$D$14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IF(ABS((SUM(B13:B15))-'res_raw_26458005'!$F$16)&lt;=2,SUM(B13:B15),'res_raw_26458005'!$F$16)</f>
        <v/>
      </c>
      <c r="C16" s="27">
        <f>IF(ABS((SUM(C13:C15))-'res_raw_26458005'!$E$16)&lt;=2,SUM(C13:C15),'res_raw_26458005'!$E$16)</f>
        <v/>
      </c>
      <c r="D16" s="27">
        <f>IF(ABS((SUM(D13:D15))-'res_raw_26458005'!$D$16)&lt;=2,SUM(D13:D15),'res_raw_26458005'!$D$16)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'balance_raw_26458005'!$F$15</f>
        <v/>
      </c>
      <c r="C19" s="24">
        <f>'balance_raw_26458005'!$E$15</f>
        <v/>
      </c>
      <c r="D19" s="24">
        <f>'balance_raw_26458005'!$D$15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'balance_raw_26458005'!$F$30</f>
        <v/>
      </c>
      <c r="C20" s="24">
        <f>'balance_raw_26458005'!$E$30</f>
        <v/>
      </c>
      <c r="D20" s="24">
        <f>'balance_raw_26458005'!$D$30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'balance_raw_26458005'!$F$38</f>
        <v/>
      </c>
      <c r="C23" s="24">
        <f>'balance_raw_26458005'!$E$38</f>
        <v/>
      </c>
      <c r="D23" s="24">
        <f>'balance_raw_26458005'!$D$38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'balance_raw_26458005'!$F$59-'balance_raw_26458005'!$F$38</f>
        <v/>
      </c>
      <c r="C24" s="24">
        <f>'balance_raw_26458005'!$E$59-'balance_raw_26458005'!$E$38</f>
        <v/>
      </c>
      <c r="D24" s="24">
        <f>'balance_raw_26458005'!$D$59-'balance_raw_26458005'!$D$38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'balance_raw_26458005'!$F$19</f>
        <v/>
      </c>
      <c r="C28" s="24">
        <f>'balance_raw_26458005'!$E$19</f>
        <v/>
      </c>
      <c r="D28" s="24">
        <f>'balance_raw_26458005'!$D$19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'balance_raw_26458005'!$F$20</f>
        <v/>
      </c>
      <c r="C29" s="24">
        <f>'balance_raw_26458005'!$E$20</f>
        <v/>
      </c>
      <c r="D29" s="24">
        <f>'balance_raw_26458005'!$D$20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'balance_raw_26458005'!$F$57</f>
        <v/>
      </c>
      <c r="C30" s="24">
        <f>'balance_raw_26458005'!$E$57</f>
        <v/>
      </c>
      <c r="D30" s="24">
        <f>'balance_raw_26458005'!$D$57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IF('balance_raw_26458005'!$F$31="","—",IF(ABS(B21-'balance_raw_26458005'!$F$31)&lt;=1,"✓ OK","❌ "&amp;TEXT(B21-'balance_raw_26458005'!$F$31,"+#,##0;-#,##0")&amp;" t.kr."))</f>
        <v/>
      </c>
      <c r="C61" s="29">
        <f>IF('balance_raw_26458005'!$E$31="","—",IF(ABS(C21-'balance_raw_26458005'!$E$31)&lt;=1,"✓ OK","❌ "&amp;TEXT(C21-'balance_raw_26458005'!$E$31,"+#,##0;-#,##0")&amp;" t.kr."))</f>
        <v/>
      </c>
      <c r="D61" s="29">
        <f>IF('balance_raw_26458005'!$D$31="","—",IF(ABS(D21-'balance_raw_26458005'!$D$31)&lt;=1,"✓ OK","❌ "&amp;TEXT(D21-'balance_raw_26458005'!$D$31,"+#,##0;-#,##0")&amp;"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IF('balance_raw_26458005'!$F$59="","—",IF(ABS(B25-'balance_raw_26458005'!$F$59)&lt;=1,"✓ OK","❌ "&amp;TEXT(B25-'balance_raw_26458005'!$F$59,"+#,##0;-#,##0")&amp;" t.kr."))</f>
        <v/>
      </c>
      <c r="C62" s="29">
        <f>IF('balance_raw_26458005'!$E$59="","—",IF(ABS(C25-'balance_raw_26458005'!$E$59)&lt;=1,"✓ OK","❌ "&amp;TEXT(C25-'balance_raw_26458005'!$E$59,"+#,##0;-#,##0")&amp;" t.kr."))</f>
        <v/>
      </c>
      <c r="D62" s="29">
        <f>IF('balance_raw_26458005'!$D$59="","—",IF(ABS(D25-'balance_raw_26458005'!$D$59)&lt;=1,"✓ OK","❌ "&amp;TEXT(D25-'balance_raw_26458005'!$D$59,"+#,##0;-#,##0")&amp;"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IF('res_raw_26458005'!$F$6="","—",IF(ABS(B9-'res_raw_26458005'!$F$6)&lt;=1,"✓ OK","❌ "&amp;TEXT(B9-'res_raw_26458005'!$F$6,"+#,##0;-#,##0")&amp;" t.kr."))</f>
        <v/>
      </c>
      <c r="C64" s="29">
        <f>IF('res_raw_26458005'!$E$6="","—",IF(ABS(C9-'res_raw_26458005'!$E$6)&lt;=1,"✓ OK","❌ "&amp;TEXT(C9-'res_raw_26458005'!$E$6,"+#,##0;-#,##0")&amp;" t.kr."))</f>
        <v/>
      </c>
      <c r="D64" s="29">
        <f>IF('res_raw_26458005'!$D$6="","—",IF(ABS(D9-'res_raw_26458005'!$D$6)&lt;=1,"✓ OK","❌ "&amp;TEXT(D9-'res_raw_26458005'!$D$6,"+#,##0;-#,##0")&amp;"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IF('res_raw_26458005'!$F$11="","—",IF(ABS(B13-'res_raw_26458005'!$F$11)&lt;=1,"✓ OK","❌ "&amp;TEXT(B13-'res_raw_26458005'!$F$11,"+#,##0;-#,##0")&amp;" t.kr."))</f>
        <v/>
      </c>
      <c r="C65" s="29">
        <f>IF('res_raw_26458005'!$E$11="","—",IF(ABS(C13-'res_raw_26458005'!$E$11)&lt;=1,"✓ OK","❌ "&amp;TEXT(C13-'res_raw_26458005'!$E$11,"+#,##0;-#,##0")&amp;" t.kr."))</f>
        <v/>
      </c>
      <c r="D65" s="29">
        <f>IF('res_raw_26458005'!$D$11="","—",IF(ABS(D13-'res_raw_26458005'!$D$11)&lt;=1,"✓ OK","❌ "&amp;TEXT(D13-'res_raw_26458005'!$D$11,"+#,##0;-#,##0")&amp;"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IF('res_raw_26458005'!$F$16="","—",IF(ABS(B16-'res_raw_26458005'!$F$16)&lt;=1,"✓ OK","❌ "&amp;TEXT(B16-'res_raw_26458005'!$F$16,"+#,##0;-#,##0")&amp;" t.kr."))</f>
        <v/>
      </c>
      <c r="C66" s="29">
        <f>IF('res_raw_26458005'!$E$16="","—",IF(ABS(C16-'res_raw_26458005'!$E$16)&lt;=1,"✓ OK","❌ "&amp;TEXT(C16-'res_raw_26458005'!$E$16,"+#,##0;-#,##0")&amp;" t.kr."))</f>
        <v/>
      </c>
      <c r="D66" s="29">
        <f>IF('res_raw_26458005'!$D$16="","—",IF(ABS(D16-'res_raw_26458005'!$D$16)&lt;=1,"✓ OK","❌ "&amp;TEXT(D16-'res_raw_26458005'!$D$16,"+#,##0;-#,##0")&amp;"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Spangsberg Chokolade A/S (CVR 26458005)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fsa:IncomeFromOtherLongtermInvestmentsAndReceivables</t>
        </is>
      </c>
      <c r="C3" s="34" t="inlineStr">
        <is>
          <t>fsa:IncomeFromOtherLongtermInvestmentsAndReceivables</t>
        </is>
      </c>
      <c r="D3" s="35" t="n">
        <v>286</v>
      </c>
      <c r="E3" s="35" t="n">
        <v>360</v>
      </c>
      <c r="F3" s="35" t="n">
        <v>608</v>
      </c>
      <c r="G3" s="35" t="n">
        <v>403</v>
      </c>
      <c r="H3" s="35" t="n">
        <v>594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2026-10-02T21:58:18Z</dcterms:created>
  <dcterms:modified xmlns:dcterms="http://purl.org/dc/terms/" xmlns:xsi="http://www.w3.org/2001/XMLSchema-instance" xsi:type="dcterms:W3CDTF">2026-10-02T21:58:19Z</dcterms:modified>
</cp:coreProperties>
</file>