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ørsted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'balance_raw'!$B$5</f>
        <v/>
      </c>
      <c r="C26" s="5">
        <f>'balance_raw'!$C$5</f>
        <v/>
      </c>
      <c r="D26" s="5">
        <f>'balance_raw'!$D$5</f>
        <v/>
      </c>
      <c r="E26" s="5">
        <f>'balance_raw'!$E$5</f>
        <v/>
      </c>
      <c r="F26" s="5">
        <f>'balance_raw'!$F$5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'balance_raw'!$B$8</f>
        <v/>
      </c>
      <c r="C29" s="11">
        <f>'balance_raw'!$C$8</f>
        <v/>
      </c>
      <c r="D29" s="11">
        <f>'balance_raw'!$D$8</f>
        <v/>
      </c>
      <c r="E29" s="11">
        <f>'balance_raw'!$E$8</f>
        <v/>
      </c>
      <c r="F29" s="11">
        <f>'balance_raw'!$F$8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'balance_raw'!$B$12</f>
        <v/>
      </c>
      <c r="C33" s="11">
        <f>'balance_raw'!$C$12</f>
        <v/>
      </c>
      <c r="D33" s="11">
        <f>'balance_raw'!$D$12</f>
        <v/>
      </c>
      <c r="E33" s="11">
        <f>'balance_raw'!$E$12</f>
        <v/>
      </c>
      <c r="F33" s="11">
        <f>'balance_raw'!$F$12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'balance_raw'!$B$13</f>
        <v/>
      </c>
      <c r="C34" s="11">
        <f>'balance_raw'!$C$13</f>
        <v/>
      </c>
      <c r="D34" s="11">
        <f>'balance_raw'!$D$13</f>
        <v/>
      </c>
      <c r="E34" s="11">
        <f>'balance_raw'!$E$13</f>
        <v/>
      </c>
      <c r="F34" s="11">
        <f>'balance_raw'!$F$13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'balance_raw'!$B$19</f>
        <v/>
      </c>
      <c r="C40" s="5">
        <f>'balance_raw'!$C$19</f>
        <v/>
      </c>
      <c r="D40" s="5">
        <f>'balance_raw'!$D$19</f>
        <v/>
      </c>
      <c r="E40" s="5">
        <f>'balance_raw'!$E$19</f>
        <v/>
      </c>
      <c r="F40" s="5">
        <f>'balance_raw'!$F$19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'balance_raw'!$B$21</f>
        <v/>
      </c>
      <c r="C42" s="11">
        <f>'balance_raw'!$C$21</f>
        <v/>
      </c>
      <c r="D42" s="11">
        <f>'balance_raw'!$D$21</f>
        <v/>
      </c>
      <c r="E42" s="11">
        <f>'balance_raw'!$E$21</f>
        <v/>
      </c>
      <c r="F42" s="11">
        <f>'balance_raw'!$F$21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'balance_raw'!$B$25</f>
        <v/>
      </c>
      <c r="C46" s="11">
        <f>'balance_raw'!$C$25</f>
        <v/>
      </c>
      <c r="D46" s="11">
        <f>'balance_raw'!$D$25</f>
        <v/>
      </c>
      <c r="E46" s="11">
        <f>'balance_raw'!$E$25</f>
        <v/>
      </c>
      <c r="F46" s="11">
        <f>'balance_raw'!$F$25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7" t="inlineStr">
        <is>
          <t>Selskabskapital</t>
        </is>
      </c>
      <c r="B49" s="8">
        <f>'balance_raw'!$B$26</f>
        <v/>
      </c>
      <c r="C49" s="8">
        <f>'balance_raw'!$C$26</f>
        <v/>
      </c>
      <c r="D49" s="8">
        <f>'balance_raw'!$D$26</f>
        <v/>
      </c>
      <c r="E49" s="8">
        <f>'balance_raw'!$E$26</f>
        <v/>
      </c>
      <c r="F49" s="8">
        <f>'balance_raw'!$F$26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'balance_raw'!$B$27</f>
        <v/>
      </c>
      <c r="C50" s="5">
        <f>'balance_raw'!$C$27</f>
        <v/>
      </c>
      <c r="D50" s="5">
        <f>'balance_raw'!$D$27</f>
        <v/>
      </c>
      <c r="E50" s="5">
        <f>'balance_raw'!$E$27</f>
        <v/>
      </c>
      <c r="F50" s="5">
        <f>'balance_raw'!$F$27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'balance_raw'!$B$28</f>
        <v/>
      </c>
      <c r="C51" s="8">
        <f>'balance_raw'!$C$28</f>
        <v/>
      </c>
      <c r="D51" s="8">
        <f>'balance_raw'!$D$28</f>
        <v/>
      </c>
      <c r="E51" s="8">
        <f>'balance_raw'!$E$28</f>
        <v/>
      </c>
      <c r="F51" s="8">
        <f>'balance_raw'!$F$28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'balance_raw'!$B$32</f>
        <v/>
      </c>
      <c r="C55" s="11">
        <f>'balance_raw'!$C$32</f>
        <v/>
      </c>
      <c r="D55" s="11">
        <f>'balance_raw'!$D$32</f>
        <v/>
      </c>
      <c r="E55" s="11">
        <f>'balance_raw'!$E$32</f>
        <v/>
      </c>
      <c r="F55" s="11">
        <f>'balance_raw'!$F$32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Hensatte forpligtelser</t>
        </is>
      </c>
      <c r="B57" s="11">
        <f>'balance_raw'!$B$34</f>
        <v/>
      </c>
      <c r="C57" s="11">
        <f>'balance_raw'!$C$34</f>
        <v/>
      </c>
      <c r="D57" s="11">
        <f>'balance_raw'!$D$34</f>
        <v/>
      </c>
      <c r="E57" s="11">
        <f>'balance_raw'!$E$34</f>
        <v/>
      </c>
      <c r="F57" s="11">
        <f>'balance_raw'!$F$34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lån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Anden gæld (langfristet)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Langfristede gældsforpligtelser</t>
        </is>
      </c>
      <c r="B62" s="11">
        <f>'balance_raw'!$B$39</f>
        <v/>
      </c>
      <c r="C62" s="11">
        <f>'balance_raw'!$C$39</f>
        <v/>
      </c>
      <c r="D62" s="11">
        <f>'balance_raw'!$D$39</f>
        <v/>
      </c>
      <c r="E62" s="11">
        <f>'balance_raw'!$E$39</f>
        <v/>
      </c>
      <c r="F62" s="11">
        <f>'balance_raw'!$F$39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'balance_raw'!$B$45</f>
        <v/>
      </c>
      <c r="C68" s="5">
        <f>'balance_raw'!$C$45</f>
        <v/>
      </c>
      <c r="D68" s="5">
        <f>'balance_raw'!$D$45</f>
        <v/>
      </c>
      <c r="E68" s="5">
        <f>'balance_raw'!$E$45</f>
        <v/>
      </c>
      <c r="F68" s="5">
        <f>'balance_raw'!$F$45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'balance_raw'!$B$51</f>
        <v/>
      </c>
      <c r="C74" s="11">
        <f>'balance_raw'!$C$51</f>
        <v/>
      </c>
      <c r="D74" s="11">
        <f>'balance_raw'!$D$51</f>
        <v/>
      </c>
      <c r="E74" s="11">
        <f>'balance_raw'!$E$51</f>
        <v/>
      </c>
      <c r="F74" s="11">
        <f>'balance_raw'!$F$51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'balance_raw'!$B$52</f>
        <v/>
      </c>
      <c r="C75" s="11">
        <f>'balance_raw'!$C$52</f>
        <v/>
      </c>
      <c r="D75" s="11">
        <f>'balance_raw'!$D$52</f>
        <v/>
      </c>
      <c r="E75" s="11">
        <f>'balance_raw'!$E$52</f>
        <v/>
      </c>
      <c r="F75" s="11">
        <f>'balance_raw'!$F$52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'balance_raw'!$B$53</f>
        <v/>
      </c>
      <c r="C76" s="11">
        <f>'balance_raw'!$C$53</f>
        <v/>
      </c>
      <c r="D76" s="11">
        <f>'balance_raw'!$D$53</f>
        <v/>
      </c>
      <c r="E76" s="11">
        <f>'balance_raw'!$E$53</f>
        <v/>
      </c>
      <c r="F76" s="11">
        <f>'balance_raw'!$F$53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Gns. antal medarbejdere</t>
        </is>
      </c>
      <c r="B79" s="8">
        <f>'res_raw'!$B$19</f>
        <v/>
      </c>
      <c r="C79" s="8">
        <f>'res_raw'!$C$19</f>
        <v/>
      </c>
      <c r="D79" s="8">
        <f>'res_raw'!$D$19</f>
        <v/>
      </c>
      <c r="E79" s="8">
        <f>'res_raw'!$E$19</f>
        <v/>
      </c>
      <c r="F79" s="8">
        <f>'res_raw'!$F$19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'res_raw'!$B$20</f>
        <v/>
      </c>
      <c r="C80" s="5">
        <f>'res_raw'!$C$20</f>
        <v/>
      </c>
      <c r="D80" s="5">
        <f>'res_raw'!$D$20</f>
        <v/>
      </c>
      <c r="E80" s="5">
        <f>'res_raw'!$E$20</f>
        <v/>
      </c>
      <c r="F80" s="5">
        <f>'res_raw'!$F$20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Afkastningsgrad, %</t>
        </is>
      </c>
      <c r="B83" s="13">
        <f>IFERROR(($B$13+$B$15+$B$14)/$B$46*100,"")</f>
        <v/>
      </c>
      <c r="C83" s="13">
        <f>IFERROR(($C$13+$C$15+$C$14)/$C$46*100,"")</f>
        <v/>
      </c>
      <c r="D83" s="13">
        <f>IFERROR(($D$13+$D$15+$D$14)/$D$46*100,"")</f>
        <v/>
      </c>
      <c r="E83" s="13">
        <f>IFERROR(($E$13+$E$15+$E$14)/$E$46*100,"")</f>
        <v/>
      </c>
      <c r="F83" s="13">
        <f>IFERROR(($F$13+$F$15+$F$14)/$F$46*100,"")</f>
        <v/>
      </c>
    </row>
    <row r="84" ht="16" customHeight="1">
      <c r="A84" s="4" t="inlineStr">
        <is>
          <t>Overskudsgrad, %</t>
        </is>
      </c>
      <c r="B84" s="14">
        <f>IFERROR(($B$13+$B$15+$B$14)/$B$4*100,"")</f>
        <v/>
      </c>
      <c r="C84" s="14">
        <f>IFERROR(($C$13+$C$15+$C$14)/$C$4*100,"")</f>
        <v/>
      </c>
      <c r="D84" s="14">
        <f>IFERROR(($D$13+$D$15+$D$14)/$D$4*100,"")</f>
        <v/>
      </c>
      <c r="E84" s="14">
        <f>IFERROR(($E$13+$E$15+$E$14)/$E$4*100,"")</f>
        <v/>
      </c>
      <c r="F84" s="14">
        <f>IFERROR(($F$13+$F$15+$F$14)/$F$4*100,"")</f>
        <v/>
      </c>
    </row>
    <row r="85" ht="16" customHeight="1">
      <c r="A85" s="7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IFERROR($B$18/$B$55*100,"")</f>
        <v/>
      </c>
      <c r="C86" s="14">
        <f>IFERROR($C$18/$C$55*100,"")</f>
        <v/>
      </c>
      <c r="D86" s="14">
        <f>IFERROR($D$18/$D$55*100,"")</f>
        <v/>
      </c>
      <c r="E86" s="14">
        <f>IFERROR($E$18/$E$55*100,"")</f>
        <v/>
      </c>
      <c r="F86" s="14">
        <f>IFERROR($F$18/$F$55*100,"")</f>
        <v/>
      </c>
    </row>
    <row r="87" ht="16" customHeight="1">
      <c r="A87" s="7" t="inlineStr">
        <is>
          <t>Gældsrente, %</t>
        </is>
      </c>
      <c r="B87" s="13">
        <f>IFERROR($B$16/($B$76-$B$55)*100,"")</f>
        <v/>
      </c>
      <c r="C87" s="13">
        <f>IFERROR($C$16/($C$76-$C$55)*100,"")</f>
        <v/>
      </c>
      <c r="D87" s="13">
        <f>IFERROR($D$16/($D$76-$D$55)*100,"")</f>
        <v/>
      </c>
      <c r="E87" s="13">
        <f>IFERROR($E$16/($E$76-$E$55)*100,"")</f>
        <v/>
      </c>
      <c r="F87" s="13">
        <f>IFERROR($F$16/($F$76-$F$55)*100,"")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7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7" t="inlineStr">
        <is>
          <t>Kapitalbindingsgrad, %</t>
        </is>
      </c>
      <c r="B93" s="13">
        <f>IFERROR($B$33/($B$55+$B$62)*100,"")</f>
        <v/>
      </c>
      <c r="C93" s="13">
        <f>IFERROR($C$33/($C$55+$C$62)*100,"")</f>
        <v/>
      </c>
      <c r="D93" s="13">
        <f>IFERROR($D$33/($D$55+$D$62)*100,"")</f>
        <v/>
      </c>
      <c r="E93" s="13">
        <f>IFERROR($E$33/($E$55+$E$62)*100,"")</f>
        <v/>
      </c>
      <c r="F93" s="13">
        <f>IFERROR($F$33/($F$55+$F$62)*100,"")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'pengestrom_raw'!$B$2</f>
        <v/>
      </c>
      <c r="C96" s="17">
        <f>'pengestrom_raw'!$C$2</f>
        <v/>
      </c>
      <c r="D96" s="17">
        <f>'pengestrom_raw'!$D$2</f>
        <v/>
      </c>
      <c r="E96" s="17">
        <f>'pengestrom_raw'!$E$2</f>
        <v/>
      </c>
      <c r="F96" s="17">
        <f>'pengestrom_raw'!$F$2</f>
        <v/>
      </c>
    </row>
    <row r="97">
      <c r="A97" s="16" t="inlineStr">
        <is>
          <t>Pengestrømme fra investeringsaktivitet</t>
        </is>
      </c>
      <c r="B97" s="17">
        <f>'pengestrom_raw'!$B$3</f>
        <v/>
      </c>
      <c r="C97" s="17">
        <f>'pengestrom_raw'!$C$3</f>
        <v/>
      </c>
      <c r="D97" s="17">
        <f>'pengestrom_raw'!$D$3</f>
        <v/>
      </c>
      <c r="E97" s="17">
        <f>'pengestrom_raw'!$E$3</f>
        <v/>
      </c>
      <c r="F97" s="17">
        <f>'pengestrom_raw'!$F$3</f>
        <v/>
      </c>
    </row>
    <row r="98">
      <c r="A98" s="16" t="inlineStr">
        <is>
          <t>Pengestrømme fra finansieringsaktivitet</t>
        </is>
      </c>
      <c r="B98" s="17">
        <f>'pengestrom_raw'!$B$4</f>
        <v/>
      </c>
      <c r="C98" s="17">
        <f>'pengestrom_raw'!$C$4</f>
        <v/>
      </c>
      <c r="D98" s="17">
        <f>'pengestrom_raw'!$D$4</f>
        <v/>
      </c>
      <c r="E98" s="17">
        <f>'pengestrom_raw'!$E$4</f>
        <v/>
      </c>
      <c r="F98" s="17">
        <f>'pengestrom_raw'!$F$4</f>
        <v/>
      </c>
    </row>
    <row r="99">
      <c r="A99" s="16" t="inlineStr">
        <is>
          <t>Årets pengestrøm (rapporteret)</t>
        </is>
      </c>
      <c r="B99" s="17">
        <f>'pengestrom_raw'!$B$5</f>
        <v/>
      </c>
      <c r="C99" s="17">
        <f>'pengestrom_raw'!$C$5</f>
        <v/>
      </c>
      <c r="D99" s="17">
        <f>'pengestrom_raw'!$D$5</f>
        <v/>
      </c>
      <c r="E99" s="17">
        <f>'pengestrom_raw'!$E$5</f>
        <v/>
      </c>
      <c r="F99" s="17">
        <f>'pengestrom_raw'!$F$5</f>
        <v/>
      </c>
    </row>
    <row r="100">
      <c r="A100" s="16" t="inlineStr">
        <is>
          <t>Krydstjek: drift + inv. + fin. = årets pengestrøm</t>
        </is>
      </c>
      <c r="B100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0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0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0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0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ørsted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77673000</v>
      </c>
      <c r="C2" s="17" t="n">
        <v>114417000</v>
      </c>
      <c r="D2" s="17" t="n">
        <v>79255000</v>
      </c>
      <c r="E2" s="17" t="n">
        <v>71034000</v>
      </c>
      <c r="F2" s="17" t="n">
        <v>73244000</v>
      </c>
    </row>
    <row r="3">
      <c r="A3" s="16" t="inlineStr">
        <is>
          <t>Andre driftsindtægter</t>
        </is>
      </c>
      <c r="B3" s="17" t="n">
        <v>10185000</v>
      </c>
      <c r="C3" s="17" t="n">
        <v>14119000</v>
      </c>
      <c r="D3" s="17" t="n">
        <v>10329000</v>
      </c>
      <c r="E3" s="17" t="n">
        <v>5298000</v>
      </c>
      <c r="F3" s="17" t="n">
        <v>9312000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5760000</v>
      </c>
      <c r="C5" s="17" t="n">
        <v>7049000</v>
      </c>
      <c r="D5" s="17" t="n">
        <v>7406000</v>
      </c>
      <c r="E5" s="17" t="n">
        <v>8697000</v>
      </c>
      <c r="F5" s="17" t="n">
        <v>9063000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4289000</v>
      </c>
      <c r="C7" s="17" t="n">
        <v>5278000</v>
      </c>
      <c r="D7" s="17" t="n">
        <v>6374000</v>
      </c>
      <c r="E7" s="17" t="n">
        <v>6532000</v>
      </c>
      <c r="F7" s="17" t="n">
        <v>7080000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8101000</v>
      </c>
      <c r="C9" s="17" t="n">
        <v>9754000</v>
      </c>
      <c r="D9" s="17" t="n">
        <v>9795000</v>
      </c>
      <c r="E9" s="17" t="n">
        <v>10225000</v>
      </c>
      <c r="F9" s="17" t="n">
        <v>10195000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16195000</v>
      </c>
      <c r="C11" s="17" t="n">
        <v>19774000</v>
      </c>
      <c r="D11" s="17" t="n">
        <v>-17853000</v>
      </c>
      <c r="E11" s="17" t="n">
        <v>6171000</v>
      </c>
      <c r="F11" s="17" t="n">
        <v>8620000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4380000</v>
      </c>
      <c r="C13" s="17" t="n">
        <v>15514000</v>
      </c>
      <c r="D13" s="17" t="n">
        <v>12379000</v>
      </c>
      <c r="E13" s="17" t="n">
        <v>8590000</v>
      </c>
      <c r="F13" s="17" t="n">
        <v>11797000</v>
      </c>
    </row>
    <row r="14">
      <c r="A14" s="16" t="inlineStr">
        <is>
          <t>Finansielle omkostninger</t>
        </is>
      </c>
      <c r="B14" s="17" t="n">
        <v>6546000</v>
      </c>
      <c r="C14" s="17" t="n">
        <v>18050000</v>
      </c>
      <c r="D14" s="17" t="n">
        <v>13822000</v>
      </c>
      <c r="E14" s="17" t="n">
        <v>12181000</v>
      </c>
      <c r="F14" s="17" t="n">
        <v>14678000</v>
      </c>
    </row>
    <row r="15">
      <c r="A15" s="15" t="inlineStr">
        <is>
          <t>Finansielle poster, netto</t>
        </is>
      </c>
      <c r="B15" s="17" t="n">
        <v>-2166000</v>
      </c>
      <c r="C15" s="17" t="n">
        <v>-2536000</v>
      </c>
      <c r="D15" s="17" t="n">
        <v>-1443000</v>
      </c>
      <c r="E15" s="17" t="n">
        <v>-3591000</v>
      </c>
      <c r="F15" s="17" t="n">
        <v>-2881000</v>
      </c>
    </row>
    <row r="16">
      <c r="A16" s="15" t="inlineStr">
        <is>
          <t>Resultat før skat</t>
        </is>
      </c>
      <c r="B16" s="17" t="n">
        <v>13277000</v>
      </c>
      <c r="C16" s="17" t="n">
        <v>17609000</v>
      </c>
      <c r="D16" s="17" t="n">
        <v>-19026000</v>
      </c>
      <c r="E16" s="17" t="n">
        <v>2606000</v>
      </c>
      <c r="F16" s="17" t="n">
        <v>5988000</v>
      </c>
    </row>
    <row r="17">
      <c r="A17" s="16" t="inlineStr">
        <is>
          <t>Skat af årets resultat</t>
        </is>
      </c>
      <c r="B17" s="17" t="n">
        <v>2390000</v>
      </c>
      <c r="C17" s="17" t="n">
        <v>2613000</v>
      </c>
      <c r="D17" s="17" t="n">
        <v>1156000</v>
      </c>
      <c r="E17" s="17" t="n">
        <v>2590000</v>
      </c>
      <c r="F17" s="17" t="n">
        <v>2823000</v>
      </c>
    </row>
    <row r="18">
      <c r="A18" s="15" t="inlineStr">
        <is>
          <t>Årets resultat</t>
        </is>
      </c>
      <c r="B18" s="17" t="n">
        <v>10887000</v>
      </c>
      <c r="C18" s="17" t="n">
        <v>14996000</v>
      </c>
      <c r="D18" s="17" t="n">
        <v>-20182000</v>
      </c>
      <c r="E18" s="17" t="n">
        <v>16000</v>
      </c>
      <c r="F18" s="17" t="n">
        <v>3165000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ørsted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1543000</v>
      </c>
      <c r="C2" s="17" t="n">
        <v>4029000</v>
      </c>
      <c r="D2" s="17" t="n">
        <v>3426000</v>
      </c>
      <c r="E2" s="17" t="n">
        <v>2611000</v>
      </c>
      <c r="F2" s="17" t="n">
        <v>755000</v>
      </c>
    </row>
    <row r="3">
      <c r="A3" s="16" t="inlineStr">
        <is>
          <t>Grunde og bygninger</t>
        </is>
      </c>
      <c r="B3" s="17" t="n">
        <v>8066000</v>
      </c>
      <c r="C3" s="17" t="n">
        <v>7980000</v>
      </c>
      <c r="D3" s="17" t="n">
        <v>7777000</v>
      </c>
      <c r="E3" s="17" t="n">
        <v>7977000</v>
      </c>
      <c r="F3" s="17" t="n">
        <v>7790000</v>
      </c>
    </row>
    <row r="4">
      <c r="A4" s="16" t="inlineStr">
        <is>
          <t>Produktionsanlæg og maskiner</t>
        </is>
      </c>
      <c r="B4" s="17" t="n"/>
      <c r="C4" s="17" t="n"/>
      <c r="D4" s="17" t="n"/>
      <c r="E4" s="17" t="n"/>
      <c r="F4" s="17" t="n"/>
    </row>
    <row r="5">
      <c r="A5" s="16" t="inlineStr">
        <is>
          <t>Driftsmateriel og inventar</t>
        </is>
      </c>
      <c r="B5" s="17" t="n">
        <v>604000</v>
      </c>
      <c r="C5" s="17" t="n">
        <v>1543000</v>
      </c>
      <c r="D5" s="17" t="n">
        <v>2042000</v>
      </c>
      <c r="E5" s="17" t="n">
        <v>2122000</v>
      </c>
      <c r="F5" s="17" t="n">
        <v>2179000</v>
      </c>
    </row>
    <row r="6">
      <c r="A6" s="16" t="inlineStr">
        <is>
          <t>Indretning af lejede lokaler</t>
        </is>
      </c>
      <c r="B6" s="17" t="n"/>
      <c r="C6" s="17" t="n"/>
      <c r="D6" s="17" t="n"/>
      <c r="E6" s="17" t="n"/>
      <c r="F6" s="17" t="n"/>
    </row>
    <row r="7">
      <c r="A7" s="16" t="inlineStr">
        <is>
          <t>Forudbetaling og anlægsaktiver under opførelse</t>
        </is>
      </c>
      <c r="B7" s="17" t="n">
        <v>57108000</v>
      </c>
      <c r="C7" s="17" t="n">
        <v>48931000</v>
      </c>
      <c r="D7" s="17" t="n">
        <v>48307000</v>
      </c>
      <c r="E7" s="17" t="n">
        <v>53118000</v>
      </c>
      <c r="F7" s="17" t="n">
        <v>77352000</v>
      </c>
    </row>
    <row r="8">
      <c r="A8" s="15" t="inlineStr">
        <is>
          <t>Materielle anlægsaktiver</t>
        </is>
      </c>
      <c r="B8" s="17" t="n">
        <v>161396000</v>
      </c>
      <c r="C8" s="17" t="n">
        <v>177665000</v>
      </c>
      <c r="D8" s="17" t="n">
        <v>179769000</v>
      </c>
      <c r="E8" s="17" t="n">
        <v>201694000</v>
      </c>
      <c r="F8" s="17" t="n">
        <v>210866000</v>
      </c>
    </row>
    <row r="9">
      <c r="A9" s="16" t="inlineStr">
        <is>
          <t>Kapitalandele, dattervirksomheder</t>
        </is>
      </c>
      <c r="B9" s="17" t="n">
        <v>572000</v>
      </c>
      <c r="C9" s="17" t="n">
        <v>772000</v>
      </c>
      <c r="D9" s="17" t="n">
        <v>960000</v>
      </c>
      <c r="E9" s="17" t="n">
        <v>870000</v>
      </c>
      <c r="F9" s="17" t="n">
        <v>434000</v>
      </c>
    </row>
    <row r="10">
      <c r="A10" s="16" t="inlineStr">
        <is>
          <t>Deposita</t>
        </is>
      </c>
      <c r="B10" s="17" t="n">
        <v>2937000</v>
      </c>
      <c r="C10" s="17" t="n">
        <v>1986000</v>
      </c>
      <c r="D10" s="17" t="n">
        <v>1523000</v>
      </c>
      <c r="E10" s="17" t="n">
        <v>1304000</v>
      </c>
      <c r="F10" s="17" t="n">
        <v>1571000</v>
      </c>
    </row>
    <row r="11">
      <c r="A11" s="15" t="inlineStr">
        <is>
          <t>Finansielle anlægsaktiver</t>
        </is>
      </c>
      <c r="B11" s="17" t="n"/>
      <c r="C11" s="17" t="n"/>
      <c r="D11" s="17" t="n"/>
      <c r="E11" s="17" t="n"/>
      <c r="F11" s="17" t="n"/>
    </row>
    <row r="12">
      <c r="A12" s="15" t="inlineStr">
        <is>
          <t>Anlægsaktiver</t>
        </is>
      </c>
      <c r="B12" s="17" t="n">
        <v>182221000</v>
      </c>
      <c r="C12" s="17" t="n">
        <v>201414000</v>
      </c>
      <c r="D12" s="17" t="n">
        <v>197081000</v>
      </c>
      <c r="E12" s="17" t="n">
        <v>219147000</v>
      </c>
      <c r="F12" s="17" t="n">
        <v>230412000</v>
      </c>
    </row>
    <row r="13">
      <c r="A13" s="15" t="inlineStr">
        <is>
          <t>Varebeholdninger</t>
        </is>
      </c>
      <c r="B13" s="17" t="n">
        <v>15998000</v>
      </c>
      <c r="C13" s="17" t="n">
        <v>14103000</v>
      </c>
      <c r="D13" s="17" t="n">
        <v>10539000</v>
      </c>
      <c r="E13" s="17" t="n">
        <v>17448000</v>
      </c>
      <c r="F13" s="17" t="n">
        <v>9938000</v>
      </c>
    </row>
    <row r="14">
      <c r="A14" s="16" t="inlineStr">
        <is>
          <t>Tilgodehavender fra salg og tjenesteydelser</t>
        </is>
      </c>
      <c r="B14" s="17" t="n">
        <v>9565000</v>
      </c>
      <c r="C14" s="17" t="n">
        <v>12701000</v>
      </c>
      <c r="D14" s="17" t="n">
        <v>11107000</v>
      </c>
      <c r="E14" s="17" t="n">
        <v>9045000</v>
      </c>
      <c r="F14" s="17" t="n">
        <v>9848000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>
        <v>14078000</v>
      </c>
      <c r="C16" s="17" t="n">
        <v>23433000</v>
      </c>
      <c r="D16" s="17" t="n">
        <v>10473000</v>
      </c>
      <c r="E16" s="17" t="n">
        <v>4617000</v>
      </c>
      <c r="F16" s="17" t="n">
        <v>3539000</v>
      </c>
    </row>
    <row r="17">
      <c r="A17" s="16" t="inlineStr">
        <is>
          <t>Periodeafgrænsningsposter (aktiver)</t>
        </is>
      </c>
      <c r="B17" s="17" t="n">
        <v>2000</v>
      </c>
      <c r="C17" s="17" t="n">
        <v>408000</v>
      </c>
      <c r="D17" s="17" t="n">
        <v>802000</v>
      </c>
      <c r="E17" s="17" t="n">
        <v>324000</v>
      </c>
      <c r="F17" s="17" t="n">
        <v>0</v>
      </c>
    </row>
    <row r="18">
      <c r="A18" s="16" t="inlineStr">
        <is>
          <t>Udskudt skatteaktiv</t>
        </is>
      </c>
      <c r="B18" s="17" t="n">
        <v>13281000</v>
      </c>
      <c r="C18" s="17" t="n">
        <v>13719000</v>
      </c>
      <c r="D18" s="17" t="n">
        <v>8192000</v>
      </c>
      <c r="E18" s="17" t="n">
        <v>9250000</v>
      </c>
      <c r="F18" s="17" t="n">
        <v>9547000</v>
      </c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>
        <v>1200000</v>
      </c>
      <c r="C20" s="17" t="n">
        <v>419000</v>
      </c>
      <c r="D20" s="17" t="n">
        <v>483000</v>
      </c>
      <c r="E20" s="17" t="n">
        <v>570000</v>
      </c>
      <c r="F20" s="17" t="n">
        <v>768000</v>
      </c>
    </row>
    <row r="21">
      <c r="A21" s="15" t="inlineStr">
        <is>
          <t>Tilgodehavender</t>
        </is>
      </c>
      <c r="B21" s="17" t="n">
        <v>14815000</v>
      </c>
      <c r="C21" s="17" t="n">
        <v>20289000</v>
      </c>
      <c r="D21" s="17" t="n">
        <v>10530000</v>
      </c>
      <c r="E21" s="17" t="n">
        <v>9936000</v>
      </c>
      <c r="F21" s="17" t="n">
        <v>10937000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18557000</v>
      </c>
      <c r="C23" s="17" t="n">
        <v>32353000</v>
      </c>
      <c r="D23" s="17" t="n">
        <v>20289000</v>
      </c>
      <c r="E23" s="17" t="n">
        <v>46250000</v>
      </c>
      <c r="F23" s="17" t="n">
        <v>53448000</v>
      </c>
    </row>
    <row r="24">
      <c r="A24" s="15" t="inlineStr">
        <is>
          <t>Omsætningsaktiver</t>
        </is>
      </c>
      <c r="B24" s="17" t="n">
        <v>86829000</v>
      </c>
      <c r="C24" s="17" t="n">
        <v>112728000</v>
      </c>
      <c r="D24" s="17" t="n">
        <v>84055000</v>
      </c>
      <c r="E24" s="17" t="n">
        <v>79639000</v>
      </c>
      <c r="F24" s="17" t="n">
        <v>126901000</v>
      </c>
    </row>
    <row r="25">
      <c r="A25" s="15" t="inlineStr">
        <is>
          <t>Aktiver</t>
        </is>
      </c>
      <c r="B25" s="17" t="n">
        <v>270385000</v>
      </c>
      <c r="C25" s="17" t="n">
        <v>314142000</v>
      </c>
      <c r="D25" s="17" t="n">
        <v>281136000</v>
      </c>
      <c r="E25" s="17" t="n">
        <v>298786000</v>
      </c>
      <c r="F25" s="17" t="n">
        <v>367922000</v>
      </c>
    </row>
    <row r="26">
      <c r="A26" s="16" t="inlineStr">
        <is>
          <t>Selskabskapital</t>
        </is>
      </c>
      <c r="B26" s="17" t="n">
        <v>4204000</v>
      </c>
      <c r="C26" s="17" t="n">
        <v>4204000</v>
      </c>
      <c r="D26" s="17" t="n">
        <v>4204000</v>
      </c>
      <c r="E26" s="17" t="n">
        <v>4204000</v>
      </c>
      <c r="F26" s="17" t="n">
        <v>13212000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>
        <v>-24778000</v>
      </c>
      <c r="C30" s="17" t="n">
        <v>-26467000</v>
      </c>
      <c r="D30" s="17" t="n">
        <v>-10251000</v>
      </c>
      <c r="E30" s="17" t="n">
        <v>-5164000</v>
      </c>
      <c r="F30" s="17" t="n">
        <v>-9164000</v>
      </c>
    </row>
    <row r="31">
      <c r="A31" s="16" t="inlineStr">
        <is>
          <t>Overført resultat</t>
        </is>
      </c>
      <c r="B31" s="17" t="n">
        <v>79391000</v>
      </c>
      <c r="C31" s="17" t="n">
        <v>88331000</v>
      </c>
      <c r="D31" s="17" t="n">
        <v>62829000</v>
      </c>
      <c r="E31" s="17" t="n">
        <v>63098000</v>
      </c>
      <c r="F31" s="17" t="n">
        <v>115670000</v>
      </c>
    </row>
    <row r="32">
      <c r="A32" s="15" t="inlineStr">
        <is>
          <t>Egenkapital i alt</t>
        </is>
      </c>
      <c r="B32" s="17" t="n">
        <v>67153000</v>
      </c>
      <c r="C32" s="17" t="n">
        <v>75739000</v>
      </c>
      <c r="D32" s="17" t="n">
        <v>58688000</v>
      </c>
      <c r="E32" s="17" t="n">
        <v>72529000</v>
      </c>
      <c r="F32" s="17" t="n">
        <v>127986000</v>
      </c>
    </row>
    <row r="33">
      <c r="A33" s="16" t="inlineStr">
        <is>
          <t>Hensættelse til udskudt skat</t>
        </is>
      </c>
      <c r="B33" s="17" t="n">
        <v>5616000</v>
      </c>
      <c r="C33" s="17" t="n">
        <v>7414000</v>
      </c>
      <c r="D33" s="17" t="n">
        <v>3439000</v>
      </c>
      <c r="E33" s="17" t="n">
        <v>2433000</v>
      </c>
      <c r="F33" s="17" t="n">
        <v>1969000</v>
      </c>
    </row>
    <row r="34">
      <c r="A34" s="15" t="inlineStr">
        <is>
          <t>Hensatte forpligtelser</t>
        </is>
      </c>
      <c r="B34" s="17" t="n">
        <v>15124000</v>
      </c>
      <c r="C34" s="17" t="n">
        <v>19121000</v>
      </c>
      <c r="D34" s="17" t="n">
        <v>16908000</v>
      </c>
      <c r="E34" s="17" t="n">
        <v>17735000</v>
      </c>
      <c r="F34" s="17" t="n">
        <v>18252000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(langfristet)</t>
        </is>
      </c>
      <c r="B37" s="17" t="n">
        <v>6812000</v>
      </c>
      <c r="C37" s="17" t="n">
        <v>7697000</v>
      </c>
      <c r="D37" s="17" t="n">
        <v>7618000</v>
      </c>
      <c r="E37" s="17" t="n">
        <v>8076000</v>
      </c>
      <c r="F37" s="17" t="n">
        <v>8120000</v>
      </c>
    </row>
    <row r="38">
      <c r="A38" s="16" t="inlineStr">
        <is>
          <t>Anden gæld (langfristet)</t>
        </is>
      </c>
      <c r="B38" s="17" t="n">
        <v>22146000</v>
      </c>
      <c r="C38" s="17" t="n">
        <v>31484000</v>
      </c>
      <c r="D38" s="17" t="n">
        <v>20036000</v>
      </c>
      <c r="E38" s="17" t="n">
        <v>14707000</v>
      </c>
      <c r="F38" s="17" t="n">
        <v>11264000</v>
      </c>
    </row>
    <row r="39">
      <c r="A39" s="15" t="inlineStr">
        <is>
          <t>Langfristede gældsforpligtelser</t>
        </is>
      </c>
      <c r="B39" s="17" t="n">
        <v>31502000</v>
      </c>
      <c r="C39" s="17" t="n">
        <v>60451000</v>
      </c>
      <c r="D39" s="17" t="n">
        <v>79236000</v>
      </c>
      <c r="E39" s="17" t="n">
        <v>83607000</v>
      </c>
      <c r="F39" s="17" t="n">
        <v>87204000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>
        <v>19493000</v>
      </c>
      <c r="C42" s="17" t="n">
        <v>2830000</v>
      </c>
      <c r="D42" s="17" t="n">
        <v>384000</v>
      </c>
      <c r="E42" s="17" t="n">
        <v>4101000</v>
      </c>
      <c r="F42" s="17" t="n">
        <v>11658000</v>
      </c>
    </row>
    <row r="43">
      <c r="A43" s="16" t="inlineStr">
        <is>
          <t>Leasingforpligtelser (kortfristet)</t>
        </is>
      </c>
      <c r="B43" s="17" t="n">
        <v>720000</v>
      </c>
      <c r="C43" s="17" t="n">
        <v>569000</v>
      </c>
      <c r="D43" s="17" t="n">
        <v>808000</v>
      </c>
      <c r="E43" s="17" t="n">
        <v>834000</v>
      </c>
      <c r="F43" s="17" t="n">
        <v>875000</v>
      </c>
    </row>
    <row r="44">
      <c r="A44" s="16" t="inlineStr">
        <is>
          <t>Leverandører af varer og tjenesteydelser</t>
        </is>
      </c>
      <c r="B44" s="17" t="n">
        <v>20231000</v>
      </c>
      <c r="C44" s="17" t="n">
        <v>20641000</v>
      </c>
      <c r="D44" s="17" t="n">
        <v>14915000</v>
      </c>
      <c r="E44" s="17" t="n">
        <v>20827000</v>
      </c>
      <c r="F44" s="17" t="n">
        <v>19764000</v>
      </c>
    </row>
    <row r="45">
      <c r="A45" s="16" t="inlineStr">
        <is>
          <t>Gæld til tilknyttede virksomheder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37093000</v>
      </c>
      <c r="C49" s="17" t="n">
        <v>40956000</v>
      </c>
      <c r="D49" s="17" t="n">
        <v>14674000</v>
      </c>
      <c r="E49" s="17" t="n">
        <v>7106000</v>
      </c>
      <c r="F49" s="17" t="n">
        <v>5503000</v>
      </c>
    </row>
    <row r="50">
      <c r="A50" s="16" t="inlineStr">
        <is>
          <t>Periodeafgrænsningsposter (passiver)</t>
        </is>
      </c>
      <c r="B50" s="17" t="n">
        <v>2440000</v>
      </c>
      <c r="C50" s="17" t="n">
        <v>2269000</v>
      </c>
      <c r="D50" s="17" t="n">
        <v>2785000</v>
      </c>
      <c r="E50" s="17" t="n">
        <v>2578000</v>
      </c>
      <c r="F50" s="17" t="n">
        <v>13847000</v>
      </c>
    </row>
    <row r="51">
      <c r="A51" s="15" t="inlineStr">
        <is>
          <t>Kortfristede gældsforpligtelser</t>
        </is>
      </c>
      <c r="B51" s="17" t="n">
        <v>86968000</v>
      </c>
      <c r="C51" s="17" t="n">
        <v>74868000</v>
      </c>
      <c r="D51" s="17" t="n">
        <v>59201000</v>
      </c>
      <c r="E51" s="17" t="n">
        <v>53752000</v>
      </c>
      <c r="F51" s="17" t="n">
        <v>65277000</v>
      </c>
    </row>
    <row r="52">
      <c r="A52" s="15" t="inlineStr">
        <is>
          <t>Gældsforpligtelser</t>
        </is>
      </c>
      <c r="B52" s="17" t="n">
        <v>184756000</v>
      </c>
      <c r="C52" s="17" t="n">
        <v>218610000</v>
      </c>
      <c r="D52" s="17" t="n">
        <v>203345000</v>
      </c>
      <c r="E52" s="17" t="n">
        <v>205302000</v>
      </c>
      <c r="F52" s="17" t="n">
        <v>217110000</v>
      </c>
    </row>
    <row r="53">
      <c r="A53" s="15" t="inlineStr">
        <is>
          <t>Passiver</t>
        </is>
      </c>
      <c r="B53" s="17" t="n">
        <v>270385000</v>
      </c>
      <c r="C53" s="17" t="n">
        <v>314142000</v>
      </c>
      <c r="D53" s="17" t="n">
        <v>281136000</v>
      </c>
      <c r="E53" s="17" t="n">
        <v>298786000</v>
      </c>
      <c r="F53" s="17" t="n">
        <v>367922000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ørsted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12148000</v>
      </c>
      <c r="C2" s="17" t="n">
        <v>11924000</v>
      </c>
      <c r="D2" s="17" t="n">
        <v>28532000</v>
      </c>
      <c r="E2" s="17" t="n">
        <v>18356000</v>
      </c>
      <c r="F2" s="17" t="n">
        <v>23741000</v>
      </c>
    </row>
    <row r="3">
      <c r="A3" s="16" t="inlineStr">
        <is>
          <t>Pengestrømme fra investeringsaktivitet</t>
        </is>
      </c>
      <c r="B3" s="17" t="n">
        <v>-12591000</v>
      </c>
      <c r="C3" s="17" t="n">
        <v>-17912000</v>
      </c>
      <c r="D3" s="17" t="n">
        <v>-34732000</v>
      </c>
      <c r="E3" s="17" t="n">
        <v>-21759000</v>
      </c>
      <c r="F3" s="17" t="n">
        <v>-66471000</v>
      </c>
    </row>
    <row r="4">
      <c r="A4" s="16" t="inlineStr">
        <is>
          <t>Pengestrømme fra finansieringsaktivitet</t>
        </is>
      </c>
      <c r="B4" s="17" t="n">
        <v>3392000</v>
      </c>
      <c r="C4" s="17" t="n">
        <v>13785000</v>
      </c>
      <c r="D4" s="17" t="n">
        <v>265000</v>
      </c>
      <c r="E4" s="17" t="n">
        <v>15843000</v>
      </c>
      <c r="F4" s="17" t="n">
        <v>73809000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ørsted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IF(ABS((SUM(B5:B8))-'res_raw'!$F$6)&lt;=2,SUM(B5:B8),'res_raw'!$F$6)</f>
        <v/>
      </c>
      <c r="C9" s="27">
        <f>IF(ABS((SUM(C5:C8))-'res_raw'!$E$6)&lt;=2,SUM(C5:C8),'res_raw'!$E$6)</f>
        <v/>
      </c>
      <c r="D9" s="27">
        <f>IF(ABS((SUM(D5:D8))-'res_raw'!$D$6)&lt;=2,SUM(D5:D8),'res_raw'!$D$6)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IF(ABS((SUM(B9:B12))-'res_raw'!$F$11)&lt;=2,SUM(B9:B12),'res_raw'!$F$11)</f>
        <v/>
      </c>
      <c r="C13" s="27">
        <f>IF(ABS((SUM(C9:C12))-'res_raw'!$E$11)&lt;=2,SUM(C9:C12),'res_raw'!$E$11)</f>
        <v/>
      </c>
      <c r="D13" s="27">
        <f>IF(ABS((SUM(D9:D12))-'res_raw'!$D$11)&lt;=2,SUM(D9:D12),'res_raw'!$D$11)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IF(ABS((SUM(B13:B15))-'res_raw'!$F$16)&lt;=2,SUM(B13:B15),'res_raw'!$F$16)</f>
        <v/>
      </c>
      <c r="C16" s="27">
        <f>IF(ABS((SUM(C13:C15))-'res_raw'!$E$16)&lt;=2,SUM(C13:C15),'res_raw'!$E$16)</f>
        <v/>
      </c>
      <c r="D16" s="27">
        <f>IF(ABS((SUM(D13:D15))-'res_raw'!$D$16)&lt;=2,SUM(D13:D15),'res_raw'!$D$16)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'balance_raw'!$F$12</f>
        <v/>
      </c>
      <c r="C19" s="24">
        <f>'balance_raw'!$E$12</f>
        <v/>
      </c>
      <c r="D19" s="24">
        <f>'balance_raw'!$D$12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'balance_raw'!$F$24</f>
        <v/>
      </c>
      <c r="C20" s="24">
        <f>'balance_raw'!$E$24</f>
        <v/>
      </c>
      <c r="D20" s="24">
        <f>'balance_raw'!$D$24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'balance_raw'!$F$32</f>
        <v/>
      </c>
      <c r="C23" s="24">
        <f>'balance_raw'!$E$32</f>
        <v/>
      </c>
      <c r="D23" s="24">
        <f>'balance_raw'!$D$32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'balance_raw'!$F$53-'balance_raw'!$F$32</f>
        <v/>
      </c>
      <c r="C24" s="24">
        <f>'balance_raw'!$E$53-'balance_raw'!$E$32</f>
        <v/>
      </c>
      <c r="D24" s="24">
        <f>'balance_raw'!$D$53-'balance_raw'!$D$32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'balance_raw'!$F$13</f>
        <v/>
      </c>
      <c r="C28" s="24">
        <f>'balance_raw'!$E$13</f>
        <v/>
      </c>
      <c r="D28" s="24">
        <f>'balance_raw'!$D$13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'balance_raw'!$F$14</f>
        <v/>
      </c>
      <c r="C29" s="24">
        <f>'balance_raw'!$E$14</f>
        <v/>
      </c>
      <c r="D29" s="24">
        <f>'balance_raw'!$D$14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'balance_raw'!$F$51</f>
        <v/>
      </c>
      <c r="C30" s="24">
        <f>'balance_raw'!$E$51</f>
        <v/>
      </c>
      <c r="D30" s="24">
        <f>'balance_raw'!$D$51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IF('balance_raw'!$F$25="","—",IF(ABS(B21-'balance_raw'!$F$25)&lt;=1,"✓ OK","❌ "&amp;TEXT(B21-'balance_raw'!$F$25,"+#,##0;-#,##0")&amp;" t.kr."))</f>
        <v/>
      </c>
      <c r="C61" s="29">
        <f>IF('balance_raw'!$E$25="","—",IF(ABS(C21-'balance_raw'!$E$25)&lt;=1,"✓ OK","❌ "&amp;TEXT(C21-'balance_raw'!$E$25,"+#,##0;-#,##0")&amp;" t.kr."))</f>
        <v/>
      </c>
      <c r="D61" s="29">
        <f>IF('balance_raw'!$D$25="","—",IF(ABS(D21-'balance_raw'!$D$25)&lt;=1,"✓ OK","❌ "&amp;TEXT(D21-'balance_raw'!$D$25,"+#,##0;-#,##0")&amp;"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IF('balance_raw'!$F$53="","—",IF(ABS(B25-'balance_raw'!$F$53)&lt;=1,"✓ OK","❌ "&amp;TEXT(B25-'balance_raw'!$F$53,"+#,##0;-#,##0")&amp;" t.kr."))</f>
        <v/>
      </c>
      <c r="C62" s="29">
        <f>IF('balance_raw'!$E$53="","—",IF(ABS(C25-'balance_raw'!$E$53)&lt;=1,"✓ OK","❌ "&amp;TEXT(C25-'balance_raw'!$E$53,"+#,##0;-#,##0")&amp;" t.kr."))</f>
        <v/>
      </c>
      <c r="D62" s="29">
        <f>IF('balance_raw'!$D$53="","—",IF(ABS(D25-'balance_raw'!$D$53)&lt;=1,"✓ OK","❌ "&amp;TEXT(D25-'balance_raw'!$D$53,"+#,##0;-#,##0")&amp;"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ørsted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ifrs-full:AdjustmentsForDecreaseIncreaseInTradeAccountReceivable</t>
        </is>
      </c>
      <c r="C3" s="34" t="inlineStr">
        <is>
          <t>ifrs-full:AdjustmentsForDecreaseIncreaseInTradeAccountReceivable</t>
        </is>
      </c>
      <c r="D3" s="35" t="n">
        <v>-2299000</v>
      </c>
      <c r="E3" s="35" t="n">
        <v>-2875000</v>
      </c>
      <c r="F3" s="35" t="n">
        <v>1522000</v>
      </c>
      <c r="G3" s="35" t="n">
        <v>2142000</v>
      </c>
      <c r="H3" s="35" t="n">
        <v>-969000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ifrs-full:AdjustmentsForIncreaseDecreaseInTradeAccountPayable</t>
        </is>
      </c>
      <c r="C4" s="37" t="inlineStr">
        <is>
          <t>ifrs-full:AdjustmentsForIncreaseDecreaseInTradeAccountPayable</t>
        </is>
      </c>
      <c r="D4" s="38" t="n">
        <v>5140000</v>
      </c>
      <c r="E4" s="38" t="n">
        <v>3886000</v>
      </c>
      <c r="F4" s="38" t="n">
        <v>-5309000</v>
      </c>
      <c r="G4" s="38" t="n">
        <v>2821000</v>
      </c>
      <c r="H4" s="38" t="n">
        <v>-1160000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ifrs-full:CashFlowsFromUsedInDecreaseIncreaseInRestrictedCashAndCashEquivalents</t>
        </is>
      </c>
      <c r="C5" s="34" t="inlineStr">
        <is>
          <t>ifrs-full:CashFlowsFromUsedInDecreaseIncreaseInRestrictedCashAndCashEquivalents</t>
        </is>
      </c>
      <c r="D5" s="35" t="n"/>
      <c r="E5" s="35" t="n">
        <v>-1113000</v>
      </c>
      <c r="F5" s="35" t="n">
        <v>1448000</v>
      </c>
      <c r="G5" s="35" t="n">
        <v>163000</v>
      </c>
      <c r="H5" s="35" t="n">
        <v>-82000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ifrs-full:CurrentFinancialAssetsAtFairValueThroughProfitOrLossClassifiedAsHeldForTrading</t>
        </is>
      </c>
      <c r="C6" s="37" t="inlineStr">
        <is>
          <t>ifrs-full:CurrentFinancialAssetsAtFairValueThroughProfitOrLossClassifiedAsHeldForTrading</t>
        </is>
      </c>
      <c r="D6" s="38" t="n">
        <v>21228000</v>
      </c>
      <c r="E6" s="38" t="n">
        <v>25197000</v>
      </c>
      <c r="F6" s="38" t="n">
        <v>29902000</v>
      </c>
      <c r="G6" s="38" t="n">
        <v>14532000</v>
      </c>
      <c r="H6" s="38" t="n">
        <v>38317000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ifrs-full:GainsLossesOnDisposalsOfInvestments</t>
        </is>
      </c>
      <c r="C7" s="34" t="inlineStr">
        <is>
          <t>ifrs-full:GainsLossesOnDisposalsOfInvestments</t>
        </is>
      </c>
      <c r="D7" s="35" t="n">
        <v>-742000</v>
      </c>
      <c r="E7" s="35" t="n">
        <v>331000</v>
      </c>
      <c r="F7" s="35" t="n">
        <v>234000</v>
      </c>
      <c r="G7" s="35" t="n">
        <v>-11000</v>
      </c>
      <c r="H7" s="35" t="n">
        <v>213000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ifrs-full:GainsLossesOnHedgesOfNetInvestmentsInForeignOperationsBeforeTax</t>
        </is>
      </c>
      <c r="C8" s="37" t="inlineStr">
        <is>
          <t>ifrs-full:GainsLossesOnHedgesOfNetInvestmentsInForeignOperationsBeforeTax</t>
        </is>
      </c>
      <c r="D8" s="38" t="n">
        <v>-3359000</v>
      </c>
      <c r="E8" s="38" t="n">
        <v>738000</v>
      </c>
      <c r="F8" s="38" t="n">
        <v>-328000</v>
      </c>
      <c r="G8" s="38" t="n">
        <v>-3698000</v>
      </c>
      <c r="H8" s="38" t="n">
        <v>5070000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ifrs-full:ImpairmentLossReversalOfImpairmentLossRecognisedInProfitOrLoss</t>
        </is>
      </c>
      <c r="C9" s="34" t="inlineStr">
        <is>
          <t>ifrs-full:ImpairmentLossReversalOfImpairmentLossRecognisedInProfitOrLoss</t>
        </is>
      </c>
      <c r="D9" s="35" t="n"/>
      <c r="E9" s="35" t="n">
        <v>2529000</v>
      </c>
      <c r="F9" s="35" t="n">
        <v>26775000</v>
      </c>
      <c r="G9" s="35" t="n">
        <v>15563000</v>
      </c>
      <c r="H9" s="35" t="n">
        <v>3633000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ifrs-full:NoncurrentContractLiabilities</t>
        </is>
      </c>
      <c r="C10" s="37" t="inlineStr">
        <is>
          <t>ifrs-full:NoncurrentContractLiabilities</t>
        </is>
      </c>
      <c r="D10" s="38" t="n">
        <v>3230000</v>
      </c>
      <c r="E10" s="38" t="n">
        <v>3085000</v>
      </c>
      <c r="F10" s="38" t="n">
        <v>3297000</v>
      </c>
      <c r="G10" s="38" t="n">
        <v>8834000</v>
      </c>
      <c r="H10" s="38" t="n">
        <v>8257000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ifrs-full:NoncurrentReceivablesDueFromRelatedParties</t>
        </is>
      </c>
      <c r="C11" s="34" t="inlineStr">
        <is>
          <t>ifrs-full:NoncurrentReceivablesDueFromRelatedParties</t>
        </is>
      </c>
      <c r="D11" s="35" t="n"/>
      <c r="E11" s="35" t="n">
        <v>0</v>
      </c>
      <c r="F11" s="35" t="n">
        <v>77000</v>
      </c>
      <c r="G11" s="35" t="n">
        <v>200000</v>
      </c>
      <c r="H11" s="35" t="n">
        <v>179000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ifrs-full:ProceedsFromSalesOrMaturityOfFinancialInstrumentsClassifiedAsInvestingActivities</t>
        </is>
      </c>
      <c r="C12" s="37" t="inlineStr">
        <is>
          <t>ifrs-full:ProceedsFromSalesOrMaturityOfFinancialInstrumentsClassifiedAsInvestingActivities</t>
        </is>
      </c>
      <c r="D12" s="38" t="n">
        <v>11656000</v>
      </c>
      <c r="E12" s="38" t="n">
        <v>3780000</v>
      </c>
      <c r="F12" s="38" t="n">
        <v>13935000</v>
      </c>
      <c r="G12" s="38" t="n">
        <v>27318000</v>
      </c>
      <c r="H12" s="38" t="n">
        <v>20419000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ifrs-full:ReclassificationAdjustmentsOnHedgesOfNetInvestmentsInForeignOperationsBeforeTax</t>
        </is>
      </c>
      <c r="C13" s="34" t="inlineStr">
        <is>
          <t>ifrs-full:ReclassificationAdjustmentsOnHedgesOfNetInvestmentsInForeignOperationsBeforeTax</t>
        </is>
      </c>
      <c r="D13" s="35" t="n">
        <v>145000</v>
      </c>
      <c r="E13" s="35" t="n">
        <v>-676000</v>
      </c>
      <c r="F13" s="35" t="n">
        <v>295000</v>
      </c>
      <c r="G13" s="35" t="n">
        <v>-12000</v>
      </c>
      <c r="H13" s="35" t="n">
        <v>-100000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ifrs-full:TradeAndOtherCurrentReceivablesDueFromRelatedParties</t>
        </is>
      </c>
      <c r="C14" s="37" t="inlineStr">
        <is>
          <t>ifrs-full:TradeAndOtherCurrentReceivablesDueFromRelatedParties</t>
        </is>
      </c>
      <c r="D14" s="38" t="n"/>
      <c r="E14" s="38" t="n">
        <v>0</v>
      </c>
      <c r="F14" s="38" t="n">
        <v>74000</v>
      </c>
      <c r="G14" s="38" t="n">
        <v>41000</v>
      </c>
      <c r="H14" s="38" t="n">
        <v>106000</v>
      </c>
      <c r="I1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2026-10-01T22:20:13Z</dcterms:created>
  <dcterms:modified xmlns:dcterms="http://purl.org/dc/terms/" xmlns:xsi="http://www.w3.org/2001/XMLSchema-instance" xsi:type="dcterms:W3CDTF">2026-10-01T22:20:15Z</dcterms:modified>
</cp:coreProperties>
</file>