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652912" sheetId="1" state="visible" r:id="rId1"/>
    <sheet xmlns:r="http://schemas.openxmlformats.org/officeDocument/2006/relationships" name="res_raw_66652912" sheetId="2" state="visible" r:id="rId2"/>
    <sheet xmlns:r="http://schemas.openxmlformats.org/officeDocument/2006/relationships" name="balance_raw_66652912" sheetId="3" state="visible" r:id="rId3"/>
    <sheet xmlns:r="http://schemas.openxmlformats.org/officeDocument/2006/relationships" name="pengestrom_raw_666529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Montana Furniture A/S (CVR 66652912)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'res_raw_66652912'!$B$2</f>
        <v/>
      </c>
      <c r="C4" s="5">
        <f>'res_raw_66652912'!$C$2</f>
        <v/>
      </c>
      <c r="D4" s="5">
        <f>'res_raw_66652912'!$D$2</f>
        <v/>
      </c>
      <c r="E4" s="5">
        <f>'res_raw_66652912'!$E$2</f>
        <v/>
      </c>
      <c r="F4" s="5">
        <f>'res_raw_66652912'!$F$2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'res_raw_66652912'!$B$3</f>
        <v/>
      </c>
      <c r="C5" s="8">
        <f>'res_raw_66652912'!$C$3</f>
        <v/>
      </c>
      <c r="D5" s="8">
        <f>'res_raw_66652912'!$D$3</f>
        <v/>
      </c>
      <c r="E5" s="8">
        <f>'res_raw_66652912'!$E$3</f>
        <v/>
      </c>
      <c r="F5" s="8">
        <f>'res_raw_66652912'!$F$3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'res_raw_66652912'!$B$4</f>
        <v/>
      </c>
      <c r="C6" s="5">
        <f>'res_raw_66652912'!$C$4</f>
        <v/>
      </c>
      <c r="D6" s="5">
        <f>'res_raw_66652912'!$D$4</f>
        <v/>
      </c>
      <c r="E6" s="5">
        <f>'res_raw_66652912'!$E$4</f>
        <v/>
      </c>
      <c r="F6" s="5">
        <f>'res_raw_66652912'!$F$4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'res_raw_66652912'!$B$5</f>
        <v/>
      </c>
      <c r="C7" s="8">
        <f>'res_raw_66652912'!$C$5</f>
        <v/>
      </c>
      <c r="D7" s="8">
        <f>'res_raw_66652912'!$D$5</f>
        <v/>
      </c>
      <c r="E7" s="8">
        <f>'res_raw_66652912'!$E$5</f>
        <v/>
      </c>
      <c r="F7" s="8">
        <f>'res_raw_66652912'!$F$5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'res_raw_66652912'!$B$6</f>
        <v/>
      </c>
      <c r="C8" s="11">
        <f>'res_raw_66652912'!$C$6</f>
        <v/>
      </c>
      <c r="D8" s="11">
        <f>'res_raw_66652912'!$D$6</f>
        <v/>
      </c>
      <c r="E8" s="11">
        <f>'res_raw_66652912'!$E$6</f>
        <v/>
      </c>
      <c r="F8" s="11">
        <f>'res_raw_66652912'!$F$6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'res_raw_66652912'!$B$7</f>
        <v/>
      </c>
      <c r="C9" s="8">
        <f>'res_raw_66652912'!$C$7</f>
        <v/>
      </c>
      <c r="D9" s="8">
        <f>'res_raw_66652912'!$D$7</f>
        <v/>
      </c>
      <c r="E9" s="8">
        <f>'res_raw_66652912'!$E$7</f>
        <v/>
      </c>
      <c r="F9" s="8">
        <f>'res_raw_66652912'!$F$7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'res_raw_66652912'!$B$9</f>
        <v/>
      </c>
      <c r="C11" s="8">
        <f>'res_raw_66652912'!$C$9</f>
        <v/>
      </c>
      <c r="D11" s="8">
        <f>'res_raw_66652912'!$D$9</f>
        <v/>
      </c>
      <c r="E11" s="8">
        <f>'res_raw_66652912'!$E$9</f>
        <v/>
      </c>
      <c r="F11" s="8">
        <f>'res_raw_66652912'!$F$9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'res_raw_66652912'!$B$10</f>
        <v/>
      </c>
      <c r="C12" s="5">
        <f>'res_raw_66652912'!$C$10</f>
        <v/>
      </c>
      <c r="D12" s="5">
        <f>'res_raw_66652912'!$D$10</f>
        <v/>
      </c>
      <c r="E12" s="5">
        <f>'res_raw_66652912'!$E$10</f>
        <v/>
      </c>
      <c r="F12" s="5">
        <f>'res_raw_66652912'!$F$10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'res_raw_66652912'!$B$11</f>
        <v/>
      </c>
      <c r="C13" s="11">
        <f>'res_raw_66652912'!$C$11</f>
        <v/>
      </c>
      <c r="D13" s="11">
        <f>'res_raw_66652912'!$D$11</f>
        <v/>
      </c>
      <c r="E13" s="11">
        <f>'res_raw_66652912'!$E$11</f>
        <v/>
      </c>
      <c r="F13" s="11">
        <f>'res_raw_66652912'!$F$11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'res_raw_66652912'!$B$12</f>
        <v/>
      </c>
      <c r="C14" s="5">
        <f>'res_raw_66652912'!$C$12</f>
        <v/>
      </c>
      <c r="D14" s="5">
        <f>'res_raw_66652912'!$D$12</f>
        <v/>
      </c>
      <c r="E14" s="5">
        <f>'res_raw_66652912'!$E$12</f>
        <v/>
      </c>
      <c r="F14" s="5">
        <f>'res_raw_66652912'!$F$12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'res_raw_66652912'!$B$13</f>
        <v/>
      </c>
      <c r="C15" s="8">
        <f>'res_raw_66652912'!$C$13</f>
        <v/>
      </c>
      <c r="D15" s="8">
        <f>'res_raw_66652912'!$D$13</f>
        <v/>
      </c>
      <c r="E15" s="8">
        <f>'res_raw_66652912'!$E$13</f>
        <v/>
      </c>
      <c r="F15" s="8">
        <f>'res_raw_66652912'!$F$13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'res_raw_66652912'!$B$14</f>
        <v/>
      </c>
      <c r="C16" s="5">
        <f>'res_raw_66652912'!$C$14</f>
        <v/>
      </c>
      <c r="D16" s="5">
        <f>'res_raw_66652912'!$D$14</f>
        <v/>
      </c>
      <c r="E16" s="5">
        <f>'res_raw_66652912'!$E$14</f>
        <v/>
      </c>
      <c r="F16" s="5">
        <f>'res_raw_66652912'!$F$14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'res_raw_66652912'!$B$15</f>
        <v/>
      </c>
      <c r="C17" s="11">
        <f>'res_raw_66652912'!$C$15</f>
        <v/>
      </c>
      <c r="D17" s="11">
        <f>'res_raw_66652912'!$D$15</f>
        <v/>
      </c>
      <c r="E17" s="11">
        <f>'res_raw_66652912'!$E$15</f>
        <v/>
      </c>
      <c r="F17" s="11">
        <f>'res_raw_66652912'!$F$15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'res_raw_66652912'!$B$16</f>
        <v/>
      </c>
      <c r="C18" s="11">
        <f>'res_raw_66652912'!$C$16</f>
        <v/>
      </c>
      <c r="D18" s="11">
        <f>'res_raw_66652912'!$D$16</f>
        <v/>
      </c>
      <c r="E18" s="11">
        <f>'res_raw_66652912'!$E$16</f>
        <v/>
      </c>
      <c r="F18" s="11">
        <f>'res_raw_66652912'!$F$16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'res_raw_66652912'!$B$17</f>
        <v/>
      </c>
      <c r="C19" s="8">
        <f>'res_raw_66652912'!$C$17</f>
        <v/>
      </c>
      <c r="D19" s="8">
        <f>'res_raw_66652912'!$D$17</f>
        <v/>
      </c>
      <c r="E19" s="8">
        <f>'res_raw_66652912'!$E$17</f>
        <v/>
      </c>
      <c r="F19" s="8">
        <f>'res_raw_66652912'!$F$17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'res_raw_66652912'!$B$18</f>
        <v/>
      </c>
      <c r="C20" s="11">
        <f>'res_raw_66652912'!$C$18</f>
        <v/>
      </c>
      <c r="D20" s="11">
        <f>'res_raw_66652912'!$D$18</f>
        <v/>
      </c>
      <c r="E20" s="11">
        <f>'res_raw_66652912'!$E$18</f>
        <v/>
      </c>
      <c r="F20" s="11">
        <f>'res_raw_66652912'!$F$18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'balance_raw_66652912'!$B$2</f>
        <v/>
      </c>
      <c r="C23" s="8">
        <f>'balance_raw_66652912'!$C$2</f>
        <v/>
      </c>
      <c r="D23" s="8">
        <f>'balance_raw_66652912'!$D$2</f>
        <v/>
      </c>
      <c r="E23" s="8">
        <f>'balance_raw_66652912'!$E$2</f>
        <v/>
      </c>
      <c r="F23" s="8">
        <f>'balance_raw_66652912'!$F$2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'balance_raw_66652912'!$B$3</f>
        <v/>
      </c>
      <c r="C24" s="5">
        <f>'balance_raw_66652912'!$C$3</f>
        <v/>
      </c>
      <c r="D24" s="5">
        <f>'balance_raw_66652912'!$D$3</f>
        <v/>
      </c>
      <c r="E24" s="5">
        <f>'balance_raw_66652912'!$E$3</f>
        <v/>
      </c>
      <c r="F24" s="5">
        <f>'balance_raw_66652912'!$F$3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'balance_raw_66652912'!$B$4</f>
        <v/>
      </c>
      <c r="C25" s="8">
        <f>'balance_raw_66652912'!$C$4</f>
        <v/>
      </c>
      <c r="D25" s="8">
        <f>'balance_raw_66652912'!$D$4</f>
        <v/>
      </c>
      <c r="E25" s="8">
        <f>'balance_raw_66652912'!$E$4</f>
        <v/>
      </c>
      <c r="F25" s="8">
        <f>'balance_raw_66652912'!$F$4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'balance_raw_66652912'!$B$5</f>
        <v/>
      </c>
      <c r="C26" s="11">
        <f>'balance_raw_66652912'!$C$5</f>
        <v/>
      </c>
      <c r="D26" s="11">
        <f>'balance_raw_66652912'!$D$5</f>
        <v/>
      </c>
      <c r="E26" s="11">
        <f>'balance_raw_66652912'!$E$5</f>
        <v/>
      </c>
      <c r="F26" s="11">
        <f>'balance_raw_66652912'!$F$5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'balance_raw_66652912'!$B$6</f>
        <v/>
      </c>
      <c r="C27" s="8">
        <f>'balance_raw_66652912'!$C$6</f>
        <v/>
      </c>
      <c r="D27" s="8">
        <f>'balance_raw_66652912'!$D$6</f>
        <v/>
      </c>
      <c r="E27" s="8">
        <f>'balance_raw_66652912'!$E$6</f>
        <v/>
      </c>
      <c r="F27" s="8">
        <f>'balance_raw_66652912'!$F$6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'balance_raw_66652912'!$B$7</f>
        <v/>
      </c>
      <c r="C28" s="5">
        <f>'balance_raw_66652912'!$C$7</f>
        <v/>
      </c>
      <c r="D28" s="5">
        <f>'balance_raw_66652912'!$D$7</f>
        <v/>
      </c>
      <c r="E28" s="5">
        <f>'balance_raw_66652912'!$E$7</f>
        <v/>
      </c>
      <c r="F28" s="5">
        <f>'balance_raw_66652912'!$F$7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'balance_raw_66652912'!$B$8</f>
        <v/>
      </c>
      <c r="C29" s="8">
        <f>'balance_raw_66652912'!$C$8</f>
        <v/>
      </c>
      <c r="D29" s="8">
        <f>'balance_raw_66652912'!$D$8</f>
        <v/>
      </c>
      <c r="E29" s="8">
        <f>'balance_raw_66652912'!$E$8</f>
        <v/>
      </c>
      <c r="F29" s="8">
        <f>'balance_raw_66652912'!$F$8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'balance_raw_66652912'!$B$9</f>
        <v/>
      </c>
      <c r="C30" s="5">
        <f>'balance_raw_66652912'!$C$9</f>
        <v/>
      </c>
      <c r="D30" s="5">
        <f>'balance_raw_66652912'!$D$9</f>
        <v/>
      </c>
      <c r="E30" s="5">
        <f>'balance_raw_66652912'!$E$9</f>
        <v/>
      </c>
      <c r="F30" s="5">
        <f>'balance_raw_66652912'!$F$9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'balance_raw_66652912'!$B$10</f>
        <v/>
      </c>
      <c r="C31" s="8">
        <f>'balance_raw_66652912'!$C$10</f>
        <v/>
      </c>
      <c r="D31" s="8">
        <f>'balance_raw_66652912'!$D$10</f>
        <v/>
      </c>
      <c r="E31" s="8">
        <f>'balance_raw_66652912'!$E$10</f>
        <v/>
      </c>
      <c r="F31" s="8">
        <f>'balance_raw_66652912'!$F$10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'balance_raw_66652912'!$B$11</f>
        <v/>
      </c>
      <c r="C32" s="11">
        <f>'balance_raw_66652912'!$C$11</f>
        <v/>
      </c>
      <c r="D32" s="11">
        <f>'balance_raw_66652912'!$D$11</f>
        <v/>
      </c>
      <c r="E32" s="11">
        <f>'balance_raw_66652912'!$E$11</f>
        <v/>
      </c>
      <c r="F32" s="11">
        <f>'balance_raw_66652912'!$F$11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'balance_raw_66652912'!$B$12</f>
        <v/>
      </c>
      <c r="C33" s="8">
        <f>'balance_raw_66652912'!$C$12</f>
        <v/>
      </c>
      <c r="D33" s="8">
        <f>'balance_raw_66652912'!$D$12</f>
        <v/>
      </c>
      <c r="E33" s="8">
        <f>'balance_raw_66652912'!$E$12</f>
        <v/>
      </c>
      <c r="F33" s="8">
        <f>'balance_raw_66652912'!$F$12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'balance_raw_66652912'!$B$13</f>
        <v/>
      </c>
      <c r="C34" s="5">
        <f>'balance_raw_66652912'!$C$13</f>
        <v/>
      </c>
      <c r="D34" s="5">
        <f>'balance_raw_66652912'!$D$13</f>
        <v/>
      </c>
      <c r="E34" s="5">
        <f>'balance_raw_66652912'!$E$13</f>
        <v/>
      </c>
      <c r="F34" s="5">
        <f>'balance_raw_66652912'!$F$13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'balance_raw_66652912'!$B$14</f>
        <v/>
      </c>
      <c r="C35" s="11">
        <f>'balance_raw_66652912'!$C$14</f>
        <v/>
      </c>
      <c r="D35" s="11">
        <f>'balance_raw_66652912'!$D$14</f>
        <v/>
      </c>
      <c r="E35" s="11">
        <f>'balance_raw_66652912'!$E$14</f>
        <v/>
      </c>
      <c r="F35" s="11">
        <f>'balance_raw_66652912'!$F$14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'balance_raw_66652912'!$B$15</f>
        <v/>
      </c>
      <c r="C36" s="11">
        <f>'balance_raw_66652912'!$C$15</f>
        <v/>
      </c>
      <c r="D36" s="11">
        <f>'balance_raw_66652912'!$D$15</f>
        <v/>
      </c>
      <c r="E36" s="11">
        <f>'balance_raw_66652912'!$E$15</f>
        <v/>
      </c>
      <c r="F36" s="11">
        <f>'balance_raw_66652912'!$F$15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'balance_raw_66652912'!$B$16</f>
        <v/>
      </c>
      <c r="C37" s="8">
        <f>'balance_raw_66652912'!$C$16</f>
        <v/>
      </c>
      <c r="D37" s="8">
        <f>'balance_raw_66652912'!$D$16</f>
        <v/>
      </c>
      <c r="E37" s="8">
        <f>'balance_raw_66652912'!$E$16</f>
        <v/>
      </c>
      <c r="F37" s="8">
        <f>'balance_raw_66652912'!$F$16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'balance_raw_66652912'!$B$17</f>
        <v/>
      </c>
      <c r="C38" s="5">
        <f>'balance_raw_66652912'!$C$17</f>
        <v/>
      </c>
      <c r="D38" s="5">
        <f>'balance_raw_66652912'!$D$17</f>
        <v/>
      </c>
      <c r="E38" s="5">
        <f>'balance_raw_66652912'!$E$17</f>
        <v/>
      </c>
      <c r="F38" s="5">
        <f>'balance_raw_66652912'!$F$17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'balance_raw_66652912'!$B$18</f>
        <v/>
      </c>
      <c r="C39" s="8">
        <f>'balance_raw_66652912'!$C$18</f>
        <v/>
      </c>
      <c r="D39" s="8">
        <f>'balance_raw_66652912'!$D$18</f>
        <v/>
      </c>
      <c r="E39" s="8">
        <f>'balance_raw_66652912'!$E$18</f>
        <v/>
      </c>
      <c r="F39" s="8">
        <f>'balance_raw_66652912'!$F$18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'balance_raw_66652912'!$B$19</f>
        <v/>
      </c>
      <c r="C40" s="11">
        <f>'balance_raw_66652912'!$C$19</f>
        <v/>
      </c>
      <c r="D40" s="11">
        <f>'balance_raw_66652912'!$D$19</f>
        <v/>
      </c>
      <c r="E40" s="11">
        <f>'balance_raw_66652912'!$E$19</f>
        <v/>
      </c>
      <c r="F40" s="11">
        <f>'balance_raw_66652912'!$F$19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'balance_raw_66652912'!$B$20</f>
        <v/>
      </c>
      <c r="C41" s="8">
        <f>'balance_raw_66652912'!$C$20</f>
        <v/>
      </c>
      <c r="D41" s="8">
        <f>'balance_raw_66652912'!$D$20</f>
        <v/>
      </c>
      <c r="E41" s="8">
        <f>'balance_raw_66652912'!$E$20</f>
        <v/>
      </c>
      <c r="F41" s="8">
        <f>'balance_raw_66652912'!$F$20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'balance_raw_66652912'!$B$21</f>
        <v/>
      </c>
      <c r="C42" s="5">
        <f>'balance_raw_66652912'!$C$21</f>
        <v/>
      </c>
      <c r="D42" s="5">
        <f>'balance_raw_66652912'!$D$21</f>
        <v/>
      </c>
      <c r="E42" s="5">
        <f>'balance_raw_66652912'!$E$21</f>
        <v/>
      </c>
      <c r="F42" s="5">
        <f>'balance_raw_66652912'!$F$21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'balance_raw_66652912'!$B$22</f>
        <v/>
      </c>
      <c r="C43" s="8">
        <f>'balance_raw_66652912'!$C$22</f>
        <v/>
      </c>
      <c r="D43" s="8">
        <f>'balance_raw_66652912'!$D$22</f>
        <v/>
      </c>
      <c r="E43" s="8">
        <f>'balance_raw_66652912'!$E$22</f>
        <v/>
      </c>
      <c r="F43" s="8">
        <f>'balance_raw_66652912'!$F$22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'balance_raw_66652912'!$B$23</f>
        <v/>
      </c>
      <c r="C44" s="5">
        <f>'balance_raw_66652912'!$C$23</f>
        <v/>
      </c>
      <c r="D44" s="5">
        <f>'balance_raw_66652912'!$D$23</f>
        <v/>
      </c>
      <c r="E44" s="5">
        <f>'balance_raw_66652912'!$E$23</f>
        <v/>
      </c>
      <c r="F44" s="5">
        <f>'balance_raw_66652912'!$F$23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'balance_raw_66652912'!$B$24</f>
        <v/>
      </c>
      <c r="C45" s="8">
        <f>'balance_raw_66652912'!$C$24</f>
        <v/>
      </c>
      <c r="D45" s="8">
        <f>'balance_raw_66652912'!$D$24</f>
        <v/>
      </c>
      <c r="E45" s="8">
        <f>'balance_raw_66652912'!$E$24</f>
        <v/>
      </c>
      <c r="F45" s="8">
        <f>'balance_raw_66652912'!$F$24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'balance_raw_66652912'!$B$25</f>
        <v/>
      </c>
      <c r="C46" s="5">
        <f>'balance_raw_66652912'!$C$25</f>
        <v/>
      </c>
      <c r="D46" s="5">
        <f>'balance_raw_66652912'!$D$25</f>
        <v/>
      </c>
      <c r="E46" s="5">
        <f>'balance_raw_66652912'!$E$25</f>
        <v/>
      </c>
      <c r="F46" s="5">
        <f>'balance_raw_66652912'!$F$25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'balance_raw_66652912'!$B$26</f>
        <v/>
      </c>
      <c r="C47" s="8">
        <f>'balance_raw_66652912'!$C$26</f>
        <v/>
      </c>
      <c r="D47" s="8">
        <f>'balance_raw_66652912'!$D$26</f>
        <v/>
      </c>
      <c r="E47" s="8">
        <f>'balance_raw_66652912'!$E$26</f>
        <v/>
      </c>
      <c r="F47" s="8">
        <f>'balance_raw_66652912'!$F$26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'balance_raw_66652912'!$B$27</f>
        <v/>
      </c>
      <c r="C48" s="11">
        <f>'balance_raw_66652912'!$C$27</f>
        <v/>
      </c>
      <c r="D48" s="11">
        <f>'balance_raw_66652912'!$D$27</f>
        <v/>
      </c>
      <c r="E48" s="11">
        <f>'balance_raw_66652912'!$E$27</f>
        <v/>
      </c>
      <c r="F48" s="11">
        <f>'balance_raw_66652912'!$F$27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'balance_raw_66652912'!$B$28</f>
        <v/>
      </c>
      <c r="C49" s="8">
        <f>'balance_raw_66652912'!$C$28</f>
        <v/>
      </c>
      <c r="D49" s="8">
        <f>'balance_raw_66652912'!$D$28</f>
        <v/>
      </c>
      <c r="E49" s="8">
        <f>'balance_raw_66652912'!$E$28</f>
        <v/>
      </c>
      <c r="F49" s="8">
        <f>'balance_raw_66652912'!$F$28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'balance_raw_66652912'!$B$29</f>
        <v/>
      </c>
      <c r="C50" s="5">
        <f>'balance_raw_66652912'!$C$29</f>
        <v/>
      </c>
      <c r="D50" s="5">
        <f>'balance_raw_66652912'!$D$29</f>
        <v/>
      </c>
      <c r="E50" s="5">
        <f>'balance_raw_66652912'!$E$29</f>
        <v/>
      </c>
      <c r="F50" s="5">
        <f>'balance_raw_66652912'!$F$29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'balance_raw_66652912'!$B$30</f>
        <v/>
      </c>
      <c r="C51" s="11">
        <f>'balance_raw_66652912'!$C$30</f>
        <v/>
      </c>
      <c r="D51" s="11">
        <f>'balance_raw_66652912'!$D$30</f>
        <v/>
      </c>
      <c r="E51" s="11">
        <f>'balance_raw_66652912'!$E$30</f>
        <v/>
      </c>
      <c r="F51" s="11">
        <f>'balance_raw_66652912'!$F$30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'balance_raw_66652912'!$B$31</f>
        <v/>
      </c>
      <c r="C52" s="11">
        <f>'balance_raw_66652912'!$C$31</f>
        <v/>
      </c>
      <c r="D52" s="11">
        <f>'balance_raw_66652912'!$D$31</f>
        <v/>
      </c>
      <c r="E52" s="11">
        <f>'balance_raw_66652912'!$E$31</f>
        <v/>
      </c>
      <c r="F52" s="11">
        <f>'balance_raw_66652912'!$F$31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'balance_raw_66652912'!$B$32</f>
        <v/>
      </c>
      <c r="C55" s="8">
        <f>'balance_raw_66652912'!$C$32</f>
        <v/>
      </c>
      <c r="D55" s="8">
        <f>'balance_raw_66652912'!$D$32</f>
        <v/>
      </c>
      <c r="E55" s="8">
        <f>'balance_raw_66652912'!$E$32</f>
        <v/>
      </c>
      <c r="F55" s="8">
        <f>'balance_raw_66652912'!$F$32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'balance_raw_66652912'!$B$33</f>
        <v/>
      </c>
      <c r="C56" s="5">
        <f>'balance_raw_66652912'!$C$33</f>
        <v/>
      </c>
      <c r="D56" s="5">
        <f>'balance_raw_66652912'!$D$33</f>
        <v/>
      </c>
      <c r="E56" s="5">
        <f>'balance_raw_66652912'!$E$33</f>
        <v/>
      </c>
      <c r="F56" s="5">
        <f>'balance_raw_66652912'!$F$33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'balance_raw_66652912'!$B$34</f>
        <v/>
      </c>
      <c r="C57" s="8">
        <f>'balance_raw_66652912'!$C$34</f>
        <v/>
      </c>
      <c r="D57" s="8">
        <f>'balance_raw_66652912'!$D$34</f>
        <v/>
      </c>
      <c r="E57" s="8">
        <f>'balance_raw_66652912'!$E$34</f>
        <v/>
      </c>
      <c r="F57" s="8">
        <f>'balance_raw_66652912'!$F$34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'balance_raw_66652912'!$B$35</f>
        <v/>
      </c>
      <c r="C58" s="5">
        <f>'balance_raw_66652912'!$C$35</f>
        <v/>
      </c>
      <c r="D58" s="5">
        <f>'balance_raw_66652912'!$D$35</f>
        <v/>
      </c>
      <c r="E58" s="5">
        <f>'balance_raw_66652912'!$E$35</f>
        <v/>
      </c>
      <c r="F58" s="5">
        <f>'balance_raw_66652912'!$F$35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'balance_raw_66652912'!$B$36</f>
        <v/>
      </c>
      <c r="C59" s="8">
        <f>'balance_raw_66652912'!$C$36</f>
        <v/>
      </c>
      <c r="D59" s="8">
        <f>'balance_raw_66652912'!$D$36</f>
        <v/>
      </c>
      <c r="E59" s="8">
        <f>'balance_raw_66652912'!$E$36</f>
        <v/>
      </c>
      <c r="F59" s="8">
        <f>'balance_raw_66652912'!$F$36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'balance_raw_66652912'!$B$37</f>
        <v/>
      </c>
      <c r="C60" s="5">
        <f>'balance_raw_66652912'!$C$37</f>
        <v/>
      </c>
      <c r="D60" s="5">
        <f>'balance_raw_66652912'!$D$37</f>
        <v/>
      </c>
      <c r="E60" s="5">
        <f>'balance_raw_66652912'!$E$37</f>
        <v/>
      </c>
      <c r="F60" s="5">
        <f>'balance_raw_66652912'!$F$37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'balance_raw_66652912'!$B$38</f>
        <v/>
      </c>
      <c r="C61" s="11">
        <f>'balance_raw_66652912'!$C$38</f>
        <v/>
      </c>
      <c r="D61" s="11">
        <f>'balance_raw_66652912'!$D$38</f>
        <v/>
      </c>
      <c r="E61" s="11">
        <f>'balance_raw_66652912'!$E$38</f>
        <v/>
      </c>
      <c r="F61" s="11">
        <f>'balance_raw_66652912'!$F$38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'balance_raw_66652912'!$B$39</f>
        <v/>
      </c>
      <c r="C62" s="5">
        <f>'balance_raw_66652912'!$C$39</f>
        <v/>
      </c>
      <c r="D62" s="5">
        <f>'balance_raw_66652912'!$D$39</f>
        <v/>
      </c>
      <c r="E62" s="5">
        <f>'balance_raw_66652912'!$E$39</f>
        <v/>
      </c>
      <c r="F62" s="5">
        <f>'balance_raw_66652912'!$F$39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'balance_raw_66652912'!$B$40</f>
        <v/>
      </c>
      <c r="C63" s="11">
        <f>'balance_raw_66652912'!$C$40</f>
        <v/>
      </c>
      <c r="D63" s="11">
        <f>'balance_raw_66652912'!$D$40</f>
        <v/>
      </c>
      <c r="E63" s="11">
        <f>'balance_raw_66652912'!$E$40</f>
        <v/>
      </c>
      <c r="F63" s="11">
        <f>'balance_raw_66652912'!$F$40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'balance_raw_66652912'!$B$41</f>
        <v/>
      </c>
      <c r="C64" s="5">
        <f>'balance_raw_66652912'!$C$41</f>
        <v/>
      </c>
      <c r="D64" s="5">
        <f>'balance_raw_66652912'!$D$41</f>
        <v/>
      </c>
      <c r="E64" s="5">
        <f>'balance_raw_66652912'!$E$41</f>
        <v/>
      </c>
      <c r="F64" s="5">
        <f>'balance_raw_66652912'!$F$41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'balance_raw_66652912'!$B$42</f>
        <v/>
      </c>
      <c r="C65" s="8">
        <f>'balance_raw_66652912'!$C$42</f>
        <v/>
      </c>
      <c r="D65" s="8">
        <f>'balance_raw_66652912'!$D$42</f>
        <v/>
      </c>
      <c r="E65" s="8">
        <f>'balance_raw_66652912'!$E$42</f>
        <v/>
      </c>
      <c r="F65" s="8">
        <f>'balance_raw_66652912'!$F$42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'balance_raw_66652912'!$B$43</f>
        <v/>
      </c>
      <c r="C66" s="5">
        <f>'balance_raw_66652912'!$C$43</f>
        <v/>
      </c>
      <c r="D66" s="5">
        <f>'balance_raw_66652912'!$D$43</f>
        <v/>
      </c>
      <c r="E66" s="5">
        <f>'balance_raw_66652912'!$E$43</f>
        <v/>
      </c>
      <c r="F66" s="5">
        <f>'balance_raw_66652912'!$F$43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'balance_raw_66652912'!$B$44</f>
        <v/>
      </c>
      <c r="C67" s="8">
        <f>'balance_raw_66652912'!$C$44</f>
        <v/>
      </c>
      <c r="D67" s="8">
        <f>'balance_raw_66652912'!$D$44</f>
        <v/>
      </c>
      <c r="E67" s="8">
        <f>'balance_raw_66652912'!$E$44</f>
        <v/>
      </c>
      <c r="F67" s="8">
        <f>'balance_raw_66652912'!$F$44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'balance_raw_66652912'!$B$45</f>
        <v/>
      </c>
      <c r="C68" s="11">
        <f>'balance_raw_66652912'!$C$45</f>
        <v/>
      </c>
      <c r="D68" s="11">
        <f>'balance_raw_66652912'!$D$45</f>
        <v/>
      </c>
      <c r="E68" s="11">
        <f>'balance_raw_66652912'!$E$45</f>
        <v/>
      </c>
      <c r="F68" s="11">
        <f>'balance_raw_66652912'!$F$45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'balance_raw_66652912'!$B$46</f>
        <v/>
      </c>
      <c r="C69" s="8">
        <f>'balance_raw_66652912'!$C$46</f>
        <v/>
      </c>
      <c r="D69" s="8">
        <f>'balance_raw_66652912'!$D$46</f>
        <v/>
      </c>
      <c r="E69" s="8">
        <f>'balance_raw_66652912'!$E$46</f>
        <v/>
      </c>
      <c r="F69" s="8">
        <f>'balance_raw_66652912'!$F$46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'balance_raw_66652912'!$B$47</f>
        <v/>
      </c>
      <c r="C70" s="5">
        <f>'balance_raw_66652912'!$C$47</f>
        <v/>
      </c>
      <c r="D70" s="5">
        <f>'balance_raw_66652912'!$D$47</f>
        <v/>
      </c>
      <c r="E70" s="5">
        <f>'balance_raw_66652912'!$E$47</f>
        <v/>
      </c>
      <c r="F70" s="5">
        <f>'balance_raw_66652912'!$F$47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'balance_raw_66652912'!$B$48</f>
        <v/>
      </c>
      <c r="C71" s="8">
        <f>'balance_raw_66652912'!$C$48</f>
        <v/>
      </c>
      <c r="D71" s="8">
        <f>'balance_raw_66652912'!$D$48</f>
        <v/>
      </c>
      <c r="E71" s="8">
        <f>'balance_raw_66652912'!$E$48</f>
        <v/>
      </c>
      <c r="F71" s="8">
        <f>'balance_raw_66652912'!$F$48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'balance_raw_66652912'!$B$49</f>
        <v/>
      </c>
      <c r="C72" s="5">
        <f>'balance_raw_66652912'!$C$49</f>
        <v/>
      </c>
      <c r="D72" s="5">
        <f>'balance_raw_66652912'!$D$49</f>
        <v/>
      </c>
      <c r="E72" s="5">
        <f>'balance_raw_66652912'!$E$49</f>
        <v/>
      </c>
      <c r="F72" s="5">
        <f>'balance_raw_66652912'!$F$49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'balance_raw_66652912'!$B$50</f>
        <v/>
      </c>
      <c r="C73" s="8">
        <f>'balance_raw_66652912'!$C$50</f>
        <v/>
      </c>
      <c r="D73" s="8">
        <f>'balance_raw_66652912'!$D$50</f>
        <v/>
      </c>
      <c r="E73" s="8">
        <f>'balance_raw_66652912'!$E$50</f>
        <v/>
      </c>
      <c r="F73" s="8">
        <f>'balance_raw_66652912'!$F$50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'balance_raw_66652912'!$B$51</f>
        <v/>
      </c>
      <c r="C74" s="5">
        <f>'balance_raw_66652912'!$C$51</f>
        <v/>
      </c>
      <c r="D74" s="5">
        <f>'balance_raw_66652912'!$D$51</f>
        <v/>
      </c>
      <c r="E74" s="5">
        <f>'balance_raw_66652912'!$E$51</f>
        <v/>
      </c>
      <c r="F74" s="5">
        <f>'balance_raw_66652912'!$F$51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'balance_raw_66652912'!$B$52</f>
        <v/>
      </c>
      <c r="C75" s="8">
        <f>'balance_raw_66652912'!$C$52</f>
        <v/>
      </c>
      <c r="D75" s="8">
        <f>'balance_raw_66652912'!$D$52</f>
        <v/>
      </c>
      <c r="E75" s="8">
        <f>'balance_raw_66652912'!$E$52</f>
        <v/>
      </c>
      <c r="F75" s="8">
        <f>'balance_raw_66652912'!$F$52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'balance_raw_66652912'!$B$53</f>
        <v/>
      </c>
      <c r="C76" s="5">
        <f>'balance_raw_66652912'!$C$53</f>
        <v/>
      </c>
      <c r="D76" s="5">
        <f>'balance_raw_66652912'!$D$53</f>
        <v/>
      </c>
      <c r="E76" s="5">
        <f>'balance_raw_66652912'!$E$53</f>
        <v/>
      </c>
      <c r="F76" s="5">
        <f>'balance_raw_66652912'!$F$53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'balance_raw_66652912'!$B$54</f>
        <v/>
      </c>
      <c r="C77" s="8">
        <f>'balance_raw_66652912'!$C$54</f>
        <v/>
      </c>
      <c r="D77" s="8">
        <f>'balance_raw_66652912'!$D$54</f>
        <v/>
      </c>
      <c r="E77" s="8">
        <f>'balance_raw_66652912'!$E$54</f>
        <v/>
      </c>
      <c r="F77" s="8">
        <f>'balance_raw_66652912'!$F$54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'balance_raw_66652912'!$B$55</f>
        <v/>
      </c>
      <c r="C78" s="5">
        <f>'balance_raw_66652912'!$C$55</f>
        <v/>
      </c>
      <c r="D78" s="5">
        <f>'balance_raw_66652912'!$D$55</f>
        <v/>
      </c>
      <c r="E78" s="5">
        <f>'balance_raw_66652912'!$E$55</f>
        <v/>
      </c>
      <c r="F78" s="5">
        <f>'balance_raw_66652912'!$F$55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'balance_raw_66652912'!$B$56</f>
        <v/>
      </c>
      <c r="C79" s="8">
        <f>'balance_raw_66652912'!$C$56</f>
        <v/>
      </c>
      <c r="D79" s="8">
        <f>'balance_raw_66652912'!$D$56</f>
        <v/>
      </c>
      <c r="E79" s="8">
        <f>'balance_raw_66652912'!$E$56</f>
        <v/>
      </c>
      <c r="F79" s="8">
        <f>'balance_raw_66652912'!$F$56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'balance_raw_66652912'!$B$57</f>
        <v/>
      </c>
      <c r="C80" s="11">
        <f>'balance_raw_66652912'!$C$57</f>
        <v/>
      </c>
      <c r="D80" s="11">
        <f>'balance_raw_66652912'!$D$57</f>
        <v/>
      </c>
      <c r="E80" s="11">
        <f>'balance_raw_66652912'!$E$57</f>
        <v/>
      </c>
      <c r="F80" s="11">
        <f>'balance_raw_66652912'!$F$57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'balance_raw_66652912'!$B$58</f>
        <v/>
      </c>
      <c r="C81" s="11">
        <f>'balance_raw_66652912'!$C$58</f>
        <v/>
      </c>
      <c r="D81" s="11">
        <f>'balance_raw_66652912'!$D$58</f>
        <v/>
      </c>
      <c r="E81" s="11">
        <f>'balance_raw_66652912'!$E$58</f>
        <v/>
      </c>
      <c r="F81" s="11">
        <f>'balance_raw_66652912'!$F$58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'balance_raw_66652912'!$B$59</f>
        <v/>
      </c>
      <c r="C82" s="11">
        <f>'balance_raw_66652912'!$C$59</f>
        <v/>
      </c>
      <c r="D82" s="11">
        <f>'balance_raw_66652912'!$D$59</f>
        <v/>
      </c>
      <c r="E82" s="11">
        <f>'balance_raw_66652912'!$E$59</f>
        <v/>
      </c>
      <c r="F82" s="11">
        <f>'balance_raw_66652912'!$F$59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'res_raw_66652912'!$B$19</f>
        <v/>
      </c>
      <c r="C85" s="8">
        <f>'res_raw_66652912'!$C$19</f>
        <v/>
      </c>
      <c r="D85" s="8">
        <f>'res_raw_66652912'!$D$19</f>
        <v/>
      </c>
      <c r="E85" s="8">
        <f>'res_raw_66652912'!$E$19</f>
        <v/>
      </c>
      <c r="F85" s="8">
        <f>'res_raw_66652912'!$F$19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'res_raw_66652912'!$B$20</f>
        <v/>
      </c>
      <c r="C86" s="5">
        <f>'res_raw_66652912'!$C$20</f>
        <v/>
      </c>
      <c r="D86" s="5">
        <f>'res_raw_66652912'!$D$20</f>
        <v/>
      </c>
      <c r="E86" s="5">
        <f>'res_raw_66652912'!$E$20</f>
        <v/>
      </c>
      <c r="F86" s="5">
        <f>'res_raw_66652912'!$F$20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'pengestrom_raw_66652912'!$B$2</f>
        <v/>
      </c>
      <c r="C102" s="17">
        <f>'pengestrom_raw_66652912'!$C$2</f>
        <v/>
      </c>
      <c r="D102" s="17">
        <f>'pengestrom_raw_66652912'!$D$2</f>
        <v/>
      </c>
      <c r="E102" s="17">
        <f>'pengestrom_raw_66652912'!$E$2</f>
        <v/>
      </c>
      <c r="F102" s="17">
        <f>'pengestrom_raw_66652912'!$F$2</f>
        <v/>
      </c>
    </row>
    <row r="103">
      <c r="A103" s="16" t="inlineStr">
        <is>
          <t>Pengestrømme fra investeringsaktivitet</t>
        </is>
      </c>
      <c r="B103" s="17">
        <f>'pengestrom_raw_66652912'!$B$3</f>
        <v/>
      </c>
      <c r="C103" s="17">
        <f>'pengestrom_raw_66652912'!$C$3</f>
        <v/>
      </c>
      <c r="D103" s="17">
        <f>'pengestrom_raw_66652912'!$D$3</f>
        <v/>
      </c>
      <c r="E103" s="17">
        <f>'pengestrom_raw_66652912'!$E$3</f>
        <v/>
      </c>
      <c r="F103" s="17">
        <f>'pengestrom_raw_66652912'!$F$3</f>
        <v/>
      </c>
    </row>
    <row r="104">
      <c r="A104" s="16" t="inlineStr">
        <is>
          <t>Pengestrømme fra finansieringsaktivitet</t>
        </is>
      </c>
      <c r="B104" s="17">
        <f>'pengestrom_raw_66652912'!$B$4</f>
        <v/>
      </c>
      <c r="C104" s="17">
        <f>'pengestrom_raw_66652912'!$C$4</f>
        <v/>
      </c>
      <c r="D104" s="17">
        <f>'pengestrom_raw_66652912'!$D$4</f>
        <v/>
      </c>
      <c r="E104" s="17">
        <f>'pengestrom_raw_66652912'!$E$4</f>
        <v/>
      </c>
      <c r="F104" s="17">
        <f>'pengestrom_raw_66652912'!$F$4</f>
        <v/>
      </c>
    </row>
    <row r="105">
      <c r="A105" s="16" t="inlineStr">
        <is>
          <t>Årets pengestrøm (rapporteret)</t>
        </is>
      </c>
      <c r="B105" s="17">
        <f>'pengestrom_raw_66652912'!$B$5</f>
        <v/>
      </c>
      <c r="C105" s="17">
        <f>'pengestrom_raw_66652912'!$C$5</f>
        <v/>
      </c>
      <c r="D105" s="17">
        <f>'pengestrom_raw_66652912'!$D$5</f>
        <v/>
      </c>
      <c r="E105" s="17">
        <f>'pengestrom_raw_66652912'!$E$5</f>
        <v/>
      </c>
      <c r="F105" s="17">
        <f>'pengestrom_raw_66652912'!$F$5</f>
        <v/>
      </c>
    </row>
    <row r="106">
      <c r="A106" s="16" t="inlineStr">
        <is>
          <t>Krydstjek: drift + inv. + fin. = årets pengestrøm</t>
        </is>
      </c>
      <c r="B106">
        <f>IF(ABS(('pengestrom_raw_66652912'!$B$2+'pengestrom_raw_66652912'!$B$3+'pengestrom_raw_66652912'!$B$4)-'pengestrom_raw_66652912'!$B$5)&lt;=2,"✓","⚠ "&amp;TEXT(('pengestrom_raw_66652912'!$B$2+'pengestrom_raw_66652912'!$B$3+'pengestrom_raw_66652912'!$B$4)-'pengestrom_raw_66652912'!$B$5,"+#,##0;-#,##0"))</f>
        <v/>
      </c>
      <c r="C106">
        <f>IF(ABS(('pengestrom_raw_66652912'!$C$2+'pengestrom_raw_66652912'!$C$3+'pengestrom_raw_66652912'!$C$4)-'pengestrom_raw_66652912'!$C$5)&lt;=2,"✓","⚠ "&amp;TEXT(('pengestrom_raw_66652912'!$C$2+'pengestrom_raw_66652912'!$C$3+'pengestrom_raw_66652912'!$C$4)-'pengestrom_raw_66652912'!$C$5,"+#,##0;-#,##0"))</f>
        <v/>
      </c>
      <c r="D106">
        <f>IF(ABS(('pengestrom_raw_66652912'!$D$2+'pengestrom_raw_66652912'!$D$3+'pengestrom_raw_66652912'!$D$4)-'pengestrom_raw_66652912'!$D$5)&lt;=2,"✓","⚠ "&amp;TEXT(('pengestrom_raw_66652912'!$D$2+'pengestrom_raw_66652912'!$D$3+'pengestrom_raw_66652912'!$D$4)-'pengestrom_raw_66652912'!$D$5,"+#,##0;-#,##0"))</f>
        <v/>
      </c>
      <c r="E106">
        <f>IF(ABS(('pengestrom_raw_66652912'!$E$2+'pengestrom_raw_66652912'!$E$3+'pengestrom_raw_66652912'!$E$4)-'pengestrom_raw_66652912'!$E$5)&lt;=2,"✓","⚠ "&amp;TEXT(('pengestrom_raw_66652912'!$E$2+'pengestrom_raw_66652912'!$E$3+'pengestrom_raw_66652912'!$E$4)-'pengestrom_raw_66652912'!$E$5,"+#,##0;-#,##0"))</f>
        <v/>
      </c>
      <c r="F106">
        <f>IF(ABS(('pengestrom_raw_66652912'!$F$2+'pengestrom_raw_66652912'!$F$3+'pengestrom_raw_66652912'!$F$4)-'pengestrom_raw_66652912'!$F$5)&lt;=2,"✓","⚠ "&amp;TEXT(('pengestrom_raw_66652912'!$F$2+'pengestrom_raw_66652912'!$F$3+'pengestrom_raw_66652912'!$F$4)-'pengestrom_raw_66652912'!$F$5,"+#,##0;-#,##0"))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146625</v>
      </c>
      <c r="C6" s="17" t="n">
        <v>144987</v>
      </c>
      <c r="D6" s="17" t="n">
        <v>123895</v>
      </c>
      <c r="E6" s="17" t="n">
        <v>126505</v>
      </c>
      <c r="F6" s="17" t="n">
        <v>135828</v>
      </c>
    </row>
    <row r="7">
      <c r="A7" s="16" t="inlineStr">
        <is>
          <t>Personaleomkostninger</t>
        </is>
      </c>
      <c r="B7" s="17" t="n">
        <v>83999</v>
      </c>
      <c r="C7" s="17" t="n">
        <v>100350</v>
      </c>
      <c r="D7" s="17" t="n">
        <v>99633</v>
      </c>
      <c r="E7" s="17" t="n">
        <v>99962</v>
      </c>
      <c r="F7" s="17" t="n">
        <v>99157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13888</v>
      </c>
      <c r="C9" s="17" t="n">
        <v>12961</v>
      </c>
      <c r="D9" s="17" t="n">
        <v>15759</v>
      </c>
      <c r="E9" s="17" t="n">
        <v>17415</v>
      </c>
      <c r="F9" s="17" t="n">
        <v>17587</v>
      </c>
    </row>
    <row r="10">
      <c r="A10" s="16" t="inlineStr">
        <is>
          <t>Andre driftsomkostninger</t>
        </is>
      </c>
      <c r="B10" s="17" t="n"/>
      <c r="C10" s="17" t="n">
        <v>155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48738</v>
      </c>
      <c r="C11" s="17" t="n">
        <v>31521</v>
      </c>
      <c r="D11" s="17" t="n">
        <v>8503</v>
      </c>
      <c r="E11" s="17" t="n">
        <v>9128</v>
      </c>
      <c r="F11" s="17" t="n">
        <v>19084</v>
      </c>
    </row>
    <row r="12">
      <c r="A12" s="16" t="inlineStr">
        <is>
          <t>Indtægter af kapitalandele, dattervirksomheder</t>
        </is>
      </c>
      <c r="B12" s="17" t="n">
        <v>-377</v>
      </c>
      <c r="C12" s="17" t="n">
        <v>-121</v>
      </c>
      <c r="D12" s="17" t="n">
        <v>-126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1078</v>
      </c>
      <c r="C13" s="17" t="n">
        <v>106</v>
      </c>
      <c r="D13" s="17" t="n">
        <v>4518</v>
      </c>
      <c r="E13" s="17" t="n">
        <v>1578</v>
      </c>
      <c r="F13" s="17" t="n">
        <v>374</v>
      </c>
    </row>
    <row r="14">
      <c r="A14" s="16" t="inlineStr">
        <is>
          <t>Finansielle omkostninger</t>
        </is>
      </c>
      <c r="B14" s="17" t="n">
        <v>1134</v>
      </c>
      <c r="C14" s="17" t="n">
        <v>2273</v>
      </c>
      <c r="D14" s="17" t="n">
        <v>3053</v>
      </c>
      <c r="E14" s="17" t="n">
        <v>1108</v>
      </c>
      <c r="F14" s="17" t="n">
        <v>969</v>
      </c>
    </row>
    <row r="15">
      <c r="A15" s="15" t="inlineStr">
        <is>
          <t>Finansielle poster, netto</t>
        </is>
      </c>
      <c r="B15" s="17" t="n">
        <v>-433</v>
      </c>
      <c r="C15" s="17" t="n">
        <v>-2288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48305</v>
      </c>
      <c r="C16" s="17" t="n">
        <v>29233</v>
      </c>
      <c r="D16" s="17" t="n">
        <v>9842</v>
      </c>
      <c r="E16" s="17" t="n">
        <v>9598</v>
      </c>
      <c r="F16" s="17" t="n">
        <v>18489</v>
      </c>
    </row>
    <row r="17">
      <c r="A17" s="16" t="inlineStr">
        <is>
          <t>Skat af årets resultat</t>
        </is>
      </c>
      <c r="B17" s="17" t="n">
        <v>10921</v>
      </c>
      <c r="C17" s="17" t="n">
        <v>8389</v>
      </c>
      <c r="D17" s="17" t="n">
        <v>1747</v>
      </c>
      <c r="E17" s="17" t="n">
        <v>2656</v>
      </c>
      <c r="F17" s="17" t="n">
        <v>4833</v>
      </c>
    </row>
    <row r="18">
      <c r="A18" s="15" t="inlineStr">
        <is>
          <t>Årets resultat</t>
        </is>
      </c>
      <c r="B18" s="17" t="n">
        <v>37384</v>
      </c>
      <c r="C18" s="17" t="n">
        <v>20844</v>
      </c>
      <c r="D18" s="17" t="n">
        <v>8095</v>
      </c>
      <c r="E18" s="17" t="n">
        <v>6942</v>
      </c>
      <c r="F18" s="17" t="n">
        <v>13656</v>
      </c>
    </row>
    <row r="19">
      <c r="A19" s="16" t="inlineStr">
        <is>
          <t>Gns. antal medarbejdere</t>
        </is>
      </c>
      <c r="B19" s="17" t="n">
        <v>152</v>
      </c>
      <c r="C19" s="17" t="n">
        <v>181</v>
      </c>
      <c r="D19" s="17" t="n">
        <v>173</v>
      </c>
      <c r="E19" s="17" t="n">
        <v>162</v>
      </c>
      <c r="F19" s="17" t="n">
        <v>156</v>
      </c>
    </row>
    <row r="20">
      <c r="A20" s="16" t="inlineStr">
        <is>
          <t>Investering i materielle anlægsaktiver</t>
        </is>
      </c>
      <c r="B20" s="17" t="n">
        <v>2748</v>
      </c>
      <c r="C20" s="17" t="n">
        <v>24033</v>
      </c>
      <c r="D20" s="17" t="n">
        <v>12061</v>
      </c>
      <c r="E20" s="17" t="n">
        <v>9096</v>
      </c>
      <c r="F20" s="17" t="n">
        <v>6741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12334</v>
      </c>
      <c r="C2" s="17" t="n">
        <v>8676</v>
      </c>
      <c r="D2" s="17" t="n">
        <v>6182</v>
      </c>
      <c r="E2" s="17" t="n">
        <v>2873</v>
      </c>
      <c r="F2" s="17" t="n">
        <v>1785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17898</v>
      </c>
      <c r="E4" s="17" t="n">
        <v>15577</v>
      </c>
      <c r="F4" s="17" t="n">
        <v>13256</v>
      </c>
    </row>
    <row r="5">
      <c r="A5" s="15" t="inlineStr">
        <is>
          <t>Immaterielle anlægsaktiver</t>
        </is>
      </c>
      <c r="B5" s="17" t="n">
        <v>13588</v>
      </c>
      <c r="C5" s="17" t="n">
        <v>11392</v>
      </c>
      <c r="D5" s="17" t="n">
        <v>28733</v>
      </c>
      <c r="E5" s="17" t="n">
        <v>25071</v>
      </c>
      <c r="F5" s="17" t="n">
        <v>24721</v>
      </c>
    </row>
    <row r="6">
      <c r="A6" s="16" t="inlineStr">
        <is>
          <t>Grunde og bygninger</t>
        </is>
      </c>
      <c r="B6" s="17" t="n">
        <v>52900</v>
      </c>
      <c r="C6" s="17" t="n">
        <v>50177</v>
      </c>
      <c r="D6" s="17" t="n">
        <v>49958</v>
      </c>
      <c r="E6" s="17" t="n">
        <v>46393</v>
      </c>
      <c r="F6" s="17" t="n">
        <v>43849</v>
      </c>
    </row>
    <row r="7">
      <c r="A7" s="16" t="inlineStr">
        <is>
          <t>Produktionsanlæg og maskiner</t>
        </is>
      </c>
      <c r="B7" s="17" t="n">
        <v>14190</v>
      </c>
      <c r="C7" s="17" t="n">
        <v>31577</v>
      </c>
      <c r="D7" s="17" t="n">
        <v>34904</v>
      </c>
      <c r="E7" s="17" t="n">
        <v>37648</v>
      </c>
      <c r="F7" s="17" t="n">
        <v>35163</v>
      </c>
    </row>
    <row r="8">
      <c r="A8" s="16" t="inlineStr">
        <is>
          <t>Driftsmateriel og inventar</t>
        </is>
      </c>
      <c r="B8" s="17" t="n">
        <v>513</v>
      </c>
      <c r="C8" s="17" t="n">
        <v>625</v>
      </c>
      <c r="D8" s="17" t="n">
        <v>1951</v>
      </c>
      <c r="E8" s="17" t="n">
        <v>1198</v>
      </c>
      <c r="F8" s="17" t="n">
        <v>541</v>
      </c>
    </row>
    <row r="9">
      <c r="A9" s="16" t="inlineStr">
        <is>
          <t>Indretning af lejede lokaler</t>
        </is>
      </c>
      <c r="B9" s="17" t="n">
        <v>0</v>
      </c>
      <c r="C9" s="17" t="n"/>
      <c r="D9" s="17" t="n"/>
      <c r="E9" s="17" t="n">
        <v>0</v>
      </c>
      <c r="F9" s="17" t="n">
        <v>91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0</v>
      </c>
      <c r="E10" s="17" t="n">
        <v>0</v>
      </c>
      <c r="F10" s="17" t="n">
        <v>1732</v>
      </c>
    </row>
    <row r="11">
      <c r="A11" s="15" t="inlineStr">
        <is>
          <t>Materielle anlægsaktiver</t>
        </is>
      </c>
      <c r="B11" s="17" t="n">
        <v>67603</v>
      </c>
      <c r="C11" s="17" t="n">
        <v>82379</v>
      </c>
      <c r="D11" s="17" t="n">
        <v>86813</v>
      </c>
      <c r="E11" s="17" t="n">
        <v>85519</v>
      </c>
      <c r="F11" s="17" t="n">
        <v>81494</v>
      </c>
    </row>
    <row r="12">
      <c r="A12" s="16" t="inlineStr">
        <is>
          <t>Kapitalandele, dattervirksomheder</t>
        </is>
      </c>
      <c r="B12" s="17" t="n">
        <v>26632</v>
      </c>
      <c r="C12" s="17" t="n">
        <v>26581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453</v>
      </c>
      <c r="C13" s="17" t="n">
        <v>729</v>
      </c>
      <c r="D13" s="17" t="n">
        <v>789</v>
      </c>
      <c r="E13" s="17" t="n">
        <v>245</v>
      </c>
      <c r="F13" s="17" t="n">
        <v>978</v>
      </c>
    </row>
    <row r="14">
      <c r="A14" s="15" t="inlineStr">
        <is>
          <t>Finansielle anlægsaktiver</t>
        </is>
      </c>
      <c r="B14" s="17" t="n">
        <v>27085</v>
      </c>
      <c r="C14" s="17" t="n">
        <v>27310</v>
      </c>
      <c r="D14" s="17" t="n">
        <v>789</v>
      </c>
      <c r="E14" s="17" t="n">
        <v>245</v>
      </c>
      <c r="F14" s="17" t="n">
        <v>978</v>
      </c>
    </row>
    <row r="15">
      <c r="A15" s="15" t="inlineStr">
        <is>
          <t>Anlægsaktiver</t>
        </is>
      </c>
      <c r="B15" s="17" t="n">
        <v>108276</v>
      </c>
      <c r="C15" s="17" t="n">
        <v>121081</v>
      </c>
      <c r="D15" s="17" t="n">
        <v>116335</v>
      </c>
      <c r="E15" s="17" t="n">
        <v>110835</v>
      </c>
      <c r="F15" s="17" t="n">
        <v>107193</v>
      </c>
    </row>
    <row r="16">
      <c r="A16" s="16" t="inlineStr">
        <is>
          <t>Råvarer og hjælpematerialer</t>
        </is>
      </c>
      <c r="B16" s="17" t="n">
        <v>13604</v>
      </c>
      <c r="C16" s="17" t="n">
        <v>17392</v>
      </c>
      <c r="D16" s="17" t="n">
        <v>25363</v>
      </c>
      <c r="E16" s="17" t="n">
        <v>20339</v>
      </c>
      <c r="F16" s="17" t="n">
        <v>19496</v>
      </c>
    </row>
    <row r="17">
      <c r="A17" s="16" t="inlineStr">
        <is>
          <t>Varer under fremstilling</t>
        </is>
      </c>
      <c r="B17" s="17" t="n">
        <v>6959</v>
      </c>
      <c r="C17" s="17" t="n">
        <v>6463</v>
      </c>
      <c r="D17" s="17" t="n">
        <v>6640</v>
      </c>
      <c r="E17" s="17" t="n">
        <v>6372</v>
      </c>
      <c r="F17" s="17" t="n">
        <v>6099</v>
      </c>
    </row>
    <row r="18">
      <c r="A18" s="16" t="inlineStr">
        <is>
          <t>Færdigvarer og handelsvarer</t>
        </is>
      </c>
      <c r="B18" s="17" t="n">
        <v>3491</v>
      </c>
      <c r="C18" s="17" t="n">
        <v>5680</v>
      </c>
      <c r="D18" s="17" t="n">
        <v>3784</v>
      </c>
      <c r="E18" s="17" t="n">
        <v>5198</v>
      </c>
      <c r="F18" s="17" t="n">
        <v>5480</v>
      </c>
    </row>
    <row r="19">
      <c r="A19" s="15" t="inlineStr">
        <is>
          <t>Varebeholdninger</t>
        </is>
      </c>
      <c r="B19" s="17" t="n">
        <v>24054</v>
      </c>
      <c r="C19" s="17" t="n">
        <v>29535</v>
      </c>
      <c r="D19" s="17" t="n">
        <v>35787</v>
      </c>
      <c r="E19" s="17" t="n">
        <v>31909</v>
      </c>
      <c r="F19" s="17" t="n">
        <v>31075</v>
      </c>
    </row>
    <row r="20">
      <c r="A20" s="16" t="inlineStr">
        <is>
          <t>Tilgodehavender fra salg og tjenesteydelser</t>
        </is>
      </c>
      <c r="B20" s="17" t="n">
        <v>31462</v>
      </c>
      <c r="C20" s="17" t="n">
        <v>31096</v>
      </c>
      <c r="D20" s="17" t="n">
        <v>30348</v>
      </c>
      <c r="E20" s="17" t="n">
        <v>28810</v>
      </c>
      <c r="F20" s="17" t="n">
        <v>28613</v>
      </c>
    </row>
    <row r="21">
      <c r="A21" s="16" t="inlineStr">
        <is>
          <t>Tilgodehavender hos tilknyttede virksomheder</t>
        </is>
      </c>
      <c r="B21" s="17" t="n">
        <v>20931</v>
      </c>
      <c r="C21" s="17" t="n">
        <v>3980</v>
      </c>
      <c r="D21" s="17" t="n">
        <v>648</v>
      </c>
      <c r="E21" s="17" t="n">
        <v>548</v>
      </c>
      <c r="F21" s="17" t="n">
        <v>2201</v>
      </c>
    </row>
    <row r="22">
      <c r="A22" s="16" t="inlineStr">
        <is>
          <t>Andre tilgodehavender</t>
        </is>
      </c>
      <c r="B22" s="17" t="n">
        <v>261</v>
      </c>
      <c r="C22" s="17" t="n">
        <v>2595</v>
      </c>
      <c r="D22" s="17" t="n">
        <v>3131</v>
      </c>
      <c r="E22" s="17" t="n">
        <v>2679</v>
      </c>
      <c r="F22" s="17" t="n">
        <v>1396</v>
      </c>
    </row>
    <row r="23">
      <c r="A23" s="16" t="inlineStr">
        <is>
          <t>Periodeafgrænsningsposter (aktiver)</t>
        </is>
      </c>
      <c r="B23" s="17" t="n">
        <v>1435</v>
      </c>
      <c r="C23" s="17" t="n">
        <v>2056</v>
      </c>
      <c r="D23" s="17" t="n">
        <v>2527</v>
      </c>
      <c r="E23" s="17" t="n">
        <v>2284</v>
      </c>
      <c r="F23" s="17" t="n">
        <v>2754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1969</v>
      </c>
      <c r="E26" s="17" t="n"/>
      <c r="F26" s="17" t="n"/>
    </row>
    <row r="27">
      <c r="A27" s="15" t="inlineStr">
        <is>
          <t>Tilgodehavender</t>
        </is>
      </c>
      <c r="B27" s="17" t="n">
        <v>54089</v>
      </c>
      <c r="C27" s="17" t="n">
        <v>39727</v>
      </c>
      <c r="D27" s="17" t="n">
        <v>38623</v>
      </c>
      <c r="E27" s="17" t="n">
        <v>34321</v>
      </c>
      <c r="F27" s="17" t="n">
        <v>34964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33911</v>
      </c>
      <c r="C29" s="17" t="n">
        <v>38370</v>
      </c>
      <c r="D29" s="17" t="n">
        <v>24748</v>
      </c>
      <c r="E29" s="17" t="n">
        <v>43296</v>
      </c>
      <c r="F29" s="17" t="n">
        <v>34187</v>
      </c>
    </row>
    <row r="30">
      <c r="A30" s="15" t="inlineStr">
        <is>
          <t>Omsætningsaktiver</t>
        </is>
      </c>
      <c r="B30" s="17" t="n">
        <v>112054</v>
      </c>
      <c r="C30" s="17" t="n">
        <v>107632</v>
      </c>
      <c r="D30" s="17" t="n">
        <v>99158</v>
      </c>
      <c r="E30" s="17" t="n">
        <v>109526</v>
      </c>
      <c r="F30" s="17" t="n">
        <v>100226</v>
      </c>
    </row>
    <row r="31">
      <c r="A31" s="15" t="inlineStr">
        <is>
          <t>Aktiver</t>
        </is>
      </c>
      <c r="B31" s="17" t="n">
        <v>220330</v>
      </c>
      <c r="C31" s="17" t="n">
        <v>228713</v>
      </c>
      <c r="D31" s="17" t="n">
        <v>215493</v>
      </c>
      <c r="E31" s="17" t="n">
        <v>220361</v>
      </c>
      <c r="F31" s="17" t="n">
        <v>207419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9590</v>
      </c>
      <c r="C34" s="17" t="n">
        <v>6755</v>
      </c>
      <c r="D34" s="17" t="n">
        <v>4822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-537</v>
      </c>
      <c r="E35" s="17" t="n">
        <v>-558</v>
      </c>
      <c r="F35" s="17" t="n">
        <v>-606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102465</v>
      </c>
      <c r="C37" s="17" t="n">
        <v>124044</v>
      </c>
      <c r="D37" s="17" t="n">
        <v>133272</v>
      </c>
      <c r="E37" s="17" t="n">
        <v>141636</v>
      </c>
      <c r="F37" s="17" t="n">
        <v>130292</v>
      </c>
    </row>
    <row r="38">
      <c r="A38" s="15" t="inlineStr">
        <is>
          <t>Egenkapital i alt</t>
        </is>
      </c>
      <c r="B38" s="17" t="n">
        <v>141066</v>
      </c>
      <c r="C38" s="17" t="n">
        <v>133575</v>
      </c>
      <c r="D38" s="17" t="n">
        <v>140357</v>
      </c>
      <c r="E38" s="17" t="n">
        <v>146478</v>
      </c>
      <c r="F38" s="17" t="n">
        <v>141686</v>
      </c>
    </row>
    <row r="39">
      <c r="A39" s="16" t="inlineStr">
        <is>
          <t>Hensættelse til udskudt skat</t>
        </is>
      </c>
      <c r="B39" s="17" t="n">
        <v>5311</v>
      </c>
      <c r="C39" s="17" t="n">
        <v>6036</v>
      </c>
      <c r="D39" s="17" t="n">
        <v>6128</v>
      </c>
      <c r="E39" s="17" t="n">
        <v>6033</v>
      </c>
      <c r="F39" s="17" t="n">
        <v>6156</v>
      </c>
    </row>
    <row r="40">
      <c r="A40" s="15" t="inlineStr">
        <is>
          <t>Hensatte forpligtelser</t>
        </is>
      </c>
      <c r="B40" s="17" t="n">
        <v>5311</v>
      </c>
      <c r="C40" s="17" t="n">
        <v>6036</v>
      </c>
      <c r="D40" s="17" t="n">
        <v>6316</v>
      </c>
      <c r="E40" s="17" t="n">
        <v>6033</v>
      </c>
      <c r="F40" s="17" t="n">
        <v>6156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15691</v>
      </c>
      <c r="C42" s="17" t="n">
        <v>13935</v>
      </c>
      <c r="D42" s="17" t="n">
        <v>12437</v>
      </c>
      <c r="E42" s="17" t="n">
        <v>10808</v>
      </c>
      <c r="F42" s="17" t="n">
        <v>9024</v>
      </c>
    </row>
    <row r="43">
      <c r="A43" s="16" t="inlineStr">
        <is>
          <t>Leasingforpligtelser (langfristet)</t>
        </is>
      </c>
      <c r="B43" s="17" t="n">
        <v>0</v>
      </c>
      <c r="C43" s="17" t="n">
        <v>15031</v>
      </c>
      <c r="D43" s="17" t="n">
        <v>14573</v>
      </c>
      <c r="E43" s="17" t="n">
        <v>16135</v>
      </c>
      <c r="F43" s="17" t="n">
        <v>12333</v>
      </c>
    </row>
    <row r="44">
      <c r="A44" s="16" t="inlineStr">
        <is>
          <t>Anden gæld (langfristet)</t>
        </is>
      </c>
      <c r="B44" s="17" t="n">
        <v>8137</v>
      </c>
      <c r="C44" s="17" t="n">
        <v>6197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35029</v>
      </c>
      <c r="C45" s="17" t="n">
        <v>42543</v>
      </c>
      <c r="D45" s="17" t="n">
        <v>28273</v>
      </c>
      <c r="E45" s="17" t="n">
        <v>28698</v>
      </c>
      <c r="F45" s="17" t="n">
        <v>24980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1820</v>
      </c>
      <c r="C48" s="17" t="n">
        <v>1753</v>
      </c>
      <c r="D48" s="17" t="n">
        <v>1585</v>
      </c>
      <c r="E48" s="17" t="n">
        <v>1644</v>
      </c>
      <c r="F48" s="17" t="n">
        <v>1753</v>
      </c>
    </row>
    <row r="49">
      <c r="A49" s="16" t="inlineStr">
        <is>
          <t>Leasingforpligtelser (kortfristet)</t>
        </is>
      </c>
      <c r="B49" s="17" t="n">
        <v>600</v>
      </c>
      <c r="C49" s="17" t="n">
        <v>2581</v>
      </c>
      <c r="D49" s="17" t="n">
        <v>2951</v>
      </c>
      <c r="E49" s="17" t="n">
        <v>3771</v>
      </c>
      <c r="F49" s="17" t="n">
        <v>3802</v>
      </c>
    </row>
    <row r="50">
      <c r="A50" s="16" t="inlineStr">
        <is>
          <t>Leverandører af varer og tjenesteydelser</t>
        </is>
      </c>
      <c r="B50" s="17" t="n">
        <v>10706</v>
      </c>
      <c r="C50" s="17" t="n">
        <v>20520</v>
      </c>
      <c r="D50" s="17" t="n">
        <v>21551</v>
      </c>
      <c r="E50" s="17" t="n">
        <v>17945</v>
      </c>
      <c r="F50" s="17" t="n">
        <v>18270</v>
      </c>
    </row>
    <row r="51">
      <c r="A51" s="16" t="inlineStr">
        <is>
          <t>Gæld til tilknyttede virksomheder</t>
        </is>
      </c>
      <c r="B51" s="17" t="n"/>
      <c r="C51" s="17" t="n"/>
      <c r="D51" s="17" t="n">
        <v>0</v>
      </c>
      <c r="E51" s="17" t="n">
        <v>8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1504</v>
      </c>
      <c r="C53" s="17" t="n">
        <v>0</v>
      </c>
      <c r="D53" s="17" t="n"/>
      <c r="E53" s="17" t="n">
        <v>0</v>
      </c>
      <c r="F53" s="17" t="n">
        <v>121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282</v>
      </c>
      <c r="E54" s="17" t="n">
        <v>0</v>
      </c>
      <c r="F54" s="17" t="n">
        <v>73</v>
      </c>
    </row>
    <row r="55">
      <c r="A55" s="16" t="inlineStr">
        <is>
          <t>Anden gæld (kortfristet)</t>
        </is>
      </c>
      <c r="B55" s="17" t="n">
        <v>23041</v>
      </c>
      <c r="C55" s="17" t="n">
        <v>19473</v>
      </c>
      <c r="D55" s="17" t="n">
        <v>11950</v>
      </c>
      <c r="E55" s="17" t="n">
        <v>13819</v>
      </c>
      <c r="F55" s="17" t="n">
        <v>9777</v>
      </c>
    </row>
    <row r="56">
      <c r="A56" s="16" t="inlineStr">
        <is>
          <t>Periodeafgrænsningsposter (passiver)</t>
        </is>
      </c>
      <c r="B56" s="17" t="n">
        <v>1253</v>
      </c>
      <c r="C56" s="17" t="n">
        <v>2232</v>
      </c>
      <c r="D56" s="17" t="n">
        <v>2228</v>
      </c>
      <c r="E56" s="17" t="n">
        <v>1965</v>
      </c>
      <c r="F56" s="17" t="n">
        <v>801</v>
      </c>
    </row>
    <row r="57">
      <c r="A57" s="15" t="inlineStr">
        <is>
          <t>Kortfristede gældsforpligtelser</t>
        </is>
      </c>
      <c r="B57" s="17" t="n">
        <v>38924</v>
      </c>
      <c r="C57" s="17" t="n">
        <v>46559</v>
      </c>
      <c r="D57" s="17" t="n">
        <v>40547</v>
      </c>
      <c r="E57" s="17" t="n">
        <v>39152</v>
      </c>
      <c r="F57" s="17" t="n">
        <v>34597</v>
      </c>
    </row>
    <row r="58">
      <c r="A58" s="15" t="inlineStr">
        <is>
          <t>Gældsforpligtelser</t>
        </is>
      </c>
      <c r="B58" s="17" t="n">
        <v>73953</v>
      </c>
      <c r="C58" s="17" t="n">
        <v>89102</v>
      </c>
      <c r="D58" s="17" t="n">
        <v>68820</v>
      </c>
      <c r="E58" s="17" t="n">
        <v>67850</v>
      </c>
      <c r="F58" s="17" t="n">
        <v>59577</v>
      </c>
    </row>
    <row r="59">
      <c r="A59" s="15" t="inlineStr">
        <is>
          <t>Passiver</t>
        </is>
      </c>
      <c r="B59" s="17" t="n">
        <v>220330</v>
      </c>
      <c r="C59" s="17" t="n">
        <v>228713</v>
      </c>
      <c r="D59" s="17" t="n">
        <v>215493</v>
      </c>
      <c r="E59" s="17" t="n">
        <v>220361</v>
      </c>
      <c r="F59" s="17" t="n">
        <v>207419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30872</v>
      </c>
      <c r="F2" s="17" t="n">
        <v>31123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-11587</v>
      </c>
      <c r="F3" s="17" t="n">
        <v>-13834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11</v>
      </c>
      <c r="F4" s="17" t="n">
        <v>-23846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Montana Furniture A/S (CVR 66652912) — Regnskabs- og nøgletal (CVR: 66652912)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'res_raw_66652912'!$F$2</f>
        <v/>
      </c>
      <c r="C5" s="24">
        <f>'res_raw_66652912'!$E$2</f>
        <v/>
      </c>
      <c r="D5" s="24">
        <f>'res_raw_66652912'!$D$2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'res_raw_66652912'!$F$3</f>
        <v/>
      </c>
      <c r="C6" s="24">
        <f>'res_raw_66652912'!$E$3</f>
        <v/>
      </c>
      <c r="D6" s="24">
        <f>'res_raw_66652912'!$D$3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-'res_raw_66652912'!$F$4</f>
        <v/>
      </c>
      <c r="C7" s="24">
        <f>-'res_raw_66652912'!$E$4</f>
        <v/>
      </c>
      <c r="D7" s="24">
        <f>-'res_raw_66652912'!$D$4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-'res_raw_66652912'!$F$5</f>
        <v/>
      </c>
      <c r="C8" s="24">
        <f>-'res_raw_66652912'!$E$5</f>
        <v/>
      </c>
      <c r="D8" s="24">
        <f>-'res_raw_66652912'!$D$5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IF(COUNT('res_raw_66652912'!$F$2,'res_raw_66652912'!$F$3,'res_raw_66652912'!$F$4,'res_raw_66652912'!$F$5)=0,'res_raw_66652912'!$F$6,SUM(B5:B8))</f>
        <v/>
      </c>
      <c r="C9" s="27">
        <f>IF(COUNT('res_raw_66652912'!$E$2,'res_raw_66652912'!$E$3,'res_raw_66652912'!$E$4,'res_raw_66652912'!$E$5)=0,'res_raw_66652912'!$E$6,SUM(C5:C8))</f>
        <v/>
      </c>
      <c r="D9" s="27">
        <f>IF(COUNT('res_raw_66652912'!$D$2,'res_raw_66652912'!$D$3,'res_raw_66652912'!$D$4,'res_raw_66652912'!$D$5)=0,'res_raw_66652912'!$D$6,SUM(D5:D8))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-'res_raw_66652912'!$F$7</f>
        <v/>
      </c>
      <c r="C10" s="24">
        <f>-'res_raw_66652912'!$E$7</f>
        <v/>
      </c>
      <c r="D10" s="24">
        <f>-'res_raw_66652912'!$D$7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-'res_raw_66652912'!$F$9</f>
        <v/>
      </c>
      <c r="C11" s="24">
        <f>-'res_raw_66652912'!$E$9</f>
        <v/>
      </c>
      <c r="D11" s="24">
        <f>-'res_raw_66652912'!$D$9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-'res_raw_66652912'!$F$10</f>
        <v/>
      </c>
      <c r="C12" s="24">
        <f>-'res_raw_66652912'!$E$10</f>
        <v/>
      </c>
      <c r="D12" s="24">
        <f>-'res_raw_66652912'!$D$10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N('res_raw_66652912'!$F$12)+N('res_raw_66652912'!$F$13)</f>
        <v/>
      </c>
      <c r="C14" s="24">
        <f>N('res_raw_66652912'!$E$12)+N('res_raw_66652912'!$E$13)</f>
        <v/>
      </c>
      <c r="D14" s="24">
        <f>N('res_raw_66652912'!$D$12)+N('res_raw_66652912'!$D$13)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-'res_raw_66652912'!$F$14</f>
        <v/>
      </c>
      <c r="C15" s="24">
        <f>-'res_raw_66652912'!$E$14</f>
        <v/>
      </c>
      <c r="D15" s="24">
        <f>-'res_raw_66652912'!$D$14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'balance_raw_66652912'!$F$15</f>
        <v/>
      </c>
      <c r="C19" s="24">
        <f>'balance_raw_66652912'!$E$15</f>
        <v/>
      </c>
      <c r="D19" s="24">
        <f>'balance_raw_66652912'!$D$15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'balance_raw_66652912'!$F$30</f>
        <v/>
      </c>
      <c r="C20" s="24">
        <f>'balance_raw_66652912'!$E$30</f>
        <v/>
      </c>
      <c r="D20" s="24">
        <f>'balance_raw_66652912'!$D$30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'balance_raw_66652912'!$F$38</f>
        <v/>
      </c>
      <c r="C23" s="24">
        <f>'balance_raw_66652912'!$E$38</f>
        <v/>
      </c>
      <c r="D23" s="24">
        <f>'balance_raw_66652912'!$D$38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'balance_raw_66652912'!$F$59-'balance_raw_66652912'!$F$38</f>
        <v/>
      </c>
      <c r="C24" s="24">
        <f>'balance_raw_66652912'!$E$59-'balance_raw_66652912'!$E$38</f>
        <v/>
      </c>
      <c r="D24" s="24">
        <f>'balance_raw_66652912'!$D$59-'balance_raw_66652912'!$D$38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'balance_raw_66652912'!$F$19</f>
        <v/>
      </c>
      <c r="C28" s="24">
        <f>'balance_raw_66652912'!$E$19</f>
        <v/>
      </c>
      <c r="D28" s="24">
        <f>'balance_raw_66652912'!$D$19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'balance_raw_66652912'!$F$20</f>
        <v/>
      </c>
      <c r="C29" s="24">
        <f>'balance_raw_66652912'!$E$20</f>
        <v/>
      </c>
      <c r="D29" s="24">
        <f>'balance_raw_66652912'!$D$20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'balance_raw_66652912'!$F$57</f>
        <v/>
      </c>
      <c r="C30" s="24">
        <f>'balance_raw_66652912'!$E$57</f>
        <v/>
      </c>
      <c r="D30" s="24">
        <f>'balance_raw_66652912'!$D$57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IF('balance_raw_66652912'!$F$31="","—",IF(ABS(B21-'balance_raw_66652912'!$F$31)&lt;=1,"✓ OK","❌ "&amp;TEXT(B21-'balance_raw_66652912'!$F$31,"+#,##0;-#,##0")&amp;" t.kr."))</f>
        <v/>
      </c>
      <c r="C61" s="29">
        <f>IF('balance_raw_66652912'!$E$31="","—",IF(ABS(C21-'balance_raw_66652912'!$E$31)&lt;=1,"✓ OK","❌ "&amp;TEXT(C21-'balance_raw_66652912'!$E$31,"+#,##0;-#,##0")&amp;" t.kr."))</f>
        <v/>
      </c>
      <c r="D61" s="29">
        <f>IF('balance_raw_66652912'!$D$31="","—",IF(ABS(D21-'balance_raw_66652912'!$D$31)&lt;=1,"✓ OK","❌ "&amp;TEXT(D21-'balance_raw_66652912'!$D$31,"+#,##0;-#,##0")&amp;"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IF('balance_raw_66652912'!$F$59="","—",IF(ABS(B25-'balance_raw_66652912'!$F$59)&lt;=1,"✓ OK","❌ "&amp;TEXT(B25-'balance_raw_66652912'!$F$59,"+#,##0;-#,##0")&amp;" t.kr."))</f>
        <v/>
      </c>
      <c r="C62" s="29">
        <f>IF('balance_raw_66652912'!$E$59="","—",IF(ABS(C25-'balance_raw_66652912'!$E$59)&lt;=1,"✓ OK","❌ "&amp;TEXT(C25-'balance_raw_66652912'!$E$59,"+#,##0;-#,##0")&amp;" t.kr."))</f>
        <v/>
      </c>
      <c r="D62" s="29">
        <f>IF('balance_raw_66652912'!$D$59="","—",IF(ABS(D25-'balance_raw_66652912'!$D$59)&lt;=1,"✓ OK","❌ "&amp;TEXT(D25-'balance_raw_66652912'!$D$59,"+#,##0;-#,##0")&amp;"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IF('res_raw_66652912'!$F$6="","—",IF(ABS(B9-'res_raw_66652912'!$F$6)&lt;=1,"✓ OK","❌ "&amp;TEXT(B9-'res_raw_66652912'!$F$6,"+#,##0;-#,##0")&amp;" t.kr."))</f>
        <v/>
      </c>
      <c r="C64" s="29">
        <f>IF('res_raw_66652912'!$E$6="","—",IF(ABS(C9-'res_raw_66652912'!$E$6)&lt;=1,"✓ OK","❌ "&amp;TEXT(C9-'res_raw_66652912'!$E$6,"+#,##0;-#,##0")&amp;" t.kr."))</f>
        <v/>
      </c>
      <c r="D64" s="29">
        <f>IF('res_raw_66652912'!$D$6="","—",IF(ABS(D9-'res_raw_66652912'!$D$6)&lt;=1,"✓ OK","❌ "&amp;TEXT(D9-'res_raw_66652912'!$D$6,"+#,##0;-#,##0")&amp;"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IF('res_raw_66652912'!$F$11="","—",IF(ABS(B13-'res_raw_66652912'!$F$11)&lt;=1,"✓ OK","❌ "&amp;TEXT(B13-'res_raw_66652912'!$F$11,"+#,##0;-#,##0")&amp;" t.kr."))</f>
        <v/>
      </c>
      <c r="C65" s="29">
        <f>IF('res_raw_66652912'!$E$11="","—",IF(ABS(C13-'res_raw_66652912'!$E$11)&lt;=1,"✓ OK","❌ "&amp;TEXT(C13-'res_raw_66652912'!$E$11,"+#,##0;-#,##0")&amp;" t.kr."))</f>
        <v/>
      </c>
      <c r="D65" s="29">
        <f>IF('res_raw_66652912'!$D$11="","—",IF(ABS(D13-'res_raw_66652912'!$D$11)&lt;=1,"✓ OK","❌ "&amp;TEXT(D13-'res_raw_66652912'!$D$11,"+#,##0;-#,##0")&amp;"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IF('res_raw_66652912'!$F$16="","—",IF(ABS(B16-'res_raw_66652912'!$F$16)&lt;=1,"✓ OK","❌ "&amp;TEXT(B16-'res_raw_66652912'!$F$16,"+#,##0;-#,##0")&amp;" t.kr."))</f>
        <v/>
      </c>
      <c r="C66" s="29">
        <f>IF('res_raw_66652912'!$E$16="","—",IF(ABS(C16-'res_raw_66652912'!$E$16)&lt;=1,"✓ OK","❌ "&amp;TEXT(C16-'res_raw_66652912'!$E$16,"+#,##0;-#,##0")&amp;" t.kr."))</f>
        <v/>
      </c>
      <c r="D66" s="29">
        <f>IF('res_raw_66652912'!$D$16="","—",IF(ABS(D16-'res_raw_66652912'!$D$16)&lt;=1,"✓ OK","❌ "&amp;TEXT(D16-'res_raw_66652912'!$D$16,"+#,##0;-#,##0")&amp;"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Montana Furniture A/S (CVR 66652912)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/>
      <c r="E3" s="35" t="n"/>
      <c r="F3" s="35" t="n"/>
      <c r="G3" s="35" t="n">
        <v>5925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>
        <v>1035</v>
      </c>
      <c r="F4" s="38" t="n">
        <v>2015</v>
      </c>
      <c r="G4" s="38" t="n">
        <v>0</v>
      </c>
      <c r="H4" s="38" t="n">
        <v>35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fsa:HedgeFund</t>
        </is>
      </c>
      <c r="C5" s="34" t="inlineStr">
        <is>
          <t>fsa:HedgeFund</t>
        </is>
      </c>
      <c r="D5" s="35" t="n">
        <v>-2989</v>
      </c>
      <c r="E5" s="35" t="n">
        <v>-1324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fsa:LongtermTaxPayables</t>
        </is>
      </c>
      <c r="C6" s="37" t="inlineStr">
        <is>
          <t>fsa:LongtermTaxPayables</t>
        </is>
      </c>
      <c r="D6" s="38" t="n">
        <v>11201</v>
      </c>
      <c r="E6" s="38" t="n">
        <v>7380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fsa:LongtermTaxPayablesToGroupEnterprises</t>
        </is>
      </c>
      <c r="C7" s="34" t="inlineStr">
        <is>
          <t>fsa:LongtermTaxPayablesToGroupEnterprises</t>
        </is>
      </c>
      <c r="D7" s="35" t="n"/>
      <c r="E7" s="35" t="n"/>
      <c r="F7" s="35" t="n">
        <v>659</v>
      </c>
      <c r="G7" s="35" t="n">
        <v>1141</v>
      </c>
      <c r="H7" s="35" t="n">
        <v>2976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fsa:ReductionOfLeaseCommitments</t>
        </is>
      </c>
      <c r="C8" s="37" t="inlineStr">
        <is>
          <t>fsa:ReductionOfLeaseCommitments</t>
        </is>
      </c>
      <c r="D8" s="38" t="n"/>
      <c r="E8" s="38" t="n"/>
      <c r="F8" s="38" t="n"/>
      <c r="G8" s="38" t="n">
        <v>3544</v>
      </c>
      <c r="H8" s="38" t="n">
        <v>3771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fsa:RepaymentOfMortgageDebt</t>
        </is>
      </c>
      <c r="C9" s="34" t="inlineStr">
        <is>
          <t>fsa:RepaymentOfMortgageDebt</t>
        </is>
      </c>
      <c r="D9" s="35" t="n"/>
      <c r="E9" s="35" t="n"/>
      <c r="F9" s="35" t="n"/>
      <c r="G9" s="35" t="n">
        <v>1570</v>
      </c>
      <c r="H9" s="35" t="n">
        <v>1675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2026-09-27T21:18:53Z</dcterms:created>
  <dcterms:modified xmlns:dcterms="http://purl.org/dc/terms/" xmlns:xsi="http://www.w3.org/2001/XMLSchema-instance" xsi:type="dcterms:W3CDTF">2026-09-27T21:18:54Z</dcterms:modified>
</cp:coreProperties>
</file>