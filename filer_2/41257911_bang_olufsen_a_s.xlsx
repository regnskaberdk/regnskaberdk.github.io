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bogo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(2022=100)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2022</v>
      </c>
      <c r="C3" s="3" t="n">
        <v>2023</v>
      </c>
      <c r="D3" s="3" t="n">
        <v>2024</v>
      </c>
      <c r="E3" s="3" t="n">
        <v>2025</v>
      </c>
      <c r="F3" s="3" t="n">
        <v>2026</v>
      </c>
      <c r="G3" t="inlineStr"/>
      <c r="H3" s="3" t="n">
        <v>2022</v>
      </c>
      <c r="I3" s="3" t="n">
        <v>2023</v>
      </c>
      <c r="J3" s="3" t="n">
        <v>2024</v>
      </c>
      <c r="K3" s="3" t="n">
        <v>2025</v>
      </c>
      <c r="L3" s="3" t="n">
        <v>2026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2022</v>
      </c>
      <c r="C20" s="3" t="n">
        <v>2023</v>
      </c>
      <c r="D20" s="3" t="n">
        <v>2024</v>
      </c>
      <c r="E20" s="3" t="n">
        <v>2025</v>
      </c>
      <c r="F20" s="3" t="n">
        <v>2026</v>
      </c>
      <c r="G20" t="inlineStr"/>
      <c r="H20" s="3" t="n">
        <v>2022</v>
      </c>
      <c r="I20" s="3" t="n">
        <v>2023</v>
      </c>
      <c r="J20" s="3" t="n">
        <v>2024</v>
      </c>
      <c r="K20" s="3" t="n">
        <v>2025</v>
      </c>
      <c r="L20" s="3" t="n">
        <v>2026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7" t="inlineStr">
        <is>
          <t>Materielle anlægsaktiver</t>
        </is>
      </c>
      <c r="B25" s="8">
        <f>'balance_raw'!$B$6</f>
        <v/>
      </c>
      <c r="C25" s="8">
        <f>'balance_raw'!$C$6</f>
        <v/>
      </c>
      <c r="D25" s="8">
        <f>'balance_raw'!$D$6</f>
        <v/>
      </c>
      <c r="E25" s="8">
        <f>'balance_raw'!$E$6</f>
        <v/>
      </c>
      <c r="F25" s="8">
        <f>'balance_raw'!$F$6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7" t="inlineStr">
        <is>
          <t>Anlægsaktiver</t>
        </is>
      </c>
      <c r="B26" s="8">
        <f>'balance_raw'!$B$7</f>
        <v/>
      </c>
      <c r="C26" s="8">
        <f>'balance_raw'!$C$7</f>
        <v/>
      </c>
      <c r="D26" s="8">
        <f>'balance_raw'!$D$7</f>
        <v/>
      </c>
      <c r="E26" s="8">
        <f>'balance_raw'!$E$7</f>
        <v/>
      </c>
      <c r="F26" s="8">
        <f>'balance_raw'!$F$7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7" t="inlineStr">
        <is>
          <t>Varebeholdninger</t>
        </is>
      </c>
      <c r="B27" s="8">
        <f>'balance_raw'!$B$8</f>
        <v/>
      </c>
      <c r="C27" s="8">
        <f>'balance_raw'!$C$8</f>
        <v/>
      </c>
      <c r="D27" s="8">
        <f>'balance_raw'!$D$8</f>
        <v/>
      </c>
      <c r="E27" s="8">
        <f>'balance_raw'!$E$8</f>
        <v/>
      </c>
      <c r="F27" s="8">
        <f>'balance_raw'!$F$8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Tilgodehavender fra salg og tjenesteydelser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Tilgodehavender hos tilknyttede virksomheder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4" t="inlineStr">
        <is>
          <t>Andre tilgodehavender</t>
        </is>
      </c>
      <c r="B30" s="5">
        <f>'balance_raw'!$B$11</f>
        <v/>
      </c>
      <c r="C30" s="5">
        <f>'balance_raw'!$C$11</f>
        <v/>
      </c>
      <c r="D30" s="5">
        <f>'balance_raw'!$D$11</f>
        <v/>
      </c>
      <c r="E30" s="5">
        <f>'balance_raw'!$E$11</f>
        <v/>
      </c>
      <c r="F30" s="5">
        <f>'balance_raw'!$F$11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Periodeafgrænsningsposter (aktiver)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Udskudt skatteaktiv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Tilgodehavende skat hos tilknyttede virksomheder</t>
        </is>
      </c>
      <c r="B33" s="11">
        <f>'balance_raw'!$B$14</f>
        <v/>
      </c>
      <c r="C33" s="11">
        <f>'balance_raw'!$C$14</f>
        <v/>
      </c>
      <c r="D33" s="11">
        <f>'balance_raw'!$D$14</f>
        <v/>
      </c>
      <c r="E33" s="11">
        <f>'balance_raw'!$E$14</f>
        <v/>
      </c>
      <c r="F33" s="11">
        <f>'balance_raw'!$F$14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Kortfristede skattetilgodehavender</t>
        </is>
      </c>
      <c r="B34" s="5">
        <f>'balance_raw'!$B$15</f>
        <v/>
      </c>
      <c r="C34" s="5">
        <f>'balance_raw'!$C$15</f>
        <v/>
      </c>
      <c r="D34" s="5">
        <f>'balance_raw'!$D$15</f>
        <v/>
      </c>
      <c r="E34" s="5">
        <f>'balance_raw'!$E$15</f>
        <v/>
      </c>
      <c r="F34" s="5">
        <f>'balance_raw'!$F$15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Tilgodehavender</t>
        </is>
      </c>
      <c r="B35" s="8">
        <f>'balance_raw'!$B$16</f>
        <v/>
      </c>
      <c r="C35" s="8">
        <f>'balance_raw'!$C$16</f>
        <v/>
      </c>
      <c r="D35" s="8">
        <f>'balance_raw'!$D$16</f>
        <v/>
      </c>
      <c r="E35" s="8">
        <f>'balance_raw'!$E$16</f>
        <v/>
      </c>
      <c r="F35" s="8">
        <f>'balance_raw'!$F$16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Værdipapirer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Likvide beholdninger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Omsætningsaktiver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7" t="inlineStr">
        <is>
          <t>Aktiver</t>
        </is>
      </c>
      <c r="B39" s="8">
        <f>'balance_raw'!$B$20</f>
        <v/>
      </c>
      <c r="C39" s="8">
        <f>'balance_raw'!$C$20</f>
        <v/>
      </c>
      <c r="D39" s="8">
        <f>'balance_raw'!$D$20</f>
        <v/>
      </c>
      <c r="E39" s="8">
        <f>'balance_raw'!$E$20</f>
        <v/>
      </c>
      <c r="F39" s="8">
        <f>'balance_raw'!$F$20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1" ht="22" customHeight="1">
      <c r="A41" s="3" t="inlineStr">
        <is>
          <t>PASSIVER t.kr.</t>
        </is>
      </c>
      <c r="B41" s="3" t="n">
        <v>2022</v>
      </c>
      <c r="C41" s="3" t="n">
        <v>2023</v>
      </c>
      <c r="D41" s="3" t="n">
        <v>2024</v>
      </c>
      <c r="E41" s="3" t="n">
        <v>2025</v>
      </c>
      <c r="F41" s="3" t="n">
        <v>2026</v>
      </c>
      <c r="G41" t="inlineStr"/>
      <c r="H41" s="3" t="n">
        <v>2022</v>
      </c>
      <c r="I41" s="3" t="n">
        <v>2023</v>
      </c>
      <c r="J41" s="3" t="n">
        <v>2024</v>
      </c>
      <c r="K41" s="3" t="n">
        <v>2025</v>
      </c>
      <c r="L41" s="3" t="n">
        <v>2026</v>
      </c>
    </row>
    <row r="42" ht="16" customHeight="1">
      <c r="A42" s="4" t="inlineStr">
        <is>
          <t>Selskabskapital</t>
        </is>
      </c>
      <c r="B42" s="5">
        <f>'balance_raw'!$B$21</f>
        <v/>
      </c>
      <c r="C42" s="5">
        <f>'balance_raw'!$C$21</f>
        <v/>
      </c>
      <c r="D42" s="5">
        <f>'balance_raw'!$D$21</f>
        <v/>
      </c>
      <c r="E42" s="5">
        <f>'balance_raw'!$E$21</f>
        <v/>
      </c>
      <c r="F42" s="5">
        <f>'balance_raw'!$F$21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Reserve for nettoopskrivning (indre værdis metode)</t>
        </is>
      </c>
      <c r="B43" s="11">
        <f>'balance_raw'!$B$22</f>
        <v/>
      </c>
      <c r="C43" s="11">
        <f>'balance_raw'!$C$22</f>
        <v/>
      </c>
      <c r="D43" s="11">
        <f>'balance_raw'!$D$22</f>
        <v/>
      </c>
      <c r="E43" s="11">
        <f>'balance_raw'!$E$22</f>
        <v/>
      </c>
      <c r="F43" s="11">
        <f>'balance_raw'!$F$22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Reserve for udviklingsomkostninger</t>
        </is>
      </c>
      <c r="B44" s="5">
        <f>'balance_raw'!$B$23</f>
        <v/>
      </c>
      <c r="C44" s="5">
        <f>'balance_raw'!$C$23</f>
        <v/>
      </c>
      <c r="D44" s="5">
        <f>'balance_raw'!$D$23</f>
        <v/>
      </c>
      <c r="E44" s="5">
        <f>'balance_raw'!$E$23</f>
        <v/>
      </c>
      <c r="F44" s="5">
        <f>'balance_raw'!$F$23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Reserve for sikringstransaktioner</t>
        </is>
      </c>
      <c r="B45" s="11">
        <f>'balance_raw'!$B$24</f>
        <v/>
      </c>
      <c r="C45" s="11">
        <f>'balance_raw'!$C$24</f>
        <v/>
      </c>
      <c r="D45" s="11">
        <f>'balance_raw'!$D$24</f>
        <v/>
      </c>
      <c r="E45" s="11">
        <f>'balance_raw'!$E$24</f>
        <v/>
      </c>
      <c r="F45" s="11">
        <f>'balance_raw'!$F$24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4" t="inlineStr">
        <is>
          <t>Andre reserver</t>
        </is>
      </c>
      <c r="B46" s="5">
        <f>'balance_raw'!$B$25</f>
        <v/>
      </c>
      <c r="C46" s="5">
        <f>'balance_raw'!$C$25</f>
        <v/>
      </c>
      <c r="D46" s="5">
        <f>'balance_raw'!$D$25</f>
        <v/>
      </c>
      <c r="E46" s="5">
        <f>'balance_raw'!$E$25</f>
        <v/>
      </c>
      <c r="F46" s="5">
        <f>'balance_raw'!$F$25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Overført resultat</t>
        </is>
      </c>
      <c r="B47" s="11">
        <f>'balance_raw'!$B$26</f>
        <v/>
      </c>
      <c r="C47" s="11">
        <f>'balance_raw'!$C$26</f>
        <v/>
      </c>
      <c r="D47" s="11">
        <f>'balance_raw'!$D$26</f>
        <v/>
      </c>
      <c r="E47" s="11">
        <f>'balance_raw'!$E$26</f>
        <v/>
      </c>
      <c r="F47" s="11">
        <f>'balance_raw'!$F$26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7" t="inlineStr">
        <is>
          <t>Egenkapital i alt</t>
        </is>
      </c>
      <c r="B48" s="8">
        <f>'balance_raw'!$B$27</f>
        <v/>
      </c>
      <c r="C48" s="8">
        <f>'balance_raw'!$C$27</f>
        <v/>
      </c>
      <c r="D48" s="8">
        <f>'balance_raw'!$D$27</f>
        <v/>
      </c>
      <c r="E48" s="8">
        <f>'balance_raw'!$E$27</f>
        <v/>
      </c>
      <c r="F48" s="8">
        <f>'balance_raw'!$F$27</f>
        <v/>
      </c>
      <c r="G48" t="inlineStr"/>
      <c r="H48" s="9">
        <f>IFERROR(B48/$B$48*100,"")</f>
        <v/>
      </c>
      <c r="I48" s="9">
        <f>IFERROR(C48/$B$48*100,"")</f>
        <v/>
      </c>
      <c r="J48" s="9">
        <f>IFERROR(D48/$B$48*100,"")</f>
        <v/>
      </c>
      <c r="K48" s="9">
        <f>IFERROR(E48/$B$48*100,"")</f>
        <v/>
      </c>
      <c r="L48" s="9">
        <f>IFERROR(F48/$B$48*100,"")</f>
        <v/>
      </c>
    </row>
    <row r="49" ht="16" customHeight="1">
      <c r="A49" s="10" t="inlineStr">
        <is>
          <t>Hensættelse til udskudt skat</t>
        </is>
      </c>
      <c r="B49" s="11">
        <f>'balance_raw'!$B$28</f>
        <v/>
      </c>
      <c r="C49" s="11">
        <f>'balance_raw'!$C$28</f>
        <v/>
      </c>
      <c r="D49" s="11">
        <f>'balance_raw'!$D$28</f>
        <v/>
      </c>
      <c r="E49" s="11">
        <f>'balance_raw'!$E$28</f>
        <v/>
      </c>
      <c r="F49" s="11">
        <f>'balance_raw'!$F$28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7" t="inlineStr">
        <is>
          <t>Hensatte forpligtelser</t>
        </is>
      </c>
      <c r="B50" s="8">
        <f>'balance_raw'!$B$29</f>
        <v/>
      </c>
      <c r="C50" s="8">
        <f>'balance_raw'!$C$29</f>
        <v/>
      </c>
      <c r="D50" s="8">
        <f>'balance_raw'!$D$29</f>
        <v/>
      </c>
      <c r="E50" s="8">
        <f>'balance_raw'!$E$29</f>
        <v/>
      </c>
      <c r="F50" s="8">
        <f>'balance_raw'!$F$29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1" ht="16" customHeight="1">
      <c r="A51" s="10" t="inlineStr">
        <is>
          <t>Ansvarlig lånekapital (langfristet)</t>
        </is>
      </c>
      <c r="B51" s="11">
        <f>'balance_raw'!$B$30</f>
        <v/>
      </c>
      <c r="C51" s="11">
        <f>'balance_raw'!$C$30</f>
        <v/>
      </c>
      <c r="D51" s="11">
        <f>'balance_raw'!$D$30</f>
        <v/>
      </c>
      <c r="E51" s="11">
        <f>'balance_raw'!$E$30</f>
        <v/>
      </c>
      <c r="F51" s="11">
        <f>'balance_raw'!$F$30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Langfristede lån</t>
        </is>
      </c>
      <c r="B52" s="5">
        <f>'balance_raw'!$B$31</f>
        <v/>
      </c>
      <c r="C52" s="5">
        <f>'balance_raw'!$C$31</f>
        <v/>
      </c>
      <c r="D52" s="5">
        <f>'balance_raw'!$D$31</f>
        <v/>
      </c>
      <c r="E52" s="5">
        <f>'balance_raw'!$E$31</f>
        <v/>
      </c>
      <c r="F52" s="5">
        <f>'balance_raw'!$F$31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Leasingforpligtelser (langfristet)</t>
        </is>
      </c>
      <c r="B53" s="11">
        <f>'balance_raw'!$B$32</f>
        <v/>
      </c>
      <c r="C53" s="11">
        <f>'balance_raw'!$C$32</f>
        <v/>
      </c>
      <c r="D53" s="11">
        <f>'balance_raw'!$D$32</f>
        <v/>
      </c>
      <c r="E53" s="11">
        <f>'balance_raw'!$E$32</f>
        <v/>
      </c>
      <c r="F53" s="11">
        <f>'balance_raw'!$F$32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Anden gæld (langfristet)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Langfristede gældsforpligtelser</t>
        </is>
      </c>
      <c r="B55" s="8">
        <f>'balance_raw'!$B$34</f>
        <v/>
      </c>
      <c r="C55" s="8">
        <f>'balance_raw'!$C$34</f>
        <v/>
      </c>
      <c r="D55" s="8">
        <f>'balance_raw'!$D$34</f>
        <v/>
      </c>
      <c r="E55" s="8">
        <f>'balance_raw'!$E$34</f>
        <v/>
      </c>
      <c r="F55" s="8">
        <f>'balance_raw'!$F$34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Ansvarlig lånekapital (kortfristet)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Kortfristet del af langfristede gældsforpligtelser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Kreditinstitutter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(kortfristet)</t>
        </is>
      </c>
      <c r="B59" s="11">
        <f>'balance_raw'!$B$38</f>
        <v/>
      </c>
      <c r="C59" s="11">
        <f>'balance_raw'!$C$38</f>
        <v/>
      </c>
      <c r="D59" s="11">
        <f>'balance_raw'!$D$38</f>
        <v/>
      </c>
      <c r="E59" s="11">
        <f>'balance_raw'!$E$38</f>
        <v/>
      </c>
      <c r="F59" s="11">
        <f>'balance_raw'!$F$38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Leverandører af varer og tjenesteydelser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Gæld til tilknyttede virksomheder</t>
        </is>
      </c>
      <c r="B61" s="11">
        <f>'balance_raw'!$B$40</f>
        <v/>
      </c>
      <c r="C61" s="11">
        <f>'balance_raw'!$C$40</f>
        <v/>
      </c>
      <c r="D61" s="11">
        <f>'balance_raw'!$D$40</f>
        <v/>
      </c>
      <c r="E61" s="11">
        <f>'balance_raw'!$E$40</f>
        <v/>
      </c>
      <c r="F61" s="11">
        <f>'balance_raw'!$F$40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Gæld til selskabsdeltagere og ledelse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Selskabsskat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Gæld til tilknyttede virksomheder vedr. selskabsskat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(kortfristet)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Periodeafgrænsningsposter (passiver)</t>
        </is>
      </c>
      <c r="B66" s="5">
        <f>'balance_raw'!$B$45</f>
        <v/>
      </c>
      <c r="C66" s="5">
        <f>'balance_raw'!$C$45</f>
        <v/>
      </c>
      <c r="D66" s="5">
        <f>'balance_raw'!$D$45</f>
        <v/>
      </c>
      <c r="E66" s="5">
        <f>'balance_raw'!$E$45</f>
        <v/>
      </c>
      <c r="F66" s="5">
        <f>'balance_raw'!$F$45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Kortfristede gældsforpligtelser</t>
        </is>
      </c>
      <c r="B67" s="8">
        <f>'balance_raw'!$B$46</f>
        <v/>
      </c>
      <c r="C67" s="8">
        <f>'balance_raw'!$C$46</f>
        <v/>
      </c>
      <c r="D67" s="8">
        <f>'balance_raw'!$D$46</f>
        <v/>
      </c>
      <c r="E67" s="8">
        <f>'balance_raw'!$E$46</f>
        <v/>
      </c>
      <c r="F67" s="8">
        <f>'balance_raw'!$F$46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7" t="inlineStr">
        <is>
          <t>Gældsforpligtelser</t>
        </is>
      </c>
      <c r="B68" s="8">
        <f>'balance_raw'!$B$47</f>
        <v/>
      </c>
      <c r="C68" s="8">
        <f>'balance_raw'!$C$47</f>
        <v/>
      </c>
      <c r="D68" s="8">
        <f>'balance_raw'!$D$47</f>
        <v/>
      </c>
      <c r="E68" s="8">
        <f>'balance_raw'!$E$47</f>
        <v/>
      </c>
      <c r="F68" s="8">
        <f>'balance_raw'!$F$47</f>
        <v/>
      </c>
      <c r="G68" t="inlineStr"/>
      <c r="H68" s="9">
        <f>IFERROR(B68/$B$68*100,"")</f>
        <v/>
      </c>
      <c r="I68" s="9">
        <f>IFERROR(C68/$B$68*100,"")</f>
        <v/>
      </c>
      <c r="J68" s="9">
        <f>IFERROR(D68/$B$68*100,"")</f>
        <v/>
      </c>
      <c r="K68" s="9">
        <f>IFERROR(E68/$B$68*100,"")</f>
        <v/>
      </c>
      <c r="L68" s="9">
        <f>IFERROR(F68/$B$68*100,"")</f>
        <v/>
      </c>
    </row>
    <row r="69" ht="16" customHeight="1">
      <c r="A69" s="7" t="inlineStr">
        <is>
          <t>Passiver</t>
        </is>
      </c>
      <c r="B69" s="8">
        <f>'balance_raw'!$B$48</f>
        <v/>
      </c>
      <c r="C69" s="8">
        <f>'balance_raw'!$C$48</f>
        <v/>
      </c>
      <c r="D69" s="8">
        <f>'balance_raw'!$D$48</f>
        <v/>
      </c>
      <c r="E69" s="8">
        <f>'balance_raw'!$E$48</f>
        <v/>
      </c>
      <c r="F69" s="8">
        <f>'balance_raw'!$F$48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1" ht="22" customHeight="1">
      <c r="A71" s="3" t="inlineStr">
        <is>
          <t>NØGLEOPLYSNINGER</t>
        </is>
      </c>
      <c r="B71" s="3" t="n">
        <v>2022</v>
      </c>
      <c r="C71" s="3" t="n">
        <v>2023</v>
      </c>
      <c r="D71" s="3" t="n">
        <v>2024</v>
      </c>
      <c r="E71" s="3" t="n">
        <v>2025</v>
      </c>
      <c r="F71" s="3" t="n">
        <v>2026</v>
      </c>
    </row>
    <row r="72" ht="16" customHeight="1">
      <c r="A72" s="4" t="inlineStr">
        <is>
          <t>Gns. antal medarbejdere</t>
        </is>
      </c>
      <c r="B72" s="5">
        <f>'res_raw'!$B$17</f>
        <v/>
      </c>
      <c r="C72" s="5">
        <f>'res_raw'!$C$17</f>
        <v/>
      </c>
      <c r="D72" s="5">
        <f>'res_raw'!$D$17</f>
        <v/>
      </c>
      <c r="E72" s="5">
        <f>'res_raw'!$E$17</f>
        <v/>
      </c>
      <c r="F72" s="5">
        <f>'res_raw'!$F$17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Investering i materielle anlægsaktiver</t>
        </is>
      </c>
      <c r="B73" s="11">
        <f>'res_raw'!$B$18</f>
        <v/>
      </c>
      <c r="C73" s="11">
        <f>'res_raw'!$C$18</f>
        <v/>
      </c>
      <c r="D73" s="11">
        <f>'res_raw'!$D$18</f>
        <v/>
      </c>
      <c r="E73" s="11">
        <f>'res_raw'!$E$18</f>
        <v/>
      </c>
      <c r="F73" s="11">
        <f>'res_raw'!$F$18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NØGLETAL</t>
        </is>
      </c>
      <c r="B75" s="3" t="n">
        <v>2022</v>
      </c>
      <c r="C75" s="3" t="n">
        <v>2023</v>
      </c>
      <c r="D75" s="3" t="n">
        <v>2024</v>
      </c>
      <c r="E75" s="3" t="n">
        <v>2025</v>
      </c>
      <c r="F75" s="3" t="n">
        <v>2026</v>
      </c>
    </row>
    <row r="76" ht="16" customHeight="1">
      <c r="A76" s="4" t="inlineStr">
        <is>
          <t>Afkastningsgrad, %</t>
        </is>
      </c>
      <c r="B76" s="13">
        <f>IFERROR(($B$11+$B$13+$B$12)/$B$39*100,"")</f>
        <v/>
      </c>
      <c r="C76" s="13">
        <f>IFERROR(($C$11+$C$13+$C$12)/$C$39*100,"")</f>
        <v/>
      </c>
      <c r="D76" s="13">
        <f>IFERROR(($D$11+$D$13+$D$12)/$D$39*100,"")</f>
        <v/>
      </c>
      <c r="E76" s="13">
        <f>IFERROR(($E$11+$E$13+$E$12)/$E$39*100,"")</f>
        <v/>
      </c>
      <c r="F76" s="13">
        <f>IFERROR(($F$11+$F$13+$F$12)/$F$39*100,"")</f>
        <v/>
      </c>
    </row>
    <row r="77" ht="16" customHeight="1">
      <c r="A77" s="10" t="inlineStr">
        <is>
          <t>Overskudsgrad, %</t>
        </is>
      </c>
      <c r="B77" s="14">
        <f>IFERROR(($B$11+$B$13+$B$12)/$B$4*100,"")</f>
        <v/>
      </c>
      <c r="C77" s="14">
        <f>IFERROR(($C$11+$C$13+$C$12)/$C$4*100,"")</f>
        <v/>
      </c>
      <c r="D77" s="14">
        <f>IFERROR(($D$11+$D$13+$D$12)/$D$4*100,"")</f>
        <v/>
      </c>
      <c r="E77" s="14">
        <f>IFERROR(($E$11+$E$13+$E$12)/$E$4*100,"")</f>
        <v/>
      </c>
      <c r="F77" s="14">
        <f>IFERROR(($F$11+$F$13+$F$12)/$F$4*100,"")</f>
        <v/>
      </c>
    </row>
    <row r="78" ht="16" customHeight="1">
      <c r="A78" s="4" t="inlineStr">
        <is>
          <t>Aktivernes omsætningshastighed, gange</t>
        </is>
      </c>
      <c r="B78" s="13">
        <f>IFERROR($B$4/$B$39,"")</f>
        <v/>
      </c>
      <c r="C78" s="13">
        <f>IFERROR($C$4/$C$39,"")</f>
        <v/>
      </c>
      <c r="D78" s="13">
        <f>IFERROR($D$4/$D$39,"")</f>
        <v/>
      </c>
      <c r="E78" s="13">
        <f>IFERROR($E$4/$E$39,"")</f>
        <v/>
      </c>
      <c r="F78" s="13">
        <f>IFERROR($F$4/$F$39,"")</f>
        <v/>
      </c>
    </row>
    <row r="79" ht="16" customHeight="1">
      <c r="A79" s="10" t="inlineStr">
        <is>
          <t>Egenkapitalens forrentning, %</t>
        </is>
      </c>
      <c r="B79" s="14">
        <f>IFERROR($B$16/$B$48*100,"")</f>
        <v/>
      </c>
      <c r="C79" s="14">
        <f>IFERROR($C$16/$C$48*100,"")</f>
        <v/>
      </c>
      <c r="D79" s="14">
        <f>IFERROR($D$16/$D$48*100,"")</f>
        <v/>
      </c>
      <c r="E79" s="14">
        <f>IFERROR($E$16/$E$48*100,"")</f>
        <v/>
      </c>
      <c r="F79" s="14">
        <f>IFERROR($F$16/$F$48*100,"")</f>
        <v/>
      </c>
    </row>
    <row r="80" ht="16" customHeight="1">
      <c r="A80" s="4" t="inlineStr">
        <is>
          <t>Gældsrente, %</t>
        </is>
      </c>
      <c r="B80" s="13">
        <f>IFERROR($B$14/($B$69-$B$48)*100,"")</f>
        <v/>
      </c>
      <c r="C80" s="13">
        <f>IFERROR($C$14/($C$69-$C$48)*100,"")</f>
        <v/>
      </c>
      <c r="D80" s="13">
        <f>IFERROR($D$14/($D$69-$D$48)*100,"")</f>
        <v/>
      </c>
      <c r="E80" s="13">
        <f>IFERROR($E$14/($E$69-$E$48)*100,"")</f>
        <v/>
      </c>
      <c r="F80" s="13">
        <f>IFERROR($F$14/($F$69-$F$48)*100,"")</f>
        <v/>
      </c>
    </row>
    <row r="81" ht="16" customHeight="1">
      <c r="A81" s="10" t="inlineStr">
        <is>
          <t>Soliditetsgrad, %</t>
        </is>
      </c>
      <c r="B81" s="14">
        <f>IFERROR($B$48/$B$39*100,"")</f>
        <v/>
      </c>
      <c r="C81" s="14">
        <f>IFERROR($C$48/$C$39*100,"")</f>
        <v/>
      </c>
      <c r="D81" s="14">
        <f>IFERROR($D$48/$D$39*100,"")</f>
        <v/>
      </c>
      <c r="E81" s="14">
        <f>IFERROR($E$48/$E$39*100,"")</f>
        <v/>
      </c>
      <c r="F81" s="14">
        <f>IFERROR($F$48/$F$39*100,"")</f>
        <v/>
      </c>
    </row>
    <row r="82" ht="16" customHeight="1">
      <c r="A82" s="4" t="inlineStr">
        <is>
          <t>Gearing</t>
        </is>
      </c>
      <c r="B82" s="13">
        <f>IFERROR(($B$69-$B$48)/$B$48,"")</f>
        <v/>
      </c>
      <c r="C82" s="13">
        <f>IFERROR(($C$69-$C$48)/$C$48,"")</f>
        <v/>
      </c>
      <c r="D82" s="13">
        <f>IFERROR(($D$69-$D$48)/$D$48,"")</f>
        <v/>
      </c>
      <c r="E82" s="13">
        <f>IFERROR(($E$69-$E$48)/$E$48,"")</f>
        <v/>
      </c>
      <c r="F82" s="13">
        <f>IFERROR(($F$69-$F$48)/$F$48,"")</f>
        <v/>
      </c>
    </row>
    <row r="83" ht="16" customHeight="1">
      <c r="A83" s="10" t="inlineStr">
        <is>
          <t>Likviditetsgrad, %</t>
        </is>
      </c>
      <c r="B83" s="14">
        <f>IFERROR($B$38/$B$67*100,"")</f>
        <v/>
      </c>
      <c r="C83" s="14">
        <f>IFERROR($C$38/$C$67*100,"")</f>
        <v/>
      </c>
      <c r="D83" s="14">
        <f>IFERROR($D$38/$D$67*100,"")</f>
        <v/>
      </c>
      <c r="E83" s="14">
        <f>IFERROR($E$38/$E$67*100,"")</f>
        <v/>
      </c>
      <c r="F83" s="14">
        <f>IFERROR($F$38/$F$67*100,"")</f>
        <v/>
      </c>
    </row>
    <row r="84" ht="16" customHeight="1">
      <c r="A84" s="4" t="inlineStr">
        <is>
          <t>Rentemarginal, %</t>
        </is>
      </c>
      <c r="B84" s="13">
        <f>IFERROR(B76-B80,"")</f>
        <v/>
      </c>
      <c r="C84" s="13">
        <f>IFERROR(C76-C80,"")</f>
        <v/>
      </c>
      <c r="D84" s="13">
        <f>IFERROR(D76-D80,"")</f>
        <v/>
      </c>
      <c r="E84" s="13">
        <f>IFERROR(E76-E80,"")</f>
        <v/>
      </c>
      <c r="F84" s="13">
        <f>IFERROR(F76-F80,"")</f>
        <v/>
      </c>
    </row>
    <row r="85" ht="16" customHeight="1">
      <c r="A85" s="10" t="inlineStr">
        <is>
          <t>Gældsandel, %</t>
        </is>
      </c>
      <c r="B85" s="14">
        <f>IFERROR(($B$69-$B$48)/$B$39*100,"")</f>
        <v/>
      </c>
      <c r="C85" s="14">
        <f>IFERROR(($C$69-$C$48)/$C$39*100,"")</f>
        <v/>
      </c>
      <c r="D85" s="14">
        <f>IFERROR(($D$69-$D$48)/$D$39*100,"")</f>
        <v/>
      </c>
      <c r="E85" s="14">
        <f>IFERROR(($E$69-$E$48)/$E$39*100,"")</f>
        <v/>
      </c>
      <c r="F85" s="14">
        <f>IFERROR(($F$69-$F$48)/$F$39*100,"")</f>
        <v/>
      </c>
    </row>
    <row r="86" ht="16" customHeight="1">
      <c r="A86" s="4" t="inlineStr">
        <is>
          <t>Kapitalbindingsgrad, %</t>
        </is>
      </c>
      <c r="B86" s="13">
        <f>IFERROR($B$26/($B$48+$B$55)*100,"")</f>
        <v/>
      </c>
      <c r="C86" s="13">
        <f>IFERROR($C$26/($C$48+$C$55)*100,"")</f>
        <v/>
      </c>
      <c r="D86" s="13">
        <f>IFERROR($D$26/($D$48+$D$55)*100,"")</f>
        <v/>
      </c>
      <c r="E86" s="13">
        <f>IFERROR($E$26/($E$48+$E$55)*100,"")</f>
        <v/>
      </c>
      <c r="F86" s="13">
        <f>IFERROR($F$26/($F$48+$F$55)*100,"")</f>
        <v/>
      </c>
    </row>
    <row r="88">
      <c r="A88" s="15" t="inlineStr">
        <is>
          <t>PENGESTRØMSOPGØRELSE t.kr.</t>
        </is>
      </c>
    </row>
    <row r="89">
      <c r="A89" s="16" t="inlineStr">
        <is>
          <t>Pengestrømme fra driftsaktivitet</t>
        </is>
      </c>
      <c r="B89" s="17">
        <f>'pengestrom_raw'!$B$2</f>
        <v/>
      </c>
      <c r="C89" s="17">
        <f>'pengestrom_raw'!$C$2</f>
        <v/>
      </c>
      <c r="D89" s="17">
        <f>'pengestrom_raw'!$D$2</f>
        <v/>
      </c>
      <c r="E89" s="17">
        <f>'pengestrom_raw'!$E$2</f>
        <v/>
      </c>
      <c r="F89" s="17">
        <f>'pengestrom_raw'!$F$2</f>
        <v/>
      </c>
    </row>
    <row r="90">
      <c r="A90" s="16" t="inlineStr">
        <is>
          <t>Pengestrømme fra investeringsaktivitet</t>
        </is>
      </c>
      <c r="B90" s="17">
        <f>'pengestrom_raw'!$B$3</f>
        <v/>
      </c>
      <c r="C90" s="17">
        <f>'pengestrom_raw'!$C$3</f>
        <v/>
      </c>
      <c r="D90" s="17">
        <f>'pengestrom_raw'!$D$3</f>
        <v/>
      </c>
      <c r="E90" s="17">
        <f>'pengestrom_raw'!$E$3</f>
        <v/>
      </c>
      <c r="F90" s="17">
        <f>'pengestrom_raw'!$F$3</f>
        <v/>
      </c>
    </row>
    <row r="91">
      <c r="A91" s="16" t="inlineStr">
        <is>
          <t>Pengestrømme fra finansieringsaktivitet</t>
        </is>
      </c>
      <c r="B91" s="17">
        <f>'pengestrom_raw'!$B$4</f>
        <v/>
      </c>
      <c r="C91" s="17">
        <f>'pengestrom_raw'!$C$4</f>
        <v/>
      </c>
      <c r="D91" s="17">
        <f>'pengestrom_raw'!$D$4</f>
        <v/>
      </c>
      <c r="E91" s="17">
        <f>'pengestrom_raw'!$E$4</f>
        <v/>
      </c>
      <c r="F91" s="17">
        <f>'pengestrom_raw'!$F$4</f>
        <v/>
      </c>
    </row>
    <row r="92">
      <c r="A92" s="16" t="inlineStr">
        <is>
          <t>Årets pengestrøm (rapporteret)</t>
        </is>
      </c>
      <c r="B92" s="17">
        <f>'pengestrom_raw'!$B$5</f>
        <v/>
      </c>
      <c r="C92" s="17">
        <f>'pengestrom_raw'!$C$5</f>
        <v/>
      </c>
      <c r="D92" s="17">
        <f>'pengestrom_raw'!$D$5</f>
        <v/>
      </c>
      <c r="E92" s="17">
        <f>'pengestrom_raw'!$E$5</f>
        <v/>
      </c>
      <c r="F92" s="17">
        <f>'pengestrom_raw'!$F$5</f>
        <v/>
      </c>
    </row>
    <row r="93">
      <c r="A93" s="16" t="inlineStr">
        <is>
          <t>Krydstjek: drift + inv. + fin. = årets pengestrøm</t>
        </is>
      </c>
      <c r="B93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93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93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93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93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bogo (CVR None) — Resultatopgørelse &amp; nøgleoplysninger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Nettoomsætning</t>
        </is>
      </c>
      <c r="B2" s="17" t="n">
        <v>2948000</v>
      </c>
      <c r="C2" s="17" t="n">
        <v>2752000</v>
      </c>
      <c r="D2" s="17" t="n">
        <v>2588000</v>
      </c>
      <c r="E2" s="17" t="n">
        <v>2553000</v>
      </c>
      <c r="F2" s="17" t="n">
        <v>2468000</v>
      </c>
    </row>
    <row r="3">
      <c r="A3" s="16" t="inlineStr">
        <is>
          <t>Produktionsomkostninger</t>
        </is>
      </c>
      <c r="B3" s="17" t="n">
        <v>1612000</v>
      </c>
      <c r="C3" s="17" t="n">
        <v>1537000</v>
      </c>
      <c r="D3" s="17" t="n">
        <v>1209000</v>
      </c>
      <c r="E3" s="17" t="n">
        <v>1149000</v>
      </c>
      <c r="F3" s="17" t="n">
        <v>1032000</v>
      </c>
    </row>
    <row r="4">
      <c r="A4" s="15" t="inlineStr">
        <is>
          <t>Bruttoresultat</t>
        </is>
      </c>
      <c r="B4" s="17" t="n">
        <v>1336000</v>
      </c>
      <c r="C4" s="17" t="n">
        <v>1215000</v>
      </c>
      <c r="D4" s="17" t="n">
        <v>1379000</v>
      </c>
      <c r="E4" s="17" t="n">
        <v>1404000</v>
      </c>
      <c r="F4" s="17" t="n">
        <v>1436000</v>
      </c>
    </row>
    <row r="5">
      <c r="A5" s="16" t="inlineStr">
        <is>
          <t>Salgs- og distributionsomkostninger</t>
        </is>
      </c>
      <c r="B5" s="17" t="n"/>
      <c r="C5" s="17" t="n"/>
      <c r="D5" s="17" t="n"/>
      <c r="E5" s="17" t="n"/>
      <c r="F5" s="17" t="n"/>
    </row>
    <row r="6">
      <c r="A6" s="16" t="inlineStr">
        <is>
          <t>Administrationsomkostninger</t>
        </is>
      </c>
      <c r="B6" s="17" t="n">
        <v>136000</v>
      </c>
      <c r="C6" s="17" t="n">
        <v>128000</v>
      </c>
      <c r="D6" s="17" t="n">
        <v>135000</v>
      </c>
      <c r="E6" s="17" t="n">
        <v>153000</v>
      </c>
      <c r="F6" s="17" t="n">
        <v>139000</v>
      </c>
    </row>
    <row r="7">
      <c r="A7" s="16" t="inlineStr">
        <is>
          <t>Andre driftsindtægter</t>
        </is>
      </c>
      <c r="B7" s="17" t="n"/>
      <c r="C7" s="17" t="n"/>
      <c r="D7" s="17" t="n"/>
      <c r="E7" s="17" t="n">
        <v>0</v>
      </c>
      <c r="F7" s="17" t="n">
        <v>11000</v>
      </c>
    </row>
    <row r="8">
      <c r="A8" s="16" t="inlineStr">
        <is>
          <t>Andre driftsomkostninger</t>
        </is>
      </c>
      <c r="B8" s="17" t="n"/>
      <c r="C8" s="17" t="n"/>
      <c r="D8" s="17" t="n"/>
      <c r="E8" s="17" t="n"/>
      <c r="F8" s="17" t="n"/>
    </row>
    <row r="9">
      <c r="A9" s="15" t="inlineStr">
        <is>
          <t>Resultat af primær drift</t>
        </is>
      </c>
      <c r="B9" s="17" t="n">
        <v>46000</v>
      </c>
      <c r="C9" s="17" t="n">
        <v>-124000</v>
      </c>
      <c r="D9" s="17" t="n">
        <v>18000</v>
      </c>
      <c r="E9" s="17" t="n">
        <v>16000</v>
      </c>
      <c r="F9" s="17" t="n">
        <v>-76000</v>
      </c>
    </row>
    <row r="10">
      <c r="A10" s="16" t="inlineStr">
        <is>
          <t>Indtægter af kapitalandele, dattervirksomheder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Finansielle indtægter</t>
        </is>
      </c>
      <c r="B11" s="17" t="n">
        <v>11000</v>
      </c>
      <c r="C11" s="17" t="n">
        <v>28000</v>
      </c>
      <c r="D11" s="17" t="n">
        <v>50000</v>
      </c>
      <c r="E11" s="17" t="n">
        <v>68000</v>
      </c>
      <c r="F11" s="17" t="n">
        <v>84000</v>
      </c>
    </row>
    <row r="12">
      <c r="A12" s="16" t="inlineStr">
        <is>
          <t>Finansielle omkostninger</t>
        </is>
      </c>
      <c r="B12" s="17" t="n">
        <v>65000</v>
      </c>
      <c r="C12" s="17" t="n">
        <v>56000</v>
      </c>
      <c r="D12" s="17" t="n">
        <v>75000</v>
      </c>
      <c r="E12" s="17" t="n">
        <v>82000</v>
      </c>
      <c r="F12" s="17" t="n">
        <v>71000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-8000</v>
      </c>
      <c r="C14" s="17" t="n">
        <v>-152000</v>
      </c>
      <c r="D14" s="17" t="n">
        <v>-7000</v>
      </c>
      <c r="E14" s="17" t="n">
        <v>2000</v>
      </c>
      <c r="F14" s="17" t="n">
        <v>-63000</v>
      </c>
    </row>
    <row r="15">
      <c r="A15" s="16" t="inlineStr">
        <is>
          <t>Skat af årets resultat</t>
        </is>
      </c>
      <c r="B15" s="17" t="n">
        <v>22000</v>
      </c>
      <c r="C15" s="17" t="n">
        <v>-11000</v>
      </c>
      <c r="D15" s="17" t="n">
        <v>10000</v>
      </c>
      <c r="E15" s="17" t="n">
        <v>31000</v>
      </c>
      <c r="F15" s="17" t="n">
        <v>44000</v>
      </c>
    </row>
    <row r="16">
      <c r="A16" s="15" t="inlineStr">
        <is>
          <t>Årets resultat</t>
        </is>
      </c>
      <c r="B16" s="17" t="n">
        <v>-30000</v>
      </c>
      <c r="C16" s="17" t="n">
        <v>-141000</v>
      </c>
      <c r="D16" s="17" t="n">
        <v>-17000</v>
      </c>
      <c r="E16" s="17" t="n">
        <v>-29000</v>
      </c>
      <c r="F16" s="17" t="n">
        <v>-107000</v>
      </c>
    </row>
    <row r="17">
      <c r="A17" s="16" t="inlineStr">
        <is>
          <t>Gns. antal medarbejdere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68000</v>
      </c>
      <c r="C18" s="17" t="n">
        <v>54000</v>
      </c>
      <c r="D18" s="17" t="n">
        <v>55000</v>
      </c>
      <c r="E18" s="17" t="n">
        <v>39000</v>
      </c>
      <c r="F18" s="17" t="n">
        <v>57000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bogo (CVR None) — Balance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Udviklingsprojekter</t>
        </is>
      </c>
      <c r="B2" s="17" t="n">
        <v>97000</v>
      </c>
      <c r="C2" s="17" t="n">
        <v>129000</v>
      </c>
      <c r="D2" s="17" t="n">
        <v>150000</v>
      </c>
      <c r="E2" s="17" t="n">
        <v>159000</v>
      </c>
      <c r="F2" s="17" t="n">
        <v>179000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42000</v>
      </c>
      <c r="C4" s="17" t="n">
        <v>42000</v>
      </c>
      <c r="D4" s="17" t="n">
        <v>42000</v>
      </c>
      <c r="E4" s="17" t="n">
        <v>42000</v>
      </c>
      <c r="F4" s="17" t="n">
        <v>42000</v>
      </c>
    </row>
    <row r="5">
      <c r="A5" s="15" t="inlineStr">
        <is>
          <t>Immaterielle anlægsaktiver</t>
        </is>
      </c>
      <c r="B5" s="17" t="n">
        <v>334000</v>
      </c>
      <c r="C5" s="17" t="n">
        <v>375000</v>
      </c>
      <c r="D5" s="17" t="n">
        <v>396000</v>
      </c>
      <c r="E5" s="17" t="n">
        <v>447000</v>
      </c>
      <c r="F5" s="17" t="n">
        <v>485000</v>
      </c>
    </row>
    <row r="6">
      <c r="A6" s="15" t="inlineStr">
        <is>
          <t>Materielle anlægsaktiver</t>
        </is>
      </c>
      <c r="B6" s="17" t="n">
        <v>215000</v>
      </c>
      <c r="C6" s="17" t="n">
        <v>215000</v>
      </c>
      <c r="D6" s="17" t="n">
        <v>220000</v>
      </c>
      <c r="E6" s="17" t="n">
        <v>211000</v>
      </c>
      <c r="F6" s="17" t="n">
        <v>214000</v>
      </c>
    </row>
    <row r="7">
      <c r="A7" s="15" t="inlineStr">
        <is>
          <t>Anlægsaktiver</t>
        </is>
      </c>
      <c r="B7" s="17" t="n">
        <v>761000</v>
      </c>
      <c r="C7" s="17" t="n">
        <v>832000</v>
      </c>
      <c r="D7" s="17" t="n">
        <v>864000</v>
      </c>
      <c r="E7" s="17" t="n">
        <v>889000</v>
      </c>
      <c r="F7" s="17" t="n">
        <v>1009000</v>
      </c>
    </row>
    <row r="8">
      <c r="A8" s="15" t="inlineStr">
        <is>
          <t>Varebeholdninger</t>
        </is>
      </c>
      <c r="B8" s="17" t="n">
        <v>629000</v>
      </c>
      <c r="C8" s="17" t="n">
        <v>499000</v>
      </c>
      <c r="D8" s="17" t="n">
        <v>447000</v>
      </c>
      <c r="E8" s="17" t="n">
        <v>447000</v>
      </c>
      <c r="F8" s="17" t="n">
        <v>418000</v>
      </c>
    </row>
    <row r="9">
      <c r="A9" s="16" t="inlineStr">
        <is>
          <t>Tilgodehavender fra salg og tjenesteydelser</t>
        </is>
      </c>
      <c r="B9" s="17" t="n">
        <v>397000</v>
      </c>
      <c r="C9" s="17" t="n">
        <v>341000</v>
      </c>
      <c r="D9" s="17" t="n">
        <v>309000</v>
      </c>
      <c r="E9" s="17" t="n">
        <v>348000</v>
      </c>
      <c r="F9" s="17" t="n">
        <v>300000</v>
      </c>
    </row>
    <row r="10">
      <c r="A10" s="16" t="inlineStr">
        <is>
          <t>Tilgodehavender hos tilknyttede virksomheder</t>
        </is>
      </c>
      <c r="B10" s="17" t="n"/>
      <c r="C10" s="17" t="n"/>
      <c r="D10" s="17" t="n"/>
      <c r="E10" s="17" t="n"/>
      <c r="F10" s="17" t="n"/>
    </row>
    <row r="11">
      <c r="A11" s="16" t="inlineStr">
        <is>
          <t>Andre tilgodehavender</t>
        </is>
      </c>
      <c r="B11" s="17" t="n"/>
      <c r="C11" s="17" t="n"/>
      <c r="D11" s="17" t="n"/>
      <c r="E11" s="17" t="n"/>
      <c r="F11" s="17" t="n"/>
    </row>
    <row r="12">
      <c r="A12" s="16" t="inlineStr">
        <is>
          <t>Periodeafgrænsningsposter (aktiver)</t>
        </is>
      </c>
      <c r="B12" s="17" t="n">
        <v>28000</v>
      </c>
      <c r="C12" s="17" t="n">
        <v>24000</v>
      </c>
      <c r="D12" s="17" t="n">
        <v>27000</v>
      </c>
      <c r="E12" s="17" t="n">
        <v>42000</v>
      </c>
      <c r="F12" s="17" t="n">
        <v>33000</v>
      </c>
    </row>
    <row r="13">
      <c r="A13" s="16" t="inlineStr">
        <is>
          <t>Udskudt skatteaktiv</t>
        </is>
      </c>
      <c r="B13" s="17" t="n">
        <v>77000</v>
      </c>
      <c r="C13" s="17" t="n">
        <v>99000</v>
      </c>
      <c r="D13" s="17" t="n">
        <v>92000</v>
      </c>
      <c r="E13" s="17" t="n">
        <v>75000</v>
      </c>
      <c r="F13" s="17" t="n">
        <v>41000</v>
      </c>
    </row>
    <row r="14">
      <c r="A14" s="16" t="inlineStr">
        <is>
          <t>Tilgodehavende skat hos tilknyttede virksomheder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Kortfristede skattetilgodehavender</t>
        </is>
      </c>
      <c r="B15" s="17" t="n">
        <v>37000</v>
      </c>
      <c r="C15" s="17" t="n">
        <v>11000</v>
      </c>
      <c r="D15" s="17" t="n">
        <v>32000</v>
      </c>
      <c r="E15" s="17" t="n">
        <v>28000</v>
      </c>
      <c r="F15" s="17" t="n">
        <v>27000</v>
      </c>
    </row>
    <row r="16">
      <c r="A16" s="15" t="inlineStr">
        <is>
          <t>Tilgodehavender</t>
        </is>
      </c>
      <c r="B16" s="17" t="n">
        <v>89000</v>
      </c>
      <c r="C16" s="17" t="n">
        <v>68000</v>
      </c>
      <c r="D16" s="17" t="n">
        <v>53000</v>
      </c>
      <c r="E16" s="17" t="n">
        <v>61000</v>
      </c>
      <c r="F16" s="17" t="n">
        <v>61000</v>
      </c>
    </row>
    <row r="17">
      <c r="A17" s="16" t="inlineStr">
        <is>
          <t>Værdipapirer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Likvide beholdninger</t>
        </is>
      </c>
      <c r="B18" s="17" t="n">
        <v>162000</v>
      </c>
      <c r="C18" s="17" t="n">
        <v>216000</v>
      </c>
      <c r="D18" s="17" t="n">
        <v>177000</v>
      </c>
      <c r="E18" s="17" t="n">
        <v>145000</v>
      </c>
      <c r="F18" s="17" t="n">
        <v>134000</v>
      </c>
    </row>
    <row r="19">
      <c r="A19" s="15" t="inlineStr">
        <is>
          <t>Omsætningsaktiver</t>
        </is>
      </c>
      <c r="B19" s="17" t="n">
        <v>1757000</v>
      </c>
      <c r="C19" s="17" t="n">
        <v>1553000</v>
      </c>
      <c r="D19" s="17" t="n">
        <v>1433000</v>
      </c>
      <c r="E19" s="17" t="n">
        <v>1451000</v>
      </c>
      <c r="F19" s="17" t="n">
        <v>1213000</v>
      </c>
    </row>
    <row r="20">
      <c r="A20" s="15" t="inlineStr">
        <is>
          <t>Aktiver</t>
        </is>
      </c>
      <c r="B20" s="17" t="n">
        <v>2518000</v>
      </c>
      <c r="C20" s="17" t="n">
        <v>2385000</v>
      </c>
      <c r="D20" s="17" t="n">
        <v>2297000</v>
      </c>
      <c r="E20" s="17" t="n">
        <v>2340000</v>
      </c>
      <c r="F20" s="17" t="n">
        <v>2222000</v>
      </c>
    </row>
    <row r="21">
      <c r="A21" s="16" t="inlineStr">
        <is>
          <t>Selskabskapital</t>
        </is>
      </c>
      <c r="B21" s="17" t="n">
        <v>613000</v>
      </c>
      <c r="C21" s="17" t="n">
        <v>613000</v>
      </c>
      <c r="D21" s="17" t="n">
        <v>613000</v>
      </c>
      <c r="E21" s="17" t="n">
        <v>737000</v>
      </c>
      <c r="F21" s="17" t="n">
        <v>737000</v>
      </c>
    </row>
    <row r="22">
      <c r="A22" s="16" t="inlineStr">
        <is>
          <t>Reserve for nettoopskrivning (indre værdis metode)</t>
        </is>
      </c>
      <c r="B22" s="17" t="n"/>
      <c r="C22" s="17" t="n"/>
      <c r="D22" s="17" t="n"/>
      <c r="E22" s="17" t="n"/>
      <c r="F22" s="17" t="n"/>
    </row>
    <row r="23">
      <c r="A23" s="16" t="inlineStr">
        <is>
          <t>Reserve for udviklingsomkostninger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Reserve for sikringstransaktioner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Andre reserver</t>
        </is>
      </c>
      <c r="B25" s="17" t="n">
        <v>-5000</v>
      </c>
      <c r="C25" s="17" t="n">
        <v>-4000</v>
      </c>
      <c r="D25" s="17" t="n">
        <v>-2000</v>
      </c>
      <c r="E25" s="17" t="n">
        <v>-2000</v>
      </c>
      <c r="F25" s="17" t="n">
        <v>-3000</v>
      </c>
    </row>
    <row r="26">
      <c r="A26" s="16" t="inlineStr">
        <is>
          <t>Overført resultat</t>
        </is>
      </c>
      <c r="B26" s="17" t="n">
        <v>460000</v>
      </c>
      <c r="C26" s="17" t="n">
        <v>329000</v>
      </c>
      <c r="D26" s="17" t="n">
        <v>329000</v>
      </c>
      <c r="E26" s="17" t="n">
        <v>402000</v>
      </c>
      <c r="F26" s="17" t="n">
        <v>264000</v>
      </c>
    </row>
    <row r="27">
      <c r="A27" s="15" t="inlineStr">
        <is>
          <t>Egenkapital i alt</t>
        </is>
      </c>
      <c r="B27" s="17" t="n">
        <v>1100000</v>
      </c>
      <c r="C27" s="17" t="n">
        <v>958000</v>
      </c>
      <c r="D27" s="17" t="n">
        <v>956000</v>
      </c>
      <c r="E27" s="17" t="n">
        <v>1144000</v>
      </c>
      <c r="F27" s="17" t="n">
        <v>1006000</v>
      </c>
    </row>
    <row r="28">
      <c r="A28" s="16" t="inlineStr">
        <is>
          <t>Hensættelse til udskudt skat</t>
        </is>
      </c>
      <c r="B28" s="17" t="n">
        <v>6000</v>
      </c>
      <c r="C28" s="17" t="n">
        <v>6000</v>
      </c>
      <c r="D28" s="17" t="n">
        <v>8000</v>
      </c>
      <c r="E28" s="17" t="n">
        <v>8000</v>
      </c>
      <c r="F28" s="17" t="n">
        <v>9000</v>
      </c>
    </row>
    <row r="29">
      <c r="A29" s="15" t="inlineStr">
        <is>
          <t>Hensatte forpligtelser</t>
        </is>
      </c>
      <c r="B29" s="17" t="n">
        <v>12000</v>
      </c>
      <c r="C29" s="17" t="n">
        <v>11000</v>
      </c>
      <c r="D29" s="17" t="n">
        <v>10000</v>
      </c>
      <c r="E29" s="17" t="n">
        <v>15000</v>
      </c>
      <c r="F29" s="17" t="n">
        <v>10000</v>
      </c>
    </row>
    <row r="30">
      <c r="A30" s="16" t="inlineStr">
        <is>
          <t>Ansvarlig lånekapital (langfristet)</t>
        </is>
      </c>
      <c r="B30" s="17" t="n"/>
      <c r="C30" s="17" t="n"/>
      <c r="D30" s="17" t="n"/>
      <c r="E30" s="17" t="n"/>
      <c r="F30" s="17" t="n"/>
    </row>
    <row r="31">
      <c r="A31" s="16" t="inlineStr">
        <is>
          <t>Langfristede lån</t>
        </is>
      </c>
      <c r="B31" s="17" t="n"/>
      <c r="C31" s="17" t="n"/>
      <c r="D31" s="17" t="n"/>
      <c r="E31" s="17" t="n"/>
      <c r="F31" s="17" t="n"/>
    </row>
    <row r="32">
      <c r="A32" s="16" t="inlineStr">
        <is>
          <t>Leasingforpligtelser (langfristet)</t>
        </is>
      </c>
      <c r="B32" s="17" t="n">
        <v>95000</v>
      </c>
      <c r="C32" s="17" t="n">
        <v>109000</v>
      </c>
      <c r="D32" s="17" t="n">
        <v>117000</v>
      </c>
      <c r="E32" s="17" t="n">
        <v>104000</v>
      </c>
      <c r="F32" s="17" t="n">
        <v>221000</v>
      </c>
    </row>
    <row r="33">
      <c r="A33" s="16" t="inlineStr">
        <is>
          <t>Anden gæld (langfristet)</t>
        </is>
      </c>
      <c r="B33" s="17" t="n">
        <v>58000</v>
      </c>
      <c r="C33" s="17" t="n">
        <v>56000</v>
      </c>
      <c r="D33" s="17" t="n">
        <v>53000</v>
      </c>
      <c r="E33" s="17" t="n">
        <v>50000</v>
      </c>
      <c r="F33" s="17" t="n">
        <v>42000</v>
      </c>
    </row>
    <row r="34">
      <c r="A34" s="15" t="inlineStr">
        <is>
          <t>Langfristede gældsforpligtelser</t>
        </is>
      </c>
      <c r="B34" s="17" t="n">
        <v>233000</v>
      </c>
      <c r="C34" s="17" t="n">
        <v>225000</v>
      </c>
      <c r="D34" s="17" t="n">
        <v>236000</v>
      </c>
      <c r="E34" s="17" t="n">
        <v>216000</v>
      </c>
      <c r="F34" s="17" t="n">
        <v>313000</v>
      </c>
    </row>
    <row r="35">
      <c r="A35" s="16" t="inlineStr">
        <is>
          <t>Ansvarlig lånekapital (kortfristet)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Kortfristet del af langfristede gældsforpligtelser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Kreditinstitutter</t>
        </is>
      </c>
      <c r="B37" s="17" t="n">
        <v>4000</v>
      </c>
      <c r="C37" s="17" t="n">
        <v>3000</v>
      </c>
      <c r="D37" s="17" t="n">
        <v>3000</v>
      </c>
      <c r="E37" s="17" t="n">
        <v>3000</v>
      </c>
      <c r="F37" s="17" t="n">
        <v>3000</v>
      </c>
    </row>
    <row r="38">
      <c r="A38" s="16" t="inlineStr">
        <is>
          <t>Leasingforpligtelser (kortfristet)</t>
        </is>
      </c>
      <c r="B38" s="17" t="n">
        <v>39000</v>
      </c>
      <c r="C38" s="17" t="n">
        <v>37000</v>
      </c>
      <c r="D38" s="17" t="n">
        <v>45000</v>
      </c>
      <c r="E38" s="17" t="n">
        <v>59000</v>
      </c>
      <c r="F38" s="17" t="n">
        <v>70000</v>
      </c>
    </row>
    <row r="39">
      <c r="A39" s="16" t="inlineStr">
        <is>
          <t>Leverandører af varer og tjenesteydelser</t>
        </is>
      </c>
      <c r="B39" s="17" t="n">
        <v>581000</v>
      </c>
      <c r="C39" s="17" t="n">
        <v>565000</v>
      </c>
      <c r="D39" s="17" t="n">
        <v>401000</v>
      </c>
      <c r="E39" s="17" t="n">
        <v>453000</v>
      </c>
      <c r="F39" s="17" t="n">
        <v>313000</v>
      </c>
    </row>
    <row r="40">
      <c r="A40" s="16" t="inlineStr">
        <is>
          <t>Gæld til tilknyttede virksomheder</t>
        </is>
      </c>
      <c r="B40" s="17" t="n"/>
      <c r="C40" s="17" t="n"/>
      <c r="D40" s="17" t="n"/>
      <c r="E40" s="17" t="n"/>
      <c r="F40" s="17" t="n"/>
    </row>
    <row r="41">
      <c r="A41" s="16" t="inlineStr">
        <is>
          <t>Gæld til selskabsdeltagere og ledelse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Selskabsskat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Gæld til tilknyttede virksomheder vedr. selskabsskat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Anden gæld (kortfristet)</t>
        </is>
      </c>
      <c r="B44" s="17" t="n">
        <v>212000</v>
      </c>
      <c r="C44" s="17" t="n">
        <v>143000</v>
      </c>
      <c r="D44" s="17" t="n">
        <v>171000</v>
      </c>
      <c r="E44" s="17" t="n">
        <v>227000</v>
      </c>
      <c r="F44" s="17" t="n">
        <v>150000</v>
      </c>
    </row>
    <row r="45">
      <c r="A45" s="16" t="inlineStr">
        <is>
          <t>Periodeafgrænsningsposter (passiver)</t>
        </is>
      </c>
      <c r="B45" s="17" t="n"/>
      <c r="C45" s="17" t="n"/>
      <c r="D45" s="17" t="n"/>
      <c r="E45" s="17" t="n"/>
      <c r="F45" s="17" t="n"/>
    </row>
    <row r="46">
      <c r="A46" s="15" t="inlineStr">
        <is>
          <t>Kortfristede gældsforpligtelser</t>
        </is>
      </c>
      <c r="B46" s="17" t="n">
        <v>1185000</v>
      </c>
      <c r="C46" s="17" t="n">
        <v>1202000</v>
      </c>
      <c r="D46" s="17" t="n">
        <v>1105000</v>
      </c>
      <c r="E46" s="17" t="n">
        <v>980000</v>
      </c>
      <c r="F46" s="17" t="n">
        <v>903000</v>
      </c>
    </row>
    <row r="47">
      <c r="A47" s="15" t="inlineStr">
        <is>
          <t>Gældsforpligtelser</t>
        </is>
      </c>
      <c r="B47" s="17" t="n">
        <v>1418000</v>
      </c>
      <c r="C47" s="17" t="n">
        <v>1427000</v>
      </c>
      <c r="D47" s="17" t="n">
        <v>1341000</v>
      </c>
      <c r="E47" s="17" t="n">
        <v>1196000</v>
      </c>
      <c r="F47" s="17" t="n">
        <v>1216000</v>
      </c>
    </row>
    <row r="48">
      <c r="A48" s="15" t="inlineStr">
        <is>
          <t>Passiver</t>
        </is>
      </c>
      <c r="B48" s="17" t="n">
        <v>2518000</v>
      </c>
      <c r="C48" s="17" t="n">
        <v>2385000</v>
      </c>
      <c r="D48" s="17" t="n">
        <v>2297000</v>
      </c>
      <c r="E48" s="17" t="n">
        <v>2340000</v>
      </c>
      <c r="F48" s="17" t="n">
        <v>2222000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bogo (CVR None) — Pengestrømsopgørelse (t.kr.)</t>
        </is>
      </c>
      <c r="B1" s="3" t="n">
        <v>2022</v>
      </c>
      <c r="C1" s="3" t="n">
        <v>2023</v>
      </c>
      <c r="D1" s="3" t="n">
        <v>2024</v>
      </c>
      <c r="E1" s="3" t="n">
        <v>2025</v>
      </c>
      <c r="F1" s="3" t="n">
        <v>2026</v>
      </c>
    </row>
    <row r="2">
      <c r="A2" s="16" t="inlineStr">
        <is>
          <t>Pengestrømme fra driftsaktivitet</t>
        </is>
      </c>
      <c r="B2" s="17" t="n">
        <v>76000</v>
      </c>
      <c r="C2" s="17" t="n">
        <v>198000</v>
      </c>
      <c r="D2" s="17" t="n">
        <v>226000</v>
      </c>
      <c r="E2" s="17" t="n">
        <v>256000</v>
      </c>
      <c r="F2" s="17" t="n">
        <v>104000</v>
      </c>
    </row>
    <row r="3">
      <c r="A3" s="16" t="inlineStr">
        <is>
          <t>Pengestrømme fra investeringsaktivitet</t>
        </is>
      </c>
      <c r="B3" s="17" t="n">
        <v>-239000</v>
      </c>
      <c r="C3" s="17" t="n">
        <v>-204000</v>
      </c>
      <c r="D3" s="17" t="n">
        <v>-209000</v>
      </c>
      <c r="E3" s="17" t="n">
        <v>-231000</v>
      </c>
      <c r="F3" s="17" t="n">
        <v>-105000</v>
      </c>
    </row>
    <row r="4">
      <c r="A4" s="16" t="inlineStr">
        <is>
          <t>Pengestrømme fra finansieringsaktivitet</t>
        </is>
      </c>
      <c r="B4" s="17" t="n">
        <v>145000</v>
      </c>
      <c r="C4" s="17" t="n">
        <v>64000</v>
      </c>
      <c r="D4" s="17" t="n">
        <v>-54000</v>
      </c>
      <c r="E4" s="17" t="n">
        <v>-58000</v>
      </c>
      <c r="F4" s="17" t="n">
        <v>-8000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bogo (CVR None) — Regnskabs- og nøgletal — funktionsopdelt</t>
        </is>
      </c>
    </row>
    <row r="3">
      <c r="A3" s="19" t="inlineStr">
        <is>
          <t>Beløb i 1.000 kr.</t>
        </is>
      </c>
      <c r="B3" s="20" t="n">
        <v>2026</v>
      </c>
      <c r="C3" s="20" t="n">
        <v>2025</v>
      </c>
      <c r="D3" s="20" t="n">
        <v>2024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IF(COUNT('res_raw'!$F$2,'res_raw'!$F$3)=0,'res_raw'!$F$4,SUM(B5:B6))</f>
        <v/>
      </c>
      <c r="C7" s="27">
        <f>IF(COUNT('res_raw'!$E$2,'res_raw'!$E$3)=0,'res_raw'!$E$4,SUM(C5:C6))</f>
        <v/>
      </c>
      <c r="D7" s="27">
        <f>IF(COUNT('res_raw'!$D$2,'res_raw'!$D$3)=0,'res_raw'!$D$4,SUM(D5:D6))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'balance_raw'!$F$7</f>
        <v/>
      </c>
      <c r="C18" s="24">
        <f>'balance_raw'!$E$7</f>
        <v/>
      </c>
      <c r="D18" s="24">
        <f>'balance_raw'!$D$7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'balance_raw'!$F$19</f>
        <v/>
      </c>
      <c r="C19" s="24">
        <f>'balance_raw'!$E$19</f>
        <v/>
      </c>
      <c r="D19" s="24">
        <f>'balance_raw'!$D$19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'balance_raw'!$F$27</f>
        <v/>
      </c>
      <c r="C22" s="24">
        <f>'balance_raw'!$E$27</f>
        <v/>
      </c>
      <c r="D22" s="24">
        <f>'balance_raw'!$D$27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'balance_raw'!$F$48-'balance_raw'!$F$27</f>
        <v/>
      </c>
      <c r="C23" s="24">
        <f>'balance_raw'!$E$48-'balance_raw'!$E$27</f>
        <v/>
      </c>
      <c r="D23" s="24">
        <f>'balance_raw'!$D$48-'balance_raw'!$D$27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'balance_raw'!$F$8</f>
        <v/>
      </c>
      <c r="C27" s="24">
        <f>'balance_raw'!$E$8</f>
        <v/>
      </c>
      <c r="D27" s="24">
        <f>'balance_raw'!$D$8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'balance_raw'!$F$9</f>
        <v/>
      </c>
      <c r="C28" s="24">
        <f>'balance_raw'!$E$9</f>
        <v/>
      </c>
      <c r="D28" s="24">
        <f>'balance_raw'!$D$9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'balance_raw'!$F$46</f>
        <v/>
      </c>
      <c r="C29" s="24">
        <f>'balance_raw'!$E$46</f>
        <v/>
      </c>
      <c r="D29" s="24">
        <f>'balance_raw'!$D$46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(2024=100)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(2024=100)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2024-2026.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IF('balance_raw'!$F$20="","—",IF(ABS(B20-'balance_raw'!$F$20)&lt;=1,"✓ OK","❌ "&amp;TEXT(B20-'balance_raw'!$F$20,"+#,##0;-#,##0")&amp;" t.kr."))</f>
        <v/>
      </c>
      <c r="C60" s="29">
        <f>IF('balance_raw'!$E$20="","—",IF(ABS(C20-'balance_raw'!$E$20)&lt;=1,"✓ OK","❌ "&amp;TEXT(C20-'balance_raw'!$E$20,"+#,##0;-#,##0")&amp;" t.kr."))</f>
        <v/>
      </c>
      <c r="D60" s="29">
        <f>IF('balance_raw'!$D$20="","—",IF(ABS(D20-'balance_raw'!$D$20)&lt;=1,"✓ OK","❌ "&amp;TEXT(D20-'balance_raw'!$D$20,"+#,##0;-#,##0")&amp;"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IF('balance_raw'!$F$48="","—",IF(ABS(B24-'balance_raw'!$F$48)&lt;=1,"✓ OK","❌ "&amp;TEXT(B24-'balance_raw'!$F$48,"+#,##0;-#,##0")&amp;" t.kr."))</f>
        <v/>
      </c>
      <c r="C61" s="29">
        <f>IF('balance_raw'!$E$48="","—",IF(ABS(C24-'balance_raw'!$E$48)&lt;=1,"✓ OK","❌ "&amp;TEXT(C24-'balance_raw'!$E$48,"+#,##0;-#,##0")&amp;" t.kr."))</f>
        <v/>
      </c>
      <c r="D61" s="29">
        <f>IF('balance_raw'!$D$48="","—",IF(ABS(D24-'balance_raw'!$D$48)&lt;=1,"✓ OK","❌ "&amp;TEXT(D24-'balance_raw'!$D$48,"+#,##0;-#,##0")&amp;"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bogo (CVR None)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2022 t.kr.</t>
        </is>
      </c>
      <c r="E2" s="3" t="inlineStr">
        <is>
          <t>2023 t.kr.</t>
        </is>
      </c>
      <c r="F2" s="3" t="inlineStr">
        <is>
          <t>2024 t.kr.</t>
        </is>
      </c>
      <c r="G2" s="3" t="inlineStr">
        <is>
          <t>2025 t.kr.</t>
        </is>
      </c>
      <c r="H2" s="3" t="inlineStr">
        <is>
          <t>2026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ifrs-full:AdjustmentsForFinanceIncomeCost</t>
        </is>
      </c>
      <c r="C3" s="34" t="inlineStr">
        <is>
          <t>ifrs-full:AdjustmentsForFinanceIncomeCost</t>
        </is>
      </c>
      <c r="D3" s="35" t="n">
        <v>-54000</v>
      </c>
      <c r="E3" s="35" t="n">
        <v>-28000</v>
      </c>
      <c r="F3" s="35" t="n">
        <v>-25000</v>
      </c>
      <c r="G3" s="35" t="n">
        <v>-14000</v>
      </c>
      <c r="H3" s="35" t="n">
        <v>13000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ifrs-full:OtherInflowsOutflowsOfCashClassifiedAsFinancingActivities</t>
        </is>
      </c>
      <c r="C4" s="37" t="inlineStr">
        <is>
          <t>ifrs-full:OtherInflowsOutflowsOfCashClassifiedAsFinancingActivities</t>
        </is>
      </c>
      <c r="D4" s="38" t="n">
        <v>-34000</v>
      </c>
      <c r="E4" s="38" t="n">
        <v>0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ifrs-full:OtherInflowsOutflowsOfCashClassifiedAsInvestingActivities</t>
        </is>
      </c>
      <c r="C5" s="34" t="inlineStr">
        <is>
          <t>ifrs-full:OtherInflowsOutflowsOfCashClassifiedAsInvestingActivities</t>
        </is>
      </c>
      <c r="D5" s="35" t="n">
        <v>-2000</v>
      </c>
      <c r="E5" s="35" t="n">
        <v>3000</v>
      </c>
      <c r="F5" s="35" t="n">
        <v>1000</v>
      </c>
      <c r="G5" s="35" t="n">
        <v>-2000</v>
      </c>
      <c r="H5" s="35" t="n">
        <v>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ifrs-full:OtherInflowsOutflowsOfCashClassifiedAsOperatingActivities</t>
        </is>
      </c>
      <c r="C6" s="37" t="inlineStr">
        <is>
          <t>ifrs-full:OtherInflowsOutflowsOfCashClassifiedAsOperatingActivities</t>
        </is>
      </c>
      <c r="D6" s="38" t="n"/>
      <c r="E6" s="38" t="n"/>
      <c r="F6" s="38" t="n"/>
      <c r="G6" s="38" t="n">
        <v>0</v>
      </c>
      <c r="H6" s="38" t="n">
        <v>25000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ifrs-full:ReserveOfExchangeDifferencesOnTranslation</t>
        </is>
      </c>
      <c r="C7" s="34" t="inlineStr">
        <is>
          <t>ifrs-full:ReserveOfExchangeDifferencesOnTranslation</t>
        </is>
      </c>
      <c r="D7" s="35" t="n">
        <v>32000</v>
      </c>
      <c r="E7" s="35" t="n">
        <v>20000</v>
      </c>
      <c r="F7" s="35" t="n">
        <v>16000</v>
      </c>
      <c r="G7" s="35" t="n">
        <v>7000</v>
      </c>
      <c r="H7" s="35" t="n">
        <v>8000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ifrs-full:SalesAndMarketingExpense</t>
        </is>
      </c>
      <c r="C8" s="37" t="inlineStr">
        <is>
          <t>ifrs-full:SalesAndMarketingExpense</t>
        </is>
      </c>
      <c r="D8" s="38" t="n">
        <v>875000</v>
      </c>
      <c r="E8" s="38" t="n">
        <v>910000</v>
      </c>
      <c r="F8" s="38" t="n">
        <v>940000</v>
      </c>
      <c r="G8" s="38" t="n">
        <v>895000</v>
      </c>
      <c r="H8" s="38" t="n">
        <v>1009000</v>
      </c>
      <c r="I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2026-09-27T21:16:46Z</dcterms:created>
  <dcterms:modified xmlns:dcterms="http://purl.org/dc/terms/" xmlns:xsi="http://www.w3.org/2001/XMLSchema-instance" xsi:type="dcterms:W3CDTF">2026-09-27T21:16:47Z</dcterms:modified>
</cp:coreProperties>
</file>