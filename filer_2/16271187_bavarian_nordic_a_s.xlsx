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bavarian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bavarian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1897875</v>
      </c>
      <c r="C2" s="17" t="n">
        <v>3150793</v>
      </c>
      <c r="D2" s="17" t="n">
        <v>7062340</v>
      </c>
      <c r="E2" s="17" t="n">
        <v>5716206</v>
      </c>
      <c r="F2" s="17" t="n">
        <v>6243956</v>
      </c>
    </row>
    <row r="3">
      <c r="A3" s="16" t="inlineStr">
        <is>
          <t>Produktionsomkostninger</t>
        </is>
      </c>
      <c r="B3" s="17" t="n">
        <v>1327560</v>
      </c>
      <c r="C3" s="17" t="n">
        <v>1449531</v>
      </c>
      <c r="D3" s="17" t="n">
        <v>2459294</v>
      </c>
      <c r="E3" s="17" t="n">
        <v>2897448</v>
      </c>
      <c r="F3" s="17" t="n">
        <v>3195343</v>
      </c>
    </row>
    <row r="4">
      <c r="A4" s="15" t="inlineStr">
        <is>
          <t>Bruttoresultat</t>
        </is>
      </c>
      <c r="B4" s="17" t="n">
        <v>570315</v>
      </c>
      <c r="C4" s="17" t="n">
        <v>1701262</v>
      </c>
      <c r="D4" s="17" t="n">
        <v>4603046</v>
      </c>
      <c r="E4" s="17" t="n">
        <v>2818758</v>
      </c>
      <c r="F4" s="17" t="n">
        <v>3048613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>
        <v>716546</v>
      </c>
    </row>
    <row r="6">
      <c r="A6" s="16" t="inlineStr">
        <is>
          <t>Administrationsomkostninger</t>
        </is>
      </c>
      <c r="B6" s="17" t="n">
        <v>292920</v>
      </c>
      <c r="C6" s="17" t="n">
        <v>376023</v>
      </c>
      <c r="D6" s="17" t="n">
        <v>540848</v>
      </c>
      <c r="E6" s="17" t="n">
        <v>516142</v>
      </c>
      <c r="F6" s="17" t="n">
        <v>558053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>
        <v>1032896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>
        <v>222808</v>
      </c>
    </row>
    <row r="9">
      <c r="A9" s="15" t="inlineStr">
        <is>
          <t>Resultat af primær drift</t>
        </is>
      </c>
      <c r="B9" s="17" t="n">
        <v>-313547</v>
      </c>
      <c r="C9" s="17" t="n">
        <v>-70785</v>
      </c>
      <c r="D9" s="17" t="n">
        <v>1502539</v>
      </c>
      <c r="E9" s="17" t="n">
        <v>939770</v>
      </c>
      <c r="F9" s="17" t="n">
        <v>1803799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50233</v>
      </c>
      <c r="C11" s="17" t="n">
        <v>78537</v>
      </c>
      <c r="D11" s="17" t="n">
        <v>112784</v>
      </c>
      <c r="E11" s="17" t="n">
        <v>150065</v>
      </c>
      <c r="F11" s="17" t="n">
        <v>51043</v>
      </c>
    </row>
    <row r="12">
      <c r="A12" s="16" t="inlineStr">
        <is>
          <t>Finansielle omkostninger</t>
        </is>
      </c>
      <c r="B12" s="17" t="n">
        <v>191116</v>
      </c>
      <c r="C12" s="17" t="n">
        <v>339363</v>
      </c>
      <c r="D12" s="17" t="n">
        <v>132380</v>
      </c>
      <c r="E12" s="17" t="n">
        <v>118478</v>
      </c>
      <c r="F12" s="17" t="n">
        <v>53887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-454430</v>
      </c>
      <c r="C14" s="17" t="n">
        <v>-331611</v>
      </c>
      <c r="D14" s="17" t="n">
        <v>1482943</v>
      </c>
      <c r="E14" s="17" t="n">
        <v>971357</v>
      </c>
      <c r="F14" s="17" t="n">
        <v>1800955</v>
      </c>
    </row>
    <row r="15">
      <c r="A15" s="16" t="inlineStr">
        <is>
          <t>Skat af årets resultat</t>
        </is>
      </c>
      <c r="B15" s="17" t="n">
        <v>10345</v>
      </c>
      <c r="C15" s="17" t="n">
        <v>15771</v>
      </c>
      <c r="D15" s="17" t="n">
        <v>7754</v>
      </c>
      <c r="E15" s="17" t="n">
        <v>-16620</v>
      </c>
      <c r="F15" s="17" t="n">
        <v>425577</v>
      </c>
    </row>
    <row r="16">
      <c r="A16" s="15" t="inlineStr">
        <is>
          <t>Årets resultat</t>
        </is>
      </c>
      <c r="B16" s="17" t="n">
        <v>-464775</v>
      </c>
      <c r="C16" s="17" t="n">
        <v>-347382</v>
      </c>
      <c r="D16" s="17" t="n">
        <v>1475189</v>
      </c>
      <c r="E16" s="17" t="n">
        <v>987977</v>
      </c>
      <c r="F16" s="17" t="n">
        <v>1375378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483127</v>
      </c>
      <c r="C18" s="17" t="n">
        <v>361244</v>
      </c>
      <c r="D18" s="17" t="n">
        <v>142525</v>
      </c>
      <c r="E18" s="17" t="n">
        <v>82661</v>
      </c>
      <c r="F18" s="17" t="n">
        <v>205288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bavarian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134371</v>
      </c>
      <c r="C2" s="17" t="n">
        <v>274490</v>
      </c>
      <c r="D2" s="17" t="n">
        <v>391102</v>
      </c>
      <c r="E2" s="17" t="n">
        <v>18694</v>
      </c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5803956</v>
      </c>
      <c r="C5" s="17" t="n">
        <v>5942637</v>
      </c>
      <c r="D5" s="17" t="n">
        <v>6481736</v>
      </c>
      <c r="E5" s="17" t="n">
        <v>6330892</v>
      </c>
      <c r="F5" s="17" t="n">
        <v>5959650</v>
      </c>
    </row>
    <row r="6">
      <c r="A6" s="16" t="inlineStr">
        <is>
          <t>Grunde og bygninger</t>
        </is>
      </c>
      <c r="B6" s="17" t="n">
        <v>345953</v>
      </c>
      <c r="C6" s="17" t="n">
        <v>630138</v>
      </c>
      <c r="D6" s="17" t="n">
        <v>987013</v>
      </c>
      <c r="E6" s="17" t="n">
        <v>939006</v>
      </c>
      <c r="F6" s="17" t="n">
        <v>906043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>
        <v>348678</v>
      </c>
    </row>
    <row r="8">
      <c r="A8" s="16" t="inlineStr">
        <is>
          <t>Driftsmateriel og inventar</t>
        </is>
      </c>
      <c r="B8" s="17" t="n">
        <v>223467</v>
      </c>
      <c r="C8" s="17" t="n">
        <v>511195</v>
      </c>
      <c r="D8" s="17" t="n">
        <v>696060</v>
      </c>
      <c r="E8" s="17" t="n">
        <v>626376</v>
      </c>
      <c r="F8" s="17" t="n"/>
    </row>
    <row r="9">
      <c r="A9" s="16" t="inlineStr">
        <is>
          <t>Indretning af lejede lokaler</t>
        </is>
      </c>
      <c r="B9" s="17" t="n">
        <v>10011</v>
      </c>
      <c r="C9" s="17" t="n">
        <v>24765</v>
      </c>
      <c r="D9" s="17" t="n">
        <v>25047</v>
      </c>
      <c r="E9" s="17" t="n">
        <v>18316</v>
      </c>
      <c r="F9" s="17" t="n">
        <v>12850</v>
      </c>
    </row>
    <row r="10">
      <c r="A10" s="16" t="inlineStr">
        <is>
          <t>Forudbetaling og anlægsaktiver under opførelse</t>
        </is>
      </c>
      <c r="B10" s="17" t="n">
        <v>578707</v>
      </c>
      <c r="C10" s="17" t="n">
        <v>196130</v>
      </c>
      <c r="D10" s="17" t="n">
        <v>206721</v>
      </c>
      <c r="E10" s="17" t="n">
        <v>159660</v>
      </c>
      <c r="F10" s="17" t="n">
        <v>232837</v>
      </c>
    </row>
    <row r="11">
      <c r="A11" s="15" t="inlineStr">
        <is>
          <t>Materielle anlægsaktiver</t>
        </is>
      </c>
      <c r="B11" s="17" t="n">
        <v>1412668</v>
      </c>
      <c r="C11" s="17" t="n">
        <v>1683973</v>
      </c>
      <c r="D11" s="17" t="n">
        <v>2327515</v>
      </c>
      <c r="E11" s="17" t="n">
        <v>2160568</v>
      </c>
      <c r="F11" s="17" t="n">
        <v>2070738</v>
      </c>
    </row>
    <row r="12">
      <c r="A12" s="15" t="inlineStr">
        <is>
          <t>Anlægsaktiver</t>
        </is>
      </c>
      <c r="B12" s="17" t="n">
        <v>7335630</v>
      </c>
      <c r="C12" s="17" t="n">
        <v>7906666</v>
      </c>
      <c r="D12" s="17" t="n">
        <v>8950162</v>
      </c>
      <c r="E12" s="17" t="n">
        <v>8618866</v>
      </c>
      <c r="F12" s="17" t="n">
        <v>8217229</v>
      </c>
    </row>
    <row r="13">
      <c r="A13" s="15" t="inlineStr">
        <is>
          <t>Varebeholdninger</t>
        </is>
      </c>
      <c r="B13" s="17" t="n">
        <v>480043</v>
      </c>
      <c r="C13" s="17" t="n">
        <v>919072</v>
      </c>
      <c r="D13" s="17" t="n">
        <v>1643736</v>
      </c>
      <c r="E13" s="17" t="n">
        <v>2327309</v>
      </c>
      <c r="F13" s="17" t="n">
        <v>2513919</v>
      </c>
    </row>
    <row r="14">
      <c r="A14" s="16" t="inlineStr">
        <is>
          <t>Tilgodehavender fra salg og tjenesteydelser</t>
        </is>
      </c>
      <c r="B14" s="17" t="n">
        <v>381624</v>
      </c>
      <c r="C14" s="17" t="n">
        <v>523145</v>
      </c>
      <c r="D14" s="17" t="n">
        <v>1778104</v>
      </c>
      <c r="E14" s="17" t="n">
        <v>1175744</v>
      </c>
      <c r="F14" s="17" t="n">
        <v>780298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16904</v>
      </c>
      <c r="C16" s="17" t="n">
        <v>0</v>
      </c>
      <c r="D16" s="17" t="n">
        <v>0</v>
      </c>
      <c r="E16" s="17" t="n">
        <v>131408</v>
      </c>
      <c r="F16" s="17" t="n">
        <v>9949</v>
      </c>
    </row>
    <row r="17">
      <c r="A17" s="16" t="inlineStr">
        <is>
          <t>Periodeafgrænsningsposter (aktiver)</t>
        </is>
      </c>
      <c r="B17" s="17" t="n">
        <v>108840</v>
      </c>
      <c r="C17" s="17" t="n">
        <v>153934</v>
      </c>
      <c r="D17" s="17" t="n">
        <v>18510</v>
      </c>
      <c r="E17" s="17" t="n">
        <v>64324</v>
      </c>
      <c r="F17" s="17" t="n">
        <v>34252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>
        <v>0</v>
      </c>
      <c r="D20" s="17" t="n">
        <v>84</v>
      </c>
      <c r="E20" s="17" t="n">
        <v>928</v>
      </c>
      <c r="F20" s="17" t="n">
        <v>13901</v>
      </c>
    </row>
    <row r="21">
      <c r="A21" s="15" t="inlineStr">
        <is>
          <t>Tilgodehavender</t>
        </is>
      </c>
      <c r="B21" s="17" t="n">
        <v>66517</v>
      </c>
      <c r="C21" s="17" t="n">
        <v>43263</v>
      </c>
      <c r="D21" s="17" t="n">
        <v>95136</v>
      </c>
      <c r="E21" s="17" t="n">
        <v>43665</v>
      </c>
      <c r="F21" s="17" t="n">
        <v>61436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591820</v>
      </c>
      <c r="C23" s="17" t="n">
        <v>575407</v>
      </c>
      <c r="D23" s="17" t="n">
        <v>1477234</v>
      </c>
      <c r="E23" s="17" t="n">
        <v>1623490</v>
      </c>
      <c r="F23" s="17" t="n">
        <v>1714498</v>
      </c>
    </row>
    <row r="24">
      <c r="A24" s="15" t="inlineStr">
        <is>
          <t>Omsætningsaktiver</t>
        </is>
      </c>
      <c r="B24" s="17" t="n">
        <v>4753639</v>
      </c>
      <c r="C24" s="17" t="n">
        <v>4484580</v>
      </c>
      <c r="D24" s="17" t="n">
        <v>5403051</v>
      </c>
      <c r="E24" s="17" t="n">
        <v>5786998</v>
      </c>
      <c r="F24" s="17" t="n">
        <v>6737308</v>
      </c>
    </row>
    <row r="25">
      <c r="A25" s="15" t="inlineStr">
        <is>
          <t>Aktiver</t>
        </is>
      </c>
      <c r="B25" s="17" t="n">
        <v>12089269</v>
      </c>
      <c r="C25" s="17" t="n">
        <v>12391246</v>
      </c>
      <c r="D25" s="17" t="n">
        <v>14353213</v>
      </c>
      <c r="E25" s="17" t="n">
        <v>14405864</v>
      </c>
      <c r="F25" s="17" t="n">
        <v>14954537</v>
      </c>
    </row>
    <row r="26">
      <c r="A26" s="16" t="inlineStr">
        <is>
          <t>Selskabskapital</t>
        </is>
      </c>
      <c r="B26" s="17" t="n">
        <v>704684</v>
      </c>
      <c r="C26" s="17" t="n">
        <v>707354</v>
      </c>
      <c r="D26" s="17" t="n">
        <v>780978</v>
      </c>
      <c r="E26" s="17" t="n">
        <v>788548</v>
      </c>
      <c r="F26" s="17" t="n">
        <v>792367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82187</v>
      </c>
      <c r="C30" s="17" t="n">
        <v>143521</v>
      </c>
      <c r="D30" s="17" t="n">
        <v>230489</v>
      </c>
      <c r="E30" s="17" t="n">
        <v>188659</v>
      </c>
      <c r="F30" s="17" t="n">
        <v>269983</v>
      </c>
    </row>
    <row r="31">
      <c r="A31" s="16" t="inlineStr">
        <is>
          <t>Overført resultat</t>
        </is>
      </c>
      <c r="B31" s="17" t="n">
        <v>1112</v>
      </c>
      <c r="C31" s="17" t="n">
        <v>1463</v>
      </c>
      <c r="D31" s="17" t="n">
        <v>1537</v>
      </c>
      <c r="E31" s="17" t="n">
        <v>2843</v>
      </c>
      <c r="F31" s="17" t="n">
        <v>9669</v>
      </c>
    </row>
    <row r="32">
      <c r="A32" s="15" t="inlineStr">
        <is>
          <t>Egenkapital i alt</t>
        </is>
      </c>
      <c r="B32" s="17" t="n">
        <v>7374667</v>
      </c>
      <c r="C32" s="17" t="n">
        <v>7149987</v>
      </c>
      <c r="D32" s="17" t="n">
        <v>10339932</v>
      </c>
      <c r="E32" s="17" t="n">
        <v>11408561</v>
      </c>
      <c r="F32" s="17" t="n">
        <v>12870078</v>
      </c>
    </row>
    <row r="33">
      <c r="A33" s="16" t="inlineStr">
        <is>
          <t>Hensættelse til udskudt skat</t>
        </is>
      </c>
      <c r="B33" s="17" t="n"/>
      <c r="C33" s="17" t="n">
        <v>0</v>
      </c>
      <c r="D33" s="17" t="n">
        <v>29068</v>
      </c>
      <c r="E33" s="17" t="n">
        <v>0</v>
      </c>
      <c r="F33" s="17" t="n">
        <v>318617</v>
      </c>
    </row>
    <row r="34">
      <c r="A34" s="15" t="inlineStr">
        <is>
          <t>Hensatte forpligtelser</t>
        </is>
      </c>
      <c r="B34" s="17" t="n"/>
      <c r="C34" s="17" t="n">
        <v>0</v>
      </c>
      <c r="D34" s="17" t="n">
        <v>80732</v>
      </c>
      <c r="E34" s="17" t="n">
        <v>113589</v>
      </c>
      <c r="F34" s="17" t="n">
        <v>82966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57547</v>
      </c>
      <c r="C37" s="17" t="n">
        <v>45834</v>
      </c>
      <c r="D37" s="17" t="n">
        <v>83621</v>
      </c>
      <c r="E37" s="17" t="n">
        <v>73653</v>
      </c>
      <c r="F37" s="17" t="n">
        <v>74462</v>
      </c>
    </row>
    <row r="38">
      <c r="A38" s="16" t="inlineStr">
        <is>
          <t>Anden gæld (langfristet)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2806044</v>
      </c>
      <c r="C39" s="17" t="n">
        <v>2953919</v>
      </c>
      <c r="D39" s="17" t="n">
        <v>1225412</v>
      </c>
      <c r="E39" s="17" t="n">
        <v>200295</v>
      </c>
      <c r="F39" s="17" t="n">
        <v>486935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(kortfristet)</t>
        </is>
      </c>
      <c r="B43" s="17" t="n">
        <v>21266</v>
      </c>
      <c r="C43" s="17" t="n">
        <v>24487</v>
      </c>
      <c r="D43" s="17" t="n">
        <v>44633</v>
      </c>
      <c r="E43" s="17" t="n">
        <v>39470</v>
      </c>
      <c r="F43" s="17" t="n">
        <v>43371</v>
      </c>
    </row>
    <row r="44">
      <c r="A44" s="16" t="inlineStr">
        <is>
          <t>Leverandører af varer og tjenesteydelser</t>
        </is>
      </c>
      <c r="B44" s="17" t="n">
        <v>263611</v>
      </c>
      <c r="C44" s="17" t="n">
        <v>605928</v>
      </c>
      <c r="D44" s="17" t="n">
        <v>954142</v>
      </c>
      <c r="E44" s="17" t="n">
        <v>1045134</v>
      </c>
      <c r="F44" s="17" t="n">
        <v>967744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/>
      <c r="C49" s="17" t="n"/>
      <c r="D49" s="17" t="n"/>
      <c r="E49" s="17" t="n"/>
      <c r="F49" s="17" t="n">
        <v>563235</v>
      </c>
    </row>
    <row r="50">
      <c r="A50" s="16" t="inlineStr">
        <is>
          <t>Periodeafgrænsningsposter (passiver)</t>
        </is>
      </c>
      <c r="B50" s="17" t="n"/>
      <c r="C50" s="17" t="n"/>
      <c r="D50" s="17" t="n"/>
      <c r="E50" s="17" t="n"/>
      <c r="F50" s="17" t="n"/>
    </row>
    <row r="51">
      <c r="A51" s="15" t="inlineStr">
        <is>
          <t>Kortfristede gældsforpligtelser</t>
        </is>
      </c>
      <c r="B51" s="17" t="n">
        <v>1908558</v>
      </c>
      <c r="C51" s="17" t="n">
        <v>2287340</v>
      </c>
      <c r="D51" s="17" t="n">
        <v>2787869</v>
      </c>
      <c r="E51" s="17" t="n">
        <v>2797008</v>
      </c>
      <c r="F51" s="17" t="n">
        <v>1597524</v>
      </c>
    </row>
    <row r="52">
      <c r="A52" s="15" t="inlineStr">
        <is>
          <t>Gældsforpligtelser</t>
        </is>
      </c>
      <c r="B52" s="17" t="n">
        <v>4714602</v>
      </c>
      <c r="C52" s="17" t="n">
        <v>5241259</v>
      </c>
      <c r="D52" s="17" t="n">
        <v>4013281</v>
      </c>
      <c r="E52" s="17" t="n">
        <v>2997303</v>
      </c>
      <c r="F52" s="17" t="n">
        <v>2084459</v>
      </c>
    </row>
    <row r="53">
      <c r="A53" s="15" t="inlineStr">
        <is>
          <t>Passiver</t>
        </is>
      </c>
      <c r="B53" s="17" t="n">
        <v>12089269</v>
      </c>
      <c r="C53" s="17" t="n">
        <v>12391246</v>
      </c>
      <c r="D53" s="17" t="n">
        <v>14353213</v>
      </c>
      <c r="E53" s="17" t="n">
        <v>14405864</v>
      </c>
      <c r="F53" s="17" t="n">
        <v>14954537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bavarian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-358500</v>
      </c>
      <c r="C2" s="17" t="n">
        <v>220053</v>
      </c>
      <c r="D2" s="17" t="n">
        <v>1119206</v>
      </c>
      <c r="E2" s="17" t="n">
        <v>1949832</v>
      </c>
      <c r="F2" s="17" t="n">
        <v>2721903</v>
      </c>
    </row>
    <row r="3">
      <c r="A3" s="16" t="inlineStr">
        <is>
          <t>Pengestrømme fra investeringsaktivitet</t>
        </is>
      </c>
      <c r="B3" s="17" t="n">
        <v>-2876946</v>
      </c>
      <c r="C3" s="17" t="n">
        <v>-877405</v>
      </c>
      <c r="D3" s="17" t="n">
        <v>-945564</v>
      </c>
      <c r="E3" s="17" t="n">
        <v>-1870863</v>
      </c>
      <c r="F3" s="17" t="n">
        <v>-2484867</v>
      </c>
    </row>
    <row r="4">
      <c r="A4" s="16" t="inlineStr">
        <is>
          <t>Pengestrømme fra finansieringsaktivitet</t>
        </is>
      </c>
      <c r="B4" s="17" t="n">
        <v>3536080</v>
      </c>
      <c r="C4" s="17" t="n">
        <v>635820</v>
      </c>
      <c r="D4" s="17" t="n">
        <v>735832</v>
      </c>
      <c r="E4" s="17" t="n">
        <v>55775</v>
      </c>
      <c r="F4" s="17" t="n">
        <v>-114358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bavarian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bavarian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191116</v>
      </c>
      <c r="E3" s="35" t="n">
        <v>339363</v>
      </c>
      <c r="F3" s="35" t="n">
        <v>132380</v>
      </c>
      <c r="G3" s="35" t="n">
        <v>118478</v>
      </c>
      <c r="H3" s="35" t="n">
        <v>53887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50233</v>
      </c>
      <c r="E4" s="38" t="n">
        <v>78537</v>
      </c>
      <c r="F4" s="38" t="n">
        <v>112784</v>
      </c>
      <c r="G4" s="38" t="n">
        <v>150065</v>
      </c>
      <c r="H4" s="38" t="n">
        <v>51043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ifrs-full:AdjustmentsForIncomeTaxExpense</t>
        </is>
      </c>
      <c r="C5" s="34" t="inlineStr">
        <is>
          <t>ifrs-full:AdjustmentsForIncomeTaxExpense</t>
        </is>
      </c>
      <c r="D5" s="35" t="n">
        <v>10345</v>
      </c>
      <c r="E5" s="35" t="n">
        <v>15771</v>
      </c>
      <c r="F5" s="35" t="n">
        <v>7754</v>
      </c>
      <c r="G5" s="35" t="n">
        <v>-16620</v>
      </c>
      <c r="H5" s="35" t="n">
        <v>425577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ifrs-full:AdjustmentsForSharebasedPayments</t>
        </is>
      </c>
      <c r="C6" s="37" t="inlineStr">
        <is>
          <t>ifrs-full:AdjustmentsForSharebasedPayments</t>
        </is>
      </c>
      <c r="D6" s="38" t="n">
        <v>56857</v>
      </c>
      <c r="E6" s="38" t="n">
        <v>49284</v>
      </c>
      <c r="F6" s="38" t="n">
        <v>55477</v>
      </c>
      <c r="G6" s="38" t="n">
        <v>78672</v>
      </c>
      <c r="H6" s="38" t="n">
        <v>84486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ifrs-full:ComputerSoftware</t>
        </is>
      </c>
      <c r="C7" s="34" t="inlineStr">
        <is>
          <t>ifrs-full:ComputerSoftware</t>
        </is>
      </c>
      <c r="D7" s="35" t="n">
        <v>22985</v>
      </c>
      <c r="E7" s="35" t="n">
        <v>14768</v>
      </c>
      <c r="F7" s="35" t="n">
        <v>12443</v>
      </c>
      <c r="G7" s="35" t="n">
        <v>21371</v>
      </c>
      <c r="H7" s="35" t="n">
        <v>24211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ifrs-full:CopyrightsPatentsAndOtherIndustrialPropertyRightsServiceAndOperatingRights</t>
        </is>
      </c>
      <c r="C8" s="37" t="inlineStr">
        <is>
          <t>ifrs-full:CopyrightsPatentsAndOtherIndustrialPropertyRightsServiceAndOperatingRights</t>
        </is>
      </c>
      <c r="D8" s="38" t="n">
        <v>4912830</v>
      </c>
      <c r="E8" s="38" t="n">
        <v>4639895</v>
      </c>
      <c r="F8" s="38" t="n">
        <v>4791442</v>
      </c>
      <c r="G8" s="38" t="n">
        <v>4660426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ifrs-full:CurrentFinancialAssetsAtFairValueThroughProfitOrLoss</t>
        </is>
      </c>
      <c r="C9" s="34" t="inlineStr">
        <is>
          <t>ifrs-full:CurrentFinancialAssetsAtFairValueThroughProfitOrLoss</t>
        </is>
      </c>
      <c r="D9" s="35" t="n"/>
      <c r="E9" s="35" t="n"/>
      <c r="F9" s="35" t="n"/>
      <c r="G9" s="35" t="n"/>
      <c r="H9" s="35" t="n">
        <v>1619004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ifrs-full:IncreaseDecreaseThroughExerciseOfWarrantsEquity</t>
        </is>
      </c>
      <c r="C10" s="37" t="inlineStr">
        <is>
          <t>ifrs-full:IncreaseDecreaseThroughExerciseOfWarrantsEquity</t>
        </is>
      </c>
      <c r="D10" s="38" t="n">
        <v>126729</v>
      </c>
      <c r="E10" s="38" t="n">
        <v>46145</v>
      </c>
      <c r="F10" s="38" t="n">
        <v>54856</v>
      </c>
      <c r="G10" s="38" t="n">
        <v>147806</v>
      </c>
      <c r="H10" s="38" t="n">
        <v>3819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ifrs-full:Machinery</t>
        </is>
      </c>
      <c r="C11" s="34" t="inlineStr">
        <is>
          <t>ifrs-full:Machinery</t>
        </is>
      </c>
      <c r="D11" s="35" t="n">
        <v>254530</v>
      </c>
      <c r="E11" s="35" t="n">
        <v>321745</v>
      </c>
      <c r="F11" s="35" t="n">
        <v>412674</v>
      </c>
      <c r="G11" s="35" t="n">
        <v>417210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ifrs-full:NoncurrentPrepayments</t>
        </is>
      </c>
      <c r="C12" s="37" t="inlineStr">
        <is>
          <t>ifrs-full:NoncurrentPrepayments</t>
        </is>
      </c>
      <c r="D12" s="38" t="n">
        <v>38385</v>
      </c>
      <c r="E12" s="38" t="n">
        <v>207537</v>
      </c>
      <c r="F12" s="38" t="n">
        <v>4556</v>
      </c>
      <c r="G12" s="38" t="n">
        <v>36421</v>
      </c>
      <c r="H12" s="38" t="n">
        <v>73268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ifrs-full:OtherComprehensiveIncomeNetOfTaxGainsLossesOnRemeasurementsOfDefinedBenefitPlans</t>
        </is>
      </c>
      <c r="C13" s="34" t="inlineStr">
        <is>
          <t>ifrs-full:OtherComprehensiveIncomeNetOfTaxGainsLossesOnRemeasurementsOfDefinedBenefitPlans</t>
        </is>
      </c>
      <c r="D13" s="35" t="n"/>
      <c r="E13" s="35" t="n">
        <v>0</v>
      </c>
      <c r="F13" s="35" t="n">
        <v>-32555</v>
      </c>
      <c r="G13" s="35" t="n">
        <v>-17390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ifrs-full:OtherLiabilities</t>
        </is>
      </c>
      <c r="C14" s="37" t="inlineStr">
        <is>
          <t>ifrs-full:OtherLiabilities</t>
        </is>
      </c>
      <c r="D14" s="38" t="n">
        <v>150994</v>
      </c>
      <c r="E14" s="38" t="n">
        <v>257569</v>
      </c>
      <c r="F14" s="38" t="n">
        <v>419843</v>
      </c>
      <c r="G14" s="38" t="n">
        <v>497457</v>
      </c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ifrs-full:PaymentsForShareIssueCosts</t>
        </is>
      </c>
      <c r="C15" s="34" t="inlineStr">
        <is>
          <t>ifrs-full:PaymentsForShareIssueCosts</t>
        </is>
      </c>
      <c r="D15" s="35" t="n">
        <v>57438</v>
      </c>
      <c r="E15" s="35" t="n">
        <v>111</v>
      </c>
      <c r="F15" s="35" t="n">
        <v>42795</v>
      </c>
      <c r="G15" s="35" t="n">
        <v>0</v>
      </c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ifrs-full:ProceedsFromExerciseOfWarrants</t>
        </is>
      </c>
      <c r="C16" s="37" t="inlineStr">
        <is>
          <t>ifrs-full:ProceedsFromExerciseOfWarrants</t>
        </is>
      </c>
      <c r="D16" s="38" t="n"/>
      <c r="E16" s="38" t="n"/>
      <c r="F16" s="38" t="n"/>
      <c r="G16" s="38" t="n"/>
      <c r="H16" s="38" t="n">
        <v>78666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ifrs-full:ProceedsFromSalesOrMaturityOfFinancialInstrumentsClassifiedAsInvestingActivities</t>
        </is>
      </c>
      <c r="C17" s="34" t="inlineStr">
        <is>
          <t>ifrs-full:ProceedsFromSalesOrMaturityOfFinancialInstrumentsClassifiedAsInvestingActivities</t>
        </is>
      </c>
      <c r="D17" s="35" t="n">
        <v>336342</v>
      </c>
      <c r="E17" s="35" t="n">
        <v>1088243</v>
      </c>
      <c r="F17" s="35" t="n">
        <v>1912954</v>
      </c>
      <c r="G17" s="35" t="n">
        <v>1294987</v>
      </c>
      <c r="H17" s="35" t="n">
        <v>721902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ifrs-full:ResearchAndDevelopmentExpense</t>
        </is>
      </c>
      <c r="C18" s="37" t="inlineStr">
        <is>
          <t>ifrs-full:ResearchAndDevelopmentExpense</t>
        </is>
      </c>
      <c r="D18" s="38" t="n">
        <v>399159</v>
      </c>
      <c r="E18" s="38" t="n">
        <v>1183092</v>
      </c>
      <c r="F18" s="38" t="n">
        <v>2228080</v>
      </c>
      <c r="G18" s="38" t="n">
        <v>862510</v>
      </c>
      <c r="H18" s="38" t="n">
        <v>780303</v>
      </c>
      <c r="I1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2026-09-16T11:55:15Z</dcterms:created>
  <dcterms:modified xmlns:dcterms="http://purl.org/dc/terms/" xmlns:xsi="http://www.w3.org/2001/XMLSchema-instance" xsi:type="dcterms:W3CDTF">2026-09-16T11:55:16Z</dcterms:modified>
</cp:coreProperties>
</file>