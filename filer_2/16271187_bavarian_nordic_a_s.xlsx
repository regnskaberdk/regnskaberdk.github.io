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" sheetId="1" state="visible" r:id="rId1"/>
    <sheet xmlns:r="http://schemas.openxmlformats.org/officeDocument/2006/relationships" name="res_raw" sheetId="2" state="visible" r:id="rId2"/>
    <sheet xmlns:r="http://schemas.openxmlformats.org/officeDocument/2006/relationships" name="balance_raw" sheetId="3" state="visible" r:id="rId3"/>
    <sheet xmlns:r="http://schemas.openxmlformats.org/officeDocument/2006/relationships" name="pengestrom_raw" sheetId="4" state="visible" r:id="rId4"/>
    <sheet xmlns:r="http://schemas.openxmlformats.org/officeDocument/2006/relationships" name="Simpel_funktion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3" borderId="1" pivotButton="0" quotePrefix="0" xfId="0"/>
    <xf numFmtId="4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3" fillId="0" borderId="3" pivotButton="0" quotePrefix="0" xfId="0"/>
    <xf numFmtId="3" fontId="3" fillId="0" borderId="3" applyAlignment="1" pivotButton="0" quotePrefix="0" xfId="0">
      <alignment horizontal="right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bavarian — 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'res_raw'!$B$2</f>
        <v/>
      </c>
      <c r="C4" s="5">
        <f>'res_raw'!$C$2</f>
        <v/>
      </c>
      <c r="D4" s="5">
        <f>'res_raw'!$D$2</f>
        <v/>
      </c>
      <c r="E4" s="5">
        <f>'res_raw'!$E$2</f>
        <v/>
      </c>
      <c r="F4" s="5">
        <f>'res_raw'!$F$2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'res_raw'!$B$3</f>
        <v/>
      </c>
      <c r="C5" s="8">
        <f>'res_raw'!$C$3</f>
        <v/>
      </c>
      <c r="D5" s="8">
        <f>'res_raw'!$D$3</f>
        <v/>
      </c>
      <c r="E5" s="8">
        <f>'res_raw'!$E$3</f>
        <v/>
      </c>
      <c r="F5" s="8">
        <f>'res_raw'!$F$3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'res_raw'!$B$4</f>
        <v/>
      </c>
      <c r="C6" s="8">
        <f>'res_raw'!$C$4</f>
        <v/>
      </c>
      <c r="D6" s="8">
        <f>'res_raw'!$D$4</f>
        <v/>
      </c>
      <c r="E6" s="8">
        <f>'res_raw'!$E$4</f>
        <v/>
      </c>
      <c r="F6" s="8">
        <f>'res_raw'!$F$4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10" t="inlineStr">
        <is>
          <t>Udviklingsomkostninger</t>
        </is>
      </c>
      <c r="B7" s="11">
        <f>'res_raw'!$B$5</f>
        <v/>
      </c>
      <c r="C7" s="11">
        <f>'res_raw'!$C$5</f>
        <v/>
      </c>
      <c r="D7" s="11">
        <f>'res_raw'!$D$5</f>
        <v/>
      </c>
      <c r="E7" s="11">
        <f>'res_raw'!$E$5</f>
        <v/>
      </c>
      <c r="F7" s="11">
        <f>'res_raw'!$F$5</f>
        <v/>
      </c>
      <c r="G7" t="inlineStr"/>
      <c r="H7" s="12">
        <f>IFERROR(B7/$B$7*100,"")</f>
        <v/>
      </c>
      <c r="I7" s="12">
        <f>IFERROR(C7/$B$7*100,"")</f>
        <v/>
      </c>
      <c r="J7" s="12">
        <f>IFERROR(D7/$B$7*100,"")</f>
        <v/>
      </c>
      <c r="K7" s="12">
        <f>IFERROR(E7/$B$7*100,"")</f>
        <v/>
      </c>
      <c r="L7" s="12">
        <f>IFERROR(F7/$B$7*100,"")</f>
        <v/>
      </c>
    </row>
    <row r="8" ht="16" customHeight="1">
      <c r="A8" s="7" t="inlineStr">
        <is>
          <t>Salgs- og distributionsomkostninger</t>
        </is>
      </c>
      <c r="B8" s="8">
        <f>'res_raw'!$B$6</f>
        <v/>
      </c>
      <c r="C8" s="8">
        <f>'res_raw'!$C$6</f>
        <v/>
      </c>
      <c r="D8" s="8">
        <f>'res_raw'!$D$6</f>
        <v/>
      </c>
      <c r="E8" s="8">
        <f>'res_raw'!$E$6</f>
        <v/>
      </c>
      <c r="F8" s="8">
        <f>'res_raw'!$F$6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7" t="inlineStr">
        <is>
          <t>Administrationsomkostninger</t>
        </is>
      </c>
      <c r="B9" s="8">
        <f>'res_raw'!$B$7</f>
        <v/>
      </c>
      <c r="C9" s="8">
        <f>'res_raw'!$C$7</f>
        <v/>
      </c>
      <c r="D9" s="8">
        <f>'res_raw'!$D$7</f>
        <v/>
      </c>
      <c r="E9" s="8">
        <f>'res_raw'!$E$7</f>
        <v/>
      </c>
      <c r="F9" s="8">
        <f>'res_raw'!$F$7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4" t="inlineStr">
        <is>
          <t>Andre driftsindtægter</t>
        </is>
      </c>
      <c r="B10" s="5">
        <f>'res_raw'!$B$8</f>
        <v/>
      </c>
      <c r="C10" s="5">
        <f>'res_raw'!$C$8</f>
        <v/>
      </c>
      <c r="D10" s="5">
        <f>'res_raw'!$D$8</f>
        <v/>
      </c>
      <c r="E10" s="5">
        <f>'res_raw'!$E$8</f>
        <v/>
      </c>
      <c r="F10" s="5">
        <f>'res_raw'!$F$8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10" t="inlineStr">
        <is>
          <t>Andre driftsomkostninger</t>
        </is>
      </c>
      <c r="B11" s="11">
        <f>'res_raw'!$B$9</f>
        <v/>
      </c>
      <c r="C11" s="11">
        <f>'res_raw'!$C$9</f>
        <v/>
      </c>
      <c r="D11" s="11">
        <f>'res_raw'!$D$9</f>
        <v/>
      </c>
      <c r="E11" s="11">
        <f>'res_raw'!$E$9</f>
        <v/>
      </c>
      <c r="F11" s="11">
        <f>'res_raw'!$F$9</f>
        <v/>
      </c>
      <c r="G11" t="inlineStr"/>
      <c r="H11" s="12">
        <f>IFERROR(B11/$B$11*100,"")</f>
        <v/>
      </c>
      <c r="I11" s="12">
        <f>IFERROR(C11/$B$11*100,"")</f>
        <v/>
      </c>
      <c r="J11" s="12">
        <f>IFERROR(D11/$B$11*100,"")</f>
        <v/>
      </c>
      <c r="K11" s="12">
        <f>IFERROR(E11/$B$11*100,"")</f>
        <v/>
      </c>
      <c r="L11" s="12">
        <f>IFERROR(F11/$B$11*100,"")</f>
        <v/>
      </c>
    </row>
    <row r="12" ht="16" customHeight="1">
      <c r="A12" s="7" t="inlineStr">
        <is>
          <t>Resultat af primær drift</t>
        </is>
      </c>
      <c r="B12" s="8">
        <f>'res_raw'!$B$10</f>
        <v/>
      </c>
      <c r="C12" s="8">
        <f>'res_raw'!$C$10</f>
        <v/>
      </c>
      <c r="D12" s="8">
        <f>'res_raw'!$D$10</f>
        <v/>
      </c>
      <c r="E12" s="8">
        <f>'res_raw'!$E$10</f>
        <v/>
      </c>
      <c r="F12" s="8">
        <f>'res_raw'!$F$10</f>
        <v/>
      </c>
      <c r="G12" t="inlineStr"/>
      <c r="H12" s="9">
        <f>IFERROR(B12/$B$12*100,"")</f>
        <v/>
      </c>
      <c r="I12" s="9">
        <f>IFERROR(C12/$B$12*100,"")</f>
        <v/>
      </c>
      <c r="J12" s="9">
        <f>IFERROR(D12/$B$12*100,"")</f>
        <v/>
      </c>
      <c r="K12" s="9">
        <f>IFERROR(E12/$B$12*100,"")</f>
        <v/>
      </c>
      <c r="L12" s="9">
        <f>IFERROR(F12/$B$12*100,"")</f>
        <v/>
      </c>
    </row>
    <row r="13" ht="16" customHeight="1">
      <c r="A13" s="10" t="inlineStr">
        <is>
          <t>Indtægter af kapitalandele, dattervirksomheder</t>
        </is>
      </c>
      <c r="B13" s="11">
        <f>'res_raw'!$B$11</f>
        <v/>
      </c>
      <c r="C13" s="11">
        <f>'res_raw'!$C$11</f>
        <v/>
      </c>
      <c r="D13" s="11">
        <f>'res_raw'!$D$11</f>
        <v/>
      </c>
      <c r="E13" s="11">
        <f>'res_raw'!$E$11</f>
        <v/>
      </c>
      <c r="F13" s="11">
        <f>'res_raw'!$F$11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indtægter</t>
        </is>
      </c>
      <c r="B14" s="5">
        <f>'res_raw'!$B$12</f>
        <v/>
      </c>
      <c r="C14" s="5">
        <f>'res_raw'!$C$12</f>
        <v/>
      </c>
      <c r="D14" s="5">
        <f>'res_raw'!$D$12</f>
        <v/>
      </c>
      <c r="E14" s="5">
        <f>'res_raw'!$E$12</f>
        <v/>
      </c>
      <c r="F14" s="5">
        <f>'res_raw'!$F$12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10" t="inlineStr">
        <is>
          <t>Finansielle omkostninger</t>
        </is>
      </c>
      <c r="B15" s="11">
        <f>'res_raw'!$B$13</f>
        <v/>
      </c>
      <c r="C15" s="11">
        <f>'res_raw'!$C$13</f>
        <v/>
      </c>
      <c r="D15" s="11">
        <f>'res_raw'!$D$13</f>
        <v/>
      </c>
      <c r="E15" s="11">
        <f>'res_raw'!$E$13</f>
        <v/>
      </c>
      <c r="F15" s="11">
        <f>'res_raw'!$F$13</f>
        <v/>
      </c>
      <c r="G15" t="inlineStr"/>
      <c r="H15" s="12">
        <f>IFERROR(B15/$B$15*100,"")</f>
        <v/>
      </c>
      <c r="I15" s="12">
        <f>IFERROR(C15/$B$15*100,"")</f>
        <v/>
      </c>
      <c r="J15" s="12">
        <f>IFERROR(D15/$B$15*100,"")</f>
        <v/>
      </c>
      <c r="K15" s="12">
        <f>IFERROR(E15/$B$15*100,"")</f>
        <v/>
      </c>
      <c r="L15" s="12">
        <f>IFERROR(F15/$B$15*100,"")</f>
        <v/>
      </c>
    </row>
    <row r="16" ht="16" customHeight="1">
      <c r="A16" s="7" t="inlineStr">
        <is>
          <t>Finansielle poster, netto</t>
        </is>
      </c>
      <c r="B16" s="8">
        <f>'res_raw'!$B$14</f>
        <v/>
      </c>
      <c r="C16" s="8">
        <f>'res_raw'!$C$14</f>
        <v/>
      </c>
      <c r="D16" s="8">
        <f>'res_raw'!$D$14</f>
        <v/>
      </c>
      <c r="E16" s="8">
        <f>'res_raw'!$E$14</f>
        <v/>
      </c>
      <c r="F16" s="8">
        <f>'res_raw'!$F$14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7" t="inlineStr">
        <is>
          <t>Resultat før skat</t>
        </is>
      </c>
      <c r="B17" s="8">
        <f>'res_raw'!$B$15</f>
        <v/>
      </c>
      <c r="C17" s="8">
        <f>'res_raw'!$C$15</f>
        <v/>
      </c>
      <c r="D17" s="8">
        <f>'res_raw'!$D$15</f>
        <v/>
      </c>
      <c r="E17" s="8">
        <f>'res_raw'!$E$15</f>
        <v/>
      </c>
      <c r="F17" s="8">
        <f>'res_raw'!$F$15</f>
        <v/>
      </c>
      <c r="G17" t="inlineStr"/>
      <c r="H17" s="9">
        <f>IFERROR(B17/$B$17*100,"")</f>
        <v/>
      </c>
      <c r="I17" s="9">
        <f>IFERROR(C17/$B$17*100,"")</f>
        <v/>
      </c>
      <c r="J17" s="9">
        <f>IFERROR(D17/$B$17*100,"")</f>
        <v/>
      </c>
      <c r="K17" s="9">
        <f>IFERROR(E17/$B$17*100,"")</f>
        <v/>
      </c>
      <c r="L17" s="9">
        <f>IFERROR(F17/$B$17*100,"")</f>
        <v/>
      </c>
    </row>
    <row r="18" ht="16" customHeight="1">
      <c r="A18" s="4" t="inlineStr">
        <is>
          <t>Skat af årets resultat</t>
        </is>
      </c>
      <c r="B18" s="5">
        <f>'res_raw'!$B$16</f>
        <v/>
      </c>
      <c r="C18" s="5">
        <f>'res_raw'!$C$16</f>
        <v/>
      </c>
      <c r="D18" s="5">
        <f>'res_raw'!$D$16</f>
        <v/>
      </c>
      <c r="E18" s="5">
        <f>'res_raw'!$E$16</f>
        <v/>
      </c>
      <c r="F18" s="5">
        <f>'res_raw'!$F$16</f>
        <v/>
      </c>
      <c r="G18" t="inlineStr"/>
      <c r="H18" s="6">
        <f>IFERROR(B18/$B$18*100,"")</f>
        <v/>
      </c>
      <c r="I18" s="6">
        <f>IFERROR(C18/$B$18*100,"")</f>
        <v/>
      </c>
      <c r="J18" s="6">
        <f>IFERROR(D18/$B$18*100,"")</f>
        <v/>
      </c>
      <c r="K18" s="6">
        <f>IFERROR(E18/$B$18*100,"")</f>
        <v/>
      </c>
      <c r="L18" s="6">
        <f>IFERROR(F18/$B$18*100,"")</f>
        <v/>
      </c>
    </row>
    <row r="19" ht="16" customHeight="1">
      <c r="A19" s="7" t="inlineStr">
        <is>
          <t>Årets resultat</t>
        </is>
      </c>
      <c r="B19" s="8">
        <f>'res_raw'!$B$17</f>
        <v/>
      </c>
      <c r="C19" s="8">
        <f>'res_raw'!$C$17</f>
        <v/>
      </c>
      <c r="D19" s="8">
        <f>'res_raw'!$D$17</f>
        <v/>
      </c>
      <c r="E19" s="8">
        <f>'res_raw'!$E$17</f>
        <v/>
      </c>
      <c r="F19" s="8">
        <f>'res_raw'!$F$17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1" ht="22" customHeight="1">
      <c r="A21" s="3" t="inlineStr">
        <is>
          <t>AKTIVER t.kr.</t>
        </is>
      </c>
      <c r="B21" s="3" t="n">
        <v>2021</v>
      </c>
      <c r="C21" s="3" t="n">
        <v>2022</v>
      </c>
      <c r="D21" s="3" t="n">
        <v>2023</v>
      </c>
      <c r="E21" s="3" t="n">
        <v>2024</v>
      </c>
      <c r="F21" s="3" t="n">
        <v>2025</v>
      </c>
      <c r="G21" t="inlineStr"/>
      <c r="H21" s="3" t="n">
        <v>2021</v>
      </c>
      <c r="I21" s="3" t="n">
        <v>2022</v>
      </c>
      <c r="J21" s="3" t="n">
        <v>2023</v>
      </c>
      <c r="K21" s="3" t="n">
        <v>2024</v>
      </c>
      <c r="L21" s="3" t="n">
        <v>2025</v>
      </c>
    </row>
    <row r="22" ht="16" customHeight="1">
      <c r="A22" s="4" t="inlineStr">
        <is>
          <t>Udviklingsprojekter</t>
        </is>
      </c>
      <c r="B22" s="5">
        <f>'balance_raw'!$B$2</f>
        <v/>
      </c>
      <c r="C22" s="5">
        <f>'balance_raw'!$C$2</f>
        <v/>
      </c>
      <c r="D22" s="5">
        <f>'balance_raw'!$D$2</f>
        <v/>
      </c>
      <c r="E22" s="5">
        <f>'balance_raw'!$E$2</f>
        <v/>
      </c>
      <c r="F22" s="5">
        <f>'balance_raw'!$F$2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Patenter, varemærker mv.</t>
        </is>
      </c>
      <c r="B23" s="11">
        <f>'balance_raw'!$B$3</f>
        <v/>
      </c>
      <c r="C23" s="11">
        <f>'balance_raw'!$C$3</f>
        <v/>
      </c>
      <c r="D23" s="11">
        <f>'balance_raw'!$D$3</f>
        <v/>
      </c>
      <c r="E23" s="11">
        <f>'balance_raw'!$E$3</f>
        <v/>
      </c>
      <c r="F23" s="11">
        <f>'balance_raw'!$F$3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4" t="inlineStr">
        <is>
          <t>Goodwill</t>
        </is>
      </c>
      <c r="B24" s="5">
        <f>'balance_raw'!$B$4</f>
        <v/>
      </c>
      <c r="C24" s="5">
        <f>'balance_raw'!$C$4</f>
        <v/>
      </c>
      <c r="D24" s="5">
        <f>'balance_raw'!$D$4</f>
        <v/>
      </c>
      <c r="E24" s="5">
        <f>'balance_raw'!$E$4</f>
        <v/>
      </c>
      <c r="F24" s="5">
        <f>'balance_raw'!$F$4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Immaterielle anlægsaktiver</t>
        </is>
      </c>
      <c r="B25" s="8">
        <f>'balance_raw'!$B$5</f>
        <v/>
      </c>
      <c r="C25" s="8">
        <f>'balance_raw'!$C$5</f>
        <v/>
      </c>
      <c r="D25" s="8">
        <f>'balance_raw'!$D$5</f>
        <v/>
      </c>
      <c r="E25" s="8">
        <f>'balance_raw'!$E$5</f>
        <v/>
      </c>
      <c r="F25" s="8">
        <f>'balance_raw'!$F$5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Grunde og bygninger</t>
        </is>
      </c>
      <c r="B26" s="5">
        <f>'balance_raw'!$B$6</f>
        <v/>
      </c>
      <c r="C26" s="5">
        <f>'balance_raw'!$C$6</f>
        <v/>
      </c>
      <c r="D26" s="5">
        <f>'balance_raw'!$D$6</f>
        <v/>
      </c>
      <c r="E26" s="5">
        <f>'balance_raw'!$E$6</f>
        <v/>
      </c>
      <c r="F26" s="5">
        <f>'balance_raw'!$F$6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Produktionsanlæg og maskiner</t>
        </is>
      </c>
      <c r="B27" s="11">
        <f>'balance_raw'!$B$7</f>
        <v/>
      </c>
      <c r="C27" s="11">
        <f>'balance_raw'!$C$7</f>
        <v/>
      </c>
      <c r="D27" s="11">
        <f>'balance_raw'!$D$7</f>
        <v/>
      </c>
      <c r="E27" s="11">
        <f>'balance_raw'!$E$7</f>
        <v/>
      </c>
      <c r="F27" s="11">
        <f>'balance_raw'!$F$7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Driftsmateriel og inventar</t>
        </is>
      </c>
      <c r="B28" s="5">
        <f>'balance_raw'!$B$8</f>
        <v/>
      </c>
      <c r="C28" s="5">
        <f>'balance_raw'!$C$8</f>
        <v/>
      </c>
      <c r="D28" s="5">
        <f>'balance_raw'!$D$8</f>
        <v/>
      </c>
      <c r="E28" s="5">
        <f>'balance_raw'!$E$8</f>
        <v/>
      </c>
      <c r="F28" s="5">
        <f>'balance_raw'!$F$8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Indretning af lejede lokaler</t>
        </is>
      </c>
      <c r="B29" s="11">
        <f>'balance_raw'!$B$9</f>
        <v/>
      </c>
      <c r="C29" s="11">
        <f>'balance_raw'!$C$9</f>
        <v/>
      </c>
      <c r="D29" s="11">
        <f>'balance_raw'!$D$9</f>
        <v/>
      </c>
      <c r="E29" s="11">
        <f>'balance_raw'!$E$9</f>
        <v/>
      </c>
      <c r="F29" s="11">
        <f>'balance_raw'!$F$9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Forudbetaling og anlægsaktiver under opførelse</t>
        </is>
      </c>
      <c r="B30" s="5">
        <f>'balance_raw'!$B$10</f>
        <v/>
      </c>
      <c r="C30" s="5">
        <f>'balance_raw'!$C$10</f>
        <v/>
      </c>
      <c r="D30" s="5">
        <f>'balance_raw'!$D$10</f>
        <v/>
      </c>
      <c r="E30" s="5">
        <f>'balance_raw'!$E$10</f>
        <v/>
      </c>
      <c r="F30" s="5">
        <f>'balance_raw'!$F$10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Materielle anlægsaktiver</t>
        </is>
      </c>
      <c r="B31" s="8">
        <f>'balance_raw'!$B$11</f>
        <v/>
      </c>
      <c r="C31" s="8">
        <f>'balance_raw'!$C$11</f>
        <v/>
      </c>
      <c r="D31" s="8">
        <f>'balance_raw'!$D$11</f>
        <v/>
      </c>
      <c r="E31" s="8">
        <f>'balance_raw'!$E$11</f>
        <v/>
      </c>
      <c r="F31" s="8">
        <f>'balance_raw'!$F$11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7" t="inlineStr">
        <is>
          <t>Anlægsaktiver</t>
        </is>
      </c>
      <c r="B32" s="8">
        <f>'balance_raw'!$B$12</f>
        <v/>
      </c>
      <c r="C32" s="8">
        <f>'balance_raw'!$C$12</f>
        <v/>
      </c>
      <c r="D32" s="8">
        <f>'balance_raw'!$D$12</f>
        <v/>
      </c>
      <c r="E32" s="8">
        <f>'balance_raw'!$E$12</f>
        <v/>
      </c>
      <c r="F32" s="8">
        <f>'balance_raw'!$F$12</f>
        <v/>
      </c>
      <c r="G32" t="inlineStr"/>
      <c r="H32" s="9">
        <f>IFERROR(B32/$B$32*100,"")</f>
        <v/>
      </c>
      <c r="I32" s="9">
        <f>IFERROR(C32/$B$32*100,"")</f>
        <v/>
      </c>
      <c r="J32" s="9">
        <f>IFERROR(D32/$B$32*100,"")</f>
        <v/>
      </c>
      <c r="K32" s="9">
        <f>IFERROR(E32/$B$32*100,"")</f>
        <v/>
      </c>
      <c r="L32" s="9">
        <f>IFERROR(F32/$B$32*100,"")</f>
        <v/>
      </c>
    </row>
    <row r="33" ht="16" customHeight="1">
      <c r="A33" s="7" t="inlineStr">
        <is>
          <t>Varebeholdninger</t>
        </is>
      </c>
      <c r="B33" s="8">
        <f>'balance_raw'!$B$13</f>
        <v/>
      </c>
      <c r="C33" s="8">
        <f>'balance_raw'!$C$13</f>
        <v/>
      </c>
      <c r="D33" s="8">
        <f>'balance_raw'!$D$13</f>
        <v/>
      </c>
      <c r="E33" s="8">
        <f>'balance_raw'!$E$13</f>
        <v/>
      </c>
      <c r="F33" s="8">
        <f>'balance_raw'!$F$13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Tilgodehavender fra salg og tjenesteydelser</t>
        </is>
      </c>
      <c r="B34" s="5">
        <f>'balance_raw'!$B$14</f>
        <v/>
      </c>
      <c r="C34" s="5">
        <f>'balance_raw'!$C$14</f>
        <v/>
      </c>
      <c r="D34" s="5">
        <f>'balance_raw'!$D$14</f>
        <v/>
      </c>
      <c r="E34" s="5">
        <f>'balance_raw'!$E$14</f>
        <v/>
      </c>
      <c r="F34" s="5">
        <f>'balance_raw'!$F$14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Tilgodehavender hos tilknyttede virksomheder</t>
        </is>
      </c>
      <c r="B35" s="11">
        <f>'balance_raw'!$B$15</f>
        <v/>
      </c>
      <c r="C35" s="11">
        <f>'balance_raw'!$C$15</f>
        <v/>
      </c>
      <c r="D35" s="11">
        <f>'balance_raw'!$D$15</f>
        <v/>
      </c>
      <c r="E35" s="11">
        <f>'balance_raw'!$E$15</f>
        <v/>
      </c>
      <c r="F35" s="11">
        <f>'balance_raw'!$F$15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4" t="inlineStr">
        <is>
          <t>Andre tilgodehavender</t>
        </is>
      </c>
      <c r="B36" s="5">
        <f>'balance_raw'!$B$16</f>
        <v/>
      </c>
      <c r="C36" s="5">
        <f>'balance_raw'!$C$16</f>
        <v/>
      </c>
      <c r="D36" s="5">
        <f>'balance_raw'!$D$16</f>
        <v/>
      </c>
      <c r="E36" s="5">
        <f>'balance_raw'!$E$16</f>
        <v/>
      </c>
      <c r="F36" s="5">
        <f>'balance_raw'!$F$16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Periodeafgrænsningsposter (aktiver)</t>
        </is>
      </c>
      <c r="B37" s="11">
        <f>'balance_raw'!$B$17</f>
        <v/>
      </c>
      <c r="C37" s="11">
        <f>'balance_raw'!$C$17</f>
        <v/>
      </c>
      <c r="D37" s="11">
        <f>'balance_raw'!$D$17</f>
        <v/>
      </c>
      <c r="E37" s="11">
        <f>'balance_raw'!$E$17</f>
        <v/>
      </c>
      <c r="F37" s="11">
        <f>'balance_raw'!$F$17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Udskudt skatteaktiv</t>
        </is>
      </c>
      <c r="B38" s="5">
        <f>'balance_raw'!$B$18</f>
        <v/>
      </c>
      <c r="C38" s="5">
        <f>'balance_raw'!$C$18</f>
        <v/>
      </c>
      <c r="D38" s="5">
        <f>'balance_raw'!$D$18</f>
        <v/>
      </c>
      <c r="E38" s="5">
        <f>'balance_raw'!$E$18</f>
        <v/>
      </c>
      <c r="F38" s="5">
        <f>'balance_raw'!$F$18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10" t="inlineStr">
        <is>
          <t>Tilgodehavende skat hos tilknyttede virksomheder</t>
        </is>
      </c>
      <c r="B39" s="11">
        <f>'balance_raw'!$B$19</f>
        <v/>
      </c>
      <c r="C39" s="11">
        <f>'balance_raw'!$C$19</f>
        <v/>
      </c>
      <c r="D39" s="11">
        <f>'balance_raw'!$D$19</f>
        <v/>
      </c>
      <c r="E39" s="11">
        <f>'balance_raw'!$E$19</f>
        <v/>
      </c>
      <c r="F39" s="11">
        <f>'balance_raw'!$F$19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Kortfristede skattetilgodehavender</t>
        </is>
      </c>
      <c r="B40" s="5">
        <f>'balance_raw'!$B$20</f>
        <v/>
      </c>
      <c r="C40" s="5">
        <f>'balance_raw'!$C$20</f>
        <v/>
      </c>
      <c r="D40" s="5">
        <f>'balance_raw'!$D$20</f>
        <v/>
      </c>
      <c r="E40" s="5">
        <f>'balance_raw'!$E$20</f>
        <v/>
      </c>
      <c r="F40" s="5">
        <f>'balance_raw'!$F$20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Tilgodehavender</t>
        </is>
      </c>
      <c r="B41" s="8">
        <f>'balance_raw'!$B$21</f>
        <v/>
      </c>
      <c r="C41" s="8">
        <f>'balance_raw'!$C$21</f>
        <v/>
      </c>
      <c r="D41" s="8">
        <f>'balance_raw'!$D$21</f>
        <v/>
      </c>
      <c r="E41" s="8">
        <f>'balance_raw'!$E$21</f>
        <v/>
      </c>
      <c r="F41" s="8">
        <f>'balance_raw'!$F$21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Værdipapirer</t>
        </is>
      </c>
      <c r="B42" s="5">
        <f>'balance_raw'!$B$22</f>
        <v/>
      </c>
      <c r="C42" s="5">
        <f>'balance_raw'!$C$22</f>
        <v/>
      </c>
      <c r="D42" s="5">
        <f>'balance_raw'!$D$22</f>
        <v/>
      </c>
      <c r="E42" s="5">
        <f>'balance_raw'!$E$22</f>
        <v/>
      </c>
      <c r="F42" s="5">
        <f>'balance_raw'!$F$22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Likvide beholdninger</t>
        </is>
      </c>
      <c r="B43" s="11">
        <f>'balance_raw'!$B$23</f>
        <v/>
      </c>
      <c r="C43" s="11">
        <f>'balance_raw'!$C$23</f>
        <v/>
      </c>
      <c r="D43" s="11">
        <f>'balance_raw'!$D$23</f>
        <v/>
      </c>
      <c r="E43" s="11">
        <f>'balance_raw'!$E$23</f>
        <v/>
      </c>
      <c r="F43" s="11">
        <f>'balance_raw'!$F$23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7" t="inlineStr">
        <is>
          <t>Omsætningsaktiver</t>
        </is>
      </c>
      <c r="B44" s="8">
        <f>'balance_raw'!$B$24</f>
        <v/>
      </c>
      <c r="C44" s="8">
        <f>'balance_raw'!$C$24</f>
        <v/>
      </c>
      <c r="D44" s="8">
        <f>'balance_raw'!$D$24</f>
        <v/>
      </c>
      <c r="E44" s="8">
        <f>'balance_raw'!$E$24</f>
        <v/>
      </c>
      <c r="F44" s="8">
        <f>'balance_raw'!$F$24</f>
        <v/>
      </c>
      <c r="G44" t="inlineStr"/>
      <c r="H44" s="9">
        <f>IFERROR(B44/$B$44*100,"")</f>
        <v/>
      </c>
      <c r="I44" s="9">
        <f>IFERROR(C44/$B$44*100,"")</f>
        <v/>
      </c>
      <c r="J44" s="9">
        <f>IFERROR(D44/$B$44*100,"")</f>
        <v/>
      </c>
      <c r="K44" s="9">
        <f>IFERROR(E44/$B$44*100,"")</f>
        <v/>
      </c>
      <c r="L44" s="9">
        <f>IFERROR(F44/$B$44*100,"")</f>
        <v/>
      </c>
    </row>
    <row r="45" ht="16" customHeight="1">
      <c r="A45" s="7" t="inlineStr">
        <is>
          <t>Aktiver</t>
        </is>
      </c>
      <c r="B45" s="8">
        <f>'balance_raw'!$B$25</f>
        <v/>
      </c>
      <c r="C45" s="8">
        <f>'balance_raw'!$C$25</f>
        <v/>
      </c>
      <c r="D45" s="8">
        <f>'balance_raw'!$D$25</f>
        <v/>
      </c>
      <c r="E45" s="8">
        <f>'balance_raw'!$E$25</f>
        <v/>
      </c>
      <c r="F45" s="8">
        <f>'balance_raw'!$F$25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7" ht="22" customHeight="1">
      <c r="A47" s="3" t="inlineStr">
        <is>
          <t>PASSIVER t.kr.</t>
        </is>
      </c>
      <c r="B47" s="3" t="n">
        <v>2021</v>
      </c>
      <c r="C47" s="3" t="n">
        <v>2022</v>
      </c>
      <c r="D47" s="3" t="n">
        <v>2023</v>
      </c>
      <c r="E47" s="3" t="n">
        <v>2024</v>
      </c>
      <c r="F47" s="3" t="n">
        <v>2025</v>
      </c>
      <c r="G47" t="inlineStr"/>
      <c r="H47" s="3" t="n">
        <v>2021</v>
      </c>
      <c r="I47" s="3" t="n">
        <v>2022</v>
      </c>
      <c r="J47" s="3" t="n">
        <v>2023</v>
      </c>
      <c r="K47" s="3" t="n">
        <v>2024</v>
      </c>
      <c r="L47" s="3" t="n">
        <v>2025</v>
      </c>
    </row>
    <row r="48" ht="16" customHeight="1">
      <c r="A48" s="4" t="inlineStr">
        <is>
          <t>Selskabskapital</t>
        </is>
      </c>
      <c r="B48" s="5">
        <f>'balance_raw'!$B$26</f>
        <v/>
      </c>
      <c r="C48" s="5">
        <f>'balance_raw'!$C$26</f>
        <v/>
      </c>
      <c r="D48" s="5">
        <f>'balance_raw'!$D$26</f>
        <v/>
      </c>
      <c r="E48" s="5">
        <f>'balance_raw'!$E$26</f>
        <v/>
      </c>
      <c r="F48" s="5">
        <f>'balance_raw'!$F$26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10" t="inlineStr">
        <is>
          <t>Reserve for nettoopskrivning (indre værdis metode)</t>
        </is>
      </c>
      <c r="B49" s="11">
        <f>'balance_raw'!$B$27</f>
        <v/>
      </c>
      <c r="C49" s="11">
        <f>'balance_raw'!$C$27</f>
        <v/>
      </c>
      <c r="D49" s="11">
        <f>'balance_raw'!$D$27</f>
        <v/>
      </c>
      <c r="E49" s="11">
        <f>'balance_raw'!$E$27</f>
        <v/>
      </c>
      <c r="F49" s="11">
        <f>'balance_raw'!$F$27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4" t="inlineStr">
        <is>
          <t>Reserve for udviklingsomkostninger</t>
        </is>
      </c>
      <c r="B50" s="5">
        <f>'balance_raw'!$B$28</f>
        <v/>
      </c>
      <c r="C50" s="5">
        <f>'balance_raw'!$C$28</f>
        <v/>
      </c>
      <c r="D50" s="5">
        <f>'balance_raw'!$D$28</f>
        <v/>
      </c>
      <c r="E50" s="5">
        <f>'balance_raw'!$E$28</f>
        <v/>
      </c>
      <c r="F50" s="5">
        <f>'balance_raw'!$F$28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Reserve for sikringstransaktioner</t>
        </is>
      </c>
      <c r="B51" s="11">
        <f>'balance_raw'!$B$29</f>
        <v/>
      </c>
      <c r="C51" s="11">
        <f>'balance_raw'!$C$29</f>
        <v/>
      </c>
      <c r="D51" s="11">
        <f>'balance_raw'!$D$29</f>
        <v/>
      </c>
      <c r="E51" s="11">
        <f>'balance_raw'!$E$29</f>
        <v/>
      </c>
      <c r="F51" s="11">
        <f>'balance_raw'!$F$29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4" t="inlineStr">
        <is>
          <t>Andre reserver</t>
        </is>
      </c>
      <c r="B52" s="5">
        <f>'balance_raw'!$B$30</f>
        <v/>
      </c>
      <c r="C52" s="5">
        <f>'balance_raw'!$C$30</f>
        <v/>
      </c>
      <c r="D52" s="5">
        <f>'balance_raw'!$D$30</f>
        <v/>
      </c>
      <c r="E52" s="5">
        <f>'balance_raw'!$E$30</f>
        <v/>
      </c>
      <c r="F52" s="5">
        <f>'balance_raw'!$F$30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Overført resultat</t>
        </is>
      </c>
      <c r="B53" s="11">
        <f>'balance_raw'!$B$31</f>
        <v/>
      </c>
      <c r="C53" s="11">
        <f>'balance_raw'!$C$31</f>
        <v/>
      </c>
      <c r="D53" s="11">
        <f>'balance_raw'!$D$31</f>
        <v/>
      </c>
      <c r="E53" s="11">
        <f>'balance_raw'!$E$31</f>
        <v/>
      </c>
      <c r="F53" s="11">
        <f>'balance_raw'!$F$31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7" t="inlineStr">
        <is>
          <t>Egenkapital i alt</t>
        </is>
      </c>
      <c r="B54" s="8">
        <f>'balance_raw'!$B$32</f>
        <v/>
      </c>
      <c r="C54" s="8">
        <f>'balance_raw'!$C$32</f>
        <v/>
      </c>
      <c r="D54" s="8">
        <f>'balance_raw'!$D$32</f>
        <v/>
      </c>
      <c r="E54" s="8">
        <f>'balance_raw'!$E$32</f>
        <v/>
      </c>
      <c r="F54" s="8">
        <f>'balance_raw'!$F$32</f>
        <v/>
      </c>
      <c r="G54" t="inlineStr"/>
      <c r="H54" s="9">
        <f>IFERROR(B54/$B$54*100,"")</f>
        <v/>
      </c>
      <c r="I54" s="9">
        <f>IFERROR(C54/$B$54*100,"")</f>
        <v/>
      </c>
      <c r="J54" s="9">
        <f>IFERROR(D54/$B$54*100,"")</f>
        <v/>
      </c>
      <c r="K54" s="9">
        <f>IFERROR(E54/$B$54*100,"")</f>
        <v/>
      </c>
      <c r="L54" s="9">
        <f>IFERROR(F54/$B$54*100,"")</f>
        <v/>
      </c>
    </row>
    <row r="55" ht="16" customHeight="1">
      <c r="A55" s="10" t="inlineStr">
        <is>
          <t>Hensættelse til udskudt skat</t>
        </is>
      </c>
      <c r="B55" s="11">
        <f>'balance_raw'!$B$33</f>
        <v/>
      </c>
      <c r="C55" s="11">
        <f>'balance_raw'!$C$33</f>
        <v/>
      </c>
      <c r="D55" s="11">
        <f>'balance_raw'!$D$33</f>
        <v/>
      </c>
      <c r="E55" s="11">
        <f>'balance_raw'!$E$33</f>
        <v/>
      </c>
      <c r="F55" s="11">
        <f>'balance_raw'!$F$33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7" t="inlineStr">
        <is>
          <t>Hensatte forpligtelser</t>
        </is>
      </c>
      <c r="B56" s="8">
        <f>'balance_raw'!$B$34</f>
        <v/>
      </c>
      <c r="C56" s="8">
        <f>'balance_raw'!$C$34</f>
        <v/>
      </c>
      <c r="D56" s="8">
        <f>'balance_raw'!$D$34</f>
        <v/>
      </c>
      <c r="E56" s="8">
        <f>'balance_raw'!$E$34</f>
        <v/>
      </c>
      <c r="F56" s="8">
        <f>'balance_raw'!$F$34</f>
        <v/>
      </c>
      <c r="G56" t="inlineStr"/>
      <c r="H56" s="9">
        <f>IFERROR(B56/$B$56*100,"")</f>
        <v/>
      </c>
      <c r="I56" s="9">
        <f>IFERROR(C56/$B$56*100,"")</f>
        <v/>
      </c>
      <c r="J56" s="9">
        <f>IFERROR(D56/$B$56*100,"")</f>
        <v/>
      </c>
      <c r="K56" s="9">
        <f>IFERROR(E56/$B$56*100,"")</f>
        <v/>
      </c>
      <c r="L56" s="9">
        <f>IFERROR(F56/$B$56*100,"")</f>
        <v/>
      </c>
    </row>
    <row r="57" ht="16" customHeight="1">
      <c r="A57" s="10" t="inlineStr">
        <is>
          <t>Ansvarlig lånekapital (langfristet)</t>
        </is>
      </c>
      <c r="B57" s="11">
        <f>'balance_raw'!$B$35</f>
        <v/>
      </c>
      <c r="C57" s="11">
        <f>'balance_raw'!$C$35</f>
        <v/>
      </c>
      <c r="D57" s="11">
        <f>'balance_raw'!$D$35</f>
        <v/>
      </c>
      <c r="E57" s="11">
        <f>'balance_raw'!$E$35</f>
        <v/>
      </c>
      <c r="F57" s="11">
        <f>'balance_raw'!$F$35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Langfristede lån</t>
        </is>
      </c>
      <c r="B58" s="5">
        <f>'balance_raw'!$B$36</f>
        <v/>
      </c>
      <c r="C58" s="5">
        <f>'balance_raw'!$C$36</f>
        <v/>
      </c>
      <c r="D58" s="5">
        <f>'balance_raw'!$D$36</f>
        <v/>
      </c>
      <c r="E58" s="5">
        <f>'balance_raw'!$E$36</f>
        <v/>
      </c>
      <c r="F58" s="5">
        <f>'balance_raw'!$F$36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Leasingforpligtelser (langfristet)</t>
        </is>
      </c>
      <c r="B59" s="11">
        <f>'balance_raw'!$B$37</f>
        <v/>
      </c>
      <c r="C59" s="11">
        <f>'balance_raw'!$C$37</f>
        <v/>
      </c>
      <c r="D59" s="11">
        <f>'balance_raw'!$D$37</f>
        <v/>
      </c>
      <c r="E59" s="11">
        <f>'balance_raw'!$E$37</f>
        <v/>
      </c>
      <c r="F59" s="11">
        <f>'balance_raw'!$F$37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Anden gæld (langfristet)</t>
        </is>
      </c>
      <c r="B60" s="5">
        <f>'balance_raw'!$B$38</f>
        <v/>
      </c>
      <c r="C60" s="5">
        <f>'balance_raw'!$C$38</f>
        <v/>
      </c>
      <c r="D60" s="5">
        <f>'balance_raw'!$D$38</f>
        <v/>
      </c>
      <c r="E60" s="5">
        <f>'balance_raw'!$E$38</f>
        <v/>
      </c>
      <c r="F60" s="5">
        <f>'balance_raw'!$F$38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Langfristede gældsforpligtelser</t>
        </is>
      </c>
      <c r="B61" s="8">
        <f>'balance_raw'!$B$39</f>
        <v/>
      </c>
      <c r="C61" s="8">
        <f>'balance_raw'!$C$39</f>
        <v/>
      </c>
      <c r="D61" s="8">
        <f>'balance_raw'!$D$39</f>
        <v/>
      </c>
      <c r="E61" s="8">
        <f>'balance_raw'!$E$39</f>
        <v/>
      </c>
      <c r="F61" s="8">
        <f>'balance_raw'!$F$39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Ansvarlig lånekapital (kortfristet)</t>
        </is>
      </c>
      <c r="B62" s="5">
        <f>'balance_raw'!$B$40</f>
        <v/>
      </c>
      <c r="C62" s="5">
        <f>'balance_raw'!$C$40</f>
        <v/>
      </c>
      <c r="D62" s="5">
        <f>'balance_raw'!$D$40</f>
        <v/>
      </c>
      <c r="E62" s="5">
        <f>'balance_raw'!$E$40</f>
        <v/>
      </c>
      <c r="F62" s="5">
        <f>'balance_raw'!$F$40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Kortfristet del af langfristede gældsforpligtelser</t>
        </is>
      </c>
      <c r="B63" s="11">
        <f>'balance_raw'!$B$41</f>
        <v/>
      </c>
      <c r="C63" s="11">
        <f>'balance_raw'!$C$41</f>
        <v/>
      </c>
      <c r="D63" s="11">
        <f>'balance_raw'!$D$41</f>
        <v/>
      </c>
      <c r="E63" s="11">
        <f>'balance_raw'!$E$41</f>
        <v/>
      </c>
      <c r="F63" s="11">
        <f>'balance_raw'!$F$41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Kreditinstitutter</t>
        </is>
      </c>
      <c r="B64" s="5">
        <f>'balance_raw'!$B$42</f>
        <v/>
      </c>
      <c r="C64" s="5">
        <f>'balance_raw'!$C$42</f>
        <v/>
      </c>
      <c r="D64" s="5">
        <f>'balance_raw'!$D$42</f>
        <v/>
      </c>
      <c r="E64" s="5">
        <f>'balance_raw'!$E$42</f>
        <v/>
      </c>
      <c r="F64" s="5">
        <f>'balance_raw'!$F$42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Leasingforpligtelser (kortfristet)</t>
        </is>
      </c>
      <c r="B65" s="11">
        <f>'balance_raw'!$B$43</f>
        <v/>
      </c>
      <c r="C65" s="11">
        <f>'balance_raw'!$C$43</f>
        <v/>
      </c>
      <c r="D65" s="11">
        <f>'balance_raw'!$D$43</f>
        <v/>
      </c>
      <c r="E65" s="11">
        <f>'balance_raw'!$E$43</f>
        <v/>
      </c>
      <c r="F65" s="11">
        <f>'balance_raw'!$F$43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Leverandører af varer og tjenesteydelser</t>
        </is>
      </c>
      <c r="B66" s="5">
        <f>'balance_raw'!$B$44</f>
        <v/>
      </c>
      <c r="C66" s="5">
        <f>'balance_raw'!$C$44</f>
        <v/>
      </c>
      <c r="D66" s="5">
        <f>'balance_raw'!$D$44</f>
        <v/>
      </c>
      <c r="E66" s="5">
        <f>'balance_raw'!$E$44</f>
        <v/>
      </c>
      <c r="F66" s="5">
        <f>'balance_raw'!$F$44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Gæld til tilknyttede virksomheder</t>
        </is>
      </c>
      <c r="B67" s="11">
        <f>'balance_raw'!$B$45</f>
        <v/>
      </c>
      <c r="C67" s="11">
        <f>'balance_raw'!$C$45</f>
        <v/>
      </c>
      <c r="D67" s="11">
        <f>'balance_raw'!$D$45</f>
        <v/>
      </c>
      <c r="E67" s="11">
        <f>'balance_raw'!$E$45</f>
        <v/>
      </c>
      <c r="F67" s="11">
        <f>'balance_raw'!$F$45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Gæld til selskabsdeltagere og ledelse</t>
        </is>
      </c>
      <c r="B68" s="5">
        <f>'balance_raw'!$B$46</f>
        <v/>
      </c>
      <c r="C68" s="5">
        <f>'balance_raw'!$C$46</f>
        <v/>
      </c>
      <c r="D68" s="5">
        <f>'balance_raw'!$D$46</f>
        <v/>
      </c>
      <c r="E68" s="5">
        <f>'balance_raw'!$E$46</f>
        <v/>
      </c>
      <c r="F68" s="5">
        <f>'balance_raw'!$F$46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Selskabsskat</t>
        </is>
      </c>
      <c r="B69" s="11">
        <f>'balance_raw'!$B$47</f>
        <v/>
      </c>
      <c r="C69" s="11">
        <f>'balance_raw'!$C$47</f>
        <v/>
      </c>
      <c r="D69" s="11">
        <f>'balance_raw'!$D$47</f>
        <v/>
      </c>
      <c r="E69" s="11">
        <f>'balance_raw'!$E$47</f>
        <v/>
      </c>
      <c r="F69" s="11">
        <f>'balance_raw'!$F$47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Gæld til tilknyttede virksomheder vedr. selskabsskat</t>
        </is>
      </c>
      <c r="B70" s="5">
        <f>'balance_raw'!$B$48</f>
        <v/>
      </c>
      <c r="C70" s="5">
        <f>'balance_raw'!$C$48</f>
        <v/>
      </c>
      <c r="D70" s="5">
        <f>'balance_raw'!$D$48</f>
        <v/>
      </c>
      <c r="E70" s="5">
        <f>'balance_raw'!$E$48</f>
        <v/>
      </c>
      <c r="F70" s="5">
        <f>'balance_raw'!$F$48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Anden gæld (kortfristet)</t>
        </is>
      </c>
      <c r="B71" s="11">
        <f>'balance_raw'!$B$49</f>
        <v/>
      </c>
      <c r="C71" s="11">
        <f>'balance_raw'!$C$49</f>
        <v/>
      </c>
      <c r="D71" s="11">
        <f>'balance_raw'!$D$49</f>
        <v/>
      </c>
      <c r="E71" s="11">
        <f>'balance_raw'!$E$49</f>
        <v/>
      </c>
      <c r="F71" s="11">
        <f>'balance_raw'!$F$49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Periodeafgrænsningsposter (passiver)</t>
        </is>
      </c>
      <c r="B72" s="5">
        <f>'balance_raw'!$B$50</f>
        <v/>
      </c>
      <c r="C72" s="5">
        <f>'balance_raw'!$C$50</f>
        <v/>
      </c>
      <c r="D72" s="5">
        <f>'balance_raw'!$D$50</f>
        <v/>
      </c>
      <c r="E72" s="5">
        <f>'balance_raw'!$E$50</f>
        <v/>
      </c>
      <c r="F72" s="5">
        <f>'balance_raw'!$F$50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Kortfristede gældsforpligtelser</t>
        </is>
      </c>
      <c r="B73" s="8">
        <f>'balance_raw'!$B$51</f>
        <v/>
      </c>
      <c r="C73" s="8">
        <f>'balance_raw'!$C$51</f>
        <v/>
      </c>
      <c r="D73" s="8">
        <f>'balance_raw'!$D$51</f>
        <v/>
      </c>
      <c r="E73" s="8">
        <f>'balance_raw'!$E$51</f>
        <v/>
      </c>
      <c r="F73" s="8">
        <f>'balance_raw'!$F$51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7" t="inlineStr">
        <is>
          <t>Gældsforpligtelser</t>
        </is>
      </c>
      <c r="B74" s="8">
        <f>'balance_raw'!$B$52</f>
        <v/>
      </c>
      <c r="C74" s="8">
        <f>'balance_raw'!$C$52</f>
        <v/>
      </c>
      <c r="D74" s="8">
        <f>'balance_raw'!$D$52</f>
        <v/>
      </c>
      <c r="E74" s="8">
        <f>'balance_raw'!$E$52</f>
        <v/>
      </c>
      <c r="F74" s="8">
        <f>'balance_raw'!$F$52</f>
        <v/>
      </c>
      <c r="G74" t="inlineStr"/>
      <c r="H74" s="9">
        <f>IFERROR(B74/$B$74*100,"")</f>
        <v/>
      </c>
      <c r="I74" s="9">
        <f>IFERROR(C74/$B$74*100,"")</f>
        <v/>
      </c>
      <c r="J74" s="9">
        <f>IFERROR(D74/$B$74*100,"")</f>
        <v/>
      </c>
      <c r="K74" s="9">
        <f>IFERROR(E74/$B$74*100,"")</f>
        <v/>
      </c>
      <c r="L74" s="9">
        <f>IFERROR(F74/$B$74*100,"")</f>
        <v/>
      </c>
    </row>
    <row r="75" ht="16" customHeight="1">
      <c r="A75" s="7" t="inlineStr">
        <is>
          <t>Passiver</t>
        </is>
      </c>
      <c r="B75" s="8">
        <f>'balance_raw'!$B$53</f>
        <v/>
      </c>
      <c r="C75" s="8">
        <f>'balance_raw'!$C$53</f>
        <v/>
      </c>
      <c r="D75" s="8">
        <f>'balance_raw'!$D$53</f>
        <v/>
      </c>
      <c r="E75" s="8">
        <f>'balance_raw'!$E$53</f>
        <v/>
      </c>
      <c r="F75" s="8">
        <f>'balance_raw'!$F$53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7" ht="22" customHeight="1">
      <c r="A77" s="3" t="inlineStr">
        <is>
          <t>NØGLEOPLYSNINGER</t>
        </is>
      </c>
      <c r="B77" s="3" t="n">
        <v>2021</v>
      </c>
      <c r="C77" s="3" t="n">
        <v>2022</v>
      </c>
      <c r="D77" s="3" t="n">
        <v>2023</v>
      </c>
      <c r="E77" s="3" t="n">
        <v>2024</v>
      </c>
      <c r="F77" s="3" t="n">
        <v>2025</v>
      </c>
    </row>
    <row r="78" ht="16" customHeight="1">
      <c r="A78" s="4" t="inlineStr">
        <is>
          <t>Gns. antal medarbejdere</t>
        </is>
      </c>
      <c r="B78" s="5">
        <f>'res_raw'!$B$18</f>
        <v/>
      </c>
      <c r="C78" s="5">
        <f>'res_raw'!$C$18</f>
        <v/>
      </c>
      <c r="D78" s="5">
        <f>'res_raw'!$D$18</f>
        <v/>
      </c>
      <c r="E78" s="5">
        <f>'res_raw'!$E$18</f>
        <v/>
      </c>
      <c r="F78" s="5">
        <f>'res_raw'!$F$18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10" t="inlineStr">
        <is>
          <t>Investering i materielle anlægsaktiver</t>
        </is>
      </c>
      <c r="B79" s="11">
        <f>'res_raw'!$B$19</f>
        <v/>
      </c>
      <c r="C79" s="11">
        <f>'res_raw'!$C$19</f>
        <v/>
      </c>
      <c r="D79" s="11">
        <f>'res_raw'!$D$19</f>
        <v/>
      </c>
      <c r="E79" s="11">
        <f>'res_raw'!$E$19</f>
        <v/>
      </c>
      <c r="F79" s="11">
        <f>'res_raw'!$F$19</f>
        <v/>
      </c>
      <c r="G79" t="inlineStr"/>
      <c r="H79" s="12">
        <f>IFERROR(B79/$B$79*100,"")</f>
        <v/>
      </c>
      <c r="I79" s="12">
        <f>IFERROR(C79/$B$79*100,"")</f>
        <v/>
      </c>
      <c r="J79" s="12">
        <f>IFERROR(D79/$B$79*100,"")</f>
        <v/>
      </c>
      <c r="K79" s="12">
        <f>IFERROR(E79/$B$79*100,"")</f>
        <v/>
      </c>
      <c r="L79" s="12">
        <f>IFERROR(F79/$B$79*100,"")</f>
        <v/>
      </c>
    </row>
    <row r="81" ht="22" customHeight="1">
      <c r="A81" s="3" t="inlineStr">
        <is>
          <t>NØGLETAL</t>
        </is>
      </c>
      <c r="B81" s="3" t="n">
        <v>2021</v>
      </c>
      <c r="C81" s="3" t="n">
        <v>2022</v>
      </c>
      <c r="D81" s="3" t="n">
        <v>2023</v>
      </c>
      <c r="E81" s="3" t="n">
        <v>2024</v>
      </c>
      <c r="F81" s="3" t="n">
        <v>2025</v>
      </c>
    </row>
    <row r="82" ht="16" customHeight="1">
      <c r="A82" s="4" t="inlineStr">
        <is>
          <t>Afkastningsgrad, %</t>
        </is>
      </c>
      <c r="B82" s="13">
        <f>IFERROR(($B$12+$B$14+$B$13)/$B$45*100,"")</f>
        <v/>
      </c>
      <c r="C82" s="13">
        <f>IFERROR(($C$12+$C$14+$C$13)/$C$45*100,"")</f>
        <v/>
      </c>
      <c r="D82" s="13">
        <f>IFERROR(($D$12+$D$14+$D$13)/$D$45*100,"")</f>
        <v/>
      </c>
      <c r="E82" s="13">
        <f>IFERROR(($E$12+$E$14+$E$13)/$E$45*100,"")</f>
        <v/>
      </c>
      <c r="F82" s="13">
        <f>IFERROR(($F$12+$F$14+$F$13)/$F$45*100,"")</f>
        <v/>
      </c>
    </row>
    <row r="83" ht="16" customHeight="1">
      <c r="A83" s="10" t="inlineStr">
        <is>
          <t>Overskudsgrad, %</t>
        </is>
      </c>
      <c r="B83" s="14">
        <f>IFERROR(($B$12+$B$14+$B$13)/$B$4*100,"")</f>
        <v/>
      </c>
      <c r="C83" s="14">
        <f>IFERROR(($C$12+$C$14+$C$13)/$C$4*100,"")</f>
        <v/>
      </c>
      <c r="D83" s="14">
        <f>IFERROR(($D$12+$D$14+$D$13)/$D$4*100,"")</f>
        <v/>
      </c>
      <c r="E83" s="14">
        <f>IFERROR(($E$12+$E$14+$E$13)/$E$4*100,"")</f>
        <v/>
      </c>
      <c r="F83" s="14">
        <f>IFERROR(($F$12+$F$14+$F$13)/$F$4*100,"")</f>
        <v/>
      </c>
    </row>
    <row r="84" ht="16" customHeight="1">
      <c r="A84" s="4" t="inlineStr">
        <is>
          <t>Aktivernes omsætningshastighed, gange</t>
        </is>
      </c>
      <c r="B84" s="13">
        <f>IFERROR($B$4/$B$45,"")</f>
        <v/>
      </c>
      <c r="C84" s="13">
        <f>IFERROR($C$4/$C$45,"")</f>
        <v/>
      </c>
      <c r="D84" s="13">
        <f>IFERROR($D$4/$D$45,"")</f>
        <v/>
      </c>
      <c r="E84" s="13">
        <f>IFERROR($E$4/$E$45,"")</f>
        <v/>
      </c>
      <c r="F84" s="13">
        <f>IFERROR($F$4/$F$45,"")</f>
        <v/>
      </c>
    </row>
    <row r="85" ht="16" customHeight="1">
      <c r="A85" s="10" t="inlineStr">
        <is>
          <t>Egenkapitalens forrentning, %</t>
        </is>
      </c>
      <c r="B85" s="14">
        <f>IFERROR($B$17/$B$54*100,"")</f>
        <v/>
      </c>
      <c r="C85" s="14">
        <f>IFERROR($C$17/$C$54*100,"")</f>
        <v/>
      </c>
      <c r="D85" s="14">
        <f>IFERROR($D$17/$D$54*100,"")</f>
        <v/>
      </c>
      <c r="E85" s="14">
        <f>IFERROR($E$17/$E$54*100,"")</f>
        <v/>
      </c>
      <c r="F85" s="14">
        <f>IFERROR($F$17/$F$54*100,"")</f>
        <v/>
      </c>
    </row>
    <row r="86" ht="16" customHeight="1">
      <c r="A86" s="4" t="inlineStr">
        <is>
          <t>Gældsrente, %</t>
        </is>
      </c>
      <c r="B86" s="13">
        <f>IFERROR($B$15/($B$75-$B$54)*100,"")</f>
        <v/>
      </c>
      <c r="C86" s="13">
        <f>IFERROR($C$15/($C$75-$C$54)*100,"")</f>
        <v/>
      </c>
      <c r="D86" s="13">
        <f>IFERROR($D$15/($D$75-$D$54)*100,"")</f>
        <v/>
      </c>
      <c r="E86" s="13">
        <f>IFERROR($E$15/($E$75-$E$54)*100,"")</f>
        <v/>
      </c>
      <c r="F86" s="13">
        <f>IFERROR($F$15/($F$75-$F$54)*100,"")</f>
        <v/>
      </c>
    </row>
    <row r="87" ht="16" customHeight="1">
      <c r="A87" s="10" t="inlineStr">
        <is>
          <t>Soliditetsgrad, %</t>
        </is>
      </c>
      <c r="B87" s="14">
        <f>IFERROR($B$54/$B$45*100,"")</f>
        <v/>
      </c>
      <c r="C87" s="14">
        <f>IFERROR($C$54/$C$45*100,"")</f>
        <v/>
      </c>
      <c r="D87" s="14">
        <f>IFERROR($D$54/$D$45*100,"")</f>
        <v/>
      </c>
      <c r="E87" s="14">
        <f>IFERROR($E$54/$E$45*100,"")</f>
        <v/>
      </c>
      <c r="F87" s="14">
        <f>IFERROR($F$54/$F$45*100,"")</f>
        <v/>
      </c>
    </row>
    <row r="88" ht="16" customHeight="1">
      <c r="A88" s="4" t="inlineStr">
        <is>
          <t>Gearing</t>
        </is>
      </c>
      <c r="B88" s="13">
        <f>IFERROR(($B$75-$B$54)/$B$54,"")</f>
        <v/>
      </c>
      <c r="C88" s="13">
        <f>IFERROR(($C$75-$C$54)/$C$54,"")</f>
        <v/>
      </c>
      <c r="D88" s="13">
        <f>IFERROR(($D$75-$D$54)/$D$54,"")</f>
        <v/>
      </c>
      <c r="E88" s="13">
        <f>IFERROR(($E$75-$E$54)/$E$54,"")</f>
        <v/>
      </c>
      <c r="F88" s="13">
        <f>IFERROR(($F$75-$F$54)/$F$54,"")</f>
        <v/>
      </c>
    </row>
    <row r="89" ht="16" customHeight="1">
      <c r="A89" s="10" t="inlineStr">
        <is>
          <t>Likviditetsgrad, %</t>
        </is>
      </c>
      <c r="B89" s="14">
        <f>IFERROR($B$44/$B$73*100,"")</f>
        <v/>
      </c>
      <c r="C89" s="14">
        <f>IFERROR($C$44/$C$73*100,"")</f>
        <v/>
      </c>
      <c r="D89" s="14">
        <f>IFERROR($D$44/$D$73*100,"")</f>
        <v/>
      </c>
      <c r="E89" s="14">
        <f>IFERROR($E$44/$E$73*100,"")</f>
        <v/>
      </c>
      <c r="F89" s="14">
        <f>IFERROR($F$44/$F$73*100,"")</f>
        <v/>
      </c>
    </row>
    <row r="90" ht="16" customHeight="1">
      <c r="A90" s="4" t="inlineStr">
        <is>
          <t>Rentemarginal, %</t>
        </is>
      </c>
      <c r="B90" s="13">
        <f>IFERROR(B82-B86,"")</f>
        <v/>
      </c>
      <c r="C90" s="13">
        <f>IFERROR(C82-C86,"")</f>
        <v/>
      </c>
      <c r="D90" s="13">
        <f>IFERROR(D82-D86,"")</f>
        <v/>
      </c>
      <c r="E90" s="13">
        <f>IFERROR(E82-E86,"")</f>
        <v/>
      </c>
      <c r="F90" s="13">
        <f>IFERROR(F82-F86,"")</f>
        <v/>
      </c>
    </row>
    <row r="91" ht="16" customHeight="1">
      <c r="A91" s="10" t="inlineStr">
        <is>
          <t>Gældsandel, %</t>
        </is>
      </c>
      <c r="B91" s="14">
        <f>IFERROR(($B$75-$B$54)/$B$45*100,"")</f>
        <v/>
      </c>
      <c r="C91" s="14">
        <f>IFERROR(($C$75-$C$54)/$C$45*100,"")</f>
        <v/>
      </c>
      <c r="D91" s="14">
        <f>IFERROR(($D$75-$D$54)/$D$45*100,"")</f>
        <v/>
      </c>
      <c r="E91" s="14">
        <f>IFERROR(($E$75-$E$54)/$E$45*100,"")</f>
        <v/>
      </c>
      <c r="F91" s="14">
        <f>IFERROR(($F$75-$F$54)/$F$45*100,"")</f>
        <v/>
      </c>
    </row>
    <row r="92" ht="16" customHeight="1">
      <c r="A92" s="4" t="inlineStr">
        <is>
          <t>Kapitalbindingsgrad, %</t>
        </is>
      </c>
      <c r="B92" s="13">
        <f>IFERROR($B$32/($B$54+$B$61)*100,"")</f>
        <v/>
      </c>
      <c r="C92" s="13">
        <f>IFERROR($C$32/($C$54+$C$61)*100,"")</f>
        <v/>
      </c>
      <c r="D92" s="13">
        <f>IFERROR($D$32/($D$54+$D$61)*100,"")</f>
        <v/>
      </c>
      <c r="E92" s="13">
        <f>IFERROR($E$32/($E$54+$E$61)*100,"")</f>
        <v/>
      </c>
      <c r="F92" s="13">
        <f>IFERROR($F$32/($F$54+$F$61)*100,"")</f>
        <v/>
      </c>
    </row>
    <row r="94">
      <c r="A94" s="15" t="inlineStr">
        <is>
          <t>PENGESTRØMSOPGØRELSE t.kr.</t>
        </is>
      </c>
    </row>
    <row r="95">
      <c r="A95" s="16" t="inlineStr">
        <is>
          <t>Pengestrømme fra driftsaktivitet</t>
        </is>
      </c>
      <c r="B95" s="17">
        <f>'pengestrom_raw'!$B$2</f>
        <v/>
      </c>
      <c r="C95" s="17">
        <f>'pengestrom_raw'!$C$2</f>
        <v/>
      </c>
      <c r="D95" s="17">
        <f>'pengestrom_raw'!$D$2</f>
        <v/>
      </c>
      <c r="E95" s="17">
        <f>'pengestrom_raw'!$E$2</f>
        <v/>
      </c>
      <c r="F95" s="17">
        <f>'pengestrom_raw'!$F$2</f>
        <v/>
      </c>
    </row>
    <row r="96">
      <c r="A96" s="16" t="inlineStr">
        <is>
          <t>Pengestrømme fra investeringsaktivitet</t>
        </is>
      </c>
      <c r="B96" s="17">
        <f>'pengestrom_raw'!$B$3</f>
        <v/>
      </c>
      <c r="C96" s="17">
        <f>'pengestrom_raw'!$C$3</f>
        <v/>
      </c>
      <c r="D96" s="17">
        <f>'pengestrom_raw'!$D$3</f>
        <v/>
      </c>
      <c r="E96" s="17">
        <f>'pengestrom_raw'!$E$3</f>
        <v/>
      </c>
      <c r="F96" s="17">
        <f>'pengestrom_raw'!$F$3</f>
        <v/>
      </c>
    </row>
    <row r="97">
      <c r="A97" s="16" t="inlineStr">
        <is>
          <t>Pengestrømme fra finansieringsaktivitet</t>
        </is>
      </c>
      <c r="B97" s="17">
        <f>'pengestrom_raw'!$B$4</f>
        <v/>
      </c>
      <c r="C97" s="17">
        <f>'pengestrom_raw'!$C$4</f>
        <v/>
      </c>
      <c r="D97" s="17">
        <f>'pengestrom_raw'!$D$4</f>
        <v/>
      </c>
      <c r="E97" s="17">
        <f>'pengestrom_raw'!$E$4</f>
        <v/>
      </c>
      <c r="F97" s="17">
        <f>'pengestrom_raw'!$F$4</f>
        <v/>
      </c>
    </row>
    <row r="98">
      <c r="A98" s="16" t="inlineStr">
        <is>
          <t>Årets pengestrøm (rapporteret)</t>
        </is>
      </c>
      <c r="B98" s="17">
        <f>'pengestrom_raw'!$B$5</f>
        <v/>
      </c>
      <c r="C98" s="17">
        <f>'pengestrom_raw'!$C$5</f>
        <v/>
      </c>
      <c r="D98" s="17">
        <f>'pengestrom_raw'!$D$5</f>
        <v/>
      </c>
      <c r="E98" s="17">
        <f>'pengestrom_raw'!$E$5</f>
        <v/>
      </c>
      <c r="F98" s="17">
        <f>'pengestrom_raw'!$F$5</f>
        <v/>
      </c>
    </row>
    <row r="99">
      <c r="A99" s="16" t="inlineStr">
        <is>
          <t>Krydstjek: drift + inv. + fin. = årets pengestrøm</t>
        </is>
      </c>
      <c r="B99">
        <f>IF(ABS(('pengestrom_raw'!$B$2+'pengestrom_raw'!$B$3+'pengestrom_raw'!$B$4)-'pengestrom_raw'!$B$5)&lt;=2,"✓","⚠ "&amp;TEXT(('pengestrom_raw'!$B$2+'pengestrom_raw'!$B$3+'pengestrom_raw'!$B$4)-'pengestrom_raw'!$B$5,"+#,##0;-#,##0"))</f>
        <v/>
      </c>
      <c r="C99">
        <f>IF(ABS(('pengestrom_raw'!$C$2+'pengestrom_raw'!$C$3+'pengestrom_raw'!$C$4)-'pengestrom_raw'!$C$5)&lt;=2,"✓","⚠ "&amp;TEXT(('pengestrom_raw'!$C$2+'pengestrom_raw'!$C$3+'pengestrom_raw'!$C$4)-'pengestrom_raw'!$C$5,"+#,##0;-#,##0"))</f>
        <v/>
      </c>
      <c r="D99">
        <f>IF(ABS(('pengestrom_raw'!$D$2+'pengestrom_raw'!$D$3+'pengestrom_raw'!$D$4)-'pengestrom_raw'!$D$5)&lt;=2,"✓","⚠ "&amp;TEXT(('pengestrom_raw'!$D$2+'pengestrom_raw'!$D$3+'pengestrom_raw'!$D$4)-'pengestrom_raw'!$D$5,"+#,##0;-#,##0"))</f>
        <v/>
      </c>
      <c r="E99">
        <f>IF(ABS(('pengestrom_raw'!$E$2+'pengestrom_raw'!$E$3+'pengestrom_raw'!$E$4)-'pengestrom_raw'!$E$5)&lt;=2,"✓","⚠ "&amp;TEXT(('pengestrom_raw'!$E$2+'pengestrom_raw'!$E$3+'pengestrom_raw'!$E$4)-'pengestrom_raw'!$E$5,"+#,##0;-#,##0"))</f>
        <v/>
      </c>
      <c r="F99">
        <f>IF(ABS(('pengestrom_raw'!$F$2+'pengestrom_raw'!$F$3+'pengestrom_raw'!$F$4)-'pengestrom_raw'!$F$5)&lt;=2,"✓","⚠ "&amp;TEXT(('pengestrom_raw'!$F$2+'pengestrom_raw'!$F$3+'pengestrom_raw'!$F$4)-'pengestrom_raw'!$F$5,"+#,##0;-#,##0"))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bavarian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1897875</v>
      </c>
      <c r="C2" s="17" t="n">
        <v>3150793</v>
      </c>
      <c r="D2" s="17" t="n">
        <v>7062340</v>
      </c>
      <c r="E2" s="17" t="n">
        <v>5716206</v>
      </c>
      <c r="F2" s="17" t="n">
        <v>6243956</v>
      </c>
    </row>
    <row r="3">
      <c r="A3" s="16" t="inlineStr">
        <is>
          <t>Produktionsomkostninger</t>
        </is>
      </c>
      <c r="B3" s="17" t="n">
        <v>1327560</v>
      </c>
      <c r="C3" s="17" t="n">
        <v>1449531</v>
      </c>
      <c r="D3" s="17" t="n">
        <v>2459294</v>
      </c>
      <c r="E3" s="17" t="n">
        <v>2897448</v>
      </c>
      <c r="F3" s="17" t="n">
        <v>3195343</v>
      </c>
    </row>
    <row r="4">
      <c r="A4" s="15" t="inlineStr">
        <is>
          <t>Bruttoresultat</t>
        </is>
      </c>
      <c r="B4" s="17" t="n">
        <v>570315</v>
      </c>
      <c r="C4" s="17" t="n">
        <v>1701262</v>
      </c>
      <c r="D4" s="17" t="n">
        <v>4603046</v>
      </c>
      <c r="E4" s="17" t="n">
        <v>2818758</v>
      </c>
      <c r="F4" s="17" t="n">
        <v>3048613</v>
      </c>
    </row>
    <row r="5">
      <c r="A5" s="16" t="inlineStr">
        <is>
          <t>Udviklingsomkostninger</t>
        </is>
      </c>
      <c r="B5" s="17" t="n">
        <v>399159</v>
      </c>
      <c r="C5" s="17" t="n">
        <v>1183092</v>
      </c>
      <c r="D5" s="17" t="n">
        <v>2228080</v>
      </c>
      <c r="E5" s="17" t="n">
        <v>862510</v>
      </c>
      <c r="F5" s="17" t="n">
        <v>780303</v>
      </c>
    </row>
    <row r="6">
      <c r="A6" s="16" t="inlineStr">
        <is>
          <t>Salgs- og distributionsomkostninger</t>
        </is>
      </c>
      <c r="B6" s="17" t="n"/>
      <c r="C6" s="17" t="n"/>
      <c r="D6" s="17" t="n"/>
      <c r="E6" s="17" t="n"/>
      <c r="F6" s="17" t="n">
        <v>716546</v>
      </c>
    </row>
    <row r="7">
      <c r="A7" s="16" t="inlineStr">
        <is>
          <t>Administrationsomkostninger</t>
        </is>
      </c>
      <c r="B7" s="17" t="n">
        <v>292920</v>
      </c>
      <c r="C7" s="17" t="n">
        <v>376023</v>
      </c>
      <c r="D7" s="17" t="n">
        <v>540848</v>
      </c>
      <c r="E7" s="17" t="n">
        <v>516142</v>
      </c>
      <c r="F7" s="17" t="n">
        <v>558053</v>
      </c>
    </row>
    <row r="8">
      <c r="A8" s="16" t="inlineStr">
        <is>
          <t>Andre driftsindtægter</t>
        </is>
      </c>
      <c r="B8" s="17" t="n"/>
      <c r="C8" s="17" t="n"/>
      <c r="D8" s="17" t="n"/>
      <c r="E8" s="17" t="n"/>
      <c r="F8" s="17" t="n">
        <v>1032896</v>
      </c>
    </row>
    <row r="9">
      <c r="A9" s="16" t="inlineStr">
        <is>
          <t>Andre driftsomkostninger</t>
        </is>
      </c>
      <c r="B9" s="17" t="n"/>
      <c r="C9" s="17" t="n"/>
      <c r="D9" s="17" t="n"/>
      <c r="E9" s="17" t="n"/>
      <c r="F9" s="17" t="n">
        <v>222808</v>
      </c>
    </row>
    <row r="10">
      <c r="A10" s="15" t="inlineStr">
        <is>
          <t>Resultat af primær drift</t>
        </is>
      </c>
      <c r="B10" s="17" t="n">
        <v>-313547</v>
      </c>
      <c r="C10" s="17" t="n">
        <v>-70785</v>
      </c>
      <c r="D10" s="17" t="n">
        <v>1502539</v>
      </c>
      <c r="E10" s="17" t="n">
        <v>939770</v>
      </c>
      <c r="F10" s="17" t="n">
        <v>1803799</v>
      </c>
    </row>
    <row r="11">
      <c r="A11" s="16" t="inlineStr">
        <is>
          <t>Indtægter af kapitalandele, dattervirksomheder</t>
        </is>
      </c>
      <c r="B11" s="17" t="n"/>
      <c r="C11" s="17" t="n"/>
      <c r="D11" s="17" t="n"/>
      <c r="E11" s="17" t="n"/>
      <c r="F11" s="17" t="n"/>
    </row>
    <row r="12">
      <c r="A12" s="16" t="inlineStr">
        <is>
          <t>Finansielle indtægter</t>
        </is>
      </c>
      <c r="B12" s="17" t="n">
        <v>50233</v>
      </c>
      <c r="C12" s="17" t="n">
        <v>78537</v>
      </c>
      <c r="D12" s="17" t="n">
        <v>112784</v>
      </c>
      <c r="E12" s="17" t="n">
        <v>150065</v>
      </c>
      <c r="F12" s="17" t="n">
        <v>51043</v>
      </c>
    </row>
    <row r="13">
      <c r="A13" s="16" t="inlineStr">
        <is>
          <t>Finansielle omkostninger</t>
        </is>
      </c>
      <c r="B13" s="17" t="n">
        <v>191116</v>
      </c>
      <c r="C13" s="17" t="n">
        <v>339363</v>
      </c>
      <c r="D13" s="17" t="n">
        <v>132380</v>
      </c>
      <c r="E13" s="17" t="n">
        <v>118478</v>
      </c>
      <c r="F13" s="17" t="n">
        <v>53887</v>
      </c>
    </row>
    <row r="14">
      <c r="A14" s="15" t="inlineStr">
        <is>
          <t>Finansielle poster, netto</t>
        </is>
      </c>
      <c r="B14" s="17" t="n">
        <v>-140883</v>
      </c>
      <c r="C14" s="17" t="n">
        <v>-260826</v>
      </c>
      <c r="D14" s="17" t="n">
        <v>-19596</v>
      </c>
      <c r="E14" s="17" t="n">
        <v>31587</v>
      </c>
      <c r="F14" s="17" t="n">
        <v>-2844</v>
      </c>
    </row>
    <row r="15">
      <c r="A15" s="15" t="inlineStr">
        <is>
          <t>Resultat før skat</t>
        </is>
      </c>
      <c r="B15" s="17" t="n">
        <v>-454430</v>
      </c>
      <c r="C15" s="17" t="n">
        <v>-331611</v>
      </c>
      <c r="D15" s="17" t="n">
        <v>1482943</v>
      </c>
      <c r="E15" s="17" t="n">
        <v>971357</v>
      </c>
      <c r="F15" s="17" t="n">
        <v>1800955</v>
      </c>
    </row>
    <row r="16">
      <c r="A16" s="16" t="inlineStr">
        <is>
          <t>Skat af årets resultat</t>
        </is>
      </c>
      <c r="B16" s="17" t="n">
        <v>10345</v>
      </c>
      <c r="C16" s="17" t="n">
        <v>15771</v>
      </c>
      <c r="D16" s="17" t="n">
        <v>7754</v>
      </c>
      <c r="E16" s="17" t="n">
        <v>-16620</v>
      </c>
      <c r="F16" s="17" t="n">
        <v>425577</v>
      </c>
    </row>
    <row r="17">
      <c r="A17" s="15" t="inlineStr">
        <is>
          <t>Årets resultat</t>
        </is>
      </c>
      <c r="B17" s="17" t="n">
        <v>-464775</v>
      </c>
      <c r="C17" s="17" t="n">
        <v>-347382</v>
      </c>
      <c r="D17" s="17" t="n">
        <v>1475189</v>
      </c>
      <c r="E17" s="17" t="n">
        <v>987977</v>
      </c>
      <c r="F17" s="17" t="n">
        <v>1375378</v>
      </c>
    </row>
    <row r="18">
      <c r="A18" s="16" t="inlineStr">
        <is>
          <t>Gns. antal medarbejdere</t>
        </is>
      </c>
      <c r="B18" s="17" t="n"/>
      <c r="C18" s="17" t="n"/>
      <c r="D18" s="17" t="n"/>
      <c r="E18" s="17" t="n"/>
      <c r="F18" s="17" t="n"/>
    </row>
    <row r="19">
      <c r="A19" s="16" t="inlineStr">
        <is>
          <t>Investering i materielle anlægsaktiver</t>
        </is>
      </c>
      <c r="B19" s="17" t="n">
        <v>483127</v>
      </c>
      <c r="C19" s="17" t="n">
        <v>361244</v>
      </c>
      <c r="D19" s="17" t="n">
        <v>142525</v>
      </c>
      <c r="E19" s="17" t="n">
        <v>82661</v>
      </c>
      <c r="F19" s="17" t="n">
        <v>205288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bavarian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>
        <v>134371</v>
      </c>
      <c r="C2" s="17" t="n">
        <v>274490</v>
      </c>
      <c r="D2" s="17" t="n">
        <v>391102</v>
      </c>
      <c r="E2" s="17" t="n">
        <v>18694</v>
      </c>
      <c r="F2" s="17" t="n"/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/>
      <c r="C4" s="17" t="n"/>
      <c r="D4" s="17" t="n"/>
      <c r="E4" s="17" t="n"/>
      <c r="F4" s="17" t="n"/>
    </row>
    <row r="5">
      <c r="A5" s="15" t="inlineStr">
        <is>
          <t>Immaterielle anlægsaktiver</t>
        </is>
      </c>
      <c r="B5" s="17" t="n">
        <v>5803956</v>
      </c>
      <c r="C5" s="17" t="n">
        <v>5942637</v>
      </c>
      <c r="D5" s="17" t="n">
        <v>6481736</v>
      </c>
      <c r="E5" s="17" t="n">
        <v>6330892</v>
      </c>
      <c r="F5" s="17" t="n">
        <v>5959650</v>
      </c>
    </row>
    <row r="6">
      <c r="A6" s="16" t="inlineStr">
        <is>
          <t>Grunde og bygninger</t>
        </is>
      </c>
      <c r="B6" s="17" t="n">
        <v>345953</v>
      </c>
      <c r="C6" s="17" t="n">
        <v>630138</v>
      </c>
      <c r="D6" s="17" t="n">
        <v>987013</v>
      </c>
      <c r="E6" s="17" t="n">
        <v>939006</v>
      </c>
      <c r="F6" s="17" t="n">
        <v>906043</v>
      </c>
    </row>
    <row r="7">
      <c r="A7" s="16" t="inlineStr">
        <is>
          <t>Produktionsanlæg og maskiner</t>
        </is>
      </c>
      <c r="B7" s="17" t="n"/>
      <c r="C7" s="17" t="n"/>
      <c r="D7" s="17" t="n"/>
      <c r="E7" s="17" t="n"/>
      <c r="F7" s="17" t="n">
        <v>348678</v>
      </c>
    </row>
    <row r="8">
      <c r="A8" s="16" t="inlineStr">
        <is>
          <t>Driftsmateriel og inventar</t>
        </is>
      </c>
      <c r="B8" s="17" t="n">
        <v>223467</v>
      </c>
      <c r="C8" s="17" t="n">
        <v>511195</v>
      </c>
      <c r="D8" s="17" t="n">
        <v>696060</v>
      </c>
      <c r="E8" s="17" t="n">
        <v>626376</v>
      </c>
      <c r="F8" s="17" t="n"/>
    </row>
    <row r="9">
      <c r="A9" s="16" t="inlineStr">
        <is>
          <t>Indretning af lejede lokaler</t>
        </is>
      </c>
      <c r="B9" s="17" t="n">
        <v>10011</v>
      </c>
      <c r="C9" s="17" t="n">
        <v>24765</v>
      </c>
      <c r="D9" s="17" t="n">
        <v>25047</v>
      </c>
      <c r="E9" s="17" t="n">
        <v>18316</v>
      </c>
      <c r="F9" s="17" t="n">
        <v>12850</v>
      </c>
    </row>
    <row r="10">
      <c r="A10" s="16" t="inlineStr">
        <is>
          <t>Forudbetaling og anlægsaktiver under opførelse</t>
        </is>
      </c>
      <c r="B10" s="17" t="n">
        <v>578707</v>
      </c>
      <c r="C10" s="17" t="n">
        <v>196130</v>
      </c>
      <c r="D10" s="17" t="n">
        <v>206721</v>
      </c>
      <c r="E10" s="17" t="n">
        <v>159660</v>
      </c>
      <c r="F10" s="17" t="n">
        <v>232837</v>
      </c>
    </row>
    <row r="11">
      <c r="A11" s="15" t="inlineStr">
        <is>
          <t>Materielle anlægsaktiver</t>
        </is>
      </c>
      <c r="B11" s="17" t="n">
        <v>1412668</v>
      </c>
      <c r="C11" s="17" t="n">
        <v>1683973</v>
      </c>
      <c r="D11" s="17" t="n">
        <v>2327515</v>
      </c>
      <c r="E11" s="17" t="n">
        <v>2160568</v>
      </c>
      <c r="F11" s="17" t="n">
        <v>2070738</v>
      </c>
    </row>
    <row r="12">
      <c r="A12" s="15" t="inlineStr">
        <is>
          <t>Anlægsaktiver</t>
        </is>
      </c>
      <c r="B12" s="17" t="n">
        <v>7335630</v>
      </c>
      <c r="C12" s="17" t="n">
        <v>7906666</v>
      </c>
      <c r="D12" s="17" t="n">
        <v>8950162</v>
      </c>
      <c r="E12" s="17" t="n">
        <v>8618866</v>
      </c>
      <c r="F12" s="17" t="n">
        <v>8217229</v>
      </c>
    </row>
    <row r="13">
      <c r="A13" s="15" t="inlineStr">
        <is>
          <t>Varebeholdninger</t>
        </is>
      </c>
      <c r="B13" s="17" t="n">
        <v>480043</v>
      </c>
      <c r="C13" s="17" t="n">
        <v>919072</v>
      </c>
      <c r="D13" s="17" t="n">
        <v>1643736</v>
      </c>
      <c r="E13" s="17" t="n">
        <v>2327309</v>
      </c>
      <c r="F13" s="17" t="n">
        <v>2513919</v>
      </c>
    </row>
    <row r="14">
      <c r="A14" s="16" t="inlineStr">
        <is>
          <t>Tilgodehavender fra salg og tjenesteydelser</t>
        </is>
      </c>
      <c r="B14" s="17" t="n">
        <v>381624</v>
      </c>
      <c r="C14" s="17" t="n">
        <v>523145</v>
      </c>
      <c r="D14" s="17" t="n">
        <v>1778104</v>
      </c>
      <c r="E14" s="17" t="n">
        <v>1175744</v>
      </c>
      <c r="F14" s="17" t="n">
        <v>780298</v>
      </c>
    </row>
    <row r="15">
      <c r="A15" s="16" t="inlineStr">
        <is>
          <t>Tilgodehavender hos tilknyttede virksomheder</t>
        </is>
      </c>
      <c r="B15" s="17" t="n"/>
      <c r="C15" s="17" t="n"/>
      <c r="D15" s="17" t="n"/>
      <c r="E15" s="17" t="n"/>
      <c r="F15" s="17" t="n"/>
    </row>
    <row r="16">
      <c r="A16" s="16" t="inlineStr">
        <is>
          <t>Andre tilgodehavender</t>
        </is>
      </c>
      <c r="B16" s="17" t="n">
        <v>16904</v>
      </c>
      <c r="C16" s="17" t="n">
        <v>0</v>
      </c>
      <c r="D16" s="17" t="n">
        <v>0</v>
      </c>
      <c r="E16" s="17" t="n">
        <v>131408</v>
      </c>
      <c r="F16" s="17" t="n">
        <v>9949</v>
      </c>
    </row>
    <row r="17">
      <c r="A17" s="16" t="inlineStr">
        <is>
          <t>Periodeafgrænsningsposter (aktiver)</t>
        </is>
      </c>
      <c r="B17" s="17" t="n">
        <v>108840</v>
      </c>
      <c r="C17" s="17" t="n">
        <v>153934</v>
      </c>
      <c r="D17" s="17" t="n">
        <v>18510</v>
      </c>
      <c r="E17" s="17" t="n">
        <v>64324</v>
      </c>
      <c r="F17" s="17" t="n">
        <v>34252</v>
      </c>
    </row>
    <row r="18">
      <c r="A18" s="16" t="inlineStr">
        <is>
          <t>Udskudt skatteaktiv</t>
        </is>
      </c>
      <c r="B18" s="17" t="n"/>
      <c r="C18" s="17" t="n"/>
      <c r="D18" s="17" t="n"/>
      <c r="E18" s="17" t="n"/>
      <c r="F18" s="17" t="n"/>
    </row>
    <row r="19">
      <c r="A19" s="16" t="inlineStr">
        <is>
          <t>Tilgodehavende skat hos tilknyttede virksomheder</t>
        </is>
      </c>
      <c r="B19" s="17" t="n"/>
      <c r="C19" s="17" t="n"/>
      <c r="D19" s="17" t="n"/>
      <c r="E19" s="17" t="n"/>
      <c r="F19" s="17" t="n"/>
    </row>
    <row r="20">
      <c r="A20" s="16" t="inlineStr">
        <is>
          <t>Kortfristede skattetilgodehavender</t>
        </is>
      </c>
      <c r="B20" s="17" t="n"/>
      <c r="C20" s="17" t="n">
        <v>0</v>
      </c>
      <c r="D20" s="17" t="n">
        <v>84</v>
      </c>
      <c r="E20" s="17" t="n">
        <v>928</v>
      </c>
      <c r="F20" s="17" t="n">
        <v>13901</v>
      </c>
    </row>
    <row r="21">
      <c r="A21" s="15" t="inlineStr">
        <is>
          <t>Tilgodehavender</t>
        </is>
      </c>
      <c r="B21" s="17" t="n">
        <v>66517</v>
      </c>
      <c r="C21" s="17" t="n">
        <v>43263</v>
      </c>
      <c r="D21" s="17" t="n">
        <v>95136</v>
      </c>
      <c r="E21" s="17" t="n">
        <v>43665</v>
      </c>
      <c r="F21" s="17" t="n">
        <v>61436</v>
      </c>
    </row>
    <row r="22">
      <c r="A22" s="16" t="inlineStr">
        <is>
          <t>Værdipapirer</t>
        </is>
      </c>
      <c r="B22" s="17" t="n"/>
      <c r="C22" s="17" t="n"/>
      <c r="D22" s="17" t="n"/>
      <c r="E22" s="17" t="n"/>
      <c r="F22" s="17" t="n"/>
    </row>
    <row r="23">
      <c r="A23" s="16" t="inlineStr">
        <is>
          <t>Likvide beholdninger</t>
        </is>
      </c>
      <c r="B23" s="17" t="n">
        <v>591820</v>
      </c>
      <c r="C23" s="17" t="n">
        <v>575407</v>
      </c>
      <c r="D23" s="17" t="n">
        <v>1477234</v>
      </c>
      <c r="E23" s="17" t="n">
        <v>1623490</v>
      </c>
      <c r="F23" s="17" t="n">
        <v>1714498</v>
      </c>
    </row>
    <row r="24">
      <c r="A24" s="15" t="inlineStr">
        <is>
          <t>Omsætningsaktiver</t>
        </is>
      </c>
      <c r="B24" s="17" t="n">
        <v>4753639</v>
      </c>
      <c r="C24" s="17" t="n">
        <v>4484580</v>
      </c>
      <c r="D24" s="17" t="n">
        <v>5403051</v>
      </c>
      <c r="E24" s="17" t="n">
        <v>5786998</v>
      </c>
      <c r="F24" s="17" t="n">
        <v>6737308</v>
      </c>
    </row>
    <row r="25">
      <c r="A25" s="15" t="inlineStr">
        <is>
          <t>Aktiver</t>
        </is>
      </c>
      <c r="B25" s="17" t="n">
        <v>12089269</v>
      </c>
      <c r="C25" s="17" t="n">
        <v>12391246</v>
      </c>
      <c r="D25" s="17" t="n">
        <v>14353213</v>
      </c>
      <c r="E25" s="17" t="n">
        <v>14405864</v>
      </c>
      <c r="F25" s="17" t="n">
        <v>14954537</v>
      </c>
    </row>
    <row r="26">
      <c r="A26" s="16" t="inlineStr">
        <is>
          <t>Selskabskapital</t>
        </is>
      </c>
      <c r="B26" s="17" t="n">
        <v>704684</v>
      </c>
      <c r="C26" s="17" t="n">
        <v>707354</v>
      </c>
      <c r="D26" s="17" t="n">
        <v>780978</v>
      </c>
      <c r="E26" s="17" t="n">
        <v>788548</v>
      </c>
      <c r="F26" s="17" t="n">
        <v>792367</v>
      </c>
    </row>
    <row r="27">
      <c r="A27" s="16" t="inlineStr">
        <is>
          <t>Reserve for nettoopskrivning (indre værdis metode)</t>
        </is>
      </c>
      <c r="B27" s="17" t="n"/>
      <c r="C27" s="17" t="n"/>
      <c r="D27" s="17" t="n"/>
      <c r="E27" s="17" t="n"/>
      <c r="F27" s="17" t="n"/>
    </row>
    <row r="28">
      <c r="A28" s="16" t="inlineStr">
        <is>
          <t>Reserve for udviklingsomkostninger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Reserve for sikringstransaktioner</t>
        </is>
      </c>
      <c r="B29" s="17" t="n"/>
      <c r="C29" s="17" t="n"/>
      <c r="D29" s="17" t="n"/>
      <c r="E29" s="17" t="n"/>
      <c r="F29" s="17" t="n"/>
    </row>
    <row r="30">
      <c r="A30" s="16" t="inlineStr">
        <is>
          <t>Andre reserver</t>
        </is>
      </c>
      <c r="B30" s="17" t="n">
        <v>82187</v>
      </c>
      <c r="C30" s="17" t="n">
        <v>143521</v>
      </c>
      <c r="D30" s="17" t="n">
        <v>230489</v>
      </c>
      <c r="E30" s="17" t="n">
        <v>188659</v>
      </c>
      <c r="F30" s="17" t="n">
        <v>269983</v>
      </c>
    </row>
    <row r="31">
      <c r="A31" s="16" t="inlineStr">
        <is>
          <t>Overført resultat</t>
        </is>
      </c>
      <c r="B31" s="17" t="n">
        <v>1112</v>
      </c>
      <c r="C31" s="17" t="n">
        <v>1463</v>
      </c>
      <c r="D31" s="17" t="n">
        <v>1537</v>
      </c>
      <c r="E31" s="17" t="n">
        <v>2843</v>
      </c>
      <c r="F31" s="17" t="n">
        <v>9669</v>
      </c>
    </row>
    <row r="32">
      <c r="A32" s="15" t="inlineStr">
        <is>
          <t>Egenkapital i alt</t>
        </is>
      </c>
      <c r="B32" s="17" t="n">
        <v>7374667</v>
      </c>
      <c r="C32" s="17" t="n">
        <v>7149987</v>
      </c>
      <c r="D32" s="17" t="n">
        <v>10339932</v>
      </c>
      <c r="E32" s="17" t="n">
        <v>11408561</v>
      </c>
      <c r="F32" s="17" t="n">
        <v>12870078</v>
      </c>
    </row>
    <row r="33">
      <c r="A33" s="16" t="inlineStr">
        <is>
          <t>Hensættelse til udskudt skat</t>
        </is>
      </c>
      <c r="B33" s="17" t="n"/>
      <c r="C33" s="17" t="n">
        <v>0</v>
      </c>
      <c r="D33" s="17" t="n">
        <v>29068</v>
      </c>
      <c r="E33" s="17" t="n">
        <v>0</v>
      </c>
      <c r="F33" s="17" t="n">
        <v>318617</v>
      </c>
    </row>
    <row r="34">
      <c r="A34" s="15" t="inlineStr">
        <is>
          <t>Hensatte forpligtelser</t>
        </is>
      </c>
      <c r="B34" s="17" t="n"/>
      <c r="C34" s="17" t="n">
        <v>0</v>
      </c>
      <c r="D34" s="17" t="n">
        <v>80732</v>
      </c>
      <c r="E34" s="17" t="n">
        <v>113589</v>
      </c>
      <c r="F34" s="17" t="n">
        <v>82966</v>
      </c>
    </row>
    <row r="35">
      <c r="A35" s="16" t="inlineStr">
        <is>
          <t>Ansvarlig lånekapital (langfristet)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Langfristede lån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Leasingforpligtelser (langfristet)</t>
        </is>
      </c>
      <c r="B37" s="17" t="n">
        <v>57547</v>
      </c>
      <c r="C37" s="17" t="n">
        <v>45834</v>
      </c>
      <c r="D37" s="17" t="n">
        <v>83621</v>
      </c>
      <c r="E37" s="17" t="n">
        <v>73653</v>
      </c>
      <c r="F37" s="17" t="n">
        <v>74462</v>
      </c>
    </row>
    <row r="38">
      <c r="A38" s="16" t="inlineStr">
        <is>
          <t>Anden gæld (langfristet)</t>
        </is>
      </c>
      <c r="B38" s="17" t="n"/>
      <c r="C38" s="17" t="n"/>
      <c r="D38" s="17" t="n"/>
      <c r="E38" s="17" t="n"/>
      <c r="F38" s="17" t="n"/>
    </row>
    <row r="39">
      <c r="A39" s="15" t="inlineStr">
        <is>
          <t>Langfristede gældsforpligtelser</t>
        </is>
      </c>
      <c r="B39" s="17" t="n">
        <v>2806044</v>
      </c>
      <c r="C39" s="17" t="n">
        <v>2953919</v>
      </c>
      <c r="D39" s="17" t="n">
        <v>1225412</v>
      </c>
      <c r="E39" s="17" t="n">
        <v>200295</v>
      </c>
      <c r="F39" s="17" t="n">
        <v>486935</v>
      </c>
    </row>
    <row r="40">
      <c r="A40" s="16" t="inlineStr">
        <is>
          <t>Ansvarlig lånekapital (kortfristet)</t>
        </is>
      </c>
      <c r="B40" s="17" t="n"/>
      <c r="C40" s="17" t="n"/>
      <c r="D40" s="17" t="n"/>
      <c r="E40" s="17" t="n"/>
      <c r="F40" s="17" t="n"/>
    </row>
    <row r="41">
      <c r="A41" s="16" t="inlineStr">
        <is>
          <t>Kortfristet del af langfristede gældsforpligtelser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Kreditinstitutter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Leasingforpligtelser (kortfristet)</t>
        </is>
      </c>
      <c r="B43" s="17" t="n">
        <v>21266</v>
      </c>
      <c r="C43" s="17" t="n">
        <v>24487</v>
      </c>
      <c r="D43" s="17" t="n">
        <v>44633</v>
      </c>
      <c r="E43" s="17" t="n">
        <v>39470</v>
      </c>
      <c r="F43" s="17" t="n">
        <v>43371</v>
      </c>
    </row>
    <row r="44">
      <c r="A44" s="16" t="inlineStr">
        <is>
          <t>Leverandører af varer og tjenesteydelser</t>
        </is>
      </c>
      <c r="B44" s="17" t="n">
        <v>263611</v>
      </c>
      <c r="C44" s="17" t="n">
        <v>605928</v>
      </c>
      <c r="D44" s="17" t="n">
        <v>954142</v>
      </c>
      <c r="E44" s="17" t="n">
        <v>1045134</v>
      </c>
      <c r="F44" s="17" t="n">
        <v>967744</v>
      </c>
    </row>
    <row r="45">
      <c r="A45" s="16" t="inlineStr">
        <is>
          <t>Gæld til tilknyttede virksomheder</t>
        </is>
      </c>
      <c r="B45" s="17" t="n"/>
      <c r="C45" s="17" t="n"/>
      <c r="D45" s="17" t="n"/>
      <c r="E45" s="17" t="n"/>
      <c r="F45" s="17" t="n"/>
    </row>
    <row r="46">
      <c r="A46" s="16" t="inlineStr">
        <is>
          <t>Gæld til selskabsdeltagere og ledelse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Selskabsskat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Gæld til tilknyttede virksomheder vedr. selskabsskat</t>
        </is>
      </c>
      <c r="B48" s="17" t="n"/>
      <c r="C48" s="17" t="n"/>
      <c r="D48" s="17" t="n"/>
      <c r="E48" s="17" t="n"/>
      <c r="F48" s="17" t="n"/>
    </row>
    <row r="49">
      <c r="A49" s="16" t="inlineStr">
        <is>
          <t>Anden gæld (kortfristet)</t>
        </is>
      </c>
      <c r="B49" s="17" t="n"/>
      <c r="C49" s="17" t="n"/>
      <c r="D49" s="17" t="n"/>
      <c r="E49" s="17" t="n"/>
      <c r="F49" s="17" t="n">
        <v>563235</v>
      </c>
    </row>
    <row r="50">
      <c r="A50" s="16" t="inlineStr">
        <is>
          <t>Periodeafgrænsningsposter (passiver)</t>
        </is>
      </c>
      <c r="B50" s="17" t="n"/>
      <c r="C50" s="17" t="n"/>
      <c r="D50" s="17" t="n"/>
      <c r="E50" s="17" t="n"/>
      <c r="F50" s="17" t="n"/>
    </row>
    <row r="51">
      <c r="A51" s="15" t="inlineStr">
        <is>
          <t>Kortfristede gældsforpligtelser</t>
        </is>
      </c>
      <c r="B51" s="17" t="n">
        <v>1908558</v>
      </c>
      <c r="C51" s="17" t="n">
        <v>2287340</v>
      </c>
      <c r="D51" s="17" t="n">
        <v>2787869</v>
      </c>
      <c r="E51" s="17" t="n">
        <v>2797008</v>
      </c>
      <c r="F51" s="17" t="n">
        <v>1597524</v>
      </c>
    </row>
    <row r="52">
      <c r="A52" s="15" t="inlineStr">
        <is>
          <t>Gældsforpligtelser</t>
        </is>
      </c>
      <c r="B52" s="17" t="n">
        <v>4714602</v>
      </c>
      <c r="C52" s="17" t="n">
        <v>5241259</v>
      </c>
      <c r="D52" s="17" t="n">
        <v>4013281</v>
      </c>
      <c r="E52" s="17" t="n">
        <v>2997303</v>
      </c>
      <c r="F52" s="17" t="n">
        <v>2084459</v>
      </c>
    </row>
    <row r="53">
      <c r="A53" s="15" t="inlineStr">
        <is>
          <t>Passiver</t>
        </is>
      </c>
      <c r="B53" s="17" t="n">
        <v>12089269</v>
      </c>
      <c r="C53" s="17" t="n">
        <v>12391246</v>
      </c>
      <c r="D53" s="17" t="n">
        <v>14353213</v>
      </c>
      <c r="E53" s="17" t="n">
        <v>14405864</v>
      </c>
      <c r="F53" s="17" t="n">
        <v>14954537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bavarian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-358500</v>
      </c>
      <c r="C2" s="17" t="n">
        <v>220053</v>
      </c>
      <c r="D2" s="17" t="n">
        <v>1119206</v>
      </c>
      <c r="E2" s="17" t="n">
        <v>1949832</v>
      </c>
      <c r="F2" s="17" t="n">
        <v>2721903</v>
      </c>
    </row>
    <row r="3">
      <c r="A3" s="16" t="inlineStr">
        <is>
          <t>Pengestrømme fra investeringsaktivitet</t>
        </is>
      </c>
      <c r="B3" s="17" t="n">
        <v>-2876946</v>
      </c>
      <c r="C3" s="17" t="n">
        <v>-877405</v>
      </c>
      <c r="D3" s="17" t="n">
        <v>-945564</v>
      </c>
      <c r="E3" s="17" t="n">
        <v>-1870863</v>
      </c>
      <c r="F3" s="17" t="n">
        <v>-2484867</v>
      </c>
    </row>
    <row r="4">
      <c r="A4" s="16" t="inlineStr">
        <is>
          <t>Pengestrømme fra finansieringsaktivitet</t>
        </is>
      </c>
      <c r="B4" s="17" t="n">
        <v>3536080</v>
      </c>
      <c r="C4" s="17" t="n">
        <v>635820</v>
      </c>
      <c r="D4" s="17" t="n">
        <v>735832</v>
      </c>
      <c r="E4" s="17" t="n">
        <v>55775</v>
      </c>
      <c r="F4" s="17" t="n">
        <v>-114358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bavarian — Regnskabs- og nøgletal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'res_raw'!$F$2</f>
        <v/>
      </c>
      <c r="C5" s="24">
        <f>'res_raw'!$E$2</f>
        <v/>
      </c>
      <c r="D5" s="24">
        <f>'res_raw'!$D$2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-'res_raw'!$F$3</f>
        <v/>
      </c>
      <c r="C6" s="24">
        <f>-'res_raw'!$E$3</f>
        <v/>
      </c>
      <c r="D6" s="24">
        <f>-'res_raw'!$D$3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IF(ABS((SUM(B5:B6))-'res_raw'!$F$4)&lt;=2,SUM(B5:B6),'res_raw'!$F$4)</f>
        <v/>
      </c>
      <c r="C7" s="27">
        <f>IF(ABS((SUM(C5:C6))-'res_raw'!$E$4)&lt;=2,SUM(C5:C6),'res_raw'!$E$4)</f>
        <v/>
      </c>
      <c r="D7" s="27">
        <f>IF(ABS((SUM(D5:D6))-'res_raw'!$D$4)&lt;=2,SUM(D5:D6),'res_raw'!$D$4)</f>
        <v/>
      </c>
      <c r="F7" s="28" t="inlineStr">
        <is>
          <t>Beregnet: Nettoomsætning − Produktionsomkostninger. Matcher fsa:GrossResult. Er komponenterne ikke indberettet, vises rapporteret fsa:GrossResult direkte.</t>
        </is>
      </c>
    </row>
    <row r="8">
      <c r="A8" s="23" t="inlineStr">
        <is>
          <t>Udviklingsomkostninger</t>
        </is>
      </c>
      <c r="B8" s="24">
        <f>-'res_raw'!$F$5</f>
        <v/>
      </c>
      <c r="C8" s="24">
        <f>-'res_raw'!$E$5</f>
        <v/>
      </c>
      <c r="D8" s="24">
        <f>-'res_raw'!$D$5</f>
        <v/>
      </c>
      <c r="F8" s="25" t="inlineStr">
        <is>
          <t>ifrs-full:ResearchAndDevelopmentExpense (vises negativt). Udviklingsomkostninger ført i resultatet (v15_21; B&amp;O m.fl.).</t>
        </is>
      </c>
    </row>
    <row r="9">
      <c r="A9" s="23" t="inlineStr">
        <is>
          <t>Salgs- og distributionsomk.</t>
        </is>
      </c>
      <c r="B9" s="24">
        <f>-'res_raw'!$F$6</f>
        <v/>
      </c>
      <c r="C9" s="24">
        <f>-'res_raw'!$E$6</f>
        <v/>
      </c>
      <c r="D9" s="24">
        <f>-'res_raw'!$D$6</f>
        <v/>
      </c>
      <c r="F9" s="25" t="inlineStr">
        <is>
          <t>fsa:DistributionCosts (vises negativt). Marketing, salg, distribution.</t>
        </is>
      </c>
    </row>
    <row r="10">
      <c r="A10" s="23" t="inlineStr">
        <is>
          <t>Administrationsomkostninger mv.</t>
        </is>
      </c>
      <c r="B10" s="24">
        <f>-'res_raw'!$F$7</f>
        <v/>
      </c>
      <c r="C10" s="24">
        <f>-'res_raw'!$E$7</f>
        <v/>
      </c>
      <c r="D10" s="24">
        <f>-'res_raw'!$D$7</f>
        <v/>
      </c>
      <c r="F10" s="25" t="inlineStr">
        <is>
          <t>fsa:AdministrativeExpenses (vises negativt). Generel administration.</t>
        </is>
      </c>
    </row>
    <row r="11">
      <c r="A11" s="23" t="inlineStr">
        <is>
          <t>Andre driftsindtægter</t>
        </is>
      </c>
      <c r="B11" s="24">
        <f>'res_raw'!$F$8</f>
        <v/>
      </c>
      <c r="C11" s="24">
        <f>'res_raw'!$E$8</f>
        <v/>
      </c>
      <c r="D11" s="24">
        <f>'res_raw'!$D$8</f>
        <v/>
      </c>
      <c r="F11" s="25" t="inlineStr">
        <is>
          <t>fsa:OtherOperatingIncome. Sekundære driftsindtægter (huslejeindtægter, off. tilskud, avancer mv.).</t>
        </is>
      </c>
    </row>
    <row r="12">
      <c r="A12" s="26" t="inlineStr">
        <is>
          <t>Andre driftsomkostninger</t>
        </is>
      </c>
      <c r="B12" s="27">
        <f>-'res_raw'!$F$9</f>
        <v/>
      </c>
      <c r="C12" s="27">
        <f>-'res_raw'!$E$9</f>
        <v/>
      </c>
      <c r="D12" s="27">
        <f>-'res_raw'!$D$9</f>
        <v/>
      </c>
      <c r="F12" s="28" t="inlineStr">
        <is>
          <t>fsa:OtherOperatingExpenses (vises negativt). Sekundære driftsomkostninger.</t>
        </is>
      </c>
    </row>
    <row r="13">
      <c r="A13" s="29" t="inlineStr">
        <is>
          <t>Resultat af primær drift</t>
        </is>
      </c>
      <c r="B13" s="30">
        <f>IF(ABS((SUM(B7:B12))-'res_raw'!$F$10)&lt;=2,SUM(B7:B12),'res_raw'!$F$10)</f>
        <v/>
      </c>
      <c r="C13" s="30">
        <f>IF(ABS((SUM(C7:C12))-'res_raw'!$E$10)&lt;=2,SUM(C7:C12),'res_raw'!$E$10)</f>
        <v/>
      </c>
      <c r="D13" s="30">
        <f>IF(ABS((SUM(D7:D12))-'res_raw'!$D$10)&lt;=2,SUM(D7:D12),'res_raw'!$D$10)</f>
        <v/>
      </c>
      <c r="F13" s="25" t="inlineStr">
        <is>
          <t>Beregnet: Bruttoresultat − Udviklingsomk. − Salgs/dist. − Administration + Andre driftsindt. − Andre driftsomk. EBIT.</t>
        </is>
      </c>
    </row>
    <row r="14">
      <c r="A14" s="23" t="inlineStr">
        <is>
          <t>Finansielle indtægter mv.</t>
        </is>
      </c>
      <c r="B14" s="24">
        <f>N('res_raw'!$F$11)+N('res_raw'!$F$12)</f>
        <v/>
      </c>
      <c r="C14" s="24">
        <f>N('res_raw'!$E$11)+N('res_raw'!$E$12)</f>
        <v/>
      </c>
      <c r="D14" s="24">
        <f>N('res_raw'!$D$11)+N('res_raw'!$D$12)</f>
        <v/>
      </c>
      <c r="F14" s="25" t="inlineStr">
        <is>
          <t>fsa:IncomeFromSubsidiaries + fsa:OtherFinanceIncome.</t>
        </is>
      </c>
    </row>
    <row r="15">
      <c r="A15" s="26" t="inlineStr">
        <is>
          <t>Finansielle omkostninger mv.</t>
        </is>
      </c>
      <c r="B15" s="27">
        <f>-'res_raw'!$F$13</f>
        <v/>
      </c>
      <c r="C15" s="27">
        <f>-'res_raw'!$E$13</f>
        <v/>
      </c>
      <c r="D15" s="27">
        <f>-'res_raw'!$D$13</f>
        <v/>
      </c>
      <c r="F15" s="28" t="inlineStr">
        <is>
          <t>fsa:OtherFinanceExpenses (vises negativt). Renteomkostninger, kurstab.</t>
        </is>
      </c>
    </row>
    <row r="16">
      <c r="A16" s="29" t="inlineStr">
        <is>
          <t>Resultat før skat</t>
        </is>
      </c>
      <c r="B16" s="30">
        <f>IF(ABS((SUM(B13:B15))-'res_raw'!$F$15)&lt;=2,SUM(B13:B15),'res_raw'!$F$15)</f>
        <v/>
      </c>
      <c r="C16" s="30">
        <f>IF(ABS((SUM(C13:C15))-'res_raw'!$E$15)&lt;=2,SUM(C13:C15),'res_raw'!$E$15)</f>
        <v/>
      </c>
      <c r="D16" s="30">
        <f>IF(ABS((SUM(D13:D15))-'res_raw'!$D$15)&lt;=2,SUM(D13:D15),'res_raw'!$D$15)</f>
        <v/>
      </c>
      <c r="F16" s="25" t="inlineStr">
        <is>
          <t>Beregnet: EBIT + Fin. indtægter + Fin. omk. EBT.</t>
        </is>
      </c>
    </row>
    <row r="17">
      <c r="A17" s="31" t="n"/>
      <c r="B17" s="31" t="n"/>
      <c r="C17" s="31" t="n"/>
      <c r="D17" s="31" t="n"/>
      <c r="F17" s="31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'balance_raw'!$F$12</f>
        <v/>
      </c>
      <c r="C19" s="24">
        <f>'balance_raw'!$E$12</f>
        <v/>
      </c>
      <c r="D19" s="24">
        <f>'balance_raw'!$D$12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'balance_raw'!$F$24</f>
        <v/>
      </c>
      <c r="C20" s="24">
        <f>'balance_raw'!$E$24</f>
        <v/>
      </c>
      <c r="D20" s="24">
        <f>'balance_raw'!$D$24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31" t="n"/>
      <c r="B22" s="31" t="n"/>
      <c r="C22" s="31" t="n"/>
      <c r="D22" s="31" t="n"/>
      <c r="F22" s="31" t="n"/>
    </row>
    <row r="23">
      <c r="A23" s="23" t="inlineStr">
        <is>
          <t>Egenkapital</t>
        </is>
      </c>
      <c r="B23" s="24">
        <f>'balance_raw'!$F$32</f>
        <v/>
      </c>
      <c r="C23" s="24">
        <f>'balance_raw'!$E$32</f>
        <v/>
      </c>
      <c r="D23" s="24">
        <f>'balance_raw'!$D$32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'balance_raw'!$F$53-'balance_raw'!$F$32</f>
        <v/>
      </c>
      <c r="C24" s="24">
        <f>'balance_raw'!$E$53-'balance_raw'!$E$32</f>
        <v/>
      </c>
      <c r="D24" s="24">
        <f>'balance_raw'!$D$53-'balance_raw'!$D$32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31" t="n"/>
      <c r="B26" s="31" t="n"/>
      <c r="C26" s="31" t="n"/>
      <c r="D26" s="31" t="n"/>
      <c r="F26" s="31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'balance_raw'!$F$13</f>
        <v/>
      </c>
      <c r="C28" s="24">
        <f>'balance_raw'!$E$13</f>
        <v/>
      </c>
      <c r="D28" s="24">
        <f>'balance_raw'!$D$13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'balance_raw'!$F$14</f>
        <v/>
      </c>
      <c r="C29" s="24">
        <f>'balance_raw'!$E$14</f>
        <v/>
      </c>
      <c r="D29" s="24">
        <f>'balance_raw'!$D$14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'balance_raw'!$F$51</f>
        <v/>
      </c>
      <c r="C30" s="24">
        <f>'balance_raw'!$E$51</f>
        <v/>
      </c>
      <c r="D30" s="24">
        <f>'balance_raw'!$D$51</f>
        <v/>
      </c>
      <c r="F30" s="25" t="inlineStr">
        <is>
          <t>fsa:ShorttermLiabilitiesOtherThanProvisions. Gæld der forfalder inden for 1 år.</t>
        </is>
      </c>
    </row>
    <row r="31">
      <c r="A31" s="31" t="n"/>
      <c r="B31" s="31" t="n"/>
      <c r="C31" s="31" t="n"/>
      <c r="D31" s="31" t="n"/>
      <c r="F31" s="31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2">
        <f>IFERROR((B13+B14)/B21*100,"")</f>
        <v/>
      </c>
      <c r="C33" s="32">
        <f>IFERROR((C13+C14)/C21*100,"")</f>
        <v/>
      </c>
      <c r="D33" s="32">
        <f>IFERROR((D13+D14)/D21*100,"")</f>
        <v/>
      </c>
      <c r="F33" s="31" t="n"/>
    </row>
    <row r="34">
      <c r="A34" s="23" t="inlineStr">
        <is>
          <t>Overskudsgrad, %</t>
        </is>
      </c>
      <c r="B34" s="32">
        <f>IFERROR((B13+B14)/B5*100,"")</f>
        <v/>
      </c>
      <c r="C34" s="32">
        <f>IFERROR((C13+C14)/C5*100,"")</f>
        <v/>
      </c>
      <c r="D34" s="32">
        <f>IFERROR((D13+D14)/D5*100,"")</f>
        <v/>
      </c>
      <c r="F34" s="31" t="n"/>
    </row>
    <row r="35">
      <c r="A35" s="23" t="inlineStr">
        <is>
          <t>Aktivernes omsætningshastighed, gange</t>
        </is>
      </c>
      <c r="B35" s="32">
        <f>IFERROR(B5/B21,"")</f>
        <v/>
      </c>
      <c r="C35" s="32">
        <f>IFERROR(C5/C21,"")</f>
        <v/>
      </c>
      <c r="D35" s="32">
        <f>IFERROR(D5/D21,"")</f>
        <v/>
      </c>
      <c r="F35" s="31" t="n"/>
    </row>
    <row r="36">
      <c r="A36" s="23" t="inlineStr">
        <is>
          <t>Gældsrente, %</t>
        </is>
      </c>
      <c r="B36" s="32">
        <f>IFERROR(-B15*100/B24,"")</f>
        <v/>
      </c>
      <c r="C36" s="32">
        <f>IFERROR(-C15*100/C24,"")</f>
        <v/>
      </c>
      <c r="D36" s="32">
        <f>IFERROR(-D15*100/D24,"")</f>
        <v/>
      </c>
      <c r="F36" s="31" t="n"/>
    </row>
    <row r="37">
      <c r="A37" s="23" t="inlineStr">
        <is>
          <t>Egenkapitalens forrentning, %</t>
        </is>
      </c>
      <c r="B37" s="32">
        <f>IFERROR(B16/B23*100,"")</f>
        <v/>
      </c>
      <c r="C37" s="32">
        <f>IFERROR(C16/C23*100,"")</f>
        <v/>
      </c>
      <c r="D37" s="32">
        <f>IFERROR(D16/D23*100,"")</f>
        <v/>
      </c>
      <c r="F37" s="31" t="n"/>
    </row>
    <row r="38">
      <c r="A38" s="23" t="inlineStr">
        <is>
          <t>Gearing, gange</t>
        </is>
      </c>
      <c r="B38" s="32">
        <f>IFERROR(B24/B23,"")</f>
        <v/>
      </c>
      <c r="C38" s="32">
        <f>IFERROR(C24/C23,"")</f>
        <v/>
      </c>
      <c r="D38" s="32">
        <f>IFERROR(D24/D23,"")</f>
        <v/>
      </c>
      <c r="F38" s="31" t="n"/>
    </row>
    <row r="39">
      <c r="A39" s="31" t="n"/>
      <c r="B39" s="31" t="n"/>
      <c r="C39" s="31" t="n"/>
      <c r="D39" s="31" t="n"/>
      <c r="F39" s="31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3">
        <f>IFERROR(B5/$D5*100,"")</f>
        <v/>
      </c>
      <c r="C41" s="33">
        <f>IFERROR(C5/$D5*100,"")</f>
        <v/>
      </c>
      <c r="D41" s="33">
        <f>IFERROR(D5/$D5*100,"")</f>
        <v/>
      </c>
      <c r="F41" s="31" t="n"/>
    </row>
    <row r="42">
      <c r="A42" s="23" t="inlineStr">
        <is>
          <t>Produktionsomkostninger</t>
        </is>
      </c>
      <c r="B42" s="33">
        <f>IFERROR(B6/$D6*100,"")</f>
        <v/>
      </c>
      <c r="C42" s="33">
        <f>IFERROR(C6/$D6*100,"")</f>
        <v/>
      </c>
      <c r="D42" s="33">
        <f>IFERROR(D6/$D6*100,"")</f>
        <v/>
      </c>
      <c r="F42" s="31" t="n"/>
    </row>
    <row r="43">
      <c r="A43" s="23" t="inlineStr">
        <is>
          <t>Udviklingsomkostninger</t>
        </is>
      </c>
      <c r="B43" s="33">
        <f>IFERROR(B8/$D8*100,"")</f>
        <v/>
      </c>
      <c r="C43" s="33">
        <f>IFERROR(C8/$D8*100,"")</f>
        <v/>
      </c>
      <c r="D43" s="33">
        <f>IFERROR(D8/$D8*100,"")</f>
        <v/>
      </c>
      <c r="F43" s="31" t="n"/>
    </row>
    <row r="44">
      <c r="A44" s="23" t="inlineStr">
        <is>
          <t>Salgs- og distributionsomk.</t>
        </is>
      </c>
      <c r="B44" s="33">
        <f>IFERROR(B9/$D9*100,"")</f>
        <v/>
      </c>
      <c r="C44" s="33">
        <f>IFERROR(C9/$D9*100,"")</f>
        <v/>
      </c>
      <c r="D44" s="33">
        <f>IFERROR(D9/$D9*100,"")</f>
        <v/>
      </c>
      <c r="F44" s="31" t="n"/>
    </row>
    <row r="45">
      <c r="A45" s="23" t="inlineStr">
        <is>
          <t>Administrationsomk.</t>
        </is>
      </c>
      <c r="B45" s="33">
        <f>IFERROR(B10/$D10*100,"")</f>
        <v/>
      </c>
      <c r="C45" s="33">
        <f>IFERROR(C10/$D10*100,"")</f>
        <v/>
      </c>
      <c r="D45" s="33">
        <f>IFERROR(D10/$D10*100,"")</f>
        <v/>
      </c>
      <c r="F45" s="31" t="n"/>
    </row>
    <row r="46">
      <c r="A46" s="23" t="inlineStr">
        <is>
          <t>Andre driftsomkostninger</t>
        </is>
      </c>
      <c r="B46" s="33">
        <f>IFERROR(B12/$D12*100,"")</f>
        <v/>
      </c>
      <c r="C46" s="33">
        <f>IFERROR(C12/$D12*100,"")</f>
        <v/>
      </c>
      <c r="D46" s="33">
        <f>IFERROR(D12/$D12*100,"")</f>
        <v/>
      </c>
      <c r="F46" s="31" t="n"/>
    </row>
    <row r="47">
      <c r="A47" s="31" t="n"/>
      <c r="B47" s="31" t="n"/>
      <c r="C47" s="31" t="n"/>
      <c r="D47" s="31" t="n"/>
      <c r="F47" s="31" t="n"/>
    </row>
    <row r="48">
      <c r="A48" s="22" t="inlineStr">
        <is>
          <t>Indekstal for kapitaltilpasningsevne (2023=100)</t>
        </is>
      </c>
      <c r="B48" s="22" t="n"/>
      <c r="C48" s="22" t="n"/>
      <c r="D48" s="22" t="n"/>
      <c r="F48" s="22" t="n"/>
    </row>
    <row r="49">
      <c r="A49" s="23" t="inlineStr">
        <is>
          <t>Nettoomsætning</t>
        </is>
      </c>
      <c r="B49" s="33">
        <f>IFERROR(B5*100/$D5,"")</f>
        <v/>
      </c>
      <c r="C49" s="33">
        <f>IFERROR(C5*100/$D5,"")</f>
        <v/>
      </c>
      <c r="D49" s="33">
        <f>IFERROR(D5*100/$D5,"")</f>
        <v/>
      </c>
      <c r="F49" s="31" t="n"/>
    </row>
    <row r="50">
      <c r="A50" s="23" t="inlineStr">
        <is>
          <t>Anlægsaktiver</t>
        </is>
      </c>
      <c r="B50" s="33">
        <f>IFERROR(B19*100/$D19,"")</f>
        <v/>
      </c>
      <c r="C50" s="33">
        <f>IFERROR(C19*100/$D19,"")</f>
        <v/>
      </c>
      <c r="D50" s="33">
        <f>IFERROR(D19*100/$D19,"")</f>
        <v/>
      </c>
      <c r="F50" s="31" t="n"/>
    </row>
    <row r="51">
      <c r="A51" s="23" t="inlineStr">
        <is>
          <t>Varebeholdninger</t>
        </is>
      </c>
      <c r="B51" s="33">
        <f>IFERROR(B28*100/$D28,"")</f>
        <v/>
      </c>
      <c r="C51" s="33">
        <f>IFERROR(C28*100/$D28,"")</f>
        <v/>
      </c>
      <c r="D51" s="33">
        <f>IFERROR(D28*100/$D28,"")</f>
        <v/>
      </c>
      <c r="F51" s="31" t="n"/>
    </row>
    <row r="52">
      <c r="A52" s="23" t="inlineStr">
        <is>
          <t>Tilgodehavender fra salg</t>
        </is>
      </c>
      <c r="B52" s="33">
        <f>IFERROR(B29*100/$D29,"")</f>
        <v/>
      </c>
      <c r="C52" s="33">
        <f>IFERROR(C29*100/$D29,"")</f>
        <v/>
      </c>
      <c r="D52" s="33">
        <f>IFERROR(D29*100/$D29,"")</f>
        <v/>
      </c>
      <c r="F52" s="31" t="n"/>
    </row>
    <row r="53">
      <c r="A53" s="31" t="n"/>
      <c r="B53" s="31" t="n"/>
      <c r="C53" s="31" t="n"/>
      <c r="D53" s="31" t="n"/>
      <c r="F53" s="31" t="n"/>
    </row>
    <row r="54">
      <c r="A54" s="22" t="inlineStr">
        <is>
          <t>Soliditet og likviditet</t>
        </is>
      </c>
      <c r="B54" s="22" t="n"/>
      <c r="C54" s="22" t="n"/>
      <c r="D54" s="22" t="n"/>
      <c r="F54" s="22" t="n"/>
    </row>
    <row r="55">
      <c r="A55" s="23" t="inlineStr">
        <is>
          <t>Soliditetsgrad, %</t>
        </is>
      </c>
      <c r="B55" s="32">
        <f>IFERROR(B23*100/B21,"")</f>
        <v/>
      </c>
      <c r="C55" s="32">
        <f>IFERROR(C23*100/C21,"")</f>
        <v/>
      </c>
      <c r="D55" s="32">
        <f>IFERROR(D23*100/D21,"")</f>
        <v/>
      </c>
      <c r="F55" s="31" t="n"/>
    </row>
    <row r="56">
      <c r="A56" s="23" t="inlineStr">
        <is>
          <t>Gældsandel, %</t>
        </is>
      </c>
      <c r="B56" s="32">
        <f>IFERROR(B24*100/B21,"")</f>
        <v/>
      </c>
      <c r="C56" s="32">
        <f>IFERROR(C24*100/C21,"")</f>
        <v/>
      </c>
      <c r="D56" s="32">
        <f>IFERROR(D24*100/D21,"")</f>
        <v/>
      </c>
      <c r="F56" s="31" t="n"/>
    </row>
    <row r="57">
      <c r="A57" s="23" t="inlineStr">
        <is>
          <t>Likviditetsgrad, %</t>
        </is>
      </c>
      <c r="B57" s="32">
        <f>IFERROR(B20*100/B30,"")</f>
        <v/>
      </c>
      <c r="C57" s="32">
        <f>IFERROR(C20*100/C30,"")</f>
        <v/>
      </c>
      <c r="D57" s="32">
        <f>IFERROR(D20*100/D30,"")</f>
        <v/>
      </c>
      <c r="F57" s="31" t="n"/>
    </row>
    <row r="58">
      <c r="A58" s="31" t="n"/>
      <c r="B58" s="31" t="n"/>
      <c r="C58" s="31" t="n"/>
      <c r="D58" s="31" t="n"/>
      <c r="F58" s="31" t="n"/>
    </row>
    <row r="59">
      <c r="A59" s="34" t="inlineStr">
        <is>
          <t>Kilde: Bearbejdet uddrag af årsrapporter for 2023-2025. Alle dataceller er live formler der peger på res_raw / balance_raw.</t>
        </is>
      </c>
      <c r="B59" s="31" t="n"/>
      <c r="C59" s="31" t="n"/>
      <c r="D59" s="31" t="n"/>
      <c r="F59" s="31" t="n"/>
    </row>
    <row r="60">
      <c r="A60" s="31" t="n"/>
      <c r="B60" s="31" t="n"/>
      <c r="C60" s="31" t="n"/>
      <c r="D60" s="31" t="n"/>
      <c r="F60" s="31" t="n"/>
    </row>
    <row r="61">
      <c r="A61" s="22" t="inlineStr">
        <is>
          <t>Krydstjek mod rådata (tolerance: 1 t.kr.)</t>
        </is>
      </c>
      <c r="B61" s="22" t="n"/>
      <c r="C61" s="22" t="n"/>
      <c r="D61" s="22" t="n"/>
      <c r="F61" s="22" t="n"/>
    </row>
    <row r="62">
      <c r="A62" s="23" t="inlineStr">
        <is>
          <t>Aktiver i alt = fsa:Assets</t>
        </is>
      </c>
      <c r="B62" s="31">
        <f>IF('balance_raw'!$F$25="","—",IF(ABS(B21-'balance_raw'!$F$25)&lt;=1,"✓ OK","❌ "&amp;TEXT(B21-'balance_raw'!$F$25,"+#,##0;-#,##0")&amp;" t.kr."))</f>
        <v/>
      </c>
      <c r="C62" s="31">
        <f>IF('balance_raw'!$E$25="","—",IF(ABS(C21-'balance_raw'!$E$25)&lt;=1,"✓ OK","❌ "&amp;TEXT(C21-'balance_raw'!$E$25,"+#,##0;-#,##0")&amp;" t.kr."))</f>
        <v/>
      </c>
      <c r="D62" s="31">
        <f>IF('balance_raw'!$D$25="","—",IF(ABS(D21-'balance_raw'!$D$25)&lt;=1,"✓ OK","❌ "&amp;TEXT(D21-'balance_raw'!$D$25,"+#,##0;-#,##0")&amp;" t.kr."))</f>
        <v/>
      </c>
      <c r="F62" s="25" t="inlineStr">
        <is>
          <t>Verificerer at sum(Anlæg+Omsætning) matcher Assets-totalen.</t>
        </is>
      </c>
    </row>
    <row r="63">
      <c r="A63" s="23" t="inlineStr">
        <is>
          <t>Passiver i alt = fsa:LiabilitiesAndEquity</t>
        </is>
      </c>
      <c r="B63" s="31">
        <f>IF('balance_raw'!$F$53="","—",IF(ABS(B25-'balance_raw'!$F$53)&lt;=1,"✓ OK","❌ "&amp;TEXT(B25-'balance_raw'!$F$53,"+#,##0;-#,##0")&amp;" t.kr."))</f>
        <v/>
      </c>
      <c r="C63" s="31">
        <f>IF('balance_raw'!$E$53="","—",IF(ABS(C25-'balance_raw'!$E$53)&lt;=1,"✓ OK","❌ "&amp;TEXT(C25-'balance_raw'!$E$53,"+#,##0;-#,##0")&amp;" t.kr."))</f>
        <v/>
      </c>
      <c r="D63" s="31">
        <f>IF('balance_raw'!$D$53="","—",IF(ABS(D25-'balance_raw'!$D$53)&lt;=1,"✓ OK","❌ "&amp;TEXT(D25-'balance_raw'!$D$53,"+#,##0;-#,##0")&amp;" t.kr."))</f>
        <v/>
      </c>
      <c r="F63" s="25" t="inlineStr">
        <is>
          <t>Verificerer at sum(EK+Forpligtelser) matcher Passiver-totalen.</t>
        </is>
      </c>
    </row>
    <row r="64">
      <c r="A64" s="23" t="inlineStr">
        <is>
          <t>Aktiver i alt = Passiver i alt</t>
        </is>
      </c>
      <c r="B64" s="31">
        <f>IF(ABS(B21-B25)&lt;=1,"✓ OK","❌ "&amp;TEXT(B21-B25,"+#,##0;-#,##0")&amp;" t.kr.")</f>
        <v/>
      </c>
      <c r="C64" s="31">
        <f>IF(ABS(C21-C25)&lt;=1,"✓ OK","❌ "&amp;TEXT(C21-C25,"+#,##0;-#,##0")&amp;" t.kr.")</f>
        <v/>
      </c>
      <c r="D64" s="31">
        <f>IF(ABS(D21-D25)&lt;=1,"✓ OK","❌ "&amp;TEXT(D21-D25,"+#,##0;-#,##0")&amp;" t.kr.")</f>
        <v/>
      </c>
      <c r="F64" s="25" t="inlineStr">
        <is>
          <t>Balance-identitet på arket selv. Skal altid være 0 differance.</t>
        </is>
      </c>
    </row>
    <row r="65">
      <c r="A65" s="23" t="inlineStr">
        <is>
          <t>Bruttoresultat (beregnet) = fsa:GrossResult</t>
        </is>
      </c>
      <c r="B65" s="31">
        <f>IF('res_raw'!$F$4="","—",IF(ABS(B7-'res_raw'!$F$4)&lt;=1,"✓ OK","❌ "&amp;TEXT(B7-'res_raw'!$F$4,"+#,##0;-#,##0")&amp;" t.kr."))</f>
        <v/>
      </c>
      <c r="C65" s="31">
        <f>IF('res_raw'!$E$4="","—",IF(ABS(C7-'res_raw'!$E$4)&lt;=1,"✓ OK","❌ "&amp;TEXT(C7-'res_raw'!$E$4,"+#,##0;-#,##0")&amp;" t.kr."))</f>
        <v/>
      </c>
      <c r="D65" s="31">
        <f>IF('res_raw'!$D$4="","—",IF(ABS(D7-'res_raw'!$D$4)&lt;=1,"✓ OK","❌ "&amp;TEXT(D7-'res_raw'!$D$4,"+#,##0;-#,##0")&amp;" t.kr."))</f>
        <v/>
      </c>
      <c r="F65" s="25" t="inlineStr">
        <is>
          <t>Hvis Nettoomsætning eller omkostninger mangler, vil sumberegnet bruttoresultat afvige.</t>
        </is>
      </c>
    </row>
    <row r="66">
      <c r="A66" s="23" t="inlineStr">
        <is>
          <t>EBIT (beregnet) = fsa:ProfitLossFromOrdinaryOperatingActivities</t>
        </is>
      </c>
      <c r="B66" s="31">
        <f>IF('res_raw'!$F$10="","—",IF(ABS(B13-'res_raw'!$F$10)&lt;=1,"✓ OK","❌ "&amp;TEXT(B13-'res_raw'!$F$10,"+#,##0;-#,##0")&amp;" t.kr."))</f>
        <v/>
      </c>
      <c r="C66" s="31">
        <f>IF('res_raw'!$E$10="","—",IF(ABS(C13-'res_raw'!$E$10)&lt;=1,"✓ OK","❌ "&amp;TEXT(C13-'res_raw'!$E$10,"+#,##0;-#,##0")&amp;" t.kr."))</f>
        <v/>
      </c>
      <c r="D66" s="31">
        <f>IF('res_raw'!$D$10="","—",IF(ABS(D13-'res_raw'!$D$10)&lt;=1,"✓ OK","❌ "&amp;TEXT(D13-'res_raw'!$D$10,"+#,##0;-#,##0")&amp;" t.kr."))</f>
        <v/>
      </c>
      <c r="F66" s="25" t="inlineStr">
        <is>
          <t>Verificerer at sumberegnet EBIT matcher det rapporterede.</t>
        </is>
      </c>
    </row>
    <row r="67">
      <c r="A67" s="23" t="inlineStr">
        <is>
          <t>EBT (beregnet) = fsa:ProfitLossFromOrdinaryActivitiesBeforeTax</t>
        </is>
      </c>
      <c r="B67" s="31">
        <f>IF('res_raw'!$F$15="","—",IF(ABS(B16-'res_raw'!$F$15)&lt;=1,"✓ OK","❌ "&amp;TEXT(B16-'res_raw'!$F$15,"+#,##0;-#,##0")&amp;" t.kr."))</f>
        <v/>
      </c>
      <c r="C67" s="31">
        <f>IF('res_raw'!$E$15="","—",IF(ABS(C16-'res_raw'!$E$15)&lt;=1,"✓ OK","❌ "&amp;TEXT(C16-'res_raw'!$E$15,"+#,##0;-#,##0")&amp;" t.kr."))</f>
        <v/>
      </c>
      <c r="D67" s="31">
        <f>IF('res_raw'!$D$15="","—",IF(ABS(D16-'res_raw'!$D$15)&lt;=1,"✓ OK","❌ "&amp;TEXT(D16-'res_raw'!$D$15,"+#,##0;-#,##0")&amp;" t.kr."))</f>
        <v/>
      </c>
      <c r="F67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5" t="inlineStr">
        <is>
          <t>bavarian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6" t="inlineStr">
        <is>
          <t>Øvrige (ukendt)</t>
        </is>
      </c>
      <c r="B3" s="36" t="inlineStr">
        <is>
          <t>ifrs-full:AdjustmentsForFinanceCosts</t>
        </is>
      </c>
      <c r="C3" s="36" t="inlineStr">
        <is>
          <t>ifrs-full:AdjustmentsForFinanceCosts</t>
        </is>
      </c>
      <c r="D3" s="37" t="n">
        <v>191116</v>
      </c>
      <c r="E3" s="37" t="n">
        <v>339363</v>
      </c>
      <c r="F3" s="37" t="n">
        <v>132380</v>
      </c>
      <c r="G3" s="37" t="n">
        <v>118478</v>
      </c>
      <c r="H3" s="37" t="n">
        <v>53887</v>
      </c>
      <c r="I3" s="38" t="inlineStr">
        <is>
          <t>Ingen forklaring tilgængelig.</t>
        </is>
      </c>
    </row>
    <row r="4" ht="30" customHeight="1">
      <c r="A4" s="39" t="inlineStr">
        <is>
          <t>Øvrige (ukendt)</t>
        </is>
      </c>
      <c r="B4" s="39" t="inlineStr">
        <is>
          <t>ifrs-full:AdjustmentsForFinanceIncome</t>
        </is>
      </c>
      <c r="C4" s="39" t="inlineStr">
        <is>
          <t>ifrs-full:AdjustmentsForFinanceIncome</t>
        </is>
      </c>
      <c r="D4" s="40" t="n">
        <v>50233</v>
      </c>
      <c r="E4" s="40" t="n">
        <v>78537</v>
      </c>
      <c r="F4" s="40" t="n">
        <v>112784</v>
      </c>
      <c r="G4" s="40" t="n">
        <v>150065</v>
      </c>
      <c r="H4" s="40" t="n">
        <v>51043</v>
      </c>
      <c r="I4" s="41" t="inlineStr">
        <is>
          <t>Ingen forklaring tilgængelig.</t>
        </is>
      </c>
    </row>
    <row r="5" ht="30" customHeight="1">
      <c r="A5" s="36" t="inlineStr">
        <is>
          <t>Øvrige (ukendt)</t>
        </is>
      </c>
      <c r="B5" s="36" t="inlineStr">
        <is>
          <t>ifrs-full:AdjustmentsForIncomeTaxExpense</t>
        </is>
      </c>
      <c r="C5" s="36" t="inlineStr">
        <is>
          <t>ifrs-full:AdjustmentsForIncomeTaxExpense</t>
        </is>
      </c>
      <c r="D5" s="37" t="n">
        <v>10345</v>
      </c>
      <c r="E5" s="37" t="n">
        <v>15771</v>
      </c>
      <c r="F5" s="37" t="n">
        <v>7754</v>
      </c>
      <c r="G5" s="37" t="n">
        <v>-16620</v>
      </c>
      <c r="H5" s="37" t="n">
        <v>425577</v>
      </c>
      <c r="I5" s="38" t="inlineStr">
        <is>
          <t>Ingen forklaring tilgængelig.</t>
        </is>
      </c>
    </row>
    <row r="6" ht="30" customHeight="1">
      <c r="A6" s="39" t="inlineStr">
        <is>
          <t>Øvrige (ukendt)</t>
        </is>
      </c>
      <c r="B6" s="39" t="inlineStr">
        <is>
          <t>ifrs-full:AdjustmentsForSharebasedPayments</t>
        </is>
      </c>
      <c r="C6" s="39" t="inlineStr">
        <is>
          <t>ifrs-full:AdjustmentsForSharebasedPayments</t>
        </is>
      </c>
      <c r="D6" s="40" t="n">
        <v>56857</v>
      </c>
      <c r="E6" s="40" t="n">
        <v>49284</v>
      </c>
      <c r="F6" s="40" t="n">
        <v>55477</v>
      </c>
      <c r="G6" s="40" t="n">
        <v>78672</v>
      </c>
      <c r="H6" s="40" t="n">
        <v>84486</v>
      </c>
      <c r="I6" s="41" t="inlineStr">
        <is>
          <t>Ingen forklaring tilgængelig.</t>
        </is>
      </c>
    </row>
    <row r="7" ht="30" customHeight="1">
      <c r="A7" s="36" t="inlineStr">
        <is>
          <t>Øvrige (ukendt)</t>
        </is>
      </c>
      <c r="B7" s="36" t="inlineStr">
        <is>
          <t>ifrs-full:ComputerSoftware</t>
        </is>
      </c>
      <c r="C7" s="36" t="inlineStr">
        <is>
          <t>ifrs-full:ComputerSoftware</t>
        </is>
      </c>
      <c r="D7" s="37" t="n">
        <v>22985</v>
      </c>
      <c r="E7" s="37" t="n">
        <v>14768</v>
      </c>
      <c r="F7" s="37" t="n">
        <v>12443</v>
      </c>
      <c r="G7" s="37" t="n">
        <v>21371</v>
      </c>
      <c r="H7" s="37" t="n">
        <v>24211</v>
      </c>
      <c r="I7" s="38" t="inlineStr">
        <is>
          <t>Ingen forklaring tilgængelig.</t>
        </is>
      </c>
    </row>
    <row r="8" ht="30" customHeight="1">
      <c r="A8" s="39" t="inlineStr">
        <is>
          <t>Øvrige (ukendt)</t>
        </is>
      </c>
      <c r="B8" s="39" t="inlineStr">
        <is>
          <t>ifrs-full:CopyrightsPatentsAndOtherIndustrialPropertyRightsServiceAndOperatingRights</t>
        </is>
      </c>
      <c r="C8" s="39" t="inlineStr">
        <is>
          <t>ifrs-full:CopyrightsPatentsAndOtherIndustrialPropertyRightsServiceAndOperatingRights</t>
        </is>
      </c>
      <c r="D8" s="40" t="n">
        <v>4912830</v>
      </c>
      <c r="E8" s="40" t="n">
        <v>4639895</v>
      </c>
      <c r="F8" s="40" t="n">
        <v>4791442</v>
      </c>
      <c r="G8" s="40" t="n">
        <v>4660426</v>
      </c>
      <c r="H8" s="40" t="n"/>
      <c r="I8" s="41" t="inlineStr">
        <is>
          <t>Ingen forklaring tilgængelig.</t>
        </is>
      </c>
    </row>
    <row r="9" ht="30" customHeight="1">
      <c r="A9" s="36" t="inlineStr">
        <is>
          <t>Øvrige (ukendt)</t>
        </is>
      </c>
      <c r="B9" s="36" t="inlineStr">
        <is>
          <t>ifrs-full:CurrentFinancialAssetsAtFairValueThroughProfitOrLoss</t>
        </is>
      </c>
      <c r="C9" s="36" t="inlineStr">
        <is>
          <t>ifrs-full:CurrentFinancialAssetsAtFairValueThroughProfitOrLoss</t>
        </is>
      </c>
      <c r="D9" s="37" t="n"/>
      <c r="E9" s="37" t="n"/>
      <c r="F9" s="37" t="n"/>
      <c r="G9" s="37" t="n"/>
      <c r="H9" s="37" t="n">
        <v>1619004</v>
      </c>
      <c r="I9" s="38" t="inlineStr">
        <is>
          <t>Ingen forklaring tilgængelig.</t>
        </is>
      </c>
    </row>
    <row r="10" ht="30" customHeight="1">
      <c r="A10" s="39" t="inlineStr">
        <is>
          <t>Øvrige (ukendt)</t>
        </is>
      </c>
      <c r="B10" s="39" t="inlineStr">
        <is>
          <t>ifrs-full:IncreaseDecreaseThroughExerciseOfWarrantsEquity</t>
        </is>
      </c>
      <c r="C10" s="39" t="inlineStr">
        <is>
          <t>ifrs-full:IncreaseDecreaseThroughExerciseOfWarrantsEquity</t>
        </is>
      </c>
      <c r="D10" s="40" t="n">
        <v>126729</v>
      </c>
      <c r="E10" s="40" t="n">
        <v>46145</v>
      </c>
      <c r="F10" s="40" t="n">
        <v>54856</v>
      </c>
      <c r="G10" s="40" t="n">
        <v>147806</v>
      </c>
      <c r="H10" s="40" t="n">
        <v>3819</v>
      </c>
      <c r="I10" s="41" t="inlineStr">
        <is>
          <t>Ingen forklaring tilgængelig.</t>
        </is>
      </c>
    </row>
    <row r="11" ht="30" customHeight="1">
      <c r="A11" s="36" t="inlineStr">
        <is>
          <t>Øvrige (ukendt)</t>
        </is>
      </c>
      <c r="B11" s="36" t="inlineStr">
        <is>
          <t>ifrs-full:Machinery</t>
        </is>
      </c>
      <c r="C11" s="36" t="inlineStr">
        <is>
          <t>ifrs-full:Machinery</t>
        </is>
      </c>
      <c r="D11" s="37" t="n">
        <v>254530</v>
      </c>
      <c r="E11" s="37" t="n">
        <v>321745</v>
      </c>
      <c r="F11" s="37" t="n">
        <v>412674</v>
      </c>
      <c r="G11" s="37" t="n">
        <v>417210</v>
      </c>
      <c r="H11" s="37" t="n"/>
      <c r="I11" s="38" t="inlineStr">
        <is>
          <t>Ingen forklaring tilgængelig.</t>
        </is>
      </c>
    </row>
    <row r="12" ht="30" customHeight="1">
      <c r="A12" s="39" t="inlineStr">
        <is>
          <t>Øvrige (ukendt)</t>
        </is>
      </c>
      <c r="B12" s="39" t="inlineStr">
        <is>
          <t>ifrs-full:NoncurrentPrepayments</t>
        </is>
      </c>
      <c r="C12" s="39" t="inlineStr">
        <is>
          <t>ifrs-full:NoncurrentPrepayments</t>
        </is>
      </c>
      <c r="D12" s="40" t="n">
        <v>38385</v>
      </c>
      <c r="E12" s="40" t="n">
        <v>207537</v>
      </c>
      <c r="F12" s="40" t="n">
        <v>4556</v>
      </c>
      <c r="G12" s="40" t="n">
        <v>36421</v>
      </c>
      <c r="H12" s="40" t="n">
        <v>73268</v>
      </c>
      <c r="I12" s="41" t="inlineStr">
        <is>
          <t>Ingen forklaring tilgængelig.</t>
        </is>
      </c>
    </row>
    <row r="13" ht="30" customHeight="1">
      <c r="A13" s="36" t="inlineStr">
        <is>
          <t>Øvrige (ukendt)</t>
        </is>
      </c>
      <c r="B13" s="36" t="inlineStr">
        <is>
          <t>ifrs-full:OtherComprehensiveIncomeNetOfTaxGainsLossesOnRemeasurementsOfDefinedBenefitPlans</t>
        </is>
      </c>
      <c r="C13" s="36" t="inlineStr">
        <is>
          <t>ifrs-full:OtherComprehensiveIncomeNetOfTaxGainsLossesOnRemeasurementsOfDefinedBenefitPlans</t>
        </is>
      </c>
      <c r="D13" s="37" t="n"/>
      <c r="E13" s="37" t="n">
        <v>0</v>
      </c>
      <c r="F13" s="37" t="n">
        <v>-32555</v>
      </c>
      <c r="G13" s="37" t="n">
        <v>-17390</v>
      </c>
      <c r="H13" s="37" t="n"/>
      <c r="I13" s="38" t="inlineStr">
        <is>
          <t>Ingen forklaring tilgængelig.</t>
        </is>
      </c>
    </row>
    <row r="14" ht="30" customHeight="1">
      <c r="A14" s="39" t="inlineStr">
        <is>
          <t>Øvrige (ukendt)</t>
        </is>
      </c>
      <c r="B14" s="39" t="inlineStr">
        <is>
          <t>ifrs-full:OtherLiabilities</t>
        </is>
      </c>
      <c r="C14" s="39" t="inlineStr">
        <is>
          <t>ifrs-full:OtherLiabilities</t>
        </is>
      </c>
      <c r="D14" s="40" t="n">
        <v>150994</v>
      </c>
      <c r="E14" s="40" t="n">
        <v>257569</v>
      </c>
      <c r="F14" s="40" t="n">
        <v>419843</v>
      </c>
      <c r="G14" s="40" t="n">
        <v>497457</v>
      </c>
      <c r="H14" s="40" t="n"/>
      <c r="I14" s="41" t="inlineStr">
        <is>
          <t>Ingen forklaring tilgængelig.</t>
        </is>
      </c>
    </row>
    <row r="15" ht="30" customHeight="1">
      <c r="A15" s="36" t="inlineStr">
        <is>
          <t>Øvrige (ukendt)</t>
        </is>
      </c>
      <c r="B15" s="36" t="inlineStr">
        <is>
          <t>ifrs-full:PaymentsForShareIssueCosts</t>
        </is>
      </c>
      <c r="C15" s="36" t="inlineStr">
        <is>
          <t>ifrs-full:PaymentsForShareIssueCosts</t>
        </is>
      </c>
      <c r="D15" s="37" t="n">
        <v>57438</v>
      </c>
      <c r="E15" s="37" t="n">
        <v>111</v>
      </c>
      <c r="F15" s="37" t="n">
        <v>42795</v>
      </c>
      <c r="G15" s="37" t="n">
        <v>0</v>
      </c>
      <c r="H15" s="37" t="n"/>
      <c r="I15" s="38" t="inlineStr">
        <is>
          <t>Ingen forklaring tilgængelig.</t>
        </is>
      </c>
    </row>
    <row r="16" ht="30" customHeight="1">
      <c r="A16" s="39" t="inlineStr">
        <is>
          <t>Øvrige (ukendt)</t>
        </is>
      </c>
      <c r="B16" s="39" t="inlineStr">
        <is>
          <t>ifrs-full:ProceedsFromExerciseOfWarrants</t>
        </is>
      </c>
      <c r="C16" s="39" t="inlineStr">
        <is>
          <t>ifrs-full:ProceedsFromExerciseOfWarrants</t>
        </is>
      </c>
      <c r="D16" s="40" t="n"/>
      <c r="E16" s="40" t="n"/>
      <c r="F16" s="40" t="n"/>
      <c r="G16" s="40" t="n"/>
      <c r="H16" s="40" t="n">
        <v>78666</v>
      </c>
      <c r="I16" s="41" t="inlineStr">
        <is>
          <t>Ingen forklaring tilgængelig.</t>
        </is>
      </c>
    </row>
    <row r="17" ht="30" customHeight="1">
      <c r="A17" s="36" t="inlineStr">
        <is>
          <t>Øvrige (ukendt)</t>
        </is>
      </c>
      <c r="B17" s="36" t="inlineStr">
        <is>
          <t>ifrs-full:ProceedsFromSalesOrMaturityOfFinancialInstrumentsClassifiedAsInvestingActivities</t>
        </is>
      </c>
      <c r="C17" s="36" t="inlineStr">
        <is>
          <t>ifrs-full:ProceedsFromSalesOrMaturityOfFinancialInstrumentsClassifiedAsInvestingActivities</t>
        </is>
      </c>
      <c r="D17" s="37" t="n">
        <v>336342</v>
      </c>
      <c r="E17" s="37" t="n">
        <v>1088243</v>
      </c>
      <c r="F17" s="37" t="n">
        <v>1912954</v>
      </c>
      <c r="G17" s="37" t="n">
        <v>1294987</v>
      </c>
      <c r="H17" s="37" t="n">
        <v>721902</v>
      </c>
      <c r="I17" s="38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2026-10-02T21:11:29Z</dcterms:created>
  <dcterms:modified xmlns:dcterms="http://purl.org/dc/terms/" xmlns:xsi="http://www.w3.org/2001/XMLSchema-instance" xsi:type="dcterms:W3CDTF">2026-10-02T21:11:30Z</dcterms:modified>
</cp:coreProperties>
</file>