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3962606" sheetId="1" state="visible" r:id="rId1"/>
    <sheet xmlns:r="http://schemas.openxmlformats.org/officeDocument/2006/relationships" name="res_raw_33962606" sheetId="2" state="visible" r:id="rId2"/>
    <sheet xmlns:r="http://schemas.openxmlformats.org/officeDocument/2006/relationships" name="balance_raw_33962606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Sindico E-commerce ApS (CVR 33962606) — Regnskabsanalyse – Resultatopgørelse &amp; Balance (t.kr.) · Klasse B · Udvidet gennemgang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'res_raw_33962606'!$B$2</f>
        <v/>
      </c>
      <c r="C4" s="5">
        <f>'res_raw_33962606'!$C$2</f>
        <v/>
      </c>
      <c r="D4" s="5">
        <f>'res_raw_33962606'!$D$2</f>
        <v/>
      </c>
      <c r="E4" s="5">
        <f>'res_raw_33962606'!$E$2</f>
        <v/>
      </c>
      <c r="F4" s="5">
        <f>'res_raw_33962606'!$F$2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'res_raw_33962606'!$B$3</f>
        <v/>
      </c>
      <c r="C5" s="8">
        <f>'res_raw_33962606'!$C$3</f>
        <v/>
      </c>
      <c r="D5" s="8">
        <f>'res_raw_33962606'!$D$3</f>
        <v/>
      </c>
      <c r="E5" s="8">
        <f>'res_raw_33962606'!$E$3</f>
        <v/>
      </c>
      <c r="F5" s="8">
        <f>'res_raw_33962606'!$F$3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'res_raw_33962606'!$B$4</f>
        <v/>
      </c>
      <c r="C6" s="5">
        <f>'res_raw_33962606'!$C$4</f>
        <v/>
      </c>
      <c r="D6" s="5">
        <f>'res_raw_33962606'!$D$4</f>
        <v/>
      </c>
      <c r="E6" s="5">
        <f>'res_raw_33962606'!$E$4</f>
        <v/>
      </c>
      <c r="F6" s="5">
        <f>'res_raw_33962606'!$F$4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'res_raw_33962606'!$B$5</f>
        <v/>
      </c>
      <c r="C7" s="8">
        <f>'res_raw_33962606'!$C$5</f>
        <v/>
      </c>
      <c r="D7" s="8">
        <f>'res_raw_33962606'!$D$5</f>
        <v/>
      </c>
      <c r="E7" s="8">
        <f>'res_raw_33962606'!$E$5</f>
        <v/>
      </c>
      <c r="F7" s="8">
        <f>'res_raw_33962606'!$F$5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'res_raw_33962606'!$B$6</f>
        <v/>
      </c>
      <c r="C8" s="11">
        <f>'res_raw_33962606'!$C$6</f>
        <v/>
      </c>
      <c r="D8" s="11">
        <f>'res_raw_33962606'!$D$6</f>
        <v/>
      </c>
      <c r="E8" s="11">
        <f>'res_raw_33962606'!$E$6</f>
        <v/>
      </c>
      <c r="F8" s="11">
        <f>'res_raw_33962606'!$F$6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'res_raw_33962606'!$B$7</f>
        <v/>
      </c>
      <c r="C9" s="8">
        <f>'res_raw_33962606'!$C$7</f>
        <v/>
      </c>
      <c r="D9" s="8">
        <f>'res_raw_33962606'!$D$7</f>
        <v/>
      </c>
      <c r="E9" s="8">
        <f>'res_raw_33962606'!$E$7</f>
        <v/>
      </c>
      <c r="F9" s="8">
        <f>'res_raw_33962606'!$F$7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'res_raw_33962606'!$B$9</f>
        <v/>
      </c>
      <c r="C11" s="8">
        <f>'res_raw_33962606'!$C$9</f>
        <v/>
      </c>
      <c r="D11" s="8">
        <f>'res_raw_33962606'!$D$9</f>
        <v/>
      </c>
      <c r="E11" s="8">
        <f>'res_raw_33962606'!$E$9</f>
        <v/>
      </c>
      <c r="F11" s="8">
        <f>'res_raw_33962606'!$F$9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'res_raw_33962606'!$B$10</f>
        <v/>
      </c>
      <c r="C12" s="5">
        <f>'res_raw_33962606'!$C$10</f>
        <v/>
      </c>
      <c r="D12" s="5">
        <f>'res_raw_33962606'!$D$10</f>
        <v/>
      </c>
      <c r="E12" s="5">
        <f>'res_raw_33962606'!$E$10</f>
        <v/>
      </c>
      <c r="F12" s="5">
        <f>'res_raw_33962606'!$F$10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'res_raw_33962606'!$B$11</f>
        <v/>
      </c>
      <c r="C13" s="11">
        <f>'res_raw_33962606'!$C$11</f>
        <v/>
      </c>
      <c r="D13" s="11">
        <f>'res_raw_33962606'!$D$11</f>
        <v/>
      </c>
      <c r="E13" s="11">
        <f>'res_raw_33962606'!$E$11</f>
        <v/>
      </c>
      <c r="F13" s="11">
        <f>'res_raw_33962606'!$F$11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'res_raw_33962606'!$B$12</f>
        <v/>
      </c>
      <c r="C14" s="5">
        <f>'res_raw_33962606'!$C$12</f>
        <v/>
      </c>
      <c r="D14" s="5">
        <f>'res_raw_33962606'!$D$12</f>
        <v/>
      </c>
      <c r="E14" s="5">
        <f>'res_raw_33962606'!$E$12</f>
        <v/>
      </c>
      <c r="F14" s="5">
        <f>'res_raw_33962606'!$F$12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'res_raw_33962606'!$B$13</f>
        <v/>
      </c>
      <c r="C15" s="8">
        <f>'res_raw_33962606'!$C$13</f>
        <v/>
      </c>
      <c r="D15" s="8">
        <f>'res_raw_33962606'!$D$13</f>
        <v/>
      </c>
      <c r="E15" s="8">
        <f>'res_raw_33962606'!$E$13</f>
        <v/>
      </c>
      <c r="F15" s="8">
        <f>'res_raw_33962606'!$F$13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'res_raw_33962606'!$B$14</f>
        <v/>
      </c>
      <c r="C16" s="5">
        <f>'res_raw_33962606'!$C$14</f>
        <v/>
      </c>
      <c r="D16" s="5">
        <f>'res_raw_33962606'!$D$14</f>
        <v/>
      </c>
      <c r="E16" s="5">
        <f>'res_raw_33962606'!$E$14</f>
        <v/>
      </c>
      <c r="F16" s="5">
        <f>'res_raw_33962606'!$F$14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'res_raw_33962606'!$B$15</f>
        <v/>
      </c>
      <c r="C17" s="11">
        <f>'res_raw_33962606'!$C$15</f>
        <v/>
      </c>
      <c r="D17" s="11">
        <f>'res_raw_33962606'!$D$15</f>
        <v/>
      </c>
      <c r="E17" s="11">
        <f>'res_raw_33962606'!$E$15</f>
        <v/>
      </c>
      <c r="F17" s="11">
        <f>'res_raw_33962606'!$F$15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'res_raw_33962606'!$B$16</f>
        <v/>
      </c>
      <c r="C18" s="11">
        <f>'res_raw_33962606'!$C$16</f>
        <v/>
      </c>
      <c r="D18" s="11">
        <f>'res_raw_33962606'!$D$16</f>
        <v/>
      </c>
      <c r="E18" s="11">
        <f>'res_raw_33962606'!$E$16</f>
        <v/>
      </c>
      <c r="F18" s="11">
        <f>'res_raw_33962606'!$F$16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'res_raw_33962606'!$B$17</f>
        <v/>
      </c>
      <c r="C19" s="8">
        <f>'res_raw_33962606'!$C$17</f>
        <v/>
      </c>
      <c r="D19" s="8">
        <f>'res_raw_33962606'!$D$17</f>
        <v/>
      </c>
      <c r="E19" s="8">
        <f>'res_raw_33962606'!$E$17</f>
        <v/>
      </c>
      <c r="F19" s="8">
        <f>'res_raw_33962606'!$F$17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'res_raw_33962606'!$B$18</f>
        <v/>
      </c>
      <c r="C20" s="11">
        <f>'res_raw_33962606'!$C$18</f>
        <v/>
      </c>
      <c r="D20" s="11">
        <f>'res_raw_33962606'!$D$18</f>
        <v/>
      </c>
      <c r="E20" s="11">
        <f>'res_raw_33962606'!$E$18</f>
        <v/>
      </c>
      <c r="F20" s="11">
        <f>'res_raw_33962606'!$F$18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'balance_raw_33962606'!$B$2</f>
        <v/>
      </c>
      <c r="C23" s="8">
        <f>'balance_raw_33962606'!$C$2</f>
        <v/>
      </c>
      <c r="D23" s="8">
        <f>'balance_raw_33962606'!$D$2</f>
        <v/>
      </c>
      <c r="E23" s="8">
        <f>'balance_raw_33962606'!$E$2</f>
        <v/>
      </c>
      <c r="F23" s="8">
        <f>'balance_raw_33962606'!$F$2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'balance_raw_33962606'!$B$3</f>
        <v/>
      </c>
      <c r="C24" s="5">
        <f>'balance_raw_33962606'!$C$3</f>
        <v/>
      </c>
      <c r="D24" s="5">
        <f>'balance_raw_33962606'!$D$3</f>
        <v/>
      </c>
      <c r="E24" s="5">
        <f>'balance_raw_33962606'!$E$3</f>
        <v/>
      </c>
      <c r="F24" s="5">
        <f>'balance_raw_33962606'!$F$3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'balance_raw_33962606'!$B$4</f>
        <v/>
      </c>
      <c r="C25" s="8">
        <f>'balance_raw_33962606'!$C$4</f>
        <v/>
      </c>
      <c r="D25" s="8">
        <f>'balance_raw_33962606'!$D$4</f>
        <v/>
      </c>
      <c r="E25" s="8">
        <f>'balance_raw_33962606'!$E$4</f>
        <v/>
      </c>
      <c r="F25" s="8">
        <f>'balance_raw_33962606'!$F$4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'balance_raw_33962606'!$B$5</f>
        <v/>
      </c>
      <c r="C26" s="11">
        <f>'balance_raw_33962606'!$C$5</f>
        <v/>
      </c>
      <c r="D26" s="11">
        <f>'balance_raw_33962606'!$D$5</f>
        <v/>
      </c>
      <c r="E26" s="11">
        <f>'balance_raw_33962606'!$E$5</f>
        <v/>
      </c>
      <c r="F26" s="11">
        <f>'balance_raw_33962606'!$F$5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'balance_raw_33962606'!$B$6</f>
        <v/>
      </c>
      <c r="C27" s="8">
        <f>'balance_raw_33962606'!$C$6</f>
        <v/>
      </c>
      <c r="D27" s="8">
        <f>'balance_raw_33962606'!$D$6</f>
        <v/>
      </c>
      <c r="E27" s="8">
        <f>'balance_raw_33962606'!$E$6</f>
        <v/>
      </c>
      <c r="F27" s="8">
        <f>'balance_raw_33962606'!$F$6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'balance_raw_33962606'!$B$7</f>
        <v/>
      </c>
      <c r="C28" s="5">
        <f>'balance_raw_33962606'!$C$7</f>
        <v/>
      </c>
      <c r="D28" s="5">
        <f>'balance_raw_33962606'!$D$7</f>
        <v/>
      </c>
      <c r="E28" s="5">
        <f>'balance_raw_33962606'!$E$7</f>
        <v/>
      </c>
      <c r="F28" s="5">
        <f>'balance_raw_33962606'!$F$7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'balance_raw_33962606'!$B$8</f>
        <v/>
      </c>
      <c r="C29" s="8">
        <f>'balance_raw_33962606'!$C$8</f>
        <v/>
      </c>
      <c r="D29" s="8">
        <f>'balance_raw_33962606'!$D$8</f>
        <v/>
      </c>
      <c r="E29" s="8">
        <f>'balance_raw_33962606'!$E$8</f>
        <v/>
      </c>
      <c r="F29" s="8">
        <f>'balance_raw_33962606'!$F$8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'balance_raw_33962606'!$B$9</f>
        <v/>
      </c>
      <c r="C30" s="5">
        <f>'balance_raw_33962606'!$C$9</f>
        <v/>
      </c>
      <c r="D30" s="5">
        <f>'balance_raw_33962606'!$D$9</f>
        <v/>
      </c>
      <c r="E30" s="5">
        <f>'balance_raw_33962606'!$E$9</f>
        <v/>
      </c>
      <c r="F30" s="5">
        <f>'balance_raw_33962606'!$F$9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'balance_raw_33962606'!$B$10</f>
        <v/>
      </c>
      <c r="C31" s="8">
        <f>'balance_raw_33962606'!$C$10</f>
        <v/>
      </c>
      <c r="D31" s="8">
        <f>'balance_raw_33962606'!$D$10</f>
        <v/>
      </c>
      <c r="E31" s="8">
        <f>'balance_raw_33962606'!$E$10</f>
        <v/>
      </c>
      <c r="F31" s="8">
        <f>'balance_raw_33962606'!$F$10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'balance_raw_33962606'!$B$11</f>
        <v/>
      </c>
      <c r="C32" s="11">
        <f>'balance_raw_33962606'!$C$11</f>
        <v/>
      </c>
      <c r="D32" s="11">
        <f>'balance_raw_33962606'!$D$11</f>
        <v/>
      </c>
      <c r="E32" s="11">
        <f>'balance_raw_33962606'!$E$11</f>
        <v/>
      </c>
      <c r="F32" s="11">
        <f>'balance_raw_33962606'!$F$11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'balance_raw_33962606'!$B$12</f>
        <v/>
      </c>
      <c r="C33" s="8">
        <f>'balance_raw_33962606'!$C$12</f>
        <v/>
      </c>
      <c r="D33" s="8">
        <f>'balance_raw_33962606'!$D$12</f>
        <v/>
      </c>
      <c r="E33" s="8">
        <f>'balance_raw_33962606'!$E$12</f>
        <v/>
      </c>
      <c r="F33" s="8">
        <f>'balance_raw_33962606'!$F$12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'balance_raw_33962606'!$B$13</f>
        <v/>
      </c>
      <c r="C34" s="5">
        <f>'balance_raw_33962606'!$C$13</f>
        <v/>
      </c>
      <c r="D34" s="5">
        <f>'balance_raw_33962606'!$D$13</f>
        <v/>
      </c>
      <c r="E34" s="5">
        <f>'balance_raw_33962606'!$E$13</f>
        <v/>
      </c>
      <c r="F34" s="5">
        <f>'balance_raw_33962606'!$F$13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'balance_raw_33962606'!$B$14</f>
        <v/>
      </c>
      <c r="C35" s="11">
        <f>'balance_raw_33962606'!$C$14</f>
        <v/>
      </c>
      <c r="D35" s="11">
        <f>'balance_raw_33962606'!$D$14</f>
        <v/>
      </c>
      <c r="E35" s="11">
        <f>'balance_raw_33962606'!$E$14</f>
        <v/>
      </c>
      <c r="F35" s="11">
        <f>'balance_raw_33962606'!$F$14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'balance_raw_33962606'!$B$15</f>
        <v/>
      </c>
      <c r="C36" s="11">
        <f>'balance_raw_33962606'!$C$15</f>
        <v/>
      </c>
      <c r="D36" s="11">
        <f>'balance_raw_33962606'!$D$15</f>
        <v/>
      </c>
      <c r="E36" s="11">
        <f>'balance_raw_33962606'!$E$15</f>
        <v/>
      </c>
      <c r="F36" s="11">
        <f>'balance_raw_33962606'!$F$15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'balance_raw_33962606'!$B$16</f>
        <v/>
      </c>
      <c r="C37" s="8">
        <f>'balance_raw_33962606'!$C$16</f>
        <v/>
      </c>
      <c r="D37" s="8">
        <f>'balance_raw_33962606'!$D$16</f>
        <v/>
      </c>
      <c r="E37" s="8">
        <f>'balance_raw_33962606'!$E$16</f>
        <v/>
      </c>
      <c r="F37" s="8">
        <f>'balance_raw_33962606'!$F$16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'balance_raw_33962606'!$B$17</f>
        <v/>
      </c>
      <c r="C38" s="5">
        <f>'balance_raw_33962606'!$C$17</f>
        <v/>
      </c>
      <c r="D38" s="5">
        <f>'balance_raw_33962606'!$D$17</f>
        <v/>
      </c>
      <c r="E38" s="5">
        <f>'balance_raw_33962606'!$E$17</f>
        <v/>
      </c>
      <c r="F38" s="5">
        <f>'balance_raw_33962606'!$F$17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'balance_raw_33962606'!$B$18</f>
        <v/>
      </c>
      <c r="C39" s="8">
        <f>'balance_raw_33962606'!$C$18</f>
        <v/>
      </c>
      <c r="D39" s="8">
        <f>'balance_raw_33962606'!$D$18</f>
        <v/>
      </c>
      <c r="E39" s="8">
        <f>'balance_raw_33962606'!$E$18</f>
        <v/>
      </c>
      <c r="F39" s="8">
        <f>'balance_raw_33962606'!$F$18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'balance_raw_33962606'!$B$19</f>
        <v/>
      </c>
      <c r="C40" s="11">
        <f>'balance_raw_33962606'!$C$19</f>
        <v/>
      </c>
      <c r="D40" s="11">
        <f>'balance_raw_33962606'!$D$19</f>
        <v/>
      </c>
      <c r="E40" s="11">
        <f>'balance_raw_33962606'!$E$19</f>
        <v/>
      </c>
      <c r="F40" s="11">
        <f>'balance_raw_33962606'!$F$19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'balance_raw_33962606'!$B$20</f>
        <v/>
      </c>
      <c r="C41" s="8">
        <f>'balance_raw_33962606'!$C$20</f>
        <v/>
      </c>
      <c r="D41" s="8">
        <f>'balance_raw_33962606'!$D$20</f>
        <v/>
      </c>
      <c r="E41" s="8">
        <f>'balance_raw_33962606'!$E$20</f>
        <v/>
      </c>
      <c r="F41" s="8">
        <f>'balance_raw_33962606'!$F$20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'balance_raw_33962606'!$B$21</f>
        <v/>
      </c>
      <c r="C42" s="5">
        <f>'balance_raw_33962606'!$C$21</f>
        <v/>
      </c>
      <c r="D42" s="5">
        <f>'balance_raw_33962606'!$D$21</f>
        <v/>
      </c>
      <c r="E42" s="5">
        <f>'balance_raw_33962606'!$E$21</f>
        <v/>
      </c>
      <c r="F42" s="5">
        <f>'balance_raw_33962606'!$F$21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'balance_raw_33962606'!$B$22</f>
        <v/>
      </c>
      <c r="C43" s="8">
        <f>'balance_raw_33962606'!$C$22</f>
        <v/>
      </c>
      <c r="D43" s="8">
        <f>'balance_raw_33962606'!$D$22</f>
        <v/>
      </c>
      <c r="E43" s="8">
        <f>'balance_raw_33962606'!$E$22</f>
        <v/>
      </c>
      <c r="F43" s="8">
        <f>'balance_raw_33962606'!$F$22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'balance_raw_33962606'!$B$23</f>
        <v/>
      </c>
      <c r="C44" s="5">
        <f>'balance_raw_33962606'!$C$23</f>
        <v/>
      </c>
      <c r="D44" s="5">
        <f>'balance_raw_33962606'!$D$23</f>
        <v/>
      </c>
      <c r="E44" s="5">
        <f>'balance_raw_33962606'!$E$23</f>
        <v/>
      </c>
      <c r="F44" s="5">
        <f>'balance_raw_33962606'!$F$23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'balance_raw_33962606'!$B$24</f>
        <v/>
      </c>
      <c r="C45" s="8">
        <f>'balance_raw_33962606'!$C$24</f>
        <v/>
      </c>
      <c r="D45" s="8">
        <f>'balance_raw_33962606'!$D$24</f>
        <v/>
      </c>
      <c r="E45" s="8">
        <f>'balance_raw_33962606'!$E$24</f>
        <v/>
      </c>
      <c r="F45" s="8">
        <f>'balance_raw_33962606'!$F$24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'balance_raw_33962606'!$B$25</f>
        <v/>
      </c>
      <c r="C46" s="5">
        <f>'balance_raw_33962606'!$C$25</f>
        <v/>
      </c>
      <c r="D46" s="5">
        <f>'balance_raw_33962606'!$D$25</f>
        <v/>
      </c>
      <c r="E46" s="5">
        <f>'balance_raw_33962606'!$E$25</f>
        <v/>
      </c>
      <c r="F46" s="5">
        <f>'balance_raw_33962606'!$F$25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'balance_raw_33962606'!$B$26</f>
        <v/>
      </c>
      <c r="C47" s="8">
        <f>'balance_raw_33962606'!$C$26</f>
        <v/>
      </c>
      <c r="D47" s="8">
        <f>'balance_raw_33962606'!$D$26</f>
        <v/>
      </c>
      <c r="E47" s="8">
        <f>'balance_raw_33962606'!$E$26</f>
        <v/>
      </c>
      <c r="F47" s="8">
        <f>'balance_raw_33962606'!$F$26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'balance_raw_33962606'!$B$27</f>
        <v/>
      </c>
      <c r="C48" s="11">
        <f>'balance_raw_33962606'!$C$27</f>
        <v/>
      </c>
      <c r="D48" s="11">
        <f>'balance_raw_33962606'!$D$27</f>
        <v/>
      </c>
      <c r="E48" s="11">
        <f>'balance_raw_33962606'!$E$27</f>
        <v/>
      </c>
      <c r="F48" s="11">
        <f>'balance_raw_33962606'!$F$27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'balance_raw_33962606'!$B$28</f>
        <v/>
      </c>
      <c r="C49" s="8">
        <f>'balance_raw_33962606'!$C$28</f>
        <v/>
      </c>
      <c r="D49" s="8">
        <f>'balance_raw_33962606'!$D$28</f>
        <v/>
      </c>
      <c r="E49" s="8">
        <f>'balance_raw_33962606'!$E$28</f>
        <v/>
      </c>
      <c r="F49" s="8">
        <f>'balance_raw_33962606'!$F$28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'balance_raw_33962606'!$B$29</f>
        <v/>
      </c>
      <c r="C50" s="5">
        <f>'balance_raw_33962606'!$C$29</f>
        <v/>
      </c>
      <c r="D50" s="5">
        <f>'balance_raw_33962606'!$D$29</f>
        <v/>
      </c>
      <c r="E50" s="5">
        <f>'balance_raw_33962606'!$E$29</f>
        <v/>
      </c>
      <c r="F50" s="5">
        <f>'balance_raw_33962606'!$F$29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'balance_raw_33962606'!$B$30</f>
        <v/>
      </c>
      <c r="C51" s="11">
        <f>'balance_raw_33962606'!$C$30</f>
        <v/>
      </c>
      <c r="D51" s="11">
        <f>'balance_raw_33962606'!$D$30</f>
        <v/>
      </c>
      <c r="E51" s="11">
        <f>'balance_raw_33962606'!$E$30</f>
        <v/>
      </c>
      <c r="F51" s="11">
        <f>'balance_raw_33962606'!$F$30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'balance_raw_33962606'!$B$31</f>
        <v/>
      </c>
      <c r="C52" s="11">
        <f>'balance_raw_33962606'!$C$31</f>
        <v/>
      </c>
      <c r="D52" s="11">
        <f>'balance_raw_33962606'!$D$31</f>
        <v/>
      </c>
      <c r="E52" s="11">
        <f>'balance_raw_33962606'!$E$31</f>
        <v/>
      </c>
      <c r="F52" s="11">
        <f>'balance_raw_33962606'!$F$31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'balance_raw_33962606'!$B$32</f>
        <v/>
      </c>
      <c r="C55" s="8">
        <f>'balance_raw_33962606'!$C$32</f>
        <v/>
      </c>
      <c r="D55" s="8">
        <f>'balance_raw_33962606'!$D$32</f>
        <v/>
      </c>
      <c r="E55" s="8">
        <f>'balance_raw_33962606'!$E$32</f>
        <v/>
      </c>
      <c r="F55" s="8">
        <f>'balance_raw_33962606'!$F$32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'balance_raw_33962606'!$B$33</f>
        <v/>
      </c>
      <c r="C56" s="5">
        <f>'balance_raw_33962606'!$C$33</f>
        <v/>
      </c>
      <c r="D56" s="5">
        <f>'balance_raw_33962606'!$D$33</f>
        <v/>
      </c>
      <c r="E56" s="5">
        <f>'balance_raw_33962606'!$E$33</f>
        <v/>
      </c>
      <c r="F56" s="5">
        <f>'balance_raw_33962606'!$F$33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'balance_raw_33962606'!$B$34</f>
        <v/>
      </c>
      <c r="C57" s="8">
        <f>'balance_raw_33962606'!$C$34</f>
        <v/>
      </c>
      <c r="D57" s="8">
        <f>'balance_raw_33962606'!$D$34</f>
        <v/>
      </c>
      <c r="E57" s="8">
        <f>'balance_raw_33962606'!$E$34</f>
        <v/>
      </c>
      <c r="F57" s="8">
        <f>'balance_raw_33962606'!$F$34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'balance_raw_33962606'!$B$35</f>
        <v/>
      </c>
      <c r="C58" s="5">
        <f>'balance_raw_33962606'!$C$35</f>
        <v/>
      </c>
      <c r="D58" s="5">
        <f>'balance_raw_33962606'!$D$35</f>
        <v/>
      </c>
      <c r="E58" s="5">
        <f>'balance_raw_33962606'!$E$35</f>
        <v/>
      </c>
      <c r="F58" s="5">
        <f>'balance_raw_33962606'!$F$35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'balance_raw_33962606'!$B$36</f>
        <v/>
      </c>
      <c r="C59" s="8">
        <f>'balance_raw_33962606'!$C$36</f>
        <v/>
      </c>
      <c r="D59" s="8">
        <f>'balance_raw_33962606'!$D$36</f>
        <v/>
      </c>
      <c r="E59" s="8">
        <f>'balance_raw_33962606'!$E$36</f>
        <v/>
      </c>
      <c r="F59" s="8">
        <f>'balance_raw_33962606'!$F$36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'balance_raw_33962606'!$B$37</f>
        <v/>
      </c>
      <c r="C60" s="5">
        <f>'balance_raw_33962606'!$C$37</f>
        <v/>
      </c>
      <c r="D60" s="5">
        <f>'balance_raw_33962606'!$D$37</f>
        <v/>
      </c>
      <c r="E60" s="5">
        <f>'balance_raw_33962606'!$E$37</f>
        <v/>
      </c>
      <c r="F60" s="5">
        <f>'balance_raw_33962606'!$F$37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'balance_raw_33962606'!$B$38</f>
        <v/>
      </c>
      <c r="C61" s="11">
        <f>'balance_raw_33962606'!$C$38</f>
        <v/>
      </c>
      <c r="D61" s="11">
        <f>'balance_raw_33962606'!$D$38</f>
        <v/>
      </c>
      <c r="E61" s="11">
        <f>'balance_raw_33962606'!$E$38</f>
        <v/>
      </c>
      <c r="F61" s="11">
        <f>'balance_raw_33962606'!$F$38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'balance_raw_33962606'!$B$39</f>
        <v/>
      </c>
      <c r="C62" s="5">
        <f>'balance_raw_33962606'!$C$39</f>
        <v/>
      </c>
      <c r="D62" s="5">
        <f>'balance_raw_33962606'!$D$39</f>
        <v/>
      </c>
      <c r="E62" s="5">
        <f>'balance_raw_33962606'!$E$39</f>
        <v/>
      </c>
      <c r="F62" s="5">
        <f>'balance_raw_33962606'!$F$39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'balance_raw_33962606'!$B$40</f>
        <v/>
      </c>
      <c r="C63" s="11">
        <f>'balance_raw_33962606'!$C$40</f>
        <v/>
      </c>
      <c r="D63" s="11">
        <f>'balance_raw_33962606'!$D$40</f>
        <v/>
      </c>
      <c r="E63" s="11">
        <f>'balance_raw_33962606'!$E$40</f>
        <v/>
      </c>
      <c r="F63" s="11">
        <f>'balance_raw_33962606'!$F$40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'balance_raw_33962606'!$B$41</f>
        <v/>
      </c>
      <c r="C64" s="11">
        <f>'balance_raw_33962606'!$C$41</f>
        <v/>
      </c>
      <c r="D64" s="11">
        <f>'balance_raw_33962606'!$D$41</f>
        <v/>
      </c>
      <c r="E64" s="11">
        <f>'balance_raw_33962606'!$E$41</f>
        <v/>
      </c>
      <c r="F64" s="11">
        <f>'balance_raw_33962606'!$F$41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'balance_raw_33962606'!$B$42</f>
        <v/>
      </c>
      <c r="C65" s="8">
        <f>'balance_raw_33962606'!$C$42</f>
        <v/>
      </c>
      <c r="D65" s="8">
        <f>'balance_raw_33962606'!$D$42</f>
        <v/>
      </c>
      <c r="E65" s="8">
        <f>'balance_raw_33962606'!$E$42</f>
        <v/>
      </c>
      <c r="F65" s="8">
        <f>'balance_raw_33962606'!$F$42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'balance_raw_33962606'!$B$43</f>
        <v/>
      </c>
      <c r="C66" s="5">
        <f>'balance_raw_33962606'!$C$43</f>
        <v/>
      </c>
      <c r="D66" s="5">
        <f>'balance_raw_33962606'!$D$43</f>
        <v/>
      </c>
      <c r="E66" s="5">
        <f>'balance_raw_33962606'!$E$43</f>
        <v/>
      </c>
      <c r="F66" s="5">
        <f>'balance_raw_33962606'!$F$43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'balance_raw_33962606'!$B$44</f>
        <v/>
      </c>
      <c r="C67" s="8">
        <f>'balance_raw_33962606'!$C$44</f>
        <v/>
      </c>
      <c r="D67" s="8">
        <f>'balance_raw_33962606'!$D$44</f>
        <v/>
      </c>
      <c r="E67" s="8">
        <f>'balance_raw_33962606'!$E$44</f>
        <v/>
      </c>
      <c r="F67" s="8">
        <f>'balance_raw_33962606'!$F$44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'balance_raw_33962606'!$B$45</f>
        <v/>
      </c>
      <c r="C68" s="5">
        <f>'balance_raw_33962606'!$C$45</f>
        <v/>
      </c>
      <c r="D68" s="5">
        <f>'balance_raw_33962606'!$D$45</f>
        <v/>
      </c>
      <c r="E68" s="5">
        <f>'balance_raw_33962606'!$E$45</f>
        <v/>
      </c>
      <c r="F68" s="5">
        <f>'balance_raw_33962606'!$F$45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'balance_raw_33962606'!$B$46</f>
        <v/>
      </c>
      <c r="C69" s="8">
        <f>'balance_raw_33962606'!$C$46</f>
        <v/>
      </c>
      <c r="D69" s="8">
        <f>'balance_raw_33962606'!$D$46</f>
        <v/>
      </c>
      <c r="E69" s="8">
        <f>'balance_raw_33962606'!$E$46</f>
        <v/>
      </c>
      <c r="F69" s="8">
        <f>'balance_raw_33962606'!$F$46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'balance_raw_33962606'!$B$47</f>
        <v/>
      </c>
      <c r="C70" s="5">
        <f>'balance_raw_33962606'!$C$47</f>
        <v/>
      </c>
      <c r="D70" s="5">
        <f>'balance_raw_33962606'!$D$47</f>
        <v/>
      </c>
      <c r="E70" s="5">
        <f>'balance_raw_33962606'!$E$47</f>
        <v/>
      </c>
      <c r="F70" s="5">
        <f>'balance_raw_33962606'!$F$47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'balance_raw_33962606'!$B$48</f>
        <v/>
      </c>
      <c r="C71" s="8">
        <f>'balance_raw_33962606'!$C$48</f>
        <v/>
      </c>
      <c r="D71" s="8">
        <f>'balance_raw_33962606'!$D$48</f>
        <v/>
      </c>
      <c r="E71" s="8">
        <f>'balance_raw_33962606'!$E$48</f>
        <v/>
      </c>
      <c r="F71" s="8">
        <f>'balance_raw_33962606'!$F$48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'balance_raw_33962606'!$B$49</f>
        <v/>
      </c>
      <c r="C72" s="5">
        <f>'balance_raw_33962606'!$C$49</f>
        <v/>
      </c>
      <c r="D72" s="5">
        <f>'balance_raw_33962606'!$D$49</f>
        <v/>
      </c>
      <c r="E72" s="5">
        <f>'balance_raw_33962606'!$E$49</f>
        <v/>
      </c>
      <c r="F72" s="5">
        <f>'balance_raw_33962606'!$F$49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'balance_raw_33962606'!$B$50</f>
        <v/>
      </c>
      <c r="C73" s="8">
        <f>'balance_raw_33962606'!$C$50</f>
        <v/>
      </c>
      <c r="D73" s="8">
        <f>'balance_raw_33962606'!$D$50</f>
        <v/>
      </c>
      <c r="E73" s="8">
        <f>'balance_raw_33962606'!$E$50</f>
        <v/>
      </c>
      <c r="F73" s="8">
        <f>'balance_raw_33962606'!$F$50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'balance_raw_33962606'!$B$51</f>
        <v/>
      </c>
      <c r="C74" s="5">
        <f>'balance_raw_33962606'!$C$51</f>
        <v/>
      </c>
      <c r="D74" s="5">
        <f>'balance_raw_33962606'!$D$51</f>
        <v/>
      </c>
      <c r="E74" s="5">
        <f>'balance_raw_33962606'!$E$51</f>
        <v/>
      </c>
      <c r="F74" s="5">
        <f>'balance_raw_33962606'!$F$51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'balance_raw_33962606'!$B$52</f>
        <v/>
      </c>
      <c r="C75" s="8">
        <f>'balance_raw_33962606'!$C$52</f>
        <v/>
      </c>
      <c r="D75" s="8">
        <f>'balance_raw_33962606'!$D$52</f>
        <v/>
      </c>
      <c r="E75" s="8">
        <f>'balance_raw_33962606'!$E$52</f>
        <v/>
      </c>
      <c r="F75" s="8">
        <f>'balance_raw_33962606'!$F$52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'balance_raw_33962606'!$B$53</f>
        <v/>
      </c>
      <c r="C76" s="11">
        <f>'balance_raw_33962606'!$C$53</f>
        <v/>
      </c>
      <c r="D76" s="11">
        <f>'balance_raw_33962606'!$D$53</f>
        <v/>
      </c>
      <c r="E76" s="11">
        <f>'balance_raw_33962606'!$E$53</f>
        <v/>
      </c>
      <c r="F76" s="11">
        <f>'balance_raw_33962606'!$F$53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'balance_raw_33962606'!$B$54</f>
        <v/>
      </c>
      <c r="C77" s="11">
        <f>'balance_raw_33962606'!$C$54</f>
        <v/>
      </c>
      <c r="D77" s="11">
        <f>'balance_raw_33962606'!$D$54</f>
        <v/>
      </c>
      <c r="E77" s="11">
        <f>'balance_raw_33962606'!$E$54</f>
        <v/>
      </c>
      <c r="F77" s="11">
        <f>'balance_raw_33962606'!$F$54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'balance_raw_33962606'!$B$55</f>
        <v/>
      </c>
      <c r="C78" s="11">
        <f>'balance_raw_33962606'!$C$55</f>
        <v/>
      </c>
      <c r="D78" s="11">
        <f>'balance_raw_33962606'!$D$55</f>
        <v/>
      </c>
      <c r="E78" s="11">
        <f>'balance_raw_33962606'!$E$55</f>
        <v/>
      </c>
      <c r="F78" s="11">
        <f>'balance_raw_33962606'!$F$55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'res_raw_33962606'!$B$19</f>
        <v/>
      </c>
      <c r="C81" s="8">
        <f>'res_raw_33962606'!$C$19</f>
        <v/>
      </c>
      <c r="D81" s="8">
        <f>'res_raw_33962606'!$D$19</f>
        <v/>
      </c>
      <c r="E81" s="8">
        <f>'res_raw_33962606'!$E$19</f>
        <v/>
      </c>
      <c r="F81" s="8">
        <f>'res_raw_33962606'!$F$19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'res_raw_33962606'!$B$20</f>
        <v/>
      </c>
      <c r="C82" s="5">
        <f>'res_raw_33962606'!$C$20</f>
        <v/>
      </c>
      <c r="D82" s="5">
        <f>'res_raw_33962606'!$D$20</f>
        <v/>
      </c>
      <c r="E82" s="5">
        <f>'res_raw_33962606'!$E$20</f>
        <v/>
      </c>
      <c r="F82" s="5">
        <f>'res_raw_33962606'!$F$20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IFERROR(($B$13+$B$15+$B$14)/$B$52*100,"")</f>
        <v/>
      </c>
      <c r="C85" s="13">
        <f>IFERROR(($C$13+$C$15+$C$14)/$C$52*100,"")</f>
        <v/>
      </c>
      <c r="D85" s="13">
        <f>IFERROR(($D$13+$D$15+$D$14)/$D$52*100,"")</f>
        <v/>
      </c>
      <c r="E85" s="13">
        <f>IFERROR(($E$13+$E$15+$E$14)/$E$52*100,"")</f>
        <v/>
      </c>
      <c r="F85" s="13">
        <f>IFERROR(($F$13+$F$15+$F$14)/$F$52*100,"")</f>
        <v/>
      </c>
    </row>
    <row r="86" ht="16" customHeight="1">
      <c r="A86" s="4" t="inlineStr">
        <is>
          <t>Overskudsgrad (af bruttofortjeneste), %</t>
        </is>
      </c>
      <c r="B86" s="14">
        <f>IFERROR(($B$13+$B$15+$B$14)/$B$8*100,"")</f>
        <v/>
      </c>
      <c r="C86" s="14">
        <f>IFERROR(($C$13+$C$15+$C$14)/$C$8*100,"")</f>
        <v/>
      </c>
      <c r="D86" s="14">
        <f>IFERROR(($D$13+$D$15+$D$14)/$D$8*100,"")</f>
        <v/>
      </c>
      <c r="E86" s="14">
        <f>IFERROR(($E$13+$E$15+$E$14)/$E$8*100,"")</f>
        <v/>
      </c>
      <c r="F86" s="14">
        <f>IFERROR(($F$13+$F$15+$F$14)/$F$8*100,"")</f>
        <v/>
      </c>
    </row>
    <row r="87" ht="16" customHeight="1">
      <c r="A87" s="7" t="inlineStr">
        <is>
          <t>Aktivernes omsætningshastighed (af bruttofortjeneste), gange</t>
        </is>
      </c>
      <c r="B87" s="13">
        <f>IFERROR($B$8/$B$52,"")</f>
        <v/>
      </c>
      <c r="C87" s="13">
        <f>IFERROR($C$8/$C$52,"")</f>
        <v/>
      </c>
      <c r="D87" s="13">
        <f>IFERROR($D$8/$D$52,"")</f>
        <v/>
      </c>
      <c r="E87" s="13">
        <f>IFERROR($E$8/$E$52,"")</f>
        <v/>
      </c>
      <c r="F87" s="13">
        <f>IFERROR($F$8/$F$52,"")</f>
        <v/>
      </c>
    </row>
    <row r="88" ht="16" customHeight="1">
      <c r="A88" s="4" t="inlineStr">
        <is>
          <t>Egenkapitalens forrentning, %</t>
        </is>
      </c>
      <c r="B88" s="14">
        <f>IFERROR($B$18/$B$61*100,"")</f>
        <v/>
      </c>
      <c r="C88" s="14">
        <f>IFERROR($C$18/$C$61*100,"")</f>
        <v/>
      </c>
      <c r="D88" s="14">
        <f>IFERROR($D$18/$D$61*100,"")</f>
        <v/>
      </c>
      <c r="E88" s="14">
        <f>IFERROR($E$18/$E$61*100,"")</f>
        <v/>
      </c>
      <c r="F88" s="14">
        <f>IFERROR($F$18/$F$61*100,"")</f>
        <v/>
      </c>
    </row>
    <row r="89" ht="16" customHeight="1">
      <c r="A89" s="7" t="inlineStr">
        <is>
          <t>Gældsrente, %</t>
        </is>
      </c>
      <c r="B89" s="13">
        <f>IFERROR($B$16/($B$78-$B$61)*100,"")</f>
        <v/>
      </c>
      <c r="C89" s="13">
        <f>IFERROR($C$16/($C$78-$C$61)*100,"")</f>
        <v/>
      </c>
      <c r="D89" s="13">
        <f>IFERROR($D$16/($D$78-$D$61)*100,"")</f>
        <v/>
      </c>
      <c r="E89" s="13">
        <f>IFERROR($E$16/($E$78-$E$61)*100,"")</f>
        <v/>
      </c>
      <c r="F89" s="13">
        <f>IFERROR($F$16/($F$78-$F$61)*100,"")</f>
        <v/>
      </c>
    </row>
    <row r="90" ht="16" customHeight="1">
      <c r="A90" s="4" t="inlineStr">
        <is>
          <t>Soliditetsgrad, %</t>
        </is>
      </c>
      <c r="B90" s="14">
        <f>IFERROR($B$61/$B$52*100,"")</f>
        <v/>
      </c>
      <c r="C90" s="14">
        <f>IFERROR($C$61/$C$52*100,"")</f>
        <v/>
      </c>
      <c r="D90" s="14">
        <f>IFERROR($D$61/$D$52*100,"")</f>
        <v/>
      </c>
      <c r="E90" s="14">
        <f>IFERROR($E$61/$E$52*100,"")</f>
        <v/>
      </c>
      <c r="F90" s="14">
        <f>IFERROR($F$61/$F$52*100,"")</f>
        <v/>
      </c>
    </row>
    <row r="91" ht="16" customHeight="1">
      <c r="A91" s="7" t="inlineStr">
        <is>
          <t>Gearing</t>
        </is>
      </c>
      <c r="B91" s="13">
        <f>IFERROR(($B$78-$B$61)/$B$61,"")</f>
        <v/>
      </c>
      <c r="C91" s="13">
        <f>IFERROR(($C$78-$C$61)/$C$61,"")</f>
        <v/>
      </c>
      <c r="D91" s="13">
        <f>IFERROR(($D$78-$D$61)/$D$61,"")</f>
        <v/>
      </c>
      <c r="E91" s="13">
        <f>IFERROR(($E$78-$E$61)/$E$61,"")</f>
        <v/>
      </c>
      <c r="F91" s="13">
        <f>IFERROR(($F$78-$F$61)/$F$61,"")</f>
        <v/>
      </c>
    </row>
    <row r="92" ht="16" customHeight="1">
      <c r="A92" s="4" t="inlineStr">
        <is>
          <t>Likviditetsgrad, %</t>
        </is>
      </c>
      <c r="B92" s="14">
        <f>IFERROR($B$51/$B$76*100,"")</f>
        <v/>
      </c>
      <c r="C92" s="14">
        <f>IFERROR($C$51/$C$76*100,"")</f>
        <v/>
      </c>
      <c r="D92" s="14">
        <f>IFERROR($D$51/$D$76*100,"")</f>
        <v/>
      </c>
      <c r="E92" s="14">
        <f>IFERROR($E$51/$E$76*100,"")</f>
        <v/>
      </c>
      <c r="F92" s="14">
        <f>IFERROR($F$51/$F$76*100,"")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IFERROR(($B$78-$B$61)/$B$52*100,"")</f>
        <v/>
      </c>
      <c r="C94" s="14">
        <f>IFERROR(($C$78-$C$61)/$C$52*100,"")</f>
        <v/>
      </c>
      <c r="D94" s="14">
        <f>IFERROR(($D$78-$D$61)/$D$52*100,"")</f>
        <v/>
      </c>
      <c r="E94" s="14">
        <f>IFERROR(($E$78-$E$61)/$E$52*100,"")</f>
        <v/>
      </c>
      <c r="F94" s="14">
        <f>IFERROR(($F$78-$F$61)/$F$52*100,"")</f>
        <v/>
      </c>
    </row>
    <row r="95" ht="16" customHeight="1">
      <c r="A95" s="7" t="inlineStr">
        <is>
          <t>Kapitalbindingsgrad, %</t>
        </is>
      </c>
      <c r="B95" s="13">
        <f>IFERROR($B$36/($B$61+$B$64)*100,"")</f>
        <v/>
      </c>
      <c r="C95" s="13">
        <f>IFERROR($C$36/($C$61+$C$64)*100,"")</f>
        <v/>
      </c>
      <c r="D95" s="13">
        <f>IFERROR($D$36/($D$61+$D$64)*100,"")</f>
        <v/>
      </c>
      <c r="E95" s="13">
        <f>IFERROR($E$36/($E$61+$E$64)*100,"")</f>
        <v/>
      </c>
      <c r="F95" s="13">
        <f>IFERROR($F$36/($F$61+$F$64)*100,"")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Sindico E-commerce ApS (CVR 33962606)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3156</v>
      </c>
      <c r="C6" s="16" t="n">
        <v>3475</v>
      </c>
      <c r="D6" s="16" t="n">
        <v>-1191</v>
      </c>
      <c r="E6" s="16" t="n">
        <v>-1323</v>
      </c>
      <c r="F6" s="16" t="n">
        <v>522</v>
      </c>
    </row>
    <row r="7">
      <c r="A7" s="15" t="inlineStr">
        <is>
          <t>Personaleomkostninger</t>
        </is>
      </c>
      <c r="B7" s="16" t="n">
        <v>6237</v>
      </c>
      <c r="C7" s="16" t="n">
        <v>7048</v>
      </c>
      <c r="D7" s="16" t="n">
        <v>2617</v>
      </c>
      <c r="E7" s="16" t="n">
        <v>2784</v>
      </c>
      <c r="F7" s="16" t="n">
        <v>1975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132</v>
      </c>
      <c r="C9" s="16" t="n">
        <v>593</v>
      </c>
      <c r="D9" s="16" t="n">
        <v>857</v>
      </c>
      <c r="E9" s="16" t="n">
        <v>359</v>
      </c>
      <c r="F9" s="16" t="n">
        <v>401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-3213</v>
      </c>
      <c r="C11" s="16" t="n">
        <v>-4166</v>
      </c>
      <c r="D11" s="16" t="n">
        <v>-4666</v>
      </c>
      <c r="E11" s="16" t="n">
        <v>-4467</v>
      </c>
      <c r="F11" s="16" t="n">
        <v>-1855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4</v>
      </c>
      <c r="C13" s="16" t="n">
        <v>44</v>
      </c>
      <c r="D13" s="16" t="n">
        <v>12</v>
      </c>
      <c r="E13" s="16" t="n">
        <v>0</v>
      </c>
      <c r="F13" s="16" t="n">
        <v>17</v>
      </c>
    </row>
    <row r="14">
      <c r="A14" s="15" t="inlineStr">
        <is>
          <t>Finansielle omkostninger</t>
        </is>
      </c>
      <c r="B14" s="16" t="n">
        <v>10</v>
      </c>
      <c r="C14" s="16" t="n">
        <v>6</v>
      </c>
      <c r="D14" s="16" t="n">
        <v>109</v>
      </c>
      <c r="E14" s="16" t="n">
        <v>15</v>
      </c>
      <c r="F14" s="16" t="n">
        <v>16</v>
      </c>
    </row>
    <row r="15">
      <c r="A15" s="17" t="inlineStr">
        <is>
          <t>Finansielle poster, netto</t>
        </is>
      </c>
      <c r="B15" s="16" t="n">
        <v>-6</v>
      </c>
      <c r="C15" s="16" t="n">
        <v>37</v>
      </c>
      <c r="D15" s="16" t="n">
        <v>-96</v>
      </c>
      <c r="E15" s="16" t="n">
        <v>-15</v>
      </c>
      <c r="F15" s="16" t="n">
        <v>0</v>
      </c>
    </row>
    <row r="16">
      <c r="A16" s="17" t="inlineStr">
        <is>
          <t>Resultat før skat</t>
        </is>
      </c>
      <c r="B16" s="16" t="n">
        <v>-3253</v>
      </c>
      <c r="C16" s="16" t="n">
        <v>-4369</v>
      </c>
      <c r="D16" s="16" t="n">
        <v>-5365</v>
      </c>
      <c r="E16" s="16" t="n">
        <v>-5206</v>
      </c>
      <c r="F16" s="16" t="n">
        <v>-2431</v>
      </c>
    </row>
    <row r="17">
      <c r="A17" s="15" t="inlineStr">
        <is>
          <t>Skat af årets resultat</t>
        </is>
      </c>
      <c r="B17" s="16" t="n">
        <v>-714</v>
      </c>
      <c r="C17" s="16" t="n">
        <v>-966</v>
      </c>
      <c r="D17" s="16" t="n">
        <v>-1160</v>
      </c>
      <c r="E17" s="16" t="n">
        <v>-1157</v>
      </c>
      <c r="F17" s="16" t="n">
        <v>-538</v>
      </c>
    </row>
    <row r="18">
      <c r="A18" s="17" t="inlineStr">
        <is>
          <t>Årets resultat</t>
        </is>
      </c>
      <c r="B18" s="16" t="n">
        <v>-2540</v>
      </c>
      <c r="C18" s="16" t="n">
        <v>-3403</v>
      </c>
      <c r="D18" s="16" t="n">
        <v>-4205</v>
      </c>
      <c r="E18" s="16" t="n">
        <v>-4049</v>
      </c>
      <c r="F18" s="16" t="n">
        <v>-1893</v>
      </c>
    </row>
    <row r="19">
      <c r="A19" s="15" t="inlineStr">
        <is>
          <t>Gns. antal medarbejdere</t>
        </is>
      </c>
      <c r="B19" s="16" t="n">
        <v>20</v>
      </c>
      <c r="C19" s="16" t="n">
        <v>20</v>
      </c>
      <c r="D19" s="16" t="n">
        <v>9</v>
      </c>
      <c r="E19" s="16" t="n">
        <v>7</v>
      </c>
      <c r="F19" s="16" t="n">
        <v>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Sindico E-commerce ApS (CVR 33962606)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1215</v>
      </c>
      <c r="C2" s="16" t="n">
        <v>1179</v>
      </c>
      <c r="D2" s="16" t="n">
        <v>1216</v>
      </c>
      <c r="E2" s="16" t="n">
        <v>1372</v>
      </c>
      <c r="F2" s="16" t="n">
        <v>990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0</v>
      </c>
      <c r="C4" s="16" t="n">
        <v>0</v>
      </c>
      <c r="D4" s="16" t="n">
        <v>0</v>
      </c>
      <c r="E4" s="16" t="n">
        <v>0</v>
      </c>
      <c r="F4" s="16" t="n"/>
    </row>
    <row r="5">
      <c r="A5" s="17" t="inlineStr">
        <is>
          <t>Immaterielle anlægsaktiver</t>
        </is>
      </c>
      <c r="B5" s="16" t="n">
        <v>1215</v>
      </c>
      <c r="C5" s="16" t="n">
        <v>1179</v>
      </c>
      <c r="D5" s="16" t="n">
        <v>1216</v>
      </c>
      <c r="E5" s="16" t="n">
        <v>1372</v>
      </c>
      <c r="F5" s="16" t="n">
        <v>990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75</v>
      </c>
      <c r="C8" s="16" t="n">
        <v>70</v>
      </c>
      <c r="D8" s="16" t="n">
        <v>50</v>
      </c>
      <c r="E8" s="16" t="n">
        <v>30</v>
      </c>
      <c r="F8" s="16" t="n">
        <v>11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75</v>
      </c>
      <c r="C11" s="16" t="n">
        <v>70</v>
      </c>
      <c r="D11" s="16" t="n">
        <v>50</v>
      </c>
      <c r="E11" s="16" t="n">
        <v>30</v>
      </c>
      <c r="F11" s="16" t="n">
        <v>11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/>
      <c r="C13" s="16" t="n"/>
      <c r="D13" s="16" t="n"/>
      <c r="E13" s="16" t="n">
        <v>16</v>
      </c>
      <c r="F13" s="16" t="n">
        <v>16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>
        <v>16</v>
      </c>
      <c r="F14" s="16" t="n">
        <v>16</v>
      </c>
    </row>
    <row r="15">
      <c r="A15" s="17" t="inlineStr">
        <is>
          <t>Anlægsaktiver</t>
        </is>
      </c>
      <c r="B15" s="16" t="n">
        <v>1290</v>
      </c>
      <c r="C15" s="16" t="n">
        <v>1249</v>
      </c>
      <c r="D15" s="16" t="n">
        <v>1266</v>
      </c>
      <c r="E15" s="16" t="n">
        <v>1418</v>
      </c>
      <c r="F15" s="16" t="n">
        <v>1017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7275</v>
      </c>
      <c r="C18" s="16" t="n">
        <v>7817</v>
      </c>
      <c r="D18" s="16" t="n">
        <v>6654</v>
      </c>
      <c r="E18" s="16" t="n">
        <v>5182</v>
      </c>
      <c r="F18" s="16" t="n">
        <v>4359</v>
      </c>
    </row>
    <row r="19">
      <c r="A19" s="17" t="inlineStr">
        <is>
          <t>Varebeholdninger</t>
        </is>
      </c>
      <c r="B19" s="16" t="n">
        <v>7275</v>
      </c>
      <c r="C19" s="16" t="n">
        <v>7817</v>
      </c>
      <c r="D19" s="16" t="n">
        <v>6654</v>
      </c>
      <c r="E19" s="16" t="n">
        <v>5182</v>
      </c>
      <c r="F19" s="16" t="n">
        <v>4359</v>
      </c>
    </row>
    <row r="20">
      <c r="A20" s="15" t="inlineStr">
        <is>
          <t>Tilgodehavender fra salg og tjenesteydelser</t>
        </is>
      </c>
      <c r="B20" s="16" t="n"/>
      <c r="C20" s="16" t="n">
        <v>27</v>
      </c>
      <c r="D20" s="16" t="n">
        <v>53</v>
      </c>
      <c r="E20" s="16" t="n">
        <v>537</v>
      </c>
      <c r="F20" s="16" t="n">
        <v>791</v>
      </c>
    </row>
    <row r="21">
      <c r="A21" s="15" t="inlineStr">
        <is>
          <t>Tilgodehavender hos tilknyttede virksomheder</t>
        </is>
      </c>
      <c r="B21" s="16" t="n">
        <v>161</v>
      </c>
      <c r="C21" s="16" t="n">
        <v>969</v>
      </c>
      <c r="D21" s="16" t="n">
        <v>40</v>
      </c>
      <c r="E21" s="16" t="n">
        <v>822</v>
      </c>
      <c r="F21" s="16" t="n">
        <v>267</v>
      </c>
    </row>
    <row r="22">
      <c r="A22" s="15" t="inlineStr">
        <is>
          <t>Andre tilgodehavender</t>
        </is>
      </c>
      <c r="B22" s="16" t="n">
        <v>313</v>
      </c>
      <c r="C22" s="16" t="n">
        <v>152</v>
      </c>
      <c r="D22" s="16" t="n">
        <v>195</v>
      </c>
      <c r="E22" s="16" t="n">
        <v>3</v>
      </c>
      <c r="F22" s="16" t="n">
        <v>29</v>
      </c>
    </row>
    <row r="23">
      <c r="A23" s="15" t="inlineStr">
        <is>
          <t>Periodeafgrænsningsposter (aktiver)</t>
        </is>
      </c>
      <c r="B23" s="16" t="n"/>
      <c r="C23" s="16" t="n"/>
      <c r="D23" s="16" t="n">
        <v>57</v>
      </c>
      <c r="E23" s="16" t="n">
        <v>81</v>
      </c>
      <c r="F23" s="16" t="n">
        <v>65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>
        <v>809</v>
      </c>
      <c r="C25" s="16" t="n">
        <v>961</v>
      </c>
      <c r="D25" s="16" t="n">
        <v>1142</v>
      </c>
      <c r="E25" s="16" t="n">
        <v>1219</v>
      </c>
      <c r="F25" s="16" t="n">
        <v>451</v>
      </c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1283</v>
      </c>
      <c r="C27" s="16" t="n">
        <v>2109</v>
      </c>
      <c r="D27" s="16" t="n">
        <v>1487</v>
      </c>
      <c r="E27" s="16" t="n">
        <v>2662</v>
      </c>
      <c r="F27" s="16" t="n">
        <v>1603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/>
      <c r="C29" s="16" t="n"/>
      <c r="D29" s="16" t="n"/>
      <c r="E29" s="16" t="n"/>
      <c r="F29" s="16" t="n"/>
    </row>
    <row r="30">
      <c r="A30" s="17" t="inlineStr">
        <is>
          <t>Omsætningsaktiver</t>
        </is>
      </c>
      <c r="B30" s="16" t="n">
        <v>8557</v>
      </c>
      <c r="C30" s="16" t="n">
        <v>9926</v>
      </c>
      <c r="D30" s="16" t="n">
        <v>8141</v>
      </c>
      <c r="E30" s="16" t="n">
        <v>7844</v>
      </c>
      <c r="F30" s="16" t="n">
        <v>5962</v>
      </c>
    </row>
    <row r="31">
      <c r="A31" s="17" t="inlineStr">
        <is>
          <t>Aktiver</t>
        </is>
      </c>
      <c r="B31" s="16" t="n">
        <v>9847</v>
      </c>
      <c r="C31" s="16" t="n">
        <v>11175</v>
      </c>
      <c r="D31" s="16" t="n">
        <v>9407</v>
      </c>
      <c r="E31" s="16" t="n">
        <v>9262</v>
      </c>
      <c r="F31" s="16" t="n">
        <v>6979</v>
      </c>
    </row>
    <row r="32">
      <c r="A32" s="15" t="inlineStr">
        <is>
          <t>Selskabskapital</t>
        </is>
      </c>
      <c r="B32" s="16" t="n">
        <v>200</v>
      </c>
      <c r="C32" s="16" t="n">
        <v>200</v>
      </c>
      <c r="D32" s="16" t="n">
        <v>200</v>
      </c>
      <c r="E32" s="16" t="n">
        <v>200</v>
      </c>
      <c r="F32" s="16" t="n">
        <v>200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947</v>
      </c>
      <c r="C34" s="16" t="n">
        <v>920</v>
      </c>
      <c r="D34" s="16" t="n">
        <v>948</v>
      </c>
      <c r="E34" s="16" t="n">
        <v>1070</v>
      </c>
      <c r="F34" s="16" t="n">
        <v>772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-3429</v>
      </c>
      <c r="C37" s="16" t="n">
        <v>-6805</v>
      </c>
      <c r="D37" s="16" t="n">
        <v>-11038</v>
      </c>
      <c r="E37" s="16" t="n">
        <v>-15210</v>
      </c>
      <c r="F37" s="16" t="n">
        <v>-16805</v>
      </c>
    </row>
    <row r="38">
      <c r="A38" s="17" t="inlineStr">
        <is>
          <t>Egenkapital i alt</t>
        </is>
      </c>
      <c r="B38" s="16" t="n">
        <v>-2282</v>
      </c>
      <c r="C38" s="16" t="n">
        <v>-5685</v>
      </c>
      <c r="D38" s="16" t="n">
        <v>-9890</v>
      </c>
      <c r="E38" s="16" t="n">
        <v>-13940</v>
      </c>
      <c r="F38" s="16" t="n">
        <v>-15833</v>
      </c>
    </row>
    <row r="39">
      <c r="A39" s="15" t="inlineStr">
        <is>
          <t>Hensættelse til udskudt skat</t>
        </is>
      </c>
      <c r="B39" s="16" t="n">
        <v>241</v>
      </c>
      <c r="C39" s="16" t="n">
        <v>236</v>
      </c>
      <c r="D39" s="16" t="n">
        <v>218</v>
      </c>
      <c r="E39" s="16" t="n">
        <v>295</v>
      </c>
      <c r="F39" s="16" t="n">
        <v>208</v>
      </c>
    </row>
    <row r="40">
      <c r="A40" s="17" t="inlineStr">
        <is>
          <t>Hensatte forpligtelser</t>
        </is>
      </c>
      <c r="B40" s="16" t="n">
        <v>241</v>
      </c>
      <c r="C40" s="16" t="n">
        <v>236</v>
      </c>
      <c r="D40" s="16" t="n">
        <v>218</v>
      </c>
      <c r="E40" s="16" t="n">
        <v>295</v>
      </c>
      <c r="F40" s="16" t="n">
        <v>208</v>
      </c>
    </row>
    <row r="41">
      <c r="A41" s="17" t="inlineStr">
        <is>
          <t>Langfristede gældsforpligtelser</t>
        </is>
      </c>
      <c r="B41" s="16" t="n">
        <v>209</v>
      </c>
      <c r="C41" s="16" t="n">
        <v>214</v>
      </c>
      <c r="D41" s="16" t="n">
        <v>222</v>
      </c>
      <c r="E41" s="16" t="n">
        <v>229</v>
      </c>
      <c r="F41" s="16" t="n">
        <v>238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Kreditinstitutter</t>
        </is>
      </c>
      <c r="B44" s="16" t="n">
        <v>90</v>
      </c>
      <c r="C44" s="16" t="n">
        <v>583</v>
      </c>
      <c r="D44" s="16" t="n">
        <v>357</v>
      </c>
      <c r="E44" s="16" t="n">
        <v>425</v>
      </c>
      <c r="F44" s="16" t="n">
        <v>0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1459</v>
      </c>
      <c r="C46" s="16" t="n">
        <v>1055</v>
      </c>
      <c r="D46" s="16" t="n">
        <v>791</v>
      </c>
      <c r="E46" s="16" t="n">
        <v>1009</v>
      </c>
      <c r="F46" s="16" t="n">
        <v>425</v>
      </c>
    </row>
    <row r="47">
      <c r="A47" s="15" t="inlineStr">
        <is>
          <t>Gæld til tilknyttede virksomheder</t>
        </is>
      </c>
      <c r="B47" s="16" t="n">
        <v>8156</v>
      </c>
      <c r="C47" s="16" t="n">
        <v>12101</v>
      </c>
      <c r="D47" s="16" t="n">
        <v>17351</v>
      </c>
      <c r="E47" s="16" t="n">
        <v>20889</v>
      </c>
      <c r="F47" s="16" t="n">
        <v>21475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1974</v>
      </c>
      <c r="C51" s="16" t="n">
        <v>2672</v>
      </c>
      <c r="D51" s="16" t="n">
        <v>359</v>
      </c>
      <c r="E51" s="16" t="n">
        <v>355</v>
      </c>
      <c r="F51" s="16" t="n">
        <v>466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  <c r="F52" s="16" t="n"/>
    </row>
    <row r="53">
      <c r="A53" s="17" t="inlineStr">
        <is>
          <t>Kortfristede gældsforpligtelser</t>
        </is>
      </c>
      <c r="B53" s="16" t="n">
        <v>11679</v>
      </c>
      <c r="C53" s="16" t="n">
        <v>16411</v>
      </c>
      <c r="D53" s="16" t="n">
        <v>18857</v>
      </c>
      <c r="E53" s="16" t="n">
        <v>22677</v>
      </c>
      <c r="F53" s="16" t="n">
        <v>22366</v>
      </c>
    </row>
    <row r="54">
      <c r="A54" s="17" t="inlineStr">
        <is>
          <t>Gældsforpligtelser</t>
        </is>
      </c>
      <c r="B54" s="16" t="n">
        <v>11888</v>
      </c>
      <c r="C54" s="16" t="n">
        <v>16625</v>
      </c>
      <c r="D54" s="16" t="n">
        <v>19079</v>
      </c>
      <c r="E54" s="16" t="n">
        <v>22907</v>
      </c>
      <c r="F54" s="16" t="n">
        <v>22604</v>
      </c>
    </row>
    <row r="55">
      <c r="A55" s="17" t="inlineStr">
        <is>
          <t>Passiver</t>
        </is>
      </c>
      <c r="B55" s="16" t="n">
        <v>9847</v>
      </c>
      <c r="C55" s="16" t="n">
        <v>11175</v>
      </c>
      <c r="D55" s="16" t="n">
        <v>9407</v>
      </c>
      <c r="E55" s="16" t="n">
        <v>9262</v>
      </c>
      <c r="F55" s="16" t="n">
        <v>6979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Sindico E-commerce ApS (CVR 33962606) — Regnskabs- og nøgletal (CVR: 33962606)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'res_raw_33962606'!$F$2</f>
        <v/>
      </c>
      <c r="C5" s="24">
        <f>'res_raw_33962606'!$E$2</f>
        <v/>
      </c>
      <c r="D5" s="24">
        <f>'res_raw_33962606'!$D$2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'res_raw_33962606'!$F$3</f>
        <v/>
      </c>
      <c r="C6" s="24">
        <f>'res_raw_33962606'!$E$3</f>
        <v/>
      </c>
      <c r="D6" s="24">
        <f>'res_raw_33962606'!$D$3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-'res_raw_33962606'!$F$4</f>
        <v/>
      </c>
      <c r="C7" s="24">
        <f>-'res_raw_33962606'!$E$4</f>
        <v/>
      </c>
      <c r="D7" s="24">
        <f>-'res_raw_33962606'!$D$4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-'res_raw_33962606'!$F$5</f>
        <v/>
      </c>
      <c r="C8" s="24">
        <f>-'res_raw_33962606'!$E$5</f>
        <v/>
      </c>
      <c r="D8" s="24">
        <f>-'res_raw_33962606'!$D$5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IF(ABS((SUM(B5:B8))-'res_raw_33962606'!$F$6)&lt;=2,SUM(B5:B8),'res_raw_33962606'!$F$6)</f>
        <v/>
      </c>
      <c r="C9" s="27">
        <f>IF(ABS((SUM(C5:C8))-'res_raw_33962606'!$E$6)&lt;=2,SUM(C5:C8),'res_raw_33962606'!$E$6)</f>
        <v/>
      </c>
      <c r="D9" s="27">
        <f>IF(ABS((SUM(D5:D8))-'res_raw_33962606'!$D$6)&lt;=2,SUM(D5:D8),'res_raw_33962606'!$D$6)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-'res_raw_33962606'!$F$7</f>
        <v/>
      </c>
      <c r="C10" s="24">
        <f>-'res_raw_33962606'!$E$7</f>
        <v/>
      </c>
      <c r="D10" s="24">
        <f>-'res_raw_33962606'!$D$7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-'res_raw_33962606'!$F$9</f>
        <v/>
      </c>
      <c r="C11" s="24">
        <f>-'res_raw_33962606'!$E$9</f>
        <v/>
      </c>
      <c r="D11" s="24">
        <f>-'res_raw_33962606'!$D$9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-'res_raw_33962606'!$F$10</f>
        <v/>
      </c>
      <c r="C12" s="24">
        <f>-'res_raw_33962606'!$E$10</f>
        <v/>
      </c>
      <c r="D12" s="24">
        <f>-'res_raw_33962606'!$D$10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IF(ABS((SUM(B9:B12))-'res_raw_33962606'!$F$11)&lt;=2,SUM(B9:B12),'res_raw_33962606'!$F$11)</f>
        <v/>
      </c>
      <c r="C13" s="27">
        <f>IF(ABS((SUM(C9:C12))-'res_raw_33962606'!$E$11)&lt;=2,SUM(C9:C12),'res_raw_33962606'!$E$11)</f>
        <v/>
      </c>
      <c r="D13" s="27">
        <f>IF(ABS((SUM(D9:D12))-'res_raw_33962606'!$D$11)&lt;=2,SUM(D9:D12),'res_raw_33962606'!$D$11)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N('res_raw_33962606'!$F$12)+N('res_raw_33962606'!$F$13)</f>
        <v/>
      </c>
      <c r="C14" s="24">
        <f>N('res_raw_33962606'!$E$12)+N('res_raw_33962606'!$E$13)</f>
        <v/>
      </c>
      <c r="D14" s="24">
        <f>N('res_raw_33962606'!$D$12)+N('res_raw_33962606'!$D$13)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-'res_raw_33962606'!$F$14</f>
        <v/>
      </c>
      <c r="C15" s="24">
        <f>-'res_raw_33962606'!$E$14</f>
        <v/>
      </c>
      <c r="D15" s="24">
        <f>-'res_raw_33962606'!$D$14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IF(ABS((SUM(B13:B15))-'res_raw_33962606'!$F$16)&lt;=2,SUM(B13:B15),'res_raw_33962606'!$F$16)</f>
        <v/>
      </c>
      <c r="C16" s="27">
        <f>IF(ABS((SUM(C13:C15))-'res_raw_33962606'!$E$16)&lt;=2,SUM(C13:C15),'res_raw_33962606'!$E$16)</f>
        <v/>
      </c>
      <c r="D16" s="27">
        <f>IF(ABS((SUM(D13:D15))-'res_raw_33962606'!$D$16)&lt;=2,SUM(D13:D15),'res_raw_33962606'!$D$16)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'balance_raw_33962606'!$F$15</f>
        <v/>
      </c>
      <c r="C19" s="24">
        <f>'balance_raw_33962606'!$E$15</f>
        <v/>
      </c>
      <c r="D19" s="24">
        <f>'balance_raw_33962606'!$D$15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'balance_raw_33962606'!$F$30</f>
        <v/>
      </c>
      <c r="C20" s="24">
        <f>'balance_raw_33962606'!$E$30</f>
        <v/>
      </c>
      <c r="D20" s="24">
        <f>'balance_raw_33962606'!$D$30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'balance_raw_33962606'!$F$38</f>
        <v/>
      </c>
      <c r="C23" s="24">
        <f>'balance_raw_33962606'!$E$38</f>
        <v/>
      </c>
      <c r="D23" s="24">
        <f>'balance_raw_33962606'!$D$38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'balance_raw_33962606'!$F$55-'balance_raw_33962606'!$F$38</f>
        <v/>
      </c>
      <c r="C24" s="24">
        <f>'balance_raw_33962606'!$E$55-'balance_raw_33962606'!$E$38</f>
        <v/>
      </c>
      <c r="D24" s="24">
        <f>'balance_raw_33962606'!$D$55-'balance_raw_33962606'!$D$38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'balance_raw_33962606'!$F$19</f>
        <v/>
      </c>
      <c r="C28" s="24">
        <f>'balance_raw_33962606'!$E$19</f>
        <v/>
      </c>
      <c r="D28" s="24">
        <f>'balance_raw_33962606'!$D$19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'balance_raw_33962606'!$F$20</f>
        <v/>
      </c>
      <c r="C29" s="24">
        <f>'balance_raw_33962606'!$E$20</f>
        <v/>
      </c>
      <c r="D29" s="24">
        <f>'balance_raw_33962606'!$D$20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'balance_raw_33962606'!$F$53</f>
        <v/>
      </c>
      <c r="C30" s="24">
        <f>'balance_raw_33962606'!$E$53</f>
        <v/>
      </c>
      <c r="D30" s="24">
        <f>'balance_raw_33962606'!$D$53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IF('balance_raw_33962606'!$F$31="","—",IF(ABS(B21-'balance_raw_33962606'!$F$31)&lt;=1,"✓ OK","❌ "&amp;TEXT(B21-'balance_raw_33962606'!$F$31,"+#,##0;-#,##0")&amp;" t.kr."))</f>
        <v/>
      </c>
      <c r="C61" s="29">
        <f>IF('balance_raw_33962606'!$E$31="","—",IF(ABS(C21-'balance_raw_33962606'!$E$31)&lt;=1,"✓ OK","❌ "&amp;TEXT(C21-'balance_raw_33962606'!$E$31,"+#,##0;-#,##0")&amp;" t.kr."))</f>
        <v/>
      </c>
      <c r="D61" s="29">
        <f>IF('balance_raw_33962606'!$D$31="","—",IF(ABS(D21-'balance_raw_33962606'!$D$31)&lt;=1,"✓ OK","❌ "&amp;TEXT(D21-'balance_raw_33962606'!$D$31,"+#,##0;-#,##0")&amp;"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IF('balance_raw_33962606'!$F$55="","—",IF(ABS(B25-'balance_raw_33962606'!$F$55)&lt;=1,"✓ OK","❌ "&amp;TEXT(B25-'balance_raw_33962606'!$F$55,"+#,##0;-#,##0")&amp;" t.kr."))</f>
        <v/>
      </c>
      <c r="C62" s="29">
        <f>IF('balance_raw_33962606'!$E$55="","—",IF(ABS(C25-'balance_raw_33962606'!$E$55)&lt;=1,"✓ OK","❌ "&amp;TEXT(C25-'balance_raw_33962606'!$E$55,"+#,##0;-#,##0")&amp;" t.kr."))</f>
        <v/>
      </c>
      <c r="D62" s="29">
        <f>IF('balance_raw_33962606'!$D$55="","—",IF(ABS(D25-'balance_raw_33962606'!$D$55)&lt;=1,"✓ OK","❌ "&amp;TEXT(D25-'balance_raw_33962606'!$D$55,"+#,##0;-#,##0")&amp;"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IF('res_raw_33962606'!$F$6="","—",IF(ABS(B9-'res_raw_33962606'!$F$6)&lt;=1,"✓ OK","❌ "&amp;TEXT(B9-'res_raw_33962606'!$F$6,"+#,##0;-#,##0")&amp;" t.kr."))</f>
        <v/>
      </c>
      <c r="C64" s="29">
        <f>IF('res_raw_33962606'!$E$6="","—",IF(ABS(C9-'res_raw_33962606'!$E$6)&lt;=1,"✓ OK","❌ "&amp;TEXT(C9-'res_raw_33962606'!$E$6,"+#,##0;-#,##0")&amp;" t.kr."))</f>
        <v/>
      </c>
      <c r="D64" s="29">
        <f>IF('res_raw_33962606'!$D$6="","—",IF(ABS(D9-'res_raw_33962606'!$D$6)&lt;=1,"✓ OK","❌ "&amp;TEXT(D9-'res_raw_33962606'!$D$6,"+#,##0;-#,##0")&amp;"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IF('res_raw_33962606'!$F$11="","—",IF(ABS(B13-'res_raw_33962606'!$F$11)&lt;=1,"✓ OK","❌ "&amp;TEXT(B13-'res_raw_33962606'!$F$11,"+#,##0;-#,##0")&amp;" t.kr."))</f>
        <v/>
      </c>
      <c r="C65" s="29">
        <f>IF('res_raw_33962606'!$E$11="","—",IF(ABS(C13-'res_raw_33962606'!$E$11)&lt;=1,"✓ OK","❌ "&amp;TEXT(C13-'res_raw_33962606'!$E$11,"+#,##0;-#,##0")&amp;" t.kr."))</f>
        <v/>
      </c>
      <c r="D65" s="29">
        <f>IF('res_raw_33962606'!$D$11="","—",IF(ABS(D13-'res_raw_33962606'!$D$11)&lt;=1,"✓ OK","❌ "&amp;TEXT(D13-'res_raw_33962606'!$D$11,"+#,##0;-#,##0")&amp;"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IF('res_raw_33962606'!$F$16="","—",IF(ABS(B16-'res_raw_33962606'!$F$16)&lt;=1,"✓ OK","❌ "&amp;TEXT(B16-'res_raw_33962606'!$F$16,"+#,##0;-#,##0")&amp;" t.kr."))</f>
        <v/>
      </c>
      <c r="C66" s="29">
        <f>IF('res_raw_33962606'!$E$16="","—",IF(ABS(C16-'res_raw_33962606'!$E$16)&lt;=1,"✓ OK","❌ "&amp;TEXT(C16-'res_raw_33962606'!$E$16,"+#,##0;-#,##0")&amp;" t.kr."))</f>
        <v/>
      </c>
      <c r="D66" s="29">
        <f>IF('res_raw_33962606'!$D$16="","—",IF(ABS(D16-'res_raw_33962606'!$D$16)&lt;=1,"✓ OK","❌ "&amp;TEXT(D16-'res_raw_33962606'!$D$16,"+#,##0;-#,##0")&amp;"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Sindico E-commerce ApS (CVR 33962606)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fsa:FinanceExpensesArisingFromGroupEnterprises</t>
        </is>
      </c>
      <c r="C3" s="34" t="inlineStr">
        <is>
          <t>fsa:FinanceExpensesArisingFromGroupEnterprises</t>
        </is>
      </c>
      <c r="D3" s="35" t="n">
        <v>35</v>
      </c>
      <c r="E3" s="35" t="n">
        <v>240</v>
      </c>
      <c r="F3" s="35" t="n">
        <v>603</v>
      </c>
      <c r="G3" s="35" t="n">
        <v>725</v>
      </c>
      <c r="H3" s="35" t="n">
        <v>577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2026-10-02T21:14:44Z</dcterms:created>
  <dcterms:modified xmlns:dcterms="http://purl.org/dc/terms/" xmlns:xsi="http://www.w3.org/2001/XMLSchema-instance" xsi:type="dcterms:W3CDTF">2026-10-02T21:14:44Z</dcterms:modified>
</cp:coreProperties>
</file>