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549744" sheetId="1" state="visible" r:id="rId1"/>
    <sheet xmlns:r="http://schemas.openxmlformats.org/officeDocument/2006/relationships" name="res_raw_10549744" sheetId="2" state="visible" r:id="rId2"/>
    <sheet xmlns:r="http://schemas.openxmlformats.org/officeDocument/2006/relationships" name="balance_raw_1054974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General Logistics Systems Denmark A/S (CVR 10549744) — Regnskabsanalyse – Resultatopgørelse &amp; Balance (t.EUR) · Klasse C-stor · Revision · Regnskabsår 1/4–31/3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(2022=100)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s="3" t="n">
        <v>2026</v>
      </c>
      <c r="G3" t="inlineStr"/>
      <c r="H3" s="3" t="n">
        <v>2022</v>
      </c>
      <c r="I3" s="3" t="n">
        <v>2023</v>
      </c>
      <c r="J3" s="3" t="n">
        <v>2024</v>
      </c>
      <c r="K3" s="3" t="n">
        <v>2025</v>
      </c>
      <c r="L3" s="3" t="n">
        <v>2026</v>
      </c>
    </row>
    <row r="4" ht="16" customHeight="1">
      <c r="A4" s="4" t="inlineStr">
        <is>
          <t>Nettoomsætning</t>
        </is>
      </c>
      <c r="B4" s="5">
        <f>'res_raw_10549744'!$B$2</f>
        <v/>
      </c>
      <c r="C4" s="5">
        <f>'res_raw_10549744'!$C$2</f>
        <v/>
      </c>
      <c r="D4" s="5">
        <f>'res_raw_10549744'!$D$2</f>
        <v/>
      </c>
      <c r="E4" s="5">
        <f>'res_raw_10549744'!$E$2</f>
        <v/>
      </c>
      <c r="F4" s="5">
        <f>'res_raw_10549744'!$F$2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'res_raw_10549744'!$B$3</f>
        <v/>
      </c>
      <c r="C5" s="8">
        <f>'res_raw_10549744'!$C$3</f>
        <v/>
      </c>
      <c r="D5" s="8">
        <f>'res_raw_10549744'!$D$3</f>
        <v/>
      </c>
      <c r="E5" s="8">
        <f>'res_raw_10549744'!$E$3</f>
        <v/>
      </c>
      <c r="F5" s="8">
        <f>'res_raw_10549744'!$F$3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'res_raw_10549744'!$B$4</f>
        <v/>
      </c>
      <c r="C6" s="5">
        <f>'res_raw_10549744'!$C$4</f>
        <v/>
      </c>
      <c r="D6" s="5">
        <f>'res_raw_10549744'!$D$4</f>
        <v/>
      </c>
      <c r="E6" s="5">
        <f>'res_raw_10549744'!$E$4</f>
        <v/>
      </c>
      <c r="F6" s="5">
        <f>'res_raw_10549744'!$F$4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'res_raw_10549744'!$B$5</f>
        <v/>
      </c>
      <c r="C7" s="8">
        <f>'res_raw_10549744'!$C$5</f>
        <v/>
      </c>
      <c r="D7" s="8">
        <f>'res_raw_10549744'!$D$5</f>
        <v/>
      </c>
      <c r="E7" s="8">
        <f>'res_raw_10549744'!$E$5</f>
        <v/>
      </c>
      <c r="F7" s="8">
        <f>'res_raw_10549744'!$F$5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'res_raw_10549744'!$B$6</f>
        <v/>
      </c>
      <c r="C8" s="11">
        <f>'res_raw_10549744'!$C$6</f>
        <v/>
      </c>
      <c r="D8" s="11">
        <f>'res_raw_10549744'!$D$6</f>
        <v/>
      </c>
      <c r="E8" s="11">
        <f>'res_raw_10549744'!$E$6</f>
        <v/>
      </c>
      <c r="F8" s="11">
        <f>'res_raw_10549744'!$F$6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'res_raw_10549744'!$B$7</f>
        <v/>
      </c>
      <c r="C9" s="8">
        <f>'res_raw_10549744'!$C$7</f>
        <v/>
      </c>
      <c r="D9" s="8">
        <f>'res_raw_10549744'!$D$7</f>
        <v/>
      </c>
      <c r="E9" s="8">
        <f>'res_raw_10549744'!$E$7</f>
        <v/>
      </c>
      <c r="F9" s="8">
        <f>'res_raw_10549744'!$F$7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'res_raw_10549744'!$B$9</f>
        <v/>
      </c>
      <c r="C11" s="8">
        <f>'res_raw_10549744'!$C$9</f>
        <v/>
      </c>
      <c r="D11" s="8">
        <f>'res_raw_10549744'!$D$9</f>
        <v/>
      </c>
      <c r="E11" s="8">
        <f>'res_raw_10549744'!$E$9</f>
        <v/>
      </c>
      <c r="F11" s="8">
        <f>'res_raw_10549744'!$F$9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'res_raw_10549744'!$B$10</f>
        <v/>
      </c>
      <c r="C12" s="5">
        <f>'res_raw_10549744'!$C$10</f>
        <v/>
      </c>
      <c r="D12" s="5">
        <f>'res_raw_10549744'!$D$10</f>
        <v/>
      </c>
      <c r="E12" s="5">
        <f>'res_raw_10549744'!$E$10</f>
        <v/>
      </c>
      <c r="F12" s="5">
        <f>'res_raw_10549744'!$F$10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'res_raw_10549744'!$B$11</f>
        <v/>
      </c>
      <c r="C13" s="11">
        <f>'res_raw_10549744'!$C$11</f>
        <v/>
      </c>
      <c r="D13" s="11">
        <f>'res_raw_10549744'!$D$11</f>
        <v/>
      </c>
      <c r="E13" s="11">
        <f>'res_raw_10549744'!$E$11</f>
        <v/>
      </c>
      <c r="F13" s="11">
        <f>'res_raw_10549744'!$F$11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'res_raw_10549744'!$B$12</f>
        <v/>
      </c>
      <c r="C14" s="5">
        <f>'res_raw_10549744'!$C$12</f>
        <v/>
      </c>
      <c r="D14" s="5">
        <f>'res_raw_10549744'!$D$12</f>
        <v/>
      </c>
      <c r="E14" s="5">
        <f>'res_raw_10549744'!$E$12</f>
        <v/>
      </c>
      <c r="F14" s="5">
        <f>'res_raw_10549744'!$F$12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'res_raw_10549744'!$B$13</f>
        <v/>
      </c>
      <c r="C15" s="8">
        <f>'res_raw_10549744'!$C$13</f>
        <v/>
      </c>
      <c r="D15" s="8">
        <f>'res_raw_10549744'!$D$13</f>
        <v/>
      </c>
      <c r="E15" s="8">
        <f>'res_raw_10549744'!$E$13</f>
        <v/>
      </c>
      <c r="F15" s="8">
        <f>'res_raw_10549744'!$F$13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'res_raw_10549744'!$B$14</f>
        <v/>
      </c>
      <c r="C16" s="5">
        <f>'res_raw_10549744'!$C$14</f>
        <v/>
      </c>
      <c r="D16" s="5">
        <f>'res_raw_10549744'!$D$14</f>
        <v/>
      </c>
      <c r="E16" s="5">
        <f>'res_raw_10549744'!$E$14</f>
        <v/>
      </c>
      <c r="F16" s="5">
        <f>'res_raw_10549744'!$F$14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'res_raw_10549744'!$B$15</f>
        <v/>
      </c>
      <c r="C17" s="11">
        <f>'res_raw_10549744'!$C$15</f>
        <v/>
      </c>
      <c r="D17" s="11">
        <f>'res_raw_10549744'!$D$15</f>
        <v/>
      </c>
      <c r="E17" s="11">
        <f>'res_raw_10549744'!$E$15</f>
        <v/>
      </c>
      <c r="F17" s="11">
        <f>'res_raw_10549744'!$F$15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'res_raw_10549744'!$B$16</f>
        <v/>
      </c>
      <c r="C18" s="11">
        <f>'res_raw_10549744'!$C$16</f>
        <v/>
      </c>
      <c r="D18" s="11">
        <f>'res_raw_10549744'!$D$16</f>
        <v/>
      </c>
      <c r="E18" s="11">
        <f>'res_raw_10549744'!$E$16</f>
        <v/>
      </c>
      <c r="F18" s="11">
        <f>'res_raw_10549744'!$F$16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'res_raw_10549744'!$B$17</f>
        <v/>
      </c>
      <c r="C19" s="8">
        <f>'res_raw_10549744'!$C$17</f>
        <v/>
      </c>
      <c r="D19" s="8">
        <f>'res_raw_10549744'!$D$17</f>
        <v/>
      </c>
      <c r="E19" s="8">
        <f>'res_raw_10549744'!$E$17</f>
        <v/>
      </c>
      <c r="F19" s="8">
        <f>'res_raw_10549744'!$F$17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'res_raw_10549744'!$B$18</f>
        <v/>
      </c>
      <c r="C20" s="11">
        <f>'res_raw_10549744'!$C$18</f>
        <v/>
      </c>
      <c r="D20" s="11">
        <f>'res_raw_10549744'!$D$18</f>
        <v/>
      </c>
      <c r="E20" s="11">
        <f>'res_raw_10549744'!$E$18</f>
        <v/>
      </c>
      <c r="F20" s="11">
        <f>'res_raw_10549744'!$F$18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t.EUR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s="3" t="n">
        <v>2026</v>
      </c>
      <c r="G22" t="inlineStr"/>
      <c r="H22" s="3" t="n">
        <v>2022</v>
      </c>
      <c r="I22" s="3" t="n">
        <v>2023</v>
      </c>
      <c r="J22" s="3" t="n">
        <v>2024</v>
      </c>
      <c r="K22" s="3" t="n">
        <v>2025</v>
      </c>
      <c r="L22" s="3" t="n">
        <v>2026</v>
      </c>
    </row>
    <row r="23" ht="16" customHeight="1">
      <c r="A23" s="7" t="inlineStr">
        <is>
          <t>Udviklingsprojekter</t>
        </is>
      </c>
      <c r="B23" s="8">
        <f>'balance_raw_10549744'!$B$2</f>
        <v/>
      </c>
      <c r="C23" s="8">
        <f>'balance_raw_10549744'!$C$2</f>
        <v/>
      </c>
      <c r="D23" s="8">
        <f>'balance_raw_10549744'!$D$2</f>
        <v/>
      </c>
      <c r="E23" s="8">
        <f>'balance_raw_10549744'!$E$2</f>
        <v/>
      </c>
      <c r="F23" s="8">
        <f>'balance_raw_10549744'!$F$2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'balance_raw_10549744'!$B$3</f>
        <v/>
      </c>
      <c r="C24" s="5">
        <f>'balance_raw_10549744'!$C$3</f>
        <v/>
      </c>
      <c r="D24" s="5">
        <f>'balance_raw_10549744'!$D$3</f>
        <v/>
      </c>
      <c r="E24" s="5">
        <f>'balance_raw_10549744'!$E$3</f>
        <v/>
      </c>
      <c r="F24" s="5">
        <f>'balance_raw_10549744'!$F$3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'balance_raw_10549744'!$B$4</f>
        <v/>
      </c>
      <c r="C25" s="8">
        <f>'balance_raw_10549744'!$C$4</f>
        <v/>
      </c>
      <c r="D25" s="8">
        <f>'balance_raw_10549744'!$D$4</f>
        <v/>
      </c>
      <c r="E25" s="8">
        <f>'balance_raw_10549744'!$E$4</f>
        <v/>
      </c>
      <c r="F25" s="8">
        <f>'balance_raw_10549744'!$F$4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'balance_raw_10549744'!$B$5</f>
        <v/>
      </c>
      <c r="C26" s="11">
        <f>'balance_raw_10549744'!$C$5</f>
        <v/>
      </c>
      <c r="D26" s="11">
        <f>'balance_raw_10549744'!$D$5</f>
        <v/>
      </c>
      <c r="E26" s="11">
        <f>'balance_raw_10549744'!$E$5</f>
        <v/>
      </c>
      <c r="F26" s="11">
        <f>'balance_raw_10549744'!$F$5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'balance_raw_10549744'!$B$6</f>
        <v/>
      </c>
      <c r="C27" s="8">
        <f>'balance_raw_10549744'!$C$6</f>
        <v/>
      </c>
      <c r="D27" s="8">
        <f>'balance_raw_10549744'!$D$6</f>
        <v/>
      </c>
      <c r="E27" s="8">
        <f>'balance_raw_10549744'!$E$6</f>
        <v/>
      </c>
      <c r="F27" s="8">
        <f>'balance_raw_10549744'!$F$6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'balance_raw_10549744'!$B$7</f>
        <v/>
      </c>
      <c r="C28" s="5">
        <f>'balance_raw_10549744'!$C$7</f>
        <v/>
      </c>
      <c r="D28" s="5">
        <f>'balance_raw_10549744'!$D$7</f>
        <v/>
      </c>
      <c r="E28" s="5">
        <f>'balance_raw_10549744'!$E$7</f>
        <v/>
      </c>
      <c r="F28" s="5">
        <f>'balance_raw_10549744'!$F$7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'balance_raw_10549744'!$B$8</f>
        <v/>
      </c>
      <c r="C29" s="8">
        <f>'balance_raw_10549744'!$C$8</f>
        <v/>
      </c>
      <c r="D29" s="8">
        <f>'balance_raw_10549744'!$D$8</f>
        <v/>
      </c>
      <c r="E29" s="8">
        <f>'balance_raw_10549744'!$E$8</f>
        <v/>
      </c>
      <c r="F29" s="8">
        <f>'balance_raw_10549744'!$F$8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'balance_raw_10549744'!$B$9</f>
        <v/>
      </c>
      <c r="C30" s="5">
        <f>'balance_raw_10549744'!$C$9</f>
        <v/>
      </c>
      <c r="D30" s="5">
        <f>'balance_raw_10549744'!$D$9</f>
        <v/>
      </c>
      <c r="E30" s="5">
        <f>'balance_raw_10549744'!$E$9</f>
        <v/>
      </c>
      <c r="F30" s="5">
        <f>'balance_raw_10549744'!$F$9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'balance_raw_10549744'!$B$10</f>
        <v/>
      </c>
      <c r="C31" s="8">
        <f>'balance_raw_10549744'!$C$10</f>
        <v/>
      </c>
      <c r="D31" s="8">
        <f>'balance_raw_10549744'!$D$10</f>
        <v/>
      </c>
      <c r="E31" s="8">
        <f>'balance_raw_10549744'!$E$10</f>
        <v/>
      </c>
      <c r="F31" s="8">
        <f>'balance_raw_10549744'!$F$10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'balance_raw_10549744'!$B$11</f>
        <v/>
      </c>
      <c r="C32" s="11">
        <f>'balance_raw_10549744'!$C$11</f>
        <v/>
      </c>
      <c r="D32" s="11">
        <f>'balance_raw_10549744'!$D$11</f>
        <v/>
      </c>
      <c r="E32" s="11">
        <f>'balance_raw_10549744'!$E$11</f>
        <v/>
      </c>
      <c r="F32" s="11">
        <f>'balance_raw_10549744'!$F$11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'balance_raw_10549744'!$B$12</f>
        <v/>
      </c>
      <c r="C33" s="8">
        <f>'balance_raw_10549744'!$C$12</f>
        <v/>
      </c>
      <c r="D33" s="8">
        <f>'balance_raw_10549744'!$D$12</f>
        <v/>
      </c>
      <c r="E33" s="8">
        <f>'balance_raw_10549744'!$E$12</f>
        <v/>
      </c>
      <c r="F33" s="8">
        <f>'balance_raw_10549744'!$F$12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'balance_raw_10549744'!$B$13</f>
        <v/>
      </c>
      <c r="C34" s="5">
        <f>'balance_raw_10549744'!$C$13</f>
        <v/>
      </c>
      <c r="D34" s="5">
        <f>'balance_raw_10549744'!$D$13</f>
        <v/>
      </c>
      <c r="E34" s="5">
        <f>'balance_raw_10549744'!$E$13</f>
        <v/>
      </c>
      <c r="F34" s="5">
        <f>'balance_raw_10549744'!$F$13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'balance_raw_10549744'!$B$14</f>
        <v/>
      </c>
      <c r="C35" s="11">
        <f>'balance_raw_10549744'!$C$14</f>
        <v/>
      </c>
      <c r="D35" s="11">
        <f>'balance_raw_10549744'!$D$14</f>
        <v/>
      </c>
      <c r="E35" s="11">
        <f>'balance_raw_10549744'!$E$14</f>
        <v/>
      </c>
      <c r="F35" s="11">
        <f>'balance_raw_10549744'!$F$14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'balance_raw_10549744'!$B$15</f>
        <v/>
      </c>
      <c r="C36" s="11">
        <f>'balance_raw_10549744'!$C$15</f>
        <v/>
      </c>
      <c r="D36" s="11">
        <f>'balance_raw_10549744'!$D$15</f>
        <v/>
      </c>
      <c r="E36" s="11">
        <f>'balance_raw_10549744'!$E$15</f>
        <v/>
      </c>
      <c r="F36" s="11">
        <f>'balance_raw_10549744'!$F$15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'balance_raw_10549744'!$B$16</f>
        <v/>
      </c>
      <c r="C37" s="8">
        <f>'balance_raw_10549744'!$C$16</f>
        <v/>
      </c>
      <c r="D37" s="8">
        <f>'balance_raw_10549744'!$D$16</f>
        <v/>
      </c>
      <c r="E37" s="8">
        <f>'balance_raw_10549744'!$E$16</f>
        <v/>
      </c>
      <c r="F37" s="8">
        <f>'balance_raw_10549744'!$F$16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'balance_raw_10549744'!$B$17</f>
        <v/>
      </c>
      <c r="C38" s="5">
        <f>'balance_raw_10549744'!$C$17</f>
        <v/>
      </c>
      <c r="D38" s="5">
        <f>'balance_raw_10549744'!$D$17</f>
        <v/>
      </c>
      <c r="E38" s="5">
        <f>'balance_raw_10549744'!$E$17</f>
        <v/>
      </c>
      <c r="F38" s="5">
        <f>'balance_raw_10549744'!$F$17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'balance_raw_10549744'!$B$18</f>
        <v/>
      </c>
      <c r="C39" s="8">
        <f>'balance_raw_10549744'!$C$18</f>
        <v/>
      </c>
      <c r="D39" s="8">
        <f>'balance_raw_10549744'!$D$18</f>
        <v/>
      </c>
      <c r="E39" s="8">
        <f>'balance_raw_10549744'!$E$18</f>
        <v/>
      </c>
      <c r="F39" s="8">
        <f>'balance_raw_10549744'!$F$18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'balance_raw_10549744'!$B$19</f>
        <v/>
      </c>
      <c r="C40" s="5">
        <f>'balance_raw_10549744'!$C$19</f>
        <v/>
      </c>
      <c r="D40" s="5">
        <f>'balance_raw_10549744'!$D$19</f>
        <v/>
      </c>
      <c r="E40" s="5">
        <f>'balance_raw_10549744'!$E$19</f>
        <v/>
      </c>
      <c r="F40" s="5">
        <f>'balance_raw_10549744'!$F$19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'balance_raw_10549744'!$B$20</f>
        <v/>
      </c>
      <c r="C41" s="8">
        <f>'balance_raw_10549744'!$C$20</f>
        <v/>
      </c>
      <c r="D41" s="8">
        <f>'balance_raw_10549744'!$D$20</f>
        <v/>
      </c>
      <c r="E41" s="8">
        <f>'balance_raw_10549744'!$E$20</f>
        <v/>
      </c>
      <c r="F41" s="8">
        <f>'balance_raw_10549744'!$F$20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'balance_raw_10549744'!$B$21</f>
        <v/>
      </c>
      <c r="C42" s="5">
        <f>'balance_raw_10549744'!$C$21</f>
        <v/>
      </c>
      <c r="D42" s="5">
        <f>'balance_raw_10549744'!$D$21</f>
        <v/>
      </c>
      <c r="E42" s="5">
        <f>'balance_raw_10549744'!$E$21</f>
        <v/>
      </c>
      <c r="F42" s="5">
        <f>'balance_raw_10549744'!$F$21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'balance_raw_10549744'!$B$22</f>
        <v/>
      </c>
      <c r="C43" s="8">
        <f>'balance_raw_10549744'!$C$22</f>
        <v/>
      </c>
      <c r="D43" s="8">
        <f>'balance_raw_10549744'!$D$22</f>
        <v/>
      </c>
      <c r="E43" s="8">
        <f>'balance_raw_10549744'!$E$22</f>
        <v/>
      </c>
      <c r="F43" s="8">
        <f>'balance_raw_10549744'!$F$22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'balance_raw_10549744'!$B$23</f>
        <v/>
      </c>
      <c r="C44" s="11">
        <f>'balance_raw_10549744'!$C$23</f>
        <v/>
      </c>
      <c r="D44" s="11">
        <f>'balance_raw_10549744'!$D$23</f>
        <v/>
      </c>
      <c r="E44" s="11">
        <f>'balance_raw_10549744'!$E$23</f>
        <v/>
      </c>
      <c r="F44" s="11">
        <f>'balance_raw_10549744'!$F$23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'balance_raw_10549744'!$B$24</f>
        <v/>
      </c>
      <c r="C45" s="8">
        <f>'balance_raw_10549744'!$C$24</f>
        <v/>
      </c>
      <c r="D45" s="8">
        <f>'balance_raw_10549744'!$D$24</f>
        <v/>
      </c>
      <c r="E45" s="8">
        <f>'balance_raw_10549744'!$E$24</f>
        <v/>
      </c>
      <c r="F45" s="8">
        <f>'balance_raw_10549744'!$F$24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'balance_raw_10549744'!$B$25</f>
        <v/>
      </c>
      <c r="C46" s="5">
        <f>'balance_raw_10549744'!$C$25</f>
        <v/>
      </c>
      <c r="D46" s="5">
        <f>'balance_raw_10549744'!$D$25</f>
        <v/>
      </c>
      <c r="E46" s="5">
        <f>'balance_raw_10549744'!$E$25</f>
        <v/>
      </c>
      <c r="F46" s="5">
        <f>'balance_raw_10549744'!$F$25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'balance_raw_10549744'!$B$26</f>
        <v/>
      </c>
      <c r="C47" s="11">
        <f>'balance_raw_10549744'!$C$26</f>
        <v/>
      </c>
      <c r="D47" s="11">
        <f>'balance_raw_10549744'!$D$26</f>
        <v/>
      </c>
      <c r="E47" s="11">
        <f>'balance_raw_10549744'!$E$26</f>
        <v/>
      </c>
      <c r="F47" s="11">
        <f>'balance_raw_10549744'!$F$26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'balance_raw_10549744'!$B$27</f>
        <v/>
      </c>
      <c r="C48" s="11">
        <f>'balance_raw_10549744'!$C$27</f>
        <v/>
      </c>
      <c r="D48" s="11">
        <f>'balance_raw_10549744'!$D$27</f>
        <v/>
      </c>
      <c r="E48" s="11">
        <f>'balance_raw_10549744'!$E$27</f>
        <v/>
      </c>
      <c r="F48" s="11">
        <f>'balance_raw_10549744'!$F$27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t.EUR</t>
        </is>
      </c>
      <c r="B50" s="3" t="n">
        <v>2022</v>
      </c>
      <c r="C50" s="3" t="n">
        <v>2023</v>
      </c>
      <c r="D50" s="3" t="n">
        <v>2024</v>
      </c>
      <c r="E50" s="3" t="n">
        <v>2025</v>
      </c>
      <c r="F50" s="3" t="n">
        <v>2026</v>
      </c>
      <c r="G50" t="inlineStr"/>
      <c r="H50" s="3" t="n">
        <v>2022</v>
      </c>
      <c r="I50" s="3" t="n">
        <v>2023</v>
      </c>
      <c r="J50" s="3" t="n">
        <v>2024</v>
      </c>
      <c r="K50" s="3" t="n">
        <v>2025</v>
      </c>
      <c r="L50" s="3" t="n">
        <v>2026</v>
      </c>
    </row>
    <row r="51" ht="16" customHeight="1">
      <c r="A51" s="7" t="inlineStr">
        <is>
          <t>Selskabskapital</t>
        </is>
      </c>
      <c r="B51" s="8">
        <f>'balance_raw_10549744'!$B$28</f>
        <v/>
      </c>
      <c r="C51" s="8">
        <f>'balance_raw_10549744'!$C$28</f>
        <v/>
      </c>
      <c r="D51" s="8">
        <f>'balance_raw_10549744'!$D$28</f>
        <v/>
      </c>
      <c r="E51" s="8">
        <f>'balance_raw_10549744'!$E$28</f>
        <v/>
      </c>
      <c r="F51" s="8">
        <f>'balance_raw_10549744'!$F$28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'balance_raw_10549744'!$B$29</f>
        <v/>
      </c>
      <c r="C52" s="5">
        <f>'balance_raw_10549744'!$C$29</f>
        <v/>
      </c>
      <c r="D52" s="5">
        <f>'balance_raw_10549744'!$D$29</f>
        <v/>
      </c>
      <c r="E52" s="5">
        <f>'balance_raw_10549744'!$E$29</f>
        <v/>
      </c>
      <c r="F52" s="5">
        <f>'balance_raw_10549744'!$F$29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'balance_raw_10549744'!$B$30</f>
        <v/>
      </c>
      <c r="C53" s="8">
        <f>'balance_raw_10549744'!$C$30</f>
        <v/>
      </c>
      <c r="D53" s="8">
        <f>'balance_raw_10549744'!$D$30</f>
        <v/>
      </c>
      <c r="E53" s="8">
        <f>'balance_raw_10549744'!$E$30</f>
        <v/>
      </c>
      <c r="F53" s="8">
        <f>'balance_raw_10549744'!$F$30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'balance_raw_10549744'!$B$31</f>
        <v/>
      </c>
      <c r="C54" s="5">
        <f>'balance_raw_10549744'!$C$31</f>
        <v/>
      </c>
      <c r="D54" s="5">
        <f>'balance_raw_10549744'!$D$31</f>
        <v/>
      </c>
      <c r="E54" s="5">
        <f>'balance_raw_10549744'!$E$31</f>
        <v/>
      </c>
      <c r="F54" s="5">
        <f>'balance_raw_10549744'!$F$31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'balance_raw_10549744'!$B$32</f>
        <v/>
      </c>
      <c r="C55" s="8">
        <f>'balance_raw_10549744'!$C$32</f>
        <v/>
      </c>
      <c r="D55" s="8">
        <f>'balance_raw_10549744'!$D$32</f>
        <v/>
      </c>
      <c r="E55" s="8">
        <f>'balance_raw_10549744'!$E$32</f>
        <v/>
      </c>
      <c r="F55" s="8">
        <f>'balance_raw_10549744'!$F$32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'balance_raw_10549744'!$B$33</f>
        <v/>
      </c>
      <c r="C56" s="5">
        <f>'balance_raw_10549744'!$C$33</f>
        <v/>
      </c>
      <c r="D56" s="5">
        <f>'balance_raw_10549744'!$D$33</f>
        <v/>
      </c>
      <c r="E56" s="5">
        <f>'balance_raw_10549744'!$E$33</f>
        <v/>
      </c>
      <c r="F56" s="5">
        <f>'balance_raw_10549744'!$F$33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'balance_raw_10549744'!$B$34</f>
        <v/>
      </c>
      <c r="C57" s="11">
        <f>'balance_raw_10549744'!$C$34</f>
        <v/>
      </c>
      <c r="D57" s="11">
        <f>'balance_raw_10549744'!$D$34</f>
        <v/>
      </c>
      <c r="E57" s="11">
        <f>'balance_raw_10549744'!$E$34</f>
        <v/>
      </c>
      <c r="F57" s="11">
        <f>'balance_raw_10549744'!$F$34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'balance_raw_10549744'!$B$35</f>
        <v/>
      </c>
      <c r="C58" s="5">
        <f>'balance_raw_10549744'!$C$35</f>
        <v/>
      </c>
      <c r="D58" s="5">
        <f>'balance_raw_10549744'!$D$35</f>
        <v/>
      </c>
      <c r="E58" s="5">
        <f>'balance_raw_10549744'!$E$35</f>
        <v/>
      </c>
      <c r="F58" s="5">
        <f>'balance_raw_10549744'!$F$35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'balance_raw_10549744'!$B$36</f>
        <v/>
      </c>
      <c r="C59" s="11">
        <f>'balance_raw_10549744'!$C$36</f>
        <v/>
      </c>
      <c r="D59" s="11">
        <f>'balance_raw_10549744'!$D$36</f>
        <v/>
      </c>
      <c r="E59" s="11">
        <f>'balance_raw_10549744'!$E$36</f>
        <v/>
      </c>
      <c r="F59" s="11">
        <f>'balance_raw_10549744'!$F$36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'balance_raw_10549744'!$B$37</f>
        <v/>
      </c>
      <c r="C60" s="5">
        <f>'balance_raw_10549744'!$C$37</f>
        <v/>
      </c>
      <c r="D60" s="5">
        <f>'balance_raw_10549744'!$D$37</f>
        <v/>
      </c>
      <c r="E60" s="5">
        <f>'balance_raw_10549744'!$E$37</f>
        <v/>
      </c>
      <c r="F60" s="5">
        <f>'balance_raw_10549744'!$F$37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Kortfristet del af langfristede gældsforpligtelser</t>
        </is>
      </c>
      <c r="B61" s="8">
        <f>'balance_raw_10549744'!$B$38</f>
        <v/>
      </c>
      <c r="C61" s="8">
        <f>'balance_raw_10549744'!$C$38</f>
        <v/>
      </c>
      <c r="D61" s="8">
        <f>'balance_raw_10549744'!$D$38</f>
        <v/>
      </c>
      <c r="E61" s="8">
        <f>'balance_raw_10549744'!$E$38</f>
        <v/>
      </c>
      <c r="F61" s="8">
        <f>'balance_raw_10549744'!$F$38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Kreditinstitutter</t>
        </is>
      </c>
      <c r="B62" s="5">
        <f>'balance_raw_10549744'!$B$39</f>
        <v/>
      </c>
      <c r="C62" s="5">
        <f>'balance_raw_10549744'!$C$39</f>
        <v/>
      </c>
      <c r="D62" s="5">
        <f>'balance_raw_10549744'!$D$39</f>
        <v/>
      </c>
      <c r="E62" s="5">
        <f>'balance_raw_10549744'!$E$39</f>
        <v/>
      </c>
      <c r="F62" s="5">
        <f>'balance_raw_10549744'!$F$39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(kortfristet)</t>
        </is>
      </c>
      <c r="B63" s="8">
        <f>'balance_raw_10549744'!$B$40</f>
        <v/>
      </c>
      <c r="C63" s="8">
        <f>'balance_raw_10549744'!$C$40</f>
        <v/>
      </c>
      <c r="D63" s="8">
        <f>'balance_raw_10549744'!$D$40</f>
        <v/>
      </c>
      <c r="E63" s="8">
        <f>'balance_raw_10549744'!$E$40</f>
        <v/>
      </c>
      <c r="F63" s="8">
        <f>'balance_raw_10549744'!$F$40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'balance_raw_10549744'!$B$41</f>
        <v/>
      </c>
      <c r="C64" s="5">
        <f>'balance_raw_10549744'!$C$41</f>
        <v/>
      </c>
      <c r="D64" s="5">
        <f>'balance_raw_10549744'!$D$41</f>
        <v/>
      </c>
      <c r="E64" s="5">
        <f>'balance_raw_10549744'!$E$41</f>
        <v/>
      </c>
      <c r="F64" s="5">
        <f>'balance_raw_10549744'!$F$41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</t>
        </is>
      </c>
      <c r="B65" s="8">
        <f>'balance_raw_10549744'!$B$42</f>
        <v/>
      </c>
      <c r="C65" s="8">
        <f>'balance_raw_10549744'!$C$42</f>
        <v/>
      </c>
      <c r="D65" s="8">
        <f>'balance_raw_10549744'!$D$42</f>
        <v/>
      </c>
      <c r="E65" s="8">
        <f>'balance_raw_10549744'!$E$42</f>
        <v/>
      </c>
      <c r="F65" s="8">
        <f>'balance_raw_10549744'!$F$42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'balance_raw_10549744'!$B$43</f>
        <v/>
      </c>
      <c r="C66" s="5">
        <f>'balance_raw_10549744'!$C$43</f>
        <v/>
      </c>
      <c r="D66" s="5">
        <f>'balance_raw_10549744'!$D$43</f>
        <v/>
      </c>
      <c r="E66" s="5">
        <f>'balance_raw_10549744'!$E$43</f>
        <v/>
      </c>
      <c r="F66" s="5">
        <f>'balance_raw_10549744'!$F$43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Selskabsskat</t>
        </is>
      </c>
      <c r="B67" s="8">
        <f>'balance_raw_10549744'!$B$44</f>
        <v/>
      </c>
      <c r="C67" s="8">
        <f>'balance_raw_10549744'!$C$44</f>
        <v/>
      </c>
      <c r="D67" s="8">
        <f>'balance_raw_10549744'!$D$44</f>
        <v/>
      </c>
      <c r="E67" s="8">
        <f>'balance_raw_10549744'!$E$44</f>
        <v/>
      </c>
      <c r="F67" s="8">
        <f>'balance_raw_10549744'!$F$44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'balance_raw_10549744'!$B$45</f>
        <v/>
      </c>
      <c r="C68" s="5">
        <f>'balance_raw_10549744'!$C$45</f>
        <v/>
      </c>
      <c r="D68" s="5">
        <f>'balance_raw_10549744'!$D$45</f>
        <v/>
      </c>
      <c r="E68" s="5">
        <f>'balance_raw_10549744'!$E$45</f>
        <v/>
      </c>
      <c r="F68" s="5">
        <f>'balance_raw_10549744'!$F$45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Anden gæld (kortfristet)</t>
        </is>
      </c>
      <c r="B69" s="8">
        <f>'balance_raw_10549744'!$B$46</f>
        <v/>
      </c>
      <c r="C69" s="8">
        <f>'balance_raw_10549744'!$C$46</f>
        <v/>
      </c>
      <c r="D69" s="8">
        <f>'balance_raw_10549744'!$D$46</f>
        <v/>
      </c>
      <c r="E69" s="8">
        <f>'balance_raw_10549744'!$E$46</f>
        <v/>
      </c>
      <c r="F69" s="8">
        <f>'balance_raw_10549744'!$F$46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'balance_raw_10549744'!$B$47</f>
        <v/>
      </c>
      <c r="C70" s="5">
        <f>'balance_raw_10549744'!$C$47</f>
        <v/>
      </c>
      <c r="D70" s="5">
        <f>'balance_raw_10549744'!$D$47</f>
        <v/>
      </c>
      <c r="E70" s="5">
        <f>'balance_raw_10549744'!$E$47</f>
        <v/>
      </c>
      <c r="F70" s="5">
        <f>'balance_raw_10549744'!$F$47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Kortfristede gældsforpligtelser</t>
        </is>
      </c>
      <c r="B71" s="11">
        <f>'balance_raw_10549744'!$B$48</f>
        <v/>
      </c>
      <c r="C71" s="11">
        <f>'balance_raw_10549744'!$C$48</f>
        <v/>
      </c>
      <c r="D71" s="11">
        <f>'balance_raw_10549744'!$D$48</f>
        <v/>
      </c>
      <c r="E71" s="11">
        <f>'balance_raw_10549744'!$E$48</f>
        <v/>
      </c>
      <c r="F71" s="11">
        <f>'balance_raw_10549744'!$F$48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Gældsforpligtelser</t>
        </is>
      </c>
      <c r="B72" s="11">
        <f>'balance_raw_10549744'!$B$49</f>
        <v/>
      </c>
      <c r="C72" s="11">
        <f>'balance_raw_10549744'!$C$49</f>
        <v/>
      </c>
      <c r="D72" s="11">
        <f>'balance_raw_10549744'!$D$49</f>
        <v/>
      </c>
      <c r="E72" s="11">
        <f>'balance_raw_10549744'!$E$49</f>
        <v/>
      </c>
      <c r="F72" s="11">
        <f>'balance_raw_10549744'!$F$49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Passiver</t>
        </is>
      </c>
      <c r="B73" s="11">
        <f>'balance_raw_10549744'!$B$50</f>
        <v/>
      </c>
      <c r="C73" s="11">
        <f>'balance_raw_10549744'!$C$50</f>
        <v/>
      </c>
      <c r="D73" s="11">
        <f>'balance_raw_10549744'!$D$50</f>
        <v/>
      </c>
      <c r="E73" s="11">
        <f>'balance_raw_10549744'!$E$50</f>
        <v/>
      </c>
      <c r="F73" s="11">
        <f>'balance_raw_10549744'!$F$50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NØGLEOPLYSNINGER</t>
        </is>
      </c>
      <c r="B75" s="3" t="n">
        <v>2022</v>
      </c>
      <c r="C75" s="3" t="n">
        <v>2023</v>
      </c>
      <c r="D75" s="3" t="n">
        <v>2024</v>
      </c>
      <c r="E75" s="3" t="n">
        <v>2025</v>
      </c>
      <c r="F75" s="3" t="n">
        <v>2026</v>
      </c>
    </row>
    <row r="76" ht="16" customHeight="1">
      <c r="A76" s="4" t="inlineStr">
        <is>
          <t>Gns. antal medarbejdere</t>
        </is>
      </c>
      <c r="B76" s="5">
        <f>'res_raw_10549744'!$B$19</f>
        <v/>
      </c>
      <c r="C76" s="5">
        <f>'res_raw_10549744'!$C$19</f>
        <v/>
      </c>
      <c r="D76" s="5">
        <f>'res_raw_10549744'!$D$19</f>
        <v/>
      </c>
      <c r="E76" s="5">
        <f>'res_raw_10549744'!$E$19</f>
        <v/>
      </c>
      <c r="F76" s="5">
        <f>'res_raw_10549744'!$F$19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Investering i materielle anlægsaktiver</t>
        </is>
      </c>
      <c r="B77" s="8">
        <f>'res_raw_10549744'!$B$20</f>
        <v/>
      </c>
      <c r="C77" s="8">
        <f>'res_raw_10549744'!$C$20</f>
        <v/>
      </c>
      <c r="D77" s="8">
        <f>'res_raw_10549744'!$D$20</f>
        <v/>
      </c>
      <c r="E77" s="8">
        <f>'res_raw_10549744'!$E$20</f>
        <v/>
      </c>
      <c r="F77" s="8">
        <f>'res_raw_10549744'!$F$20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NØGLETAL</t>
        </is>
      </c>
      <c r="B79" s="3" t="n">
        <v>2022</v>
      </c>
      <c r="C79" s="3" t="n">
        <v>2023</v>
      </c>
      <c r="D79" s="3" t="n">
        <v>2024</v>
      </c>
      <c r="E79" s="3" t="n">
        <v>2025</v>
      </c>
      <c r="F79" s="3" t="n">
        <v>2026</v>
      </c>
    </row>
    <row r="80" ht="16" customHeight="1">
      <c r="A80" s="4" t="inlineStr">
        <is>
          <t>Afkastningsgrad, %</t>
        </is>
      </c>
      <c r="B80" s="13">
        <f>IFERROR(($B$13+$B$15+$B$14)/$B$48*100,"")</f>
        <v/>
      </c>
      <c r="C80" s="13">
        <f>IFERROR(($C$13+$C$15+$C$14)/$C$48*100,"")</f>
        <v/>
      </c>
      <c r="D80" s="13">
        <f>IFERROR(($D$13+$D$15+$D$14)/$D$48*100,"")</f>
        <v/>
      </c>
      <c r="E80" s="13">
        <f>IFERROR(($E$13+$E$15+$E$14)/$E$48*100,"")</f>
        <v/>
      </c>
      <c r="F80" s="13">
        <f>IFERROR(($F$13+$F$15+$F$14)/$F$48*100,"")</f>
        <v/>
      </c>
    </row>
    <row r="81" ht="16" customHeight="1">
      <c r="A81" s="7" t="inlineStr">
        <is>
          <t>Overskudsgrad, %</t>
        </is>
      </c>
      <c r="B81" s="14">
        <f>IFERROR(($B$13+$B$15+$B$14)/$B$4*100,"")</f>
        <v/>
      </c>
      <c r="C81" s="14">
        <f>IFERROR(($C$13+$C$15+$C$14)/$C$4*100,"")</f>
        <v/>
      </c>
      <c r="D81" s="14">
        <f>IFERROR(($D$13+$D$15+$D$14)/$D$4*100,"")</f>
        <v/>
      </c>
      <c r="E81" s="14">
        <f>IFERROR(($E$13+$E$15+$E$14)/$E$4*100,"")</f>
        <v/>
      </c>
      <c r="F81" s="14">
        <f>IFERROR(($F$13+$F$15+$F$14)/$F$4*100,"")</f>
        <v/>
      </c>
    </row>
    <row r="82" ht="16" customHeight="1">
      <c r="A82" s="4" t="inlineStr">
        <is>
          <t>Aktivernes omsætningshastighed, gange</t>
        </is>
      </c>
      <c r="B82" s="13">
        <f>IFERROR($B$4/$B$48,"")</f>
        <v/>
      </c>
      <c r="C82" s="13">
        <f>IFERROR($C$4/$C$48,"")</f>
        <v/>
      </c>
      <c r="D82" s="13">
        <f>IFERROR($D$4/$D$48,"")</f>
        <v/>
      </c>
      <c r="E82" s="13">
        <f>IFERROR($E$4/$E$48,"")</f>
        <v/>
      </c>
      <c r="F82" s="13">
        <f>IFERROR($F$4/$F$48,"")</f>
        <v/>
      </c>
    </row>
    <row r="83" ht="16" customHeight="1">
      <c r="A83" s="7" t="inlineStr">
        <is>
          <t>Egenkapitalens forrentning, %</t>
        </is>
      </c>
      <c r="B83" s="14">
        <f>IFERROR($B$18/$B$57*100,"")</f>
        <v/>
      </c>
      <c r="C83" s="14">
        <f>IFERROR($C$18/$C$57*100,"")</f>
        <v/>
      </c>
      <c r="D83" s="14">
        <f>IFERROR($D$18/$D$57*100,"")</f>
        <v/>
      </c>
      <c r="E83" s="14">
        <f>IFERROR($E$18/$E$57*100,"")</f>
        <v/>
      </c>
      <c r="F83" s="14">
        <f>IFERROR($F$18/$F$57*100,"")</f>
        <v/>
      </c>
    </row>
    <row r="84" ht="16" customHeight="1">
      <c r="A84" s="4" t="inlineStr">
        <is>
          <t>Gældsrente, %</t>
        </is>
      </c>
      <c r="B84" s="13">
        <f>IFERROR($B$16/($B$73-$B$57)*100,"")</f>
        <v/>
      </c>
      <c r="C84" s="13">
        <f>IFERROR($C$16/($C$73-$C$57)*100,"")</f>
        <v/>
      </c>
      <c r="D84" s="13">
        <f>IFERROR($D$16/($D$73-$D$57)*100,"")</f>
        <v/>
      </c>
      <c r="E84" s="13">
        <f>IFERROR($E$16/($E$73-$E$57)*100,"")</f>
        <v/>
      </c>
      <c r="F84" s="13">
        <f>IFERROR($F$16/($F$73-$F$57)*100,"")</f>
        <v/>
      </c>
    </row>
    <row r="85" ht="16" customHeight="1">
      <c r="A85" s="7" t="inlineStr">
        <is>
          <t>Soliditetsgrad, %</t>
        </is>
      </c>
      <c r="B85" s="14">
        <f>IFERROR($B$57/$B$48*100,"")</f>
        <v/>
      </c>
      <c r="C85" s="14">
        <f>IFERROR($C$57/$C$48*100,"")</f>
        <v/>
      </c>
      <c r="D85" s="14">
        <f>IFERROR($D$57/$D$48*100,"")</f>
        <v/>
      </c>
      <c r="E85" s="14">
        <f>IFERROR($E$57/$E$48*100,"")</f>
        <v/>
      </c>
      <c r="F85" s="14">
        <f>IFERROR($F$57/$F$48*100,"")</f>
        <v/>
      </c>
    </row>
    <row r="86" ht="16" customHeight="1">
      <c r="A86" s="4" t="inlineStr">
        <is>
          <t>Gearing</t>
        </is>
      </c>
      <c r="B86" s="13">
        <f>IFERROR(($B$73-$B$57)/$B$57,"")</f>
        <v/>
      </c>
      <c r="C86" s="13">
        <f>IFERROR(($C$73-$C$57)/$C$57,"")</f>
        <v/>
      </c>
      <c r="D86" s="13">
        <f>IFERROR(($D$73-$D$57)/$D$57,"")</f>
        <v/>
      </c>
      <c r="E86" s="13">
        <f>IFERROR(($E$73-$E$57)/$E$57,"")</f>
        <v/>
      </c>
      <c r="F86" s="13">
        <f>IFERROR(($F$73-$F$57)/$F$57,"")</f>
        <v/>
      </c>
    </row>
    <row r="87" ht="16" customHeight="1">
      <c r="A87" s="7" t="inlineStr">
        <is>
          <t>Likviditetsgrad, %</t>
        </is>
      </c>
      <c r="B87" s="14">
        <f>IFERROR($B$47/$B$71*100,"")</f>
        <v/>
      </c>
      <c r="C87" s="14">
        <f>IFERROR($C$47/$C$71*100,"")</f>
        <v/>
      </c>
      <c r="D87" s="14">
        <f>IFERROR($D$47/$D$71*100,"")</f>
        <v/>
      </c>
      <c r="E87" s="14">
        <f>IFERROR($E$47/$E$71*100,"")</f>
        <v/>
      </c>
      <c r="F87" s="14">
        <f>IFERROR($F$47/$F$71*100,"")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7" t="inlineStr">
        <is>
          <t>Gældsandel, %</t>
        </is>
      </c>
      <c r="B89" s="14">
        <f>IFERROR(($B$73-$B$57)/$B$48*100,"")</f>
        <v/>
      </c>
      <c r="C89" s="14">
        <f>IFERROR(($C$73-$C$57)/$C$48*100,"")</f>
        <v/>
      </c>
      <c r="D89" s="14">
        <f>IFERROR(($D$73-$D$57)/$D$48*100,"")</f>
        <v/>
      </c>
      <c r="E89" s="14">
        <f>IFERROR(($E$73-$E$57)/$E$48*100,"")</f>
        <v/>
      </c>
      <c r="F89" s="14">
        <f>IFERROR(($F$73-$F$57)/$F$48*100,"")</f>
        <v/>
      </c>
    </row>
    <row r="90" ht="16" customHeight="1">
      <c r="A90" s="4" t="inlineStr">
        <is>
          <t>Kapitalbindingsgrad, %</t>
        </is>
      </c>
      <c r="B90" s="13">
        <f>IFERROR($B$36/($B$57+0)*100,"")</f>
        <v/>
      </c>
      <c r="C90" s="13">
        <f>IFERROR($C$36/($C$57+0)*100,"")</f>
        <v/>
      </c>
      <c r="D90" s="13">
        <f>IFERROR($D$36/($D$57+0)*100,"")</f>
        <v/>
      </c>
      <c r="E90" s="13">
        <f>IFERROR($E$36/($E$57+0)*100,"")</f>
        <v/>
      </c>
      <c r="F90" s="13">
        <f>IFERROR($F$36/($F$57+0)*100,"")</f>
        <v/>
      </c>
    </row>
    <row r="92">
      <c r="A92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General Logistics Systems Denmark A/S (CVR 10549744) — Resultatopgørelse &amp; nøgleoplysninger (t.EUR)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5" t="inlineStr">
        <is>
          <t>Nettoomsætning</t>
        </is>
      </c>
      <c r="B2" s="16" t="n">
        <v>323264</v>
      </c>
      <c r="C2" s="16" t="n">
        <v>339633</v>
      </c>
      <c r="D2" s="16" t="n">
        <v>345229</v>
      </c>
      <c r="E2" s="16" t="n">
        <v>368550</v>
      </c>
      <c r="F2" s="16" t="n">
        <v>387655</v>
      </c>
    </row>
    <row r="3">
      <c r="A3" s="15" t="inlineStr">
        <is>
          <t>Andre driftsindtægter</t>
        </is>
      </c>
      <c r="B3" s="16" t="n">
        <v>291</v>
      </c>
      <c r="C3" s="16" t="n">
        <v>357</v>
      </c>
      <c r="D3" s="16" t="n">
        <v>689</v>
      </c>
      <c r="E3" s="16" t="n">
        <v>703</v>
      </c>
      <c r="F3" s="16" t="n">
        <v>923</v>
      </c>
    </row>
    <row r="4">
      <c r="A4" s="15" t="inlineStr">
        <is>
          <t>Vareforbrug</t>
        </is>
      </c>
      <c r="B4" s="16" t="n">
        <v>208857</v>
      </c>
      <c r="C4" s="16" t="n">
        <v>215426</v>
      </c>
      <c r="D4" s="16" t="n">
        <v>211703</v>
      </c>
      <c r="E4" s="16" t="n">
        <v>229443</v>
      </c>
      <c r="F4" s="16" t="n">
        <v>247144</v>
      </c>
    </row>
    <row r="5">
      <c r="A5" s="15" t="inlineStr">
        <is>
          <t>Andre eksterne omkostninger</t>
        </is>
      </c>
      <c r="B5" s="16" t="n">
        <v>16605</v>
      </c>
      <c r="C5" s="16" t="n">
        <v>20745</v>
      </c>
      <c r="D5" s="16" t="n">
        <v>21026</v>
      </c>
      <c r="E5" s="16" t="n">
        <v>19794</v>
      </c>
      <c r="F5" s="16" t="n">
        <v>21407</v>
      </c>
    </row>
    <row r="6">
      <c r="A6" s="17" t="inlineStr">
        <is>
          <t>Bruttoresultat</t>
        </is>
      </c>
      <c r="B6" s="16" t="n">
        <v>98093</v>
      </c>
      <c r="C6" s="16" t="n">
        <v>103819</v>
      </c>
      <c r="D6" s="16" t="n">
        <v>113189</v>
      </c>
      <c r="E6" s="16" t="n">
        <v>120016</v>
      </c>
      <c r="F6" s="16" t="n">
        <v>120027</v>
      </c>
    </row>
    <row r="7">
      <c r="A7" s="15" t="inlineStr">
        <is>
          <t>Personaleomkostninger</t>
        </is>
      </c>
      <c r="B7" s="16" t="n">
        <v>56769</v>
      </c>
      <c r="C7" s="16" t="n">
        <v>58238</v>
      </c>
      <c r="D7" s="16" t="n">
        <v>63526</v>
      </c>
      <c r="E7" s="16" t="n">
        <v>68233</v>
      </c>
      <c r="F7" s="16" t="n">
        <v>71401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4746</v>
      </c>
      <c r="C9" s="16" t="n">
        <v>5188</v>
      </c>
      <c r="D9" s="16" t="n">
        <v>5235</v>
      </c>
      <c r="E9" s="16" t="n">
        <v>5086</v>
      </c>
      <c r="F9" s="16" t="n">
        <v>5583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36578</v>
      </c>
      <c r="C11" s="16" t="n">
        <v>40394</v>
      </c>
      <c r="D11" s="16" t="n">
        <v>44428</v>
      </c>
      <c r="E11" s="16" t="n">
        <v>46697</v>
      </c>
      <c r="F11" s="16" t="n">
        <v>43043</v>
      </c>
    </row>
    <row r="12">
      <c r="A12" s="15" t="inlineStr">
        <is>
          <t>Indtægter af kapitalandele, dattervirksomheder</t>
        </is>
      </c>
      <c r="B12" s="16" t="n">
        <v>3208</v>
      </c>
      <c r="C12" s="16" t="n">
        <v>2678</v>
      </c>
      <c r="D12" s="16" t="n">
        <v>3484</v>
      </c>
      <c r="E12" s="16" t="n">
        <v>4139</v>
      </c>
      <c r="F12" s="16" t="n">
        <v>4117</v>
      </c>
    </row>
    <row r="13">
      <c r="A13" s="15" t="inlineStr">
        <is>
          <t>Finansielle indtægter</t>
        </is>
      </c>
      <c r="B13" s="16" t="n">
        <v>29</v>
      </c>
      <c r="C13" s="16" t="n">
        <v>111</v>
      </c>
      <c r="D13" s="16" t="n">
        <v>613</v>
      </c>
      <c r="E13" s="16" t="n">
        <v>551</v>
      </c>
      <c r="F13" s="16" t="n">
        <v>231</v>
      </c>
    </row>
    <row r="14">
      <c r="A14" s="15" t="inlineStr">
        <is>
          <t>Finansielle omkostninger</t>
        </is>
      </c>
      <c r="B14" s="16" t="n">
        <v>333</v>
      </c>
      <c r="C14" s="16" t="n">
        <v>244</v>
      </c>
      <c r="D14" s="16" t="n">
        <v>519</v>
      </c>
      <c r="E14" s="16" t="n">
        <v>743</v>
      </c>
      <c r="F14" s="16" t="n">
        <v>574</v>
      </c>
    </row>
    <row r="15">
      <c r="A15" s="17" t="inlineStr">
        <is>
          <t>Finansielle poster, netto</t>
        </is>
      </c>
      <c r="B15" s="16" t="n">
        <v>-304</v>
      </c>
      <c r="C15" s="16" t="n">
        <v>-133</v>
      </c>
      <c r="D15" s="16" t="n">
        <v>94</v>
      </c>
      <c r="E15" s="16" t="n">
        <v>-192</v>
      </c>
      <c r="F15" s="16" t="n">
        <v>-343</v>
      </c>
    </row>
    <row r="16">
      <c r="A16" s="17" t="inlineStr">
        <is>
          <t>Resultat før skat</t>
        </is>
      </c>
      <c r="B16" s="16" t="n">
        <v>39482</v>
      </c>
      <c r="C16" s="16" t="n">
        <v>2545</v>
      </c>
      <c r="D16" s="16" t="n">
        <v>48006</v>
      </c>
      <c r="E16" s="16" t="n">
        <v>50644</v>
      </c>
      <c r="F16" s="16" t="n">
        <v>46817</v>
      </c>
    </row>
    <row r="17">
      <c r="A17" s="15" t="inlineStr">
        <is>
          <t>Skat af årets resultat</t>
        </is>
      </c>
      <c r="B17" s="16" t="n">
        <v>8046</v>
      </c>
      <c r="C17" s="16" t="n">
        <v>8899</v>
      </c>
      <c r="D17" s="16" t="n">
        <v>9818</v>
      </c>
      <c r="E17" s="16" t="n">
        <v>10267</v>
      </c>
      <c r="F17" s="16" t="n">
        <v>9426</v>
      </c>
    </row>
    <row r="18">
      <c r="A18" s="17" t="inlineStr">
        <is>
          <t>Årets resultat</t>
        </is>
      </c>
      <c r="B18" s="16" t="n">
        <v>31436</v>
      </c>
      <c r="C18" s="16" t="n">
        <v>34039</v>
      </c>
      <c r="D18" s="16" t="n">
        <v>38188</v>
      </c>
      <c r="E18" s="16" t="n">
        <v>40377</v>
      </c>
      <c r="F18" s="16" t="n">
        <v>37391</v>
      </c>
    </row>
    <row r="19">
      <c r="A19" s="15" t="inlineStr">
        <is>
          <t>Gns. antal medarbejdere</t>
        </is>
      </c>
      <c r="B19" s="16" t="n">
        <v>819</v>
      </c>
      <c r="C19" s="16" t="n">
        <v>824</v>
      </c>
      <c r="D19" s="16" t="n">
        <v>869</v>
      </c>
      <c r="E19" s="16" t="n">
        <v>886</v>
      </c>
      <c r="F19" s="16" t="n">
        <v>894</v>
      </c>
    </row>
    <row r="20">
      <c r="A20" s="15" t="inlineStr">
        <is>
          <t>Investering i materielle anlægsaktiver</t>
        </is>
      </c>
      <c r="B20" s="16" t="n">
        <v>2904</v>
      </c>
      <c r="C20" s="16" t="n">
        <v>9808</v>
      </c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General Logistics Systems Denmark A/S (CVR 10549744) — Balance (t.EUR)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5" t="inlineStr">
        <is>
          <t>Udviklingsprojekter</t>
        </is>
      </c>
      <c r="B2" s="16" t="n">
        <v>25</v>
      </c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>
        <v>219</v>
      </c>
      <c r="D3" s="16" t="n">
        <v>299</v>
      </c>
      <c r="E3" s="16" t="n">
        <v>683</v>
      </c>
      <c r="F3" s="16" t="n">
        <v>788</v>
      </c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269</v>
      </c>
      <c r="C5" s="16" t="n">
        <v>219</v>
      </c>
      <c r="D5" s="16" t="n">
        <v>299</v>
      </c>
      <c r="E5" s="16" t="n">
        <v>683</v>
      </c>
      <c r="F5" s="16" t="n">
        <v>788</v>
      </c>
    </row>
    <row r="6">
      <c r="A6" s="15" t="inlineStr">
        <is>
          <t>Grunde og bygninger</t>
        </is>
      </c>
      <c r="B6" s="16" t="n">
        <v>44707</v>
      </c>
      <c r="C6" s="16" t="n">
        <v>43543</v>
      </c>
      <c r="D6" s="16" t="n">
        <v>50070</v>
      </c>
      <c r="E6" s="16" t="n">
        <v>48735</v>
      </c>
      <c r="F6" s="16" t="n">
        <v>75313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15305</v>
      </c>
      <c r="C8" s="16" t="n">
        <v>14228</v>
      </c>
      <c r="D8" s="16" t="n">
        <v>15838</v>
      </c>
      <c r="E8" s="16" t="n">
        <v>12959</v>
      </c>
      <c r="F8" s="16" t="n">
        <v>27751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0</v>
      </c>
      <c r="C10" s="16" t="n">
        <v>7043</v>
      </c>
      <c r="D10" s="16" t="n">
        <v>11571</v>
      </c>
      <c r="E10" s="16" t="n">
        <v>38995</v>
      </c>
      <c r="F10" s="16" t="n">
        <v>1334</v>
      </c>
    </row>
    <row r="11">
      <c r="A11" s="17" t="inlineStr">
        <is>
          <t>Materielle anlægsaktiver</t>
        </is>
      </c>
      <c r="B11" s="16" t="n">
        <v>60012</v>
      </c>
      <c r="C11" s="16" t="n">
        <v>64814</v>
      </c>
      <c r="D11" s="16" t="n">
        <v>77479</v>
      </c>
      <c r="E11" s="16" t="n">
        <v>100689</v>
      </c>
      <c r="F11" s="16" t="n">
        <v>104398</v>
      </c>
    </row>
    <row r="12">
      <c r="A12" s="15" t="inlineStr">
        <is>
          <t>Kapitalandele, dattervirksomheder</t>
        </is>
      </c>
      <c r="B12" s="16" t="n">
        <v>6551</v>
      </c>
      <c r="C12" s="16" t="n">
        <v>6016</v>
      </c>
      <c r="D12" s="16" t="n">
        <v>6990</v>
      </c>
      <c r="E12" s="16" t="n">
        <v>7720</v>
      </c>
      <c r="F12" s="16" t="n">
        <v>8693</v>
      </c>
    </row>
    <row r="13">
      <c r="A13" s="15" t="inlineStr">
        <is>
          <t>Deposita</t>
        </is>
      </c>
      <c r="B13" s="16" t="n">
        <v>353</v>
      </c>
      <c r="C13" s="16" t="n">
        <v>377</v>
      </c>
      <c r="D13" s="16" t="n">
        <v>395</v>
      </c>
      <c r="E13" s="16" t="n">
        <v>342</v>
      </c>
      <c r="F13" s="16" t="n">
        <v>249</v>
      </c>
    </row>
    <row r="14">
      <c r="A14" s="17" t="inlineStr">
        <is>
          <t>Finansielle anlægsaktiver</t>
        </is>
      </c>
      <c r="B14" s="16" t="n">
        <v>6904</v>
      </c>
      <c r="C14" s="16" t="n">
        <v>6393</v>
      </c>
      <c r="D14" s="16" t="n">
        <v>7385</v>
      </c>
      <c r="E14" s="16" t="n">
        <v>8062</v>
      </c>
      <c r="F14" s="16" t="n">
        <v>8942</v>
      </c>
    </row>
    <row r="15">
      <c r="A15" s="17" t="inlineStr">
        <is>
          <t>Anlægsaktiver</t>
        </is>
      </c>
      <c r="B15" s="16" t="n">
        <v>67185</v>
      </c>
      <c r="C15" s="16" t="n">
        <v>71426</v>
      </c>
      <c r="D15" s="16" t="n">
        <v>85163</v>
      </c>
      <c r="E15" s="16" t="n">
        <v>109434</v>
      </c>
      <c r="F15" s="16" t="n">
        <v>114128</v>
      </c>
    </row>
    <row r="16">
      <c r="A16" s="15" t="inlineStr">
        <is>
          <t>Tilgodehavender fra salg og tjenesteydelser</t>
        </is>
      </c>
      <c r="B16" s="16" t="n">
        <v>33430</v>
      </c>
      <c r="C16" s="16" t="n">
        <v>38439</v>
      </c>
      <c r="D16" s="16" t="n">
        <v>38689</v>
      </c>
      <c r="E16" s="16" t="n">
        <v>39652</v>
      </c>
      <c r="F16" s="16" t="n">
        <v>43145</v>
      </c>
    </row>
    <row r="17">
      <c r="A17" s="15" t="inlineStr">
        <is>
          <t>Tilgodehavender hos tilknyttede virksomheder</t>
        </is>
      </c>
      <c r="B17" s="16" t="n">
        <v>894</v>
      </c>
      <c r="C17" s="16" t="n">
        <v>604</v>
      </c>
      <c r="D17" s="16" t="n">
        <v>139</v>
      </c>
      <c r="E17" s="16" t="n">
        <v>288</v>
      </c>
      <c r="F17" s="16" t="n">
        <v>614</v>
      </c>
    </row>
    <row r="18">
      <c r="A18" s="15" t="inlineStr">
        <is>
          <t>Andre tilgodehavender</t>
        </is>
      </c>
      <c r="B18" s="16" t="n">
        <v>1005</v>
      </c>
      <c r="C18" s="16" t="n">
        <v>1038</v>
      </c>
      <c r="D18" s="16" t="n">
        <v>876</v>
      </c>
      <c r="E18" s="16" t="n">
        <v>1127</v>
      </c>
      <c r="F18" s="16" t="n">
        <v>1448</v>
      </c>
    </row>
    <row r="19">
      <c r="A19" s="15" t="inlineStr">
        <is>
          <t>Periodeafgrænsningsposter (aktiver)</t>
        </is>
      </c>
      <c r="B19" s="16" t="n"/>
      <c r="C19" s="16" t="n">
        <v>790</v>
      </c>
      <c r="D19" s="16" t="n">
        <v>1039</v>
      </c>
      <c r="E19" s="16" t="n">
        <v>1198</v>
      </c>
      <c r="F19" s="16" t="n">
        <v>1115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>
        <v>2380</v>
      </c>
      <c r="D21" s="16" t="n">
        <v>2652</v>
      </c>
      <c r="E21" s="16" t="n">
        <v>2453</v>
      </c>
      <c r="F21" s="16" t="n">
        <v>1483</v>
      </c>
    </row>
    <row r="22">
      <c r="A22" s="15" t="inlineStr">
        <is>
          <t>Kortfristede skattetilgodehavender</t>
        </is>
      </c>
      <c r="B22" s="16" t="n">
        <v>1880</v>
      </c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37572</v>
      </c>
      <c r="C23" s="16" t="n">
        <v>43251</v>
      </c>
      <c r="D23" s="16" t="n">
        <v>43395</v>
      </c>
      <c r="E23" s="16" t="n">
        <v>44718</v>
      </c>
      <c r="F23" s="16" t="n">
        <v>47805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21036</v>
      </c>
      <c r="C25" s="16" t="n">
        <v>21158</v>
      </c>
      <c r="D25" s="16" t="n">
        <v>13547</v>
      </c>
      <c r="E25" s="16" t="n">
        <v>617</v>
      </c>
      <c r="F25" s="16" t="n">
        <v>17037</v>
      </c>
    </row>
    <row r="26">
      <c r="A26" s="17" t="inlineStr">
        <is>
          <t>Omsætningsaktiver</t>
        </is>
      </c>
      <c r="B26" s="16" t="n">
        <v>58608</v>
      </c>
      <c r="C26" s="16" t="n">
        <v>64409</v>
      </c>
      <c r="D26" s="16" t="n">
        <v>56942</v>
      </c>
      <c r="E26" s="16" t="n">
        <v>45335</v>
      </c>
      <c r="F26" s="16" t="n">
        <v>64842</v>
      </c>
    </row>
    <row r="27">
      <c r="A27" s="17" t="inlineStr">
        <is>
          <t>Aktiver</t>
        </is>
      </c>
      <c r="B27" s="16" t="n">
        <v>125793</v>
      </c>
      <c r="C27" s="16" t="n">
        <v>135835</v>
      </c>
      <c r="D27" s="16" t="n">
        <v>142105</v>
      </c>
      <c r="E27" s="16" t="n">
        <v>154769</v>
      </c>
      <c r="F27" s="16" t="n">
        <v>178970</v>
      </c>
    </row>
    <row r="28">
      <c r="A28" s="15" t="inlineStr">
        <is>
          <t>Selskabskapital</t>
        </is>
      </c>
      <c r="B28" s="16" t="n">
        <v>225</v>
      </c>
      <c r="C28" s="16" t="n">
        <v>224</v>
      </c>
      <c r="D28" s="16" t="n">
        <v>224</v>
      </c>
      <c r="E28" s="16" t="n">
        <v>224</v>
      </c>
      <c r="F28" s="16" t="n">
        <v>223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58071</v>
      </c>
      <c r="C33" s="16" t="n">
        <v>64473</v>
      </c>
      <c r="D33" s="16" t="n">
        <v>79171</v>
      </c>
      <c r="E33" s="16" t="n">
        <v>101541</v>
      </c>
      <c r="F33" s="16" t="n">
        <v>95801</v>
      </c>
    </row>
    <row r="34">
      <c r="A34" s="17" t="inlineStr">
        <is>
          <t>Egenkapital i alt</t>
        </is>
      </c>
      <c r="B34" s="16" t="n">
        <v>93296</v>
      </c>
      <c r="C34" s="16" t="n">
        <v>92197</v>
      </c>
      <c r="D34" s="16" t="n">
        <v>102795</v>
      </c>
      <c r="E34" s="16" t="n">
        <v>119765</v>
      </c>
      <c r="F34" s="16" t="n">
        <v>139024</v>
      </c>
    </row>
    <row r="35">
      <c r="A35" s="15" t="inlineStr">
        <is>
          <t>Hensættelse til udskudt skat</t>
        </is>
      </c>
      <c r="B35" s="16" t="n">
        <v>2392</v>
      </c>
      <c r="C35" s="16" t="n">
        <v>2600</v>
      </c>
      <c r="D35" s="16" t="n">
        <v>2772</v>
      </c>
      <c r="E35" s="16" t="n">
        <v>2632</v>
      </c>
      <c r="F35" s="16" t="n">
        <v>3222</v>
      </c>
    </row>
    <row r="36">
      <c r="A36" s="17" t="inlineStr">
        <is>
          <t>Hensatte forpligtelser</t>
        </is>
      </c>
      <c r="B36" s="16" t="n">
        <v>2573</v>
      </c>
      <c r="C36" s="16" t="n">
        <v>2751</v>
      </c>
      <c r="D36" s="16" t="n">
        <v>2892</v>
      </c>
      <c r="E36" s="16" t="n">
        <v>2765</v>
      </c>
      <c r="F36" s="16" t="n">
        <v>3393</v>
      </c>
    </row>
    <row r="37">
      <c r="A37" s="15" t="inlineStr">
        <is>
          <t>Ansvarlig lånekapital (kortfristet)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Kortfristet del af langfristede gældsforpligtelser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Kreditinstitutter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Leasingforpligtelser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Leverandører af varer og tjenesteydelser</t>
        </is>
      </c>
      <c r="B41" s="16" t="n">
        <v>19807</v>
      </c>
      <c r="C41" s="16" t="n">
        <v>24390</v>
      </c>
      <c r="D41" s="16" t="n">
        <v>25693</v>
      </c>
      <c r="E41" s="16" t="n">
        <v>21092</v>
      </c>
      <c r="F41" s="16" t="n">
        <v>23407</v>
      </c>
    </row>
    <row r="42">
      <c r="A42" s="15" t="inlineStr">
        <is>
          <t>Gæld til tilknyttede virksomheder</t>
        </is>
      </c>
      <c r="B42" s="16" t="n">
        <v>3168</v>
      </c>
      <c r="C42" s="16" t="n">
        <v>4576</v>
      </c>
      <c r="D42" s="16" t="n">
        <v>3190</v>
      </c>
      <c r="E42" s="16" t="n">
        <v>2847</v>
      </c>
      <c r="F42" s="16" t="n">
        <v>3035</v>
      </c>
    </row>
    <row r="43">
      <c r="A43" s="15" t="inlineStr">
        <is>
          <t>Gæld til selskabsdeltagere og ledelse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Gæld til tilknyttede virksomheder vedr. 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Anden gæld (kortfristet)</t>
        </is>
      </c>
      <c r="B46" s="16" t="n">
        <v>6949</v>
      </c>
      <c r="C46" s="16" t="n">
        <v>11921</v>
      </c>
      <c r="D46" s="16" t="n">
        <v>7535</v>
      </c>
      <c r="E46" s="16" t="n">
        <v>8300</v>
      </c>
      <c r="F46" s="16" t="n">
        <v>10111</v>
      </c>
    </row>
    <row r="47">
      <c r="A47" s="15" t="inlineStr">
        <is>
          <t>Periodeafgrænsningsposter (passiver)</t>
        </is>
      </c>
      <c r="B47" s="16" t="n"/>
      <c r="C47" s="16" t="n"/>
      <c r="D47" s="16" t="n"/>
      <c r="E47" s="16" t="n"/>
      <c r="F47" s="16" t="n"/>
    </row>
    <row r="48">
      <c r="A48" s="17" t="inlineStr">
        <is>
          <t>Kortfristede gældsforpligtelser</t>
        </is>
      </c>
      <c r="B48" s="16" t="n">
        <v>29924</v>
      </c>
      <c r="C48" s="16" t="n">
        <v>40887</v>
      </c>
      <c r="D48" s="16" t="n">
        <v>36418</v>
      </c>
      <c r="E48" s="16" t="n">
        <v>32239</v>
      </c>
      <c r="F48" s="16" t="n">
        <v>36553</v>
      </c>
    </row>
    <row r="49">
      <c r="A49" s="17" t="inlineStr">
        <is>
          <t>Gældsforpligtelser</t>
        </is>
      </c>
      <c r="B49" s="16" t="n">
        <v>29924</v>
      </c>
      <c r="C49" s="16" t="n">
        <v>40887</v>
      </c>
      <c r="D49" s="16" t="n">
        <v>36418</v>
      </c>
      <c r="E49" s="16" t="n">
        <v>32239</v>
      </c>
      <c r="F49" s="16" t="n">
        <v>36553</v>
      </c>
    </row>
    <row r="50">
      <c r="A50" s="17" t="inlineStr">
        <is>
          <t>Passiver</t>
        </is>
      </c>
      <c r="B50" s="16" t="n">
        <v>125793</v>
      </c>
      <c r="C50" s="16" t="n">
        <v>135835</v>
      </c>
      <c r="D50" s="16" t="n">
        <v>142105</v>
      </c>
      <c r="E50" s="16" t="n">
        <v>154769</v>
      </c>
      <c r="F50" s="16" t="n">
        <v>178970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General Logistics Systems Denmark A/S (CVR 10549744) — Regnskabs- og nøgletal (CVR: 10549744) — artsopdelt</t>
        </is>
      </c>
    </row>
    <row r="3">
      <c r="A3" s="19" t="inlineStr">
        <is>
          <t>Beløb i 1.000 kr.</t>
        </is>
      </c>
      <c r="B3" s="20" t="n">
        <v>2026</v>
      </c>
      <c r="C3" s="20" t="n">
        <v>2025</v>
      </c>
      <c r="D3" s="20" t="n">
        <v>2024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'res_raw_10549744'!$F$2</f>
        <v/>
      </c>
      <c r="C5" s="24">
        <f>'res_raw_10549744'!$E$2</f>
        <v/>
      </c>
      <c r="D5" s="24">
        <f>'res_raw_10549744'!$D$2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'res_raw_10549744'!$F$3</f>
        <v/>
      </c>
      <c r="C6" s="24">
        <f>'res_raw_10549744'!$E$3</f>
        <v/>
      </c>
      <c r="D6" s="24">
        <f>'res_raw_10549744'!$D$3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-'res_raw_10549744'!$F$4</f>
        <v/>
      </c>
      <c r="C7" s="24">
        <f>-'res_raw_10549744'!$E$4</f>
        <v/>
      </c>
      <c r="D7" s="24">
        <f>-'res_raw_10549744'!$D$4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-'res_raw_10549744'!$F$5</f>
        <v/>
      </c>
      <c r="C8" s="24">
        <f>-'res_raw_10549744'!$E$5</f>
        <v/>
      </c>
      <c r="D8" s="24">
        <f>-'res_raw_10549744'!$D$5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IF(ABS((SUM(B5:B8))-'res_raw_10549744'!$F$6)&lt;=2,SUM(B5:B8),'res_raw_10549744'!$F$6)</f>
        <v/>
      </c>
      <c r="C9" s="27">
        <f>IF(ABS((SUM(C5:C8))-'res_raw_10549744'!$E$6)&lt;=2,SUM(C5:C8),'res_raw_10549744'!$E$6)</f>
        <v/>
      </c>
      <c r="D9" s="27">
        <f>IF(ABS((SUM(D5:D8))-'res_raw_10549744'!$D$6)&lt;=2,SUM(D5:D8),'res_raw_10549744'!$D$6)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-'res_raw_10549744'!$F$7</f>
        <v/>
      </c>
      <c r="C10" s="24">
        <f>-'res_raw_10549744'!$E$7</f>
        <v/>
      </c>
      <c r="D10" s="24">
        <f>-'res_raw_10549744'!$D$7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-'res_raw_10549744'!$F$9</f>
        <v/>
      </c>
      <c r="C11" s="24">
        <f>-'res_raw_10549744'!$E$9</f>
        <v/>
      </c>
      <c r="D11" s="24">
        <f>-'res_raw_10549744'!$D$9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-'res_raw_10549744'!$F$10</f>
        <v/>
      </c>
      <c r="C12" s="24">
        <f>-'res_raw_10549744'!$E$10</f>
        <v/>
      </c>
      <c r="D12" s="24">
        <f>-'res_raw_10549744'!$D$10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IF(ABS((SUM(B9:B12))-'res_raw_10549744'!$F$11)&lt;=2,SUM(B9:B12),'res_raw_10549744'!$F$11)</f>
        <v/>
      </c>
      <c r="C13" s="27">
        <f>IF(ABS((SUM(C9:C12))-'res_raw_10549744'!$E$11)&lt;=2,SUM(C9:C12),'res_raw_10549744'!$E$11)</f>
        <v/>
      </c>
      <c r="D13" s="27">
        <f>IF(ABS((SUM(D9:D12))-'res_raw_10549744'!$D$11)&lt;=2,SUM(D9:D12),'res_raw_10549744'!$D$11)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N('res_raw_10549744'!$F$12)+N('res_raw_10549744'!$F$13)</f>
        <v/>
      </c>
      <c r="C14" s="24">
        <f>N('res_raw_10549744'!$E$12)+N('res_raw_10549744'!$E$13)</f>
        <v/>
      </c>
      <c r="D14" s="24">
        <f>N('res_raw_10549744'!$D$12)+N('res_raw_10549744'!$D$13)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-'res_raw_10549744'!$F$14</f>
        <v/>
      </c>
      <c r="C15" s="24">
        <f>-'res_raw_10549744'!$E$14</f>
        <v/>
      </c>
      <c r="D15" s="24">
        <f>-'res_raw_10549744'!$D$14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IF(ABS((SUM(B13:B15))-'res_raw_10549744'!$F$16)&lt;=2,SUM(B13:B15),'res_raw_10549744'!$F$16)</f>
        <v/>
      </c>
      <c r="C16" s="27">
        <f>IF(ABS((SUM(C13:C15))-'res_raw_10549744'!$E$16)&lt;=2,SUM(C13:C15),'res_raw_10549744'!$E$16)</f>
        <v/>
      </c>
      <c r="D16" s="27">
        <f>IF(ABS((SUM(D13:D15))-'res_raw_10549744'!$D$16)&lt;=2,SUM(D13:D15),'res_raw_10549744'!$D$16)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'balance_raw_10549744'!$F$15</f>
        <v/>
      </c>
      <c r="C19" s="24">
        <f>'balance_raw_10549744'!$E$15</f>
        <v/>
      </c>
      <c r="D19" s="24">
        <f>'balance_raw_10549744'!$D$15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'balance_raw_10549744'!$F$26</f>
        <v/>
      </c>
      <c r="C20" s="24">
        <f>'balance_raw_10549744'!$E$26</f>
        <v/>
      </c>
      <c r="D20" s="24">
        <f>'balance_raw_10549744'!$D$26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'balance_raw_10549744'!$F$34</f>
        <v/>
      </c>
      <c r="C23" s="24">
        <f>'balance_raw_10549744'!$E$34</f>
        <v/>
      </c>
      <c r="D23" s="24">
        <f>'balance_raw_10549744'!$D$34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'balance_raw_10549744'!$F$50-'balance_raw_10549744'!$F$34</f>
        <v/>
      </c>
      <c r="C24" s="24">
        <f>'balance_raw_10549744'!$E$50-'balance_raw_10549744'!$E$34</f>
        <v/>
      </c>
      <c r="D24" s="24">
        <f>'balance_raw_10549744'!$D$50-'balance_raw_10549744'!$D$34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'balance_raw_10549744'!$F$16</f>
        <v/>
      </c>
      <c r="C29" s="24">
        <f>'balance_raw_10549744'!$E$16</f>
        <v/>
      </c>
      <c r="D29" s="24">
        <f>'balance_raw_10549744'!$D$16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'balance_raw_10549744'!$F$48</f>
        <v/>
      </c>
      <c r="C30" s="24">
        <f>'balance_raw_10549744'!$E$48</f>
        <v/>
      </c>
      <c r="D30" s="24">
        <f>'balance_raw_10549744'!$D$48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(2024=100)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(2024=100)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2024-2026.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IF('balance_raw_10549744'!$F$27="","—",IF(ABS(B21-'balance_raw_10549744'!$F$27)&lt;=1,"✓ OK","❌ "&amp;TEXT(B21-'balance_raw_10549744'!$F$27,"+#,##0;-#,##0")&amp;" t.EUR"))</f>
        <v/>
      </c>
      <c r="C61" s="29">
        <f>IF('balance_raw_10549744'!$E$27="","—",IF(ABS(C21-'balance_raw_10549744'!$E$27)&lt;=1,"✓ OK","❌ "&amp;TEXT(C21-'balance_raw_10549744'!$E$27,"+#,##0;-#,##0")&amp;" t.EUR"))</f>
        <v/>
      </c>
      <c r="D61" s="29">
        <f>IF('balance_raw_10549744'!$D$27="","—",IF(ABS(D21-'balance_raw_10549744'!$D$27)&lt;=1,"✓ OK","❌ "&amp;TEXT(D21-'balance_raw_10549744'!$D$27,"+#,##0;-#,##0")&amp;" t.EUR"))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IF('balance_raw_10549744'!$F$50="","—",IF(ABS(B25-'balance_raw_10549744'!$F$50)&lt;=1,"✓ OK","❌ "&amp;TEXT(B25-'balance_raw_10549744'!$F$50,"+#,##0;-#,##0")&amp;" t.EUR"))</f>
        <v/>
      </c>
      <c r="C62" s="29">
        <f>IF('balance_raw_10549744'!$E$50="","—",IF(ABS(C25-'balance_raw_10549744'!$E$50)&lt;=1,"✓ OK","❌ "&amp;TEXT(C25-'balance_raw_10549744'!$E$50,"+#,##0;-#,##0")&amp;" t.EUR"))</f>
        <v/>
      </c>
      <c r="D62" s="29">
        <f>IF('balance_raw_10549744'!$D$50="","—",IF(ABS(D25-'balance_raw_10549744'!$D$50)&lt;=1,"✓ OK","❌ "&amp;TEXT(D25-'balance_raw_10549744'!$D$50,"+#,##0;-#,##0")&amp;" t.EUR"))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t.EUR")</f>
        <v/>
      </c>
      <c r="C63" s="29">
        <f>IF(ABS(C21-C25)&lt;=1,"✓ OK","❌ "&amp;TEXT(C21-C25,"+#,##0;-#,##0")&amp;" t.EUR")</f>
        <v/>
      </c>
      <c r="D63" s="29">
        <f>IF(ABS(D21-D25)&lt;=1,"✓ OK","❌ "&amp;TEXT(D21-D25,"+#,##0;-#,##0")&amp;" t.EUR")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IF('res_raw_10549744'!$F$6="","—",IF(ABS(B9-'res_raw_10549744'!$F$6)&lt;=1,"✓ OK","❌ "&amp;TEXT(B9-'res_raw_10549744'!$F$6,"+#,##0;-#,##0")&amp;" t.EUR"))</f>
        <v/>
      </c>
      <c r="C64" s="29">
        <f>IF('res_raw_10549744'!$E$6="","—",IF(ABS(C9-'res_raw_10549744'!$E$6)&lt;=1,"✓ OK","❌ "&amp;TEXT(C9-'res_raw_10549744'!$E$6,"+#,##0;-#,##0")&amp;" t.EUR"))</f>
        <v/>
      </c>
      <c r="D64" s="29">
        <f>IF('res_raw_10549744'!$D$6="","—",IF(ABS(D9-'res_raw_10549744'!$D$6)&lt;=1,"✓ OK","❌ "&amp;TEXT(D9-'res_raw_10549744'!$D$6,"+#,##0;-#,##0")&amp;" t.EUR"))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IF('res_raw_10549744'!$F$11="","—",IF(ABS(B13-'res_raw_10549744'!$F$11)&lt;=1,"✓ OK","❌ "&amp;TEXT(B13-'res_raw_10549744'!$F$11,"+#,##0;-#,##0")&amp;" t.EUR"))</f>
        <v/>
      </c>
      <c r="C65" s="29">
        <f>IF('res_raw_10549744'!$E$11="","—",IF(ABS(C13-'res_raw_10549744'!$E$11)&lt;=1,"✓ OK","❌ "&amp;TEXT(C13-'res_raw_10549744'!$E$11,"+#,##0;-#,##0")&amp;" t.EUR"))</f>
        <v/>
      </c>
      <c r="D65" s="29">
        <f>IF('res_raw_10549744'!$D$11="","—",IF(ABS(D13-'res_raw_10549744'!$D$11)&lt;=1,"✓ OK","❌ "&amp;TEXT(D13-'res_raw_10549744'!$D$11,"+#,##0;-#,##0")&amp;" t.EUR"))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IF('res_raw_10549744'!$F$16="","—",IF(ABS(B16-'res_raw_10549744'!$F$16)&lt;=1,"✓ OK","❌ "&amp;TEXT(B16-'res_raw_10549744'!$F$16,"+#,##0;-#,##0")&amp;" t.EUR"))</f>
        <v/>
      </c>
      <c r="C66" s="29">
        <f>IF('res_raw_10549744'!$E$16="","—",IF(ABS(C16-'res_raw_10549744'!$E$16)&lt;=1,"✓ OK","❌ "&amp;TEXT(C16-'res_raw_10549744'!$E$16,"+#,##0;-#,##0")&amp;" t.EUR"))</f>
        <v/>
      </c>
      <c r="D66" s="29">
        <f>IF('res_raw_10549744'!$D$16="","—",IF(ABS(D16-'res_raw_10549744'!$D$16)&lt;=1,"✓ OK","❌ "&amp;TEXT(D16-'res_raw_10549744'!$D$16,"+#,##0;-#,##0")&amp;" t.EUR"))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General Logistics Systems Denmark A/S (CVR 10549744)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2026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/>
      <c r="E3" s="35" t="n">
        <v>35000</v>
      </c>
      <c r="F3" s="35" t="n">
        <v>27500</v>
      </c>
      <c r="G3" s="35" t="n">
        <v>23400</v>
      </c>
      <c r="H3" s="35" t="n">
        <v>18000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fsa:OtherSimilarRightsOriginatingFromDevelopmentProjects</t>
        </is>
      </c>
      <c r="C4" s="37" t="inlineStr">
        <is>
          <t>fsa:OtherSimilarRightsOriginatingFromDevelopmentProjects</t>
        </is>
      </c>
      <c r="D4" s="38" t="n"/>
      <c r="E4" s="38" t="n">
        <v>0</v>
      </c>
      <c r="F4" s="38" t="n">
        <v>0</v>
      </c>
      <c r="G4" s="38" t="n">
        <v>0</v>
      </c>
      <c r="H4" s="38" t="n">
        <v>0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2026-10-02T21:56:36Z</dcterms:created>
  <dcterms:modified xmlns:dcterms="http://purl.org/dc/terms/" xmlns:xsi="http://www.w3.org/2001/XMLSchema-instance" xsi:type="dcterms:W3CDTF">2026-10-02T21:56:36Z</dcterms:modified>
</cp:coreProperties>
</file>