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211425" sheetId="1" state="visible" r:id="rId1"/>
    <sheet xmlns:r="http://schemas.openxmlformats.org/officeDocument/2006/relationships" name="res_raw_26211425" sheetId="2" state="visible" r:id="rId2"/>
    <sheet xmlns:r="http://schemas.openxmlformats.org/officeDocument/2006/relationships" name="balance_raw_26211425" sheetId="3" state="visible" r:id="rId3"/>
    <sheet xmlns:r="http://schemas.openxmlformats.org/officeDocument/2006/relationships" name="pengestrom_raw_26211425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Westpack A/S (CVR 26211425) — Regnskabsanalyse – Resultatopgørelse &amp; Balance (t.kr.) · Klasse C-mellem · Revision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(2022=100)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s="3" t="n">
        <v>2026</v>
      </c>
      <c r="G3" t="inlineStr"/>
      <c r="H3" s="3" t="n">
        <v>2022</v>
      </c>
      <c r="I3" s="3" t="n">
        <v>2023</v>
      </c>
      <c r="J3" s="3" t="n">
        <v>2024</v>
      </c>
      <c r="K3" s="3" t="n">
        <v>2025</v>
      </c>
      <c r="L3" s="3" t="n">
        <v>2026</v>
      </c>
    </row>
    <row r="4" ht="16" customHeight="1">
      <c r="A4" s="4" t="inlineStr">
        <is>
          <t>Nettoomsætning</t>
        </is>
      </c>
      <c r="B4" s="5">
        <f>'res_raw_26211425'!$B$2</f>
        <v/>
      </c>
      <c r="C4" s="5">
        <f>'res_raw_26211425'!$C$2</f>
        <v/>
      </c>
      <c r="D4" s="5">
        <f>'res_raw_26211425'!$D$2</f>
        <v/>
      </c>
      <c r="E4" s="5">
        <f>'res_raw_26211425'!$E$2</f>
        <v/>
      </c>
      <c r="F4" s="5">
        <f>'res_raw_26211425'!$F$2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'res_raw_26211425'!$B$3</f>
        <v/>
      </c>
      <c r="C5" s="8">
        <f>'res_raw_26211425'!$C$3</f>
        <v/>
      </c>
      <c r="D5" s="8">
        <f>'res_raw_26211425'!$D$3</f>
        <v/>
      </c>
      <c r="E5" s="8">
        <f>'res_raw_26211425'!$E$3</f>
        <v/>
      </c>
      <c r="F5" s="8">
        <f>'res_raw_26211425'!$F$3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'res_raw_26211425'!$B$4</f>
        <v/>
      </c>
      <c r="C6" s="5">
        <f>'res_raw_26211425'!$C$4</f>
        <v/>
      </c>
      <c r="D6" s="5">
        <f>'res_raw_26211425'!$D$4</f>
        <v/>
      </c>
      <c r="E6" s="5">
        <f>'res_raw_26211425'!$E$4</f>
        <v/>
      </c>
      <c r="F6" s="5">
        <f>'res_raw_26211425'!$F$4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'res_raw_26211425'!$B$5</f>
        <v/>
      </c>
      <c r="C7" s="8">
        <f>'res_raw_26211425'!$C$5</f>
        <v/>
      </c>
      <c r="D7" s="8">
        <f>'res_raw_26211425'!$D$5</f>
        <v/>
      </c>
      <c r="E7" s="8">
        <f>'res_raw_26211425'!$E$5</f>
        <v/>
      </c>
      <c r="F7" s="8">
        <f>'res_raw_26211425'!$F$5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'res_raw_26211425'!$B$6</f>
        <v/>
      </c>
      <c r="C8" s="11">
        <f>'res_raw_26211425'!$C$6</f>
        <v/>
      </c>
      <c r="D8" s="11">
        <f>'res_raw_26211425'!$D$6</f>
        <v/>
      </c>
      <c r="E8" s="11">
        <f>'res_raw_26211425'!$E$6</f>
        <v/>
      </c>
      <c r="F8" s="11">
        <f>'res_raw_26211425'!$F$6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'res_raw_26211425'!$B$7</f>
        <v/>
      </c>
      <c r="C9" s="8">
        <f>'res_raw_26211425'!$C$7</f>
        <v/>
      </c>
      <c r="D9" s="8">
        <f>'res_raw_26211425'!$D$7</f>
        <v/>
      </c>
      <c r="E9" s="8">
        <f>'res_raw_26211425'!$E$7</f>
        <v/>
      </c>
      <c r="F9" s="8">
        <f>'res_raw_26211425'!$F$7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'res_raw_26211425'!$B$9</f>
        <v/>
      </c>
      <c r="C11" s="8">
        <f>'res_raw_26211425'!$C$9</f>
        <v/>
      </c>
      <c r="D11" s="8">
        <f>'res_raw_26211425'!$D$9</f>
        <v/>
      </c>
      <c r="E11" s="8">
        <f>'res_raw_26211425'!$E$9</f>
        <v/>
      </c>
      <c r="F11" s="8">
        <f>'res_raw_26211425'!$F$9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'res_raw_26211425'!$B$10</f>
        <v/>
      </c>
      <c r="C12" s="5">
        <f>'res_raw_26211425'!$C$10</f>
        <v/>
      </c>
      <c r="D12" s="5">
        <f>'res_raw_26211425'!$D$10</f>
        <v/>
      </c>
      <c r="E12" s="5">
        <f>'res_raw_26211425'!$E$10</f>
        <v/>
      </c>
      <c r="F12" s="5">
        <f>'res_raw_26211425'!$F$10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'res_raw_26211425'!$B$11</f>
        <v/>
      </c>
      <c r="C13" s="11">
        <f>'res_raw_26211425'!$C$11</f>
        <v/>
      </c>
      <c r="D13" s="11">
        <f>'res_raw_26211425'!$D$11</f>
        <v/>
      </c>
      <c r="E13" s="11">
        <f>'res_raw_26211425'!$E$11</f>
        <v/>
      </c>
      <c r="F13" s="11">
        <f>'res_raw_26211425'!$F$11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'res_raw_26211425'!$B$12</f>
        <v/>
      </c>
      <c r="C14" s="5">
        <f>'res_raw_26211425'!$C$12</f>
        <v/>
      </c>
      <c r="D14" s="5">
        <f>'res_raw_26211425'!$D$12</f>
        <v/>
      </c>
      <c r="E14" s="5">
        <f>'res_raw_26211425'!$E$12</f>
        <v/>
      </c>
      <c r="F14" s="5">
        <f>'res_raw_26211425'!$F$12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'res_raw_26211425'!$B$13</f>
        <v/>
      </c>
      <c r="C15" s="8">
        <f>'res_raw_26211425'!$C$13</f>
        <v/>
      </c>
      <c r="D15" s="8">
        <f>'res_raw_26211425'!$D$13</f>
        <v/>
      </c>
      <c r="E15" s="8">
        <f>'res_raw_26211425'!$E$13</f>
        <v/>
      </c>
      <c r="F15" s="8">
        <f>'res_raw_26211425'!$F$13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'res_raw_26211425'!$B$14</f>
        <v/>
      </c>
      <c r="C16" s="5">
        <f>'res_raw_26211425'!$C$14</f>
        <v/>
      </c>
      <c r="D16" s="5">
        <f>'res_raw_26211425'!$D$14</f>
        <v/>
      </c>
      <c r="E16" s="5">
        <f>'res_raw_26211425'!$E$14</f>
        <v/>
      </c>
      <c r="F16" s="5">
        <f>'res_raw_26211425'!$F$14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'res_raw_26211425'!$B$15</f>
        <v/>
      </c>
      <c r="C17" s="11">
        <f>'res_raw_26211425'!$C$15</f>
        <v/>
      </c>
      <c r="D17" s="11">
        <f>'res_raw_26211425'!$D$15</f>
        <v/>
      </c>
      <c r="E17" s="11">
        <f>'res_raw_26211425'!$E$15</f>
        <v/>
      </c>
      <c r="F17" s="11">
        <f>'res_raw_26211425'!$F$15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'res_raw_26211425'!$B$16</f>
        <v/>
      </c>
      <c r="C18" s="11">
        <f>'res_raw_26211425'!$C$16</f>
        <v/>
      </c>
      <c r="D18" s="11">
        <f>'res_raw_26211425'!$D$16</f>
        <v/>
      </c>
      <c r="E18" s="11">
        <f>'res_raw_26211425'!$E$16</f>
        <v/>
      </c>
      <c r="F18" s="11">
        <f>'res_raw_26211425'!$F$16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'res_raw_26211425'!$B$17</f>
        <v/>
      </c>
      <c r="C19" s="8">
        <f>'res_raw_26211425'!$C$17</f>
        <v/>
      </c>
      <c r="D19" s="8">
        <f>'res_raw_26211425'!$D$17</f>
        <v/>
      </c>
      <c r="E19" s="8">
        <f>'res_raw_26211425'!$E$17</f>
        <v/>
      </c>
      <c r="F19" s="8">
        <f>'res_raw_26211425'!$F$17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'res_raw_26211425'!$B$18</f>
        <v/>
      </c>
      <c r="C20" s="11">
        <f>'res_raw_26211425'!$C$18</f>
        <v/>
      </c>
      <c r="D20" s="11">
        <f>'res_raw_26211425'!$D$18</f>
        <v/>
      </c>
      <c r="E20" s="11">
        <f>'res_raw_26211425'!$E$18</f>
        <v/>
      </c>
      <c r="F20" s="11">
        <f>'res_raw_26211425'!$F$18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s="3" t="n">
        <v>2026</v>
      </c>
      <c r="G22" t="inlineStr"/>
      <c r="H22" s="3" t="n">
        <v>2022</v>
      </c>
      <c r="I22" s="3" t="n">
        <v>2023</v>
      </c>
      <c r="J22" s="3" t="n">
        <v>2024</v>
      </c>
      <c r="K22" s="3" t="n">
        <v>2025</v>
      </c>
      <c r="L22" s="3" t="n">
        <v>2026</v>
      </c>
    </row>
    <row r="23" ht="16" customHeight="1">
      <c r="A23" s="7" t="inlineStr">
        <is>
          <t>Udviklingsprojekter</t>
        </is>
      </c>
      <c r="B23" s="8">
        <f>'balance_raw_26211425'!$B$2</f>
        <v/>
      </c>
      <c r="C23" s="8">
        <f>'balance_raw_26211425'!$C$2</f>
        <v/>
      </c>
      <c r="D23" s="8">
        <f>'balance_raw_26211425'!$D$2</f>
        <v/>
      </c>
      <c r="E23" s="8">
        <f>'balance_raw_26211425'!$E$2</f>
        <v/>
      </c>
      <c r="F23" s="8">
        <f>'balance_raw_26211425'!$F$2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'balance_raw_26211425'!$B$3</f>
        <v/>
      </c>
      <c r="C24" s="5">
        <f>'balance_raw_26211425'!$C$3</f>
        <v/>
      </c>
      <c r="D24" s="5">
        <f>'balance_raw_26211425'!$D$3</f>
        <v/>
      </c>
      <c r="E24" s="5">
        <f>'balance_raw_26211425'!$E$3</f>
        <v/>
      </c>
      <c r="F24" s="5">
        <f>'balance_raw_26211425'!$F$3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'balance_raw_26211425'!$B$4</f>
        <v/>
      </c>
      <c r="C25" s="8">
        <f>'balance_raw_26211425'!$C$4</f>
        <v/>
      </c>
      <c r="D25" s="8">
        <f>'balance_raw_26211425'!$D$4</f>
        <v/>
      </c>
      <c r="E25" s="8">
        <f>'balance_raw_26211425'!$E$4</f>
        <v/>
      </c>
      <c r="F25" s="8">
        <f>'balance_raw_26211425'!$F$4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'balance_raw_26211425'!$B$5</f>
        <v/>
      </c>
      <c r="C26" s="11">
        <f>'balance_raw_26211425'!$C$5</f>
        <v/>
      </c>
      <c r="D26" s="11">
        <f>'balance_raw_26211425'!$D$5</f>
        <v/>
      </c>
      <c r="E26" s="11">
        <f>'balance_raw_26211425'!$E$5</f>
        <v/>
      </c>
      <c r="F26" s="11">
        <f>'balance_raw_26211425'!$F$5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'balance_raw_26211425'!$B$6</f>
        <v/>
      </c>
      <c r="C27" s="8">
        <f>'balance_raw_26211425'!$C$6</f>
        <v/>
      </c>
      <c r="D27" s="8">
        <f>'balance_raw_26211425'!$D$6</f>
        <v/>
      </c>
      <c r="E27" s="8">
        <f>'balance_raw_26211425'!$E$6</f>
        <v/>
      </c>
      <c r="F27" s="8">
        <f>'balance_raw_26211425'!$F$6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'balance_raw_26211425'!$B$7</f>
        <v/>
      </c>
      <c r="C28" s="5">
        <f>'balance_raw_26211425'!$C$7</f>
        <v/>
      </c>
      <c r="D28" s="5">
        <f>'balance_raw_26211425'!$D$7</f>
        <v/>
      </c>
      <c r="E28" s="5">
        <f>'balance_raw_26211425'!$E$7</f>
        <v/>
      </c>
      <c r="F28" s="5">
        <f>'balance_raw_26211425'!$F$7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'balance_raw_26211425'!$B$8</f>
        <v/>
      </c>
      <c r="C29" s="8">
        <f>'balance_raw_26211425'!$C$8</f>
        <v/>
      </c>
      <c r="D29" s="8">
        <f>'balance_raw_26211425'!$D$8</f>
        <v/>
      </c>
      <c r="E29" s="8">
        <f>'balance_raw_26211425'!$E$8</f>
        <v/>
      </c>
      <c r="F29" s="8">
        <f>'balance_raw_26211425'!$F$8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'balance_raw_26211425'!$B$9</f>
        <v/>
      </c>
      <c r="C30" s="5">
        <f>'balance_raw_26211425'!$C$9</f>
        <v/>
      </c>
      <c r="D30" s="5">
        <f>'balance_raw_26211425'!$D$9</f>
        <v/>
      </c>
      <c r="E30" s="5">
        <f>'balance_raw_26211425'!$E$9</f>
        <v/>
      </c>
      <c r="F30" s="5">
        <f>'balance_raw_26211425'!$F$9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'balance_raw_26211425'!$B$10</f>
        <v/>
      </c>
      <c r="C31" s="8">
        <f>'balance_raw_26211425'!$C$10</f>
        <v/>
      </c>
      <c r="D31" s="8">
        <f>'balance_raw_26211425'!$D$10</f>
        <v/>
      </c>
      <c r="E31" s="8">
        <f>'balance_raw_26211425'!$E$10</f>
        <v/>
      </c>
      <c r="F31" s="8">
        <f>'balance_raw_26211425'!$F$10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'balance_raw_26211425'!$B$11</f>
        <v/>
      </c>
      <c r="C32" s="11">
        <f>'balance_raw_26211425'!$C$11</f>
        <v/>
      </c>
      <c r="D32" s="11">
        <f>'balance_raw_26211425'!$D$11</f>
        <v/>
      </c>
      <c r="E32" s="11">
        <f>'balance_raw_26211425'!$E$11</f>
        <v/>
      </c>
      <c r="F32" s="11">
        <f>'balance_raw_26211425'!$F$11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'balance_raw_26211425'!$B$12</f>
        <v/>
      </c>
      <c r="C33" s="8">
        <f>'balance_raw_26211425'!$C$12</f>
        <v/>
      </c>
      <c r="D33" s="8">
        <f>'balance_raw_26211425'!$D$12</f>
        <v/>
      </c>
      <c r="E33" s="8">
        <f>'balance_raw_26211425'!$E$12</f>
        <v/>
      </c>
      <c r="F33" s="8">
        <f>'balance_raw_26211425'!$F$12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'balance_raw_26211425'!$B$13</f>
        <v/>
      </c>
      <c r="C34" s="5">
        <f>'balance_raw_26211425'!$C$13</f>
        <v/>
      </c>
      <c r="D34" s="5">
        <f>'balance_raw_26211425'!$D$13</f>
        <v/>
      </c>
      <c r="E34" s="5">
        <f>'balance_raw_26211425'!$E$13</f>
        <v/>
      </c>
      <c r="F34" s="5">
        <f>'balance_raw_26211425'!$F$13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'balance_raw_26211425'!$B$14</f>
        <v/>
      </c>
      <c r="C35" s="11">
        <f>'balance_raw_26211425'!$C$14</f>
        <v/>
      </c>
      <c r="D35" s="11">
        <f>'balance_raw_26211425'!$D$14</f>
        <v/>
      </c>
      <c r="E35" s="11">
        <f>'balance_raw_26211425'!$E$14</f>
        <v/>
      </c>
      <c r="F35" s="11">
        <f>'balance_raw_26211425'!$F$14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'balance_raw_26211425'!$B$15</f>
        <v/>
      </c>
      <c r="C36" s="11">
        <f>'balance_raw_26211425'!$C$15</f>
        <v/>
      </c>
      <c r="D36" s="11">
        <f>'balance_raw_26211425'!$D$15</f>
        <v/>
      </c>
      <c r="E36" s="11">
        <f>'balance_raw_26211425'!$E$15</f>
        <v/>
      </c>
      <c r="F36" s="11">
        <f>'balance_raw_26211425'!$F$15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'balance_raw_26211425'!$B$16</f>
        <v/>
      </c>
      <c r="C37" s="8">
        <f>'balance_raw_26211425'!$C$16</f>
        <v/>
      </c>
      <c r="D37" s="8">
        <f>'balance_raw_26211425'!$D$16</f>
        <v/>
      </c>
      <c r="E37" s="8">
        <f>'balance_raw_26211425'!$E$16</f>
        <v/>
      </c>
      <c r="F37" s="8">
        <f>'balance_raw_26211425'!$F$16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'balance_raw_26211425'!$B$17</f>
        <v/>
      </c>
      <c r="C38" s="5">
        <f>'balance_raw_26211425'!$C$17</f>
        <v/>
      </c>
      <c r="D38" s="5">
        <f>'balance_raw_26211425'!$D$17</f>
        <v/>
      </c>
      <c r="E38" s="5">
        <f>'balance_raw_26211425'!$E$17</f>
        <v/>
      </c>
      <c r="F38" s="5">
        <f>'balance_raw_26211425'!$F$17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'balance_raw_26211425'!$B$18</f>
        <v/>
      </c>
      <c r="C39" s="8">
        <f>'balance_raw_26211425'!$C$18</f>
        <v/>
      </c>
      <c r="D39" s="8">
        <f>'balance_raw_26211425'!$D$18</f>
        <v/>
      </c>
      <c r="E39" s="8">
        <f>'balance_raw_26211425'!$E$18</f>
        <v/>
      </c>
      <c r="F39" s="8">
        <f>'balance_raw_26211425'!$F$18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'balance_raw_26211425'!$B$19</f>
        <v/>
      </c>
      <c r="C40" s="11">
        <f>'balance_raw_26211425'!$C$19</f>
        <v/>
      </c>
      <c r="D40" s="11">
        <f>'balance_raw_26211425'!$D$19</f>
        <v/>
      </c>
      <c r="E40" s="11">
        <f>'balance_raw_26211425'!$E$19</f>
        <v/>
      </c>
      <c r="F40" s="11">
        <f>'balance_raw_26211425'!$F$19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'balance_raw_26211425'!$B$20</f>
        <v/>
      </c>
      <c r="C41" s="8">
        <f>'balance_raw_26211425'!$C$20</f>
        <v/>
      </c>
      <c r="D41" s="8">
        <f>'balance_raw_26211425'!$D$20</f>
        <v/>
      </c>
      <c r="E41" s="8">
        <f>'balance_raw_26211425'!$E$20</f>
        <v/>
      </c>
      <c r="F41" s="8">
        <f>'balance_raw_26211425'!$F$20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'balance_raw_26211425'!$B$21</f>
        <v/>
      </c>
      <c r="C42" s="5">
        <f>'balance_raw_26211425'!$C$21</f>
        <v/>
      </c>
      <c r="D42" s="5">
        <f>'balance_raw_26211425'!$D$21</f>
        <v/>
      </c>
      <c r="E42" s="5">
        <f>'balance_raw_26211425'!$E$21</f>
        <v/>
      </c>
      <c r="F42" s="5">
        <f>'balance_raw_26211425'!$F$21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'balance_raw_26211425'!$B$22</f>
        <v/>
      </c>
      <c r="C43" s="8">
        <f>'balance_raw_26211425'!$C$22</f>
        <v/>
      </c>
      <c r="D43" s="8">
        <f>'balance_raw_26211425'!$D$22</f>
        <v/>
      </c>
      <c r="E43" s="8">
        <f>'balance_raw_26211425'!$E$22</f>
        <v/>
      </c>
      <c r="F43" s="8">
        <f>'balance_raw_26211425'!$F$22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'balance_raw_26211425'!$B$23</f>
        <v/>
      </c>
      <c r="C44" s="5">
        <f>'balance_raw_26211425'!$C$23</f>
        <v/>
      </c>
      <c r="D44" s="5">
        <f>'balance_raw_26211425'!$D$23</f>
        <v/>
      </c>
      <c r="E44" s="5">
        <f>'balance_raw_26211425'!$E$23</f>
        <v/>
      </c>
      <c r="F44" s="5">
        <f>'balance_raw_26211425'!$F$23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'balance_raw_26211425'!$B$24</f>
        <v/>
      </c>
      <c r="C45" s="8">
        <f>'balance_raw_26211425'!$C$24</f>
        <v/>
      </c>
      <c r="D45" s="8">
        <f>'balance_raw_26211425'!$D$24</f>
        <v/>
      </c>
      <c r="E45" s="8">
        <f>'balance_raw_26211425'!$E$24</f>
        <v/>
      </c>
      <c r="F45" s="8">
        <f>'balance_raw_26211425'!$F$24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'balance_raw_26211425'!$B$25</f>
        <v/>
      </c>
      <c r="C46" s="5">
        <f>'balance_raw_26211425'!$C$25</f>
        <v/>
      </c>
      <c r="D46" s="5">
        <f>'balance_raw_26211425'!$D$25</f>
        <v/>
      </c>
      <c r="E46" s="5">
        <f>'balance_raw_26211425'!$E$25</f>
        <v/>
      </c>
      <c r="F46" s="5">
        <f>'balance_raw_26211425'!$F$25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'balance_raw_26211425'!$B$26</f>
        <v/>
      </c>
      <c r="C47" s="8">
        <f>'balance_raw_26211425'!$C$26</f>
        <v/>
      </c>
      <c r="D47" s="8">
        <f>'balance_raw_26211425'!$D$26</f>
        <v/>
      </c>
      <c r="E47" s="8">
        <f>'balance_raw_26211425'!$E$26</f>
        <v/>
      </c>
      <c r="F47" s="8">
        <f>'balance_raw_26211425'!$F$26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'balance_raw_26211425'!$B$27</f>
        <v/>
      </c>
      <c r="C48" s="11">
        <f>'balance_raw_26211425'!$C$27</f>
        <v/>
      </c>
      <c r="D48" s="11">
        <f>'balance_raw_26211425'!$D$27</f>
        <v/>
      </c>
      <c r="E48" s="11">
        <f>'balance_raw_26211425'!$E$27</f>
        <v/>
      </c>
      <c r="F48" s="11">
        <f>'balance_raw_26211425'!$F$27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'balance_raw_26211425'!$B$28</f>
        <v/>
      </c>
      <c r="C49" s="8">
        <f>'balance_raw_26211425'!$C$28</f>
        <v/>
      </c>
      <c r="D49" s="8">
        <f>'balance_raw_26211425'!$D$28</f>
        <v/>
      </c>
      <c r="E49" s="8">
        <f>'balance_raw_26211425'!$E$28</f>
        <v/>
      </c>
      <c r="F49" s="8">
        <f>'balance_raw_26211425'!$F$28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'balance_raw_26211425'!$B$29</f>
        <v/>
      </c>
      <c r="C50" s="5">
        <f>'balance_raw_26211425'!$C$29</f>
        <v/>
      </c>
      <c r="D50" s="5">
        <f>'balance_raw_26211425'!$D$29</f>
        <v/>
      </c>
      <c r="E50" s="5">
        <f>'balance_raw_26211425'!$E$29</f>
        <v/>
      </c>
      <c r="F50" s="5">
        <f>'balance_raw_26211425'!$F$29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'balance_raw_26211425'!$B$30</f>
        <v/>
      </c>
      <c r="C51" s="11">
        <f>'balance_raw_26211425'!$C$30</f>
        <v/>
      </c>
      <c r="D51" s="11">
        <f>'balance_raw_26211425'!$D$30</f>
        <v/>
      </c>
      <c r="E51" s="11">
        <f>'balance_raw_26211425'!$E$30</f>
        <v/>
      </c>
      <c r="F51" s="11">
        <f>'balance_raw_26211425'!$F$30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'balance_raw_26211425'!$B$31</f>
        <v/>
      </c>
      <c r="C52" s="11">
        <f>'balance_raw_26211425'!$C$31</f>
        <v/>
      </c>
      <c r="D52" s="11">
        <f>'balance_raw_26211425'!$D$31</f>
        <v/>
      </c>
      <c r="E52" s="11">
        <f>'balance_raw_26211425'!$E$31</f>
        <v/>
      </c>
      <c r="F52" s="11">
        <f>'balance_raw_26211425'!$F$31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2022</v>
      </c>
      <c r="C54" s="3" t="n">
        <v>2023</v>
      </c>
      <c r="D54" s="3" t="n">
        <v>2024</v>
      </c>
      <c r="E54" s="3" t="n">
        <v>2025</v>
      </c>
      <c r="F54" s="3" t="n">
        <v>2026</v>
      </c>
      <c r="G54" t="inlineStr"/>
      <c r="H54" s="3" t="n">
        <v>2022</v>
      </c>
      <c r="I54" s="3" t="n">
        <v>2023</v>
      </c>
      <c r="J54" s="3" t="n">
        <v>2024</v>
      </c>
      <c r="K54" s="3" t="n">
        <v>2025</v>
      </c>
      <c r="L54" s="3" t="n">
        <v>2026</v>
      </c>
    </row>
    <row r="55" ht="16" customHeight="1">
      <c r="A55" s="7" t="inlineStr">
        <is>
          <t>Selskabskapital</t>
        </is>
      </c>
      <c r="B55" s="8">
        <f>'balance_raw_26211425'!$B$32</f>
        <v/>
      </c>
      <c r="C55" s="8">
        <f>'balance_raw_26211425'!$C$32</f>
        <v/>
      </c>
      <c r="D55" s="8">
        <f>'balance_raw_26211425'!$D$32</f>
        <v/>
      </c>
      <c r="E55" s="8">
        <f>'balance_raw_26211425'!$E$32</f>
        <v/>
      </c>
      <c r="F55" s="8">
        <f>'balance_raw_26211425'!$F$32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'balance_raw_26211425'!$B$33</f>
        <v/>
      </c>
      <c r="C56" s="5">
        <f>'balance_raw_26211425'!$C$33</f>
        <v/>
      </c>
      <c r="D56" s="5">
        <f>'balance_raw_26211425'!$D$33</f>
        <v/>
      </c>
      <c r="E56" s="5">
        <f>'balance_raw_26211425'!$E$33</f>
        <v/>
      </c>
      <c r="F56" s="5">
        <f>'balance_raw_26211425'!$F$33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'balance_raw_26211425'!$B$34</f>
        <v/>
      </c>
      <c r="C57" s="8">
        <f>'balance_raw_26211425'!$C$34</f>
        <v/>
      </c>
      <c r="D57" s="8">
        <f>'balance_raw_26211425'!$D$34</f>
        <v/>
      </c>
      <c r="E57" s="8">
        <f>'balance_raw_26211425'!$E$34</f>
        <v/>
      </c>
      <c r="F57" s="8">
        <f>'balance_raw_26211425'!$F$34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'balance_raw_26211425'!$B$35</f>
        <v/>
      </c>
      <c r="C58" s="5">
        <f>'balance_raw_26211425'!$C$35</f>
        <v/>
      </c>
      <c r="D58" s="5">
        <f>'balance_raw_26211425'!$D$35</f>
        <v/>
      </c>
      <c r="E58" s="5">
        <f>'balance_raw_26211425'!$E$35</f>
        <v/>
      </c>
      <c r="F58" s="5">
        <f>'balance_raw_26211425'!$F$35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'balance_raw_26211425'!$B$36</f>
        <v/>
      </c>
      <c r="C59" s="8">
        <f>'balance_raw_26211425'!$C$36</f>
        <v/>
      </c>
      <c r="D59" s="8">
        <f>'balance_raw_26211425'!$D$36</f>
        <v/>
      </c>
      <c r="E59" s="8">
        <f>'balance_raw_26211425'!$E$36</f>
        <v/>
      </c>
      <c r="F59" s="8">
        <f>'balance_raw_26211425'!$F$36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'balance_raw_26211425'!$B$37</f>
        <v/>
      </c>
      <c r="C60" s="5">
        <f>'balance_raw_26211425'!$C$37</f>
        <v/>
      </c>
      <c r="D60" s="5">
        <f>'balance_raw_26211425'!$D$37</f>
        <v/>
      </c>
      <c r="E60" s="5">
        <f>'balance_raw_26211425'!$E$37</f>
        <v/>
      </c>
      <c r="F60" s="5">
        <f>'balance_raw_26211425'!$F$37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'balance_raw_26211425'!$B$38</f>
        <v/>
      </c>
      <c r="C61" s="11">
        <f>'balance_raw_26211425'!$C$38</f>
        <v/>
      </c>
      <c r="D61" s="11">
        <f>'balance_raw_26211425'!$D$38</f>
        <v/>
      </c>
      <c r="E61" s="11">
        <f>'balance_raw_26211425'!$E$38</f>
        <v/>
      </c>
      <c r="F61" s="11">
        <f>'balance_raw_26211425'!$F$38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'balance_raw_26211425'!$B$39</f>
        <v/>
      </c>
      <c r="C62" s="5">
        <f>'balance_raw_26211425'!$C$39</f>
        <v/>
      </c>
      <c r="D62" s="5">
        <f>'balance_raw_26211425'!$D$39</f>
        <v/>
      </c>
      <c r="E62" s="5">
        <f>'balance_raw_26211425'!$E$39</f>
        <v/>
      </c>
      <c r="F62" s="5">
        <f>'balance_raw_26211425'!$F$39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'balance_raw_26211425'!$B$40</f>
        <v/>
      </c>
      <c r="C63" s="11">
        <f>'balance_raw_26211425'!$C$40</f>
        <v/>
      </c>
      <c r="D63" s="11">
        <f>'balance_raw_26211425'!$D$40</f>
        <v/>
      </c>
      <c r="E63" s="11">
        <f>'balance_raw_26211425'!$E$40</f>
        <v/>
      </c>
      <c r="F63" s="11">
        <f>'balance_raw_26211425'!$F$40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'balance_raw_26211425'!$B$41</f>
        <v/>
      </c>
      <c r="C64" s="5">
        <f>'balance_raw_26211425'!$C$41</f>
        <v/>
      </c>
      <c r="D64" s="5">
        <f>'balance_raw_26211425'!$D$41</f>
        <v/>
      </c>
      <c r="E64" s="5">
        <f>'balance_raw_26211425'!$E$41</f>
        <v/>
      </c>
      <c r="F64" s="5">
        <f>'balance_raw_26211425'!$F$41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'balance_raw_26211425'!$B$42</f>
        <v/>
      </c>
      <c r="C65" s="8">
        <f>'balance_raw_26211425'!$C$42</f>
        <v/>
      </c>
      <c r="D65" s="8">
        <f>'balance_raw_26211425'!$D$42</f>
        <v/>
      </c>
      <c r="E65" s="8">
        <f>'balance_raw_26211425'!$E$42</f>
        <v/>
      </c>
      <c r="F65" s="8">
        <f>'balance_raw_26211425'!$F$42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'balance_raw_26211425'!$B$43</f>
        <v/>
      </c>
      <c r="C66" s="5">
        <f>'balance_raw_26211425'!$C$43</f>
        <v/>
      </c>
      <c r="D66" s="5">
        <f>'balance_raw_26211425'!$D$43</f>
        <v/>
      </c>
      <c r="E66" s="5">
        <f>'balance_raw_26211425'!$E$43</f>
        <v/>
      </c>
      <c r="F66" s="5">
        <f>'balance_raw_26211425'!$F$43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'balance_raw_26211425'!$B$44</f>
        <v/>
      </c>
      <c r="C67" s="8">
        <f>'balance_raw_26211425'!$C$44</f>
        <v/>
      </c>
      <c r="D67" s="8">
        <f>'balance_raw_26211425'!$D$44</f>
        <v/>
      </c>
      <c r="E67" s="8">
        <f>'balance_raw_26211425'!$E$44</f>
        <v/>
      </c>
      <c r="F67" s="8">
        <f>'balance_raw_26211425'!$F$44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'balance_raw_26211425'!$B$45</f>
        <v/>
      </c>
      <c r="C68" s="11">
        <f>'balance_raw_26211425'!$C$45</f>
        <v/>
      </c>
      <c r="D68" s="11">
        <f>'balance_raw_26211425'!$D$45</f>
        <v/>
      </c>
      <c r="E68" s="11">
        <f>'balance_raw_26211425'!$E$45</f>
        <v/>
      </c>
      <c r="F68" s="11">
        <f>'balance_raw_26211425'!$F$45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'balance_raw_26211425'!$B$46</f>
        <v/>
      </c>
      <c r="C69" s="8">
        <f>'balance_raw_26211425'!$C$46</f>
        <v/>
      </c>
      <c r="D69" s="8">
        <f>'balance_raw_26211425'!$D$46</f>
        <v/>
      </c>
      <c r="E69" s="8">
        <f>'balance_raw_26211425'!$E$46</f>
        <v/>
      </c>
      <c r="F69" s="8">
        <f>'balance_raw_26211425'!$F$46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'balance_raw_26211425'!$B$47</f>
        <v/>
      </c>
      <c r="C70" s="5">
        <f>'balance_raw_26211425'!$C$47</f>
        <v/>
      </c>
      <c r="D70" s="5">
        <f>'balance_raw_26211425'!$D$47</f>
        <v/>
      </c>
      <c r="E70" s="5">
        <f>'balance_raw_26211425'!$E$47</f>
        <v/>
      </c>
      <c r="F70" s="5">
        <f>'balance_raw_26211425'!$F$47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'balance_raw_26211425'!$B$48</f>
        <v/>
      </c>
      <c r="C71" s="8">
        <f>'balance_raw_26211425'!$C$48</f>
        <v/>
      </c>
      <c r="D71" s="8">
        <f>'balance_raw_26211425'!$D$48</f>
        <v/>
      </c>
      <c r="E71" s="8">
        <f>'balance_raw_26211425'!$E$48</f>
        <v/>
      </c>
      <c r="F71" s="8">
        <f>'balance_raw_26211425'!$F$48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'balance_raw_26211425'!$B$49</f>
        <v/>
      </c>
      <c r="C72" s="5">
        <f>'balance_raw_26211425'!$C$49</f>
        <v/>
      </c>
      <c r="D72" s="5">
        <f>'balance_raw_26211425'!$D$49</f>
        <v/>
      </c>
      <c r="E72" s="5">
        <f>'balance_raw_26211425'!$E$49</f>
        <v/>
      </c>
      <c r="F72" s="5">
        <f>'balance_raw_26211425'!$F$49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'balance_raw_26211425'!$B$50</f>
        <v/>
      </c>
      <c r="C73" s="8">
        <f>'balance_raw_26211425'!$C$50</f>
        <v/>
      </c>
      <c r="D73" s="8">
        <f>'balance_raw_26211425'!$D$50</f>
        <v/>
      </c>
      <c r="E73" s="8">
        <f>'balance_raw_26211425'!$E$50</f>
        <v/>
      </c>
      <c r="F73" s="8">
        <f>'balance_raw_26211425'!$F$50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'balance_raw_26211425'!$B$51</f>
        <v/>
      </c>
      <c r="C74" s="5">
        <f>'balance_raw_26211425'!$C$51</f>
        <v/>
      </c>
      <c r="D74" s="5">
        <f>'balance_raw_26211425'!$D$51</f>
        <v/>
      </c>
      <c r="E74" s="5">
        <f>'balance_raw_26211425'!$E$51</f>
        <v/>
      </c>
      <c r="F74" s="5">
        <f>'balance_raw_26211425'!$F$51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'balance_raw_26211425'!$B$52</f>
        <v/>
      </c>
      <c r="C75" s="8">
        <f>'balance_raw_26211425'!$C$52</f>
        <v/>
      </c>
      <c r="D75" s="8">
        <f>'balance_raw_26211425'!$D$52</f>
        <v/>
      </c>
      <c r="E75" s="8">
        <f>'balance_raw_26211425'!$E$52</f>
        <v/>
      </c>
      <c r="F75" s="8">
        <f>'balance_raw_26211425'!$F$52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'balance_raw_26211425'!$B$53</f>
        <v/>
      </c>
      <c r="C76" s="5">
        <f>'balance_raw_26211425'!$C$53</f>
        <v/>
      </c>
      <c r="D76" s="5">
        <f>'balance_raw_26211425'!$D$53</f>
        <v/>
      </c>
      <c r="E76" s="5">
        <f>'balance_raw_26211425'!$E$53</f>
        <v/>
      </c>
      <c r="F76" s="5">
        <f>'balance_raw_26211425'!$F$53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'balance_raw_26211425'!$B$54</f>
        <v/>
      </c>
      <c r="C77" s="8">
        <f>'balance_raw_26211425'!$C$54</f>
        <v/>
      </c>
      <c r="D77" s="8">
        <f>'balance_raw_26211425'!$D$54</f>
        <v/>
      </c>
      <c r="E77" s="8">
        <f>'balance_raw_26211425'!$E$54</f>
        <v/>
      </c>
      <c r="F77" s="8">
        <f>'balance_raw_26211425'!$F$54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'balance_raw_26211425'!$B$55</f>
        <v/>
      </c>
      <c r="C78" s="5">
        <f>'balance_raw_26211425'!$C$55</f>
        <v/>
      </c>
      <c r="D78" s="5">
        <f>'balance_raw_26211425'!$D$55</f>
        <v/>
      </c>
      <c r="E78" s="5">
        <f>'balance_raw_26211425'!$E$55</f>
        <v/>
      </c>
      <c r="F78" s="5">
        <f>'balance_raw_26211425'!$F$55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'balance_raw_26211425'!$B$56</f>
        <v/>
      </c>
      <c r="C79" s="8">
        <f>'balance_raw_26211425'!$C$56</f>
        <v/>
      </c>
      <c r="D79" s="8">
        <f>'balance_raw_26211425'!$D$56</f>
        <v/>
      </c>
      <c r="E79" s="8">
        <f>'balance_raw_26211425'!$E$56</f>
        <v/>
      </c>
      <c r="F79" s="8">
        <f>'balance_raw_26211425'!$F$56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'balance_raw_26211425'!$B$57</f>
        <v/>
      </c>
      <c r="C80" s="11">
        <f>'balance_raw_26211425'!$C$57</f>
        <v/>
      </c>
      <c r="D80" s="11">
        <f>'balance_raw_26211425'!$D$57</f>
        <v/>
      </c>
      <c r="E80" s="11">
        <f>'balance_raw_26211425'!$E$57</f>
        <v/>
      </c>
      <c r="F80" s="11">
        <f>'balance_raw_26211425'!$F$57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'balance_raw_26211425'!$B$58</f>
        <v/>
      </c>
      <c r="C81" s="11">
        <f>'balance_raw_26211425'!$C$58</f>
        <v/>
      </c>
      <c r="D81" s="11">
        <f>'balance_raw_26211425'!$D$58</f>
        <v/>
      </c>
      <c r="E81" s="11">
        <f>'balance_raw_26211425'!$E$58</f>
        <v/>
      </c>
      <c r="F81" s="11">
        <f>'balance_raw_26211425'!$F$58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'balance_raw_26211425'!$B$59</f>
        <v/>
      </c>
      <c r="C82" s="11">
        <f>'balance_raw_26211425'!$C$59</f>
        <v/>
      </c>
      <c r="D82" s="11">
        <f>'balance_raw_26211425'!$D$59</f>
        <v/>
      </c>
      <c r="E82" s="11">
        <f>'balance_raw_26211425'!$E$59</f>
        <v/>
      </c>
      <c r="F82" s="11">
        <f>'balance_raw_26211425'!$F$59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2022</v>
      </c>
      <c r="C84" s="3" t="n">
        <v>2023</v>
      </c>
      <c r="D84" s="3" t="n">
        <v>2024</v>
      </c>
      <c r="E84" s="3" t="n">
        <v>2025</v>
      </c>
      <c r="F84" s="3" t="n">
        <v>2026</v>
      </c>
    </row>
    <row r="85" ht="16" customHeight="1">
      <c r="A85" s="7" t="inlineStr">
        <is>
          <t>Gns. antal medarbejdere</t>
        </is>
      </c>
      <c r="B85" s="8">
        <f>'res_raw_26211425'!$B$19</f>
        <v/>
      </c>
      <c r="C85" s="8">
        <f>'res_raw_26211425'!$C$19</f>
        <v/>
      </c>
      <c r="D85" s="8">
        <f>'res_raw_26211425'!$D$19</f>
        <v/>
      </c>
      <c r="E85" s="8">
        <f>'res_raw_26211425'!$E$19</f>
        <v/>
      </c>
      <c r="F85" s="8">
        <f>'res_raw_26211425'!$F$19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'res_raw_26211425'!$B$20</f>
        <v/>
      </c>
      <c r="C86" s="5">
        <f>'res_raw_26211425'!$C$20</f>
        <v/>
      </c>
      <c r="D86" s="5">
        <f>'res_raw_26211425'!$D$20</f>
        <v/>
      </c>
      <c r="E86" s="5">
        <f>'res_raw_26211425'!$E$20</f>
        <v/>
      </c>
      <c r="F86" s="5">
        <f>'res_raw_26211425'!$F$20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2022</v>
      </c>
      <c r="C88" s="3" t="n">
        <v>2023</v>
      </c>
      <c r="D88" s="3" t="n">
        <v>2024</v>
      </c>
      <c r="E88" s="3" t="n">
        <v>2025</v>
      </c>
      <c r="F88" s="3" t="n">
        <v>2026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 (af bruttofortjeneste), %</t>
        </is>
      </c>
      <c r="B90" s="14">
        <f>IFERROR(($B$13+$B$15+$B$14)/$B$8*100,"")</f>
        <v/>
      </c>
      <c r="C90" s="14">
        <f>IFERROR(($C$13+$C$15+$C$14)/$C$8*100,"")</f>
        <v/>
      </c>
      <c r="D90" s="14">
        <f>IFERROR(($D$13+$D$15+$D$14)/$D$8*100,"")</f>
        <v/>
      </c>
      <c r="E90" s="14">
        <f>IFERROR(($E$13+$E$15+$E$14)/$E$8*100,"")</f>
        <v/>
      </c>
      <c r="F90" s="14">
        <f>IFERROR(($F$13+$F$15+$F$14)/$F$8*100,"")</f>
        <v/>
      </c>
    </row>
    <row r="91" ht="16" customHeight="1">
      <c r="A91" s="7" t="inlineStr">
        <is>
          <t>Aktivernes omsætningshastighed (af bruttofortjeneste), gange</t>
        </is>
      </c>
      <c r="B91" s="13">
        <f>IFERROR($B$8/$B$52,"")</f>
        <v/>
      </c>
      <c r="C91" s="13">
        <f>IFERROR($C$8/$C$52,"")</f>
        <v/>
      </c>
      <c r="D91" s="13">
        <f>IFERROR($D$8/$D$52,"")</f>
        <v/>
      </c>
      <c r="E91" s="13">
        <f>IFERROR($E$8/$E$52,"")</f>
        <v/>
      </c>
      <c r="F91" s="13">
        <f>IFERROR($F$8/$F$52,"")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'pengestrom_raw_26211425'!$B$2</f>
        <v/>
      </c>
      <c r="C102" s="17">
        <f>'pengestrom_raw_26211425'!$C$2</f>
        <v/>
      </c>
      <c r="D102" s="17">
        <f>'pengestrom_raw_26211425'!$D$2</f>
        <v/>
      </c>
      <c r="E102" s="17">
        <f>'pengestrom_raw_26211425'!$E$2</f>
        <v/>
      </c>
      <c r="F102" s="17">
        <f>'pengestrom_raw_26211425'!$F$2</f>
        <v/>
      </c>
    </row>
    <row r="103">
      <c r="A103" s="16" t="inlineStr">
        <is>
          <t>Pengestrømme fra investeringsaktivitet</t>
        </is>
      </c>
      <c r="B103" s="17">
        <f>'pengestrom_raw_26211425'!$B$3</f>
        <v/>
      </c>
      <c r="C103" s="17">
        <f>'pengestrom_raw_26211425'!$C$3</f>
        <v/>
      </c>
      <c r="D103" s="17">
        <f>'pengestrom_raw_26211425'!$D$3</f>
        <v/>
      </c>
      <c r="E103" s="17">
        <f>'pengestrom_raw_26211425'!$E$3</f>
        <v/>
      </c>
      <c r="F103" s="17">
        <f>'pengestrom_raw_26211425'!$F$3</f>
        <v/>
      </c>
    </row>
    <row r="104">
      <c r="A104" s="16" t="inlineStr">
        <is>
          <t>Pengestrømme fra finansieringsaktivitet</t>
        </is>
      </c>
      <c r="B104" s="17">
        <f>'pengestrom_raw_26211425'!$B$4</f>
        <v/>
      </c>
      <c r="C104" s="17">
        <f>'pengestrom_raw_26211425'!$C$4</f>
        <v/>
      </c>
      <c r="D104" s="17">
        <f>'pengestrom_raw_26211425'!$D$4</f>
        <v/>
      </c>
      <c r="E104" s="17">
        <f>'pengestrom_raw_26211425'!$E$4</f>
        <v/>
      </c>
      <c r="F104" s="17">
        <f>'pengestrom_raw_26211425'!$F$4</f>
        <v/>
      </c>
    </row>
    <row r="105">
      <c r="A105" s="16" t="inlineStr">
        <is>
          <t>Årets pengestrøm (rapporteret)</t>
        </is>
      </c>
      <c r="B105" s="17">
        <f>'pengestrom_raw_26211425'!$B$5</f>
        <v/>
      </c>
      <c r="C105" s="17">
        <f>'pengestrom_raw_26211425'!$C$5</f>
        <v/>
      </c>
      <c r="D105" s="17">
        <f>'pengestrom_raw_26211425'!$D$5</f>
        <v/>
      </c>
      <c r="E105" s="17">
        <f>'pengestrom_raw_26211425'!$E$5</f>
        <v/>
      </c>
      <c r="F105" s="17">
        <f>'pengestrom_raw_26211425'!$F$5</f>
        <v/>
      </c>
    </row>
    <row r="106">
      <c r="A106" s="16" t="inlineStr">
        <is>
          <t>Krydstjek: drift + inv. + fin. = årets pengestrøm</t>
        </is>
      </c>
      <c r="B106">
        <f>IF(ABS(('pengestrom_raw_26211425'!$B$2+'pengestrom_raw_26211425'!$B$3+'pengestrom_raw_26211425'!$B$4)-'pengestrom_raw_26211425'!$B$5)&lt;=2,"✓","⚠ "&amp;TEXT(('pengestrom_raw_26211425'!$B$2+'pengestrom_raw_26211425'!$B$3+'pengestrom_raw_26211425'!$B$4)-'pengestrom_raw_26211425'!$B$5,"+#,##0;-#,##0"))</f>
        <v/>
      </c>
      <c r="C106">
        <f>IF(ABS(('pengestrom_raw_26211425'!$C$2+'pengestrom_raw_26211425'!$C$3+'pengestrom_raw_26211425'!$C$4)-'pengestrom_raw_26211425'!$C$5)&lt;=2,"✓","⚠ "&amp;TEXT(('pengestrom_raw_26211425'!$C$2+'pengestrom_raw_26211425'!$C$3+'pengestrom_raw_26211425'!$C$4)-'pengestrom_raw_26211425'!$C$5,"+#,##0;-#,##0"))</f>
        <v/>
      </c>
      <c r="D106">
        <f>IF(ABS(('pengestrom_raw_26211425'!$D$2+'pengestrom_raw_26211425'!$D$3+'pengestrom_raw_26211425'!$D$4)-'pengestrom_raw_26211425'!$D$5)&lt;=2,"✓","⚠ "&amp;TEXT(('pengestrom_raw_26211425'!$D$2+'pengestrom_raw_26211425'!$D$3+'pengestrom_raw_26211425'!$D$4)-'pengestrom_raw_26211425'!$D$5,"+#,##0;-#,##0"))</f>
        <v/>
      </c>
      <c r="E106">
        <f>IF(ABS(('pengestrom_raw_26211425'!$E$2+'pengestrom_raw_26211425'!$E$3+'pengestrom_raw_26211425'!$E$4)-'pengestrom_raw_26211425'!$E$5)&lt;=2,"✓","⚠ "&amp;TEXT(('pengestrom_raw_26211425'!$E$2+'pengestrom_raw_26211425'!$E$3+'pengestrom_raw_26211425'!$E$4)-'pengestrom_raw_26211425'!$E$5,"+#,##0;-#,##0"))</f>
        <v/>
      </c>
      <c r="F106">
        <f>IF(ABS(('pengestrom_raw_26211425'!$F$2+'pengestrom_raw_26211425'!$F$3+'pengestrom_raw_26211425'!$F$4)-'pengestrom_raw_26211425'!$F$5)&lt;=2,"✓","⚠ "&amp;TEXT(('pengestrom_raw_26211425'!$F$2+'pengestrom_raw_26211425'!$F$3+'pengestrom_raw_26211425'!$F$4)-'pengestrom_raw_26211425'!$F$5,"+#,##0;-#,##0"))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Westpack A/S (CVR 26211425)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Nettoomsætning</t>
        </is>
      </c>
      <c r="B2" s="17" t="n"/>
      <c r="C2" s="17" t="n"/>
      <c r="D2" s="17" t="n"/>
      <c r="E2" s="17" t="n"/>
      <c r="F2" s="17" t="n"/>
    </row>
    <row r="3">
      <c r="A3" s="16" t="inlineStr">
        <is>
          <t>Andre driftsindtægter</t>
        </is>
      </c>
      <c r="B3" s="17" t="n">
        <v>239</v>
      </c>
      <c r="C3" s="17" t="n">
        <v>0</v>
      </c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96413</v>
      </c>
      <c r="C6" s="17" t="n">
        <v>85539</v>
      </c>
      <c r="D6" s="17" t="n">
        <v>90590</v>
      </c>
      <c r="E6" s="17" t="n">
        <v>104580</v>
      </c>
      <c r="F6" s="17" t="n">
        <v>111457</v>
      </c>
    </row>
    <row r="7">
      <c r="A7" s="16" t="inlineStr">
        <is>
          <t>Personaleomkostninger</t>
        </is>
      </c>
      <c r="B7" s="17" t="n">
        <v>69741</v>
      </c>
      <c r="C7" s="17" t="n">
        <v>70534</v>
      </c>
      <c r="D7" s="17" t="n">
        <v>80988</v>
      </c>
      <c r="E7" s="17" t="n">
        <v>79983</v>
      </c>
      <c r="F7" s="17" t="n">
        <v>82824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Andre driftsomkostninger</t>
        </is>
      </c>
      <c r="B10" s="17" t="n">
        <v>11648</v>
      </c>
      <c r="C10" s="17" t="n">
        <v>0</v>
      </c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56724</v>
      </c>
      <c r="C11" s="17" t="n">
        <v>47314</v>
      </c>
      <c r="D11" s="17" t="n">
        <v>47697</v>
      </c>
      <c r="E11" s="17" t="n">
        <v>58387</v>
      </c>
      <c r="F11" s="17" t="n">
        <v>60519</v>
      </c>
    </row>
    <row r="12">
      <c r="A12" s="16" t="inlineStr">
        <is>
          <t>Indtægter af kapitalandele, dattervirksomheder</t>
        </is>
      </c>
      <c r="B12" s="17" t="n">
        <v>479</v>
      </c>
      <c r="C12" s="17" t="n">
        <v>678</v>
      </c>
      <c r="D12" s="17" t="n">
        <v>179</v>
      </c>
      <c r="E12" s="17" t="n">
        <v>105</v>
      </c>
      <c r="F12" s="17" t="n">
        <v>-202</v>
      </c>
    </row>
    <row r="13">
      <c r="A13" s="16" t="inlineStr">
        <is>
          <t>Finansielle indtægter</t>
        </is>
      </c>
      <c r="B13" s="17" t="n">
        <v>294</v>
      </c>
      <c r="C13" s="17" t="n">
        <v>427</v>
      </c>
      <c r="D13" s="17" t="n">
        <v>471</v>
      </c>
      <c r="E13" s="17" t="n">
        <v>278</v>
      </c>
      <c r="F13" s="17" t="n">
        <v>245</v>
      </c>
    </row>
    <row r="14">
      <c r="A14" s="16" t="inlineStr">
        <is>
          <t>Finansielle omkostninger</t>
        </is>
      </c>
      <c r="B14" s="17" t="n">
        <v>2188</v>
      </c>
      <c r="C14" s="17" t="n">
        <v>5259</v>
      </c>
      <c r="D14" s="17" t="n">
        <v>3244</v>
      </c>
      <c r="E14" s="17" t="n">
        <v>4525</v>
      </c>
      <c r="F14" s="17" t="n">
        <v>4807</v>
      </c>
    </row>
    <row r="15">
      <c r="A15" s="15" t="inlineStr">
        <is>
          <t>Finansielle poster, netto</t>
        </is>
      </c>
      <c r="B15" s="17" t="n">
        <v>-1415</v>
      </c>
      <c r="C15" s="17" t="n">
        <v>-4154</v>
      </c>
      <c r="D15" s="17" t="n">
        <v>-2773</v>
      </c>
      <c r="E15" s="17" t="n">
        <v>-4247</v>
      </c>
      <c r="F15" s="17" t="n">
        <v>-4562</v>
      </c>
    </row>
    <row r="16">
      <c r="A16" s="15" t="inlineStr">
        <is>
          <t>Resultat før skat</t>
        </is>
      </c>
      <c r="B16" s="17" t="n">
        <v>43900</v>
      </c>
      <c r="C16" s="17" t="n">
        <v>43160</v>
      </c>
      <c r="D16" s="17" t="n">
        <v>45103</v>
      </c>
      <c r="E16" s="17" t="n">
        <v>54245</v>
      </c>
      <c r="F16" s="17" t="n">
        <v>55755</v>
      </c>
    </row>
    <row r="17">
      <c r="A17" s="16" t="inlineStr">
        <is>
          <t>Skat af årets resultat</t>
        </is>
      </c>
      <c r="B17" s="17" t="n">
        <v>12095</v>
      </c>
      <c r="C17" s="17" t="n">
        <v>9215</v>
      </c>
      <c r="D17" s="17" t="n">
        <v>10092</v>
      </c>
      <c r="E17" s="17" t="n">
        <v>11915</v>
      </c>
      <c r="F17" s="17" t="n">
        <v>11929</v>
      </c>
    </row>
    <row r="18">
      <c r="A18" s="15" t="inlineStr">
        <is>
          <t>Årets resultat</t>
        </is>
      </c>
      <c r="B18" s="17" t="n">
        <v>31805</v>
      </c>
      <c r="C18" s="17" t="n">
        <v>33945</v>
      </c>
      <c r="D18" s="17" t="n">
        <v>35011</v>
      </c>
      <c r="E18" s="17" t="n">
        <v>42330</v>
      </c>
      <c r="F18" s="17" t="n">
        <v>43826</v>
      </c>
    </row>
    <row r="19">
      <c r="A19" s="16" t="inlineStr">
        <is>
          <t>Gns. antal medarbejdere</t>
        </is>
      </c>
      <c r="B19" s="17" t="n">
        <v>142</v>
      </c>
      <c r="C19" s="17" t="n">
        <v>148</v>
      </c>
      <c r="D19" s="17" t="n">
        <v>160</v>
      </c>
      <c r="E19" s="17" t="n">
        <v>157</v>
      </c>
      <c r="F19" s="17" t="n">
        <v>159</v>
      </c>
    </row>
    <row r="20">
      <c r="A20" s="16" t="inlineStr">
        <is>
          <t>Investering i materielle anlægsaktiver</t>
        </is>
      </c>
      <c r="B20" s="17" t="n">
        <v>3813</v>
      </c>
      <c r="C20" s="17" t="n">
        <v>9126</v>
      </c>
      <c r="D20" s="17" t="n">
        <v>3570</v>
      </c>
      <c r="E20" s="17" t="n">
        <v>1153</v>
      </c>
      <c r="F20" s="17" t="n">
        <v>7090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Westpack A/S (CVR 26211425)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Udviklingsprojekter</t>
        </is>
      </c>
      <c r="B2" s="17" t="n"/>
      <c r="C2" s="17" t="n">
        <v>322</v>
      </c>
      <c r="D2" s="17" t="n">
        <v>605</v>
      </c>
      <c r="E2" s="17" t="n">
        <v>715</v>
      </c>
      <c r="F2" s="17" t="n">
        <v>1040</v>
      </c>
    </row>
    <row r="3">
      <c r="A3" s="16" t="inlineStr">
        <is>
          <t>Patenter, varemærker mv.</t>
        </is>
      </c>
      <c r="B3" s="17" t="n">
        <v>1338</v>
      </c>
      <c r="C3" s="17" t="n">
        <v>631</v>
      </c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1338</v>
      </c>
      <c r="C5" s="17" t="n">
        <v>953</v>
      </c>
      <c r="D5" s="17" t="n">
        <v>858</v>
      </c>
      <c r="E5" s="17" t="n">
        <v>948</v>
      </c>
      <c r="F5" s="17" t="n">
        <v>1040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>
        <v>10565</v>
      </c>
      <c r="C7" s="17" t="n">
        <v>14619</v>
      </c>
      <c r="D7" s="17" t="n">
        <v>12718</v>
      </c>
      <c r="E7" s="17" t="n">
        <v>8923</v>
      </c>
      <c r="F7" s="17" t="n">
        <v>4918</v>
      </c>
    </row>
    <row r="8">
      <c r="A8" s="16" t="inlineStr">
        <is>
          <t>Driftsmateriel og inventar</t>
        </is>
      </c>
      <c r="B8" s="17" t="n">
        <v>3966</v>
      </c>
      <c r="C8" s="17" t="n">
        <v>3109</v>
      </c>
      <c r="D8" s="17" t="n">
        <v>2049</v>
      </c>
      <c r="E8" s="17" t="n">
        <v>1557</v>
      </c>
      <c r="F8" s="17" t="n">
        <v>1530</v>
      </c>
    </row>
    <row r="9">
      <c r="A9" s="16" t="inlineStr">
        <is>
          <t>Indretning af lejede lokaler</t>
        </is>
      </c>
      <c r="B9" s="17" t="n"/>
      <c r="C9" s="17" t="n"/>
      <c r="D9" s="17" t="n">
        <v>34</v>
      </c>
      <c r="E9" s="17" t="n">
        <v>26</v>
      </c>
      <c r="F9" s="17" t="n">
        <v>18</v>
      </c>
    </row>
    <row r="10">
      <c r="A10" s="16" t="inlineStr">
        <is>
          <t>Forudbetaling og anlægsaktiver under opførelse</t>
        </is>
      </c>
      <c r="B10" s="17" t="n">
        <v>2030</v>
      </c>
      <c r="C10" s="17" t="n">
        <v>1580</v>
      </c>
      <c r="D10" s="17" t="n">
        <v>755</v>
      </c>
      <c r="E10" s="17" t="n">
        <v>0</v>
      </c>
      <c r="F10" s="17" t="n">
        <v>6307</v>
      </c>
    </row>
    <row r="11">
      <c r="A11" s="15" t="inlineStr">
        <is>
          <t>Materielle anlægsaktiver</t>
        </is>
      </c>
      <c r="B11" s="17" t="n">
        <v>16561</v>
      </c>
      <c r="C11" s="17" t="n">
        <v>19308</v>
      </c>
      <c r="D11" s="17" t="n">
        <v>15556</v>
      </c>
      <c r="E11" s="17" t="n">
        <v>10506</v>
      </c>
      <c r="F11" s="17" t="n">
        <v>12773</v>
      </c>
    </row>
    <row r="12">
      <c r="A12" s="16" t="inlineStr">
        <is>
          <t>Kapitalandele, dattervirksomheder</t>
        </is>
      </c>
      <c r="B12" s="17" t="n">
        <v>5174</v>
      </c>
      <c r="C12" s="17" t="n">
        <v>5375</v>
      </c>
      <c r="D12" s="17" t="n">
        <v>5442</v>
      </c>
      <c r="E12" s="17" t="n">
        <v>5218</v>
      </c>
      <c r="F12" s="17" t="n">
        <v>5194</v>
      </c>
    </row>
    <row r="13">
      <c r="A13" s="16" t="inlineStr">
        <is>
          <t>Deposita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Finansielle anlægsaktiver</t>
        </is>
      </c>
      <c r="B14" s="17" t="n">
        <v>5174</v>
      </c>
      <c r="C14" s="17" t="n">
        <v>5375</v>
      </c>
      <c r="D14" s="17" t="n">
        <v>5442</v>
      </c>
      <c r="E14" s="17" t="n">
        <v>5218</v>
      </c>
      <c r="F14" s="17" t="n">
        <v>5194</v>
      </c>
    </row>
    <row r="15">
      <c r="A15" s="15" t="inlineStr">
        <is>
          <t>Anlægsaktiver</t>
        </is>
      </c>
      <c r="B15" s="17" t="n">
        <v>23073</v>
      </c>
      <c r="C15" s="17" t="n">
        <v>25636</v>
      </c>
      <c r="D15" s="17" t="n">
        <v>21856</v>
      </c>
      <c r="E15" s="17" t="n">
        <v>16672</v>
      </c>
      <c r="F15" s="17" t="n">
        <v>19007</v>
      </c>
    </row>
    <row r="16">
      <c r="A16" s="16" t="inlineStr">
        <is>
          <t>Råvarer og hjælpematerialer</t>
        </is>
      </c>
      <c r="B16" s="17" t="n">
        <v>9932</v>
      </c>
      <c r="C16" s="17" t="n">
        <v>10724</v>
      </c>
      <c r="D16" s="17" t="n">
        <v>10848</v>
      </c>
      <c r="E16" s="17" t="n">
        <v>9875</v>
      </c>
      <c r="F16" s="17" t="n">
        <v>9001</v>
      </c>
    </row>
    <row r="17">
      <c r="A17" s="16" t="inlineStr">
        <is>
          <t>Varer under fremstilling</t>
        </is>
      </c>
      <c r="B17" s="17" t="n">
        <v>4734</v>
      </c>
      <c r="C17" s="17" t="n">
        <v>4910</v>
      </c>
      <c r="D17" s="17" t="n">
        <v>3892</v>
      </c>
      <c r="E17" s="17" t="n">
        <v>2735</v>
      </c>
      <c r="F17" s="17" t="n">
        <v>1915</v>
      </c>
    </row>
    <row r="18">
      <c r="A18" s="16" t="inlineStr">
        <is>
          <t>Færdigvarer og handelsvarer</t>
        </is>
      </c>
      <c r="B18" s="17" t="n">
        <v>82752</v>
      </c>
      <c r="C18" s="17" t="n">
        <v>68663</v>
      </c>
      <c r="D18" s="17" t="n">
        <v>67202</v>
      </c>
      <c r="E18" s="17" t="n">
        <v>80785</v>
      </c>
      <c r="F18" s="17" t="n">
        <v>77356</v>
      </c>
    </row>
    <row r="19">
      <c r="A19" s="15" t="inlineStr">
        <is>
          <t>Varebeholdninger</t>
        </is>
      </c>
      <c r="B19" s="17" t="n">
        <v>99184</v>
      </c>
      <c r="C19" s="17" t="n">
        <v>84823</v>
      </c>
      <c r="D19" s="17" t="n">
        <v>82159</v>
      </c>
      <c r="E19" s="17" t="n">
        <v>93725</v>
      </c>
      <c r="F19" s="17" t="n">
        <v>90037</v>
      </c>
    </row>
    <row r="20">
      <c r="A20" s="16" t="inlineStr">
        <is>
          <t>Tilgodehavender fra salg og tjenesteydelser</t>
        </is>
      </c>
      <c r="B20" s="17" t="n">
        <v>37314</v>
      </c>
      <c r="C20" s="17" t="n">
        <v>30349</v>
      </c>
      <c r="D20" s="17" t="n">
        <v>32196</v>
      </c>
      <c r="E20" s="17" t="n">
        <v>30034</v>
      </c>
      <c r="F20" s="17" t="n">
        <v>32085</v>
      </c>
    </row>
    <row r="21">
      <c r="A21" s="16" t="inlineStr">
        <is>
          <t>Tilgodehavender hos tilknyttede virksomheder</t>
        </is>
      </c>
      <c r="B21" s="17" t="n">
        <v>0</v>
      </c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903</v>
      </c>
      <c r="C22" s="17" t="n">
        <v>112</v>
      </c>
      <c r="D22" s="17" t="n">
        <v>387</v>
      </c>
      <c r="E22" s="17" t="n">
        <v>368</v>
      </c>
      <c r="F22" s="17" t="n">
        <v>592</v>
      </c>
    </row>
    <row r="23">
      <c r="A23" s="16" t="inlineStr">
        <is>
          <t>Periodeafgrænsningsposter (aktiver)</t>
        </is>
      </c>
      <c r="B23" s="17" t="n">
        <v>2027</v>
      </c>
      <c r="C23" s="17" t="n">
        <v>2003</v>
      </c>
      <c r="D23" s="17" t="n">
        <v>2254</v>
      </c>
      <c r="E23" s="17" t="n">
        <v>2637</v>
      </c>
      <c r="F23" s="17" t="n">
        <v>2512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>
        <v>4596</v>
      </c>
      <c r="F26" s="17" t="n">
        <v>4366</v>
      </c>
    </row>
    <row r="27">
      <c r="A27" s="15" t="inlineStr">
        <is>
          <t>Tilgodehavender</t>
        </is>
      </c>
      <c r="B27" s="17" t="n">
        <v>40244</v>
      </c>
      <c r="C27" s="17" t="n">
        <v>32464</v>
      </c>
      <c r="D27" s="17" t="n">
        <v>34837</v>
      </c>
      <c r="E27" s="17" t="n">
        <v>37635</v>
      </c>
      <c r="F27" s="17" t="n">
        <v>39555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3059</v>
      </c>
      <c r="C29" s="17" t="n">
        <v>7563</v>
      </c>
      <c r="D29" s="17" t="n">
        <v>5023</v>
      </c>
      <c r="E29" s="17" t="n">
        <v>696</v>
      </c>
      <c r="F29" s="17" t="n">
        <v>21825</v>
      </c>
    </row>
    <row r="30">
      <c r="A30" s="15" t="inlineStr">
        <is>
          <t>Omsætningsaktiver</t>
        </is>
      </c>
      <c r="B30" s="17" t="n">
        <v>142487</v>
      </c>
      <c r="C30" s="17" t="n">
        <v>124850</v>
      </c>
      <c r="D30" s="17" t="n">
        <v>122019</v>
      </c>
      <c r="E30" s="17" t="n">
        <v>132056</v>
      </c>
      <c r="F30" s="17" t="n">
        <v>151417</v>
      </c>
    </row>
    <row r="31">
      <c r="A31" s="15" t="inlineStr">
        <is>
          <t>Aktiver</t>
        </is>
      </c>
      <c r="B31" s="17" t="n">
        <v>165560</v>
      </c>
      <c r="C31" s="17" t="n">
        <v>150486</v>
      </c>
      <c r="D31" s="17" t="n">
        <v>143875</v>
      </c>
      <c r="E31" s="17" t="n">
        <v>148728</v>
      </c>
      <c r="F31" s="17" t="n">
        <v>170424</v>
      </c>
    </row>
    <row r="32">
      <c r="A32" s="16" t="inlineStr">
        <is>
          <t>Selskabskapital</t>
        </is>
      </c>
      <c r="B32" s="17" t="n">
        <v>1000</v>
      </c>
      <c r="C32" s="17" t="n">
        <v>1000</v>
      </c>
      <c r="D32" s="17" t="n">
        <v>1000</v>
      </c>
      <c r="E32" s="17" t="n">
        <v>1000</v>
      </c>
      <c r="F32" s="17" t="n">
        <v>1000</v>
      </c>
    </row>
    <row r="33">
      <c r="A33" s="16" t="inlineStr">
        <is>
          <t>Reserve for nettoopskrivning (indre værdis metode)</t>
        </is>
      </c>
      <c r="B33" s="17" t="n">
        <v>4078</v>
      </c>
      <c r="C33" s="17" t="n">
        <v>4279</v>
      </c>
      <c r="D33" s="17" t="n">
        <v>4346</v>
      </c>
      <c r="E33" s="17" t="n">
        <v>4122</v>
      </c>
      <c r="F33" s="17" t="n">
        <v>4098</v>
      </c>
    </row>
    <row r="34">
      <c r="A34" s="16" t="inlineStr">
        <is>
          <t>Reserve for udviklingsomkostninger</t>
        </is>
      </c>
      <c r="B34" s="17" t="n"/>
      <c r="C34" s="17" t="n"/>
      <c r="D34" s="17" t="n">
        <v>472</v>
      </c>
      <c r="E34" s="17" t="n">
        <v>182</v>
      </c>
      <c r="F34" s="17" t="n">
        <v>0</v>
      </c>
    </row>
    <row r="35">
      <c r="A35" s="16" t="inlineStr">
        <is>
          <t>Reserve for sikringstransaktioner</t>
        </is>
      </c>
      <c r="B35" s="17" t="n"/>
      <c r="C35" s="17" t="n"/>
      <c r="D35" s="17" t="n">
        <v>62</v>
      </c>
      <c r="E35" s="17" t="n">
        <v>-780</v>
      </c>
      <c r="F35" s="17" t="n">
        <v>-18</v>
      </c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56435</v>
      </c>
      <c r="C37" s="17" t="n">
        <v>54183</v>
      </c>
      <c r="D37" s="17" t="n">
        <v>55625</v>
      </c>
      <c r="E37" s="17" t="n">
        <v>58140</v>
      </c>
      <c r="F37" s="17" t="n">
        <v>102350</v>
      </c>
    </row>
    <row r="38">
      <c r="A38" s="15" t="inlineStr">
        <is>
          <t>Egenkapital i alt</t>
        </is>
      </c>
      <c r="B38" s="17" t="n">
        <v>61513</v>
      </c>
      <c r="C38" s="17" t="n">
        <v>95462</v>
      </c>
      <c r="D38" s="17" t="n">
        <v>84505</v>
      </c>
      <c r="E38" s="17" t="n">
        <v>87664</v>
      </c>
      <c r="F38" s="17" t="n">
        <v>107430</v>
      </c>
    </row>
    <row r="39">
      <c r="A39" s="16" t="inlineStr">
        <is>
          <t>Hensættelse til udskudt skat</t>
        </is>
      </c>
      <c r="B39" s="17" t="n">
        <v>2578</v>
      </c>
      <c r="C39" s="17" t="n">
        <v>2159</v>
      </c>
      <c r="D39" s="17" t="n">
        <v>1706</v>
      </c>
      <c r="E39" s="17" t="n">
        <v>1668</v>
      </c>
      <c r="F39" s="17" t="n">
        <v>1288</v>
      </c>
    </row>
    <row r="40">
      <c r="A40" s="15" t="inlineStr">
        <is>
          <t>Hensatte forpligtelser</t>
        </is>
      </c>
      <c r="B40" s="17" t="n">
        <v>2578</v>
      </c>
      <c r="C40" s="17" t="n">
        <v>2159</v>
      </c>
      <c r="D40" s="17" t="n">
        <v>1706</v>
      </c>
      <c r="E40" s="17" t="n">
        <v>1668</v>
      </c>
      <c r="F40" s="17" t="n">
        <v>1288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741</v>
      </c>
      <c r="C43" s="17" t="n">
        <v>498</v>
      </c>
      <c r="D43" s="17" t="n">
        <v>0</v>
      </c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741</v>
      </c>
      <c r="C45" s="17" t="n">
        <v>498</v>
      </c>
      <c r="D45" s="17" t="n">
        <v>0</v>
      </c>
      <c r="E45" s="17" t="n"/>
      <c r="F45" s="17" t="n"/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13842</v>
      </c>
      <c r="C48" s="17" t="n">
        <v>332</v>
      </c>
      <c r="D48" s="17" t="n">
        <v>376</v>
      </c>
      <c r="E48" s="17" t="n">
        <v>5961</v>
      </c>
      <c r="F48" s="17" t="n">
        <v>420</v>
      </c>
    </row>
    <row r="49">
      <c r="A49" s="16" t="inlineStr">
        <is>
          <t>Leasingforpligtelser (kortfristet)</t>
        </is>
      </c>
      <c r="B49" s="17" t="n">
        <v>240</v>
      </c>
      <c r="C49" s="17" t="n">
        <v>244</v>
      </c>
      <c r="D49" s="17" t="n">
        <v>498</v>
      </c>
      <c r="E49" s="17" t="n">
        <v>0</v>
      </c>
      <c r="F49" s="17" t="n"/>
    </row>
    <row r="50">
      <c r="A50" s="16" t="inlineStr">
        <is>
          <t>Leverandører af varer og tjenesteydelser</t>
        </is>
      </c>
      <c r="B50" s="17" t="n">
        <v>21616</v>
      </c>
      <c r="C50" s="17" t="n">
        <v>16159</v>
      </c>
      <c r="D50" s="17" t="n">
        <v>21032</v>
      </c>
      <c r="E50" s="17" t="n">
        <v>19846</v>
      </c>
      <c r="F50" s="17" t="n">
        <v>21134</v>
      </c>
    </row>
    <row r="51">
      <c r="A51" s="16" t="inlineStr">
        <is>
          <t>Gæld til tilknyttede virksomheder</t>
        </is>
      </c>
      <c r="B51" s="17" t="n">
        <v>26141</v>
      </c>
      <c r="C51" s="17" t="n">
        <v>3774</v>
      </c>
      <c r="D51" s="17" t="n">
        <v>4595</v>
      </c>
      <c r="E51" s="17" t="n">
        <v>6645</v>
      </c>
      <c r="F51" s="17" t="n">
        <v>13671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11307</v>
      </c>
      <c r="C53" s="17" t="n">
        <v>9254</v>
      </c>
      <c r="D53" s="17" t="n">
        <v>6869</v>
      </c>
      <c r="E53" s="17" t="n">
        <v>0</v>
      </c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22553</v>
      </c>
      <c r="C55" s="17" t="n">
        <v>18140</v>
      </c>
      <c r="D55" s="17" t="n">
        <v>18437</v>
      </c>
      <c r="E55" s="17" t="n">
        <v>21456</v>
      </c>
      <c r="F55" s="17" t="n">
        <v>20436</v>
      </c>
    </row>
    <row r="56">
      <c r="A56" s="16" t="inlineStr">
        <is>
          <t>Periodeafgrænsningsposter (passiver)</t>
        </is>
      </c>
      <c r="B56" s="17" t="n">
        <v>5029</v>
      </c>
      <c r="C56" s="17" t="n">
        <v>4464</v>
      </c>
      <c r="D56" s="17" t="n">
        <v>5857</v>
      </c>
      <c r="E56" s="17" t="n">
        <v>5488</v>
      </c>
      <c r="F56" s="17" t="n">
        <v>6045</v>
      </c>
    </row>
    <row r="57">
      <c r="A57" s="15" t="inlineStr">
        <is>
          <t>Kortfristede gældsforpligtelser</t>
        </is>
      </c>
      <c r="B57" s="17" t="n">
        <v>100728</v>
      </c>
      <c r="C57" s="17" t="n">
        <v>52367</v>
      </c>
      <c r="D57" s="17" t="n">
        <v>57664</v>
      </c>
      <c r="E57" s="17" t="n">
        <v>59396</v>
      </c>
      <c r="F57" s="17" t="n">
        <v>61706</v>
      </c>
    </row>
    <row r="58">
      <c r="A58" s="15" t="inlineStr">
        <is>
          <t>Gældsforpligtelser</t>
        </is>
      </c>
      <c r="B58" s="17" t="n">
        <v>101469</v>
      </c>
      <c r="C58" s="17" t="n">
        <v>52865</v>
      </c>
      <c r="D58" s="17" t="n">
        <v>57664</v>
      </c>
      <c r="E58" s="17" t="n">
        <v>59396</v>
      </c>
      <c r="F58" s="17" t="n">
        <v>61706</v>
      </c>
    </row>
    <row r="59">
      <c r="A59" s="15" t="inlineStr">
        <is>
          <t>Passiver</t>
        </is>
      </c>
      <c r="B59" s="17" t="n">
        <v>165560</v>
      </c>
      <c r="C59" s="17" t="n">
        <v>150486</v>
      </c>
      <c r="D59" s="17" t="n">
        <v>143875</v>
      </c>
      <c r="E59" s="17" t="n">
        <v>148728</v>
      </c>
      <c r="F59" s="17" t="n">
        <v>170424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Westpack A/S (CVR 26211425) — Pengestrømsopgørelse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Pengestrømme fra driftsaktivitet</t>
        </is>
      </c>
      <c r="B2" s="17" t="n">
        <v>1892</v>
      </c>
      <c r="C2" s="17" t="n">
        <v>61980</v>
      </c>
      <c r="D2" s="17" t="n">
        <v>59829</v>
      </c>
      <c r="E2" s="17" t="n">
        <v>51318</v>
      </c>
      <c r="F2" s="17" t="n">
        <v>64613</v>
      </c>
    </row>
    <row r="3">
      <c r="A3" s="16" t="inlineStr">
        <is>
          <t>Pengestrømme fra investeringsaktivitet</t>
        </is>
      </c>
      <c r="B3" s="17" t="n">
        <v>-4278</v>
      </c>
      <c r="C3" s="17" t="n">
        <v>-9538</v>
      </c>
      <c r="D3" s="17" t="n">
        <v>-4020</v>
      </c>
      <c r="E3" s="17" t="n">
        <v>-1601</v>
      </c>
      <c r="F3" s="17" t="n">
        <v>-7675</v>
      </c>
    </row>
    <row r="4">
      <c r="A4" s="16" t="inlineStr">
        <is>
          <t>Pengestrømme fra finansieringsaktivitet</t>
        </is>
      </c>
      <c r="B4" s="17" t="n">
        <v>1833</v>
      </c>
      <c r="C4" s="17" t="n">
        <v>-22605</v>
      </c>
      <c r="D4" s="17" t="n">
        <v>-45423</v>
      </c>
      <c r="E4" s="17" t="n">
        <v>-36448</v>
      </c>
      <c r="F4" s="17" t="n">
        <v>-17974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Westpack A/S (CVR 26211425) — Regnskabs- og nøgletal (CVR: 26211425) — artsopdelt</t>
        </is>
      </c>
    </row>
    <row r="3">
      <c r="A3" s="19" t="inlineStr">
        <is>
          <t>Beløb i 1.000 kr.</t>
        </is>
      </c>
      <c r="B3" s="20" t="n">
        <v>2026</v>
      </c>
      <c r="C3" s="20" t="n">
        <v>2025</v>
      </c>
      <c r="D3" s="20" t="n">
        <v>2024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'res_raw_26211425'!$F$2</f>
        <v/>
      </c>
      <c r="C5" s="24">
        <f>'res_raw_26211425'!$E$2</f>
        <v/>
      </c>
      <c r="D5" s="24">
        <f>'res_raw_26211425'!$D$2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'res_raw_26211425'!$F$3</f>
        <v/>
      </c>
      <c r="C6" s="24">
        <f>'res_raw_26211425'!$E$3</f>
        <v/>
      </c>
      <c r="D6" s="24">
        <f>'res_raw_26211425'!$D$3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-'res_raw_26211425'!$F$4</f>
        <v/>
      </c>
      <c r="C7" s="24">
        <f>-'res_raw_26211425'!$E$4</f>
        <v/>
      </c>
      <c r="D7" s="24">
        <f>-'res_raw_26211425'!$D$4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-'res_raw_26211425'!$F$5</f>
        <v/>
      </c>
      <c r="C8" s="24">
        <f>-'res_raw_26211425'!$E$5</f>
        <v/>
      </c>
      <c r="D8" s="24">
        <f>-'res_raw_26211425'!$D$5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IF(ABS((SUM(B5:B8))-'res_raw_26211425'!$F$6)&lt;=2,SUM(B5:B8),'res_raw_26211425'!$F$6)</f>
        <v/>
      </c>
      <c r="C9" s="27">
        <f>IF(ABS((SUM(C5:C8))-'res_raw_26211425'!$E$6)&lt;=2,SUM(C5:C8),'res_raw_26211425'!$E$6)</f>
        <v/>
      </c>
      <c r="D9" s="27">
        <f>IF(ABS((SUM(D5:D8))-'res_raw_26211425'!$D$6)&lt;=2,SUM(D5:D8),'res_raw_26211425'!$D$6)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-'res_raw_26211425'!$F$7</f>
        <v/>
      </c>
      <c r="C10" s="24">
        <f>-'res_raw_26211425'!$E$7</f>
        <v/>
      </c>
      <c r="D10" s="24">
        <f>-'res_raw_26211425'!$D$7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-'res_raw_26211425'!$F$9</f>
        <v/>
      </c>
      <c r="C11" s="24">
        <f>-'res_raw_26211425'!$E$9</f>
        <v/>
      </c>
      <c r="D11" s="24">
        <f>-'res_raw_26211425'!$D$9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-'res_raw_26211425'!$F$10</f>
        <v/>
      </c>
      <c r="C12" s="24">
        <f>-'res_raw_26211425'!$E$10</f>
        <v/>
      </c>
      <c r="D12" s="24">
        <f>-'res_raw_26211425'!$D$10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IF(ABS((SUM(B9:B12))-'res_raw_26211425'!$F$11)&lt;=2,SUM(B9:B12),'res_raw_26211425'!$F$11)</f>
        <v/>
      </c>
      <c r="C13" s="27">
        <f>IF(ABS((SUM(C9:C12))-'res_raw_26211425'!$E$11)&lt;=2,SUM(C9:C12),'res_raw_26211425'!$E$11)</f>
        <v/>
      </c>
      <c r="D13" s="27">
        <f>IF(ABS((SUM(D9:D12))-'res_raw_26211425'!$D$11)&lt;=2,SUM(D9:D12),'res_raw_26211425'!$D$11)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N('res_raw_26211425'!$F$12)+N('res_raw_26211425'!$F$13)</f>
        <v/>
      </c>
      <c r="C14" s="24">
        <f>N('res_raw_26211425'!$E$12)+N('res_raw_26211425'!$E$13)</f>
        <v/>
      </c>
      <c r="D14" s="24">
        <f>N('res_raw_26211425'!$D$12)+N('res_raw_26211425'!$D$13)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-'res_raw_26211425'!$F$14</f>
        <v/>
      </c>
      <c r="C15" s="24">
        <f>-'res_raw_26211425'!$E$14</f>
        <v/>
      </c>
      <c r="D15" s="24">
        <f>-'res_raw_26211425'!$D$14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IF(ABS((SUM(B13:B15))-'res_raw_26211425'!$F$16)&lt;=2,SUM(B13:B15),'res_raw_26211425'!$F$16)</f>
        <v/>
      </c>
      <c r="C16" s="27">
        <f>IF(ABS((SUM(C13:C15))-'res_raw_26211425'!$E$16)&lt;=2,SUM(C13:C15),'res_raw_26211425'!$E$16)</f>
        <v/>
      </c>
      <c r="D16" s="27">
        <f>IF(ABS((SUM(D13:D15))-'res_raw_26211425'!$D$16)&lt;=2,SUM(D13:D15),'res_raw_26211425'!$D$16)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'balance_raw_26211425'!$F$15</f>
        <v/>
      </c>
      <c r="C19" s="24">
        <f>'balance_raw_26211425'!$E$15</f>
        <v/>
      </c>
      <c r="D19" s="24">
        <f>'balance_raw_26211425'!$D$15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'balance_raw_26211425'!$F$30</f>
        <v/>
      </c>
      <c r="C20" s="24">
        <f>'balance_raw_26211425'!$E$30</f>
        <v/>
      </c>
      <c r="D20" s="24">
        <f>'balance_raw_26211425'!$D$30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'balance_raw_26211425'!$F$38</f>
        <v/>
      </c>
      <c r="C23" s="24">
        <f>'balance_raw_26211425'!$E$38</f>
        <v/>
      </c>
      <c r="D23" s="24">
        <f>'balance_raw_26211425'!$D$38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'balance_raw_26211425'!$F$59-'balance_raw_26211425'!$F$38</f>
        <v/>
      </c>
      <c r="C24" s="24">
        <f>'balance_raw_26211425'!$E$59-'balance_raw_26211425'!$E$38</f>
        <v/>
      </c>
      <c r="D24" s="24">
        <f>'balance_raw_26211425'!$D$59-'balance_raw_26211425'!$D$38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'balance_raw_26211425'!$F$19</f>
        <v/>
      </c>
      <c r="C28" s="24">
        <f>'balance_raw_26211425'!$E$19</f>
        <v/>
      </c>
      <c r="D28" s="24">
        <f>'balance_raw_26211425'!$D$19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'balance_raw_26211425'!$F$20</f>
        <v/>
      </c>
      <c r="C29" s="24">
        <f>'balance_raw_26211425'!$E$20</f>
        <v/>
      </c>
      <c r="D29" s="24">
        <f>'balance_raw_26211425'!$D$20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'balance_raw_26211425'!$F$57</f>
        <v/>
      </c>
      <c r="C30" s="24">
        <f>'balance_raw_26211425'!$E$57</f>
        <v/>
      </c>
      <c r="D30" s="24">
        <f>'balance_raw_26211425'!$D$57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(2024=100)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(2024=100)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2024-2026.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IF('balance_raw_26211425'!$F$31="","—",IF(ABS(B21-'balance_raw_26211425'!$F$31)&lt;=1,"✓ OK","❌ "&amp;TEXT(B21-'balance_raw_26211425'!$F$31,"+#,##0;-#,##0")&amp;" t.kr."))</f>
        <v/>
      </c>
      <c r="C61" s="29">
        <f>IF('balance_raw_26211425'!$E$31="","—",IF(ABS(C21-'balance_raw_26211425'!$E$31)&lt;=1,"✓ OK","❌ "&amp;TEXT(C21-'balance_raw_26211425'!$E$31,"+#,##0;-#,##0")&amp;" t.kr."))</f>
        <v/>
      </c>
      <c r="D61" s="29">
        <f>IF('balance_raw_26211425'!$D$31="","—",IF(ABS(D21-'balance_raw_26211425'!$D$31)&lt;=1,"✓ OK","❌ "&amp;TEXT(D21-'balance_raw_26211425'!$D$31,"+#,##0;-#,##0")&amp;"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IF('balance_raw_26211425'!$F$59="","—",IF(ABS(B25-'balance_raw_26211425'!$F$59)&lt;=1,"✓ OK","❌ "&amp;TEXT(B25-'balance_raw_26211425'!$F$59,"+#,##0;-#,##0")&amp;" t.kr."))</f>
        <v/>
      </c>
      <c r="C62" s="29">
        <f>IF('balance_raw_26211425'!$E$59="","—",IF(ABS(C25-'balance_raw_26211425'!$E$59)&lt;=1,"✓ OK","❌ "&amp;TEXT(C25-'balance_raw_26211425'!$E$59,"+#,##0;-#,##0")&amp;" t.kr."))</f>
        <v/>
      </c>
      <c r="D62" s="29">
        <f>IF('balance_raw_26211425'!$D$59="","—",IF(ABS(D25-'balance_raw_26211425'!$D$59)&lt;=1,"✓ OK","❌ "&amp;TEXT(D25-'balance_raw_26211425'!$D$59,"+#,##0;-#,##0")&amp;"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IF('res_raw_26211425'!$F$6="","—",IF(ABS(B9-'res_raw_26211425'!$F$6)&lt;=1,"✓ OK","❌ "&amp;TEXT(B9-'res_raw_26211425'!$F$6,"+#,##0;-#,##0")&amp;" t.kr."))</f>
        <v/>
      </c>
      <c r="C64" s="29">
        <f>IF('res_raw_26211425'!$E$6="","—",IF(ABS(C9-'res_raw_26211425'!$E$6)&lt;=1,"✓ OK","❌ "&amp;TEXT(C9-'res_raw_26211425'!$E$6,"+#,##0;-#,##0")&amp;" t.kr."))</f>
        <v/>
      </c>
      <c r="D64" s="29">
        <f>IF('res_raw_26211425'!$D$6="","—",IF(ABS(D9-'res_raw_26211425'!$D$6)&lt;=1,"✓ OK","❌ "&amp;TEXT(D9-'res_raw_26211425'!$D$6,"+#,##0;-#,##0")&amp;"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IF('res_raw_26211425'!$F$11="","—",IF(ABS(B13-'res_raw_26211425'!$F$11)&lt;=1,"✓ OK","❌ "&amp;TEXT(B13-'res_raw_26211425'!$F$11,"+#,##0;-#,##0")&amp;" t.kr."))</f>
        <v/>
      </c>
      <c r="C65" s="29">
        <f>IF('res_raw_26211425'!$E$11="","—",IF(ABS(C13-'res_raw_26211425'!$E$11)&lt;=1,"✓ OK","❌ "&amp;TEXT(C13-'res_raw_26211425'!$E$11,"+#,##0;-#,##0")&amp;" t.kr."))</f>
        <v/>
      </c>
      <c r="D65" s="29">
        <f>IF('res_raw_26211425'!$D$11="","—",IF(ABS(D13-'res_raw_26211425'!$D$11)&lt;=1,"✓ OK","❌ "&amp;TEXT(D13-'res_raw_26211425'!$D$11,"+#,##0;-#,##0")&amp;"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IF('res_raw_26211425'!$F$16="","—",IF(ABS(B16-'res_raw_26211425'!$F$16)&lt;=1,"✓ OK","❌ "&amp;TEXT(B16-'res_raw_26211425'!$F$16,"+#,##0;-#,##0")&amp;" t.kr."))</f>
        <v/>
      </c>
      <c r="C66" s="29">
        <f>IF('res_raw_26211425'!$E$16="","—",IF(ABS(C16-'res_raw_26211425'!$E$16)&lt;=1,"✓ OK","❌ "&amp;TEXT(C16-'res_raw_26211425'!$E$16,"+#,##0;-#,##0")&amp;" t.kr."))</f>
        <v/>
      </c>
      <c r="D66" s="29">
        <f>IF('res_raw_26211425'!$D$16="","—",IF(ABS(D16-'res_raw_26211425'!$D$16)&lt;=1,"✓ OK","❌ "&amp;TEXT(D16-'res_raw_26211425'!$D$16,"+#,##0;-#,##0")&amp;"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Westpack A/S (CVR 26211425)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2026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fsa:ReductionOfLeaseCommitments</t>
        </is>
      </c>
      <c r="C3" s="34" t="inlineStr">
        <is>
          <t>fsa:ReductionOfLeaseCommitments</t>
        </is>
      </c>
      <c r="D3" s="35" t="n">
        <v>236</v>
      </c>
      <c r="E3" s="35" t="n">
        <v>239</v>
      </c>
      <c r="F3" s="35" t="n">
        <v>-244</v>
      </c>
      <c r="G3" s="35" t="n">
        <v>498</v>
      </c>
      <c r="H3" s="35" t="n">
        <v>0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2026-10-01T22:20:01Z</dcterms:created>
  <dcterms:modified xmlns:dcterms="http://purl.org/dc/terms/" xmlns:xsi="http://www.w3.org/2001/XMLSchema-instance" xsi:type="dcterms:W3CDTF">2026-10-01T22:20:01Z</dcterms:modified>
</cp:coreProperties>
</file>