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990977" sheetId="1" state="visible" r:id="rId1"/>
    <sheet xmlns:r="http://schemas.openxmlformats.org/officeDocument/2006/relationships" name="res_raw_17990977" sheetId="2" state="visible" r:id="rId2"/>
    <sheet xmlns:r="http://schemas.openxmlformats.org/officeDocument/2006/relationships" name="balance_raw_17990977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KOSAN GAS A/S (CVR 17990977)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'res_raw_17990977'!$B$2</f>
        <v/>
      </c>
      <c r="C4" s="5">
        <f>'res_raw_17990977'!$C$2</f>
        <v/>
      </c>
      <c r="D4" s="5">
        <f>'res_raw_17990977'!$D$2</f>
        <v/>
      </c>
      <c r="E4" s="5">
        <f>'res_raw_17990977'!$E$2</f>
        <v/>
      </c>
      <c r="F4" s="5">
        <f>'res_raw_17990977'!$F$2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'res_raw_17990977'!$B$3</f>
        <v/>
      </c>
      <c r="C5" s="8">
        <f>'res_raw_17990977'!$C$3</f>
        <v/>
      </c>
      <c r="D5" s="8">
        <f>'res_raw_17990977'!$D$3</f>
        <v/>
      </c>
      <c r="E5" s="8">
        <f>'res_raw_17990977'!$E$3</f>
        <v/>
      </c>
      <c r="F5" s="8">
        <f>'res_raw_17990977'!$F$3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'res_raw_17990977'!$B$4</f>
        <v/>
      </c>
      <c r="C6" s="8">
        <f>'res_raw_17990977'!$C$4</f>
        <v/>
      </c>
      <c r="D6" s="8">
        <f>'res_raw_17990977'!$D$4</f>
        <v/>
      </c>
      <c r="E6" s="8">
        <f>'res_raw_17990977'!$E$4</f>
        <v/>
      </c>
      <c r="F6" s="8">
        <f>'res_raw_17990977'!$F$4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'res_raw_17990977'!$B$5</f>
        <v/>
      </c>
      <c r="C7" s="11">
        <f>'res_raw_17990977'!$C$5</f>
        <v/>
      </c>
      <c r="D7" s="11">
        <f>'res_raw_17990977'!$D$5</f>
        <v/>
      </c>
      <c r="E7" s="11">
        <f>'res_raw_17990977'!$E$5</f>
        <v/>
      </c>
      <c r="F7" s="11">
        <f>'res_raw_17990977'!$F$5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'res_raw_17990977'!$B$6</f>
        <v/>
      </c>
      <c r="C8" s="8">
        <f>'res_raw_17990977'!$C$6</f>
        <v/>
      </c>
      <c r="D8" s="8">
        <f>'res_raw_17990977'!$D$6</f>
        <v/>
      </c>
      <c r="E8" s="8">
        <f>'res_raw_17990977'!$E$6</f>
        <v/>
      </c>
      <c r="F8" s="8">
        <f>'res_raw_17990977'!$F$6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'res_raw_17990977'!$B$7</f>
        <v/>
      </c>
      <c r="C9" s="8">
        <f>'res_raw_17990977'!$C$7</f>
        <v/>
      </c>
      <c r="D9" s="8">
        <f>'res_raw_17990977'!$D$7</f>
        <v/>
      </c>
      <c r="E9" s="8">
        <f>'res_raw_17990977'!$E$7</f>
        <v/>
      </c>
      <c r="F9" s="8">
        <f>'res_raw_17990977'!$F$7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'res_raw_17990977'!$B$8</f>
        <v/>
      </c>
      <c r="C10" s="5">
        <f>'res_raw_17990977'!$C$8</f>
        <v/>
      </c>
      <c r="D10" s="5">
        <f>'res_raw_17990977'!$D$8</f>
        <v/>
      </c>
      <c r="E10" s="5">
        <f>'res_raw_17990977'!$E$8</f>
        <v/>
      </c>
      <c r="F10" s="5">
        <f>'res_raw_17990977'!$F$8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'res_raw_17990977'!$B$9</f>
        <v/>
      </c>
      <c r="C11" s="11">
        <f>'res_raw_17990977'!$C$9</f>
        <v/>
      </c>
      <c r="D11" s="11">
        <f>'res_raw_17990977'!$D$9</f>
        <v/>
      </c>
      <c r="E11" s="11">
        <f>'res_raw_17990977'!$E$9</f>
        <v/>
      </c>
      <c r="F11" s="11">
        <f>'res_raw_17990977'!$F$9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'res_raw_17990977'!$B$10</f>
        <v/>
      </c>
      <c r="C12" s="8">
        <f>'res_raw_17990977'!$C$10</f>
        <v/>
      </c>
      <c r="D12" s="8">
        <f>'res_raw_17990977'!$D$10</f>
        <v/>
      </c>
      <c r="E12" s="8">
        <f>'res_raw_17990977'!$E$10</f>
        <v/>
      </c>
      <c r="F12" s="8">
        <f>'res_raw_17990977'!$F$10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'res_raw_17990977'!$B$11</f>
        <v/>
      </c>
      <c r="C13" s="11">
        <f>'res_raw_17990977'!$C$11</f>
        <v/>
      </c>
      <c r="D13" s="11">
        <f>'res_raw_17990977'!$D$11</f>
        <v/>
      </c>
      <c r="E13" s="11">
        <f>'res_raw_17990977'!$E$11</f>
        <v/>
      </c>
      <c r="F13" s="11">
        <f>'res_raw_17990977'!$F$11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'res_raw_17990977'!$B$12</f>
        <v/>
      </c>
      <c r="C14" s="5">
        <f>'res_raw_17990977'!$C$12</f>
        <v/>
      </c>
      <c r="D14" s="5">
        <f>'res_raw_17990977'!$D$12</f>
        <v/>
      </c>
      <c r="E14" s="5">
        <f>'res_raw_17990977'!$E$12</f>
        <v/>
      </c>
      <c r="F14" s="5">
        <f>'res_raw_17990977'!$F$12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'res_raw_17990977'!$B$13</f>
        <v/>
      </c>
      <c r="C15" s="11">
        <f>'res_raw_17990977'!$C$13</f>
        <v/>
      </c>
      <c r="D15" s="11">
        <f>'res_raw_17990977'!$D$13</f>
        <v/>
      </c>
      <c r="E15" s="11">
        <f>'res_raw_17990977'!$E$13</f>
        <v/>
      </c>
      <c r="F15" s="11">
        <f>'res_raw_17990977'!$F$13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'res_raw_17990977'!$B$14</f>
        <v/>
      </c>
      <c r="C16" s="8">
        <f>'res_raw_17990977'!$C$14</f>
        <v/>
      </c>
      <c r="D16" s="8">
        <f>'res_raw_17990977'!$D$14</f>
        <v/>
      </c>
      <c r="E16" s="8">
        <f>'res_raw_17990977'!$E$14</f>
        <v/>
      </c>
      <c r="F16" s="8">
        <f>'res_raw_17990977'!$F$14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'res_raw_17990977'!$B$15</f>
        <v/>
      </c>
      <c r="C17" s="8">
        <f>'res_raw_17990977'!$C$15</f>
        <v/>
      </c>
      <c r="D17" s="8">
        <f>'res_raw_17990977'!$D$15</f>
        <v/>
      </c>
      <c r="E17" s="8">
        <f>'res_raw_17990977'!$E$15</f>
        <v/>
      </c>
      <c r="F17" s="8">
        <f>'res_raw_17990977'!$F$15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'res_raw_17990977'!$B$16</f>
        <v/>
      </c>
      <c r="C18" s="5">
        <f>'res_raw_17990977'!$C$16</f>
        <v/>
      </c>
      <c r="D18" s="5">
        <f>'res_raw_17990977'!$D$16</f>
        <v/>
      </c>
      <c r="E18" s="5">
        <f>'res_raw_17990977'!$E$16</f>
        <v/>
      </c>
      <c r="F18" s="5">
        <f>'res_raw_17990977'!$F$16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'res_raw_17990977'!$B$17</f>
        <v/>
      </c>
      <c r="C19" s="8">
        <f>'res_raw_17990977'!$C$17</f>
        <v/>
      </c>
      <c r="D19" s="8">
        <f>'res_raw_17990977'!$D$17</f>
        <v/>
      </c>
      <c r="E19" s="8">
        <f>'res_raw_17990977'!$E$17</f>
        <v/>
      </c>
      <c r="F19" s="8">
        <f>'res_raw_17990977'!$F$17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'balance_raw_17990977'!$B$2</f>
        <v/>
      </c>
      <c r="C22" s="5">
        <f>'balance_raw_17990977'!$C$2</f>
        <v/>
      </c>
      <c r="D22" s="5">
        <f>'balance_raw_17990977'!$D$2</f>
        <v/>
      </c>
      <c r="E22" s="5">
        <f>'balance_raw_17990977'!$E$2</f>
        <v/>
      </c>
      <c r="F22" s="5">
        <f>'balance_raw_17990977'!$F$2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'balance_raw_17990977'!$B$3</f>
        <v/>
      </c>
      <c r="C23" s="11">
        <f>'balance_raw_17990977'!$C$3</f>
        <v/>
      </c>
      <c r="D23" s="11">
        <f>'balance_raw_17990977'!$D$3</f>
        <v/>
      </c>
      <c r="E23" s="11">
        <f>'balance_raw_17990977'!$E$3</f>
        <v/>
      </c>
      <c r="F23" s="11">
        <f>'balance_raw_17990977'!$F$3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'balance_raw_17990977'!$B$4</f>
        <v/>
      </c>
      <c r="C24" s="5">
        <f>'balance_raw_17990977'!$C$4</f>
        <v/>
      </c>
      <c r="D24" s="5">
        <f>'balance_raw_17990977'!$D$4</f>
        <v/>
      </c>
      <c r="E24" s="5">
        <f>'balance_raw_17990977'!$E$4</f>
        <v/>
      </c>
      <c r="F24" s="5">
        <f>'balance_raw_17990977'!$F$4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'balance_raw_17990977'!$B$5</f>
        <v/>
      </c>
      <c r="C25" s="8">
        <f>'balance_raw_17990977'!$C$5</f>
        <v/>
      </c>
      <c r="D25" s="8">
        <f>'balance_raw_17990977'!$D$5</f>
        <v/>
      </c>
      <c r="E25" s="8">
        <f>'balance_raw_17990977'!$E$5</f>
        <v/>
      </c>
      <c r="F25" s="8">
        <f>'balance_raw_17990977'!$F$5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'balance_raw_17990977'!$B$6</f>
        <v/>
      </c>
      <c r="C26" s="5">
        <f>'balance_raw_17990977'!$C$6</f>
        <v/>
      </c>
      <c r="D26" s="5">
        <f>'balance_raw_17990977'!$D$6</f>
        <v/>
      </c>
      <c r="E26" s="5">
        <f>'balance_raw_17990977'!$E$6</f>
        <v/>
      </c>
      <c r="F26" s="5">
        <f>'balance_raw_17990977'!$F$6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'balance_raw_17990977'!$B$7</f>
        <v/>
      </c>
      <c r="C27" s="11">
        <f>'balance_raw_17990977'!$C$7</f>
        <v/>
      </c>
      <c r="D27" s="11">
        <f>'balance_raw_17990977'!$D$7</f>
        <v/>
      </c>
      <c r="E27" s="11">
        <f>'balance_raw_17990977'!$E$7</f>
        <v/>
      </c>
      <c r="F27" s="11">
        <f>'balance_raw_17990977'!$F$7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'balance_raw_17990977'!$B$8</f>
        <v/>
      </c>
      <c r="C28" s="5">
        <f>'balance_raw_17990977'!$C$8</f>
        <v/>
      </c>
      <c r="D28" s="5">
        <f>'balance_raw_17990977'!$D$8</f>
        <v/>
      </c>
      <c r="E28" s="5">
        <f>'balance_raw_17990977'!$E$8</f>
        <v/>
      </c>
      <c r="F28" s="5">
        <f>'balance_raw_17990977'!$F$8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'balance_raw_17990977'!$B$9</f>
        <v/>
      </c>
      <c r="C29" s="11">
        <f>'balance_raw_17990977'!$C$9</f>
        <v/>
      </c>
      <c r="D29" s="11">
        <f>'balance_raw_17990977'!$D$9</f>
        <v/>
      </c>
      <c r="E29" s="11">
        <f>'balance_raw_17990977'!$E$9</f>
        <v/>
      </c>
      <c r="F29" s="11">
        <f>'balance_raw_17990977'!$F$9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'balance_raw_17990977'!$B$10</f>
        <v/>
      </c>
      <c r="C30" s="5">
        <f>'balance_raw_17990977'!$C$10</f>
        <v/>
      </c>
      <c r="D30" s="5">
        <f>'balance_raw_17990977'!$D$10</f>
        <v/>
      </c>
      <c r="E30" s="5">
        <f>'balance_raw_17990977'!$E$10</f>
        <v/>
      </c>
      <c r="F30" s="5">
        <f>'balance_raw_17990977'!$F$10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'balance_raw_17990977'!$B$11</f>
        <v/>
      </c>
      <c r="C31" s="8">
        <f>'balance_raw_17990977'!$C$11</f>
        <v/>
      </c>
      <c r="D31" s="8">
        <f>'balance_raw_17990977'!$D$11</f>
        <v/>
      </c>
      <c r="E31" s="8">
        <f>'balance_raw_17990977'!$E$11</f>
        <v/>
      </c>
      <c r="F31" s="8">
        <f>'balance_raw_17990977'!$F$11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'balance_raw_17990977'!$B$12</f>
        <v/>
      </c>
      <c r="C32" s="5">
        <f>'balance_raw_17990977'!$C$12</f>
        <v/>
      </c>
      <c r="D32" s="5">
        <f>'balance_raw_17990977'!$D$12</f>
        <v/>
      </c>
      <c r="E32" s="5">
        <f>'balance_raw_17990977'!$E$12</f>
        <v/>
      </c>
      <c r="F32" s="5">
        <f>'balance_raw_17990977'!$F$12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'balance_raw_17990977'!$B$13</f>
        <v/>
      </c>
      <c r="C33" s="11">
        <f>'balance_raw_17990977'!$C$13</f>
        <v/>
      </c>
      <c r="D33" s="11">
        <f>'balance_raw_17990977'!$D$13</f>
        <v/>
      </c>
      <c r="E33" s="11">
        <f>'balance_raw_17990977'!$E$13</f>
        <v/>
      </c>
      <c r="F33" s="11">
        <f>'balance_raw_17990977'!$F$13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'balance_raw_17990977'!$B$14</f>
        <v/>
      </c>
      <c r="C34" s="8">
        <f>'balance_raw_17990977'!$C$14</f>
        <v/>
      </c>
      <c r="D34" s="8">
        <f>'balance_raw_17990977'!$D$14</f>
        <v/>
      </c>
      <c r="E34" s="8">
        <f>'balance_raw_17990977'!$E$14</f>
        <v/>
      </c>
      <c r="F34" s="8">
        <f>'balance_raw_17990977'!$F$14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'balance_raw_17990977'!$B$15</f>
        <v/>
      </c>
      <c r="C35" s="8">
        <f>'balance_raw_17990977'!$C$15</f>
        <v/>
      </c>
      <c r="D35" s="8">
        <f>'balance_raw_17990977'!$D$15</f>
        <v/>
      </c>
      <c r="E35" s="8">
        <f>'balance_raw_17990977'!$E$15</f>
        <v/>
      </c>
      <c r="F35" s="8">
        <f>'balance_raw_17990977'!$F$15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'balance_raw_17990977'!$B$16</f>
        <v/>
      </c>
      <c r="C36" s="5">
        <f>'balance_raw_17990977'!$C$16</f>
        <v/>
      </c>
      <c r="D36" s="5">
        <f>'balance_raw_17990977'!$D$16</f>
        <v/>
      </c>
      <c r="E36" s="5">
        <f>'balance_raw_17990977'!$E$16</f>
        <v/>
      </c>
      <c r="F36" s="5">
        <f>'balance_raw_17990977'!$F$16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'balance_raw_17990977'!$B$17</f>
        <v/>
      </c>
      <c r="C37" s="11">
        <f>'balance_raw_17990977'!$C$17</f>
        <v/>
      </c>
      <c r="D37" s="11">
        <f>'balance_raw_17990977'!$D$17</f>
        <v/>
      </c>
      <c r="E37" s="11">
        <f>'balance_raw_17990977'!$E$17</f>
        <v/>
      </c>
      <c r="F37" s="11">
        <f>'balance_raw_17990977'!$F$17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'balance_raw_17990977'!$B$18</f>
        <v/>
      </c>
      <c r="C38" s="5">
        <f>'balance_raw_17990977'!$C$18</f>
        <v/>
      </c>
      <c r="D38" s="5">
        <f>'balance_raw_17990977'!$D$18</f>
        <v/>
      </c>
      <c r="E38" s="5">
        <f>'balance_raw_17990977'!$E$18</f>
        <v/>
      </c>
      <c r="F38" s="5">
        <f>'balance_raw_17990977'!$F$18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'balance_raw_17990977'!$B$19</f>
        <v/>
      </c>
      <c r="C39" s="8">
        <f>'balance_raw_17990977'!$C$19</f>
        <v/>
      </c>
      <c r="D39" s="8">
        <f>'balance_raw_17990977'!$D$19</f>
        <v/>
      </c>
      <c r="E39" s="8">
        <f>'balance_raw_17990977'!$E$19</f>
        <v/>
      </c>
      <c r="F39" s="8">
        <f>'balance_raw_17990977'!$F$19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'balance_raw_17990977'!$B$20</f>
        <v/>
      </c>
      <c r="C40" s="5">
        <f>'balance_raw_17990977'!$C$20</f>
        <v/>
      </c>
      <c r="D40" s="5">
        <f>'balance_raw_17990977'!$D$20</f>
        <v/>
      </c>
      <c r="E40" s="5">
        <f>'balance_raw_17990977'!$E$20</f>
        <v/>
      </c>
      <c r="F40" s="5">
        <f>'balance_raw_17990977'!$F$20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'balance_raw_17990977'!$B$21</f>
        <v/>
      </c>
      <c r="C41" s="11">
        <f>'balance_raw_17990977'!$C$21</f>
        <v/>
      </c>
      <c r="D41" s="11">
        <f>'balance_raw_17990977'!$D$21</f>
        <v/>
      </c>
      <c r="E41" s="11">
        <f>'balance_raw_17990977'!$E$21</f>
        <v/>
      </c>
      <c r="F41" s="11">
        <f>'balance_raw_17990977'!$F$21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'balance_raw_17990977'!$B$22</f>
        <v/>
      </c>
      <c r="C42" s="5">
        <f>'balance_raw_17990977'!$C$22</f>
        <v/>
      </c>
      <c r="D42" s="5">
        <f>'balance_raw_17990977'!$D$22</f>
        <v/>
      </c>
      <c r="E42" s="5">
        <f>'balance_raw_17990977'!$E$22</f>
        <v/>
      </c>
      <c r="F42" s="5">
        <f>'balance_raw_17990977'!$F$22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'balance_raw_17990977'!$B$23</f>
        <v/>
      </c>
      <c r="C43" s="11">
        <f>'balance_raw_17990977'!$C$23</f>
        <v/>
      </c>
      <c r="D43" s="11">
        <f>'balance_raw_17990977'!$D$23</f>
        <v/>
      </c>
      <c r="E43" s="11">
        <f>'balance_raw_17990977'!$E$23</f>
        <v/>
      </c>
      <c r="F43" s="11">
        <f>'balance_raw_17990977'!$F$23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'balance_raw_17990977'!$B$24</f>
        <v/>
      </c>
      <c r="C44" s="5">
        <f>'balance_raw_17990977'!$C$24</f>
        <v/>
      </c>
      <c r="D44" s="5">
        <f>'balance_raw_17990977'!$D$24</f>
        <v/>
      </c>
      <c r="E44" s="5">
        <f>'balance_raw_17990977'!$E$24</f>
        <v/>
      </c>
      <c r="F44" s="5">
        <f>'balance_raw_17990977'!$F$24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'balance_raw_17990977'!$B$25</f>
        <v/>
      </c>
      <c r="C45" s="11">
        <f>'balance_raw_17990977'!$C$25</f>
        <v/>
      </c>
      <c r="D45" s="11">
        <f>'balance_raw_17990977'!$D$25</f>
        <v/>
      </c>
      <c r="E45" s="11">
        <f>'balance_raw_17990977'!$E$25</f>
        <v/>
      </c>
      <c r="F45" s="11">
        <f>'balance_raw_17990977'!$F$25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'balance_raw_17990977'!$B$26</f>
        <v/>
      </c>
      <c r="C46" s="5">
        <f>'balance_raw_17990977'!$C$26</f>
        <v/>
      </c>
      <c r="D46" s="5">
        <f>'balance_raw_17990977'!$D$26</f>
        <v/>
      </c>
      <c r="E46" s="5">
        <f>'balance_raw_17990977'!$E$26</f>
        <v/>
      </c>
      <c r="F46" s="5">
        <f>'balance_raw_17990977'!$F$26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'balance_raw_17990977'!$B$27</f>
        <v/>
      </c>
      <c r="C47" s="8">
        <f>'balance_raw_17990977'!$C$27</f>
        <v/>
      </c>
      <c r="D47" s="8">
        <f>'balance_raw_17990977'!$D$27</f>
        <v/>
      </c>
      <c r="E47" s="8">
        <f>'balance_raw_17990977'!$E$27</f>
        <v/>
      </c>
      <c r="F47" s="8">
        <f>'balance_raw_17990977'!$F$27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'balance_raw_17990977'!$B$28</f>
        <v/>
      </c>
      <c r="C48" s="5">
        <f>'balance_raw_17990977'!$C$28</f>
        <v/>
      </c>
      <c r="D48" s="5">
        <f>'balance_raw_17990977'!$D$28</f>
        <v/>
      </c>
      <c r="E48" s="5">
        <f>'balance_raw_17990977'!$E$28</f>
        <v/>
      </c>
      <c r="F48" s="5">
        <f>'balance_raw_17990977'!$F$28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'balance_raw_17990977'!$B$29</f>
        <v/>
      </c>
      <c r="C49" s="11">
        <f>'balance_raw_17990977'!$C$29</f>
        <v/>
      </c>
      <c r="D49" s="11">
        <f>'balance_raw_17990977'!$D$29</f>
        <v/>
      </c>
      <c r="E49" s="11">
        <f>'balance_raw_17990977'!$E$29</f>
        <v/>
      </c>
      <c r="F49" s="11">
        <f>'balance_raw_17990977'!$F$29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'balance_raw_17990977'!$B$30</f>
        <v/>
      </c>
      <c r="C50" s="8">
        <f>'balance_raw_17990977'!$C$30</f>
        <v/>
      </c>
      <c r="D50" s="8">
        <f>'balance_raw_17990977'!$D$30</f>
        <v/>
      </c>
      <c r="E50" s="8">
        <f>'balance_raw_17990977'!$E$30</f>
        <v/>
      </c>
      <c r="F50" s="8">
        <f>'balance_raw_17990977'!$F$30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'balance_raw_17990977'!$B$31</f>
        <v/>
      </c>
      <c r="C51" s="8">
        <f>'balance_raw_17990977'!$C$31</f>
        <v/>
      </c>
      <c r="D51" s="8">
        <f>'balance_raw_17990977'!$D$31</f>
        <v/>
      </c>
      <c r="E51" s="8">
        <f>'balance_raw_17990977'!$E$31</f>
        <v/>
      </c>
      <c r="F51" s="8">
        <f>'balance_raw_17990977'!$F$31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'balance_raw_17990977'!$B$32</f>
        <v/>
      </c>
      <c r="C54" s="5">
        <f>'balance_raw_17990977'!$C$32</f>
        <v/>
      </c>
      <c r="D54" s="5">
        <f>'balance_raw_17990977'!$D$32</f>
        <v/>
      </c>
      <c r="E54" s="5">
        <f>'balance_raw_17990977'!$E$32</f>
        <v/>
      </c>
      <c r="F54" s="5">
        <f>'balance_raw_17990977'!$F$32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'balance_raw_17990977'!$B$33</f>
        <v/>
      </c>
      <c r="C55" s="11">
        <f>'balance_raw_17990977'!$C$33</f>
        <v/>
      </c>
      <c r="D55" s="11">
        <f>'balance_raw_17990977'!$D$33</f>
        <v/>
      </c>
      <c r="E55" s="11">
        <f>'balance_raw_17990977'!$E$33</f>
        <v/>
      </c>
      <c r="F55" s="11">
        <f>'balance_raw_17990977'!$F$33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'balance_raw_17990977'!$B$34</f>
        <v/>
      </c>
      <c r="C56" s="5">
        <f>'balance_raw_17990977'!$C$34</f>
        <v/>
      </c>
      <c r="D56" s="5">
        <f>'balance_raw_17990977'!$D$34</f>
        <v/>
      </c>
      <c r="E56" s="5">
        <f>'balance_raw_17990977'!$E$34</f>
        <v/>
      </c>
      <c r="F56" s="5">
        <f>'balance_raw_17990977'!$F$34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'balance_raw_17990977'!$B$35</f>
        <v/>
      </c>
      <c r="C57" s="11">
        <f>'balance_raw_17990977'!$C$35</f>
        <v/>
      </c>
      <c r="D57" s="11">
        <f>'balance_raw_17990977'!$D$35</f>
        <v/>
      </c>
      <c r="E57" s="11">
        <f>'balance_raw_17990977'!$E$35</f>
        <v/>
      </c>
      <c r="F57" s="11">
        <f>'balance_raw_17990977'!$F$35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'balance_raw_17990977'!$B$36</f>
        <v/>
      </c>
      <c r="C58" s="5">
        <f>'balance_raw_17990977'!$C$36</f>
        <v/>
      </c>
      <c r="D58" s="5">
        <f>'balance_raw_17990977'!$D$36</f>
        <v/>
      </c>
      <c r="E58" s="5">
        <f>'balance_raw_17990977'!$E$36</f>
        <v/>
      </c>
      <c r="F58" s="5">
        <f>'balance_raw_17990977'!$F$36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'balance_raw_17990977'!$B$37</f>
        <v/>
      </c>
      <c r="C59" s="11">
        <f>'balance_raw_17990977'!$C$37</f>
        <v/>
      </c>
      <c r="D59" s="11">
        <f>'balance_raw_17990977'!$D$37</f>
        <v/>
      </c>
      <c r="E59" s="11">
        <f>'balance_raw_17990977'!$E$37</f>
        <v/>
      </c>
      <c r="F59" s="11">
        <f>'balance_raw_17990977'!$F$37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'balance_raw_17990977'!$B$38</f>
        <v/>
      </c>
      <c r="C60" s="8">
        <f>'balance_raw_17990977'!$C$38</f>
        <v/>
      </c>
      <c r="D60" s="8">
        <f>'balance_raw_17990977'!$D$38</f>
        <v/>
      </c>
      <c r="E60" s="8">
        <f>'balance_raw_17990977'!$E$38</f>
        <v/>
      </c>
      <c r="F60" s="8">
        <f>'balance_raw_17990977'!$F$38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'balance_raw_17990977'!$B$39</f>
        <v/>
      </c>
      <c r="C61" s="11">
        <f>'balance_raw_17990977'!$C$39</f>
        <v/>
      </c>
      <c r="D61" s="11">
        <f>'balance_raw_17990977'!$D$39</f>
        <v/>
      </c>
      <c r="E61" s="11">
        <f>'balance_raw_17990977'!$E$39</f>
        <v/>
      </c>
      <c r="F61" s="11">
        <f>'balance_raw_17990977'!$F$39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'balance_raw_17990977'!$B$40</f>
        <v/>
      </c>
      <c r="C62" s="8">
        <f>'balance_raw_17990977'!$C$40</f>
        <v/>
      </c>
      <c r="D62" s="8">
        <f>'balance_raw_17990977'!$D$40</f>
        <v/>
      </c>
      <c r="E62" s="8">
        <f>'balance_raw_17990977'!$E$40</f>
        <v/>
      </c>
      <c r="F62" s="8">
        <f>'balance_raw_17990977'!$F$40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'balance_raw_17990977'!$B$41</f>
        <v/>
      </c>
      <c r="C63" s="11">
        <f>'balance_raw_17990977'!$C$41</f>
        <v/>
      </c>
      <c r="D63" s="11">
        <f>'balance_raw_17990977'!$D$41</f>
        <v/>
      </c>
      <c r="E63" s="11">
        <f>'balance_raw_17990977'!$E$41</f>
        <v/>
      </c>
      <c r="F63" s="11">
        <f>'balance_raw_17990977'!$F$41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'balance_raw_17990977'!$B$42</f>
        <v/>
      </c>
      <c r="C64" s="5">
        <f>'balance_raw_17990977'!$C$42</f>
        <v/>
      </c>
      <c r="D64" s="5">
        <f>'balance_raw_17990977'!$D$42</f>
        <v/>
      </c>
      <c r="E64" s="5">
        <f>'balance_raw_17990977'!$E$42</f>
        <v/>
      </c>
      <c r="F64" s="5">
        <f>'balance_raw_17990977'!$F$42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'balance_raw_17990977'!$B$43</f>
        <v/>
      </c>
      <c r="C65" s="11">
        <f>'balance_raw_17990977'!$C$43</f>
        <v/>
      </c>
      <c r="D65" s="11">
        <f>'balance_raw_17990977'!$D$43</f>
        <v/>
      </c>
      <c r="E65" s="11">
        <f>'balance_raw_17990977'!$E$43</f>
        <v/>
      </c>
      <c r="F65" s="11">
        <f>'balance_raw_17990977'!$F$43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'balance_raw_17990977'!$B$44</f>
        <v/>
      </c>
      <c r="C66" s="5">
        <f>'balance_raw_17990977'!$C$44</f>
        <v/>
      </c>
      <c r="D66" s="5">
        <f>'balance_raw_17990977'!$D$44</f>
        <v/>
      </c>
      <c r="E66" s="5">
        <f>'balance_raw_17990977'!$E$44</f>
        <v/>
      </c>
      <c r="F66" s="5">
        <f>'balance_raw_17990977'!$F$44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'balance_raw_17990977'!$B$45</f>
        <v/>
      </c>
      <c r="C67" s="8">
        <f>'balance_raw_17990977'!$C$45</f>
        <v/>
      </c>
      <c r="D67" s="8">
        <f>'balance_raw_17990977'!$D$45</f>
        <v/>
      </c>
      <c r="E67" s="8">
        <f>'balance_raw_17990977'!$E$45</f>
        <v/>
      </c>
      <c r="F67" s="8">
        <f>'balance_raw_17990977'!$F$45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'balance_raw_17990977'!$B$46</f>
        <v/>
      </c>
      <c r="C68" s="5">
        <f>'balance_raw_17990977'!$C$46</f>
        <v/>
      </c>
      <c r="D68" s="5">
        <f>'balance_raw_17990977'!$D$46</f>
        <v/>
      </c>
      <c r="E68" s="5">
        <f>'balance_raw_17990977'!$E$46</f>
        <v/>
      </c>
      <c r="F68" s="5">
        <f>'balance_raw_17990977'!$F$46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'balance_raw_17990977'!$B$47</f>
        <v/>
      </c>
      <c r="C69" s="11">
        <f>'balance_raw_17990977'!$C$47</f>
        <v/>
      </c>
      <c r="D69" s="11">
        <f>'balance_raw_17990977'!$D$47</f>
        <v/>
      </c>
      <c r="E69" s="11">
        <f>'balance_raw_17990977'!$E$47</f>
        <v/>
      </c>
      <c r="F69" s="11">
        <f>'balance_raw_17990977'!$F$47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'balance_raw_17990977'!$B$48</f>
        <v/>
      </c>
      <c r="C70" s="5">
        <f>'balance_raw_17990977'!$C$48</f>
        <v/>
      </c>
      <c r="D70" s="5">
        <f>'balance_raw_17990977'!$D$48</f>
        <v/>
      </c>
      <c r="E70" s="5">
        <f>'balance_raw_17990977'!$E$48</f>
        <v/>
      </c>
      <c r="F70" s="5">
        <f>'balance_raw_17990977'!$F$48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'balance_raw_17990977'!$B$49</f>
        <v/>
      </c>
      <c r="C71" s="11">
        <f>'balance_raw_17990977'!$C$49</f>
        <v/>
      </c>
      <c r="D71" s="11">
        <f>'balance_raw_17990977'!$D$49</f>
        <v/>
      </c>
      <c r="E71" s="11">
        <f>'balance_raw_17990977'!$E$49</f>
        <v/>
      </c>
      <c r="F71" s="11">
        <f>'balance_raw_17990977'!$F$49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'balance_raw_17990977'!$B$50</f>
        <v/>
      </c>
      <c r="C72" s="5">
        <f>'balance_raw_17990977'!$C$50</f>
        <v/>
      </c>
      <c r="D72" s="5">
        <f>'balance_raw_17990977'!$D$50</f>
        <v/>
      </c>
      <c r="E72" s="5">
        <f>'balance_raw_17990977'!$E$50</f>
        <v/>
      </c>
      <c r="F72" s="5">
        <f>'balance_raw_17990977'!$F$50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'balance_raw_17990977'!$B$51</f>
        <v/>
      </c>
      <c r="C73" s="11">
        <f>'balance_raw_17990977'!$C$51</f>
        <v/>
      </c>
      <c r="D73" s="11">
        <f>'balance_raw_17990977'!$D$51</f>
        <v/>
      </c>
      <c r="E73" s="11">
        <f>'balance_raw_17990977'!$E$51</f>
        <v/>
      </c>
      <c r="F73" s="11">
        <f>'balance_raw_17990977'!$F$51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'balance_raw_17990977'!$B$52</f>
        <v/>
      </c>
      <c r="C74" s="5">
        <f>'balance_raw_17990977'!$C$52</f>
        <v/>
      </c>
      <c r="D74" s="5">
        <f>'balance_raw_17990977'!$D$52</f>
        <v/>
      </c>
      <c r="E74" s="5">
        <f>'balance_raw_17990977'!$E$52</f>
        <v/>
      </c>
      <c r="F74" s="5">
        <f>'balance_raw_17990977'!$F$52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'balance_raw_17990977'!$B$53</f>
        <v/>
      </c>
      <c r="C75" s="11">
        <f>'balance_raw_17990977'!$C$53</f>
        <v/>
      </c>
      <c r="D75" s="11">
        <f>'balance_raw_17990977'!$D$53</f>
        <v/>
      </c>
      <c r="E75" s="11">
        <f>'balance_raw_17990977'!$E$53</f>
        <v/>
      </c>
      <c r="F75" s="11">
        <f>'balance_raw_17990977'!$F$53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'balance_raw_17990977'!$B$54</f>
        <v/>
      </c>
      <c r="C76" s="5">
        <f>'balance_raw_17990977'!$C$54</f>
        <v/>
      </c>
      <c r="D76" s="5">
        <f>'balance_raw_17990977'!$D$54</f>
        <v/>
      </c>
      <c r="E76" s="5">
        <f>'balance_raw_17990977'!$E$54</f>
        <v/>
      </c>
      <c r="F76" s="5">
        <f>'balance_raw_17990977'!$F$54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'balance_raw_17990977'!$B$55</f>
        <v/>
      </c>
      <c r="C77" s="11">
        <f>'balance_raw_17990977'!$C$55</f>
        <v/>
      </c>
      <c r="D77" s="11">
        <f>'balance_raw_17990977'!$D$55</f>
        <v/>
      </c>
      <c r="E77" s="11">
        <f>'balance_raw_17990977'!$E$55</f>
        <v/>
      </c>
      <c r="F77" s="11">
        <f>'balance_raw_17990977'!$F$55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'balance_raw_17990977'!$B$56</f>
        <v/>
      </c>
      <c r="C78" s="5">
        <f>'balance_raw_17990977'!$C$56</f>
        <v/>
      </c>
      <c r="D78" s="5">
        <f>'balance_raw_17990977'!$D$56</f>
        <v/>
      </c>
      <c r="E78" s="5">
        <f>'balance_raw_17990977'!$E$56</f>
        <v/>
      </c>
      <c r="F78" s="5">
        <f>'balance_raw_17990977'!$F$56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'balance_raw_17990977'!$B$57</f>
        <v/>
      </c>
      <c r="C79" s="8">
        <f>'balance_raw_17990977'!$C$57</f>
        <v/>
      </c>
      <c r="D79" s="8">
        <f>'balance_raw_17990977'!$D$57</f>
        <v/>
      </c>
      <c r="E79" s="8">
        <f>'balance_raw_17990977'!$E$57</f>
        <v/>
      </c>
      <c r="F79" s="8">
        <f>'balance_raw_17990977'!$F$57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'balance_raw_17990977'!$B$58</f>
        <v/>
      </c>
      <c r="C80" s="8">
        <f>'balance_raw_17990977'!$C$58</f>
        <v/>
      </c>
      <c r="D80" s="8">
        <f>'balance_raw_17990977'!$D$58</f>
        <v/>
      </c>
      <c r="E80" s="8">
        <f>'balance_raw_17990977'!$E$58</f>
        <v/>
      </c>
      <c r="F80" s="8">
        <f>'balance_raw_17990977'!$F$58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'balance_raw_17990977'!$B$59</f>
        <v/>
      </c>
      <c r="C81" s="8">
        <f>'balance_raw_17990977'!$C$59</f>
        <v/>
      </c>
      <c r="D81" s="8">
        <f>'balance_raw_17990977'!$D$59</f>
        <v/>
      </c>
      <c r="E81" s="8">
        <f>'balance_raw_17990977'!$E$59</f>
        <v/>
      </c>
      <c r="F81" s="8">
        <f>'balance_raw_17990977'!$F$59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'res_raw_17990977'!$B$18</f>
        <v/>
      </c>
      <c r="C84" s="5">
        <f>'res_raw_17990977'!$C$18</f>
        <v/>
      </c>
      <c r="D84" s="5">
        <f>'res_raw_17990977'!$D$18</f>
        <v/>
      </c>
      <c r="E84" s="5">
        <f>'res_raw_17990977'!$E$18</f>
        <v/>
      </c>
      <c r="F84" s="5">
        <f>'res_raw_17990977'!$F$18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'res_raw_17990977'!$B$19</f>
        <v/>
      </c>
      <c r="C85" s="11">
        <f>'res_raw_17990977'!$C$19</f>
        <v/>
      </c>
      <c r="D85" s="11">
        <f>'res_raw_17990977'!$D$19</f>
        <v/>
      </c>
      <c r="E85" s="11">
        <f>'res_raw_17990977'!$E$19</f>
        <v/>
      </c>
      <c r="F85" s="11">
        <f>'res_raw_17990977'!$F$19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KOSAN GAS A/S (CVR 17990977)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340589</v>
      </c>
      <c r="C2" s="16" t="n">
        <v>413375</v>
      </c>
      <c r="D2" s="16" t="n">
        <v>622202</v>
      </c>
      <c r="E2" s="16" t="n">
        <v>551175</v>
      </c>
      <c r="F2" s="16" t="n">
        <v>496327</v>
      </c>
    </row>
    <row r="3">
      <c r="A3" s="15" t="inlineStr">
        <is>
          <t>Produktionsomkostninger</t>
        </is>
      </c>
      <c r="B3" s="16" t="n">
        <v>187937</v>
      </c>
      <c r="C3" s="16" t="n">
        <v>256081</v>
      </c>
      <c r="D3" s="16" t="n">
        <v>391092</v>
      </c>
      <c r="E3" s="16" t="n">
        <v>321788</v>
      </c>
      <c r="F3" s="16" t="n">
        <v>283952</v>
      </c>
    </row>
    <row r="4">
      <c r="A4" s="17" t="inlineStr">
        <is>
          <t>Bruttoresultat</t>
        </is>
      </c>
      <c r="B4" s="16" t="n">
        <v>152652</v>
      </c>
      <c r="C4" s="16" t="n">
        <v>157294</v>
      </c>
      <c r="D4" s="16" t="n">
        <v>231110</v>
      </c>
      <c r="E4" s="16" t="n">
        <v>229387</v>
      </c>
      <c r="F4" s="16" t="n">
        <v>212375</v>
      </c>
    </row>
    <row r="5">
      <c r="A5" s="15" t="inlineStr">
        <is>
          <t>Udviklingsomkostninger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Salgs- og distributionsomkostninger</t>
        </is>
      </c>
      <c r="B6" s="16" t="n">
        <v>48677</v>
      </c>
      <c r="C6" s="16" t="n">
        <v>50911</v>
      </c>
      <c r="D6" s="16" t="n">
        <v>78992</v>
      </c>
      <c r="E6" s="16" t="n">
        <v>77844</v>
      </c>
      <c r="F6" s="16" t="n">
        <v>70616</v>
      </c>
    </row>
    <row r="7">
      <c r="A7" s="15" t="inlineStr">
        <is>
          <t>Administrationsomkostninger</t>
        </is>
      </c>
      <c r="B7" s="16" t="n">
        <v>75240</v>
      </c>
      <c r="C7" s="16" t="n">
        <v>68781</v>
      </c>
      <c r="D7" s="16" t="n">
        <v>135330</v>
      </c>
      <c r="E7" s="16" t="n">
        <v>120118</v>
      </c>
      <c r="F7" s="16" t="n">
        <v>125931</v>
      </c>
    </row>
    <row r="8">
      <c r="A8" s="15" t="inlineStr">
        <is>
          <t>Andre driftsindtægter</t>
        </is>
      </c>
      <c r="B8" s="16" t="n">
        <v>75</v>
      </c>
      <c r="C8" s="16" t="n">
        <v>772</v>
      </c>
      <c r="D8" s="16" t="n">
        <v>10918</v>
      </c>
      <c r="E8" s="16" t="n">
        <v>11866</v>
      </c>
      <c r="F8" s="16" t="n">
        <v>19791</v>
      </c>
    </row>
    <row r="9">
      <c r="A9" s="15" t="inlineStr">
        <is>
          <t>Andre driftsomkostninger</t>
        </is>
      </c>
      <c r="B9" s="16" t="n">
        <v>55</v>
      </c>
      <c r="C9" s="16" t="n">
        <v>41</v>
      </c>
      <c r="D9" s="16" t="n">
        <v>162</v>
      </c>
      <c r="E9" s="16" t="n">
        <v>795</v>
      </c>
      <c r="F9" s="16" t="n">
        <v>7364</v>
      </c>
    </row>
    <row r="10">
      <c r="A10" s="17" t="inlineStr">
        <is>
          <t>Resultat af primær drift</t>
        </is>
      </c>
      <c r="B10" s="16" t="n">
        <v>28755</v>
      </c>
      <c r="C10" s="16" t="n">
        <v>38333</v>
      </c>
      <c r="D10" s="16" t="n">
        <v>27544</v>
      </c>
      <c r="E10" s="16" t="n">
        <v>42496</v>
      </c>
      <c r="F10" s="16" t="n">
        <v>15828</v>
      </c>
    </row>
    <row r="11">
      <c r="A11" s="15" t="inlineStr">
        <is>
          <t>Indtægter af kapitalandele, dattervirksomheder</t>
        </is>
      </c>
      <c r="B11" s="16" t="n">
        <v>72572</v>
      </c>
      <c r="C11" s="16" t="n">
        <v>7008</v>
      </c>
      <c r="D11" s="16" t="n">
        <v>15880</v>
      </c>
      <c r="E11" s="16" t="n">
        <v>32695</v>
      </c>
      <c r="F11" s="16" t="n">
        <v>42771</v>
      </c>
    </row>
    <row r="12">
      <c r="A12" s="15" t="inlineStr">
        <is>
          <t>Finansielle indtægter</t>
        </is>
      </c>
      <c r="B12" s="16" t="n">
        <v>196</v>
      </c>
      <c r="C12" s="16" t="n">
        <v>435</v>
      </c>
      <c r="D12" s="16" t="n">
        <v>969</v>
      </c>
      <c r="E12" s="16" t="n">
        <v>1535</v>
      </c>
      <c r="F12" s="16" t="n">
        <v>1563</v>
      </c>
    </row>
    <row r="13">
      <c r="A13" s="15" t="inlineStr">
        <is>
          <t>Finansielle omkostninger</t>
        </is>
      </c>
      <c r="B13" s="16" t="n">
        <v>309</v>
      </c>
      <c r="C13" s="16" t="n">
        <v>501</v>
      </c>
      <c r="D13" s="16" t="n">
        <v>2787</v>
      </c>
      <c r="E13" s="16" t="n">
        <v>692</v>
      </c>
      <c r="F13" s="16" t="n">
        <v>796</v>
      </c>
    </row>
    <row r="14">
      <c r="A14" s="17" t="inlineStr">
        <is>
          <t>Finansielle poster, netto</t>
        </is>
      </c>
      <c r="B14" s="16" t="n">
        <v>-113</v>
      </c>
      <c r="C14" s="16" t="n">
        <v>-66</v>
      </c>
      <c r="D14" s="16" t="n">
        <v>14062</v>
      </c>
      <c r="E14" s="16" t="n">
        <v>33538</v>
      </c>
      <c r="F14" s="16" t="n">
        <v>767</v>
      </c>
    </row>
    <row r="15">
      <c r="A15" s="17" t="inlineStr">
        <is>
          <t>Resultat før skat</t>
        </is>
      </c>
      <c r="B15" s="16" t="n">
        <v>101214</v>
      </c>
      <c r="C15" s="16" t="n">
        <v>45275</v>
      </c>
      <c r="D15" s="16" t="n">
        <v>41606</v>
      </c>
      <c r="E15" s="16" t="n">
        <v>76034</v>
      </c>
      <c r="F15" s="16" t="n">
        <v>71793</v>
      </c>
    </row>
    <row r="16">
      <c r="A16" s="15" t="inlineStr">
        <is>
          <t>Skat af årets resultat</t>
        </is>
      </c>
      <c r="B16" s="16" t="n">
        <v>6330</v>
      </c>
      <c r="C16" s="16" t="n">
        <v>8433</v>
      </c>
      <c r="D16" s="16" t="n">
        <v>4625</v>
      </c>
      <c r="E16" s="16" t="n">
        <v>11247</v>
      </c>
      <c r="F16" s="16" t="n">
        <v>6779</v>
      </c>
    </row>
    <row r="17">
      <c r="A17" s="17" t="inlineStr">
        <is>
          <t>Årets resultat</t>
        </is>
      </c>
      <c r="B17" s="16" t="n">
        <v>94884</v>
      </c>
      <c r="C17" s="16" t="n">
        <v>36842</v>
      </c>
      <c r="D17" s="16" t="n">
        <v>36981</v>
      </c>
      <c r="E17" s="16" t="n">
        <v>64787</v>
      </c>
      <c r="F17" s="16" t="n">
        <v>65014</v>
      </c>
    </row>
    <row r="18">
      <c r="A18" s="15" t="inlineStr">
        <is>
          <t>Gns. antal medarbejdere</t>
        </is>
      </c>
      <c r="B18" s="16" t="n">
        <v>59</v>
      </c>
      <c r="C18" s="16" t="n">
        <v>61</v>
      </c>
      <c r="D18" s="16" t="n">
        <v>68</v>
      </c>
      <c r="E18" s="16" t="n">
        <v>71</v>
      </c>
      <c r="F18" s="16" t="n">
        <v>75</v>
      </c>
    </row>
    <row r="19">
      <c r="A19" s="15" t="inlineStr">
        <is>
          <t>Investering i materielle anlægsaktiver</t>
        </is>
      </c>
      <c r="B19" s="16" t="n">
        <v>42237</v>
      </c>
      <c r="C19" s="16" t="n">
        <v>32739</v>
      </c>
      <c r="D19" s="16" t="n">
        <v>53219</v>
      </c>
      <c r="E19" s="16" t="n">
        <v>25255</v>
      </c>
      <c r="F19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KOSAN GAS A/S (CVR 17990977)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>
        <v>7162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0</v>
      </c>
      <c r="C4" s="16" t="n">
        <v>0</v>
      </c>
      <c r="D4" s="16" t="n">
        <v>22973</v>
      </c>
      <c r="E4" s="16" t="n">
        <v>20421</v>
      </c>
      <c r="F4" s="16" t="n">
        <v>17868</v>
      </c>
    </row>
    <row r="5">
      <c r="A5" s="17" t="inlineStr">
        <is>
          <t>Immaterielle anlægsaktiver</t>
        </is>
      </c>
      <c r="B5" s="16" t="n">
        <v>0</v>
      </c>
      <c r="C5" s="16" t="n">
        <v>0</v>
      </c>
      <c r="D5" s="16" t="n">
        <v>32181</v>
      </c>
      <c r="E5" s="16" t="n">
        <v>28606</v>
      </c>
      <c r="F5" s="16" t="n">
        <v>25030</v>
      </c>
    </row>
    <row r="6">
      <c r="A6" s="15" t="inlineStr">
        <is>
          <t>Grunde og bygninger</t>
        </is>
      </c>
      <c r="B6" s="16" t="n">
        <v>7073</v>
      </c>
      <c r="C6" s="16" t="n">
        <v>10176</v>
      </c>
      <c r="D6" s="16" t="n">
        <v>25708</v>
      </c>
      <c r="E6" s="16" t="n">
        <v>26248</v>
      </c>
      <c r="F6" s="16" t="n">
        <v>27342</v>
      </c>
    </row>
    <row r="7">
      <c r="A7" s="15" t="inlineStr">
        <is>
          <t>Produktionsanlæg og maskiner</t>
        </is>
      </c>
      <c r="B7" s="16" t="n">
        <v>34346</v>
      </c>
      <c r="C7" s="16" t="n">
        <v>16799</v>
      </c>
      <c r="D7" s="16" t="n">
        <v>25703</v>
      </c>
      <c r="E7" s="16" t="n">
        <v>20684</v>
      </c>
      <c r="F7" s="16" t="n">
        <v>28665</v>
      </c>
    </row>
    <row r="8">
      <c r="A8" s="15" t="inlineStr">
        <is>
          <t>Driftsmateriel og inventar</t>
        </is>
      </c>
      <c r="B8" s="16" t="n">
        <v>93666</v>
      </c>
      <c r="C8" s="16" t="n">
        <v>120186</v>
      </c>
      <c r="D8" s="16" t="n">
        <v>138286</v>
      </c>
      <c r="E8" s="16" t="n">
        <v>132221</v>
      </c>
      <c r="F8" s="16" t="n">
        <v>110546</v>
      </c>
    </row>
    <row r="9">
      <c r="A9" s="15" t="inlineStr">
        <is>
          <t>Indretning af lejede lokaler</t>
        </is>
      </c>
      <c r="B9" s="16" t="n">
        <v>552</v>
      </c>
      <c r="C9" s="16" t="n">
        <v>396</v>
      </c>
      <c r="D9" s="16" t="n">
        <v>1235</v>
      </c>
      <c r="E9" s="16" t="n">
        <v>967</v>
      </c>
      <c r="F9" s="16" t="n">
        <v>766</v>
      </c>
    </row>
    <row r="10">
      <c r="A10" s="15" t="inlineStr">
        <is>
          <t>Forudbetaling og anlægsaktiver under opførelse</t>
        </is>
      </c>
      <c r="B10" s="16" t="n">
        <v>2750</v>
      </c>
      <c r="C10" s="16" t="n">
        <v>200</v>
      </c>
      <c r="D10" s="16" t="n">
        <v>2073</v>
      </c>
      <c r="E10" s="16" t="n">
        <v>2530</v>
      </c>
      <c r="F10" s="16" t="n">
        <v>0</v>
      </c>
    </row>
    <row r="11">
      <c r="A11" s="17" t="inlineStr">
        <is>
          <t>Materielle anlægsaktiver</t>
        </is>
      </c>
      <c r="B11" s="16" t="n">
        <v>138387</v>
      </c>
      <c r="C11" s="16" t="n">
        <v>147757</v>
      </c>
      <c r="D11" s="16" t="n">
        <v>193005</v>
      </c>
      <c r="E11" s="16" t="n">
        <v>182650</v>
      </c>
      <c r="F11" s="16" t="n">
        <v>167319</v>
      </c>
    </row>
    <row r="12">
      <c r="A12" s="15" t="inlineStr">
        <is>
          <t>Kapitalandele, dattervirksomheder</t>
        </is>
      </c>
      <c r="B12" s="16" t="n">
        <v>120281</v>
      </c>
      <c r="C12" s="16" t="n">
        <v>68364</v>
      </c>
      <c r="D12" s="16" t="n">
        <v>68364</v>
      </c>
      <c r="E12" s="16" t="n">
        <v>47287</v>
      </c>
      <c r="F12" s="16" t="n">
        <v>47287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120281</v>
      </c>
      <c r="C14" s="16" t="n">
        <v>68364</v>
      </c>
      <c r="D14" s="16" t="n">
        <v>68364</v>
      </c>
      <c r="E14" s="16" t="n">
        <v>47287</v>
      </c>
      <c r="F14" s="16" t="n"/>
    </row>
    <row r="15">
      <c r="A15" s="17" t="inlineStr">
        <is>
          <t>Anlægsaktiver</t>
        </is>
      </c>
      <c r="B15" s="16" t="n">
        <v>258668</v>
      </c>
      <c r="C15" s="16" t="n">
        <v>216121</v>
      </c>
      <c r="D15" s="16" t="n">
        <v>293550</v>
      </c>
      <c r="E15" s="16" t="n">
        <v>258543</v>
      </c>
      <c r="F15" s="16" t="n">
        <v>239636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26879</v>
      </c>
      <c r="C18" s="16" t="n">
        <v>33790</v>
      </c>
      <c r="D18" s="16" t="n">
        <v>35801</v>
      </c>
      <c r="E18" s="16" t="n">
        <v>25228</v>
      </c>
      <c r="F18" s="16" t="n">
        <v>27943</v>
      </c>
    </row>
    <row r="19">
      <c r="A19" s="17" t="inlineStr">
        <is>
          <t>Varebeholdninger</t>
        </is>
      </c>
      <c r="B19" s="16" t="n">
        <v>26879</v>
      </c>
      <c r="C19" s="16" t="n">
        <v>33790</v>
      </c>
      <c r="D19" s="16" t="n">
        <v>35801</v>
      </c>
      <c r="E19" s="16" t="n">
        <v>25228</v>
      </c>
      <c r="F19" s="16" t="n">
        <v>27943</v>
      </c>
    </row>
    <row r="20">
      <c r="A20" s="15" t="inlineStr">
        <is>
          <t>Tilgodehavender fra salg og tjenesteydelser</t>
        </is>
      </c>
      <c r="B20" s="16" t="n">
        <v>78592</v>
      </c>
      <c r="C20" s="16" t="n">
        <v>115352</v>
      </c>
      <c r="D20" s="16" t="n">
        <v>151586</v>
      </c>
      <c r="E20" s="16" t="n">
        <v>128569</v>
      </c>
      <c r="F20" s="16" t="n">
        <v>103744</v>
      </c>
    </row>
    <row r="21">
      <c r="A21" s="15" t="inlineStr">
        <is>
          <t>Tilgodehavender hos tilknyttede virksomheder</t>
        </is>
      </c>
      <c r="B21" s="16" t="n">
        <v>28385</v>
      </c>
      <c r="C21" s="16" t="n">
        <v>0</v>
      </c>
      <c r="D21" s="16" t="n">
        <v>0</v>
      </c>
      <c r="E21" s="16" t="n">
        <v>22040</v>
      </c>
      <c r="F21" s="16" t="n">
        <v>101857</v>
      </c>
    </row>
    <row r="22">
      <c r="A22" s="15" t="inlineStr">
        <is>
          <t>Andre tilgodehavender</t>
        </is>
      </c>
      <c r="B22" s="16" t="n">
        <v>719</v>
      </c>
      <c r="C22" s="16" t="n">
        <v>1065</v>
      </c>
      <c r="D22" s="16" t="n">
        <v>2666</v>
      </c>
      <c r="E22" s="16" t="n">
        <v>1333</v>
      </c>
      <c r="F22" s="16" t="n">
        <v>341</v>
      </c>
    </row>
    <row r="23">
      <c r="A23" s="15" t="inlineStr">
        <is>
          <t>Periodeafgrænsningsposter (aktiver)</t>
        </is>
      </c>
      <c r="B23" s="16" t="n">
        <v>3680</v>
      </c>
      <c r="C23" s="16" t="n">
        <v>5187</v>
      </c>
      <c r="D23" s="16" t="n">
        <v>5501</v>
      </c>
      <c r="E23" s="16" t="n">
        <v>5435</v>
      </c>
      <c r="F23" s="16" t="n">
        <v>5014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>
        <v>4108</v>
      </c>
      <c r="D26" s="16" t="n">
        <v>3111</v>
      </c>
      <c r="E26" s="16" t="n">
        <v>2642</v>
      </c>
      <c r="F26" s="16" t="n">
        <v>0</v>
      </c>
    </row>
    <row r="27">
      <c r="A27" s="17" t="inlineStr">
        <is>
          <t>Tilgodehavender</t>
        </is>
      </c>
      <c r="B27" s="16" t="n">
        <v>111376</v>
      </c>
      <c r="C27" s="16" t="n">
        <v>125712</v>
      </c>
      <c r="D27" s="16" t="n">
        <v>162864</v>
      </c>
      <c r="E27" s="16" t="n">
        <v>160019</v>
      </c>
      <c r="F27" s="16" t="n">
        <v>210956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46676</v>
      </c>
      <c r="C29" s="16" t="n">
        <v>17319</v>
      </c>
      <c r="D29" s="16" t="n">
        <v>40994</v>
      </c>
      <c r="E29" s="16" t="n">
        <v>39162</v>
      </c>
      <c r="F29" s="16" t="n">
        <v>16431</v>
      </c>
    </row>
    <row r="30">
      <c r="A30" s="17" t="inlineStr">
        <is>
          <t>Omsætningsaktiver</t>
        </is>
      </c>
      <c r="B30" s="16" t="n">
        <v>184931</v>
      </c>
      <c r="C30" s="16" t="n">
        <v>176821</v>
      </c>
      <c r="D30" s="16" t="n">
        <v>239659</v>
      </c>
      <c r="E30" s="16" t="n">
        <v>224409</v>
      </c>
      <c r="F30" s="16" t="n">
        <v>255330</v>
      </c>
    </row>
    <row r="31">
      <c r="A31" s="17" t="inlineStr">
        <is>
          <t>Aktiver</t>
        </is>
      </c>
      <c r="B31" s="16" t="n">
        <v>443599</v>
      </c>
      <c r="C31" s="16" t="n">
        <v>392942</v>
      </c>
      <c r="D31" s="16" t="n">
        <v>533209</v>
      </c>
      <c r="E31" s="16" t="n">
        <v>482952</v>
      </c>
      <c r="F31" s="16" t="n">
        <v>494966</v>
      </c>
    </row>
    <row r="32">
      <c r="A32" s="15" t="inlineStr">
        <is>
          <t>Selskabskapital</t>
        </is>
      </c>
      <c r="B32" s="16" t="n">
        <v>117800</v>
      </c>
      <c r="C32" s="16" t="n">
        <v>117800</v>
      </c>
      <c r="D32" s="16" t="n">
        <v>117801</v>
      </c>
      <c r="E32" s="16" t="n">
        <v>117801</v>
      </c>
      <c r="F32" s="16" t="n">
        <v>117801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>
        <v>-20856</v>
      </c>
      <c r="D35" s="16" t="n">
        <v>-1906</v>
      </c>
      <c r="E35" s="16" t="n">
        <v>798</v>
      </c>
      <c r="F35" s="16" t="n">
        <v>7210</v>
      </c>
    </row>
    <row r="36">
      <c r="A36" s="15" t="inlineStr">
        <is>
          <t>Andre reserver</t>
        </is>
      </c>
      <c r="B36" s="16" t="n">
        <v>16836</v>
      </c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109321</v>
      </c>
      <c r="C37" s="16" t="n">
        <v>116163</v>
      </c>
      <c r="D37" s="16" t="n">
        <v>137482</v>
      </c>
      <c r="E37" s="16" t="n">
        <v>152269</v>
      </c>
      <c r="F37" s="16" t="n">
        <v>167283</v>
      </c>
    </row>
    <row r="38">
      <c r="A38" s="17" t="inlineStr">
        <is>
          <t>Egenkapital i alt</t>
        </is>
      </c>
      <c r="B38" s="16" t="n">
        <v>303957</v>
      </c>
      <c r="C38" s="16" t="n">
        <v>243107</v>
      </c>
      <c r="D38" s="16" t="n">
        <v>323377</v>
      </c>
      <c r="E38" s="16" t="n">
        <v>320868</v>
      </c>
      <c r="F38" s="16" t="n">
        <v>342294</v>
      </c>
    </row>
    <row r="39">
      <c r="A39" s="15" t="inlineStr">
        <is>
          <t>Hensættelse til udskudt skat</t>
        </is>
      </c>
      <c r="B39" s="16" t="n">
        <v>19816</v>
      </c>
      <c r="C39" s="16" t="n">
        <v>20166</v>
      </c>
      <c r="D39" s="16" t="n">
        <v>23086</v>
      </c>
      <c r="E39" s="16" t="n">
        <v>22308</v>
      </c>
      <c r="F39" s="16" t="n">
        <v>20113</v>
      </c>
    </row>
    <row r="40">
      <c r="A40" s="17" t="inlineStr">
        <is>
          <t>Hensatte forpligtelser</t>
        </is>
      </c>
      <c r="B40" s="16" t="n">
        <v>19816</v>
      </c>
      <c r="C40" s="16" t="n">
        <v>20166</v>
      </c>
      <c r="D40" s="16" t="n">
        <v>23086</v>
      </c>
      <c r="E40" s="16" t="n">
        <v>22308</v>
      </c>
      <c r="F40" s="16" t="n">
        <v>20113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/>
      <c r="C44" s="16" t="n"/>
      <c r="D44" s="16" t="n">
        <v>7500</v>
      </c>
      <c r="E44" s="16" t="n">
        <v>0</v>
      </c>
      <c r="F44" s="16" t="n"/>
    </row>
    <row r="45">
      <c r="A45" s="17" t="inlineStr">
        <is>
          <t>Langfristede gældsforpligtelser</t>
        </is>
      </c>
      <c r="B45" s="16" t="n">
        <v>15099</v>
      </c>
      <c r="C45" s="16" t="n">
        <v>0</v>
      </c>
      <c r="D45" s="16" t="n">
        <v>7500</v>
      </c>
      <c r="E45" s="16" t="n">
        <v>0</v>
      </c>
      <c r="F45" s="16" t="n"/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0</v>
      </c>
      <c r="C48" s="16" t="n"/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18926</v>
      </c>
      <c r="C50" s="16" t="n">
        <v>28460</v>
      </c>
      <c r="D50" s="16" t="n">
        <v>36849</v>
      </c>
      <c r="E50" s="16" t="n">
        <v>44326</v>
      </c>
      <c r="F50" s="16" t="n">
        <v>37193</v>
      </c>
    </row>
    <row r="51">
      <c r="A51" s="15" t="inlineStr">
        <is>
          <t>Gæld til tilknyttede virksomheder</t>
        </is>
      </c>
      <c r="B51" s="16" t="n">
        <v>25866</v>
      </c>
      <c r="C51" s="16" t="n">
        <v>30953</v>
      </c>
      <c r="D51" s="16" t="n">
        <v>53134</v>
      </c>
      <c r="E51" s="16" t="n">
        <v>1782</v>
      </c>
      <c r="F51" s="16" t="n">
        <v>10183</v>
      </c>
    </row>
    <row r="52">
      <c r="A52" s="15" t="inlineStr">
        <is>
          <t>Gæld til selskabsdeltagere og ledelse</t>
        </is>
      </c>
      <c r="B52" s="16" t="n"/>
      <c r="C52" s="16" t="n"/>
      <c r="D52" s="16" t="n">
        <v>0</v>
      </c>
      <c r="E52" s="16" t="n">
        <v>7500</v>
      </c>
      <c r="F52" s="16" t="n">
        <v>0</v>
      </c>
    </row>
    <row r="53">
      <c r="A53" s="15" t="inlineStr">
        <is>
          <t>Selskabsskat</t>
        </is>
      </c>
      <c r="B53" s="16" t="n">
        <v>316</v>
      </c>
      <c r="C53" s="16" t="n">
        <v>4698</v>
      </c>
      <c r="D53" s="16" t="n">
        <v>6658</v>
      </c>
      <c r="E53" s="16" t="n">
        <v>9660</v>
      </c>
      <c r="F53" s="16" t="n">
        <v>2716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58984</v>
      </c>
      <c r="C55" s="16" t="n">
        <v>64860</v>
      </c>
      <c r="D55" s="16" t="n">
        <v>40908</v>
      </c>
      <c r="E55" s="16" t="n">
        <v>38996</v>
      </c>
      <c r="F55" s="16" t="n">
        <v>35554</v>
      </c>
    </row>
    <row r="56">
      <c r="A56" s="15" t="inlineStr">
        <is>
          <t>Periodeafgrænsningsposter (passiver)</t>
        </is>
      </c>
      <c r="B56" s="16" t="n">
        <v>635</v>
      </c>
      <c r="C56" s="16" t="n">
        <v>698</v>
      </c>
      <c r="D56" s="16" t="n">
        <v>888</v>
      </c>
      <c r="E56" s="16" t="n">
        <v>1134</v>
      </c>
      <c r="F56" s="16" t="n">
        <v>1145</v>
      </c>
    </row>
    <row r="57">
      <c r="A57" s="17" t="inlineStr">
        <is>
          <t>Kortfristede gældsforpligtelser</t>
        </is>
      </c>
      <c r="B57" s="16" t="n">
        <v>104727</v>
      </c>
      <c r="C57" s="16" t="n">
        <v>129669</v>
      </c>
      <c r="D57" s="16" t="n">
        <v>179246</v>
      </c>
      <c r="E57" s="16" t="n">
        <v>139776</v>
      </c>
      <c r="F57" s="16" t="n">
        <v>125875</v>
      </c>
    </row>
    <row r="58">
      <c r="A58" s="17" t="inlineStr">
        <is>
          <t>Gældsforpligtelser</t>
        </is>
      </c>
      <c r="B58" s="16" t="n">
        <v>119826</v>
      </c>
      <c r="C58" s="16" t="n">
        <v>129669</v>
      </c>
      <c r="D58" s="16" t="n">
        <v>186746</v>
      </c>
      <c r="E58" s="16" t="n">
        <v>139776</v>
      </c>
      <c r="F58" s="16" t="n">
        <v>132559</v>
      </c>
    </row>
    <row r="59">
      <c r="A59" s="17" t="inlineStr">
        <is>
          <t>Passiver</t>
        </is>
      </c>
      <c r="B59" s="16" t="n">
        <v>443599</v>
      </c>
      <c r="C59" s="16" t="n">
        <v>392942</v>
      </c>
      <c r="D59" s="16" t="n">
        <v>533209</v>
      </c>
      <c r="E59" s="16" t="n">
        <v>482952</v>
      </c>
      <c r="F59" s="16" t="n">
        <v>494966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KOSAN GAS A/S (CVR 17990977) — Regnskabs- og nøgletal (CVR: 17990977)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'res_raw_17990977'!$F$2</f>
        <v/>
      </c>
      <c r="C5" s="24">
        <f>'res_raw_17990977'!$E$2</f>
        <v/>
      </c>
      <c r="D5" s="24">
        <f>'res_raw_17990977'!$D$2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-'res_raw_17990977'!$F$3</f>
        <v/>
      </c>
      <c r="C6" s="24">
        <f>-'res_raw_17990977'!$E$3</f>
        <v/>
      </c>
      <c r="D6" s="24">
        <f>-'res_raw_17990977'!$D$3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IF(ABS((SUM(B5:B6))-'res_raw_17990977'!$F$4)&lt;=2,SUM(B5:B6),'res_raw_17990977'!$F$4)</f>
        <v/>
      </c>
      <c r="C7" s="27">
        <f>IF(ABS((SUM(C5:C6))-'res_raw_17990977'!$E$4)&lt;=2,SUM(C5:C6),'res_raw_17990977'!$E$4)</f>
        <v/>
      </c>
      <c r="D7" s="27">
        <f>IF(ABS((SUM(D5:D6))-'res_raw_17990977'!$D$4)&lt;=2,SUM(D5:D6),'res_raw_17990977'!$D$4)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-'res_raw_17990977'!$F$5</f>
        <v/>
      </c>
      <c r="C8" s="24">
        <f>-'res_raw_17990977'!$E$5</f>
        <v/>
      </c>
      <c r="D8" s="24">
        <f>-'res_raw_17990977'!$D$5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-'res_raw_17990977'!$F$6</f>
        <v/>
      </c>
      <c r="C9" s="24">
        <f>-'res_raw_17990977'!$E$6</f>
        <v/>
      </c>
      <c r="D9" s="24">
        <f>-'res_raw_17990977'!$D$6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-'res_raw_17990977'!$F$7</f>
        <v/>
      </c>
      <c r="C10" s="24">
        <f>-'res_raw_17990977'!$E$7</f>
        <v/>
      </c>
      <c r="D10" s="24">
        <f>-'res_raw_17990977'!$D$7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'res_raw_17990977'!$F$8</f>
        <v/>
      </c>
      <c r="C11" s="24">
        <f>'res_raw_17990977'!$E$8</f>
        <v/>
      </c>
      <c r="D11" s="24">
        <f>'res_raw_17990977'!$D$8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-'res_raw_17990977'!$F$9</f>
        <v/>
      </c>
      <c r="C12" s="27">
        <f>-'res_raw_17990977'!$E$9</f>
        <v/>
      </c>
      <c r="D12" s="27">
        <f>-'res_raw_17990977'!$D$9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IF(ABS((SUM(B7:B12))-'res_raw_17990977'!$F$10)&lt;=2,SUM(B7:B12),'res_raw_17990977'!$F$10)</f>
        <v/>
      </c>
      <c r="C13" s="30">
        <f>IF(ABS((SUM(C7:C12))-'res_raw_17990977'!$E$10)&lt;=2,SUM(C7:C12),'res_raw_17990977'!$E$10)</f>
        <v/>
      </c>
      <c r="D13" s="30">
        <f>IF(ABS((SUM(D7:D12))-'res_raw_17990977'!$D$10)&lt;=2,SUM(D7:D12),'res_raw_17990977'!$D$10)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N('res_raw_17990977'!$F$11)+N('res_raw_17990977'!$F$12)</f>
        <v/>
      </c>
      <c r="C14" s="24">
        <f>N('res_raw_17990977'!$E$11)+N('res_raw_17990977'!$E$12)</f>
        <v/>
      </c>
      <c r="D14" s="24">
        <f>N('res_raw_17990977'!$D$11)+N('res_raw_17990977'!$D$12)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-'res_raw_17990977'!$F$13</f>
        <v/>
      </c>
      <c r="C15" s="27">
        <f>-'res_raw_17990977'!$E$13</f>
        <v/>
      </c>
      <c r="D15" s="27">
        <f>-'res_raw_17990977'!$D$13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IF(ABS((SUM(B13:B15))-'res_raw_17990977'!$F$15)&lt;=2,SUM(B13:B15),'res_raw_17990977'!$F$15)</f>
        <v/>
      </c>
      <c r="C16" s="30">
        <f>IF(ABS((SUM(C13:C15))-'res_raw_17990977'!$E$15)&lt;=2,SUM(C13:C15),'res_raw_17990977'!$E$15)</f>
        <v/>
      </c>
      <c r="D16" s="30">
        <f>IF(ABS((SUM(D13:D15))-'res_raw_17990977'!$D$15)&lt;=2,SUM(D13:D15),'res_raw_17990977'!$D$15)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'balance_raw_17990977'!$F$15</f>
        <v/>
      </c>
      <c r="C19" s="24">
        <f>'balance_raw_17990977'!$E$15</f>
        <v/>
      </c>
      <c r="D19" s="24">
        <f>'balance_raw_17990977'!$D$15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'balance_raw_17990977'!$F$30</f>
        <v/>
      </c>
      <c r="C20" s="24">
        <f>'balance_raw_17990977'!$E$30</f>
        <v/>
      </c>
      <c r="D20" s="24">
        <f>'balance_raw_17990977'!$D$30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'balance_raw_17990977'!$F$38</f>
        <v/>
      </c>
      <c r="C23" s="24">
        <f>'balance_raw_17990977'!$E$38</f>
        <v/>
      </c>
      <c r="D23" s="24">
        <f>'balance_raw_17990977'!$D$38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'balance_raw_17990977'!$F$59-'balance_raw_17990977'!$F$38</f>
        <v/>
      </c>
      <c r="C24" s="24">
        <f>'balance_raw_17990977'!$E$59-'balance_raw_17990977'!$E$38</f>
        <v/>
      </c>
      <c r="D24" s="24">
        <f>'balance_raw_17990977'!$D$59-'balance_raw_17990977'!$D$38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'balance_raw_17990977'!$F$19</f>
        <v/>
      </c>
      <c r="C28" s="24">
        <f>'balance_raw_17990977'!$E$19</f>
        <v/>
      </c>
      <c r="D28" s="24">
        <f>'balance_raw_17990977'!$D$19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'balance_raw_17990977'!$F$20</f>
        <v/>
      </c>
      <c r="C29" s="24">
        <f>'balance_raw_17990977'!$E$20</f>
        <v/>
      </c>
      <c r="D29" s="24">
        <f>'balance_raw_17990977'!$D$20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'balance_raw_17990977'!$F$57</f>
        <v/>
      </c>
      <c r="C30" s="24">
        <f>'balance_raw_17990977'!$E$57</f>
        <v/>
      </c>
      <c r="D30" s="24">
        <f>'balance_raw_17990977'!$D$57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IF('balance_raw_17990977'!$F$31="","—",IF(ABS(B21-'balance_raw_17990977'!$F$31)&lt;=1,"✓ OK","❌ "&amp;TEXT(B21-'balance_raw_17990977'!$F$31,"+#,##0;-#,##0")&amp;" t.kr."))</f>
        <v/>
      </c>
      <c r="C62" s="31">
        <f>IF('balance_raw_17990977'!$E$31="","—",IF(ABS(C21-'balance_raw_17990977'!$E$31)&lt;=1,"✓ OK","❌ "&amp;TEXT(C21-'balance_raw_17990977'!$E$31,"+#,##0;-#,##0")&amp;" t.kr."))</f>
        <v/>
      </c>
      <c r="D62" s="31">
        <f>IF('balance_raw_17990977'!$D$31="","—",IF(ABS(D21-'balance_raw_17990977'!$D$31)&lt;=1,"✓ OK","❌ "&amp;TEXT(D21-'balance_raw_17990977'!$D$31,"+#,##0;-#,##0")&amp;"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IF('balance_raw_17990977'!$F$59="","—",IF(ABS(B25-'balance_raw_17990977'!$F$59)&lt;=1,"✓ OK","❌ "&amp;TEXT(B25-'balance_raw_17990977'!$F$59,"+#,##0;-#,##0")&amp;" t.kr."))</f>
        <v/>
      </c>
      <c r="C63" s="31">
        <f>IF('balance_raw_17990977'!$E$59="","—",IF(ABS(C25-'balance_raw_17990977'!$E$59)&lt;=1,"✓ OK","❌ "&amp;TEXT(C25-'balance_raw_17990977'!$E$59,"+#,##0;-#,##0")&amp;" t.kr."))</f>
        <v/>
      </c>
      <c r="D63" s="31">
        <f>IF('balance_raw_17990977'!$D$59="","—",IF(ABS(D25-'balance_raw_17990977'!$D$59)&lt;=1,"✓ OK","❌ "&amp;TEXT(D25-'balance_raw_17990977'!$D$59,"+#,##0;-#,##0")&amp;"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IF('res_raw_17990977'!$F$4="","—",IF(ABS(B7-'res_raw_17990977'!$F$4)&lt;=1,"✓ OK","❌ "&amp;TEXT(B7-'res_raw_17990977'!$F$4,"+#,##0;-#,##0")&amp;" t.kr."))</f>
        <v/>
      </c>
      <c r="C65" s="31">
        <f>IF('res_raw_17990977'!$E$4="","—",IF(ABS(C7-'res_raw_17990977'!$E$4)&lt;=1,"✓ OK","❌ "&amp;TEXT(C7-'res_raw_17990977'!$E$4,"+#,##0;-#,##0")&amp;" t.kr."))</f>
        <v/>
      </c>
      <c r="D65" s="31">
        <f>IF('res_raw_17990977'!$D$4="","—",IF(ABS(D7-'res_raw_17990977'!$D$4)&lt;=1,"✓ OK","❌ "&amp;TEXT(D7-'res_raw_17990977'!$D$4,"+#,##0;-#,##0")&amp;"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IF('res_raw_17990977'!$F$10="","—",IF(ABS(B13-'res_raw_17990977'!$F$10)&lt;=1,"✓ OK","❌ "&amp;TEXT(B13-'res_raw_17990977'!$F$10,"+#,##0;-#,##0")&amp;" t.kr."))</f>
        <v/>
      </c>
      <c r="C66" s="31">
        <f>IF('res_raw_17990977'!$E$10="","—",IF(ABS(C13-'res_raw_17990977'!$E$10)&lt;=1,"✓ OK","❌ "&amp;TEXT(C13-'res_raw_17990977'!$E$10,"+#,##0;-#,##0")&amp;" t.kr."))</f>
        <v/>
      </c>
      <c r="D66" s="31">
        <f>IF('res_raw_17990977'!$D$10="","—",IF(ABS(D13-'res_raw_17990977'!$D$10)&lt;=1,"✓ OK","❌ "&amp;TEXT(D13-'res_raw_17990977'!$D$10,"+#,##0;-#,##0")&amp;"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IF('res_raw_17990977'!$F$15="","—",IF(ABS(B16-'res_raw_17990977'!$F$15)&lt;=1,"✓ OK","❌ "&amp;TEXT(B16-'res_raw_17990977'!$F$15,"+#,##0;-#,##0")&amp;" t.kr."))</f>
        <v/>
      </c>
      <c r="C67" s="31">
        <f>IF('res_raw_17990977'!$E$15="","—",IF(ABS(C16-'res_raw_17990977'!$E$15)&lt;=1,"✓ OK","❌ "&amp;TEXT(C16-'res_raw_17990977'!$E$15,"+#,##0;-#,##0")&amp;" t.kr."))</f>
        <v/>
      </c>
      <c r="D67" s="31">
        <f>IF('res_raw_17990977'!$D$15="","—",IF(ABS(D16-'res_raw_17990977'!$D$15)&lt;=1,"✓ OK","❌ "&amp;TEXT(D16-'res_raw_17990977'!$D$15,"+#,##0;-#,##0")&amp;"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KOSAN GAS A/S (CVR 17990977)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fsa:DepositsShorttermLiabilitiesOtherThanProvisions</t>
        </is>
      </c>
      <c r="C3" s="36" t="inlineStr">
        <is>
          <t>fsa:DepositsShorttermLiabilitiesOtherThanProvisions</t>
        </is>
      </c>
      <c r="D3" s="37" t="n"/>
      <c r="E3" s="37" t="n"/>
      <c r="F3" s="37" t="n">
        <v>40809</v>
      </c>
      <c r="G3" s="37" t="n">
        <v>36378</v>
      </c>
      <c r="H3" s="37" t="n">
        <v>39084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fsa:ExchangeRateAdjustmentsOtherFinanceExpenses</t>
        </is>
      </c>
      <c r="C4" s="39" t="inlineStr">
        <is>
          <t>fsa:ExchangeRateAdjustmentsOtherFinanceExpenses</t>
        </is>
      </c>
      <c r="D4" s="40" t="n"/>
      <c r="E4" s="40" t="n"/>
      <c r="F4" s="40" t="n">
        <v>0</v>
      </c>
      <c r="G4" s="40" t="n">
        <v>647</v>
      </c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fsa:LongtermTaxPayables</t>
        </is>
      </c>
      <c r="C5" s="36" t="inlineStr">
        <is>
          <t>fsa:LongtermTaxPayables</t>
        </is>
      </c>
      <c r="D5" s="37" t="n">
        <v>10496</v>
      </c>
      <c r="E5" s="37" t="n">
        <v>0</v>
      </c>
      <c r="F5" s="37" t="n"/>
      <c r="G5" s="37" t="n"/>
      <c r="H5" s="37" t="n">
        <v>6684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fsa:LongtermTradePayables</t>
        </is>
      </c>
      <c r="C6" s="39" t="inlineStr">
        <is>
          <t>fsa:LongtermTradePayables</t>
        </is>
      </c>
      <c r="D6" s="40" t="n">
        <v>4603</v>
      </c>
      <c r="E6" s="40" t="n">
        <v>0</v>
      </c>
      <c r="F6" s="40" t="n"/>
      <c r="G6" s="40" t="n"/>
      <c r="H6" s="40" t="n"/>
      <c r="I6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2026-10-02T21:13:40Z</dcterms:created>
  <dcterms:modified xmlns:dcterms="http://purl.org/dc/terms/" xmlns:xsi="http://www.w3.org/2001/XMLSchema-instance" xsi:type="dcterms:W3CDTF">2026-10-02T21:13:40Z</dcterms:modified>
</cp:coreProperties>
</file>